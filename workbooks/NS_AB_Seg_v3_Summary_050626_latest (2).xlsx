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Bucket" sheetId="1" r:id="rId5"/>
    <sheet state="visible" name="Overall" sheetId="2" r:id="rId6"/>
    <sheet state="visible" name="Daily" sheetId="3" r:id="rId7"/>
    <sheet state="visible" name="Raw Data" sheetId="4" r:id="rId8"/>
  </sheets>
  <definedNames/>
  <calcPr/>
</workbook>
</file>

<file path=xl/sharedStrings.xml><?xml version="1.0" encoding="utf-8"?>
<sst xmlns="http://schemas.openxmlformats.org/spreadsheetml/2006/main" count="1081" uniqueCount="134">
  <si>
    <t>A/B Test Summary By 7d Completion Bucket</t>
  </si>
  <si>
    <t>Category</t>
  </si>
  <si>
    <t>Metric</t>
  </si>
  <si>
    <t xml:space="preserve"> 1-9</t>
  </si>
  <si>
    <t xml:space="preserve"> 10-19</t>
  </si>
  <si>
    <t xml:space="preserve"> 20-39</t>
  </si>
  <si>
    <t xml:space="preserve"> 40-99</t>
  </si>
  <si>
    <t xml:space="preserve"> 100+</t>
  </si>
  <si>
    <t>Control</t>
  </si>
  <si>
    <t>Variant</t>
  </si>
  <si>
    <t>Δ %</t>
  </si>
  <si>
    <t>Players</t>
  </si>
  <si>
    <t>Players (sum)</t>
  </si>
  <si>
    <t>Revenue</t>
  </si>
  <si>
    <t>Total revenue</t>
  </si>
  <si>
    <t>ARPDAU</t>
  </si>
  <si>
    <t>AVG Payer day (%)</t>
  </si>
  <si>
    <t>ARPPU</t>
  </si>
  <si>
    <t>Engagement</t>
  </si>
  <si>
    <t>Time spent (mins)</t>
  </si>
  <si>
    <t>Level attempts / player</t>
  </si>
  <si>
    <t>Level completes / player</t>
  </si>
  <si>
    <t>Daily Streak</t>
  </si>
  <si>
    <t>Avg daily streak</t>
  </si>
  <si>
    <t>P25 daily streak</t>
  </si>
  <si>
    <t>P50 daily streak</t>
  </si>
  <si>
    <t>P75 daily streak</t>
  </si>
  <si>
    <t>P90 daily streak</t>
  </si>
  <si>
    <t>Difficulty</t>
  </si>
  <si>
    <t>Pass rate</t>
  </si>
  <si>
    <t>OOM rate</t>
  </si>
  <si>
    <t>First-try OOM rate</t>
  </si>
  <si>
    <t>Attempts per completion</t>
  </si>
  <si>
    <t>HC Economy</t>
  </si>
  <si>
    <t>HC gain total / player</t>
  </si>
  <si>
    <t>HC gain PAID / player</t>
  </si>
  <si>
    <t>HC gain FREE / player</t>
  </si>
  <si>
    <t>HC spent / player</t>
  </si>
  <si>
    <t>HC NET (gain - spend) / player</t>
  </si>
  <si>
    <t>HC spent / attempt</t>
  </si>
  <si>
    <t>Paid % of total HC gain</t>
  </si>
  <si>
    <t>HC Balance</t>
  </si>
  <si>
    <t>P50 HC balance</t>
  </si>
  <si>
    <t>P75 HC balance</t>
  </si>
  <si>
    <t>P90 HC balance</t>
  </si>
  <si>
    <t>Boosters</t>
  </si>
  <si>
    <t>Booster gain total / player</t>
  </si>
  <si>
    <t>Booster gain PAID / player</t>
  </si>
  <si>
    <t>Booster gain FREE / player</t>
  </si>
  <si>
    <t>Booster spent / player</t>
  </si>
  <si>
    <t>Booster NET (gain - spend) / player</t>
  </si>
  <si>
    <t>Booster spent / attempt</t>
  </si>
  <si>
    <t>NS Actual Completions</t>
  </si>
  <si>
    <t>Previous</t>
  </si>
  <si>
    <t>New</t>
  </si>
  <si>
    <t>NS active rate (%)</t>
  </si>
  <si>
    <t>R1 finished (%) [actual]</t>
  </si>
  <si>
    <t>R2 finished (%) [actual]</t>
  </si>
  <si>
    <t>R3 finished (%) [actual]</t>
  </si>
  <si>
    <t>A/B Test Summary - Overall (across all buckets)</t>
  </si>
  <si>
    <t>Δ Abs</t>
  </si>
  <si>
    <t>HC gain (ex-saga) / player</t>
  </si>
  <si>
    <t>HC gain from saga / player</t>
  </si>
  <si>
    <t>HC net (gain - spend) / player</t>
  </si>
  <si>
    <t>Performance</t>
  </si>
  <si>
    <t>Avg player performance</t>
  </si>
  <si>
    <t>Avg PR (last 50 lvls)</t>
  </si>
  <si>
    <t>NS Round Pass %</t>
  </si>
  <si>
    <t>R1 pass rate (%)</t>
  </si>
  <si>
    <t>R2 pass rate (%)</t>
  </si>
  <si>
    <t>R3 pass rate (%)</t>
  </si>
  <si>
    <t>Retention</t>
  </si>
  <si>
    <t>D1 churn rate</t>
  </si>
  <si>
    <t>A/B Test Summary - Daily Trend (selected segment)</t>
  </si>
  <si>
    <t>Segment:</t>
  </si>
  <si>
    <t>100+</t>
  </si>
  <si>
    <t>Date</t>
  </si>
  <si>
    <t>% of DAU</t>
  </si>
  <si>
    <t>Payer rate (%)</t>
  </si>
  <si>
    <t>HC net (gain − spend) / player</t>
  </si>
  <si>
    <t>Δ%</t>
  </si>
  <si>
    <t>event_date</t>
  </si>
  <si>
    <t>ab_group</t>
  </si>
  <si>
    <t>avg_completions_7d_bucket</t>
  </si>
  <si>
    <t>players</t>
  </si>
  <si>
    <t>pct_of_dau</t>
  </si>
  <si>
    <t>total_revenue</t>
  </si>
  <si>
    <t>arpdau</t>
  </si>
  <si>
    <t>payer_rate_pct</t>
  </si>
  <si>
    <t>arppu</t>
  </si>
  <si>
    <t>avg_time_spent_mins</t>
  </si>
  <si>
    <t>avg_level_attempts</t>
  </si>
  <si>
    <t>avg_level_completes</t>
  </si>
  <si>
    <t>pass_rate</t>
  </si>
  <si>
    <t>oom_rate</t>
  </si>
  <si>
    <t>foom_rate</t>
  </si>
  <si>
    <t>avg_apc</t>
  </si>
  <si>
    <t>avg_hc_gain_total</t>
  </si>
  <si>
    <t>avg_hc_gain_total_minus_saga</t>
  </si>
  <si>
    <t>avg_hc_gain_saga</t>
  </si>
  <si>
    <t>avg_hc_gain_paid</t>
  </si>
  <si>
    <t>avg_hc_gain_free</t>
  </si>
  <si>
    <t>avg_hc_spent</t>
  </si>
  <si>
    <t>hc_spent_per_attempt</t>
  </si>
  <si>
    <t>paid_pct_of_total_gain</t>
  </si>
  <si>
    <t>p50_hc_balance</t>
  </si>
  <si>
    <t>p75_hc_balance</t>
  </si>
  <si>
    <t>p90_hc_balance</t>
  </si>
  <si>
    <t>avg_player_performance</t>
  </si>
  <si>
    <t>avg_pr_last_50_levels</t>
  </si>
  <si>
    <t>avg_daily_streak</t>
  </si>
  <si>
    <t>p25_daily_streak</t>
  </si>
  <si>
    <t>p50_daily_streak</t>
  </si>
  <si>
    <t>p75_daily_streak</t>
  </si>
  <si>
    <t>p90_daily_streak</t>
  </si>
  <si>
    <t>pct_player_days_passed_R1</t>
  </si>
  <si>
    <t>pct_player_days_passed_R2</t>
  </si>
  <si>
    <t>pct_player_days_passed_R3</t>
  </si>
  <si>
    <t>d1_churn_rate</t>
  </si>
  <si>
    <t>actual_ns_active_rate_pct</t>
  </si>
  <si>
    <t>actual_pct_finished_R1</t>
  </si>
  <si>
    <t>actual_pct_finished_R2</t>
  </si>
  <si>
    <t>actual_pct_finished_R3</t>
  </si>
  <si>
    <t>avg_booster_gain_total</t>
  </si>
  <si>
    <t>avg_booster_gain_paid</t>
  </si>
  <si>
    <t>avg_booster_gain_free</t>
  </si>
  <si>
    <t>avg_booster_spend</t>
  </si>
  <si>
    <t>booster_spend_per_attempt</t>
  </si>
  <si>
    <t>A. 0</t>
  </si>
  <si>
    <t>B. 1-9</t>
  </si>
  <si>
    <t>C. 10-19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</si>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</sst>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\+0.00%;\-0.00%;0.00%"/>
    <numFmt numFmtId="165" formatCode="\$#,##0"/>
    <numFmt numFmtId="166" formatCode="\$0.0000"/>
    <numFmt numFmtId="167" formatCode="0.00\%"/>
    <numFmt numFmtId="168" formatCode="0.0000"/>
    <numFmt numFmtId="169" formatCode="[$$]#,##0.00"/>
    <numFmt numFmtId="170" formatCode="0.000"/>
    <numFmt numFmtId="171" formatCode="yyyy\-mm\-dd"/>
    <numFmt numFmtId="172" formatCode="yyyy-mm-dd"/>
  </numFmts>
  <fonts count="24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b/>
      <sz val="11.0"/>
      <color rgb="FFFFFFFF"/>
      <name val="Arial"/>
    </font>
    <font/>
    <font>
      <b/>
      <sz val="10.0"/>
      <color rgb="FFFFFFFF"/>
      <name val="Arial"/>
    </font>
    <font>
      <b/>
      <sz val="10.0"/>
      <color rgb="FF1F3864"/>
      <name val="Arial"/>
    </font>
    <font>
      <sz val="10.0"/>
      <color theme="1"/>
      <name val="Arial"/>
    </font>
    <font>
      <b/>
      <sz val="10.0"/>
      <color rgb="FF3F3F3F"/>
      <name val="Arial"/>
    </font>
    <font>
      <b/>
      <sz val="10.0"/>
      <color rgb="FF006100"/>
      <name val="Arial"/>
    </font>
    <font>
      <b/>
      <sz val="10.0"/>
      <color rgb="FF9C0006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0.0"/>
      <color rgb="FFFF0000"/>
      <name val="Arial"/>
    </font>
    <font>
      <b/>
      <sz val="11.0"/>
      <color theme="1"/>
      <name val="Arial"/>
    </font>
    <font>
      <i/>
      <sz val="11.0"/>
      <color rgb="FF808080"/>
      <name val="Arial"/>
    </font>
    <font>
      <b/>
      <color rgb="FFFFFFFF"/>
      <name val="Arial"/>
    </font>
    <font>
      <sz val="11.0"/>
      <color theme="1"/>
      <name val="Arial"/>
    </font>
    <font>
      <b/>
      <sz val="11.0"/>
      <color rgb="FF3F3F3F"/>
      <name val="Arial"/>
    </font>
    <font>
      <b/>
      <color rgb="FF9C0006"/>
      <name val="Arial"/>
    </font>
    <font>
      <b/>
      <color rgb="FF006100"/>
      <name val="Arial"/>
    </font>
    <font>
      <b/>
      <sz val="11.0"/>
      <color rgb="FF006100"/>
      <name val="Arial"/>
    </font>
    <font>
      <b/>
      <sz val="11.0"/>
      <color rgb="FF9C0006"/>
      <name val="Arial"/>
    </font>
    <font>
      <sz val="11.0"/>
      <color rgb="FF0061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ECF2FD"/>
        <bgColor rgb="FFECF2FD"/>
      </patternFill>
    </fill>
    <fill>
      <patternFill patternType="solid">
        <fgColor rgb="FFFFF2CC"/>
        <bgColor rgb="FFFFF2CC"/>
      </patternFill>
    </fill>
  </fills>
  <borders count="24">
    <border/>
    <border>
      <right style="thin">
        <color rgb="FF000000"/>
      </right>
    </border>
    <border>
      <left style="thin">
        <color rgb="FF000000"/>
      </lef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000000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ill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5" fillId="3" fontId="3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3" fontId="3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2" fontId="5" numFmtId="0" xfId="0" applyAlignment="1" applyBorder="1" applyFont="1">
      <alignment horizontal="center"/>
    </xf>
    <xf borderId="13" fillId="2" fontId="5" numFmtId="0" xfId="0" applyAlignment="1" applyBorder="1" applyFont="1">
      <alignment horizontal="center"/>
    </xf>
    <xf borderId="14" fillId="2" fontId="5" numFmtId="0" xfId="0" applyAlignment="1" applyBorder="1" applyFont="1">
      <alignment horizontal="center"/>
    </xf>
    <xf borderId="15" fillId="2" fontId="5" numFmtId="0" xfId="0" applyAlignment="1" applyBorder="1" applyFont="1">
      <alignment horizontal="center"/>
    </xf>
    <xf borderId="16" fillId="2" fontId="5" numFmtId="0" xfId="0" applyAlignment="1" applyBorder="1" applyFont="1">
      <alignment horizontal="center"/>
    </xf>
    <xf borderId="13" fillId="4" fontId="6" numFmtId="0" xfId="0" applyAlignment="1" applyBorder="1" applyFill="1" applyFont="1">
      <alignment vertical="center"/>
    </xf>
    <xf borderId="16" fillId="4" fontId="2" numFmtId="0" xfId="0" applyBorder="1" applyFont="1"/>
    <xf borderId="12" fillId="4" fontId="2" numFmtId="0" xfId="0" applyBorder="1" applyFont="1"/>
    <xf borderId="13" fillId="4" fontId="2" numFmtId="0" xfId="0" applyBorder="1" applyFont="1"/>
    <xf borderId="14" fillId="4" fontId="2" numFmtId="0" xfId="0" applyBorder="1" applyFont="1"/>
    <xf borderId="15" fillId="4" fontId="2" numFmtId="0" xfId="0" applyBorder="1" applyFont="1"/>
    <xf borderId="13" fillId="5" fontId="2" numFmtId="0" xfId="0" applyBorder="1" applyFill="1" applyFont="1"/>
    <xf borderId="16" fillId="5" fontId="7" numFmtId="0" xfId="0" applyBorder="1" applyFont="1"/>
    <xf borderId="12" fillId="5" fontId="7" numFmtId="3" xfId="0" applyAlignment="1" applyBorder="1" applyFont="1" applyNumberFormat="1">
      <alignment horizontal="right"/>
    </xf>
    <xf borderId="13" fillId="5" fontId="7" numFmtId="3" xfId="0" applyAlignment="1" applyBorder="1" applyFont="1" applyNumberFormat="1">
      <alignment horizontal="right"/>
    </xf>
    <xf borderId="14" fillId="6" fontId="8" numFmtId="164" xfId="0" applyAlignment="1" applyBorder="1" applyFill="1" applyFont="1" applyNumberFormat="1">
      <alignment horizontal="right"/>
    </xf>
    <xf borderId="15" fillId="5" fontId="7" numFmtId="3" xfId="0" applyAlignment="1" applyBorder="1" applyFont="1" applyNumberFormat="1">
      <alignment horizontal="right"/>
    </xf>
    <xf borderId="16" fillId="6" fontId="8" numFmtId="164" xfId="0" applyAlignment="1" applyBorder="1" applyFont="1" applyNumberFormat="1">
      <alignment horizontal="right"/>
    </xf>
    <xf borderId="13" fillId="6" fontId="8" numFmtId="164" xfId="0" applyAlignment="1" applyBorder="1" applyFont="1" applyNumberFormat="1">
      <alignment horizontal="right"/>
    </xf>
    <xf borderId="12" fillId="5" fontId="7" numFmtId="165" xfId="0" applyAlignment="1" applyBorder="1" applyFont="1" applyNumberFormat="1">
      <alignment horizontal="right"/>
    </xf>
    <xf borderId="13" fillId="5" fontId="7" numFmtId="165" xfId="0" applyAlignment="1" applyBorder="1" applyFont="1" applyNumberFormat="1">
      <alignment horizontal="right"/>
    </xf>
    <xf borderId="14" fillId="7" fontId="9" numFmtId="164" xfId="0" applyAlignment="1" applyBorder="1" applyFill="1" applyFont="1" applyNumberFormat="1">
      <alignment horizontal="right"/>
    </xf>
    <xf borderId="15" fillId="5" fontId="7" numFmtId="165" xfId="0" applyAlignment="1" applyBorder="1" applyFont="1" applyNumberFormat="1">
      <alignment horizontal="right"/>
    </xf>
    <xf borderId="16" fillId="7" fontId="9" numFmtId="164" xfId="0" applyAlignment="1" applyBorder="1" applyFont="1" applyNumberFormat="1">
      <alignment horizontal="right"/>
    </xf>
    <xf borderId="14" fillId="8" fontId="10" numFmtId="164" xfId="0" applyAlignment="1" applyBorder="1" applyFill="1" applyFont="1" applyNumberFormat="1">
      <alignment horizontal="right"/>
    </xf>
    <xf borderId="13" fillId="8" fontId="10" numFmtId="164" xfId="0" applyAlignment="1" applyBorder="1" applyFont="1" applyNumberFormat="1">
      <alignment horizontal="right"/>
    </xf>
    <xf borderId="12" fillId="5" fontId="7" numFmtId="166" xfId="0" applyAlignment="1" applyBorder="1" applyFont="1" applyNumberFormat="1">
      <alignment horizontal="right"/>
    </xf>
    <xf borderId="13" fillId="5" fontId="7" numFmtId="166" xfId="0" applyAlignment="1" applyBorder="1" applyFont="1" applyNumberFormat="1">
      <alignment horizontal="right"/>
    </xf>
    <xf borderId="15" fillId="5" fontId="7" numFmtId="166" xfId="0" applyAlignment="1" applyBorder="1" applyFont="1" applyNumberFormat="1">
      <alignment horizontal="right"/>
    </xf>
    <xf borderId="12" fillId="5" fontId="7" numFmtId="167" xfId="0" applyAlignment="1" applyBorder="1" applyFont="1" applyNumberFormat="1">
      <alignment horizontal="right"/>
    </xf>
    <xf borderId="13" fillId="5" fontId="7" numFmtId="167" xfId="0" applyAlignment="1" applyBorder="1" applyFont="1" applyNumberFormat="1">
      <alignment horizontal="right"/>
    </xf>
    <xf borderId="15" fillId="5" fontId="7" numFmtId="167" xfId="0" applyAlignment="1" applyBorder="1" applyFont="1" applyNumberFormat="1">
      <alignment horizontal="right"/>
    </xf>
    <xf borderId="16" fillId="8" fontId="10" numFmtId="164" xfId="0" applyAlignment="1" applyBorder="1" applyFont="1" applyNumberFormat="1">
      <alignment horizontal="right"/>
    </xf>
    <xf borderId="12" fillId="5" fontId="7" numFmtId="2" xfId="0" applyAlignment="1" applyBorder="1" applyFont="1" applyNumberFormat="1">
      <alignment horizontal="right"/>
    </xf>
    <xf borderId="13" fillId="5" fontId="7" numFmtId="2" xfId="0" applyAlignment="1" applyBorder="1" applyFont="1" applyNumberFormat="1">
      <alignment horizontal="right"/>
    </xf>
    <xf borderId="15" fillId="5" fontId="7" numFmtId="2" xfId="0" applyAlignment="1" applyBorder="1" applyFont="1" applyNumberFormat="1">
      <alignment horizontal="right"/>
    </xf>
    <xf borderId="13" fillId="7" fontId="9" numFmtId="164" xfId="0" applyAlignment="1" applyBorder="1" applyFont="1" applyNumberFormat="1">
      <alignment horizontal="right"/>
    </xf>
    <xf borderId="17" fillId="7" fontId="9" numFmtId="164" xfId="0" applyAlignment="1" applyBorder="1" applyFont="1" applyNumberFormat="1">
      <alignment horizontal="right"/>
    </xf>
    <xf borderId="18" fillId="4" fontId="2" numFmtId="0" xfId="0" applyBorder="1" applyFont="1"/>
    <xf borderId="12" fillId="5" fontId="7" numFmtId="168" xfId="0" applyAlignment="1" applyBorder="1" applyFont="1" applyNumberFormat="1">
      <alignment horizontal="right"/>
    </xf>
    <xf borderId="13" fillId="5" fontId="7" numFmtId="168" xfId="0" applyAlignment="1" applyBorder="1" applyFont="1" applyNumberFormat="1">
      <alignment horizontal="right"/>
    </xf>
    <xf borderId="15" fillId="5" fontId="7" numFmtId="168" xfId="0" applyAlignment="1" applyBorder="1" applyFont="1" applyNumberFormat="1">
      <alignment horizontal="right"/>
    </xf>
    <xf borderId="14" fillId="5" fontId="7" numFmtId="168" xfId="0" applyAlignment="1" applyBorder="1" applyFont="1" applyNumberFormat="1">
      <alignment horizontal="right"/>
    </xf>
    <xf borderId="14" fillId="5" fontId="7" numFmtId="2" xfId="0" applyAlignment="1" applyBorder="1" applyFont="1" applyNumberFormat="1">
      <alignment horizontal="right"/>
    </xf>
    <xf borderId="16" fillId="5" fontId="11" numFmtId="0" xfId="0" applyBorder="1" applyFont="1"/>
    <xf borderId="19" fillId="8" fontId="10" numFmtId="164" xfId="0" applyAlignment="1" applyBorder="1" applyFont="1" applyNumberFormat="1">
      <alignment horizontal="right"/>
    </xf>
    <xf borderId="18" fillId="7" fontId="9" numFmtId="164" xfId="0" applyAlignment="1" applyBorder="1" applyFont="1" applyNumberFormat="1">
      <alignment horizontal="right"/>
    </xf>
    <xf borderId="1" fillId="0" fontId="12" numFmtId="0" xfId="0" applyBorder="1" applyFont="1"/>
    <xf borderId="16" fillId="5" fontId="13" numFmtId="0" xfId="0" applyBorder="1" applyFont="1"/>
    <xf borderId="13" fillId="9" fontId="6" numFmtId="0" xfId="0" applyAlignment="1" applyBorder="1" applyFill="1" applyFont="1">
      <alignment horizontal="center" vertical="center"/>
    </xf>
    <xf borderId="16" fillId="9" fontId="6" numFmtId="0" xfId="0" applyAlignment="1" applyBorder="1" applyFont="1">
      <alignment horizontal="center" vertical="center"/>
    </xf>
    <xf borderId="7" fillId="9" fontId="6" numFmtId="0" xfId="0" applyAlignment="1" applyBorder="1" applyFont="1">
      <alignment horizontal="center" vertical="center"/>
    </xf>
    <xf borderId="3" fillId="9" fontId="6" numFmtId="0" xfId="0" applyAlignment="1" applyBorder="1" applyFont="1">
      <alignment horizontal="center" vertical="center"/>
    </xf>
    <xf borderId="5" fillId="5" fontId="7" numFmtId="167" xfId="0" applyAlignment="1" applyBorder="1" applyFont="1" applyNumberFormat="1">
      <alignment horizontal="right"/>
    </xf>
    <xf borderId="13" fillId="2" fontId="3" numFmtId="0" xfId="0" applyAlignment="1" applyBorder="1" applyFont="1">
      <alignment horizontal="center" vertical="center"/>
    </xf>
    <xf borderId="13" fillId="4" fontId="6" numFmtId="0" xfId="0" applyBorder="1" applyFont="1"/>
    <xf borderId="13" fillId="5" fontId="7" numFmtId="0" xfId="0" applyBorder="1" applyFont="1"/>
    <xf borderId="13" fillId="6" fontId="8" numFmtId="3" xfId="0" applyAlignment="1" applyBorder="1" applyFont="1" applyNumberFormat="1">
      <alignment horizontal="right"/>
    </xf>
    <xf borderId="13" fillId="7" fontId="9" numFmtId="169" xfId="0" applyAlignment="1" applyBorder="1" applyFont="1" applyNumberFormat="1">
      <alignment horizontal="right"/>
    </xf>
    <xf borderId="13" fillId="7" fontId="9" numFmtId="2" xfId="0" applyAlignment="1" applyBorder="1" applyFont="1" applyNumberFormat="1">
      <alignment horizontal="right"/>
    </xf>
    <xf borderId="13" fillId="6" fontId="8" numFmtId="168" xfId="0" applyAlignment="1" applyBorder="1" applyFont="1" applyNumberFormat="1">
      <alignment horizontal="right"/>
    </xf>
    <xf borderId="13" fillId="6" fontId="8" numFmtId="2" xfId="0" applyAlignment="1" applyBorder="1" applyFont="1" applyNumberFormat="1">
      <alignment horizontal="right"/>
    </xf>
    <xf borderId="13" fillId="5" fontId="11" numFmtId="0" xfId="0" applyBorder="1" applyFont="1"/>
    <xf borderId="13" fillId="8" fontId="10" numFmtId="170" xfId="0" applyAlignment="1" applyBorder="1" applyFont="1" applyNumberFormat="1">
      <alignment horizontal="right"/>
    </xf>
    <xf borderId="13" fillId="8" fontId="10" numFmtId="2" xfId="0" applyAlignment="1" applyBorder="1" applyFont="1" applyNumberFormat="1">
      <alignment horizontal="right"/>
    </xf>
    <xf borderId="13" fillId="8" fontId="10" numFmtId="167" xfId="0" applyAlignment="1" applyBorder="1" applyFont="1" applyNumberFormat="1">
      <alignment horizontal="right"/>
    </xf>
    <xf borderId="13" fillId="7" fontId="9" numFmtId="167" xfId="0" applyAlignment="1" applyBorder="1" applyFont="1" applyNumberFormat="1">
      <alignment horizontal="right"/>
    </xf>
    <xf borderId="13" fillId="7" fontId="9" numFmtId="168" xfId="0" applyAlignment="1" applyBorder="1" applyFont="1" applyNumberFormat="1">
      <alignment horizontal="right"/>
    </xf>
    <xf borderId="13" fillId="7" fontId="9" numFmtId="170" xfId="0" applyAlignment="1" applyBorder="1" applyFont="1" applyNumberFormat="1">
      <alignment horizontal="right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20" fillId="10" fontId="14" numFmtId="0" xfId="0" applyAlignment="1" applyBorder="1" applyFill="1" applyFont="1">
      <alignment horizontal="center" readingOrder="0" vertical="bottom"/>
    </xf>
    <xf borderId="0" fillId="0" fontId="15" numFmtId="0" xfId="0" applyAlignment="1" applyFont="1">
      <alignment vertical="bottom"/>
    </xf>
    <xf borderId="3" fillId="2" fontId="3" numFmtId="0" xfId="0" applyAlignment="1" applyBorder="1" applyFont="1">
      <alignment horizontal="center"/>
    </xf>
    <xf borderId="21" fillId="3" fontId="3" numFmtId="0" xfId="0" applyAlignment="1" applyBorder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13" fillId="2" fontId="16" numFmtId="0" xfId="0" applyAlignment="1" applyBorder="1" applyFont="1">
      <alignment horizontal="center" vertical="bottom"/>
    </xf>
    <xf borderId="13" fillId="0" fontId="17" numFmtId="171" xfId="0" applyAlignment="1" applyBorder="1" applyFont="1" applyNumberFormat="1">
      <alignment horizontal="right" vertical="bottom"/>
    </xf>
    <xf borderId="13" fillId="0" fontId="17" numFmtId="3" xfId="0" applyAlignment="1" applyBorder="1" applyFont="1" applyNumberFormat="1">
      <alignment horizontal="right" vertical="bottom"/>
    </xf>
    <xf borderId="13" fillId="6" fontId="18" numFmtId="164" xfId="0" applyAlignment="1" applyBorder="1" applyFont="1" applyNumberFormat="1">
      <alignment horizontal="right" vertical="bottom"/>
    </xf>
    <xf borderId="13" fillId="0" fontId="17" numFmtId="167" xfId="0" applyAlignment="1" applyBorder="1" applyFont="1" applyNumberFormat="1">
      <alignment horizontal="right" vertical="bottom"/>
    </xf>
    <xf borderId="13" fillId="0" fontId="17" numFmtId="165" xfId="0" applyAlignment="1" applyBorder="1" applyFont="1" applyNumberFormat="1">
      <alignment horizontal="right" vertical="bottom"/>
    </xf>
    <xf borderId="13" fillId="8" fontId="19" numFmtId="164" xfId="0" applyAlignment="1" applyBorder="1" applyFont="1" applyNumberFormat="1">
      <alignment horizontal="right" vertical="bottom"/>
    </xf>
    <xf borderId="13" fillId="0" fontId="17" numFmtId="166" xfId="0" applyAlignment="1" applyBorder="1" applyFont="1" applyNumberFormat="1">
      <alignment horizontal="right" vertical="bottom"/>
    </xf>
    <xf borderId="13" fillId="7" fontId="20" numFmtId="164" xfId="0" applyAlignment="1" applyBorder="1" applyFont="1" applyNumberFormat="1">
      <alignment horizontal="right" vertical="bottom"/>
    </xf>
    <xf borderId="13" fillId="0" fontId="17" numFmtId="2" xfId="0" applyAlignment="1" applyBorder="1" applyFont="1" applyNumberFormat="1">
      <alignment horizontal="right" vertical="bottom"/>
    </xf>
    <xf borderId="13" fillId="0" fontId="17" numFmtId="168" xfId="0" applyAlignment="1" applyBorder="1" applyFont="1" applyNumberFormat="1">
      <alignment horizontal="right" vertical="bottom"/>
    </xf>
    <xf borderId="13" fillId="0" fontId="2" numFmtId="167" xfId="0" applyAlignment="1" applyBorder="1" applyFont="1" applyNumberFormat="1">
      <alignment vertical="bottom"/>
    </xf>
    <xf borderId="13" fillId="8" fontId="2" numFmtId="164" xfId="0" applyAlignment="1" applyBorder="1" applyFont="1" applyNumberFormat="1">
      <alignment vertical="bottom"/>
    </xf>
    <xf borderId="13" fillId="7" fontId="21" numFmtId="164" xfId="0" applyAlignment="1" applyBorder="1" applyFont="1" applyNumberFormat="1">
      <alignment horizontal="right" vertical="bottom"/>
    </xf>
    <xf borderId="13" fillId="8" fontId="22" numFmtId="164" xfId="0" applyAlignment="1" applyBorder="1" applyFont="1" applyNumberFormat="1">
      <alignment horizontal="right" vertical="bottom"/>
    </xf>
    <xf borderId="13" fillId="6" fontId="2" numFmtId="164" xfId="0" applyAlignment="1" applyBorder="1" applyFont="1" applyNumberFormat="1">
      <alignment horizontal="right" vertical="bottom"/>
    </xf>
    <xf borderId="13" fillId="7" fontId="23" numFmtId="164" xfId="0" applyAlignment="1" applyBorder="1" applyFont="1" applyNumberFormat="1">
      <alignment horizontal="right" vertical="bottom"/>
    </xf>
    <xf borderId="13" fillId="7" fontId="2" numFmtId="164" xfId="0" applyAlignment="1" applyBorder="1" applyFont="1" applyNumberFormat="1">
      <alignment horizontal="right" vertical="bottom"/>
    </xf>
    <xf borderId="13" fillId="8" fontId="2" numFmtId="164" xfId="0" applyAlignment="1" applyBorder="1" applyFont="1" applyNumberFormat="1">
      <alignment horizontal="right" vertical="bottom"/>
    </xf>
    <xf borderId="13" fillId="2" fontId="3" numFmtId="0" xfId="0" applyAlignment="1" applyBorder="1" applyFont="1">
      <alignment horizontal="center" readingOrder="0"/>
    </xf>
    <xf borderId="13" fillId="0" fontId="7" numFmtId="172" xfId="0" applyAlignment="1" applyBorder="1" applyFont="1" applyNumberFormat="1">
      <alignment readingOrder="0"/>
    </xf>
    <xf borderId="13" fillId="0" fontId="7" numFmtId="0" xfId="0" applyAlignment="1" applyBorder="1" applyFont="1">
      <alignment readingOrder="0"/>
    </xf>
    <xf borderId="13" fillId="0" fontId="7" numFmtId="0" xfId="0" applyBorder="1" applyFont="1"/>
    <xf borderId="0" fillId="0" fontId="12" numFmtId="0" xfId="0" applyAlignment="1" applyFont="1">
      <alignment readingOrder="0"/>
    </xf>
    <xf borderId="0" fillId="0" fontId="12" numFmtId="172" xfId="0" applyAlignment="1" applyFont="1" applyNumberFormat="1">
      <alignment readingOrder="0"/>
    </xf>
  </cellXfs>
  <cellStyles count="1">
    <cellStyle xfId="0" name="Normal" builtinId="0"/>
  </cellStyles>
  <dxfs count="4"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7.0"/>
    <col customWidth="1" min="2" max="2" width="31.0"/>
    <col customWidth="1" hidden="1" min="3" max="4" width="11.0"/>
    <col customWidth="1" hidden="1" min="5" max="5" width="10.0"/>
    <col customWidth="1" min="6" max="7" width="11.0"/>
    <col customWidth="1" min="8" max="8" width="10.0"/>
    <col customWidth="1" min="9" max="10" width="11.0"/>
    <col customWidth="1" min="11" max="11" width="10.0"/>
    <col customWidth="1" min="12" max="13" width="11.0"/>
    <col customWidth="1" min="14" max="14" width="10.0"/>
    <col customWidth="1" min="15" max="16" width="11.0"/>
    <col customWidth="1" min="17" max="17" width="10.0"/>
    <col customWidth="1" min="18" max="19" width="11.0"/>
    <col customWidth="1" min="20" max="20" width="10.0"/>
  </cols>
  <sheetData>
    <row r="1">
      <c r="A1" s="1" t="s">
        <v>0</v>
      </c>
    </row>
    <row r="2">
      <c r="B2" s="2"/>
      <c r="F2" s="3"/>
      <c r="H2" s="2"/>
      <c r="L2" s="3"/>
      <c r="N2" s="2"/>
      <c r="R2" s="3"/>
    </row>
    <row r="3" ht="21.75" customHeight="1">
      <c r="A3" s="4" t="s">
        <v>1</v>
      </c>
      <c r="B3" s="5" t="s">
        <v>2</v>
      </c>
      <c r="C3" s="6">
        <v>0.0</v>
      </c>
      <c r="D3" s="7"/>
      <c r="E3" s="8"/>
      <c r="F3" s="6" t="s">
        <v>3</v>
      </c>
      <c r="G3" s="7"/>
      <c r="H3" s="9"/>
      <c r="I3" s="6" t="s">
        <v>4</v>
      </c>
      <c r="J3" s="7"/>
      <c r="K3" s="8"/>
      <c r="L3" s="10" t="s">
        <v>5</v>
      </c>
      <c r="M3" s="7"/>
      <c r="N3" s="9"/>
      <c r="O3" s="6" t="s">
        <v>6</v>
      </c>
      <c r="P3" s="7"/>
      <c r="Q3" s="8"/>
      <c r="R3" s="6" t="s">
        <v>7</v>
      </c>
      <c r="S3" s="7"/>
      <c r="T3" s="8"/>
    </row>
    <row r="4" ht="18.0" customHeight="1">
      <c r="A4" s="11"/>
      <c r="B4" s="12"/>
      <c r="C4" s="13" t="s">
        <v>8</v>
      </c>
      <c r="D4" s="14" t="s">
        <v>9</v>
      </c>
      <c r="E4" s="15" t="s">
        <v>10</v>
      </c>
      <c r="F4" s="16" t="s">
        <v>8</v>
      </c>
      <c r="G4" s="14" t="s">
        <v>9</v>
      </c>
      <c r="H4" s="17" t="s">
        <v>10</v>
      </c>
      <c r="I4" s="13" t="s">
        <v>8</v>
      </c>
      <c r="J4" s="14" t="s">
        <v>9</v>
      </c>
      <c r="K4" s="15" t="s">
        <v>10</v>
      </c>
      <c r="L4" s="16" t="s">
        <v>8</v>
      </c>
      <c r="M4" s="14" t="s">
        <v>9</v>
      </c>
      <c r="N4" s="17" t="s">
        <v>10</v>
      </c>
      <c r="O4" s="13" t="s">
        <v>8</v>
      </c>
      <c r="P4" s="14" t="s">
        <v>9</v>
      </c>
      <c r="Q4" s="15" t="s">
        <v>10</v>
      </c>
      <c r="R4" s="16" t="s">
        <v>8</v>
      </c>
      <c r="S4" s="14" t="s">
        <v>9</v>
      </c>
      <c r="T4" s="14" t="s">
        <v>10</v>
      </c>
    </row>
    <row r="5">
      <c r="A5" s="18" t="s">
        <v>11</v>
      </c>
      <c r="B5" s="19"/>
      <c r="C5" s="20"/>
      <c r="D5" s="21"/>
      <c r="E5" s="22"/>
      <c r="F5" s="23"/>
      <c r="G5" s="21"/>
      <c r="H5" s="19"/>
      <c r="I5" s="20"/>
      <c r="J5" s="21"/>
      <c r="K5" s="22"/>
      <c r="L5" s="23"/>
      <c r="M5" s="21"/>
      <c r="N5" s="19"/>
      <c r="O5" s="20"/>
      <c r="P5" s="21"/>
      <c r="Q5" s="22"/>
      <c r="R5" s="23"/>
      <c r="S5" s="21"/>
      <c r="T5" s="21"/>
    </row>
    <row r="6">
      <c r="A6" s="24"/>
      <c r="B6" s="25" t="s">
        <v>12</v>
      </c>
      <c r="C6" s="26">
        <f>SUMIFS('Raw Data'!$D:$D, 'Raw Data'!$B:$B, "Control", 'Raw Data'!$C:$C, "A. 0")</f>
        <v>467890</v>
      </c>
      <c r="D6" s="27">
        <f>SUMIFS('Raw Data'!$D:$D, 'Raw Data'!$B:$B, "Variant", 'Raw Data'!$C:$C, "A. 0")</f>
        <v>475895</v>
      </c>
      <c r="E6" s="28">
        <f>IFERROR((D6-C6)/ABS(C6),"")</f>
        <v>0.01710872214</v>
      </c>
      <c r="F6" s="29">
        <f>SUMIFS('Raw Data'!$D:$D, 'Raw Data'!$B:$B, "Control", 'Raw Data'!$C:$C, "B. 1-9")</f>
        <v>916871</v>
      </c>
      <c r="G6" s="27">
        <f>SUMIFS('Raw Data'!$D:$D, 'Raw Data'!$B:$B, "Variant", 'Raw Data'!$C:$C, "B. 1-9")</f>
        <v>881788</v>
      </c>
      <c r="H6" s="30">
        <f>IFERROR((G6-F6)/ABS(F6),"")</f>
        <v>-0.03826383428</v>
      </c>
      <c r="I6" s="26">
        <f>SUMIFS('Raw Data'!$D:$D, 'Raw Data'!$B:$B, "Control", 'Raw Data'!$C:$C, "C. 10-19")</f>
        <v>551945</v>
      </c>
      <c r="J6" s="27">
        <f>SUMIFS('Raw Data'!$D:$D, 'Raw Data'!$B:$B, "Variant", 'Raw Data'!$C:$C, "C. 10-19")</f>
        <v>552886</v>
      </c>
      <c r="K6" s="28">
        <f>IFERROR((J6-I6)/ABS(I6),"")</f>
        <v>0.001704880015</v>
      </c>
      <c r="L6" s="29">
        <f>SUMIFS('Raw Data'!$D:$D, 'Raw Data'!$B:$B, "Control", 'Raw Data'!$C:$C, "D. 20-39")</f>
        <v>300214</v>
      </c>
      <c r="M6" s="27">
        <f>SUMIFS('Raw Data'!$D:$D, 'Raw Data'!$B:$B, "Variant", 'Raw Data'!$C:$C, "D. 20-39")</f>
        <v>307551</v>
      </c>
      <c r="N6" s="30">
        <f>IFERROR((M6-L6)/ABS(L6),"")</f>
        <v>0.02443923335</v>
      </c>
      <c r="O6" s="26">
        <f>SUMIFS('Raw Data'!$D:$D, 'Raw Data'!$B:$B, "Control", 'Raw Data'!$C:$C, "E. 40-99")</f>
        <v>119870</v>
      </c>
      <c r="P6" s="27">
        <f>SUMIFS('Raw Data'!$D:$D, 'Raw Data'!$B:$B, "Variant", 'Raw Data'!$C:$C, "E. 40-99")</f>
        <v>128100</v>
      </c>
      <c r="Q6" s="28">
        <f>IFERROR((P6-O6)/ABS(O6),"")</f>
        <v>0.06865771252</v>
      </c>
      <c r="R6" s="29">
        <f>SUMIFS('Raw Data'!$D:$D, 'Raw Data'!$B:$B, "Control", 'Raw Data'!$C:$C, "F. 100+")</f>
        <v>13045</v>
      </c>
      <c r="S6" s="27">
        <f>SUMIFS('Raw Data'!$D:$D, 'Raw Data'!$B:$B, "Variant", 'Raw Data'!$C:$C, "F. 100+")</f>
        <v>14508</v>
      </c>
      <c r="T6" s="31">
        <f>IFERROR((S6-R6)/ABS(R6),"")</f>
        <v>0.1121502491</v>
      </c>
    </row>
    <row r="7">
      <c r="A7" s="18" t="s">
        <v>13</v>
      </c>
      <c r="B7" s="19"/>
      <c r="C7" s="20"/>
      <c r="D7" s="21"/>
      <c r="E7" s="22"/>
      <c r="F7" s="23"/>
      <c r="G7" s="21"/>
      <c r="H7" s="19"/>
      <c r="I7" s="20"/>
      <c r="J7" s="21"/>
      <c r="K7" s="22"/>
      <c r="L7" s="23"/>
      <c r="M7" s="21"/>
      <c r="N7" s="19"/>
      <c r="O7" s="20"/>
      <c r="P7" s="21"/>
      <c r="Q7" s="22"/>
      <c r="R7" s="23"/>
      <c r="S7" s="21"/>
      <c r="T7" s="21"/>
    </row>
    <row r="8">
      <c r="A8" s="24"/>
      <c r="B8" s="25" t="s">
        <v>14</v>
      </c>
      <c r="C8" s="32">
        <f>SUMIFS('Raw Data'!$F:$F, 'Raw Data'!$B:$B, "Control", 'Raw Data'!$C:$C, "A. 0")</f>
        <v>2400.05</v>
      </c>
      <c r="D8" s="33">
        <f>SUMIFS('Raw Data'!$F:$F, 'Raw Data'!$B:$B, "Variant", 'Raw Data'!$C:$C, "A. 0")</f>
        <v>2067.13</v>
      </c>
      <c r="E8" s="34">
        <f t="shared" ref="E8:E11" si="1">IFERROR((D8-C8)/ABS(C8),"")</f>
        <v>-0.1387137768</v>
      </c>
      <c r="F8" s="35">
        <f>SUMIFS('Raw Data'!$F:$F, 'Raw Data'!$B:$B, "Control", 'Raw Data'!$C:$C, "B. 1-9")</f>
        <v>96065.51</v>
      </c>
      <c r="G8" s="33">
        <f>SUMIFS('Raw Data'!$F:$F, 'Raw Data'!$B:$B, "Variant", 'Raw Data'!$C:$C, "B. 1-9")</f>
        <v>94348.51</v>
      </c>
      <c r="H8" s="36">
        <f t="shared" ref="H8:H11" si="2">IFERROR((G8-F8)/ABS(F8),"")</f>
        <v>-0.01787322006</v>
      </c>
      <c r="I8" s="32">
        <f>SUMIFS('Raw Data'!$F:$F, 'Raw Data'!$B:$B, "Control", 'Raw Data'!$C:$C, "C. 10-19")</f>
        <v>208718.62</v>
      </c>
      <c r="J8" s="33">
        <f>SUMIFS('Raw Data'!$F:$F, 'Raw Data'!$B:$B, "Variant", 'Raw Data'!$C:$C, "C. 10-19")</f>
        <v>211098.24</v>
      </c>
      <c r="K8" s="34">
        <f t="shared" ref="K8:K11" si="3">IFERROR((J8-I8)/ABS(I8),"")</f>
        <v>0.0114010911</v>
      </c>
      <c r="L8" s="35">
        <f>SUMIFS('Raw Data'!$F:$F, 'Raw Data'!$B:$B, "Control", 'Raw Data'!$C:$C, "D. 20-39")</f>
        <v>263848.34</v>
      </c>
      <c r="M8" s="33">
        <f>SUMIFS('Raw Data'!$F:$F, 'Raw Data'!$B:$B, "Variant", 'Raw Data'!$C:$C, "D. 20-39")</f>
        <v>263600.45</v>
      </c>
      <c r="N8" s="36">
        <f t="shared" ref="N8:N11" si="4">IFERROR((M8-L8)/ABS(L8),"")</f>
        <v>-0.0009395169968</v>
      </c>
      <c r="O8" s="32">
        <f>SUMIFS('Raw Data'!$F:$F, 'Raw Data'!$B:$B, "Control", 'Raw Data'!$C:$C, "E. 40-99")</f>
        <v>222590.87</v>
      </c>
      <c r="P8" s="33">
        <f>SUMIFS('Raw Data'!$F:$F, 'Raw Data'!$B:$B, "Variant", 'Raw Data'!$C:$C, "E. 40-99")</f>
        <v>247929.7</v>
      </c>
      <c r="Q8" s="37">
        <f t="shared" ref="Q8:Q11" si="5">IFERROR((P8-O8)/ABS(O8),"")</f>
        <v>0.1138358909</v>
      </c>
      <c r="R8" s="35">
        <f>SUMIFS('Raw Data'!$F:$F, 'Raw Data'!$B:$B, "Control", 'Raw Data'!$C:$C, "F. 100+")</f>
        <v>42946.19</v>
      </c>
      <c r="S8" s="33">
        <f>SUMIFS('Raw Data'!$F:$F, 'Raw Data'!$B:$B, "Variant", 'Raw Data'!$C:$C, "F. 100+")</f>
        <v>54761.93</v>
      </c>
      <c r="T8" s="38">
        <f t="shared" ref="T8:T11" si="6">IFERROR((S8-R8)/ABS(R8),"")</f>
        <v>0.2751289462</v>
      </c>
    </row>
    <row r="9">
      <c r="A9" s="24"/>
      <c r="B9" s="25" t="s">
        <v>15</v>
      </c>
      <c r="C9" s="39">
        <f>IFERROR(SUMIFS('Raw Data'!$F:$F, 'Raw Data'!$B:$B, "Control", 'Raw Data'!$C:$C, "A. 0")/SUMIFS('Raw Data'!$D:$D, 'Raw Data'!$B:$B, "Control", 'Raw Data'!$C:$C, "A. 0"),"")</f>
        <v>0.005129517622</v>
      </c>
      <c r="D9" s="40">
        <f>IFERROR(SUMIFS('Raw Data'!$F:$F, 'Raw Data'!$B:$B, "Variant", 'Raw Data'!$C:$C, "A. 0")/SUMIFS('Raw Data'!$D:$D, 'Raw Data'!$B:$B, "Variant", 'Raw Data'!$C:$C, "A. 0"),"")</f>
        <v>0.004343668246</v>
      </c>
      <c r="E9" s="34">
        <f t="shared" si="1"/>
        <v>-0.1532014184</v>
      </c>
      <c r="F9" s="41">
        <f>IFERROR(SUMIFS('Raw Data'!$F:$F, 'Raw Data'!$B:$B, "Control", 'Raw Data'!$C:$C, "B. 1-9")/SUMIFS('Raw Data'!$D:$D, 'Raw Data'!$B:$B, "Control", 'Raw Data'!$C:$C, "B. 1-9"),"")</f>
        <v>0.1047753828</v>
      </c>
      <c r="G9" s="40">
        <f>IFERROR(SUMIFS('Raw Data'!$F:$F, 'Raw Data'!$B:$B, "Variant", 'Raw Data'!$C:$C, "B. 1-9")/SUMIFS('Raw Data'!$D:$D, 'Raw Data'!$B:$B, "Variant", 'Raw Data'!$C:$C, "B. 1-9"),"")</f>
        <v>0.1069968178</v>
      </c>
      <c r="H9" s="36">
        <f t="shared" si="2"/>
        <v>0.02120187942</v>
      </c>
      <c r="I9" s="39">
        <f>IFERROR(SUMIFS('Raw Data'!$F:$F, 'Raw Data'!$B:$B, "Control", 'Raw Data'!$C:$C, "C. 10-19")/SUMIFS('Raw Data'!$D:$D, 'Raw Data'!$B:$B, "Control", 'Raw Data'!$C:$C, "C. 10-19"),"")</f>
        <v>0.3781511201</v>
      </c>
      <c r="J9" s="40">
        <f>IFERROR(SUMIFS('Raw Data'!$F:$F, 'Raw Data'!$B:$B, "Variant", 'Raw Data'!$C:$C, "C. 10-19")/SUMIFS('Raw Data'!$D:$D, 'Raw Data'!$B:$B, "Variant", 'Raw Data'!$C:$C, "C. 10-19"),"")</f>
        <v>0.3818115127</v>
      </c>
      <c r="K9" s="34">
        <f t="shared" si="3"/>
        <v>0.009679708339</v>
      </c>
      <c r="L9" s="41">
        <f>IFERROR(SUMIFS('Raw Data'!$F:$F, 'Raw Data'!$B:$B, "Control", 'Raw Data'!$C:$C, "D. 20-39")/SUMIFS('Raw Data'!$D:$D, 'Raw Data'!$B:$B, "Control", 'Raw Data'!$C:$C, "D. 20-39"),"")</f>
        <v>0.8788675412</v>
      </c>
      <c r="M9" s="40">
        <f>IFERROR(SUMIFS('Raw Data'!$F:$F, 'Raw Data'!$B:$B, "Variant", 'Raw Data'!$C:$C, "D. 20-39")/SUMIFS('Raw Data'!$D:$D, 'Raw Data'!$B:$B, "Variant", 'Raw Data'!$C:$C, "D. 20-39"),"")</f>
        <v>0.8570950834</v>
      </c>
      <c r="N9" s="36">
        <f t="shared" si="4"/>
        <v>-0.02477330965</v>
      </c>
      <c r="O9" s="39">
        <f>IFERROR(SUMIFS('Raw Data'!$F:$F, 'Raw Data'!$B:$B, "Control", 'Raw Data'!$C:$C, "E. 40-99")/SUMIFS('Raw Data'!$D:$D, 'Raw Data'!$B:$B, "Control", 'Raw Data'!$C:$C, "E. 40-99"),"")</f>
        <v>1.856935597</v>
      </c>
      <c r="P9" s="40">
        <f>IFERROR(SUMIFS('Raw Data'!$F:$F, 'Raw Data'!$B:$B, "Variant", 'Raw Data'!$C:$C, "E. 40-99")/SUMIFS('Raw Data'!$D:$D, 'Raw Data'!$B:$B, "Variant", 'Raw Data'!$C:$C, "E. 40-99"),"")</f>
        <v>1.93543872</v>
      </c>
      <c r="Q9" s="37">
        <f t="shared" si="5"/>
        <v>0.04227563034</v>
      </c>
      <c r="R9" s="41">
        <f>IFERROR(SUMIFS('Raw Data'!$F:$F, 'Raw Data'!$B:$B, "Control", 'Raw Data'!$C:$C, "F. 100+")/SUMIFS('Raw Data'!$D:$D, 'Raw Data'!$B:$B, "Control", 'Raw Data'!$C:$C, "F. 100+"),"")</f>
        <v>3.292157148</v>
      </c>
      <c r="S9" s="40">
        <f>IFERROR(SUMIFS('Raw Data'!$F:$F, 'Raw Data'!$B:$B, "Variant", 'Raw Data'!$C:$C, "F. 100+")/SUMIFS('Raw Data'!$D:$D, 'Raw Data'!$B:$B, "Variant", 'Raw Data'!$C:$C, "F. 100+"),"")</f>
        <v>3.774602288</v>
      </c>
      <c r="T9" s="38">
        <f t="shared" si="6"/>
        <v>0.1465437761</v>
      </c>
    </row>
    <row r="10">
      <c r="A10" s="24"/>
      <c r="B10" s="25" t="s">
        <v>16</v>
      </c>
      <c r="C10" s="42">
        <f>IFERROR(SUMPRODUCT(('Raw Data'!$B$2:$B$9999="Control")*('Raw Data'!$C$2:$C$9999="A. 0")*'Raw Data'!$D$2:$D$9999*'Raw Data'!$H$2:$H$9999/100)/SUMIFS('Raw Data'!$D:$D, 'Raw Data'!$B:$B, "Control", 'Raw Data'!$C:$C, "A. 0")*100,"")</f>
        <v>0.1121930155</v>
      </c>
      <c r="D10" s="43">
        <f>IFERROR(SUMPRODUCT(('Raw Data'!$B$2:$B$9999="Variant")*('Raw Data'!$C$2:$C$9999="A. 0")*'Raw Data'!$D$2:$D$9999*'Raw Data'!$H$2:$H$9999/100)/SUMIFS('Raw Data'!$D:$D, 'Raw Data'!$B:$B, "Variant", 'Raw Data'!$C:$C, "A. 0")*100,"")</f>
        <v>0.1119309932</v>
      </c>
      <c r="E10" s="34">
        <f t="shared" si="1"/>
        <v>-0.002335459743</v>
      </c>
      <c r="F10" s="44">
        <f>IFERROR(SUMPRODUCT(('Raw Data'!$B$2:$B$9999="Control")*('Raw Data'!$C$2:$C$9999="B. 1-9")*'Raw Data'!$D$2:$D$9999*'Raw Data'!$H$2:$H$9999/100)/SUMIFS('Raw Data'!$D:$D, 'Raw Data'!$B:$B, "Control", 'Raw Data'!$C:$C, "B. 1-9")*100,"")</f>
        <v>3.100140401</v>
      </c>
      <c r="G10" s="43">
        <f>IFERROR(SUMPRODUCT(('Raw Data'!$B$2:$B$9999="Variant")*('Raw Data'!$C$2:$C$9999="B. 1-9")*'Raw Data'!$D$2:$D$9999*'Raw Data'!$H$2:$H$9999/100)/SUMIFS('Raw Data'!$D:$D, 'Raw Data'!$B:$B, "Variant", 'Raw Data'!$C:$C, "B. 1-9")*100,"")</f>
        <v>3.212305906</v>
      </c>
      <c r="H10" s="45">
        <f t="shared" si="2"/>
        <v>0.03618078209</v>
      </c>
      <c r="I10" s="42">
        <f>IFERROR(SUMPRODUCT(('Raw Data'!$B$2:$B$9999="Control")*('Raw Data'!$C$2:$C$9999="C. 10-19")*'Raw Data'!$D$2:$D$9999*'Raw Data'!$H$2:$H$9999/100)/SUMIFS('Raw Data'!$D:$D, 'Raw Data'!$B:$B, "Control", 'Raw Data'!$C:$C, "C. 10-19")*100,"")</f>
        <v>8.112646333</v>
      </c>
      <c r="J10" s="43">
        <f>IFERROR(SUMPRODUCT(('Raw Data'!$B$2:$B$9999="Variant")*('Raw Data'!$C$2:$C$9999="C. 10-19")*'Raw Data'!$D$2:$D$9999*'Raw Data'!$H$2:$H$9999/100)/SUMIFS('Raw Data'!$D:$D, 'Raw Data'!$B:$B, "Variant", 'Raw Data'!$C:$C, "C. 10-19")*100,"")</f>
        <v>8.128618721</v>
      </c>
      <c r="K10" s="37">
        <f t="shared" si="3"/>
        <v>0.001968825893</v>
      </c>
      <c r="L10" s="44">
        <f>IFERROR(SUMPRODUCT(('Raw Data'!$B$2:$B$9999="Control")*('Raw Data'!$C$2:$C$9999="D. 20-39")*'Raw Data'!$D$2:$D$9999*'Raw Data'!$H$2:$H$9999/100)/SUMIFS('Raw Data'!$D:$D, 'Raw Data'!$B:$B, "Control", 'Raw Data'!$C:$C, "D. 20-39")*100,"")</f>
        <v>11.95899015</v>
      </c>
      <c r="M10" s="43">
        <f>IFERROR(SUMPRODUCT(('Raw Data'!$B$2:$B$9999="Variant")*('Raw Data'!$C$2:$C$9999="D. 20-39")*'Raw Data'!$D$2:$D$9999*'Raw Data'!$H$2:$H$9999/100)/SUMIFS('Raw Data'!$D:$D, 'Raw Data'!$B:$B, "Variant", 'Raw Data'!$C:$C, "D. 20-39")*100,"")</f>
        <v>11.90955685</v>
      </c>
      <c r="N10" s="36">
        <f t="shared" si="4"/>
        <v>-0.004133568058</v>
      </c>
      <c r="O10" s="42">
        <f>IFERROR(SUMPRODUCT(('Raw Data'!$B$2:$B$9999="Control")*('Raw Data'!$C$2:$C$9999="E. 40-99")*'Raw Data'!$D$2:$D$9999*'Raw Data'!$H$2:$H$9999/100)/SUMIFS('Raw Data'!$D:$D, 'Raw Data'!$B:$B, "Control", 'Raw Data'!$C:$C, "E. 40-99")*100,"")</f>
        <v>15.08280946</v>
      </c>
      <c r="P10" s="43">
        <f>IFERROR(SUMPRODUCT(('Raw Data'!$B$2:$B$9999="Variant")*('Raw Data'!$C$2:$C$9999="E. 40-99")*'Raw Data'!$D$2:$D$9999*'Raw Data'!$H$2:$H$9999/100)/SUMIFS('Raw Data'!$D:$D, 'Raw Data'!$B:$B, "Variant", 'Raw Data'!$C:$C, "E. 40-99")*100,"")</f>
        <v>15.04284653</v>
      </c>
      <c r="Q10" s="37">
        <f t="shared" si="5"/>
        <v>-0.002649568318</v>
      </c>
      <c r="R10" s="44">
        <f>IFERROR(SUMPRODUCT(('Raw Data'!$B$2:$B$9999="Control")*('Raw Data'!$C$2:$C$9999="F. 100+")*'Raw Data'!$D$2:$D$9999*'Raw Data'!$H$2:$H$9999/100)/SUMIFS('Raw Data'!$D:$D, 'Raw Data'!$B:$B, "Control", 'Raw Data'!$C:$C, "F. 100+")*100,"")</f>
        <v>15.79905481</v>
      </c>
      <c r="S10" s="43">
        <f>IFERROR(SUMPRODUCT(('Raw Data'!$B$2:$B$9999="Variant")*('Raw Data'!$C$2:$C$9999="F. 100+")*'Raw Data'!$D$2:$D$9999*'Raw Data'!$H$2:$H$9999/100)/SUMIFS('Raw Data'!$D:$D, 'Raw Data'!$B:$B, "Variant", 'Raw Data'!$C:$C, "F. 100+")*100,"")</f>
        <v>16.98411566</v>
      </c>
      <c r="T10" s="38">
        <f t="shared" si="6"/>
        <v>0.07500833843</v>
      </c>
    </row>
    <row r="11">
      <c r="A11" s="24"/>
      <c r="B11" s="25" t="s">
        <v>17</v>
      </c>
      <c r="C11" s="39">
        <f>IFERROR(SUMIFS('Raw Data'!$F:$F, 'Raw Data'!$B:$B, "Control", 'Raw Data'!$C:$C, "A. 0")/SUMPRODUCT(('Raw Data'!$B$2:$B$9999="Control")*('Raw Data'!$C$2:$C$9999="A. 0")*'Raw Data'!$D$2:$D$9999*'Raw Data'!$H$2:$H$9999/100),"")</f>
        <v>4.5720472</v>
      </c>
      <c r="D11" s="40">
        <f>IFERROR(SUMIFS('Raw Data'!$F:$F, 'Raw Data'!$B:$B, "Variant", 'Raw Data'!$C:$C, "A. 0")/SUMPRODUCT(('Raw Data'!$B$2:$B$9999="Variant")*('Raw Data'!$C$2:$C$9999="A. 0")*'Raw Data'!$D$2:$D$9999*'Raw Data'!$H$2:$H$9999/100),"")</f>
        <v>3.880666224</v>
      </c>
      <c r="E11" s="34">
        <f t="shared" si="1"/>
        <v>-0.1512191249</v>
      </c>
      <c r="F11" s="41">
        <f>IFERROR(SUMIFS('Raw Data'!$F:$F, 'Raw Data'!$B:$B, "Control", 'Raw Data'!$C:$C, "B. 1-9")/SUMPRODUCT(('Raw Data'!$B$2:$B$9999="Control")*('Raw Data'!$C$2:$C$9999="B. 1-9")*'Raw Data'!$D$2:$D$9999*'Raw Data'!$H$2:$H$9999/100),"")</f>
        <v>3.379697989</v>
      </c>
      <c r="G11" s="40">
        <f>IFERROR(SUMIFS('Raw Data'!$F:$F, 'Raw Data'!$B:$B, "Variant", 'Raw Data'!$C:$C, "B. 1-9")/SUMPRODUCT(('Raw Data'!$B$2:$B$9999="Variant")*('Raw Data'!$C$2:$C$9999="B. 1-9")*'Raw Data'!$D$2:$D$9999*'Raw Data'!$H$2:$H$9999/100),"")</f>
        <v>3.330841488</v>
      </c>
      <c r="H11" s="36">
        <f t="shared" si="2"/>
        <v>-0.0144558777</v>
      </c>
      <c r="I11" s="39">
        <f>IFERROR(SUMIFS('Raw Data'!$F:$F, 'Raw Data'!$B:$B, "Control", 'Raw Data'!$C:$C, "C. 10-19")/SUMPRODUCT(('Raw Data'!$B$2:$B$9999="Control")*('Raw Data'!$C$2:$C$9999="C. 10-19")*'Raw Data'!$D$2:$D$9999*'Raw Data'!$H$2:$H$9999/100),"")</f>
        <v>4.661254844</v>
      </c>
      <c r="J11" s="40">
        <f>IFERROR(SUMIFS('Raw Data'!$F:$F, 'Raw Data'!$B:$B, "Variant", 'Raw Data'!$C:$C, "C. 10-19")/SUMPRODUCT(('Raw Data'!$B$2:$B$9999="Variant")*('Raw Data'!$C$2:$C$9999="C. 10-19")*'Raw Data'!$D$2:$D$9999*'Raw Data'!$H$2:$H$9999/100),"")</f>
        <v>4.697126607</v>
      </c>
      <c r="K11" s="34">
        <f t="shared" si="3"/>
        <v>0.007695730892</v>
      </c>
      <c r="L11" s="41">
        <f>IFERROR(SUMIFS('Raw Data'!$F:$F, 'Raw Data'!$B:$B, "Control", 'Raw Data'!$C:$C, "D. 20-39")/SUMPRODUCT(('Raw Data'!$B$2:$B$9999="Control")*('Raw Data'!$C$2:$C$9999="D. 20-39")*'Raw Data'!$D$2:$D$9999*'Raw Data'!$H$2:$H$9999/100),"")</f>
        <v>7.349011328</v>
      </c>
      <c r="M11" s="40">
        <f>IFERROR(SUMIFS('Raw Data'!$F:$F, 'Raw Data'!$B:$B, "Variant", 'Raw Data'!$C:$C, "D. 20-39")/SUMPRODUCT(('Raw Data'!$B$2:$B$9999="Variant")*('Raw Data'!$C$2:$C$9999="D. 20-39")*'Raw Data'!$D$2:$D$9999*'Raw Data'!$H$2:$H$9999/100),"")</f>
        <v>7.196700045</v>
      </c>
      <c r="N11" s="45">
        <f t="shared" si="4"/>
        <v>-0.02072541149</v>
      </c>
      <c r="O11" s="39">
        <f>IFERROR(SUMIFS('Raw Data'!$F:$F, 'Raw Data'!$B:$B, "Control", 'Raw Data'!$C:$C, "E. 40-99")/SUMPRODUCT(('Raw Data'!$B$2:$B$9999="Control")*('Raw Data'!$C$2:$C$9999="E. 40-99")*'Raw Data'!$D$2:$D$9999*'Raw Data'!$H$2:$H$9999/100),"")</f>
        <v>12.31160283</v>
      </c>
      <c r="P11" s="40">
        <f>IFERROR(SUMIFS('Raw Data'!$F:$F, 'Raw Data'!$B:$B, "Variant", 'Raw Data'!$C:$C, "E. 40-99")/SUMPRODUCT(('Raw Data'!$B$2:$B$9999="Variant")*('Raw Data'!$C$2:$C$9999="E. 40-99")*'Raw Data'!$D$2:$D$9999*'Raw Data'!$H$2:$H$9999/100),"")</f>
        <v>12.86617341</v>
      </c>
      <c r="Q11" s="37">
        <f t="shared" si="5"/>
        <v>0.04504454726</v>
      </c>
      <c r="R11" s="41">
        <f>IFERROR(SUMIFS('Raw Data'!$F:$F, 'Raw Data'!$B:$B, "Control", 'Raw Data'!$C:$C, "F. 100+")/SUMPRODUCT(('Raw Data'!$B$2:$B$9999="Control")*('Raw Data'!$C$2:$C$9999="F. 100+")*'Raw Data'!$D$2:$D$9999*'Raw Data'!$H$2:$H$9999/100),"")</f>
        <v>20.8376842</v>
      </c>
      <c r="S11" s="40">
        <f>IFERROR(SUMIFS('Raw Data'!$F:$F, 'Raw Data'!$B:$B, "Variant", 'Raw Data'!$C:$C, "F. 100+")/SUMPRODUCT(('Raw Data'!$B$2:$B$9999="Variant")*('Raw Data'!$C$2:$C$9999="F. 100+")*'Raw Data'!$D$2:$D$9999*'Raw Data'!$H$2:$H$9999/100),"")</f>
        <v>22.22430867</v>
      </c>
      <c r="T11" s="38">
        <f t="shared" si="6"/>
        <v>0.06654407703</v>
      </c>
    </row>
    <row r="12">
      <c r="A12" s="18" t="s">
        <v>18</v>
      </c>
      <c r="B12" s="19"/>
      <c r="C12" s="20"/>
      <c r="D12" s="21"/>
      <c r="E12" s="22"/>
      <c r="F12" s="23"/>
      <c r="G12" s="21"/>
      <c r="H12" s="19"/>
      <c r="I12" s="20"/>
      <c r="J12" s="21"/>
      <c r="K12" s="22"/>
      <c r="L12" s="23"/>
      <c r="M12" s="21"/>
      <c r="N12" s="19"/>
      <c r="O12" s="20"/>
      <c r="P12" s="21"/>
      <c r="Q12" s="22"/>
      <c r="R12" s="23"/>
      <c r="S12" s="21"/>
      <c r="T12" s="21"/>
    </row>
    <row r="13">
      <c r="A13" s="24"/>
      <c r="B13" s="25" t="s">
        <v>19</v>
      </c>
      <c r="C13" s="46">
        <f>IFERROR(SUMPRODUCT(('Raw Data'!$B$2:$B$9999="Control")*('Raw Data'!$C$2:$C$9999="A. 0")*'Raw Data'!$D$2:$D$9999*'Raw Data'!$J$2:$J$9999)/SUMIFS('Raw Data'!$D:$D, 'Raw Data'!$B:$B, "Control", 'Raw Data'!$C:$C, "A. 0"),"")</f>
        <v>6.430427408</v>
      </c>
      <c r="D13" s="47">
        <f>IFERROR(SUMPRODUCT(('Raw Data'!$B$2:$B$9999="Variant")*('Raw Data'!$C$2:$C$9999="A. 0")*'Raw Data'!$D$2:$D$9999*'Raw Data'!$J$2:$J$9999)/SUMIFS('Raw Data'!$D:$D, 'Raw Data'!$B:$B, "Variant", 'Raw Data'!$C:$C, "A. 0"),"")</f>
        <v>6.5687264</v>
      </c>
      <c r="E13" s="37">
        <f t="shared" ref="E13:E15" si="7">IFERROR((D13-C13)/ABS(C13),"")</f>
        <v>0.02150696724</v>
      </c>
      <c r="F13" s="48">
        <f>IFERROR(SUMPRODUCT(('Raw Data'!$B$2:$B$9999="Control")*('Raw Data'!$C$2:$C$9999="B. 1-9")*'Raw Data'!$D$2:$D$9999*'Raw Data'!$J$2:$J$9999)/SUMIFS('Raw Data'!$D:$D, 'Raw Data'!$B:$B, "Control", 'Raw Data'!$C:$C, "B. 1-9"),"")</f>
        <v>31.74587872</v>
      </c>
      <c r="G13" s="47">
        <f>IFERROR(SUMPRODUCT(('Raw Data'!$B$2:$B$9999="Variant")*('Raw Data'!$C$2:$C$9999="B. 1-9")*'Raw Data'!$D$2:$D$9999*'Raw Data'!$J$2:$J$9999)/SUMIFS('Raw Data'!$D:$D, 'Raw Data'!$B:$B, "Variant", 'Raw Data'!$C:$C, "B. 1-9"),"")</f>
        <v>32.63370427</v>
      </c>
      <c r="H13" s="36">
        <f t="shared" ref="H13:H15" si="8">IFERROR((G13-F13)/ABS(F13),"")</f>
        <v>0.02796663953</v>
      </c>
      <c r="I13" s="46">
        <f>IFERROR(SUMPRODUCT(('Raw Data'!$B$2:$B$9999="Control")*('Raw Data'!$C$2:$C$9999="C. 10-19")*'Raw Data'!$D$2:$D$9999*'Raw Data'!$J$2:$J$9999)/SUMIFS('Raw Data'!$D:$D, 'Raw Data'!$B:$B, "Control", 'Raw Data'!$C:$C, "C. 10-19"),"")</f>
        <v>57.82231856</v>
      </c>
      <c r="J13" s="47">
        <f>IFERROR(SUMPRODUCT(('Raw Data'!$B$2:$B$9999="Variant")*('Raw Data'!$C$2:$C$9999="C. 10-19")*'Raw Data'!$D$2:$D$9999*'Raw Data'!$J$2:$J$9999)/SUMIFS('Raw Data'!$D:$D, 'Raw Data'!$B:$B, "Variant", 'Raw Data'!$C:$C, "C. 10-19"),"")</f>
        <v>59.49758916</v>
      </c>
      <c r="K13" s="34">
        <f t="shared" ref="K13:K15" si="9">IFERROR((J13-I13)/ABS(I13),"")</f>
        <v>0.02897273296</v>
      </c>
      <c r="L13" s="48">
        <f>IFERROR(SUMPRODUCT(('Raw Data'!$B$2:$B$9999="Control")*('Raw Data'!$C$2:$C$9999="D. 20-39")*'Raw Data'!$D$2:$D$9999*'Raw Data'!$J$2:$J$9999)/SUMIFS('Raw Data'!$D:$D, 'Raw Data'!$B:$B, "Control", 'Raw Data'!$C:$C, "D. 20-39"),"")</f>
        <v>83.01158417</v>
      </c>
      <c r="M13" s="47">
        <f>IFERROR(SUMPRODUCT(('Raw Data'!$B$2:$B$9999="Variant")*('Raw Data'!$C$2:$C$9999="D. 20-39")*'Raw Data'!$D$2:$D$9999*'Raw Data'!$J$2:$J$9999)/SUMIFS('Raw Data'!$D:$D, 'Raw Data'!$B:$B, "Variant", 'Raw Data'!$C:$C, "D. 20-39"),"")</f>
        <v>84.75742544</v>
      </c>
      <c r="N13" s="36">
        <f t="shared" ref="N13:N15" si="10">IFERROR((M13-L13)/ABS(L13),"")</f>
        <v>0.02103129681</v>
      </c>
      <c r="O13" s="46">
        <f>IFERROR(SUMPRODUCT(('Raw Data'!$B$2:$B$9999="Control")*('Raw Data'!$C$2:$C$9999="E. 40-99")*'Raw Data'!$D$2:$D$9999*'Raw Data'!$J$2:$J$9999)/SUMIFS('Raw Data'!$D:$D, 'Raw Data'!$B:$B, "Control", 'Raw Data'!$C:$C, "E. 40-99"),"")</f>
        <v>130.8358207</v>
      </c>
      <c r="P13" s="47">
        <f>IFERROR(SUMPRODUCT(('Raw Data'!$B$2:$B$9999="Variant")*('Raw Data'!$C$2:$C$9999="E. 40-99")*'Raw Data'!$D$2:$D$9999*'Raw Data'!$J$2:$J$9999)/SUMIFS('Raw Data'!$D:$D, 'Raw Data'!$B:$B, "Variant", 'Raw Data'!$C:$C, "E. 40-99"),"")</f>
        <v>132.9085365</v>
      </c>
      <c r="Q13" s="34">
        <f t="shared" ref="Q13:Q15" si="11">IFERROR((P13-O13)/ABS(O13),"")</f>
        <v>0.01584211266</v>
      </c>
      <c r="R13" s="48">
        <f>IFERROR(SUMPRODUCT(('Raw Data'!$B$2:$B$9999="Control")*('Raw Data'!$C$2:$C$9999="F. 100+")*'Raw Data'!$D$2:$D$9999*'Raw Data'!$J$2:$J$9999)/SUMIFS('Raw Data'!$D:$D, 'Raw Data'!$B:$B, "Control", 'Raw Data'!$C:$C, "F. 100+"),"")</f>
        <v>243.4056029</v>
      </c>
      <c r="S13" s="47">
        <f>IFERROR(SUMPRODUCT(('Raw Data'!$B$2:$B$9999="Variant")*('Raw Data'!$C$2:$C$9999="F. 100+")*'Raw Data'!$D$2:$D$9999*'Raw Data'!$J$2:$J$9999)/SUMIFS('Raw Data'!$D:$D, 'Raw Data'!$B:$B, "Variant", 'Raw Data'!$C:$C, "F. 100+"),"")</f>
        <v>248.6278191</v>
      </c>
      <c r="T13" s="38">
        <f t="shared" ref="T13:T15" si="12">IFERROR((S13-R13)/ABS(R13),"")</f>
        <v>0.02145479052</v>
      </c>
    </row>
    <row r="14">
      <c r="A14" s="24"/>
      <c r="B14" s="25" t="s">
        <v>20</v>
      </c>
      <c r="C14" s="46">
        <f>IFERROR(SUMPRODUCT(('Raw Data'!$B$2:$B$9999="Control")*('Raw Data'!$C$2:$C$9999="A. 0")*'Raw Data'!$D$2:$D$9999*'Raw Data'!$K$2:$K$9999)/SUMIFS('Raw Data'!$D:$D, 'Raw Data'!$B:$B, "Control", 'Raw Data'!$C:$C, "A. 0"),"")</f>
        <v>2.725853299</v>
      </c>
      <c r="D14" s="47">
        <f>IFERROR(SUMPRODUCT(('Raw Data'!$B$2:$B$9999="Variant")*('Raw Data'!$C$2:$C$9999="A. 0")*'Raw Data'!$D$2:$D$9999*'Raw Data'!$K$2:$K$9999)/SUMIFS('Raw Data'!$D:$D, 'Raw Data'!$B:$B, "Variant", 'Raw Data'!$C:$C, "A. 0"),"")</f>
        <v>2.813120142</v>
      </c>
      <c r="E14" s="37">
        <f t="shared" si="7"/>
        <v>0.03201450468</v>
      </c>
      <c r="F14" s="48">
        <f>IFERROR(SUMPRODUCT(('Raw Data'!$B$2:$B$9999="Control")*('Raw Data'!$C$2:$C$9999="B. 1-9")*'Raw Data'!$D$2:$D$9999*'Raw Data'!$K$2:$K$9999)/SUMIFS('Raw Data'!$D:$D, 'Raw Data'!$B:$B, "Control", 'Raw Data'!$C:$C, "B. 1-9"),"")</f>
        <v>15.65714927</v>
      </c>
      <c r="G14" s="47">
        <f>IFERROR(SUMPRODUCT(('Raw Data'!$B$2:$B$9999="Variant")*('Raw Data'!$C$2:$C$9999="B. 1-9")*'Raw Data'!$D$2:$D$9999*'Raw Data'!$K$2:$K$9999)/SUMIFS('Raw Data'!$D:$D, 'Raw Data'!$B:$B, "Variant", 'Raw Data'!$C:$C, "B. 1-9"),"")</f>
        <v>16.04256118</v>
      </c>
      <c r="H14" s="36">
        <f t="shared" si="8"/>
        <v>0.02461571414</v>
      </c>
      <c r="I14" s="46">
        <f>IFERROR(SUMPRODUCT(('Raw Data'!$B$2:$B$9999="Control")*('Raw Data'!$C$2:$C$9999="C. 10-19")*'Raw Data'!$D$2:$D$9999*'Raw Data'!$K$2:$K$9999)/SUMIFS('Raw Data'!$D:$D, 'Raw Data'!$B:$B, "Control", 'Raw Data'!$C:$C, "C. 10-19"),"")</f>
        <v>29.56553042</v>
      </c>
      <c r="J14" s="47">
        <f>IFERROR(SUMPRODUCT(('Raw Data'!$B$2:$B$9999="Variant")*('Raw Data'!$C$2:$C$9999="C. 10-19")*'Raw Data'!$D$2:$D$9999*'Raw Data'!$K$2:$K$9999)/SUMIFS('Raw Data'!$D:$D, 'Raw Data'!$B:$B, "Variant", 'Raw Data'!$C:$C, "C. 10-19"),"")</f>
        <v>30.44217819</v>
      </c>
      <c r="K14" s="37">
        <f t="shared" si="9"/>
        <v>0.0296510075</v>
      </c>
      <c r="L14" s="48">
        <f>IFERROR(SUMPRODUCT(('Raw Data'!$B$2:$B$9999="Control")*('Raw Data'!$C$2:$C$9999="D. 20-39")*'Raw Data'!$D$2:$D$9999*'Raw Data'!$K$2:$K$9999)/SUMIFS('Raw Data'!$D:$D, 'Raw Data'!$B:$B, "Control", 'Raw Data'!$C:$C, "D. 20-39"),"")</f>
        <v>44.61533136</v>
      </c>
      <c r="M14" s="47">
        <f>IFERROR(SUMPRODUCT(('Raw Data'!$B$2:$B$9999="Variant")*('Raw Data'!$C$2:$C$9999="D. 20-39")*'Raw Data'!$D$2:$D$9999*'Raw Data'!$K$2:$K$9999)/SUMIFS('Raw Data'!$D:$D, 'Raw Data'!$B:$B, "Variant", 'Raw Data'!$C:$C, "D. 20-39"),"")</f>
        <v>45.51022435</v>
      </c>
      <c r="N14" s="36">
        <f t="shared" si="10"/>
        <v>0.02005797025</v>
      </c>
      <c r="O14" s="46">
        <f>IFERROR(SUMPRODUCT(('Raw Data'!$B$2:$B$9999="Control")*('Raw Data'!$C$2:$C$9999="E. 40-99")*'Raw Data'!$D$2:$D$9999*'Raw Data'!$K$2:$K$9999)/SUMIFS('Raw Data'!$D:$D, 'Raw Data'!$B:$B, "Control", 'Raw Data'!$C:$C, "E. 40-99"),"")</f>
        <v>74.56166572</v>
      </c>
      <c r="P14" s="47">
        <f>IFERROR(SUMPRODUCT(('Raw Data'!$B$2:$B$9999="Variant")*('Raw Data'!$C$2:$C$9999="E. 40-99")*'Raw Data'!$D$2:$D$9999*'Raw Data'!$K$2:$K$9999)/SUMIFS('Raw Data'!$D:$D, 'Raw Data'!$B:$B, "Variant", 'Raw Data'!$C:$C, "E. 40-99"),"")</f>
        <v>75.53694778</v>
      </c>
      <c r="Q14" s="34">
        <f t="shared" si="11"/>
        <v>0.01308020743</v>
      </c>
      <c r="R14" s="48">
        <f>IFERROR(SUMPRODUCT(('Raw Data'!$B$2:$B$9999="Control")*('Raw Data'!$C$2:$C$9999="F. 100+")*'Raw Data'!$D$2:$D$9999*'Raw Data'!$K$2:$K$9999)/SUMIFS('Raw Data'!$D:$D, 'Raw Data'!$B:$B, "Control", 'Raw Data'!$C:$C, "F. 100+"),"")</f>
        <v>149.754545</v>
      </c>
      <c r="S14" s="47">
        <f>IFERROR(SUMPRODUCT(('Raw Data'!$B$2:$B$9999="Variant")*('Raw Data'!$C$2:$C$9999="F. 100+")*'Raw Data'!$D$2:$D$9999*'Raw Data'!$K$2:$K$9999)/SUMIFS('Raw Data'!$D:$D, 'Raw Data'!$B:$B, "Variant", 'Raw Data'!$C:$C, "F. 100+"),"")</f>
        <v>149.9343535</v>
      </c>
      <c r="T14" s="49">
        <f t="shared" si="12"/>
        <v>0.00120068759</v>
      </c>
    </row>
    <row r="15">
      <c r="A15" s="24"/>
      <c r="B15" s="25" t="s">
        <v>21</v>
      </c>
      <c r="C15" s="46">
        <f>IFERROR(SUMPRODUCT(('Raw Data'!$B$2:$B$9999="Control")*('Raw Data'!$C$2:$C$9999="A. 0")*'Raw Data'!$D$2:$D$9999*'Raw Data'!$L$2:$L$9999)/SUMIFS('Raw Data'!$D:$D, 'Raw Data'!$B:$B, "Control", 'Raw Data'!$C:$C, "A. 0"),"")</f>
        <v>0.05889783924</v>
      </c>
      <c r="D15" s="47">
        <f>IFERROR(SUMPRODUCT(('Raw Data'!$B$2:$B$9999="Variant")*('Raw Data'!$C$2:$C$9999="A. 0")*'Raw Data'!$D$2:$D$9999*'Raw Data'!$L$2:$L$9999)/SUMIFS('Raw Data'!$D:$D, 'Raw Data'!$B:$B, "Variant", 'Raw Data'!$C:$C, "A. 0"),"")</f>
        <v>0.06385234138</v>
      </c>
      <c r="E15" s="28">
        <f t="shared" si="7"/>
        <v>0.08412027005</v>
      </c>
      <c r="F15" s="48">
        <f>IFERROR(SUMPRODUCT(('Raw Data'!$B$2:$B$9999="Control")*('Raw Data'!$C$2:$C$9999="B. 1-9")*'Raw Data'!$D$2:$D$9999*'Raw Data'!$L$2:$L$9999)/SUMIFS('Raw Data'!$D:$D, 'Raw Data'!$B:$B, "Control", 'Raw Data'!$C:$C, "B. 1-9"),"")</f>
        <v>5.587898243</v>
      </c>
      <c r="G15" s="47">
        <f>IFERROR(SUMPRODUCT(('Raw Data'!$B$2:$B$9999="Variant")*('Raw Data'!$C$2:$C$9999="B. 1-9")*'Raw Data'!$D$2:$D$9999*'Raw Data'!$L$2:$L$9999)/SUMIFS('Raw Data'!$D:$D, 'Raw Data'!$B:$B, "Variant", 'Raw Data'!$C:$C, "B. 1-9"),"")</f>
        <v>5.604236755</v>
      </c>
      <c r="H15" s="36">
        <f t="shared" si="8"/>
        <v>0.002923910129</v>
      </c>
      <c r="I15" s="46">
        <f>IFERROR(SUMPRODUCT(('Raw Data'!$B$2:$B$9999="Control")*('Raw Data'!$C$2:$C$9999="C. 10-19")*'Raw Data'!$D$2:$D$9999*'Raw Data'!$L$2:$L$9999)/SUMIFS('Raw Data'!$D:$D, 'Raw Data'!$B:$B, "Control", 'Raw Data'!$C:$C, "C. 10-19"),"")</f>
        <v>14.43273612</v>
      </c>
      <c r="J15" s="47">
        <f>IFERROR(SUMPRODUCT(('Raw Data'!$B$2:$B$9999="Variant")*('Raw Data'!$C$2:$C$9999="C. 10-19")*'Raw Data'!$D$2:$D$9999*'Raw Data'!$L$2:$L$9999)/SUMIFS('Raw Data'!$D:$D, 'Raw Data'!$B:$B, "Variant", 'Raw Data'!$C:$C, "C. 10-19"),"")</f>
        <v>14.51533278</v>
      </c>
      <c r="K15" s="34">
        <f t="shared" si="9"/>
        <v>0.005722868921</v>
      </c>
      <c r="L15" s="48">
        <f>IFERROR(SUMPRODUCT(('Raw Data'!$B$2:$B$9999="Control")*('Raw Data'!$C$2:$C$9999="D. 20-39")*'Raw Data'!$D$2:$D$9999*'Raw Data'!$L$2:$L$9999)/SUMIFS('Raw Data'!$D:$D, 'Raw Data'!$B:$B, "Control", 'Raw Data'!$C:$C, "D. 20-39"),"")</f>
        <v>27.73421882</v>
      </c>
      <c r="M15" s="47">
        <f>IFERROR(SUMPRODUCT(('Raw Data'!$B$2:$B$9999="Variant")*('Raw Data'!$C$2:$C$9999="D. 20-39")*'Raw Data'!$D$2:$D$9999*'Raw Data'!$L$2:$L$9999)/SUMIFS('Raw Data'!$D:$D, 'Raw Data'!$B:$B, "Variant", 'Raw Data'!$C:$C, "D. 20-39"),"")</f>
        <v>28.08371818</v>
      </c>
      <c r="N15" s="36">
        <f t="shared" si="10"/>
        <v>0.01260173789</v>
      </c>
      <c r="O15" s="46">
        <f>IFERROR(SUMPRODUCT(('Raw Data'!$B$2:$B$9999="Control")*('Raw Data'!$C$2:$C$9999="E. 40-99")*'Raw Data'!$D$2:$D$9999*'Raw Data'!$L$2:$L$9999)/SUMIFS('Raw Data'!$D:$D, 'Raw Data'!$B:$B, "Control", 'Raw Data'!$C:$C, "E. 40-99"),"")</f>
        <v>56.0891379</v>
      </c>
      <c r="P15" s="47">
        <f>IFERROR(SUMPRODUCT(('Raw Data'!$B$2:$B$9999="Variant")*('Raw Data'!$C$2:$C$9999="E. 40-99")*'Raw Data'!$D$2:$D$9999*'Raw Data'!$L$2:$L$9999)/SUMIFS('Raw Data'!$D:$D, 'Raw Data'!$B:$B, "Variant", 'Raw Data'!$C:$C, "E. 40-99"),"")</f>
        <v>56.90665675</v>
      </c>
      <c r="Q15" s="34">
        <f t="shared" si="11"/>
        <v>0.01457535066</v>
      </c>
      <c r="R15" s="48">
        <f>IFERROR(SUMPRODUCT(('Raw Data'!$B$2:$B$9999="Control")*('Raw Data'!$C$2:$C$9999="F. 100+")*'Raw Data'!$D$2:$D$9999*'Raw Data'!$L$2:$L$9999)/SUMIFS('Raw Data'!$D:$D, 'Raw Data'!$B:$B, "Control", 'Raw Data'!$C:$C, "F. 100+"),"")</f>
        <v>126.954417</v>
      </c>
      <c r="S15" s="47">
        <f>IFERROR(SUMPRODUCT(('Raw Data'!$B$2:$B$9999="Variant")*('Raw Data'!$C$2:$C$9999="F. 100+")*'Raw Data'!$D$2:$D$9999*'Raw Data'!$L$2:$L$9999)/SUMIFS('Raw Data'!$D:$D, 'Raw Data'!$B:$B, "Variant", 'Raw Data'!$C:$C, "F. 100+"),"")</f>
        <v>126.3677433</v>
      </c>
      <c r="T15" s="49">
        <f t="shared" si="12"/>
        <v>-0.004621136608</v>
      </c>
    </row>
    <row r="16" ht="15.75" customHeight="1">
      <c r="A16" s="18" t="s">
        <v>22</v>
      </c>
      <c r="B16" s="19"/>
      <c r="C16" s="20"/>
      <c r="D16" s="21"/>
      <c r="E16" s="22"/>
      <c r="F16" s="23"/>
      <c r="G16" s="21"/>
      <c r="H16" s="19"/>
      <c r="I16" s="20"/>
      <c r="J16" s="21"/>
      <c r="K16" s="22"/>
      <c r="L16" s="23"/>
      <c r="M16" s="21"/>
      <c r="N16" s="19"/>
      <c r="O16" s="20"/>
      <c r="P16" s="21"/>
      <c r="Q16" s="22"/>
      <c r="R16" s="23"/>
      <c r="S16" s="21"/>
      <c r="T16" s="21"/>
    </row>
    <row r="17" ht="15.75" customHeight="1">
      <c r="A17" s="24"/>
      <c r="B17" s="25" t="s">
        <v>23</v>
      </c>
      <c r="C17" s="46">
        <f>IFERROR(SUMPRODUCT(('Raw Data'!$B$2:$B$9999="Control")*('Raw Data'!$C$2:$C$9999="A. 0")*'Raw Data'!$D$2:$D$9999*'Raw Data'!$AD$2:$AD$9999)/SUMIFS('Raw Data'!$D:$D, 'Raw Data'!$B:$B, "Control", 'Raw Data'!$C:$C, "A. 0"),"")</f>
        <v>0</v>
      </c>
      <c r="D17" s="47">
        <f>IFERROR(SUMPRODUCT(('Raw Data'!$B$2:$B$9999="Variant")*('Raw Data'!$C$2:$C$9999="A. 0")*'Raw Data'!$D$2:$D$9999*'Raw Data'!$AD$2:$AD$9999)/SUMIFS('Raw Data'!$D:$D, 'Raw Data'!$B:$B, "Variant", 'Raw Data'!$C:$C, "A. 0"),"")</f>
        <v>0</v>
      </c>
      <c r="E17" s="28" t="str">
        <f t="shared" ref="E17:E21" si="13">IFERROR((D17-C17)/ABS(C17),"")</f>
        <v/>
      </c>
      <c r="F17" s="48">
        <f>IFERROR(SUMPRODUCT(('Raw Data'!$B$2:$B$9999="Control")*('Raw Data'!$C$2:$C$9999="B. 1-9")*'Raw Data'!$D$2:$D$9999*'Raw Data'!$AD$2:$AD$9999)/SUMIFS('Raw Data'!$D:$D, 'Raw Data'!$B:$B, "Control", 'Raw Data'!$C:$C, "B. 1-9"),"")</f>
        <v>3.85042596</v>
      </c>
      <c r="G17" s="47">
        <f>IFERROR(SUMPRODUCT(('Raw Data'!$B$2:$B$9999="Variant")*('Raw Data'!$C$2:$C$9999="B. 1-9")*'Raw Data'!$D$2:$D$9999*'Raw Data'!$AD$2:$AD$9999)/SUMIFS('Raw Data'!$D:$D, 'Raw Data'!$B:$B, "Variant", 'Raw Data'!$C:$C, "B. 1-9"),"")</f>
        <v>3.836234889</v>
      </c>
      <c r="H17" s="36">
        <f t="shared" ref="H17:H21" si="14">IFERROR((G17-F17)/ABS(F17),"")</f>
        <v>-0.003685584682</v>
      </c>
      <c r="I17" s="46">
        <f>IFERROR(SUMPRODUCT(('Raw Data'!$B$2:$B$9999="Control")*('Raw Data'!$C$2:$C$9999="C. 10-19")*'Raw Data'!$D$2:$D$9999*'Raw Data'!$AD$2:$AD$9999)/SUMIFS('Raw Data'!$D:$D, 'Raw Data'!$B:$B, "Control", 'Raw Data'!$C:$C, "C. 10-19"),"")</f>
        <v>9.356295754</v>
      </c>
      <c r="J17" s="47">
        <f>IFERROR(SUMPRODUCT(('Raw Data'!$B$2:$B$9999="Variant")*('Raw Data'!$C$2:$C$9999="C. 10-19")*'Raw Data'!$D$2:$D$9999*'Raw Data'!$AD$2:$AD$9999)/SUMIFS('Raw Data'!$D:$D, 'Raw Data'!$B:$B, "Variant", 'Raw Data'!$C:$C, "C. 10-19"),"")</f>
        <v>9.373065243</v>
      </c>
      <c r="K17" s="34">
        <f t="shared" ref="K17:K21" si="15">IFERROR((J17-I17)/ABS(I17),"")</f>
        <v>0.001792321389</v>
      </c>
      <c r="L17" s="48">
        <f>IFERROR(SUMPRODUCT(('Raw Data'!$B$2:$B$9999="Control")*('Raw Data'!$C$2:$C$9999="D. 20-39")*'Raw Data'!$D$2:$D$9999*'Raw Data'!$AD$2:$AD$9999)/SUMIFS('Raw Data'!$D:$D, 'Raw Data'!$B:$B, "Control", 'Raw Data'!$C:$C, "D. 20-39"),"")</f>
        <v>18.11388799</v>
      </c>
      <c r="M17" s="47">
        <f>IFERROR(SUMPRODUCT(('Raw Data'!$B$2:$B$9999="Variant")*('Raw Data'!$C$2:$C$9999="D. 20-39")*'Raw Data'!$D$2:$D$9999*'Raw Data'!$AD$2:$AD$9999)/SUMIFS('Raw Data'!$D:$D, 'Raw Data'!$B:$B, "Variant", 'Raw Data'!$C:$C, "D. 20-39"),"")</f>
        <v>18.38929986</v>
      </c>
      <c r="N17" s="36">
        <f t="shared" ref="N17:N21" si="16">IFERROR((M17-L17)/ABS(L17),"")</f>
        <v>0.01520445875</v>
      </c>
      <c r="O17" s="46">
        <f>IFERROR(SUMPRODUCT(('Raw Data'!$B$2:$B$9999="Control")*('Raw Data'!$C$2:$C$9999="E. 40-99")*'Raw Data'!$D$2:$D$9999*'Raw Data'!$AD$2:$AD$9999)/SUMIFS('Raw Data'!$D:$D, 'Raw Data'!$B:$B, "Control", 'Raw Data'!$C:$C, "E. 40-99"),"")</f>
        <v>37.80473455</v>
      </c>
      <c r="P17" s="47">
        <f>IFERROR(SUMPRODUCT(('Raw Data'!$B$2:$B$9999="Variant")*('Raw Data'!$C$2:$C$9999="E. 40-99")*'Raw Data'!$D$2:$D$9999*'Raw Data'!$AD$2:$AD$9999)/SUMIFS('Raw Data'!$D:$D, 'Raw Data'!$B:$B, "Variant", 'Raw Data'!$C:$C, "E. 40-99"),"")</f>
        <v>39.02769391</v>
      </c>
      <c r="Q17" s="34">
        <f t="shared" ref="Q17:Q21" si="17">IFERROR((P17-O17)/ABS(O17),"")</f>
        <v>0.03234937052</v>
      </c>
      <c r="R17" s="48">
        <f>IFERROR(SUMPRODUCT(('Raw Data'!$B$2:$B$9999="Control")*('Raw Data'!$C$2:$C$9999="F. 100+")*'Raw Data'!$D$2:$D$9999*'Raw Data'!$AD$2:$AD$9999)/SUMIFS('Raw Data'!$D:$D, 'Raw Data'!$B:$B, "Control", 'Raw Data'!$C:$C, "F. 100+"),"")</f>
        <v>88.1908854</v>
      </c>
      <c r="S17" s="47">
        <f>IFERROR(SUMPRODUCT(('Raw Data'!$B$2:$B$9999="Variant")*('Raw Data'!$C$2:$C$9999="F. 100+")*'Raw Data'!$D$2:$D$9999*'Raw Data'!$AD$2:$AD$9999)/SUMIFS('Raw Data'!$D:$D, 'Raw Data'!$B:$B, "Variant", 'Raw Data'!$C:$C, "F. 100+"),"")</f>
        <v>88.69766198</v>
      </c>
      <c r="T17" s="38">
        <f t="shared" ref="T17:T21" si="18">IFERROR((S17-R17)/ABS(R17),"")</f>
        <v>0.005746360076</v>
      </c>
    </row>
    <row r="18" ht="15.75" customHeight="1">
      <c r="A18" s="24"/>
      <c r="B18" s="25" t="s">
        <v>24</v>
      </c>
      <c r="C18" s="46">
        <f>IFERROR(SUMPRODUCT(('Raw Data'!$B$2:$B$9999="Control")*('Raw Data'!$C$2:$C$9999="A. 0")*'Raw Data'!$D$2:$D$9999*'Raw Data'!$AE$2:$AE$9999)/SUMIFS('Raw Data'!$D:$D, 'Raw Data'!$B:$B, "Control", 'Raw Data'!$C:$C, "A. 0"),"")</f>
        <v>0</v>
      </c>
      <c r="D18" s="47">
        <f>IFERROR(SUMPRODUCT(('Raw Data'!$B$2:$B$9999="Variant")*('Raw Data'!$C$2:$C$9999="A. 0")*'Raw Data'!$D$2:$D$9999*'Raw Data'!$AE$2:$AE$9999)/SUMIFS('Raw Data'!$D:$D, 'Raw Data'!$B:$B, "Variant", 'Raw Data'!$C:$C, "A. 0"),"")</f>
        <v>0</v>
      </c>
      <c r="E18" s="28" t="str">
        <f t="shared" si="13"/>
        <v/>
      </c>
      <c r="F18" s="48">
        <f>IFERROR(SUMPRODUCT(('Raw Data'!$B$2:$B$9999="Control")*('Raw Data'!$C$2:$C$9999="B. 1-9")*'Raw Data'!$D$2:$D$9999*'Raw Data'!$AE$2:$AE$9999)/SUMIFS('Raw Data'!$D:$D, 'Raw Data'!$B:$B, "Control", 'Raw Data'!$C:$C, "B. 1-9"),"")</f>
        <v>1</v>
      </c>
      <c r="G18" s="47">
        <f>IFERROR(SUMPRODUCT(('Raw Data'!$B$2:$B$9999="Variant")*('Raw Data'!$C$2:$C$9999="B. 1-9")*'Raw Data'!$D$2:$D$9999*'Raw Data'!$AE$2:$AE$9999)/SUMIFS('Raw Data'!$D:$D, 'Raw Data'!$B:$B, "Variant", 'Raw Data'!$C:$C, "B. 1-9"),"")</f>
        <v>1</v>
      </c>
      <c r="H18" s="30">
        <f t="shared" si="14"/>
        <v>0</v>
      </c>
      <c r="I18" s="46">
        <f>IFERROR(SUMPRODUCT(('Raw Data'!$B$2:$B$9999="Control")*('Raw Data'!$C$2:$C$9999="C. 10-19")*'Raw Data'!$D$2:$D$9999*'Raw Data'!$AE$2:$AE$9999)/SUMIFS('Raw Data'!$D:$D, 'Raw Data'!$B:$B, "Control", 'Raw Data'!$C:$C, "C. 10-19"),"")</f>
        <v>3.105608349</v>
      </c>
      <c r="J18" s="47">
        <f>IFERROR(SUMPRODUCT(('Raw Data'!$B$2:$B$9999="Variant")*('Raw Data'!$C$2:$C$9999="C. 10-19")*'Raw Data'!$D$2:$D$9999*'Raw Data'!$AE$2:$AE$9999)/SUMIFS('Raw Data'!$D:$D, 'Raw Data'!$B:$B, "Variant", 'Raw Data'!$C:$C, "C. 10-19"),"")</f>
        <v>3.070797597</v>
      </c>
      <c r="K18" s="34">
        <f t="shared" si="15"/>
        <v>-0.01120899616</v>
      </c>
      <c r="L18" s="48">
        <f>IFERROR(SUMPRODUCT(('Raw Data'!$B$2:$B$9999="Control")*('Raw Data'!$C$2:$C$9999="D. 20-39")*'Raw Data'!$D$2:$D$9999*'Raw Data'!$AE$2:$AE$9999)/SUMIFS('Raw Data'!$D:$D, 'Raw Data'!$B:$B, "Control", 'Raw Data'!$C:$C, "D. 20-39"),"")</f>
        <v>6.949492695</v>
      </c>
      <c r="M18" s="47">
        <f>IFERROR(SUMPRODUCT(('Raw Data'!$B$2:$B$9999="Variant")*('Raw Data'!$C$2:$C$9999="D. 20-39")*'Raw Data'!$D$2:$D$9999*'Raw Data'!$AE$2:$AE$9999)/SUMIFS('Raw Data'!$D:$D, 'Raw Data'!$B:$B, "Variant", 'Raw Data'!$C:$C, "D. 20-39"),"")</f>
        <v>6.750298325</v>
      </c>
      <c r="N18" s="45">
        <f t="shared" si="16"/>
        <v>-0.02866315276</v>
      </c>
      <c r="O18" s="46">
        <f>IFERROR(SUMPRODUCT(('Raw Data'!$B$2:$B$9999="Control")*('Raw Data'!$C$2:$C$9999="E. 40-99")*'Raw Data'!$D$2:$D$9999*'Raw Data'!$AE$2:$AE$9999)/SUMIFS('Raw Data'!$D:$D, 'Raw Data'!$B:$B, "Control", 'Raw Data'!$C:$C, "E. 40-99"),"")</f>
        <v>14.68153833</v>
      </c>
      <c r="P18" s="47">
        <f>IFERROR(SUMPRODUCT(('Raw Data'!$B$2:$B$9999="Variant")*('Raw Data'!$C$2:$C$9999="E. 40-99")*'Raw Data'!$D$2:$D$9999*'Raw Data'!$AE$2:$AE$9999)/SUMIFS('Raw Data'!$D:$D, 'Raw Data'!$B:$B, "Variant", 'Raw Data'!$C:$C, "E. 40-99"),"")</f>
        <v>15.01296643</v>
      </c>
      <c r="Q18" s="34">
        <f t="shared" si="17"/>
        <v>0.0225744804</v>
      </c>
      <c r="R18" s="48">
        <f>IFERROR(SUMPRODUCT(('Raw Data'!$B$2:$B$9999="Control")*('Raw Data'!$C$2:$C$9999="F. 100+")*'Raw Data'!$D$2:$D$9999*'Raw Data'!$AE$2:$AE$9999)/SUMIFS('Raw Data'!$D:$D, 'Raw Data'!$B:$B, "Control", 'Raw Data'!$C:$C, "F. 100+"),"")</f>
        <v>35.2268302</v>
      </c>
      <c r="S18" s="47">
        <f>IFERROR(SUMPRODUCT(('Raw Data'!$B$2:$B$9999="Variant")*('Raw Data'!$C$2:$C$9999="F. 100+")*'Raw Data'!$D$2:$D$9999*'Raw Data'!$AE$2:$AE$9999)/SUMIFS('Raw Data'!$D:$D, 'Raw Data'!$B:$B, "Variant", 'Raw Data'!$C:$C, "F. 100+"),"")</f>
        <v>35.48173422</v>
      </c>
      <c r="T18" s="38">
        <f t="shared" si="18"/>
        <v>0.007236075769</v>
      </c>
    </row>
    <row r="19" ht="15.75" customHeight="1">
      <c r="A19" s="24"/>
      <c r="B19" s="25" t="s">
        <v>25</v>
      </c>
      <c r="C19" s="46">
        <f>IFERROR(SUMPRODUCT(('Raw Data'!$B$2:$B$9999="Control")*('Raw Data'!$C$2:$C$9999="A. 0")*'Raw Data'!$D$2:$D$9999*'Raw Data'!$AF$2:$AF$9999)/SUMIFS('Raw Data'!$D:$D, 'Raw Data'!$B:$B, "Control", 'Raw Data'!$C:$C, "A. 0"),"")</f>
        <v>0</v>
      </c>
      <c r="D19" s="47">
        <f>IFERROR(SUMPRODUCT(('Raw Data'!$B$2:$B$9999="Variant")*('Raw Data'!$C$2:$C$9999="A. 0")*'Raw Data'!$D$2:$D$9999*'Raw Data'!$AF$2:$AF$9999)/SUMIFS('Raw Data'!$D:$D, 'Raw Data'!$B:$B, "Variant", 'Raw Data'!$C:$C, "A. 0"),"")</f>
        <v>0</v>
      </c>
      <c r="E19" s="28" t="str">
        <f t="shared" si="13"/>
        <v/>
      </c>
      <c r="F19" s="48">
        <f>IFERROR(SUMPRODUCT(('Raw Data'!$B$2:$B$9999="Control")*('Raw Data'!$C$2:$C$9999="B. 1-9")*'Raw Data'!$D$2:$D$9999*'Raw Data'!$AF$2:$AF$9999)/SUMIFS('Raw Data'!$D:$D, 'Raw Data'!$B:$B, "Control", 'Raw Data'!$C:$C, "B. 1-9"),"")</f>
        <v>2.138951935</v>
      </c>
      <c r="G19" s="47">
        <f>IFERROR(SUMPRODUCT(('Raw Data'!$B$2:$B$9999="Variant")*('Raw Data'!$C$2:$C$9999="B. 1-9")*'Raw Data'!$D$2:$D$9999*'Raw Data'!$AF$2:$AF$9999)/SUMIFS('Raw Data'!$D:$D, 'Raw Data'!$B:$B, "Variant", 'Raw Data'!$C:$C, "B. 1-9"),"")</f>
        <v>2.138883723</v>
      </c>
      <c r="H19" s="30">
        <f t="shared" si="14"/>
        <v>-0.00003189076951</v>
      </c>
      <c r="I19" s="46">
        <f>IFERROR(SUMPRODUCT(('Raw Data'!$B$2:$B$9999="Control")*('Raw Data'!$C$2:$C$9999="C. 10-19")*'Raw Data'!$D$2:$D$9999*'Raw Data'!$AF$2:$AF$9999)/SUMIFS('Raw Data'!$D:$D, 'Raw Data'!$B:$B, "Control", 'Raw Data'!$C:$C, "C. 10-19"),"")</f>
        <v>7.144574188</v>
      </c>
      <c r="J19" s="47">
        <f>IFERROR(SUMPRODUCT(('Raw Data'!$B$2:$B$9999="Variant")*('Raw Data'!$C$2:$C$9999="C. 10-19")*'Raw Data'!$D$2:$D$9999*'Raw Data'!$AF$2:$AF$9999)/SUMIFS('Raw Data'!$D:$D, 'Raw Data'!$B:$B, "Variant", 'Raw Data'!$C:$C, "C. 10-19"),"")</f>
        <v>6.966843074</v>
      </c>
      <c r="K19" s="34">
        <f t="shared" si="15"/>
        <v>-0.02487637592</v>
      </c>
      <c r="L19" s="48">
        <f>IFERROR(SUMPRODUCT(('Raw Data'!$B$2:$B$9999="Control")*('Raw Data'!$C$2:$C$9999="D. 20-39")*'Raw Data'!$D$2:$D$9999*'Raw Data'!$AF$2:$AF$9999)/SUMIFS('Raw Data'!$D:$D, 'Raw Data'!$B:$B, "Control", 'Raw Data'!$C:$C, "D. 20-39"),"")</f>
        <v>14.13997015</v>
      </c>
      <c r="M19" s="47">
        <f>IFERROR(SUMPRODUCT(('Raw Data'!$B$2:$B$9999="Variant")*('Raw Data'!$C$2:$C$9999="D. 20-39")*'Raw Data'!$D$2:$D$9999*'Raw Data'!$AF$2:$AF$9999)/SUMIFS('Raw Data'!$D:$D, 'Raw Data'!$B:$B, "Variant", 'Raw Data'!$C:$C, "D. 20-39"),"")</f>
        <v>14.17861428</v>
      </c>
      <c r="N19" s="45">
        <f t="shared" si="16"/>
        <v>0.00273297069</v>
      </c>
      <c r="O19" s="46">
        <f>IFERROR(SUMPRODUCT(('Raw Data'!$B$2:$B$9999="Control")*('Raw Data'!$C$2:$C$9999="E. 40-99")*'Raw Data'!$D$2:$D$9999*'Raw Data'!$AF$2:$AF$9999)/SUMIFS('Raw Data'!$D:$D, 'Raw Data'!$B:$B, "Control", 'Raw Data'!$C:$C, "E. 40-99"),"")</f>
        <v>29.82084758</v>
      </c>
      <c r="P19" s="47">
        <f>IFERROR(SUMPRODUCT(('Raw Data'!$B$2:$B$9999="Variant")*('Raw Data'!$C$2:$C$9999="E. 40-99")*'Raw Data'!$D$2:$D$9999*'Raw Data'!$AF$2:$AF$9999)/SUMIFS('Raw Data'!$D:$D, 'Raw Data'!$B:$B, "Variant", 'Raw Data'!$C:$C, "E. 40-99"),"")</f>
        <v>30.91569087</v>
      </c>
      <c r="Q19" s="34">
        <f t="shared" si="17"/>
        <v>0.03671402292</v>
      </c>
      <c r="R19" s="48">
        <f>IFERROR(SUMPRODUCT(('Raw Data'!$B$2:$B$9999="Control")*('Raw Data'!$C$2:$C$9999="F. 100+")*'Raw Data'!$D$2:$D$9999*'Raw Data'!$AF$2:$AF$9999)/SUMIFS('Raw Data'!$D:$D, 'Raw Data'!$B:$B, "Control", 'Raw Data'!$C:$C, "F. 100+"),"")</f>
        <v>74.42169414</v>
      </c>
      <c r="S19" s="47">
        <f>IFERROR(SUMPRODUCT(('Raw Data'!$B$2:$B$9999="Variant")*('Raw Data'!$C$2:$C$9999="F. 100+")*'Raw Data'!$D$2:$D$9999*'Raw Data'!$AF$2:$AF$9999)/SUMIFS('Raw Data'!$D:$D, 'Raw Data'!$B:$B, "Variant", 'Raw Data'!$C:$C, "F. 100+"),"")</f>
        <v>76.77219465</v>
      </c>
      <c r="T19" s="38">
        <f t="shared" si="18"/>
        <v>0.03158353949</v>
      </c>
    </row>
    <row r="20" ht="15.75" customHeight="1">
      <c r="A20" s="24"/>
      <c r="B20" s="25" t="s">
        <v>26</v>
      </c>
      <c r="C20" s="46">
        <f>IFERROR(SUMPRODUCT(('Raw Data'!$B$2:$B$9999="Control")*('Raw Data'!$C$2:$C$9999="A. 0")*'Raw Data'!$D$2:$D$9999*'Raw Data'!$AG$2:$AG$9999)/SUMIFS('Raw Data'!$D:$D, 'Raw Data'!$B:$B, "Control", 'Raw Data'!$C:$C, "A. 0"),"")</f>
        <v>0</v>
      </c>
      <c r="D20" s="47">
        <f>IFERROR(SUMPRODUCT(('Raw Data'!$B$2:$B$9999="Variant")*('Raw Data'!$C$2:$C$9999="A. 0")*'Raw Data'!$D$2:$D$9999*'Raw Data'!$AG$2:$AG$9999)/SUMIFS('Raw Data'!$D:$D, 'Raw Data'!$B:$B, "Variant", 'Raw Data'!$C:$C, "A. 0"),"")</f>
        <v>0</v>
      </c>
      <c r="E20" s="28" t="str">
        <f t="shared" si="13"/>
        <v/>
      </c>
      <c r="F20" s="48">
        <f>IFERROR(SUMPRODUCT(('Raw Data'!$B$2:$B$9999="Control")*('Raw Data'!$C$2:$C$9999="B. 1-9")*'Raw Data'!$D$2:$D$9999*'Raw Data'!$AG$2:$AG$9999)/SUMIFS('Raw Data'!$D:$D, 'Raw Data'!$B:$B, "Control", 'Raw Data'!$C:$C, "B. 1-9"),"")</f>
        <v>5.034821692</v>
      </c>
      <c r="G20" s="47">
        <f>IFERROR(SUMPRODUCT(('Raw Data'!$B$2:$B$9999="Variant")*('Raw Data'!$C$2:$C$9999="B. 1-9")*'Raw Data'!$D$2:$D$9999*'Raw Data'!$AG$2:$AG$9999)/SUMIFS('Raw Data'!$D:$D, 'Raw Data'!$B:$B, "Variant", 'Raw Data'!$C:$C, "B. 1-9"),"")</f>
        <v>5</v>
      </c>
      <c r="H20" s="30">
        <f t="shared" si="14"/>
        <v>-0.006916171932</v>
      </c>
      <c r="I20" s="46">
        <f>IFERROR(SUMPRODUCT(('Raw Data'!$B$2:$B$9999="Control")*('Raw Data'!$C$2:$C$9999="C. 10-19")*'Raw Data'!$D$2:$D$9999*'Raw Data'!$AG$2:$AG$9999)/SUMIFS('Raw Data'!$D:$D, 'Raw Data'!$B:$B, "Control", 'Raw Data'!$C:$C, "C. 10-19"),"")</f>
        <v>12.87120818</v>
      </c>
      <c r="J20" s="47">
        <f>IFERROR(SUMPRODUCT(('Raw Data'!$B$2:$B$9999="Variant")*('Raw Data'!$C$2:$C$9999="C. 10-19")*'Raw Data'!$D$2:$D$9999*'Raw Data'!$AG$2:$AG$9999)/SUMIFS('Raw Data'!$D:$D, 'Raw Data'!$B:$B, "Variant", 'Raw Data'!$C:$C, "C. 10-19"),"")</f>
        <v>12.9724681</v>
      </c>
      <c r="K20" s="34">
        <f t="shared" si="15"/>
        <v>0.007867165252</v>
      </c>
      <c r="L20" s="48">
        <f>IFERROR(SUMPRODUCT(('Raw Data'!$B$2:$B$9999="Control")*('Raw Data'!$C$2:$C$9999="D. 20-39")*'Raw Data'!$D$2:$D$9999*'Raw Data'!$AG$2:$AG$9999)/SUMIFS('Raw Data'!$D:$D, 'Raw Data'!$B:$B, "Control", 'Raw Data'!$C:$C, "D. 20-39"),"")</f>
        <v>25.407476</v>
      </c>
      <c r="M20" s="47">
        <f>IFERROR(SUMPRODUCT(('Raw Data'!$B$2:$B$9999="Variant")*('Raw Data'!$C$2:$C$9999="D. 20-39")*'Raw Data'!$D$2:$D$9999*'Raw Data'!$AG$2:$AG$9999)/SUMIFS('Raw Data'!$D:$D, 'Raw Data'!$B:$B, "Variant", 'Raw Data'!$C:$C, "D. 20-39"),"")</f>
        <v>25.6258084</v>
      </c>
      <c r="N20" s="36">
        <f t="shared" si="16"/>
        <v>0.008593234607</v>
      </c>
      <c r="O20" s="46">
        <f>IFERROR(SUMPRODUCT(('Raw Data'!$B$2:$B$9999="Control")*('Raw Data'!$C$2:$C$9999="E. 40-99")*'Raw Data'!$D$2:$D$9999*'Raw Data'!$AG$2:$AG$9999)/SUMIFS('Raw Data'!$D:$D, 'Raw Data'!$B:$B, "Control", 'Raw Data'!$C:$C, "E. 40-99"),"")</f>
        <v>51.9366814</v>
      </c>
      <c r="P20" s="47">
        <f>IFERROR(SUMPRODUCT(('Raw Data'!$B$2:$B$9999="Variant")*('Raw Data'!$C$2:$C$9999="E. 40-99")*'Raw Data'!$D$2:$D$9999*'Raw Data'!$AG$2:$AG$9999)/SUMIFS('Raw Data'!$D:$D, 'Raw Data'!$B:$B, "Variant", 'Raw Data'!$C:$C, "E. 40-99"),"")</f>
        <v>53.63836846</v>
      </c>
      <c r="Q20" s="34">
        <f t="shared" si="17"/>
        <v>0.03276464748</v>
      </c>
      <c r="R20" s="48">
        <f>IFERROR(SUMPRODUCT(('Raw Data'!$B$2:$B$9999="Control")*('Raw Data'!$C$2:$C$9999="F. 100+")*'Raw Data'!$D$2:$D$9999*'Raw Data'!$AG$2:$AG$9999)/SUMIFS('Raw Data'!$D:$D, 'Raw Data'!$B:$B, "Control", 'Raw Data'!$C:$C, "F. 100+"),"")</f>
        <v>124.2696819</v>
      </c>
      <c r="S20" s="47">
        <f>IFERROR(SUMPRODUCT(('Raw Data'!$B$2:$B$9999="Variant")*('Raw Data'!$C$2:$C$9999="F. 100+")*'Raw Data'!$D$2:$D$9999*'Raw Data'!$AG$2:$AG$9999)/SUMIFS('Raw Data'!$D:$D, 'Raw Data'!$B:$B, "Variant", 'Raw Data'!$C:$C, "F. 100+"),"")</f>
        <v>124.6608768</v>
      </c>
      <c r="T20" s="38">
        <f t="shared" si="18"/>
        <v>0.003147951144</v>
      </c>
    </row>
    <row r="21" ht="15.75" customHeight="1">
      <c r="A21" s="24"/>
      <c r="B21" s="25" t="s">
        <v>27</v>
      </c>
      <c r="C21" s="46">
        <f>IFERROR(SUMPRODUCT(('Raw Data'!$B$2:$B$9999="Control")*('Raw Data'!$C$2:$C$9999="A. 0")*'Raw Data'!$D$2:$D$9999*'Raw Data'!$AH$2:$AH$9999)/SUMIFS('Raw Data'!$D:$D, 'Raw Data'!$B:$B, "Control", 'Raw Data'!$C:$C, "A. 0"),"")</f>
        <v>0</v>
      </c>
      <c r="D21" s="47">
        <f>IFERROR(SUMPRODUCT(('Raw Data'!$B$2:$B$9999="Variant")*('Raw Data'!$C$2:$C$9999="A. 0")*'Raw Data'!$D$2:$D$9999*'Raw Data'!$AH$2:$AH$9999)/SUMIFS('Raw Data'!$D:$D, 'Raw Data'!$B:$B, "Variant", 'Raw Data'!$C:$C, "A. 0"),"")</f>
        <v>0</v>
      </c>
      <c r="E21" s="28" t="str">
        <f t="shared" si="13"/>
        <v/>
      </c>
      <c r="F21" s="48">
        <f>IFERROR(SUMPRODUCT(('Raw Data'!$B$2:$B$9999="Control")*('Raw Data'!$C$2:$C$9999="B. 1-9")*'Raw Data'!$D$2:$D$9999*'Raw Data'!$AH$2:$AH$9999)/SUMIFS('Raw Data'!$D:$D, 'Raw Data'!$B:$B, "Control", 'Raw Data'!$C:$C, "B. 1-9"),"")</f>
        <v>8.787972354</v>
      </c>
      <c r="G21" s="47">
        <f>IFERROR(SUMPRODUCT(('Raw Data'!$B$2:$B$9999="Variant")*('Raw Data'!$C$2:$C$9999="B. 1-9")*'Raw Data'!$D$2:$D$9999*'Raw Data'!$AH$2:$AH$9999)/SUMIFS('Raw Data'!$D:$D, 'Raw Data'!$B:$B, "Variant", 'Raw Data'!$C:$C, "B. 1-9"),"")</f>
        <v>8.682332942</v>
      </c>
      <c r="H21" s="45">
        <f t="shared" si="14"/>
        <v>-0.01202090856</v>
      </c>
      <c r="I21" s="46">
        <f>IFERROR(SUMPRODUCT(('Raw Data'!$B$2:$B$9999="Control")*('Raw Data'!$C$2:$C$9999="C. 10-19")*'Raw Data'!$D$2:$D$9999*'Raw Data'!$AH$2:$AH$9999)/SUMIFS('Raw Data'!$D:$D, 'Raw Data'!$B:$B, "Control", 'Raw Data'!$C:$C, "C. 10-19"),"")</f>
        <v>20.11746823</v>
      </c>
      <c r="J21" s="47">
        <f>IFERROR(SUMPRODUCT(('Raw Data'!$B$2:$B$9999="Variant")*('Raw Data'!$C$2:$C$9999="C. 10-19")*'Raw Data'!$D$2:$D$9999*'Raw Data'!$AH$2:$AH$9999)/SUMIFS('Raw Data'!$D:$D, 'Raw Data'!$B:$B, "Variant", 'Raw Data'!$C:$C, "C. 10-19"),"")</f>
        <v>20.22095875</v>
      </c>
      <c r="K21" s="37">
        <f t="shared" si="15"/>
        <v>0.005144311592</v>
      </c>
      <c r="L21" s="48">
        <f>IFERROR(SUMPRODUCT(('Raw Data'!$B$2:$B$9999="Control")*('Raw Data'!$C$2:$C$9999="D. 20-39")*'Raw Data'!$D$2:$D$9999*'Raw Data'!$AH$2:$AH$9999)/SUMIFS('Raw Data'!$D:$D, 'Raw Data'!$B:$B, "Control", 'Raw Data'!$C:$C, "D. 20-39"),"")</f>
        <v>37.93286123</v>
      </c>
      <c r="M21" s="47">
        <f>IFERROR(SUMPRODUCT(('Raw Data'!$B$2:$B$9999="Variant")*('Raw Data'!$C$2:$C$9999="D. 20-39")*'Raw Data'!$D$2:$D$9999*'Raw Data'!$AH$2:$AH$9999)/SUMIFS('Raw Data'!$D:$D, 'Raw Data'!$B:$B, "Variant", 'Raw Data'!$C:$C, "D. 20-39"),"")</f>
        <v>38.91431015</v>
      </c>
      <c r="N21" s="36">
        <f t="shared" si="16"/>
        <v>0.02587331642</v>
      </c>
      <c r="O21" s="46">
        <f>IFERROR(SUMPRODUCT(('Raw Data'!$B$2:$B$9999="Control")*('Raw Data'!$C$2:$C$9999="E. 40-99")*'Raw Data'!$D$2:$D$9999*'Raw Data'!$AH$2:$AH$9999)/SUMIFS('Raw Data'!$D:$D, 'Raw Data'!$B:$B, "Control", 'Raw Data'!$C:$C, "E. 40-99"),"")</f>
        <v>79.40064236</v>
      </c>
      <c r="P21" s="47">
        <f>IFERROR(SUMPRODUCT(('Raw Data'!$B$2:$B$9999="Variant")*('Raw Data'!$C$2:$C$9999="E. 40-99")*'Raw Data'!$D$2:$D$9999*'Raw Data'!$AH$2:$AH$9999)/SUMIFS('Raw Data'!$D:$D, 'Raw Data'!$B:$B, "Variant", 'Raw Data'!$C:$C, "E. 40-99"),"")</f>
        <v>82.1736534</v>
      </c>
      <c r="Q21" s="34">
        <f t="shared" si="17"/>
        <v>0.03492428966</v>
      </c>
      <c r="R21" s="48">
        <f>IFERROR(SUMPRODUCT(('Raw Data'!$B$2:$B$9999="Control")*('Raw Data'!$C$2:$C$9999="F. 100+")*'Raw Data'!$D$2:$D$9999*'Raw Data'!$AH$2:$AH$9999)/SUMIFS('Raw Data'!$D:$D, 'Raw Data'!$B:$B, "Control", 'Raw Data'!$C:$C, "F. 100+"),"")</f>
        <v>179.3678804</v>
      </c>
      <c r="S21" s="47">
        <f>IFERROR(SUMPRODUCT(('Raw Data'!$B$2:$B$9999="Variant")*('Raw Data'!$C$2:$C$9999="F. 100+")*'Raw Data'!$D$2:$D$9999*'Raw Data'!$AH$2:$AH$9999)/SUMIFS('Raw Data'!$D:$D, 'Raw Data'!$B:$B, "Variant", 'Raw Data'!$C:$C, "F. 100+"),"")</f>
        <v>177.7185001</v>
      </c>
      <c r="T21" s="50">
        <f t="shared" si="18"/>
        <v>-0.009195516345</v>
      </c>
    </row>
    <row r="22" ht="15.75" customHeight="1">
      <c r="A22" s="18" t="s">
        <v>28</v>
      </c>
      <c r="B22" s="19"/>
      <c r="C22" s="20"/>
      <c r="D22" s="21"/>
      <c r="E22" s="22"/>
      <c r="F22" s="23"/>
      <c r="G22" s="21"/>
      <c r="H22" s="19"/>
      <c r="I22" s="20"/>
      <c r="J22" s="21"/>
      <c r="K22" s="22"/>
      <c r="L22" s="23"/>
      <c r="M22" s="21"/>
      <c r="N22" s="19"/>
      <c r="O22" s="20"/>
      <c r="P22" s="21"/>
      <c r="Q22" s="22"/>
      <c r="R22" s="23"/>
      <c r="S22" s="22"/>
      <c r="T22" s="51"/>
    </row>
    <row r="23" ht="15.75" customHeight="1">
      <c r="A23" s="24"/>
      <c r="B23" s="25" t="s">
        <v>29</v>
      </c>
      <c r="C23" s="52">
        <f>IFERROR(SUMPRODUCT(('Raw Data'!$B$2:$B$9999="Control")*('Raw Data'!$C$2:$C$9999="A. 0")*'Raw Data'!$D$2:$D$9999*'Raw Data'!$M$2:$M$9999)/SUMIFS('Raw Data'!$D:$D, 'Raw Data'!$B:$B, "Control", 'Raw Data'!$C:$C, "A. 0"),"")</f>
        <v>0.02186032123</v>
      </c>
      <c r="D23" s="53">
        <f>IFERROR(SUMPRODUCT(('Raw Data'!$B$2:$B$9999="Variant")*('Raw Data'!$C$2:$C$9999="A. 0")*'Raw Data'!$D$2:$D$9999*'Raw Data'!$M$2:$M$9999)/SUMIFS('Raw Data'!$D:$D, 'Raw Data'!$B:$B, "Variant", 'Raw Data'!$C:$C, "A. 0"),"")</f>
        <v>0.02307014573</v>
      </c>
      <c r="E23" s="30">
        <f t="shared" ref="E23:E26" si="19">IFERROR((D23-C23)/ABS(C23),"")</f>
        <v>0.05534339973</v>
      </c>
      <c r="F23" s="54">
        <f>IFERROR(SUMPRODUCT(('Raw Data'!$B$2:$B$9999="Control")*('Raw Data'!$C$2:$C$9999="B. 1-9")*'Raw Data'!$D$2:$D$9999*'Raw Data'!$M$2:$M$9999)/SUMIFS('Raw Data'!$D:$D, 'Raw Data'!$B:$B, "Control", 'Raw Data'!$C:$C, "B. 1-9"),"")</f>
        <v>0.3578833234</v>
      </c>
      <c r="G23" s="53">
        <f>IFERROR(SUMPRODUCT(('Raw Data'!$B$2:$B$9999="Variant")*('Raw Data'!$C$2:$C$9999="B. 1-9")*'Raw Data'!$D$2:$D$9999*'Raw Data'!$M$2:$M$9999)/SUMIFS('Raw Data'!$D:$D, 'Raw Data'!$B:$B, "Variant", 'Raw Data'!$C:$C, "B. 1-9"),"")</f>
        <v>0.3499109778</v>
      </c>
      <c r="H23" s="30">
        <f t="shared" ref="H23:H26" si="20">IFERROR((G23-F23)/ABS(F23),"")</f>
        <v>-0.02227638188</v>
      </c>
      <c r="I23" s="52">
        <f>IFERROR(SUMPRODUCT(('Raw Data'!$B$2:$B$9999="Control")*('Raw Data'!$C$2:$C$9999="C. 10-19")*'Raw Data'!$D$2:$D$9999*'Raw Data'!$M$2:$M$9999)/SUMIFS('Raw Data'!$D:$D, 'Raw Data'!$B:$B, "Control", 'Raw Data'!$C:$C, "C. 10-19"),"")</f>
        <v>0.4891035681</v>
      </c>
      <c r="J23" s="53">
        <f>IFERROR(SUMPRODUCT(('Raw Data'!$B$2:$B$9999="Variant")*('Raw Data'!$C$2:$C$9999="C. 10-19")*'Raw Data'!$D$2:$D$9999*'Raw Data'!$M$2:$M$9999)/SUMIFS('Raw Data'!$D:$D, 'Raw Data'!$B:$B, "Variant", 'Raw Data'!$C:$C, "C. 10-19"),"")</f>
        <v>0.4775420349</v>
      </c>
      <c r="K23" s="30">
        <f t="shared" ref="K23:K26" si="21">IFERROR((J23-I23)/ABS(I23),"")</f>
        <v>-0.02363821075</v>
      </c>
      <c r="L23" s="54">
        <f>IFERROR(SUMPRODUCT(('Raw Data'!$B$2:$B$9999="Control")*('Raw Data'!$C$2:$C$9999="D. 20-39")*'Raw Data'!$D$2:$D$9999*'Raw Data'!$M$2:$M$9999)/SUMIFS('Raw Data'!$D:$D, 'Raw Data'!$B:$B, "Control", 'Raw Data'!$C:$C, "D. 20-39"),"")</f>
        <v>0.6216975901</v>
      </c>
      <c r="M23" s="53">
        <f>IFERROR(SUMPRODUCT(('Raw Data'!$B$2:$B$9999="Variant")*('Raw Data'!$C$2:$C$9999="D. 20-39")*'Raw Data'!$D$2:$D$9999*'Raw Data'!$M$2:$M$9999)/SUMIFS('Raw Data'!$D:$D, 'Raw Data'!$B:$B, "Variant", 'Raw Data'!$C:$C, "D. 20-39"),"")</f>
        <v>0.6167933068</v>
      </c>
      <c r="N23" s="30">
        <f t="shared" ref="N23:N26" si="22">IFERROR((M23-L23)/ABS(L23),"")</f>
        <v>-0.007888535085</v>
      </c>
      <c r="O23" s="52">
        <f>IFERROR(SUMPRODUCT(('Raw Data'!$B$2:$B$9999="Control")*('Raw Data'!$C$2:$C$9999="E. 40-99")*'Raw Data'!$D$2:$D$9999*'Raw Data'!$M$2:$M$9999)/SUMIFS('Raw Data'!$D:$D, 'Raw Data'!$B:$B, "Control", 'Raw Data'!$C:$C, "E. 40-99"),"")</f>
        <v>0.7522044632</v>
      </c>
      <c r="P23" s="53">
        <f>IFERROR(SUMPRODUCT(('Raw Data'!$B$2:$B$9999="Variant")*('Raw Data'!$C$2:$C$9999="E. 40-99")*'Raw Data'!$D$2:$D$9999*'Raw Data'!$M$2:$M$9999)/SUMIFS('Raw Data'!$D:$D, 'Raw Data'!$B:$B, "Variant", 'Raw Data'!$C:$C, "E. 40-99"),"")</f>
        <v>0.7530684395</v>
      </c>
      <c r="Q23" s="30">
        <f t="shared" ref="Q23:Q26" si="23">IFERROR((P23-O23)/ABS(O23),"")</f>
        <v>0.001148592403</v>
      </c>
      <c r="R23" s="54">
        <f>IFERROR(SUMPRODUCT(('Raw Data'!$B$2:$B$9999="Control")*('Raw Data'!$C$2:$C$9999="F. 100+")*'Raw Data'!$D$2:$D$9999*'Raw Data'!$M$2:$M$9999)/SUMIFS('Raw Data'!$D:$D, 'Raw Data'!$B:$B, "Control", 'Raw Data'!$C:$C, "F. 100+"),"")</f>
        <v>0.8478384438</v>
      </c>
      <c r="S23" s="55">
        <f>IFERROR(SUMPRODUCT(('Raw Data'!$B$2:$B$9999="Variant")*('Raw Data'!$C$2:$C$9999="F. 100+")*'Raw Data'!$D$2:$D$9999*'Raw Data'!$M$2:$M$9999)/SUMIFS('Raw Data'!$D:$D, 'Raw Data'!$B:$B, "Variant", 'Raw Data'!$C:$C, "F. 100+"),"")</f>
        <v>0.8428530811</v>
      </c>
      <c r="T23" s="31">
        <f t="shared" ref="T23:T26" si="24">IFERROR((S23-R23)/ABS(R23),"")</f>
        <v>-0.005880085794</v>
      </c>
    </row>
    <row r="24" ht="15.75" customHeight="1">
      <c r="A24" s="24"/>
      <c r="B24" s="25" t="s">
        <v>30</v>
      </c>
      <c r="C24" s="52">
        <f>IFERROR(SUMPRODUCT(('Raw Data'!$B$2:$B$9999="Control")*('Raw Data'!$C$2:$C$9999="A. 0")*'Raw Data'!$D$2:$D$9999*'Raw Data'!$N$2:$N$9999)/SUMIFS('Raw Data'!$D:$D, 'Raw Data'!$B:$B, "Control", 'Raw Data'!$C:$C, "A. 0"),"")</f>
        <v>0.9815874005</v>
      </c>
      <c r="D24" s="53">
        <f>IFERROR(SUMPRODUCT(('Raw Data'!$B$2:$B$9999="Variant")*('Raw Data'!$C$2:$C$9999="A. 0")*'Raw Data'!$D$2:$D$9999*'Raw Data'!$N$2:$N$9999)/SUMIFS('Raw Data'!$D:$D, 'Raw Data'!$B:$B, "Variant", 'Raw Data'!$C:$C, "A. 0"),"")</f>
        <v>0.9799735965</v>
      </c>
      <c r="E24" s="30">
        <f t="shared" si="19"/>
        <v>-0.001644075678</v>
      </c>
      <c r="F24" s="54">
        <f>IFERROR(SUMPRODUCT(('Raw Data'!$B$2:$B$9999="Control")*('Raw Data'!$C$2:$C$9999="B. 1-9")*'Raw Data'!$D$2:$D$9999*'Raw Data'!$N$2:$N$9999)/SUMIFS('Raw Data'!$D:$D, 'Raw Data'!$B:$B, "Control", 'Raw Data'!$C:$C, "B. 1-9"),"")</f>
        <v>0.7598259746</v>
      </c>
      <c r="G24" s="53">
        <f>IFERROR(SUMPRODUCT(('Raw Data'!$B$2:$B$9999="Variant")*('Raw Data'!$C$2:$C$9999="B. 1-9")*'Raw Data'!$D$2:$D$9999*'Raw Data'!$N$2:$N$9999)/SUMIFS('Raw Data'!$D:$D, 'Raw Data'!$B:$B, "Variant", 'Raw Data'!$C:$C, "B. 1-9"),"")</f>
        <v>0.7620217683</v>
      </c>
      <c r="H24" s="30">
        <f t="shared" si="20"/>
        <v>0.002889863861</v>
      </c>
      <c r="I24" s="52">
        <f>IFERROR(SUMPRODUCT(('Raw Data'!$B$2:$B$9999="Control")*('Raw Data'!$C$2:$C$9999="C. 10-19")*'Raw Data'!$D$2:$D$9999*'Raw Data'!$N$2:$N$9999)/SUMIFS('Raw Data'!$D:$D, 'Raw Data'!$B:$B, "Control", 'Raw Data'!$C:$C, "C. 10-19"),"")</f>
        <v>0.6478549247</v>
      </c>
      <c r="J24" s="53">
        <f>IFERROR(SUMPRODUCT(('Raw Data'!$B$2:$B$9999="Variant")*('Raw Data'!$C$2:$C$9999="C. 10-19")*'Raw Data'!$D$2:$D$9999*'Raw Data'!$N$2:$N$9999)/SUMIFS('Raw Data'!$D:$D, 'Raw Data'!$B:$B, "Variant", 'Raw Data'!$C:$C, "C. 10-19"),"")</f>
        <v>0.6539622025</v>
      </c>
      <c r="K24" s="30">
        <f t="shared" si="21"/>
        <v>0.009426921997</v>
      </c>
      <c r="L24" s="54">
        <f>IFERROR(SUMPRODUCT(('Raw Data'!$B$2:$B$9999="Control")*('Raw Data'!$C$2:$C$9999="D. 20-39")*'Raw Data'!$D$2:$D$9999*'Raw Data'!$N$2:$N$9999)/SUMIFS('Raw Data'!$D:$D, 'Raw Data'!$B:$B, "Control", 'Raw Data'!$C:$C, "D. 20-39"),"")</f>
        <v>0.5228864283</v>
      </c>
      <c r="M24" s="53">
        <f>IFERROR(SUMPRODUCT(('Raw Data'!$B$2:$B$9999="Variant")*('Raw Data'!$C$2:$C$9999="D. 20-39")*'Raw Data'!$D$2:$D$9999*'Raw Data'!$N$2:$N$9999)/SUMIFS('Raw Data'!$D:$D, 'Raw Data'!$B:$B, "Variant", 'Raw Data'!$C:$C, "D. 20-39"),"")</f>
        <v>0.5243462964</v>
      </c>
      <c r="N24" s="30">
        <f t="shared" si="22"/>
        <v>0.002791940964</v>
      </c>
      <c r="O24" s="52">
        <f>IFERROR(SUMPRODUCT(('Raw Data'!$B$2:$B$9999="Control")*('Raw Data'!$C$2:$C$9999="E. 40-99")*'Raw Data'!$D$2:$D$9999*'Raw Data'!$N$2:$N$9999)/SUMIFS('Raw Data'!$D:$D, 'Raw Data'!$B:$B, "Control", 'Raw Data'!$C:$C, "E. 40-99"),"")</f>
        <v>0.3931714741</v>
      </c>
      <c r="P24" s="53">
        <f>IFERROR(SUMPRODUCT(('Raw Data'!$B$2:$B$9999="Variant")*('Raw Data'!$C$2:$C$9999="E. 40-99")*'Raw Data'!$D$2:$D$9999*'Raw Data'!$N$2:$N$9999)/SUMIFS('Raw Data'!$D:$D, 'Raw Data'!$B:$B, "Variant", 'Raw Data'!$C:$C, "E. 40-99"),"")</f>
        <v>0.3910559649</v>
      </c>
      <c r="Q24" s="30">
        <f t="shared" si="23"/>
        <v>-0.005380627449</v>
      </c>
      <c r="R24" s="54">
        <f>IFERROR(SUMPRODUCT(('Raw Data'!$B$2:$B$9999="Control")*('Raw Data'!$C$2:$C$9999="F. 100+")*'Raw Data'!$D$2:$D$9999*'Raw Data'!$N$2:$N$9999)/SUMIFS('Raw Data'!$D:$D, 'Raw Data'!$B:$B, "Control", 'Raw Data'!$C:$C, "F. 100+"),"")</f>
        <v>0.2831398467</v>
      </c>
      <c r="S24" s="55">
        <f>IFERROR(SUMPRODUCT(('Raw Data'!$B$2:$B$9999="Variant")*('Raw Data'!$C$2:$C$9999="F. 100+")*'Raw Data'!$D$2:$D$9999*'Raw Data'!$N$2:$N$9999)/SUMIFS('Raw Data'!$D:$D, 'Raw Data'!$B:$B, "Variant", 'Raw Data'!$C:$C, "F. 100+"),"")</f>
        <v>0.2898089675</v>
      </c>
      <c r="T24" s="31">
        <f t="shared" si="24"/>
        <v>0.02355415834</v>
      </c>
    </row>
    <row r="25" ht="15.75" customHeight="1">
      <c r="A25" s="24"/>
      <c r="B25" s="25" t="s">
        <v>31</v>
      </c>
      <c r="C25" s="52">
        <f>IFERROR(SUMPRODUCT(('Raw Data'!$B$2:$B$9999="Control")*('Raw Data'!$C$2:$C$9999="A. 0")*'Raw Data'!$D$2:$D$9999*'Raw Data'!$O$2:$O$9999)/SUMIFS('Raw Data'!$D:$D, 'Raw Data'!$B:$B, "Control", 'Raw Data'!$C:$C, "A. 0"),"")</f>
        <v>0.7763233038</v>
      </c>
      <c r="D25" s="53">
        <f>IFERROR(SUMPRODUCT(('Raw Data'!$B$2:$B$9999="Variant")*('Raw Data'!$C$2:$C$9999="A. 0")*'Raw Data'!$D$2:$D$9999*'Raw Data'!$O$2:$O$9999)/SUMIFS('Raw Data'!$D:$D, 'Raw Data'!$B:$B, "Variant", 'Raw Data'!$C:$C, "A. 0"),"")</f>
        <v>0.7449499324</v>
      </c>
      <c r="E25" s="30">
        <f t="shared" si="19"/>
        <v>-0.04041276511</v>
      </c>
      <c r="F25" s="54">
        <f>IFERROR(SUMPRODUCT(('Raw Data'!$B$2:$B$9999="Control")*('Raw Data'!$C$2:$C$9999="B. 1-9")*'Raw Data'!$D$2:$D$9999*'Raw Data'!$O$2:$O$9999)/SUMIFS('Raw Data'!$D:$D, 'Raw Data'!$B:$B, "Control", 'Raw Data'!$C:$C, "B. 1-9"),"")</f>
        <v>0.5335621458</v>
      </c>
      <c r="G25" s="53">
        <f>IFERROR(SUMPRODUCT(('Raw Data'!$B$2:$B$9999="Variant")*('Raw Data'!$C$2:$C$9999="B. 1-9")*'Raw Data'!$D$2:$D$9999*'Raw Data'!$O$2:$O$9999)/SUMIFS('Raw Data'!$D:$D, 'Raw Data'!$B:$B, "Variant", 'Raw Data'!$C:$C, "B. 1-9"),"")</f>
        <v>0.5312016755</v>
      </c>
      <c r="H25" s="30">
        <f t="shared" si="20"/>
        <v>-0.004423983933</v>
      </c>
      <c r="I25" s="52">
        <f>IFERROR(SUMPRODUCT(('Raw Data'!$B$2:$B$9999="Control")*('Raw Data'!$C$2:$C$9999="C. 10-19")*'Raw Data'!$D$2:$D$9999*'Raw Data'!$O$2:$O$9999)/SUMIFS('Raw Data'!$D:$D, 'Raw Data'!$B:$B, "Control", 'Raw Data'!$C:$C, "C. 10-19"),"")</f>
        <v>0.4160513381</v>
      </c>
      <c r="J25" s="53">
        <f>IFERROR(SUMPRODUCT(('Raw Data'!$B$2:$B$9999="Variant")*('Raw Data'!$C$2:$C$9999="C. 10-19")*'Raw Data'!$D$2:$D$9999*'Raw Data'!$O$2:$O$9999)/SUMIFS('Raw Data'!$D:$D, 'Raw Data'!$B:$B, "Variant", 'Raw Data'!$C:$C, "C. 10-19"),"")</f>
        <v>0.4156201466</v>
      </c>
      <c r="K25" s="30">
        <f t="shared" si="21"/>
        <v>-0.001036389979</v>
      </c>
      <c r="L25" s="54">
        <f>IFERROR(SUMPRODUCT(('Raw Data'!$B$2:$B$9999="Control")*('Raw Data'!$C$2:$C$9999="D. 20-39")*'Raw Data'!$D$2:$D$9999*'Raw Data'!$O$2:$O$9999)/SUMIFS('Raw Data'!$D:$D, 'Raw Data'!$B:$B, "Control", 'Raw Data'!$C:$C, "D. 20-39"),"")</f>
        <v>0.3300684612</v>
      </c>
      <c r="M25" s="53">
        <f>IFERROR(SUMPRODUCT(('Raw Data'!$B$2:$B$9999="Variant")*('Raw Data'!$C$2:$C$9999="D. 20-39")*'Raw Data'!$D$2:$D$9999*'Raw Data'!$O$2:$O$9999)/SUMIFS('Raw Data'!$D:$D, 'Raw Data'!$B:$B, "Variant", 'Raw Data'!$C:$C, "D. 20-39"),"")</f>
        <v>0.3268982127</v>
      </c>
      <c r="N25" s="30">
        <f t="shared" si="22"/>
        <v>-0.00960482107</v>
      </c>
      <c r="O25" s="52">
        <f>IFERROR(SUMPRODUCT(('Raw Data'!$B$2:$B$9999="Control")*('Raw Data'!$C$2:$C$9999="E. 40-99")*'Raw Data'!$D$2:$D$9999*'Raw Data'!$O$2:$O$9999)/SUMIFS('Raw Data'!$D:$D, 'Raw Data'!$B:$B, "Control", 'Raw Data'!$C:$C, "E. 40-99"),"")</f>
        <v>0.2575521932</v>
      </c>
      <c r="P25" s="53">
        <f>IFERROR(SUMPRODUCT(('Raw Data'!$B$2:$B$9999="Variant")*('Raw Data'!$C$2:$C$9999="E. 40-99")*'Raw Data'!$D$2:$D$9999*'Raw Data'!$O$2:$O$9999)/SUMIFS('Raw Data'!$D:$D, 'Raw Data'!$B:$B, "Variant", 'Raw Data'!$C:$C, "E. 40-99"),"")</f>
        <v>0.2537170984</v>
      </c>
      <c r="Q25" s="30">
        <f t="shared" si="23"/>
        <v>-0.01489055403</v>
      </c>
      <c r="R25" s="54">
        <f>IFERROR(SUMPRODUCT(('Raw Data'!$B$2:$B$9999="Control")*('Raw Data'!$C$2:$C$9999="F. 100+")*'Raw Data'!$D$2:$D$9999*'Raw Data'!$O$2:$O$9999)/SUMIFS('Raw Data'!$D:$D, 'Raw Data'!$B:$B, "Control", 'Raw Data'!$C:$C, "F. 100+"),"")</f>
        <v>0.196434381</v>
      </c>
      <c r="S25" s="55">
        <f>IFERROR(SUMPRODUCT(('Raw Data'!$B$2:$B$9999="Variant")*('Raw Data'!$C$2:$C$9999="F. 100+")*'Raw Data'!$D$2:$D$9999*'Raw Data'!$O$2:$O$9999)/SUMIFS('Raw Data'!$D:$D, 'Raw Data'!$B:$B, "Variant", 'Raw Data'!$C:$C, "F. 100+"),"")</f>
        <v>0.2002381858</v>
      </c>
      <c r="T25" s="31">
        <f t="shared" si="24"/>
        <v>0.01936425192</v>
      </c>
    </row>
    <row r="26" ht="15.75" customHeight="1">
      <c r="A26" s="24"/>
      <c r="B26" s="25" t="s">
        <v>32</v>
      </c>
      <c r="C26" s="46">
        <f>IFERROR(SUMPRODUCT(('Raw Data'!$B$2:$B$9999="Control")*('Raw Data'!$C$2:$C$9999="A. 0")*'Raw Data'!$D$2:$D$9999*'Raw Data'!$P$2:$P$9999)/SUMIFS('Raw Data'!$D:$D, 'Raw Data'!$B:$B, "Control", 'Raw Data'!$C:$C, "A. 0"),"")</f>
        <v>69.20015467</v>
      </c>
      <c r="D26" s="47">
        <f>IFERROR(SUMPRODUCT(('Raw Data'!$B$2:$B$9999="Variant")*('Raw Data'!$C$2:$C$9999="A. 0")*'Raw Data'!$D$2:$D$9999*'Raw Data'!$P$2:$P$9999)/SUMIFS('Raw Data'!$D:$D, 'Raw Data'!$B:$B, "Variant", 'Raw Data'!$C:$C, "A. 0"),"")</f>
        <v>48.63648304</v>
      </c>
      <c r="E26" s="30">
        <f t="shared" si="19"/>
        <v>-0.2971622207</v>
      </c>
      <c r="F26" s="48">
        <f>IFERROR(SUMPRODUCT(('Raw Data'!$B$2:$B$9999="Control")*('Raw Data'!$C$2:$C$9999="B. 1-9")*'Raw Data'!$D$2:$D$9999*'Raw Data'!$P$2:$P$9999)/SUMIFS('Raw Data'!$D:$D, 'Raw Data'!$B:$B, "Control", 'Raw Data'!$C:$C, "B. 1-9"),"")</f>
        <v>2.80113944</v>
      </c>
      <c r="G26" s="47">
        <f>IFERROR(SUMPRODUCT(('Raw Data'!$B$2:$B$9999="Variant")*('Raw Data'!$C$2:$C$9999="B. 1-9")*'Raw Data'!$D$2:$D$9999*'Raw Data'!$P$2:$P$9999)/SUMIFS('Raw Data'!$D:$D, 'Raw Data'!$B:$B, "Variant", 'Raw Data'!$C:$C, "B. 1-9"),"")</f>
        <v>2.862470704</v>
      </c>
      <c r="H26" s="30">
        <f t="shared" si="20"/>
        <v>0.02189511306</v>
      </c>
      <c r="I26" s="46">
        <f>IFERROR(SUMPRODUCT(('Raw Data'!$B$2:$B$9999="Control")*('Raw Data'!$C$2:$C$9999="C. 10-19")*'Raw Data'!$D$2:$D$9999*'Raw Data'!$P$2:$P$9999)/SUMIFS('Raw Data'!$D:$D, 'Raw Data'!$B:$B, "Control", 'Raw Data'!$C:$C, "C. 10-19"),"")</f>
        <v>2.048078425</v>
      </c>
      <c r="J26" s="47">
        <f>IFERROR(SUMPRODUCT(('Raw Data'!$B$2:$B$9999="Variant")*('Raw Data'!$C$2:$C$9999="C. 10-19")*'Raw Data'!$D$2:$D$9999*'Raw Data'!$P$2:$P$9999)/SUMIFS('Raw Data'!$D:$D, 'Raw Data'!$B:$B, "Variant", 'Raw Data'!$C:$C, "C. 10-19"),"")</f>
        <v>2.097235447</v>
      </c>
      <c r="K26" s="30">
        <f t="shared" si="21"/>
        <v>0.0240015329</v>
      </c>
      <c r="L26" s="48">
        <f>IFERROR(SUMPRODUCT(('Raw Data'!$B$2:$B$9999="Control")*('Raw Data'!$C$2:$C$9999="D. 20-39")*'Raw Data'!$D$2:$D$9999*'Raw Data'!$P$2:$P$9999)/SUMIFS('Raw Data'!$D:$D, 'Raw Data'!$B:$B, "Control", 'Raw Data'!$C:$C, "D. 20-39"),"")</f>
        <v>1.610278316</v>
      </c>
      <c r="M26" s="47">
        <f>IFERROR(SUMPRODUCT(('Raw Data'!$B$2:$B$9999="Variant")*('Raw Data'!$C$2:$C$9999="D. 20-39")*'Raw Data'!$D$2:$D$9999*'Raw Data'!$P$2:$P$9999)/SUMIFS('Raw Data'!$D:$D, 'Raw Data'!$B:$B, "Variant", 'Raw Data'!$C:$C, "D. 20-39"),"")</f>
        <v>1.623521931</v>
      </c>
      <c r="N26" s="30">
        <f t="shared" si="22"/>
        <v>0.008224426209</v>
      </c>
      <c r="O26" s="46">
        <f>IFERROR(SUMPRODUCT(('Raw Data'!$B$2:$B$9999="Control")*('Raw Data'!$C$2:$C$9999="E. 40-99")*'Raw Data'!$D$2:$D$9999*'Raw Data'!$P$2:$P$9999)/SUMIFS('Raw Data'!$D:$D, 'Raw Data'!$B:$B, "Control", 'Raw Data'!$C:$C, "E. 40-99"),"")</f>
        <v>1.330090242</v>
      </c>
      <c r="P26" s="47">
        <f>IFERROR(SUMPRODUCT(('Raw Data'!$B$2:$B$9999="Variant")*('Raw Data'!$C$2:$C$9999="E. 40-99")*'Raw Data'!$D$2:$D$9999*'Raw Data'!$P$2:$P$9999)/SUMIFS('Raw Data'!$D:$D, 'Raw Data'!$B:$B, "Variant", 'Raw Data'!$C:$C, "E. 40-99"),"")</f>
        <v>1.328593184</v>
      </c>
      <c r="Q26" s="30">
        <f t="shared" si="23"/>
        <v>-0.001125530923</v>
      </c>
      <c r="R26" s="48">
        <f>IFERROR(SUMPRODUCT(('Raw Data'!$B$2:$B$9999="Control")*('Raw Data'!$C$2:$C$9999="F. 100+")*'Raw Data'!$D$2:$D$9999*'Raw Data'!$P$2:$P$9999)/SUMIFS('Raw Data'!$D:$D, 'Raw Data'!$B:$B, "Control", 'Raw Data'!$C:$C, "F. 100+"),"")</f>
        <v>1.179828172</v>
      </c>
      <c r="S26" s="56">
        <f>IFERROR(SUMPRODUCT(('Raw Data'!$B$2:$B$9999="Variant")*('Raw Data'!$C$2:$C$9999="F. 100+")*'Raw Data'!$D$2:$D$9999*'Raw Data'!$P$2:$P$9999)/SUMIFS('Raw Data'!$D:$D, 'Raw Data'!$B:$B, "Variant", 'Raw Data'!$C:$C, "F. 100+"),"")</f>
        <v>1.186839013</v>
      </c>
      <c r="T26" s="31">
        <f t="shared" si="24"/>
        <v>0.00594225618</v>
      </c>
    </row>
    <row r="27" ht="15.75" customHeight="1">
      <c r="A27" s="18" t="s">
        <v>33</v>
      </c>
      <c r="B27" s="19"/>
      <c r="C27" s="20"/>
      <c r="D27" s="21"/>
      <c r="E27" s="22"/>
      <c r="F27" s="23"/>
      <c r="G27" s="21"/>
      <c r="H27" s="19"/>
      <c r="I27" s="20"/>
      <c r="J27" s="21"/>
      <c r="K27" s="22"/>
      <c r="L27" s="23"/>
      <c r="M27" s="21"/>
      <c r="N27" s="19"/>
      <c r="O27" s="20"/>
      <c r="P27" s="21"/>
      <c r="Q27" s="22"/>
      <c r="R27" s="23"/>
      <c r="S27" s="22"/>
      <c r="T27" s="51"/>
    </row>
    <row r="28" ht="15.75" customHeight="1">
      <c r="A28" s="24"/>
      <c r="B28" s="57" t="s">
        <v>34</v>
      </c>
      <c r="C28" s="46">
        <f>IFERROR(SUMPRODUCT(('Raw Data'!$B$2:$B$9999="Control")*('Raw Data'!$C$2:$C$9999="A. 0")*'Raw Data'!$D$2:$D$9999*'Raw Data'!$Q$2:$Q$9999)/SUMIFS('Raw Data'!$D:$D, 'Raw Data'!$B:$B, "Control", 'Raw Data'!$C:$C, "A. 0"),"")</f>
        <v>26.9896991</v>
      </c>
      <c r="D28" s="47">
        <f>IFERROR(SUMPRODUCT(('Raw Data'!$B$2:$B$9999="Variant")*('Raw Data'!$C$2:$C$9999="A. 0")*'Raw Data'!$D$2:$D$9999*'Raw Data'!$Q$2:$Q$9999)/SUMIFS('Raw Data'!$D:$D, 'Raw Data'!$B:$B, "Variant", 'Raw Data'!$C:$C, "A. 0"),"")</f>
        <v>23.57635062</v>
      </c>
      <c r="E28" s="34">
        <f t="shared" ref="E28:E34" si="25">IFERROR((D28-C28)/ABS(C28),"")</f>
        <v>-0.1264685634</v>
      </c>
      <c r="F28" s="48">
        <f>IFERROR(SUMPRODUCT(('Raw Data'!$B$2:$B$9999="Control")*('Raw Data'!$C$2:$C$9999="B. 1-9")*'Raw Data'!$D$2:$D$9999*'Raw Data'!$Q$2:$Q$9999)/SUMIFS('Raw Data'!$D:$D, 'Raw Data'!$B:$B, "Control", 'Raw Data'!$C:$C, "B. 1-9"),"")</f>
        <v>65.71083035</v>
      </c>
      <c r="G28" s="47">
        <f>IFERROR(SUMPRODUCT(('Raw Data'!$B$2:$B$9999="Variant")*('Raw Data'!$C$2:$C$9999="B. 1-9")*'Raw Data'!$D$2:$D$9999*'Raw Data'!$Q$2:$Q$9999)/SUMIFS('Raw Data'!$D:$D, 'Raw Data'!$B:$B, "Variant", 'Raw Data'!$C:$C, "B. 1-9"),"")</f>
        <v>58.79612715</v>
      </c>
      <c r="H28" s="45">
        <f t="shared" ref="H28:H34" si="26">IFERROR((G28-F28)/ABS(F28),"")</f>
        <v>-0.1052292774</v>
      </c>
      <c r="I28" s="46">
        <f>IFERROR(SUMPRODUCT(('Raw Data'!$B$2:$B$9999="Control")*('Raw Data'!$C$2:$C$9999="C. 10-19")*'Raw Data'!$D$2:$D$9999*'Raw Data'!$Q$2:$Q$9999)/SUMIFS('Raw Data'!$D:$D, 'Raw Data'!$B:$B, "Control", 'Raw Data'!$C:$C, "C. 10-19"),"")</f>
        <v>130.4751396</v>
      </c>
      <c r="J28" s="47">
        <f>IFERROR(SUMPRODUCT(('Raw Data'!$B$2:$B$9999="Variant")*('Raw Data'!$C$2:$C$9999="C. 10-19")*'Raw Data'!$D$2:$D$9999*'Raw Data'!$Q$2:$Q$9999)/SUMIFS('Raw Data'!$D:$D, 'Raw Data'!$B:$B, "Variant", 'Raw Data'!$C:$C, "C. 10-19"),"")</f>
        <v>123.2143727</v>
      </c>
      <c r="K28" s="37">
        <f t="shared" ref="K28:K34" si="27">IFERROR((J28-I28)/ABS(I28),"")</f>
        <v>-0.05564866178</v>
      </c>
      <c r="L28" s="48">
        <f>IFERROR(SUMPRODUCT(('Raw Data'!$B$2:$B$9999="Control")*('Raw Data'!$C$2:$C$9999="D. 20-39")*'Raw Data'!$D$2:$D$9999*'Raw Data'!$Q$2:$Q$9999)/SUMIFS('Raw Data'!$D:$D, 'Raw Data'!$B:$B, "Control", 'Raw Data'!$C:$C, "D. 20-39"),"")</f>
        <v>231.8641716</v>
      </c>
      <c r="M28" s="47">
        <f>IFERROR(SUMPRODUCT(('Raw Data'!$B$2:$B$9999="Variant")*('Raw Data'!$C$2:$C$9999="D. 20-39")*'Raw Data'!$D$2:$D$9999*'Raw Data'!$Q$2:$Q$9999)/SUMIFS('Raw Data'!$D:$D, 'Raw Data'!$B:$B, "Variant", 'Raw Data'!$C:$C, "D. 20-39"),"")</f>
        <v>226.3284021</v>
      </c>
      <c r="N28" s="45">
        <f t="shared" ref="N28:N34" si="28">IFERROR((M28-L28)/ABS(L28),"")</f>
        <v>-0.02387505365</v>
      </c>
      <c r="O28" s="46">
        <f>IFERROR(SUMPRODUCT(('Raw Data'!$B$2:$B$9999="Control")*('Raw Data'!$C$2:$C$9999="E. 40-99")*'Raw Data'!$D$2:$D$9999*'Raw Data'!$Q$2:$Q$9999)/SUMIFS('Raw Data'!$D:$D, 'Raw Data'!$B:$B, "Control", 'Raw Data'!$C:$C, "E. 40-99"),"")</f>
        <v>433.0922564</v>
      </c>
      <c r="P28" s="47">
        <f>IFERROR(SUMPRODUCT(('Raw Data'!$B$2:$B$9999="Variant")*('Raw Data'!$C$2:$C$9999="E. 40-99")*'Raw Data'!$D$2:$D$9999*'Raw Data'!$Q$2:$Q$9999)/SUMIFS('Raw Data'!$D:$D, 'Raw Data'!$B:$B, "Variant", 'Raw Data'!$C:$C, "E. 40-99"),"")</f>
        <v>438.4296343</v>
      </c>
      <c r="Q28" s="37">
        <f t="shared" ref="Q28:Q34" si="29">IFERROR((P28-O28)/ABS(O28),"")</f>
        <v>0.01232388229</v>
      </c>
      <c r="R28" s="48">
        <f>IFERROR(SUMPRODUCT(('Raw Data'!$B$2:$B$9999="Control")*('Raw Data'!$C$2:$C$9999="F. 100+")*'Raw Data'!$D$2:$D$9999*'Raw Data'!$Q$2:$Q$9999)/SUMIFS('Raw Data'!$D:$D, 'Raw Data'!$B:$B, "Control", 'Raw Data'!$C:$C, "F. 100+"),"")</f>
        <v>834.6898873</v>
      </c>
      <c r="S28" s="56">
        <f>IFERROR(SUMPRODUCT(('Raw Data'!$B$2:$B$9999="Variant")*('Raw Data'!$C$2:$C$9999="F. 100+")*'Raw Data'!$D$2:$D$9999*'Raw Data'!$Q$2:$Q$9999)/SUMIFS('Raw Data'!$D:$D, 'Raw Data'!$B:$B, "Variant", 'Raw Data'!$C:$C, "F. 100+"),"")</f>
        <v>822.6615081</v>
      </c>
      <c r="T28" s="37">
        <f t="shared" ref="T28:T34" si="30">IFERROR((S28-R28)/ABS(R28),"")</f>
        <v>-0.01441059651</v>
      </c>
    </row>
    <row r="29" ht="15.75" customHeight="1">
      <c r="A29" s="24"/>
      <c r="B29" s="57" t="s">
        <v>35</v>
      </c>
      <c r="C29" s="46">
        <f>IFERROR(SUMPRODUCT(('Raw Data'!$B$2:$B$9999="Control")*('Raw Data'!$C$2:$C$9999="A. 0")*'Raw Data'!$D$2:$D$9999*'Raw Data'!$T$2:$T$9999)/SUMIFS('Raw Data'!$D:$D, 'Raw Data'!$B:$B, "Control", 'Raw Data'!$C:$C, "A. 0"),"")</f>
        <v>0.3168958516</v>
      </c>
      <c r="D29" s="47">
        <f>IFERROR(SUMPRODUCT(('Raw Data'!$B$2:$B$9999="Variant")*('Raw Data'!$C$2:$C$9999="A. 0")*'Raw Data'!$D$2:$D$9999*'Raw Data'!$T$2:$T$9999)/SUMIFS('Raw Data'!$D:$D, 'Raw Data'!$B:$B, "Variant", 'Raw Data'!$C:$C, "A. 0"),"")</f>
        <v>0.275734164</v>
      </c>
      <c r="E29" s="34">
        <f t="shared" si="25"/>
        <v>-0.1298902694</v>
      </c>
      <c r="F29" s="48">
        <f>IFERROR(SUMPRODUCT(('Raw Data'!$B$2:$B$9999="Control")*('Raw Data'!$C$2:$C$9999="B. 1-9")*'Raw Data'!$D$2:$D$9999*'Raw Data'!$T$2:$T$9999)/SUMIFS('Raw Data'!$D:$D, 'Raw Data'!$B:$B, "Control", 'Raw Data'!$C:$C, "B. 1-9"),"")</f>
        <v>6.649028162</v>
      </c>
      <c r="G29" s="47">
        <f>IFERROR(SUMPRODUCT(('Raw Data'!$B$2:$B$9999="Variant")*('Raw Data'!$C$2:$C$9999="B. 1-9")*'Raw Data'!$D$2:$D$9999*'Raw Data'!$T$2:$T$9999)/SUMIFS('Raw Data'!$D:$D, 'Raw Data'!$B:$B, "Variant", 'Raw Data'!$C:$C, "B. 1-9"),"")</f>
        <v>6.778973461</v>
      </c>
      <c r="H29" s="36">
        <f t="shared" si="26"/>
        <v>0.01954350252</v>
      </c>
      <c r="I29" s="46">
        <f>IFERROR(SUMPRODUCT(('Raw Data'!$B$2:$B$9999="Control")*('Raw Data'!$C$2:$C$9999="C. 10-19")*'Raw Data'!$D$2:$D$9999*'Raw Data'!$T$2:$T$9999)/SUMIFS('Raw Data'!$D:$D, 'Raw Data'!$B:$B, "Control", 'Raw Data'!$C:$C, "C. 10-19"),"")</f>
        <v>23.33887244</v>
      </c>
      <c r="J29" s="47">
        <f>IFERROR(SUMPRODUCT(('Raw Data'!$B$2:$B$9999="Variant")*('Raw Data'!$C$2:$C$9999="C. 10-19")*'Raw Data'!$D$2:$D$9999*'Raw Data'!$T$2:$T$9999)/SUMIFS('Raw Data'!$D:$D, 'Raw Data'!$B:$B, "Variant", 'Raw Data'!$C:$C, "C. 10-19"),"")</f>
        <v>23.50121526</v>
      </c>
      <c r="K29" s="34">
        <f t="shared" si="27"/>
        <v>0.006955898061</v>
      </c>
      <c r="L29" s="48">
        <f>IFERROR(SUMPRODUCT(('Raw Data'!$B$2:$B$9999="Control")*('Raw Data'!$C$2:$C$9999="D. 20-39")*'Raw Data'!$D$2:$D$9999*'Raw Data'!$T$2:$T$9999)/SUMIFS('Raw Data'!$D:$D, 'Raw Data'!$B:$B, "Control", 'Raw Data'!$C:$C, "D. 20-39"),"")</f>
        <v>53.78641965</v>
      </c>
      <c r="M29" s="47">
        <f>IFERROR(SUMPRODUCT(('Raw Data'!$B$2:$B$9999="Variant")*('Raw Data'!$C$2:$C$9999="D. 20-39")*'Raw Data'!$D$2:$D$9999*'Raw Data'!$T$2:$T$9999)/SUMIFS('Raw Data'!$D:$D, 'Raw Data'!$B:$B, "Variant", 'Raw Data'!$C:$C, "D. 20-39"),"")</f>
        <v>52.80584209</v>
      </c>
      <c r="N29" s="36">
        <f t="shared" si="28"/>
        <v>-0.01823095072</v>
      </c>
      <c r="O29" s="46">
        <f>IFERROR(SUMPRODUCT(('Raw Data'!$B$2:$B$9999="Control")*('Raw Data'!$C$2:$C$9999="E. 40-99")*'Raw Data'!$D$2:$D$9999*'Raw Data'!$T$2:$T$9999)/SUMIFS('Raw Data'!$D:$D, 'Raw Data'!$B:$B, "Control", 'Raw Data'!$C:$C, "E. 40-99"),"")</f>
        <v>114.244223</v>
      </c>
      <c r="P29" s="47">
        <f>IFERROR(SUMPRODUCT(('Raw Data'!$B$2:$B$9999="Variant")*('Raw Data'!$C$2:$C$9999="E. 40-99")*'Raw Data'!$D$2:$D$9999*'Raw Data'!$T$2:$T$9999)/SUMIFS('Raw Data'!$D:$D, 'Raw Data'!$B:$B, "Variant", 'Raw Data'!$C:$C, "E. 40-99"),"")</f>
        <v>119.7299045</v>
      </c>
      <c r="Q29" s="37">
        <f t="shared" si="29"/>
        <v>0.04801714601</v>
      </c>
      <c r="R29" s="48">
        <f>IFERROR(SUMPRODUCT(('Raw Data'!$B$2:$B$9999="Control")*('Raw Data'!$C$2:$C$9999="F. 100+")*'Raw Data'!$D$2:$D$9999*'Raw Data'!$T$2:$T$9999)/SUMIFS('Raw Data'!$D:$D, 'Raw Data'!$B:$B, "Control", 'Raw Data'!$C:$C, "F. 100+"),"")</f>
        <v>211.8253085</v>
      </c>
      <c r="S29" s="47">
        <f>IFERROR(SUMPRODUCT(('Raw Data'!$B$2:$B$9999="Variant")*('Raw Data'!$C$2:$C$9999="F. 100+")*'Raw Data'!$D$2:$D$9999*'Raw Data'!$T$2:$T$9999)/SUMIFS('Raw Data'!$D:$D, 'Raw Data'!$B:$B, "Variant", 'Raw Data'!$C:$C, "F. 100+"),"")</f>
        <v>235.7976709</v>
      </c>
      <c r="T29" s="58">
        <f t="shared" si="30"/>
        <v>0.1131704354</v>
      </c>
    </row>
    <row r="30" ht="15.75" customHeight="1">
      <c r="A30" s="24"/>
      <c r="B30" s="57" t="s">
        <v>36</v>
      </c>
      <c r="C30" s="46">
        <f>IFERROR(SUMPRODUCT(('Raw Data'!$B$2:$B$9999="Control")*('Raw Data'!$C$2:$C$9999="A. 0")*'Raw Data'!$D$2:$D$9999*'Raw Data'!$U$2:$U$9999)/SUMIFS('Raw Data'!$D:$D, 'Raw Data'!$B:$B, "Control", 'Raw Data'!$C:$C, "A. 0"),"")</f>
        <v>26.67068428</v>
      </c>
      <c r="D30" s="47">
        <f>IFERROR(SUMPRODUCT(('Raw Data'!$B$2:$B$9999="Variant")*('Raw Data'!$C$2:$C$9999="A. 0")*'Raw Data'!$D$2:$D$9999*'Raw Data'!$U$2:$U$9999)/SUMIFS('Raw Data'!$D:$D, 'Raw Data'!$B:$B, "Variant", 'Raw Data'!$C:$C, "A. 0"),"")</f>
        <v>23.29858116</v>
      </c>
      <c r="E30" s="34">
        <f t="shared" si="25"/>
        <v>-0.1264348185</v>
      </c>
      <c r="F30" s="48">
        <f>IFERROR(SUMPRODUCT(('Raw Data'!$B$2:$B$9999="Control")*('Raw Data'!$C$2:$C$9999="B. 1-9")*'Raw Data'!$D$2:$D$9999*'Raw Data'!$U$2:$U$9999)/SUMIFS('Raw Data'!$D:$D, 'Raw Data'!$B:$B, "Control", 'Raw Data'!$C:$C, "B. 1-9"),"")</f>
        <v>59.0628317</v>
      </c>
      <c r="G30" s="47">
        <f>IFERROR(SUMPRODUCT(('Raw Data'!$B$2:$B$9999="Variant")*('Raw Data'!$C$2:$C$9999="B. 1-9")*'Raw Data'!$D$2:$D$9999*'Raw Data'!$U$2:$U$9999)/SUMIFS('Raw Data'!$D:$D, 'Raw Data'!$B:$B, "Variant", 'Raw Data'!$C:$C, "B. 1-9"),"")</f>
        <v>52.01963783</v>
      </c>
      <c r="H30" s="45">
        <f t="shared" si="26"/>
        <v>-0.1192491736</v>
      </c>
      <c r="I30" s="46">
        <f>IFERROR(SUMPRODUCT(('Raw Data'!$B$2:$B$9999="Control")*('Raw Data'!$C$2:$C$9999="C. 10-19")*'Raw Data'!$D$2:$D$9999*'Raw Data'!$U$2:$U$9999)/SUMIFS('Raw Data'!$D:$D, 'Raw Data'!$B:$B, "Control", 'Raw Data'!$C:$C, "C. 10-19"),"")</f>
        <v>107.1361906</v>
      </c>
      <c r="J30" s="47">
        <f>IFERROR(SUMPRODUCT(('Raw Data'!$B$2:$B$9999="Variant")*('Raw Data'!$C$2:$C$9999="C. 10-19")*'Raw Data'!$D$2:$D$9999*'Raw Data'!$U$2:$U$9999)/SUMIFS('Raw Data'!$D:$D, 'Raw Data'!$B:$B, "Variant", 'Raw Data'!$C:$C, "C. 10-19"),"")</f>
        <v>99.71108228</v>
      </c>
      <c r="K30" s="37">
        <f t="shared" si="27"/>
        <v>-0.06930532303</v>
      </c>
      <c r="L30" s="48">
        <f>IFERROR(SUMPRODUCT(('Raw Data'!$B$2:$B$9999="Control")*('Raw Data'!$C$2:$C$9999="D. 20-39")*'Raw Data'!$D$2:$D$9999*'Raw Data'!$U$2:$U$9999)/SUMIFS('Raw Data'!$D:$D, 'Raw Data'!$B:$B, "Control", 'Raw Data'!$C:$C, "D. 20-39"),"")</f>
        <v>178.0779883</v>
      </c>
      <c r="M30" s="47">
        <f>IFERROR(SUMPRODUCT(('Raw Data'!$B$2:$B$9999="Variant")*('Raw Data'!$C$2:$C$9999="D. 20-39")*'Raw Data'!$D$2:$D$9999*'Raw Data'!$U$2:$U$9999)/SUMIFS('Raw Data'!$D:$D, 'Raw Data'!$B:$B, "Variant", 'Raw Data'!$C:$C, "D. 20-39"),"")</f>
        <v>173.5232262</v>
      </c>
      <c r="N30" s="45">
        <f t="shared" si="28"/>
        <v>-0.02557734478</v>
      </c>
      <c r="O30" s="46">
        <f>IFERROR(SUMPRODUCT(('Raw Data'!$B$2:$B$9999="Control")*('Raw Data'!$C$2:$C$9999="E. 40-99")*'Raw Data'!$D$2:$D$9999*'Raw Data'!$U$2:$U$9999)/SUMIFS('Raw Data'!$D:$D, 'Raw Data'!$B:$B, "Control", 'Raw Data'!$C:$C, "E. 40-99"),"")</f>
        <v>318.8472516</v>
      </c>
      <c r="P30" s="47">
        <f>IFERROR(SUMPRODUCT(('Raw Data'!$B$2:$B$9999="Variant")*('Raw Data'!$C$2:$C$9999="E. 40-99")*'Raw Data'!$D$2:$D$9999*'Raw Data'!$U$2:$U$9999)/SUMIFS('Raw Data'!$D:$D, 'Raw Data'!$B:$B, "Variant", 'Raw Data'!$C:$C, "E. 40-99"),"")</f>
        <v>318.6992622</v>
      </c>
      <c r="Q30" s="37">
        <f t="shared" si="29"/>
        <v>-0.0004641388255</v>
      </c>
      <c r="R30" s="48">
        <f>IFERROR(SUMPRODUCT(('Raw Data'!$B$2:$B$9999="Control")*('Raw Data'!$C$2:$C$9999="F. 100+")*'Raw Data'!$D$2:$D$9999*'Raw Data'!$U$2:$U$9999)/SUMIFS('Raw Data'!$D:$D, 'Raw Data'!$B:$B, "Control", 'Raw Data'!$C:$C, "F. 100+"),"")</f>
        <v>622.8645979</v>
      </c>
      <c r="S30" s="47">
        <f>IFERROR(SUMPRODUCT(('Raw Data'!$B$2:$B$9999="Variant")*('Raw Data'!$C$2:$C$9999="F. 100+")*'Raw Data'!$D$2:$D$9999*'Raw Data'!$U$2:$U$9999)/SUMIFS('Raw Data'!$D:$D, 'Raw Data'!$B:$B, "Variant", 'Raw Data'!$C:$C, "F. 100+"),"")</f>
        <v>586.8641687</v>
      </c>
      <c r="T30" s="37">
        <f t="shared" si="30"/>
        <v>-0.05779816242</v>
      </c>
    </row>
    <row r="31" ht="15.75" customHeight="1">
      <c r="A31" s="24"/>
      <c r="B31" s="57" t="s">
        <v>37</v>
      </c>
      <c r="C31" s="46">
        <f>IFERROR(SUMPRODUCT(('Raw Data'!$B$2:$B$9999="Control")*('Raw Data'!$C$2:$C$9999="A. 0")*'Raw Data'!$D$2:$D$9999*'Raw Data'!$V$2:$V$9999)/SUMIFS('Raw Data'!$D:$D, 'Raw Data'!$B:$B, "Control", 'Raw Data'!$C:$C, "A. 0"),"")</f>
        <v>2.182318194</v>
      </c>
      <c r="D31" s="47">
        <f>IFERROR(SUMPRODUCT(('Raw Data'!$B$2:$B$9999="Variant")*('Raw Data'!$C$2:$C$9999="A. 0")*'Raw Data'!$D$2:$D$9999*'Raw Data'!$V$2:$V$9999)/SUMIFS('Raw Data'!$D:$D, 'Raw Data'!$B:$B, "Variant", 'Raw Data'!$C:$C, "A. 0"),"")</f>
        <v>1.975136637</v>
      </c>
      <c r="E31" s="28">
        <f t="shared" si="25"/>
        <v>-0.09493645688</v>
      </c>
      <c r="F31" s="48">
        <f>IFERROR(SUMPRODUCT(('Raw Data'!$B$2:$B$9999="Control")*('Raw Data'!$C$2:$C$9999="B. 1-9")*'Raw Data'!$D$2:$D$9999*'Raw Data'!$V$2:$V$9999)/SUMIFS('Raw Data'!$D:$D, 'Raw Data'!$B:$B, "Control", 'Raw Data'!$C:$C, "B. 1-9"),"")</f>
        <v>64.47099771</v>
      </c>
      <c r="G31" s="47">
        <f>IFERROR(SUMPRODUCT(('Raw Data'!$B$2:$B$9999="Variant")*('Raw Data'!$C$2:$C$9999="B. 1-9")*'Raw Data'!$D$2:$D$9999*'Raw Data'!$V$2:$V$9999)/SUMIFS('Raw Data'!$D:$D, 'Raw Data'!$B:$B, "Variant", 'Raw Data'!$C:$C, "B. 1-9"),"")</f>
        <v>59.00917744</v>
      </c>
      <c r="H31" s="36">
        <f t="shared" si="26"/>
        <v>-0.08471747698</v>
      </c>
      <c r="I31" s="46">
        <f>IFERROR(SUMPRODUCT(('Raw Data'!$B$2:$B$9999="Control")*('Raw Data'!$C$2:$C$9999="C. 10-19")*'Raw Data'!$D$2:$D$9999*'Raw Data'!$V$2:$V$9999)/SUMIFS('Raw Data'!$D:$D, 'Raw Data'!$B:$B, "Control", 'Raw Data'!$C:$C, "C. 10-19"),"")</f>
        <v>130.7905029</v>
      </c>
      <c r="J31" s="47">
        <f>IFERROR(SUMPRODUCT(('Raw Data'!$B$2:$B$9999="Variant")*('Raw Data'!$C$2:$C$9999="C. 10-19")*'Raw Data'!$D$2:$D$9999*'Raw Data'!$V$2:$V$9999)/SUMIFS('Raw Data'!$D:$D, 'Raw Data'!$B:$B, "Variant", 'Raw Data'!$C:$C, "C. 10-19"),"")</f>
        <v>124.0204549</v>
      </c>
      <c r="K31" s="36">
        <f t="shared" si="27"/>
        <v>-0.05176253491</v>
      </c>
      <c r="L31" s="48">
        <f>IFERROR(SUMPRODUCT(('Raw Data'!$B$2:$B$9999="Control")*('Raw Data'!$C$2:$C$9999="D. 20-39")*'Raw Data'!$D$2:$D$9999*'Raw Data'!$V$2:$V$9999)/SUMIFS('Raw Data'!$D:$D, 'Raw Data'!$B:$B, "Control", 'Raw Data'!$C:$C, "D. 20-39"),"")</f>
        <v>234.9885782</v>
      </c>
      <c r="M31" s="47">
        <f>IFERROR(SUMPRODUCT(('Raw Data'!$B$2:$B$9999="Variant")*('Raw Data'!$C$2:$C$9999="D. 20-39")*'Raw Data'!$D$2:$D$9999*'Raw Data'!$V$2:$V$9999)/SUMIFS('Raw Data'!$D:$D, 'Raw Data'!$B:$B, "Variant", 'Raw Data'!$C:$C, "D. 20-39"),"")</f>
        <v>226.4466058</v>
      </c>
      <c r="N31" s="36">
        <f t="shared" si="28"/>
        <v>-0.03635058555</v>
      </c>
      <c r="O31" s="46">
        <f>IFERROR(SUMPRODUCT(('Raw Data'!$B$2:$B$9999="Control")*('Raw Data'!$C$2:$C$9999="E. 40-99")*'Raw Data'!$D$2:$D$9999*'Raw Data'!$V$2:$V$9999)/SUMIFS('Raw Data'!$D:$D, 'Raw Data'!$B:$B, "Control", 'Raw Data'!$C:$C, "E. 40-99"),"")</f>
        <v>441.5724934</v>
      </c>
      <c r="P31" s="47">
        <f>IFERROR(SUMPRODUCT(('Raw Data'!$B$2:$B$9999="Variant")*('Raw Data'!$C$2:$C$9999="E. 40-99")*'Raw Data'!$D$2:$D$9999*'Raw Data'!$V$2:$V$9999)/SUMIFS('Raw Data'!$D:$D, 'Raw Data'!$B:$B, "Variant", 'Raw Data'!$C:$C, "E. 40-99"),"")</f>
        <v>446.0823609</v>
      </c>
      <c r="Q31" s="36">
        <f t="shared" si="29"/>
        <v>0.01021319849</v>
      </c>
      <c r="R31" s="48">
        <f>IFERROR(SUMPRODUCT(('Raw Data'!$B$2:$B$9999="Control")*('Raw Data'!$C$2:$C$9999="F. 100+")*'Raw Data'!$D$2:$D$9999*'Raw Data'!$V$2:$V$9999)/SUMIFS('Raw Data'!$D:$D, 'Raw Data'!$B:$B, "Control", 'Raw Data'!$C:$C, "F. 100+"),"")</f>
        <v>907.1715539</v>
      </c>
      <c r="S31" s="47">
        <f>IFERROR(SUMPRODUCT(('Raw Data'!$B$2:$B$9999="Variant")*('Raw Data'!$C$2:$C$9999="F. 100+")*'Raw Data'!$D$2:$D$9999*'Raw Data'!$V$2:$V$9999)/SUMIFS('Raw Data'!$D:$D, 'Raw Data'!$B:$B, "Variant", 'Raw Data'!$C:$C, "F. 100+"),"")</f>
        <v>886.5178646</v>
      </c>
      <c r="T31" s="38">
        <f t="shared" si="30"/>
        <v>-0.02276712617</v>
      </c>
    </row>
    <row r="32" ht="15.75" customHeight="1">
      <c r="A32" s="24"/>
      <c r="B32" s="57" t="s">
        <v>38</v>
      </c>
      <c r="C32" s="46">
        <f>IFERROR(SUMPRODUCT(('Raw Data'!$B$2:$B$9999="Control")*('Raw Data'!$C$2:$C$9999="A. 0")*'Raw Data'!$D$2:$D$9999*('Raw Data'!$Q$2:$Q$9999-'Raw Data'!$V$2:$V$9999))/SUMIFS('Raw Data'!$D:$D, 'Raw Data'!$B:$B, "Control", 'Raw Data'!$C:$C, "A. 0"),"")</f>
        <v>24.8073809</v>
      </c>
      <c r="D32" s="47">
        <f>IFERROR(SUMPRODUCT(('Raw Data'!$B$2:$B$9999="Variant")*('Raw Data'!$C$2:$C$9999="A. 0")*'Raw Data'!$D$2:$D$9999*('Raw Data'!$Q$2:$Q$9999-'Raw Data'!$V$2:$V$9999))/SUMIFS('Raw Data'!$D:$D, 'Raw Data'!$B:$B, "Variant", 'Raw Data'!$C:$C, "A. 0"),"")</f>
        <v>21.60121399</v>
      </c>
      <c r="E32" s="28">
        <f t="shared" si="25"/>
        <v>-0.1292424592</v>
      </c>
      <c r="F32" s="48">
        <f>IFERROR(SUMPRODUCT(('Raw Data'!$B$2:$B$9999="Control")*('Raw Data'!$C$2:$C$9999="B. 1-9")*'Raw Data'!$D$2:$D$9999*('Raw Data'!$Q$2:$Q$9999-'Raw Data'!$V$2:$V$9999))/SUMIFS('Raw Data'!$D:$D, 'Raw Data'!$B:$B, "Control", 'Raw Data'!$C:$C, "B. 1-9"),"")</f>
        <v>1.239832637</v>
      </c>
      <c r="G32" s="47">
        <f>IFERROR(SUMPRODUCT(('Raw Data'!$B$2:$B$9999="Variant")*('Raw Data'!$C$2:$C$9999="B. 1-9")*'Raw Data'!$D$2:$D$9999*('Raw Data'!$Q$2:$Q$9999-'Raw Data'!$V$2:$V$9999))/SUMIFS('Raw Data'!$D:$D, 'Raw Data'!$B:$B, "Variant", 'Raw Data'!$C:$C, "B. 1-9"),"")</f>
        <v>-0.213050291</v>
      </c>
      <c r="H32" s="45">
        <f t="shared" si="26"/>
        <v>-1.171837944</v>
      </c>
      <c r="I32" s="46">
        <f>IFERROR(SUMPRODUCT(('Raw Data'!$B$2:$B$9999="Control")*('Raw Data'!$C$2:$C$9999="C. 10-19")*'Raw Data'!$D$2:$D$9999*('Raw Data'!$Q$2:$Q$9999-'Raw Data'!$V$2:$V$9999))/SUMIFS('Raw Data'!$D:$D, 'Raw Data'!$B:$B, "Control", 'Raw Data'!$C:$C, "C. 10-19"),"")</f>
        <v>-0.315363288</v>
      </c>
      <c r="J32" s="47">
        <f>IFERROR(SUMPRODUCT(('Raw Data'!$B$2:$B$9999="Variant")*('Raw Data'!$C$2:$C$9999="C. 10-19")*'Raw Data'!$D$2:$D$9999*('Raw Data'!$Q$2:$Q$9999-'Raw Data'!$V$2:$V$9999))/SUMIFS('Raw Data'!$D:$D, 'Raw Data'!$B:$B, "Variant", 'Raw Data'!$C:$C, "C. 10-19"),"")</f>
        <v>-0.8060822303</v>
      </c>
      <c r="K32" s="37">
        <f t="shared" si="27"/>
        <v>-1.556043335</v>
      </c>
      <c r="L32" s="48">
        <f>IFERROR(SUMPRODUCT(('Raw Data'!$B$2:$B$9999="Control")*('Raw Data'!$C$2:$C$9999="D. 20-39")*'Raw Data'!$D$2:$D$9999*('Raw Data'!$Q$2:$Q$9999-'Raw Data'!$V$2:$V$9999))/SUMIFS('Raw Data'!$D:$D, 'Raw Data'!$B:$B, "Control", 'Raw Data'!$C:$C, "D. 20-39"),"")</f>
        <v>-3.124406557</v>
      </c>
      <c r="M32" s="47">
        <f>IFERROR(SUMPRODUCT(('Raw Data'!$B$2:$B$9999="Variant")*('Raw Data'!$C$2:$C$9999="D. 20-39")*'Raw Data'!$D$2:$D$9999*('Raw Data'!$Q$2:$Q$9999-'Raw Data'!$V$2:$V$9999))/SUMIFS('Raw Data'!$D:$D, 'Raw Data'!$B:$B, "Variant", 'Raw Data'!$C:$C, "D. 20-39"),"")</f>
        <v>-0.11820368</v>
      </c>
      <c r="N32" s="45">
        <f t="shared" si="28"/>
        <v>0.962167638</v>
      </c>
      <c r="O32" s="46">
        <f>IFERROR(SUMPRODUCT(('Raw Data'!$B$2:$B$9999="Control")*('Raw Data'!$C$2:$C$9999="E. 40-99")*'Raw Data'!$D$2:$D$9999*('Raw Data'!$Q$2:$Q$9999-'Raw Data'!$V$2:$V$9999))/SUMIFS('Raw Data'!$D:$D, 'Raw Data'!$B:$B, "Control", 'Raw Data'!$C:$C, "E. 40-99"),"")</f>
        <v>-8.480237007</v>
      </c>
      <c r="P32" s="47">
        <f>IFERROR(SUMPRODUCT(('Raw Data'!$B$2:$B$9999="Variant")*('Raw Data'!$C$2:$C$9999="E. 40-99")*'Raw Data'!$D$2:$D$9999*('Raw Data'!$Q$2:$Q$9999-'Raw Data'!$V$2:$V$9999))/SUMIFS('Raw Data'!$D:$D, 'Raw Data'!$B:$B, "Variant", 'Raw Data'!$C:$C, "E. 40-99"),"")</f>
        <v>-7.652726542</v>
      </c>
      <c r="Q32" s="37">
        <f t="shared" si="29"/>
        <v>0.09758105397</v>
      </c>
      <c r="R32" s="48">
        <f>IFERROR(SUMPRODUCT(('Raw Data'!$B$2:$B$9999="Control")*('Raw Data'!$C$2:$C$9999="F. 100+")*'Raw Data'!$D$2:$D$9999*('Raw Data'!$Q$2:$Q$9999-'Raw Data'!$V$2:$V$9999))/SUMIFS('Raw Data'!$D:$D, 'Raw Data'!$B:$B, "Control", 'Raw Data'!$C:$C, "F. 100+"),"")</f>
        <v>-72.48166654</v>
      </c>
      <c r="S32" s="47">
        <f>IFERROR(SUMPRODUCT(('Raw Data'!$B$2:$B$9999="Variant")*('Raw Data'!$C$2:$C$9999="F. 100+")*'Raw Data'!$D$2:$D$9999*('Raw Data'!$Q$2:$Q$9999-'Raw Data'!$V$2:$V$9999))/SUMIFS('Raw Data'!$D:$D, 'Raw Data'!$B:$B, "Variant", 'Raw Data'!$C:$C, "F. 100+"),"")</f>
        <v>-63.85635649</v>
      </c>
      <c r="T32" s="37">
        <f t="shared" si="30"/>
        <v>0.1189998859</v>
      </c>
    </row>
    <row r="33" ht="15.75" customHeight="1">
      <c r="A33" s="24"/>
      <c r="B33" s="25" t="s">
        <v>39</v>
      </c>
      <c r="C33" s="46">
        <f>IFERROR(SUMPRODUCT(('Raw Data'!$B$2:$B$9999="Control")*('Raw Data'!$C$2:$C$9999="A. 0")*'Raw Data'!$D$2:$D$9999*'Raw Data'!$W$2:$W$9999)/SUMIFS('Raw Data'!$D:$D, 'Raw Data'!$B:$B, "Control", 'Raw Data'!$C:$C, "A. 0"),"")</f>
        <v>0.8068845966</v>
      </c>
      <c r="D33" s="47">
        <f>IFERROR(SUMPRODUCT(('Raw Data'!$B$2:$B$9999="Variant")*('Raw Data'!$C$2:$C$9999="A. 0")*'Raw Data'!$D$2:$D$9999*'Raw Data'!$W$2:$W$9999)/SUMIFS('Raw Data'!$D:$D, 'Raw Data'!$B:$B, "Variant", 'Raw Data'!$C:$C, "A. 0"),"")</f>
        <v>0.7070814142</v>
      </c>
      <c r="E33" s="28">
        <f t="shared" si="25"/>
        <v>-0.1236895373</v>
      </c>
      <c r="F33" s="48">
        <f>IFERROR(SUMPRODUCT(('Raw Data'!$B$2:$B$9999="Control")*('Raw Data'!$C$2:$C$9999="B. 1-9")*'Raw Data'!$D$2:$D$9999*'Raw Data'!$W$2:$W$9999)/SUMIFS('Raw Data'!$D:$D, 'Raw Data'!$B:$B, "Control", 'Raw Data'!$C:$C, "B. 1-9"),"")</f>
        <v>4.12885479</v>
      </c>
      <c r="G33" s="47">
        <f>IFERROR(SUMPRODUCT(('Raw Data'!$B$2:$B$9999="Variant")*('Raw Data'!$C$2:$C$9999="B. 1-9")*'Raw Data'!$D$2:$D$9999*'Raw Data'!$W$2:$W$9999)/SUMIFS('Raw Data'!$D:$D, 'Raw Data'!$B:$B, "Variant", 'Raw Data'!$C:$C, "B. 1-9"),"")</f>
        <v>3.684858778</v>
      </c>
      <c r="H33" s="30">
        <f t="shared" si="26"/>
        <v>-0.1075349061</v>
      </c>
      <c r="I33" s="46">
        <f>IFERROR(SUMPRODUCT(('Raw Data'!$B$2:$B$9999="Control")*('Raw Data'!$C$2:$C$9999="C. 10-19")*'Raw Data'!$D$2:$D$9999*'Raw Data'!$W$2:$W$9999)/SUMIFS('Raw Data'!$D:$D, 'Raw Data'!$B:$B, "Control", 'Raw Data'!$C:$C, "C. 10-19"),"")</f>
        <v>4.435606351</v>
      </c>
      <c r="J33" s="47">
        <f>IFERROR(SUMPRODUCT(('Raw Data'!$B$2:$B$9999="Variant")*('Raw Data'!$C$2:$C$9999="C. 10-19")*'Raw Data'!$D$2:$D$9999*'Raw Data'!$W$2:$W$9999)/SUMIFS('Raw Data'!$D:$D, 'Raw Data'!$B:$B, "Variant", 'Raw Data'!$C:$C, "C. 10-19"),"")</f>
        <v>4.0808247</v>
      </c>
      <c r="K33" s="28">
        <f t="shared" si="27"/>
        <v>-0.0799849273</v>
      </c>
      <c r="L33" s="48">
        <f>IFERROR(SUMPRODUCT(('Raw Data'!$B$2:$B$9999="Control")*('Raw Data'!$C$2:$C$9999="D. 20-39")*'Raw Data'!$D$2:$D$9999*'Raw Data'!$W$2:$W$9999)/SUMIFS('Raw Data'!$D:$D, 'Raw Data'!$B:$B, "Control", 'Raw Data'!$C:$C, "D. 20-39"),"")</f>
        <v>5.267738229</v>
      </c>
      <c r="M33" s="47">
        <f>IFERROR(SUMPRODUCT(('Raw Data'!$B$2:$B$9999="Variant")*('Raw Data'!$C$2:$C$9999="D. 20-39")*'Raw Data'!$D$2:$D$9999*'Raw Data'!$W$2:$W$9999)/SUMIFS('Raw Data'!$D:$D, 'Raw Data'!$B:$B, "Variant", 'Raw Data'!$C:$C, "D. 20-39"),"")</f>
        <v>4.971258791</v>
      </c>
      <c r="N33" s="30">
        <f t="shared" si="28"/>
        <v>-0.05628211298</v>
      </c>
      <c r="O33" s="46">
        <f>IFERROR(SUMPRODUCT(('Raw Data'!$B$2:$B$9999="Control")*('Raw Data'!$C$2:$C$9999="E. 40-99")*'Raw Data'!$D$2:$D$9999*'Raw Data'!$W$2:$W$9999)/SUMIFS('Raw Data'!$D:$D, 'Raw Data'!$B:$B, "Control", 'Raw Data'!$C:$C, "E. 40-99"),"")</f>
        <v>5.922437496</v>
      </c>
      <c r="P33" s="47">
        <f>IFERROR(SUMPRODUCT(('Raw Data'!$B$2:$B$9999="Variant")*('Raw Data'!$C$2:$C$9999="E. 40-99")*'Raw Data'!$D$2:$D$9999*'Raw Data'!$W$2:$W$9999)/SUMIFS('Raw Data'!$D:$D, 'Raw Data'!$B:$B, "Variant", 'Raw Data'!$C:$C, "E. 40-99"),"")</f>
        <v>5.898511895</v>
      </c>
      <c r="Q33" s="28">
        <f t="shared" si="29"/>
        <v>-0.004039823303</v>
      </c>
      <c r="R33" s="48">
        <f>IFERROR(SUMPRODUCT(('Raw Data'!$B$2:$B$9999="Control")*('Raw Data'!$C$2:$C$9999="F. 100+")*'Raw Data'!$D$2:$D$9999*'Raw Data'!$W$2:$W$9999)/SUMIFS('Raw Data'!$D:$D, 'Raw Data'!$B:$B, "Control", 'Raw Data'!$C:$C, "F. 100+"),"")</f>
        <v>6.056970142</v>
      </c>
      <c r="S33" s="47">
        <f>IFERROR(SUMPRODUCT(('Raw Data'!$B$2:$B$9999="Variant")*('Raw Data'!$C$2:$C$9999="F. 100+")*'Raw Data'!$D$2:$D$9999*'Raw Data'!$W$2:$W$9999)/SUMIFS('Raw Data'!$D:$D, 'Raw Data'!$B:$B, "Variant", 'Raw Data'!$C:$C, "F. 100+"),"")</f>
        <v>5.918281982</v>
      </c>
      <c r="T33" s="31">
        <f t="shared" si="30"/>
        <v>-0.022897283</v>
      </c>
    </row>
    <row r="34" ht="15.75" customHeight="1">
      <c r="A34" s="24"/>
      <c r="B34" s="25" t="s">
        <v>40</v>
      </c>
      <c r="C34" s="52">
        <f>IFERROR(SUMPRODUCT(('Raw Data'!$B$2:$B$9999="Control")*('Raw Data'!$C$2:$C$9999="A. 0")*'Raw Data'!$D$2:$D$9999*'Raw Data'!$X$2:$X$9999)/SUMIFS('Raw Data'!$D:$D, 'Raw Data'!$B:$B, "Control", 'Raw Data'!$C:$C, "A. 0"),"")</f>
        <v>1.187856355</v>
      </c>
      <c r="D34" s="53">
        <f>IFERROR(SUMPRODUCT(('Raw Data'!$B$2:$B$9999="Variant")*('Raw Data'!$C$2:$C$9999="A. 0")*'Raw Data'!$D$2:$D$9999*'Raw Data'!$X$2:$X$9999)/SUMIFS('Raw Data'!$D:$D, 'Raw Data'!$B:$B, "Variant", 'Raw Data'!$C:$C, "A. 0"),"")</f>
        <v>1.157951397</v>
      </c>
      <c r="E34" s="34">
        <f t="shared" si="25"/>
        <v>-0.02517556787</v>
      </c>
      <c r="F34" s="54">
        <f>IFERROR(SUMPRODUCT(('Raw Data'!$B$2:$B$9999="Control")*('Raw Data'!$C$2:$C$9999="B. 1-9")*'Raw Data'!$D$2:$D$9999*'Raw Data'!$X$2:$X$9999)/SUMIFS('Raw Data'!$D:$D, 'Raw Data'!$B:$B, "Control", 'Raw Data'!$C:$C, "B. 1-9"),"")</f>
        <v>10.42652131</v>
      </c>
      <c r="G34" s="53">
        <f>IFERROR(SUMPRODUCT(('Raw Data'!$B$2:$B$9999="Variant")*('Raw Data'!$C$2:$C$9999="B. 1-9")*'Raw Data'!$D$2:$D$9999*'Raw Data'!$X$2:$X$9999)/SUMIFS('Raw Data'!$D:$D, 'Raw Data'!$B:$B, "Variant", 'Raw Data'!$C:$C, "B. 1-9"),"")</f>
        <v>12.01616734</v>
      </c>
      <c r="H34" s="45">
        <f t="shared" si="26"/>
        <v>0.1524617835</v>
      </c>
      <c r="I34" s="52">
        <f>IFERROR(SUMPRODUCT(('Raw Data'!$B$2:$B$9999="Control")*('Raw Data'!$C$2:$C$9999="C. 10-19")*'Raw Data'!$D$2:$D$9999*'Raw Data'!$X$2:$X$9999)/SUMIFS('Raw Data'!$D:$D, 'Raw Data'!$B:$B, "Control", 'Raw Data'!$C:$C, "C. 10-19"),"")</f>
        <v>18.29627381</v>
      </c>
      <c r="J34" s="53">
        <f>IFERROR(SUMPRODUCT(('Raw Data'!$B$2:$B$9999="Variant")*('Raw Data'!$C$2:$C$9999="C. 10-19")*'Raw Data'!$D$2:$D$9999*'Raw Data'!$X$2:$X$9999)/SUMIFS('Raw Data'!$D:$D, 'Raw Data'!$B:$B, "Variant", 'Raw Data'!$C:$C, "C. 10-19"),"")</f>
        <v>19.57342255</v>
      </c>
      <c r="K34" s="37">
        <f t="shared" si="27"/>
        <v>0.06980376166</v>
      </c>
      <c r="L34" s="54">
        <f>IFERROR(SUMPRODUCT(('Raw Data'!$B$2:$B$9999="Control")*('Raw Data'!$C$2:$C$9999="D. 20-39")*'Raw Data'!$D$2:$D$9999*'Raw Data'!$X$2:$X$9999)/SUMIFS('Raw Data'!$D:$D, 'Raw Data'!$B:$B, "Control", 'Raw Data'!$C:$C, "D. 20-39"),"")</f>
        <v>23.64418135</v>
      </c>
      <c r="M34" s="53">
        <f>IFERROR(SUMPRODUCT(('Raw Data'!$B$2:$B$9999="Variant")*('Raw Data'!$C$2:$C$9999="D. 20-39")*'Raw Data'!$D$2:$D$9999*'Raw Data'!$X$2:$X$9999)/SUMIFS('Raw Data'!$D:$D, 'Raw Data'!$B:$B, "Variant", 'Raw Data'!$C:$C, "D. 20-39"),"")</f>
        <v>23.96962562</v>
      </c>
      <c r="N34" s="45">
        <f t="shared" si="28"/>
        <v>0.01376424363</v>
      </c>
      <c r="O34" s="52">
        <f>IFERROR(SUMPRODUCT(('Raw Data'!$B$2:$B$9999="Control")*('Raw Data'!$C$2:$C$9999="E. 40-99")*'Raw Data'!$D$2:$D$9999*'Raw Data'!$X$2:$X$9999)/SUMIFS('Raw Data'!$D:$D, 'Raw Data'!$B:$B, "Control", 'Raw Data'!$C:$C, "E. 40-99"),"")</f>
        <v>26.96458388</v>
      </c>
      <c r="P34" s="53">
        <f>IFERROR(SUMPRODUCT(('Raw Data'!$B$2:$B$9999="Variant")*('Raw Data'!$C$2:$C$9999="E. 40-99")*'Raw Data'!$D$2:$D$9999*'Raw Data'!$X$2:$X$9999)/SUMIFS('Raw Data'!$D:$D, 'Raw Data'!$B:$B, "Variant", 'Raw Data'!$C:$C, "E. 40-99"),"")</f>
        <v>28.08496815</v>
      </c>
      <c r="Q34" s="37">
        <f t="shared" si="29"/>
        <v>0.04155021536</v>
      </c>
      <c r="R34" s="54">
        <f>IFERROR(SUMPRODUCT(('Raw Data'!$B$2:$B$9999="Control")*('Raw Data'!$C$2:$C$9999="F. 100+")*'Raw Data'!$D$2:$D$9999*'Raw Data'!$X$2:$X$9999)/SUMIFS('Raw Data'!$D:$D, 'Raw Data'!$B:$B, "Control", 'Raw Data'!$C:$C, "F. 100+"),"")</f>
        <v>25.97271215</v>
      </c>
      <c r="S34" s="53">
        <f>IFERROR(SUMPRODUCT(('Raw Data'!$B$2:$B$9999="Variant")*('Raw Data'!$C$2:$C$9999="F. 100+")*'Raw Data'!$D$2:$D$9999*'Raw Data'!$X$2:$X$9999)/SUMIFS('Raw Data'!$D:$D, 'Raw Data'!$B:$B, "Variant", 'Raw Data'!$C:$C, "F. 100+"),"")</f>
        <v>29.3943576</v>
      </c>
      <c r="T34" s="38">
        <f t="shared" si="30"/>
        <v>0.1317400134</v>
      </c>
    </row>
    <row r="35" ht="15.75" customHeight="1">
      <c r="A35" s="18" t="s">
        <v>41</v>
      </c>
      <c r="B35" s="19"/>
      <c r="C35" s="20"/>
      <c r="D35" s="21"/>
      <c r="E35" s="22"/>
      <c r="F35" s="23"/>
      <c r="G35" s="21"/>
      <c r="H35" s="19"/>
      <c r="I35" s="20"/>
      <c r="J35" s="21"/>
      <c r="K35" s="22"/>
      <c r="L35" s="23"/>
      <c r="M35" s="21"/>
      <c r="N35" s="19"/>
      <c r="O35" s="20"/>
      <c r="P35" s="21"/>
      <c r="Q35" s="22"/>
      <c r="R35" s="23"/>
      <c r="S35" s="21"/>
      <c r="T35" s="21"/>
    </row>
    <row r="36" ht="15.75" customHeight="1">
      <c r="A36" s="24"/>
      <c r="B36" s="25" t="s">
        <v>42</v>
      </c>
      <c r="C36" s="26">
        <f>IFERROR(SUMPRODUCT(('Raw Data'!$B$2:$B$9999="Control")*('Raw Data'!$C$2:$C$9999="A. 0")*'Raw Data'!$D$2:$D$9999*'Raw Data'!$Y$2:$Y$9999)/SUMIFS('Raw Data'!$D:$D, 'Raw Data'!$B:$B, "Control", 'Raw Data'!$C:$C, "A. 0"),"")</f>
        <v>228.4281797</v>
      </c>
      <c r="D36" s="27">
        <f>IFERROR(SUMPRODUCT(('Raw Data'!$B$2:$B$9999="Variant")*('Raw Data'!$C$2:$C$9999="A. 0")*'Raw Data'!$D$2:$D$9999*'Raw Data'!$Y$2:$Y$9999)/SUMIFS('Raw Data'!$D:$D, 'Raw Data'!$B:$B, "Variant", 'Raw Data'!$C:$C, "A. 0"),"")</f>
        <v>203.797096</v>
      </c>
      <c r="E36" s="28">
        <f t="shared" ref="E36:E38" si="31">IFERROR((D36-C36)/ABS(C36),"")</f>
        <v>-0.1078285689</v>
      </c>
      <c r="F36" s="29">
        <f>IFERROR(SUMPRODUCT(('Raw Data'!$B$2:$B$9999="Control")*('Raw Data'!$C$2:$C$9999="B. 1-9")*'Raw Data'!$D$2:$D$9999*'Raw Data'!$Y$2:$Y$9999)/SUMIFS('Raw Data'!$D:$D, 'Raw Data'!$B:$B, "Control", 'Raw Data'!$C:$C, "B. 1-9"),"")</f>
        <v>111.3897222</v>
      </c>
      <c r="G36" s="27">
        <f>IFERROR(SUMPRODUCT(('Raw Data'!$B$2:$B$9999="Variant")*('Raw Data'!$C$2:$C$9999="B. 1-9")*'Raw Data'!$D$2:$D$9999*'Raw Data'!$Y$2:$Y$9999)/SUMIFS('Raw Data'!$D:$D, 'Raw Data'!$B:$B, "Variant", 'Raw Data'!$C:$C, "B. 1-9"),"")</f>
        <v>101.205707</v>
      </c>
      <c r="H36" s="30">
        <f t="shared" ref="H36:H38" si="32">IFERROR((G36-F36)/ABS(F36),"")</f>
        <v>-0.09142688369</v>
      </c>
      <c r="I36" s="26">
        <f>IFERROR(SUMPRODUCT(('Raw Data'!$B$2:$B$9999="Control")*('Raw Data'!$C$2:$C$9999="C. 10-19")*'Raw Data'!$D$2:$D$9999*'Raw Data'!$Y$2:$Y$9999)/SUMIFS('Raw Data'!$D:$D, 'Raw Data'!$B:$B, "Control", 'Raw Data'!$C:$C, "C. 10-19"),"")</f>
        <v>105.6852078</v>
      </c>
      <c r="J36" s="27">
        <f>IFERROR(SUMPRODUCT(('Raw Data'!$B$2:$B$9999="Variant")*('Raw Data'!$C$2:$C$9999="C. 10-19")*'Raw Data'!$D$2:$D$9999*'Raw Data'!$Y$2:$Y$9999)/SUMIFS('Raw Data'!$D:$D, 'Raw Data'!$B:$B, "Variant", 'Raw Data'!$C:$C, "C. 10-19"),"")</f>
        <v>100.2694787</v>
      </c>
      <c r="K36" s="28">
        <f t="shared" ref="K36:K38" si="33">IFERROR((J36-I36)/ABS(I36),"")</f>
        <v>-0.0512439648</v>
      </c>
      <c r="L36" s="29">
        <f>IFERROR(SUMPRODUCT(('Raw Data'!$B$2:$B$9999="Control")*('Raw Data'!$C$2:$C$9999="D. 20-39")*'Raw Data'!$D$2:$D$9999*'Raw Data'!$Y$2:$Y$9999)/SUMIFS('Raw Data'!$D:$D, 'Raw Data'!$B:$B, "Control", 'Raw Data'!$C:$C, "D. 20-39"),"")</f>
        <v>121.5526258</v>
      </c>
      <c r="M36" s="27">
        <f>IFERROR(SUMPRODUCT(('Raw Data'!$B$2:$B$9999="Variant")*('Raw Data'!$C$2:$C$9999="D. 20-39")*'Raw Data'!$D$2:$D$9999*'Raw Data'!$Y$2:$Y$9999)/SUMIFS('Raw Data'!$D:$D, 'Raw Data'!$B:$B, "Variant", 'Raw Data'!$C:$C, "D. 20-39"),"")</f>
        <v>116.2694057</v>
      </c>
      <c r="N36" s="30">
        <f t="shared" ref="N36:N38" si="34">IFERROR((M36-L36)/ABS(L36),"")</f>
        <v>-0.04346446681</v>
      </c>
      <c r="O36" s="26">
        <f>IFERROR(SUMPRODUCT(('Raw Data'!$B$2:$B$9999="Control")*('Raw Data'!$C$2:$C$9999="E. 40-99")*'Raw Data'!$D$2:$D$9999*'Raw Data'!$Y$2:$Y$9999)/SUMIFS('Raw Data'!$D:$D, 'Raw Data'!$B:$B, "Control", 'Raw Data'!$C:$C, "E. 40-99"),"")</f>
        <v>179.5419955</v>
      </c>
      <c r="P36" s="27">
        <f>IFERROR(SUMPRODUCT(('Raw Data'!$B$2:$B$9999="Variant")*('Raw Data'!$C$2:$C$9999="E. 40-99")*'Raw Data'!$D$2:$D$9999*'Raw Data'!$Y$2:$Y$9999)/SUMIFS('Raw Data'!$D:$D, 'Raw Data'!$B:$B, "Variant", 'Raw Data'!$C:$C, "E. 40-99"),"")</f>
        <v>184.3812334</v>
      </c>
      <c r="Q36" s="28">
        <f t="shared" ref="Q36:Q38" si="35">IFERROR((P36-O36)/ABS(O36),"")</f>
        <v>0.02695323678</v>
      </c>
      <c r="R36" s="29">
        <f>IFERROR(SUMPRODUCT(('Raw Data'!$B$2:$B$9999="Control")*('Raw Data'!$C$2:$C$9999="F. 100+")*'Raw Data'!$D$2:$D$9999*'Raw Data'!$Y$2:$Y$9999)/SUMIFS('Raw Data'!$D:$D, 'Raw Data'!$B:$B, "Control", 'Raw Data'!$C:$C, "F. 100+"),"")</f>
        <v>390.6075125</v>
      </c>
      <c r="S36" s="27">
        <f>IFERROR(SUMPRODUCT(('Raw Data'!$B$2:$B$9999="Variant")*('Raw Data'!$C$2:$C$9999="F. 100+")*'Raw Data'!$D$2:$D$9999*'Raw Data'!$Y$2:$Y$9999)/SUMIFS('Raw Data'!$D:$D, 'Raw Data'!$B:$B, "Variant", 'Raw Data'!$C:$C, "F. 100+"),"")</f>
        <v>399.2169837</v>
      </c>
      <c r="T36" s="31">
        <f t="shared" ref="T36:T38" si="36">IFERROR((S36-R36)/ABS(R36),"")</f>
        <v>0.02204123321</v>
      </c>
    </row>
    <row r="37" ht="15.75" customHeight="1">
      <c r="A37" s="24"/>
      <c r="B37" s="25" t="s">
        <v>43</v>
      </c>
      <c r="C37" s="26">
        <f>IFERROR(SUMPRODUCT(('Raw Data'!$B$2:$B$9999="Control")*('Raw Data'!$C$2:$C$9999="A. 0")*'Raw Data'!$D$2:$D$9999*'Raw Data'!$Z$2:$Z$9999)/SUMIFS('Raw Data'!$D:$D, 'Raw Data'!$B:$B, "Control", 'Raw Data'!$C:$C, "A. 0"),"")</f>
        <v>2737.977091</v>
      </c>
      <c r="D37" s="27">
        <f>IFERROR(SUMPRODUCT(('Raw Data'!$B$2:$B$9999="Variant")*('Raw Data'!$C$2:$C$9999="A. 0")*'Raw Data'!$D$2:$D$9999*'Raw Data'!$Z$2:$Z$9999)/SUMIFS('Raw Data'!$D:$D, 'Raw Data'!$B:$B, "Variant", 'Raw Data'!$C:$C, "A. 0"),"")</f>
        <v>2395.776127</v>
      </c>
      <c r="E37" s="28">
        <f t="shared" si="31"/>
        <v>-0.1249831362</v>
      </c>
      <c r="F37" s="29">
        <f>IFERROR(SUMPRODUCT(('Raw Data'!$B$2:$B$9999="Control")*('Raw Data'!$C$2:$C$9999="B. 1-9")*'Raw Data'!$D$2:$D$9999*'Raw Data'!$Z$2:$Z$9999)/SUMIFS('Raw Data'!$D:$D, 'Raw Data'!$B:$B, "Control", 'Raw Data'!$C:$C, "B. 1-9"),"")</f>
        <v>449.9470776</v>
      </c>
      <c r="G37" s="27">
        <f>IFERROR(SUMPRODUCT(('Raw Data'!$B$2:$B$9999="Variant")*('Raw Data'!$C$2:$C$9999="B. 1-9")*'Raw Data'!$D$2:$D$9999*'Raw Data'!$Z$2:$Z$9999)/SUMIFS('Raw Data'!$D:$D, 'Raw Data'!$B:$B, "Variant", 'Raw Data'!$C:$C, "B. 1-9"),"")</f>
        <v>405.8620258</v>
      </c>
      <c r="H37" s="30">
        <f t="shared" si="32"/>
        <v>-0.09797830459</v>
      </c>
      <c r="I37" s="26">
        <f>IFERROR(SUMPRODUCT(('Raw Data'!$B$2:$B$9999="Control")*('Raw Data'!$C$2:$C$9999="C. 10-19")*'Raw Data'!$D$2:$D$9999*'Raw Data'!$Z$2:$Z$9999)/SUMIFS('Raw Data'!$D:$D, 'Raw Data'!$B:$B, "Control", 'Raw Data'!$C:$C, "C. 10-19"),"")</f>
        <v>412.7623676</v>
      </c>
      <c r="J37" s="27">
        <f>IFERROR(SUMPRODUCT(('Raw Data'!$B$2:$B$9999="Variant")*('Raw Data'!$C$2:$C$9999="C. 10-19")*'Raw Data'!$D$2:$D$9999*'Raw Data'!$Z$2:$Z$9999)/SUMIFS('Raw Data'!$D:$D, 'Raw Data'!$B:$B, "Variant", 'Raw Data'!$C:$C, "C. 10-19"),"")</f>
        <v>393.3011959</v>
      </c>
      <c r="K37" s="28">
        <f t="shared" si="33"/>
        <v>-0.04714860958</v>
      </c>
      <c r="L37" s="29">
        <f>IFERROR(SUMPRODUCT(('Raw Data'!$B$2:$B$9999="Control")*('Raw Data'!$C$2:$C$9999="D. 20-39")*'Raw Data'!$D$2:$D$9999*'Raw Data'!$Z$2:$Z$9999)/SUMIFS('Raw Data'!$D:$D, 'Raw Data'!$B:$B, "Control", 'Raw Data'!$C:$C, "D. 20-39"),"")</f>
        <v>548.8563858</v>
      </c>
      <c r="M37" s="27">
        <f>IFERROR(SUMPRODUCT(('Raw Data'!$B$2:$B$9999="Variant")*('Raw Data'!$C$2:$C$9999="D. 20-39")*'Raw Data'!$D$2:$D$9999*'Raw Data'!$Z$2:$Z$9999)/SUMIFS('Raw Data'!$D:$D, 'Raw Data'!$B:$B, "Variant", 'Raw Data'!$C:$C, "D. 20-39"),"")</f>
        <v>559.433359</v>
      </c>
      <c r="N37" s="30">
        <f t="shared" si="34"/>
        <v>0.01927093046</v>
      </c>
      <c r="O37" s="26">
        <f>IFERROR(SUMPRODUCT(('Raw Data'!$B$2:$B$9999="Control")*('Raw Data'!$C$2:$C$9999="E. 40-99")*'Raw Data'!$D$2:$D$9999*'Raw Data'!$Z$2:$Z$9999)/SUMIFS('Raw Data'!$D:$D, 'Raw Data'!$B:$B, "Control", 'Raw Data'!$C:$C, "E. 40-99"),"")</f>
        <v>1164.009577</v>
      </c>
      <c r="P37" s="27">
        <f>IFERROR(SUMPRODUCT(('Raw Data'!$B$2:$B$9999="Variant")*('Raw Data'!$C$2:$C$9999="E. 40-99")*'Raw Data'!$D$2:$D$9999*'Raw Data'!$Z$2:$Z$9999)/SUMIFS('Raw Data'!$D:$D, 'Raw Data'!$B:$B, "Variant", 'Raw Data'!$C:$C, "E. 40-99"),"")</f>
        <v>1105.730156</v>
      </c>
      <c r="Q37" s="28">
        <f t="shared" si="35"/>
        <v>-0.05006781908</v>
      </c>
      <c r="R37" s="29">
        <f>IFERROR(SUMPRODUCT(('Raw Data'!$B$2:$B$9999="Control")*('Raw Data'!$C$2:$C$9999="F. 100+")*'Raw Data'!$D$2:$D$9999*'Raw Data'!$Z$2:$Z$9999)/SUMIFS('Raw Data'!$D:$D, 'Raw Data'!$B:$B, "Control", 'Raw Data'!$C:$C, "F. 100+"),"")</f>
        <v>2343.88555</v>
      </c>
      <c r="S37" s="27">
        <f>IFERROR(SUMPRODUCT(('Raw Data'!$B$2:$B$9999="Variant")*('Raw Data'!$C$2:$C$9999="F. 100+")*'Raw Data'!$D$2:$D$9999*'Raw Data'!$Z$2:$Z$9999)/SUMIFS('Raw Data'!$D:$D, 'Raw Data'!$B:$B, "Variant", 'Raw Data'!$C:$C, "F. 100+"),"")</f>
        <v>2513.417425</v>
      </c>
      <c r="T37" s="31">
        <f t="shared" si="36"/>
        <v>0.07232941679</v>
      </c>
    </row>
    <row r="38" ht="15.75" customHeight="1">
      <c r="A38" s="24"/>
      <c r="B38" s="25" t="s">
        <v>44</v>
      </c>
      <c r="C38" s="26">
        <f>IFERROR(SUMPRODUCT(('Raw Data'!$B$2:$B$9999="Control")*('Raw Data'!$C$2:$C$9999="A. 0")*'Raw Data'!$D$2:$D$9999*'Raw Data'!$AA$2:$AA$9999)/SUMIFS('Raw Data'!$D:$D, 'Raw Data'!$B:$B, "Control", 'Raw Data'!$C:$C, "A. 0"),"")</f>
        <v>13160.84342</v>
      </c>
      <c r="D38" s="27">
        <f>IFERROR(SUMPRODUCT(('Raw Data'!$B$2:$B$9999="Variant")*('Raw Data'!$C$2:$C$9999="A. 0")*'Raw Data'!$D$2:$D$9999*'Raw Data'!$AA$2:$AA$9999)/SUMIFS('Raw Data'!$D:$D, 'Raw Data'!$B:$B, "Variant", 'Raw Data'!$C:$C, "A. 0"),"")</f>
        <v>12146.04</v>
      </c>
      <c r="E38" s="28">
        <f t="shared" si="31"/>
        <v>-0.07710778022</v>
      </c>
      <c r="F38" s="29">
        <f>IFERROR(SUMPRODUCT(('Raw Data'!$B$2:$B$9999="Control")*('Raw Data'!$C$2:$C$9999="B. 1-9")*'Raw Data'!$D$2:$D$9999*'Raw Data'!$AA$2:$AA$9999)/SUMIFS('Raw Data'!$D:$D, 'Raw Data'!$B:$B, "Control", 'Raw Data'!$C:$C, "B. 1-9"),"")</f>
        <v>3360.896005</v>
      </c>
      <c r="G38" s="27">
        <f>IFERROR(SUMPRODUCT(('Raw Data'!$B$2:$B$9999="Variant")*('Raw Data'!$C$2:$C$9999="B. 1-9")*'Raw Data'!$D$2:$D$9999*'Raw Data'!$AA$2:$AA$9999)/SUMIFS('Raw Data'!$D:$D, 'Raw Data'!$B:$B, "Variant", 'Raw Data'!$C:$C, "B. 1-9"),"")</f>
        <v>3097.459389</v>
      </c>
      <c r="H38" s="30">
        <f t="shared" si="32"/>
        <v>-0.07838285245</v>
      </c>
      <c r="I38" s="26">
        <f>IFERROR(SUMPRODUCT(('Raw Data'!$B$2:$B$9999="Control")*('Raw Data'!$C$2:$C$9999="C. 10-19")*'Raw Data'!$D$2:$D$9999*'Raw Data'!$AA$2:$AA$9999)/SUMIFS('Raw Data'!$D:$D, 'Raw Data'!$B:$B, "Control", 'Raw Data'!$C:$C, "C. 10-19"),"")</f>
        <v>3111.695939</v>
      </c>
      <c r="J38" s="27">
        <f>IFERROR(SUMPRODUCT(('Raw Data'!$B$2:$B$9999="Variant")*('Raw Data'!$C$2:$C$9999="C. 10-19")*'Raw Data'!$D$2:$D$9999*'Raw Data'!$AA$2:$AA$9999)/SUMIFS('Raw Data'!$D:$D, 'Raw Data'!$B:$B, "Variant", 'Raw Data'!$C:$C, "C. 10-19"),"")</f>
        <v>2962.825606</v>
      </c>
      <c r="K38" s="28">
        <f t="shared" si="33"/>
        <v>-0.04784218504</v>
      </c>
      <c r="L38" s="29">
        <f>IFERROR(SUMPRODUCT(('Raw Data'!$B$2:$B$9999="Control")*('Raw Data'!$C$2:$C$9999="D. 20-39")*'Raw Data'!$D$2:$D$9999*'Raw Data'!$AA$2:$AA$9999)/SUMIFS('Raw Data'!$D:$D, 'Raw Data'!$B:$B, "Control", 'Raw Data'!$C:$C, "D. 20-39"),"")</f>
        <v>3986.104742</v>
      </c>
      <c r="M38" s="27">
        <f>IFERROR(SUMPRODUCT(('Raw Data'!$B$2:$B$9999="Variant")*('Raw Data'!$C$2:$C$9999="D. 20-39")*'Raw Data'!$D$2:$D$9999*'Raw Data'!$AA$2:$AA$9999)/SUMIFS('Raw Data'!$D:$D, 'Raw Data'!$B:$B, "Variant", 'Raw Data'!$C:$C, "D. 20-39"),"")</f>
        <v>4049.249162</v>
      </c>
      <c r="N38" s="30">
        <f t="shared" si="34"/>
        <v>0.01584113416</v>
      </c>
      <c r="O38" s="26">
        <f>IFERROR(SUMPRODUCT(('Raw Data'!$B$2:$B$9999="Control")*('Raw Data'!$C$2:$C$9999="E. 40-99")*'Raw Data'!$D$2:$D$9999*'Raw Data'!$AA$2:$AA$9999)/SUMIFS('Raw Data'!$D:$D, 'Raw Data'!$B:$B, "Control", 'Raw Data'!$C:$C, "E. 40-99"),"")</f>
        <v>6772.874047</v>
      </c>
      <c r="P38" s="27">
        <f>IFERROR(SUMPRODUCT(('Raw Data'!$B$2:$B$9999="Variant")*('Raw Data'!$C$2:$C$9999="E. 40-99")*'Raw Data'!$D$2:$D$9999*'Raw Data'!$AA$2:$AA$9999)/SUMIFS('Raw Data'!$D:$D, 'Raw Data'!$B:$B, "Variant", 'Raw Data'!$C:$C, "E. 40-99"),"")</f>
        <v>6453.032545</v>
      </c>
      <c r="Q38" s="28">
        <f t="shared" si="35"/>
        <v>-0.04722389635</v>
      </c>
      <c r="R38" s="29">
        <f>IFERROR(SUMPRODUCT(('Raw Data'!$B$2:$B$9999="Control")*('Raw Data'!$C$2:$C$9999="F. 100+")*'Raw Data'!$D$2:$D$9999*'Raw Data'!$AA$2:$AA$9999)/SUMIFS('Raw Data'!$D:$D, 'Raw Data'!$B:$B, "Control", 'Raw Data'!$C:$C, "F. 100+"),"")</f>
        <v>8966.723802</v>
      </c>
      <c r="S38" s="27">
        <f>IFERROR(SUMPRODUCT(('Raw Data'!$B$2:$B$9999="Variant")*('Raw Data'!$C$2:$C$9999="F. 100+")*'Raw Data'!$D$2:$D$9999*'Raw Data'!$AA$2:$AA$9999)/SUMIFS('Raw Data'!$D:$D, 'Raw Data'!$B:$B, "Variant", 'Raw Data'!$C:$C, "F. 100+"),"")</f>
        <v>10109.57051</v>
      </c>
      <c r="T38" s="31">
        <f t="shared" si="36"/>
        <v>0.1274542113</v>
      </c>
    </row>
    <row r="39" ht="15.75" customHeight="1">
      <c r="A39" s="18" t="s">
        <v>45</v>
      </c>
      <c r="B39" s="19"/>
      <c r="C39" s="20"/>
      <c r="D39" s="21"/>
      <c r="E39" s="22"/>
      <c r="F39" s="23"/>
      <c r="G39" s="21"/>
      <c r="H39" s="19"/>
      <c r="I39" s="20"/>
      <c r="J39" s="21"/>
      <c r="K39" s="22"/>
      <c r="L39" s="23"/>
      <c r="M39" s="21"/>
      <c r="N39" s="19"/>
      <c r="O39" s="20"/>
      <c r="P39" s="21"/>
      <c r="Q39" s="22"/>
      <c r="R39" s="23"/>
      <c r="S39" s="21"/>
      <c r="T39" s="21"/>
    </row>
    <row r="40" ht="15.75" customHeight="1">
      <c r="A40" s="24"/>
      <c r="B40" s="57" t="s">
        <v>46</v>
      </c>
      <c r="C40" s="52">
        <f>IFERROR(SUMPRODUCT(('Raw Data'!$B$2:$B$9999="Control")*('Raw Data'!$C$2:$C$9999="A. 0")*'Raw Data'!$D$2:$D$9999*'Raw Data'!$AQ$2:$AQ$9999)/SUMIFS('Raw Data'!$D:$D, 'Raw Data'!$B:$B, "Control", 'Raw Data'!$C:$C, "A. 0"),"")</f>
        <v>1.147146034</v>
      </c>
      <c r="D40" s="53">
        <f>IFERROR(SUMPRODUCT(('Raw Data'!$B$2:$B$9999="Variant")*('Raw Data'!$C$2:$C$9999="A. 0")*'Raw Data'!$D$2:$D$9999*'Raw Data'!$AQ$2:$AQ$9999)/SUMIFS('Raw Data'!$D:$D, 'Raw Data'!$B:$B, "Variant", 'Raw Data'!$C:$C, "A. 0"),"")</f>
        <v>1.139818522</v>
      </c>
      <c r="E40" s="34">
        <f t="shared" ref="E40:E45" si="37">IFERROR((D40-C40)/ABS(C40),"")</f>
        <v>-0.006387602068</v>
      </c>
      <c r="F40" s="54">
        <f>IFERROR(SUMPRODUCT(('Raw Data'!$B$2:$B$9999="Control")*('Raw Data'!$C$2:$C$9999="B. 1-9")*'Raw Data'!$D$2:$D$9999*'Raw Data'!$AQ$2:$AQ$9999)/SUMIFS('Raw Data'!$D:$D, 'Raw Data'!$B:$B, "Control", 'Raw Data'!$C:$C, "B. 1-9"),"")</f>
        <v>3.501986828</v>
      </c>
      <c r="G40" s="53">
        <f>IFERROR(SUMPRODUCT(('Raw Data'!$B$2:$B$9999="Variant")*('Raw Data'!$C$2:$C$9999="B. 1-9")*'Raw Data'!$D$2:$D$9999*'Raw Data'!$AQ$2:$AQ$9999)/SUMIFS('Raw Data'!$D:$D, 'Raw Data'!$B:$B, "Variant", 'Raw Data'!$C:$C, "B. 1-9"),"")</f>
        <v>3.860480497</v>
      </c>
      <c r="H40" s="45">
        <f t="shared" ref="H40:H45" si="38">IFERROR((G40-F40)/ABS(F40),"")</f>
        <v>0.1023686513</v>
      </c>
      <c r="I40" s="52">
        <f>IFERROR(SUMPRODUCT(('Raw Data'!$B$2:$B$9999="Control")*('Raw Data'!$C$2:$C$9999="C. 10-19")*'Raw Data'!$D$2:$D$9999*'Raw Data'!$AQ$2:$AQ$9999)/SUMIFS('Raw Data'!$D:$D, 'Raw Data'!$B:$B, "Control", 'Raw Data'!$C:$C, "C. 10-19"),"")</f>
        <v>6.694560214</v>
      </c>
      <c r="J40" s="53">
        <f>IFERROR(SUMPRODUCT(('Raw Data'!$B$2:$B$9999="Variant")*('Raw Data'!$C$2:$C$9999="C. 10-19")*'Raw Data'!$D$2:$D$9999*'Raw Data'!$AQ$2:$AQ$9999)/SUMIFS('Raw Data'!$D:$D, 'Raw Data'!$B:$B, "Variant", 'Raw Data'!$C:$C, "C. 10-19"),"")</f>
        <v>7.440505335</v>
      </c>
      <c r="K40" s="37">
        <f t="shared" ref="K40:K45" si="39">IFERROR((J40-I40)/ABS(I40),"")</f>
        <v>0.11142556</v>
      </c>
      <c r="L40" s="54">
        <f>IFERROR(SUMPRODUCT(('Raw Data'!$B$2:$B$9999="Control")*('Raw Data'!$C$2:$C$9999="D. 20-39")*'Raw Data'!$D$2:$D$9999*'Raw Data'!$AQ$2:$AQ$9999)/SUMIFS('Raw Data'!$D:$D, 'Raw Data'!$B:$B, "Control", 'Raw Data'!$C:$C, "D. 20-39"),"")</f>
        <v>10.73302861</v>
      </c>
      <c r="M40" s="53">
        <f>IFERROR(SUMPRODUCT(('Raw Data'!$B$2:$B$9999="Variant")*('Raw Data'!$C$2:$C$9999="D. 20-39")*'Raw Data'!$D$2:$D$9999*'Raw Data'!$AQ$2:$AQ$9999)/SUMIFS('Raw Data'!$D:$D, 'Raw Data'!$B:$B, "Variant", 'Raw Data'!$C:$C, "D. 20-39"),"")</f>
        <v>11.64561534</v>
      </c>
      <c r="N40" s="45">
        <f t="shared" ref="N40:N45" si="40">IFERROR((M40-L40)/ABS(L40),"")</f>
        <v>0.08502602236</v>
      </c>
      <c r="O40" s="52">
        <f>IFERROR(SUMPRODUCT(('Raw Data'!$B$2:$B$9999="Control")*('Raw Data'!$C$2:$C$9999="E. 40-99")*'Raw Data'!$D$2:$D$9999*'Raw Data'!$AQ$2:$AQ$9999)/SUMIFS('Raw Data'!$D:$D, 'Raw Data'!$B:$B, "Control", 'Raw Data'!$C:$C, "E. 40-99"),"")</f>
        <v>18.01002362</v>
      </c>
      <c r="P40" s="53">
        <f>IFERROR(SUMPRODUCT(('Raw Data'!$B$2:$B$9999="Variant")*('Raw Data'!$C$2:$C$9999="E. 40-99")*'Raw Data'!$D$2:$D$9999*'Raw Data'!$AQ$2:$AQ$9999)/SUMIFS('Raw Data'!$D:$D, 'Raw Data'!$B:$B, "Variant", 'Raw Data'!$C:$C, "E. 40-99"),"")</f>
        <v>19.47688356</v>
      </c>
      <c r="Q40" s="37">
        <f t="shared" ref="Q40:Q45" si="41">IFERROR((P40-O40)/ABS(O40),"")</f>
        <v>0.08144686358</v>
      </c>
      <c r="R40" s="54">
        <f>IFERROR(SUMPRODUCT(('Raw Data'!$B$2:$B$9999="Control")*('Raw Data'!$C$2:$C$9999="F. 100+")*'Raw Data'!$D$2:$D$9999*'Raw Data'!$AQ$2:$AQ$9999)/SUMIFS('Raw Data'!$D:$D, 'Raw Data'!$B:$B, "Control", 'Raw Data'!$C:$C, "F. 100+"),"")</f>
        <v>35.29820701</v>
      </c>
      <c r="S40" s="55">
        <f>IFERROR(SUMPRODUCT(('Raw Data'!$B$2:$B$9999="Variant")*('Raw Data'!$C$2:$C$9999="F. 100+")*'Raw Data'!$D$2:$D$9999*'Raw Data'!$AQ$2:$AQ$9999)/SUMIFS('Raw Data'!$D:$D, 'Raw Data'!$B:$B, "Variant", 'Raw Data'!$C:$C, "F. 100+"),"")</f>
        <v>36.50206811</v>
      </c>
      <c r="T40" s="59">
        <f t="shared" ref="T40:T45" si="42">IFERROR((S40-R40)/ABS(R40),"")</f>
        <v>0.03410544622</v>
      </c>
    </row>
    <row r="41" ht="15.75" customHeight="1">
      <c r="A41" s="24"/>
      <c r="B41" s="57" t="s">
        <v>47</v>
      </c>
      <c r="C41" s="52">
        <f>IFERROR(SUMPRODUCT(('Raw Data'!$B$2:$B$9999="Control")*('Raw Data'!$C$2:$C$9999="A. 0")*'Raw Data'!$D$2:$D$9999*'Raw Data'!$AR$2:$AR$9999)/SUMIFS('Raw Data'!$D:$D, 'Raw Data'!$B:$B, "Control", 'Raw Data'!$C:$C, "A. 0"),"")</f>
        <v>0.005834338413</v>
      </c>
      <c r="D41" s="53">
        <f>IFERROR(SUMPRODUCT(('Raw Data'!$B$2:$B$9999="Variant")*('Raw Data'!$C$2:$C$9999="A. 0")*'Raw Data'!$D$2:$D$9999*'Raw Data'!$AR$2:$AR$9999)/SUMIFS('Raw Data'!$D:$D, 'Raw Data'!$B:$B, "Variant", 'Raw Data'!$C:$C, "A. 0"),"")</f>
        <v>0.004463040587</v>
      </c>
      <c r="E41" s="34">
        <f t="shared" si="37"/>
        <v>-0.2350391303</v>
      </c>
      <c r="F41" s="54">
        <f>IFERROR(SUMPRODUCT(('Raw Data'!$B$2:$B$9999="Control")*('Raw Data'!$C$2:$C$9999="B. 1-9")*'Raw Data'!$D$2:$D$9999*'Raw Data'!$AR$2:$AR$9999)/SUMIFS('Raw Data'!$D:$D, 'Raw Data'!$B:$B, "Control", 'Raw Data'!$C:$C, "B. 1-9"),"")</f>
        <v>0.0786688773</v>
      </c>
      <c r="G41" s="53">
        <f>IFERROR(SUMPRODUCT(('Raw Data'!$B$2:$B$9999="Variant")*('Raw Data'!$C$2:$C$9999="B. 1-9")*'Raw Data'!$D$2:$D$9999*'Raw Data'!$AR$2:$AR$9999)/SUMIFS('Raw Data'!$D:$D, 'Raw Data'!$B:$B, "Variant", 'Raw Data'!$C:$C, "B. 1-9"),"")</f>
        <v>0.07929104683</v>
      </c>
      <c r="H41" s="45">
        <f t="shared" si="38"/>
        <v>0.007908712413</v>
      </c>
      <c r="I41" s="52">
        <f>IFERROR(SUMPRODUCT(('Raw Data'!$B$2:$B$9999="Control")*('Raw Data'!$C$2:$C$9999="C. 10-19")*'Raw Data'!$D$2:$D$9999*'Raw Data'!$AR$2:$AR$9999)/SUMIFS('Raw Data'!$D:$D, 'Raw Data'!$B:$B, "Control", 'Raw Data'!$C:$C, "C. 10-19"),"")</f>
        <v>0.2857550004</v>
      </c>
      <c r="J41" s="53">
        <f>IFERROR(SUMPRODUCT(('Raw Data'!$B$2:$B$9999="Variant")*('Raw Data'!$C$2:$C$9999="C. 10-19")*'Raw Data'!$D$2:$D$9999*'Raw Data'!$AR$2:$AR$9999)/SUMIFS('Raw Data'!$D:$D, 'Raw Data'!$B:$B, "Variant", 'Raw Data'!$C:$C, "C. 10-19"),"")</f>
        <v>0.2875186125</v>
      </c>
      <c r="K41" s="37">
        <f t="shared" si="39"/>
        <v>0.006171762897</v>
      </c>
      <c r="L41" s="54">
        <f>IFERROR(SUMPRODUCT(('Raw Data'!$B$2:$B$9999="Control")*('Raw Data'!$C$2:$C$9999="D. 20-39")*'Raw Data'!$D$2:$D$9999*'Raw Data'!$AR$2:$AR$9999)/SUMIFS('Raw Data'!$D:$D, 'Raw Data'!$B:$B, "Control", 'Raw Data'!$C:$C, "D. 20-39"),"")</f>
        <v>0.6871839611</v>
      </c>
      <c r="M41" s="53">
        <f>IFERROR(SUMPRODUCT(('Raw Data'!$B$2:$B$9999="Variant")*('Raw Data'!$C$2:$C$9999="D. 20-39")*'Raw Data'!$D$2:$D$9999*'Raw Data'!$AR$2:$AR$9999)/SUMIFS('Raw Data'!$D:$D, 'Raw Data'!$B:$B, "Variant", 'Raw Data'!$C:$C, "D. 20-39"),"")</f>
        <v>0.6578591788</v>
      </c>
      <c r="N41" s="45">
        <f t="shared" si="40"/>
        <v>-0.04267384567</v>
      </c>
      <c r="O41" s="52">
        <f>IFERROR(SUMPRODUCT(('Raw Data'!$B$2:$B$9999="Control")*('Raw Data'!$C$2:$C$9999="E. 40-99")*'Raw Data'!$D$2:$D$9999*'Raw Data'!$AR$2:$AR$9999)/SUMIFS('Raw Data'!$D:$D, 'Raw Data'!$B:$B, "Control", 'Raw Data'!$C:$C, "E. 40-99"),"")</f>
        <v>1.489632914</v>
      </c>
      <c r="P41" s="53">
        <f>IFERROR(SUMPRODUCT(('Raw Data'!$B$2:$B$9999="Variant")*('Raw Data'!$C$2:$C$9999="E. 40-99")*'Raw Data'!$D$2:$D$9999*'Raw Data'!$AR$2:$AR$9999)/SUMIFS('Raw Data'!$D:$D, 'Raw Data'!$B:$B, "Variant", 'Raw Data'!$C:$C, "E. 40-99"),"")</f>
        <v>1.712946916</v>
      </c>
      <c r="Q41" s="37">
        <f t="shared" si="41"/>
        <v>0.1499121022</v>
      </c>
      <c r="R41" s="54">
        <f>IFERROR(SUMPRODUCT(('Raw Data'!$B$2:$B$9999="Control")*('Raw Data'!$C$2:$C$9999="F. 100+")*'Raw Data'!$D$2:$D$9999*'Raw Data'!$AR$2:$AR$9999)/SUMIFS('Raw Data'!$D:$D, 'Raw Data'!$B:$B, "Control", 'Raw Data'!$C:$C, "F. 100+"),"")</f>
        <v>4.064691637</v>
      </c>
      <c r="S41" s="55">
        <f>IFERROR(SUMPRODUCT(('Raw Data'!$B$2:$B$9999="Variant")*('Raw Data'!$C$2:$C$9999="F. 100+")*'Raw Data'!$D$2:$D$9999*'Raw Data'!$AR$2:$AR$9999)/SUMIFS('Raw Data'!$D:$D, 'Raw Data'!$B:$B, "Variant", 'Raw Data'!$C:$C, "F. 100+"),"")</f>
        <v>3.993037483</v>
      </c>
      <c r="T41" s="59">
        <f t="shared" si="42"/>
        <v>-0.01762843538</v>
      </c>
    </row>
    <row r="42" ht="15.75" customHeight="1">
      <c r="A42" s="24"/>
      <c r="B42" s="57" t="s">
        <v>48</v>
      </c>
      <c r="C42" s="52">
        <f>IFERROR(SUMPRODUCT(('Raw Data'!$B$2:$B$9999="Control")*('Raw Data'!$C$2:$C$9999="A. 0")*'Raw Data'!$D$2:$D$9999*'Raw Data'!$AS$2:$AS$9999)/SUMIFS('Raw Data'!$D:$D, 'Raw Data'!$B:$B, "Control", 'Raw Data'!$C:$C, "A. 0"),"")</f>
        <v>1.141304729</v>
      </c>
      <c r="D42" s="53">
        <f>IFERROR(SUMPRODUCT(('Raw Data'!$B$2:$B$9999="Variant")*('Raw Data'!$C$2:$C$9999="A. 0")*'Raw Data'!$D$2:$D$9999*'Raw Data'!$AS$2:$AS$9999)/SUMIFS('Raw Data'!$D:$D, 'Raw Data'!$B:$B, "Variant", 'Raw Data'!$C:$C, "A. 0"),"")</f>
        <v>1.135359583</v>
      </c>
      <c r="E42" s="34">
        <f t="shared" si="37"/>
        <v>-0.005209078936</v>
      </c>
      <c r="F42" s="54">
        <f>IFERROR(SUMPRODUCT(('Raw Data'!$B$2:$B$9999="Control")*('Raw Data'!$C$2:$C$9999="B. 1-9")*'Raw Data'!$D$2:$D$9999*'Raw Data'!$AS$2:$AS$9999)/SUMIFS('Raw Data'!$D:$D, 'Raw Data'!$B:$B, "Control", 'Raw Data'!$C:$C, "B. 1-9"),"")</f>
        <v>3.423310979</v>
      </c>
      <c r="G42" s="53">
        <f>IFERROR(SUMPRODUCT(('Raw Data'!$B$2:$B$9999="Variant")*('Raw Data'!$C$2:$C$9999="B. 1-9")*'Raw Data'!$D$2:$D$9999*'Raw Data'!$AS$2:$AS$9999)/SUMIFS('Raw Data'!$D:$D, 'Raw Data'!$B:$B, "Variant", 'Raw Data'!$C:$C, "B. 1-9"),"")</f>
        <v>3.78118653</v>
      </c>
      <c r="H42" s="45">
        <f t="shared" si="38"/>
        <v>0.1045407658</v>
      </c>
      <c r="I42" s="52">
        <f>IFERROR(SUMPRODUCT(('Raw Data'!$B$2:$B$9999="Control")*('Raw Data'!$C$2:$C$9999="C. 10-19")*'Raw Data'!$D$2:$D$9999*'Raw Data'!$AS$2:$AS$9999)/SUMIFS('Raw Data'!$D:$D, 'Raw Data'!$B:$B, "Control", 'Raw Data'!$C:$C, "C. 10-19"),"")</f>
        <v>6.408798741</v>
      </c>
      <c r="J42" s="53">
        <f>IFERROR(SUMPRODUCT(('Raw Data'!$B$2:$B$9999="Variant")*('Raw Data'!$C$2:$C$9999="C. 10-19")*'Raw Data'!$D$2:$D$9999*'Raw Data'!$AS$2:$AS$9999)/SUMIFS('Raw Data'!$D:$D, 'Raw Data'!$B:$B, "Variant", 'Raw Data'!$C:$C, "C. 10-19"),"")</f>
        <v>7.152986891</v>
      </c>
      <c r="K42" s="37">
        <f t="shared" si="39"/>
        <v>0.1161197567</v>
      </c>
      <c r="L42" s="54">
        <f>IFERROR(SUMPRODUCT(('Raw Data'!$B$2:$B$9999="Control")*('Raw Data'!$C$2:$C$9999="D. 20-39")*'Raw Data'!$D$2:$D$9999*'Raw Data'!$AS$2:$AS$9999)/SUMIFS('Raw Data'!$D:$D, 'Raw Data'!$B:$B, "Control", 'Raw Data'!$C:$C, "D. 20-39"),"")</f>
        <v>10.04586541</v>
      </c>
      <c r="M42" s="53">
        <f>IFERROR(SUMPRODUCT(('Raw Data'!$B$2:$B$9999="Variant")*('Raw Data'!$C$2:$C$9999="D. 20-39")*'Raw Data'!$D$2:$D$9999*'Raw Data'!$AS$2:$AS$9999)/SUMIFS('Raw Data'!$D:$D, 'Raw Data'!$B:$B, "Variant", 'Raw Data'!$C:$C, "D. 20-39"),"")</f>
        <v>10.98775948</v>
      </c>
      <c r="N42" s="45">
        <f t="shared" si="40"/>
        <v>0.09375937607</v>
      </c>
      <c r="O42" s="52">
        <f>IFERROR(SUMPRODUCT(('Raw Data'!$B$2:$B$9999="Control")*('Raw Data'!$C$2:$C$9999="E. 40-99")*'Raw Data'!$D$2:$D$9999*'Raw Data'!$AS$2:$AS$9999)/SUMIFS('Raw Data'!$D:$D, 'Raw Data'!$B:$B, "Control", 'Raw Data'!$C:$C, "E. 40-99"),"")</f>
        <v>16.52037322</v>
      </c>
      <c r="P42" s="53">
        <f>IFERROR(SUMPRODUCT(('Raw Data'!$B$2:$B$9999="Variant")*('Raw Data'!$C$2:$C$9999="E. 40-99")*'Raw Data'!$D$2:$D$9999*'Raw Data'!$AS$2:$AS$9999)/SUMIFS('Raw Data'!$D:$D, 'Raw Data'!$B:$B, "Variant", 'Raw Data'!$C:$C, "E. 40-99"),"")</f>
        <v>17.76394409</v>
      </c>
      <c r="Q42" s="37">
        <f t="shared" si="41"/>
        <v>0.07527498648</v>
      </c>
      <c r="R42" s="54">
        <f>IFERROR(SUMPRODUCT(('Raw Data'!$B$2:$B$9999="Control")*('Raw Data'!$C$2:$C$9999="F. 100+")*'Raw Data'!$D$2:$D$9999*'Raw Data'!$AS$2:$AS$9999)/SUMIFS('Raw Data'!$D:$D, 'Raw Data'!$B:$B, "Control", 'Raw Data'!$C:$C, "F. 100+"),"")</f>
        <v>31.23350771</v>
      </c>
      <c r="S42" s="55">
        <f>IFERROR(SUMPRODUCT(('Raw Data'!$B$2:$B$9999="Variant")*('Raw Data'!$C$2:$C$9999="F. 100+")*'Raw Data'!$D$2:$D$9999*'Raw Data'!$AS$2:$AS$9999)/SUMIFS('Raw Data'!$D:$D, 'Raw Data'!$B:$B, "Variant", 'Raw Data'!$C:$C, "F. 100+"),"")</f>
        <v>32.50902725</v>
      </c>
      <c r="T42" s="59">
        <f t="shared" si="42"/>
        <v>0.04083817783</v>
      </c>
    </row>
    <row r="43" ht="15.75" customHeight="1">
      <c r="A43" s="24"/>
      <c r="B43" s="57" t="s">
        <v>49</v>
      </c>
      <c r="C43" s="52">
        <f>IFERROR(SUMPRODUCT(('Raw Data'!$B$2:$B$9999="Control")*('Raw Data'!$C$2:$C$9999="A. 0")*'Raw Data'!$D$2:$D$9999*'Raw Data'!$AT$2:$AT$9999)/SUMIFS('Raw Data'!$D:$D, 'Raw Data'!$B:$B, "Control", 'Raw Data'!$C:$C, "A. 0"),"")</f>
        <v>0.3955655876</v>
      </c>
      <c r="D43" s="53">
        <f>IFERROR(SUMPRODUCT(('Raw Data'!$B$2:$B$9999="Variant")*('Raw Data'!$C$2:$C$9999="A. 0")*'Raw Data'!$D$2:$D$9999*'Raw Data'!$AT$2:$AT$9999)/SUMIFS('Raw Data'!$D:$D, 'Raw Data'!$B:$B, "Variant", 'Raw Data'!$C:$C, "A. 0"),"")</f>
        <v>0.4125887276</v>
      </c>
      <c r="E43" s="34">
        <f t="shared" si="37"/>
        <v>0.04303493643</v>
      </c>
      <c r="F43" s="54">
        <f>IFERROR(SUMPRODUCT(('Raw Data'!$B$2:$B$9999="Control")*('Raw Data'!$C$2:$C$9999="B. 1-9")*'Raw Data'!$D$2:$D$9999*'Raw Data'!$AT$2:$AT$9999)/SUMIFS('Raw Data'!$D:$D, 'Raw Data'!$B:$B, "Control", 'Raw Data'!$C:$C, "B. 1-9"),"")</f>
        <v>3.318405075</v>
      </c>
      <c r="G43" s="53">
        <f>IFERROR(SUMPRODUCT(('Raw Data'!$B$2:$B$9999="Variant")*('Raw Data'!$C$2:$C$9999="B. 1-9")*'Raw Data'!$D$2:$D$9999*'Raw Data'!$AT$2:$AT$9999)/SUMIFS('Raw Data'!$D:$D, 'Raw Data'!$B:$B, "Variant", 'Raw Data'!$C:$C, "B. 1-9"),"")</f>
        <v>3.540586235</v>
      </c>
      <c r="H43" s="45">
        <f t="shared" si="38"/>
        <v>0.0669542011</v>
      </c>
      <c r="I43" s="52">
        <f>IFERROR(SUMPRODUCT(('Raw Data'!$B$2:$B$9999="Control")*('Raw Data'!$C$2:$C$9999="C. 10-19")*'Raw Data'!$D$2:$D$9999*'Raw Data'!$AT$2:$AT$9999)/SUMIFS('Raw Data'!$D:$D, 'Raw Data'!$B:$B, "Control", 'Raw Data'!$C:$C, "C. 10-19"),"")</f>
        <v>6.388009246</v>
      </c>
      <c r="J43" s="53">
        <f>IFERROR(SUMPRODUCT(('Raw Data'!$B$2:$B$9999="Variant")*('Raw Data'!$C$2:$C$9999="C. 10-19")*'Raw Data'!$D$2:$D$9999*'Raw Data'!$AT$2:$AT$9999)/SUMIFS('Raw Data'!$D:$D, 'Raw Data'!$B:$B, "Variant", 'Raw Data'!$C:$C, "C. 10-19"),"")</f>
        <v>6.894334902</v>
      </c>
      <c r="K43" s="37">
        <f t="shared" si="39"/>
        <v>0.07926188535</v>
      </c>
      <c r="L43" s="54">
        <f>IFERROR(SUMPRODUCT(('Raw Data'!$B$2:$B$9999="Control")*('Raw Data'!$C$2:$C$9999="D. 20-39")*'Raw Data'!$D$2:$D$9999*'Raw Data'!$AT$2:$AT$9999)/SUMIFS('Raw Data'!$D:$D, 'Raw Data'!$B:$B, "Control", 'Raw Data'!$C:$C, "D. 20-39"),"")</f>
        <v>10.29945804</v>
      </c>
      <c r="M43" s="53">
        <f>IFERROR(SUMPRODUCT(('Raw Data'!$B$2:$B$9999="Variant")*('Raw Data'!$C$2:$C$9999="D. 20-39")*'Raw Data'!$D$2:$D$9999*'Raw Data'!$AT$2:$AT$9999)/SUMIFS('Raw Data'!$D:$D, 'Raw Data'!$B:$B, "Variant", 'Raw Data'!$C:$C, "D. 20-39"),"")</f>
        <v>10.9174348</v>
      </c>
      <c r="N43" s="45">
        <f t="shared" si="40"/>
        <v>0.06000090038</v>
      </c>
      <c r="O43" s="52">
        <f>IFERROR(SUMPRODUCT(('Raw Data'!$B$2:$B$9999="Control")*('Raw Data'!$C$2:$C$9999="E. 40-99")*'Raw Data'!$D$2:$D$9999*'Raw Data'!$AT$2:$AT$9999)/SUMIFS('Raw Data'!$D:$D, 'Raw Data'!$B:$B, "Control", 'Raw Data'!$C:$C, "E. 40-99"),"")</f>
        <v>17.68767239</v>
      </c>
      <c r="P43" s="53">
        <f>IFERROR(SUMPRODUCT(('Raw Data'!$B$2:$B$9999="Variant")*('Raw Data'!$C$2:$C$9999="E. 40-99")*'Raw Data'!$D$2:$D$9999*'Raw Data'!$AT$2:$AT$9999)/SUMIFS('Raw Data'!$D:$D, 'Raw Data'!$B:$B, "Variant", 'Raw Data'!$C:$C, "E. 40-99"),"")</f>
        <v>18.61506217</v>
      </c>
      <c r="Q43" s="37">
        <f t="shared" si="41"/>
        <v>0.05243141994</v>
      </c>
      <c r="R43" s="54">
        <f>IFERROR(SUMPRODUCT(('Raw Data'!$B$2:$B$9999="Control")*('Raw Data'!$C$2:$C$9999="F. 100+")*'Raw Data'!$D$2:$D$9999*'Raw Data'!$AT$2:$AT$9999)/SUMIFS('Raw Data'!$D:$D, 'Raw Data'!$B:$B, "Control", 'Raw Data'!$C:$C, "F. 100+"),"")</f>
        <v>35.48325032</v>
      </c>
      <c r="S43" s="55">
        <f>IFERROR(SUMPRODUCT(('Raw Data'!$B$2:$B$9999="Variant")*('Raw Data'!$C$2:$C$9999="F. 100+")*'Raw Data'!$D$2:$D$9999*'Raw Data'!$AT$2:$AT$9999)/SUMIFS('Raw Data'!$D:$D, 'Raw Data'!$B:$B, "Variant", 'Raw Data'!$C:$C, "F. 100+"),"")</f>
        <v>35.43893249</v>
      </c>
      <c r="T43" s="59">
        <f t="shared" si="42"/>
        <v>-0.001248978752</v>
      </c>
    </row>
    <row r="44" ht="15.75" customHeight="1">
      <c r="A44" s="24"/>
      <c r="B44" s="57" t="s">
        <v>50</v>
      </c>
      <c r="C44" s="52">
        <f>IFERROR(SUMPRODUCT(('Raw Data'!$B$2:$B$9999="Control")*('Raw Data'!$C$2:$C$9999="A. 0")*'Raw Data'!$D$2:$D$9999*('Raw Data'!$AQ$2:$AQ$9999-'Raw Data'!$AT$2:$AT$9999))/SUMIFS('Raw Data'!$D:$D, 'Raw Data'!$B:$B, "Control", 'Raw Data'!$C:$C, "A. 0"),"")</f>
        <v>0.7515804467</v>
      </c>
      <c r="D44" s="53">
        <f>IFERROR(SUMPRODUCT(('Raw Data'!$B$2:$B$9999="Variant")*('Raw Data'!$C$2:$C$9999="A. 0")*'Raw Data'!$D$2:$D$9999*('Raw Data'!$AQ$2:$AQ$9999-'Raw Data'!$AT$2:$AT$9999))/SUMIFS('Raw Data'!$D:$D, 'Raw Data'!$B:$B, "Variant", 'Raw Data'!$C:$C, "A. 0"),"")</f>
        <v>0.7272297944</v>
      </c>
      <c r="E44" s="28">
        <f t="shared" si="37"/>
        <v>-0.03239926266</v>
      </c>
      <c r="F44" s="54">
        <f>IFERROR(SUMPRODUCT(('Raw Data'!$B$2:$B$9999="Control")*('Raw Data'!$C$2:$C$9999="B. 1-9")*'Raw Data'!$D$2:$D$9999*('Raw Data'!$AQ$2:$AQ$9999-'Raw Data'!$AT$2:$AT$9999))/SUMIFS('Raw Data'!$D:$D, 'Raw Data'!$B:$B, "Control", 'Raw Data'!$C:$C, "B. 1-9"),"")</f>
        <v>0.1835817536</v>
      </c>
      <c r="G44" s="53">
        <f>IFERROR(SUMPRODUCT(('Raw Data'!$B$2:$B$9999="Variant")*('Raw Data'!$C$2:$C$9999="B. 1-9")*'Raw Data'!$D$2:$D$9999*('Raw Data'!$AQ$2:$AQ$9999-'Raw Data'!$AT$2:$AT$9999))/SUMIFS('Raw Data'!$D:$D, 'Raw Data'!$B:$B, "Variant", 'Raw Data'!$C:$C, "B. 1-9"),"")</f>
        <v>0.3198942612</v>
      </c>
      <c r="H44" s="45">
        <f t="shared" si="38"/>
        <v>0.7425166442</v>
      </c>
      <c r="I44" s="52">
        <f>IFERROR(SUMPRODUCT(('Raw Data'!$B$2:$B$9999="Control")*('Raw Data'!$C$2:$C$9999="C. 10-19")*'Raw Data'!$D$2:$D$9999*('Raw Data'!$AQ$2:$AQ$9999-'Raw Data'!$AT$2:$AT$9999))/SUMIFS('Raw Data'!$D:$D, 'Raw Data'!$B:$B, "Control", 'Raw Data'!$C:$C, "C. 10-19"),"")</f>
        <v>0.3065509681</v>
      </c>
      <c r="J44" s="53">
        <f>IFERROR(SUMPRODUCT(('Raw Data'!$B$2:$B$9999="Variant")*('Raw Data'!$C$2:$C$9999="C. 10-19")*'Raw Data'!$D$2:$D$9999*('Raw Data'!$AQ$2:$AQ$9999-'Raw Data'!$AT$2:$AT$9999))/SUMIFS('Raw Data'!$D:$D, 'Raw Data'!$B:$B, "Variant", 'Raw Data'!$C:$C, "C. 10-19"),"")</f>
        <v>0.5461704322</v>
      </c>
      <c r="K44" s="37">
        <f t="shared" si="39"/>
        <v>0.7816627218</v>
      </c>
      <c r="L44" s="54">
        <f>IFERROR(SUMPRODUCT(('Raw Data'!$B$2:$B$9999="Control")*('Raw Data'!$C$2:$C$9999="D. 20-39")*'Raw Data'!$D$2:$D$9999*('Raw Data'!$AQ$2:$AQ$9999-'Raw Data'!$AT$2:$AT$9999))/SUMIFS('Raw Data'!$D:$D, 'Raw Data'!$B:$B, "Control", 'Raw Data'!$C:$C, "D. 20-39"),"")</f>
        <v>0.4335705693</v>
      </c>
      <c r="M44" s="53">
        <f>IFERROR(SUMPRODUCT(('Raw Data'!$B$2:$B$9999="Variant")*('Raw Data'!$C$2:$C$9999="D. 20-39")*'Raw Data'!$D$2:$D$9999*('Raw Data'!$AQ$2:$AQ$9999-'Raw Data'!$AT$2:$AT$9999))/SUMIFS('Raw Data'!$D:$D, 'Raw Data'!$B:$B, "Variant", 'Raw Data'!$C:$C, "D. 20-39"),"")</f>
        <v>0.728180544</v>
      </c>
      <c r="N44" s="45">
        <f t="shared" si="40"/>
        <v>0.6794971697</v>
      </c>
      <c r="O44" s="52">
        <f>IFERROR(SUMPRODUCT(('Raw Data'!$B$2:$B$9999="Control")*('Raw Data'!$C$2:$C$9999="E. 40-99")*'Raw Data'!$D$2:$D$9999*('Raw Data'!$AQ$2:$AQ$9999-'Raw Data'!$AT$2:$AT$9999))/SUMIFS('Raw Data'!$D:$D, 'Raw Data'!$B:$B, "Control", 'Raw Data'!$C:$C, "E. 40-99"),"")</f>
        <v>0.3223512255</v>
      </c>
      <c r="P44" s="53">
        <f>IFERROR(SUMPRODUCT(('Raw Data'!$B$2:$B$9999="Variant")*('Raw Data'!$C$2:$C$9999="E. 40-99")*'Raw Data'!$D$2:$D$9999*('Raw Data'!$AQ$2:$AQ$9999-'Raw Data'!$AT$2:$AT$9999))/SUMIFS('Raw Data'!$D:$D, 'Raw Data'!$B:$B, "Variant", 'Raw Data'!$C:$C, "E. 40-99"),"")</f>
        <v>0.8618213833</v>
      </c>
      <c r="Q44" s="37">
        <f t="shared" si="41"/>
        <v>1.673547718</v>
      </c>
      <c r="R44" s="54">
        <f>IFERROR(SUMPRODUCT(('Raw Data'!$B$2:$B$9999="Control")*('Raw Data'!$C$2:$C$9999="F. 100+")*'Raw Data'!$D$2:$D$9999*('Raw Data'!$AQ$2:$AQ$9999-'Raw Data'!$AT$2:$AT$9999))/SUMIFS('Raw Data'!$D:$D, 'Raw Data'!$B:$B, "Control", 'Raw Data'!$C:$C, "F. 100+"),"")</f>
        <v>-0.1850433116</v>
      </c>
      <c r="S44" s="53">
        <f>IFERROR(SUMPRODUCT(('Raw Data'!$B$2:$B$9999="Variant")*('Raw Data'!$C$2:$C$9999="F. 100+")*'Raw Data'!$D$2:$D$9999*('Raw Data'!$AQ$2:$AQ$9999-'Raw Data'!$AT$2:$AT$9999))/SUMIFS('Raw Data'!$D:$D, 'Raw Data'!$B:$B, "Variant", 'Raw Data'!$C:$C, "F. 100+"),"")</f>
        <v>1.063135615</v>
      </c>
      <c r="T44" s="37">
        <f t="shared" si="42"/>
        <v>6.74533392</v>
      </c>
    </row>
    <row r="45" ht="15.75" customHeight="1">
      <c r="A45" s="24"/>
      <c r="B45" s="25" t="s">
        <v>51</v>
      </c>
      <c r="C45" s="52">
        <f>IFERROR(SUMPRODUCT(('Raw Data'!$B$2:$B$9999="Control")*('Raw Data'!$C$2:$C$9999="A. 0")*'Raw Data'!$D$2:$D$9999*'Raw Data'!$AU$2:$AU$9999)/SUMIFS('Raw Data'!$D:$D, 'Raw Data'!$B:$B, "Control", 'Raw Data'!$C:$C, "A. 0"),"")</f>
        <v>0.1463301943</v>
      </c>
      <c r="D45" s="53">
        <f>IFERROR(SUMPRODUCT(('Raw Data'!$B$2:$B$9999="Variant")*('Raw Data'!$C$2:$C$9999="A. 0")*'Raw Data'!$D$2:$D$9999*'Raw Data'!$AU$2:$AU$9999)/SUMIFS('Raw Data'!$D:$D, 'Raw Data'!$B:$B, "Variant", 'Raw Data'!$C:$C, "A. 0"),"")</f>
        <v>0.1477984196</v>
      </c>
      <c r="E45" s="28">
        <f t="shared" si="37"/>
        <v>0.01003364576</v>
      </c>
      <c r="F45" s="54">
        <f>IFERROR(SUMPRODUCT(('Raw Data'!$B$2:$B$9999="Control")*('Raw Data'!$C$2:$C$9999="B. 1-9")*'Raw Data'!$D$2:$D$9999*'Raw Data'!$AU$2:$AU$9999)/SUMIFS('Raw Data'!$D:$D, 'Raw Data'!$B:$B, "Control", 'Raw Data'!$C:$C, "B. 1-9"),"")</f>
        <v>0.2123661755</v>
      </c>
      <c r="G45" s="53">
        <f>IFERROR(SUMPRODUCT(('Raw Data'!$B$2:$B$9999="Variant")*('Raw Data'!$C$2:$C$9999="B. 1-9")*'Raw Data'!$D$2:$D$9999*'Raw Data'!$AU$2:$AU$9999)/SUMIFS('Raw Data'!$D:$D, 'Raw Data'!$B:$B, "Variant", 'Raw Data'!$C:$C, "B. 1-9"),"")</f>
        <v>0.220960921</v>
      </c>
      <c r="H45" s="30">
        <f t="shared" si="38"/>
        <v>0.04047134846</v>
      </c>
      <c r="I45" s="52">
        <f>IFERROR(SUMPRODUCT(('Raw Data'!$B$2:$B$9999="Control")*('Raw Data'!$C$2:$C$9999="C. 10-19")*'Raw Data'!$D$2:$D$9999*'Raw Data'!$AU$2:$AU$9999)/SUMIFS('Raw Data'!$D:$D, 'Raw Data'!$B:$B, "Control", 'Raw Data'!$C:$C, "C. 10-19"),"")</f>
        <v>0.2164726177</v>
      </c>
      <c r="J45" s="53">
        <f>IFERROR(SUMPRODUCT(('Raw Data'!$B$2:$B$9999="Variant")*('Raw Data'!$C$2:$C$9999="C. 10-19")*'Raw Data'!$D$2:$D$9999*'Raw Data'!$AU$2:$AU$9999)/SUMIFS('Raw Data'!$D:$D, 'Raw Data'!$B:$B, "Variant", 'Raw Data'!$C:$C, "C. 10-19"),"")</f>
        <v>0.2268098594</v>
      </c>
      <c r="K45" s="28">
        <f t="shared" si="39"/>
        <v>0.04775311409</v>
      </c>
      <c r="L45" s="54">
        <f>IFERROR(SUMPRODUCT(('Raw Data'!$B$2:$B$9999="Control")*('Raw Data'!$C$2:$C$9999="D. 20-39")*'Raw Data'!$D$2:$D$9999*'Raw Data'!$AU$2:$AU$9999)/SUMIFS('Raw Data'!$D:$D, 'Raw Data'!$B:$B, "Control", 'Raw Data'!$C:$C, "D. 20-39"),"")</f>
        <v>0.230862668</v>
      </c>
      <c r="M45" s="53">
        <f>IFERROR(SUMPRODUCT(('Raw Data'!$B$2:$B$9999="Variant")*('Raw Data'!$C$2:$C$9999="D. 20-39")*'Raw Data'!$D$2:$D$9999*'Raw Data'!$AU$2:$AU$9999)/SUMIFS('Raw Data'!$D:$D, 'Raw Data'!$B:$B, "Variant", 'Raw Data'!$C:$C, "D. 20-39"),"")</f>
        <v>0.2400269773</v>
      </c>
      <c r="N45" s="30">
        <f t="shared" si="40"/>
        <v>0.03969593452</v>
      </c>
      <c r="O45" s="52">
        <f>IFERROR(SUMPRODUCT(('Raw Data'!$B$2:$B$9999="Control")*('Raw Data'!$C$2:$C$9999="E. 40-99")*'Raw Data'!$D$2:$D$9999*'Raw Data'!$AU$2:$AU$9999)/SUMIFS('Raw Data'!$D:$D, 'Raw Data'!$B:$B, "Control", 'Raw Data'!$C:$C, "E. 40-99"),"")</f>
        <v>0.2373044123</v>
      </c>
      <c r="P45" s="53">
        <f>IFERROR(SUMPRODUCT(('Raw Data'!$B$2:$B$9999="Variant")*('Raw Data'!$C$2:$C$9999="E. 40-99")*'Raw Data'!$D$2:$D$9999*'Raw Data'!$AU$2:$AU$9999)/SUMIFS('Raw Data'!$D:$D, 'Raw Data'!$B:$B, "Variant", 'Raw Data'!$C:$C, "E. 40-99"),"")</f>
        <v>0.2465375504</v>
      </c>
      <c r="Q45" s="28">
        <f t="shared" si="41"/>
        <v>0.03890841296</v>
      </c>
      <c r="R45" s="54">
        <f>IFERROR(SUMPRODUCT(('Raw Data'!$B$2:$B$9999="Control")*('Raw Data'!$C$2:$C$9999="F. 100+")*'Raw Data'!$D$2:$D$9999*'Raw Data'!$AU$2:$AU$9999)/SUMIFS('Raw Data'!$D:$D, 'Raw Data'!$B:$B, "Control", 'Raw Data'!$C:$C, "F. 100+"),"")</f>
        <v>0.2368814335</v>
      </c>
      <c r="S45" s="53">
        <f>IFERROR(SUMPRODUCT(('Raw Data'!$B$2:$B$9999="Variant")*('Raw Data'!$C$2:$C$9999="F. 100+")*'Raw Data'!$D$2:$D$9999*'Raw Data'!$AU$2:$AU$9999)/SUMIFS('Raw Data'!$D:$D, 'Raw Data'!$B:$B, "Variant", 'Raw Data'!$C:$C, "F. 100+"),"")</f>
        <v>0.2363956782</v>
      </c>
      <c r="T45" s="31">
        <f t="shared" si="42"/>
        <v>-0.002050626112</v>
      </c>
    </row>
    <row r="46" ht="15.75" customHeight="1">
      <c r="B46" s="60"/>
      <c r="H46" s="60"/>
      <c r="K46" s="60"/>
      <c r="N46" s="60"/>
      <c r="Q46" s="60"/>
    </row>
    <row r="47" ht="15.75" customHeight="1">
      <c r="A47" s="18" t="s">
        <v>52</v>
      </c>
      <c r="B47" s="19"/>
      <c r="C47" s="20"/>
      <c r="D47" s="21"/>
      <c r="E47" s="22"/>
      <c r="F47" s="23"/>
      <c r="G47" s="21"/>
      <c r="H47" s="19"/>
      <c r="I47" s="20"/>
      <c r="J47" s="21"/>
      <c r="K47" s="22"/>
      <c r="L47" s="23"/>
      <c r="M47" s="21"/>
      <c r="N47" s="19"/>
      <c r="O47" s="20"/>
      <c r="P47" s="21"/>
      <c r="Q47" s="22"/>
      <c r="R47" s="23"/>
      <c r="S47" s="21"/>
      <c r="T47" s="21"/>
    </row>
    <row r="48" ht="15.75" customHeight="1">
      <c r="A48" s="24"/>
      <c r="B48" s="61"/>
      <c r="C48" s="42"/>
      <c r="D48" s="43"/>
      <c r="E48" s="28"/>
      <c r="F48" s="62" t="s">
        <v>53</v>
      </c>
      <c r="G48" s="62" t="s">
        <v>54</v>
      </c>
      <c r="H48" s="63" t="s">
        <v>10</v>
      </c>
      <c r="I48" s="64" t="s">
        <v>53</v>
      </c>
      <c r="J48" s="62" t="s">
        <v>54</v>
      </c>
      <c r="K48" s="63" t="s">
        <v>10</v>
      </c>
      <c r="L48" s="64" t="s">
        <v>53</v>
      </c>
      <c r="M48" s="62" t="s">
        <v>54</v>
      </c>
      <c r="N48" s="63" t="s">
        <v>10</v>
      </c>
      <c r="O48" s="64" t="s">
        <v>53</v>
      </c>
      <c r="P48" s="62" t="s">
        <v>54</v>
      </c>
      <c r="Q48" s="63" t="s">
        <v>10</v>
      </c>
      <c r="R48" s="64" t="s">
        <v>53</v>
      </c>
      <c r="S48" s="62" t="s">
        <v>54</v>
      </c>
      <c r="T48" s="65" t="s">
        <v>10</v>
      </c>
    </row>
    <row r="49" ht="15.75" customHeight="1">
      <c r="A49" s="24"/>
      <c r="B49" s="25" t="s">
        <v>55</v>
      </c>
      <c r="C49" s="42"/>
      <c r="D49" s="43">
        <f>IFERROR(SUMPRODUCT(('Raw Data'!$B$2:$B$9999="Variant")*('Raw Data'!$C$2:$C$9999="A. 0")*'Raw Data'!$D$2:$D$9999*'Raw Data'!$AM$2:$AM$9999)/SUMIFS('Raw Data'!$D:$D, 'Raw Data'!$B:$B, "Variant", 'Raw Data'!$C:$C, "A. 0"),"")</f>
        <v>0.2077745511</v>
      </c>
      <c r="E49" s="28"/>
      <c r="F49" s="44">
        <v>42.64714275913684</v>
      </c>
      <c r="G49" s="43">
        <f>IFERROR(SUMPRODUCT(('Raw Data'!$B$2:$B$9999="Variant")*('Raw Data'!$C$2:$C$9999="B. 1-9")*'Raw Data'!$D$2:$D$9999*'Raw Data'!$AM$2:$AM$9999)/SUMIFS('Raw Data'!$D:$D, 'Raw Data'!$B:$B, "Variant", 'Raw Data'!$C:$C, "B. 1-9"),"")</f>
        <v>53.06452434</v>
      </c>
      <c r="H49" s="28">
        <f t="shared" ref="H49:H52" si="43">IFERROR((G49-F49)/ABS(F49),"")</f>
        <v>0.2442691563</v>
      </c>
      <c r="I49" s="44">
        <v>64.2180393913231</v>
      </c>
      <c r="J49" s="43">
        <f>IFERROR(SUMPRODUCT(('Raw Data'!$B$2:$B$9999="Variant")*('Raw Data'!$C$2:$C$9999="C. 10-19")*'Raw Data'!$D$2:$D$9999*'Raw Data'!$AM$2:$AM$9999)/SUMIFS('Raw Data'!$D:$D, 'Raw Data'!$B:$B, "Variant", 'Raw Data'!$C:$C, "C. 10-19"),"")</f>
        <v>61.77395848</v>
      </c>
      <c r="K49" s="28">
        <f t="shared" ref="K49:K52" si="44">IFERROR((J49-I49)/ABS(I49),"")</f>
        <v>-0.03805910195</v>
      </c>
      <c r="L49" s="44">
        <v>67.13105330341149</v>
      </c>
      <c r="M49" s="43">
        <f>IFERROR(SUMPRODUCT(('Raw Data'!$B$2:$B$9999="Variant")*('Raw Data'!$C$2:$C$9999="D. 20-39")*'Raw Data'!$D$2:$D$9999*'Raw Data'!$AM$2:$AM$9999)/SUMIFS('Raw Data'!$D:$D, 'Raw Data'!$B:$B, "Variant", 'Raw Data'!$C:$C, "D. 20-39"),"")</f>
        <v>64.00176702</v>
      </c>
      <c r="N49" s="28">
        <f t="shared" ref="N49:N52" si="45">IFERROR((M49-L49)/ABS(L49),"")</f>
        <v>-0.04661458633</v>
      </c>
      <c r="O49" s="44">
        <v>69.47695179730147</v>
      </c>
      <c r="P49" s="43">
        <f>IFERROR(SUMPRODUCT(('Raw Data'!$B$2:$B$9999="Variant")*('Raw Data'!$C$2:$C$9999="E. 40-99")*'Raw Data'!$D$2:$D$9999*'Raw Data'!$AM$2:$AM$9999)/SUMIFS('Raw Data'!$D:$D, 'Raw Data'!$B:$B, "Variant", 'Raw Data'!$C:$C, "E. 40-99"),"")</f>
        <v>67.69636542</v>
      </c>
      <c r="Q49" s="28">
        <f t="shared" ref="Q49:Q52" si="46">IFERROR((P49-O49)/ABS(O49),"")</f>
        <v>-0.02562844704</v>
      </c>
      <c r="R49" s="44">
        <v>69.55612235067437</v>
      </c>
      <c r="S49" s="66">
        <f>IFERROR(SUMPRODUCT(('Raw Data'!$B$2:$B$9999="Variant")*('Raw Data'!$C$2:$C$9999="F. 100+")*'Raw Data'!$D$2:$D$9999*'Raw Data'!$AM$2:$AM$9999)/SUMIFS('Raw Data'!$D:$D, 'Raw Data'!$B:$B, "Variant", 'Raw Data'!$C:$C, "F. 100+"),"")</f>
        <v>74.39383926</v>
      </c>
      <c r="T49" s="31">
        <f t="shared" ref="T49:T52" si="47">IFERROR((S49-R49)/ABS(R49),"")</f>
        <v>0.0695512738</v>
      </c>
    </row>
    <row r="50" ht="15.75" customHeight="1">
      <c r="A50" s="24"/>
      <c r="B50" s="25" t="s">
        <v>56</v>
      </c>
      <c r="C50" s="42"/>
      <c r="D50" s="43">
        <f>IFERROR(SUMPRODUCT(('Raw Data'!$B$2:$B$9999="Variant")*('Raw Data'!$C$2:$C$9999="A. 0")*'Raw Data'!$D$2:$D$9999*'Raw Data'!$AN$2:$AN$9999)/SUMIFS('Raw Data'!$D:$D, 'Raw Data'!$B:$B, "Variant", 'Raw Data'!$C:$C, "A. 0"),"")</f>
        <v>0.2077745511</v>
      </c>
      <c r="E50" s="28"/>
      <c r="F50" s="44">
        <v>42.64714275913684</v>
      </c>
      <c r="G50" s="43">
        <f>IFERROR(SUMPRODUCT(('Raw Data'!$B$2:$B$9999="Variant")*('Raw Data'!$C$2:$C$9999="B. 1-9")*'Raw Data'!$D$2:$D$9999*'Raw Data'!$AN$2:$AN$9999)/SUMIFS('Raw Data'!$D:$D, 'Raw Data'!$B:$B, "Variant", 'Raw Data'!$C:$C, "B. 1-9"),"")</f>
        <v>53.06452434</v>
      </c>
      <c r="H50" s="28">
        <f t="shared" si="43"/>
        <v>0.2442691563</v>
      </c>
      <c r="I50" s="44">
        <v>64.2180393913231</v>
      </c>
      <c r="J50" s="43">
        <f>IFERROR(SUMPRODUCT(('Raw Data'!$B$2:$B$9999="Variant")*('Raw Data'!$C$2:$C$9999="C. 10-19")*'Raw Data'!$D$2:$D$9999*'Raw Data'!$AN$2:$AN$9999)/SUMIFS('Raw Data'!$D:$D, 'Raw Data'!$B:$B, "Variant", 'Raw Data'!$C:$C, "C. 10-19"),"")</f>
        <v>61.77395848</v>
      </c>
      <c r="K50" s="28">
        <f t="shared" si="44"/>
        <v>-0.03805910195</v>
      </c>
      <c r="L50" s="44">
        <v>67.13105330341149</v>
      </c>
      <c r="M50" s="43">
        <f>IFERROR(SUMPRODUCT(('Raw Data'!$B$2:$B$9999="Variant")*('Raw Data'!$C$2:$C$9999="D. 20-39")*'Raw Data'!$D$2:$D$9999*'Raw Data'!$AN$2:$AN$9999)/SUMIFS('Raw Data'!$D:$D, 'Raw Data'!$B:$B, "Variant", 'Raw Data'!$C:$C, "D. 20-39"),"")</f>
        <v>64.00176702</v>
      </c>
      <c r="N50" s="28">
        <f t="shared" si="45"/>
        <v>-0.04661458633</v>
      </c>
      <c r="O50" s="44">
        <v>69.47695179730147</v>
      </c>
      <c r="P50" s="43">
        <f>IFERROR(SUMPRODUCT(('Raw Data'!$B$2:$B$9999="Variant")*('Raw Data'!$C$2:$C$9999="E. 40-99")*'Raw Data'!$D$2:$D$9999*'Raw Data'!$AN$2:$AN$9999)/SUMIFS('Raw Data'!$D:$D, 'Raw Data'!$B:$B, "Variant", 'Raw Data'!$C:$C, "E. 40-99"),"")</f>
        <v>67.69636542</v>
      </c>
      <c r="Q50" s="28">
        <f t="shared" si="46"/>
        <v>-0.02562844704</v>
      </c>
      <c r="R50" s="44">
        <v>69.55612235067437</v>
      </c>
      <c r="S50" s="66">
        <f>IFERROR(SUMPRODUCT(('Raw Data'!$B$2:$B$9999="Variant")*('Raw Data'!$C$2:$C$9999="F. 100+")*'Raw Data'!$D$2:$D$9999*'Raw Data'!$AN$2:$AN$9999)/SUMIFS('Raw Data'!$D:$D, 'Raw Data'!$B:$B, "Variant", 'Raw Data'!$C:$C, "F. 100+"),"")</f>
        <v>74.39383926</v>
      </c>
      <c r="T50" s="31">
        <f t="shared" si="47"/>
        <v>0.0695512738</v>
      </c>
    </row>
    <row r="51" ht="15.75" customHeight="1">
      <c r="A51" s="24"/>
      <c r="B51" s="25" t="s">
        <v>57</v>
      </c>
      <c r="C51" s="42"/>
      <c r="D51" s="43">
        <f>IFERROR(SUMPRODUCT(('Raw Data'!$B$2:$B$9999="Variant")*('Raw Data'!$C$2:$C$9999="A. 0")*'Raw Data'!$D$2:$D$9999*'Raw Data'!$AO$2:$AO$9999)/SUMIFS('Raw Data'!$D:$D, 'Raw Data'!$B:$B, "Variant", 'Raw Data'!$C:$C, "A. 0"),"")</f>
        <v>0.1177988212</v>
      </c>
      <c r="E51" s="28"/>
      <c r="F51" s="44">
        <v>20.758437882000745</v>
      </c>
      <c r="G51" s="43">
        <f>IFERROR(SUMPRODUCT(('Raw Data'!$B$2:$B$9999="Variant")*('Raw Data'!$C$2:$C$9999="B. 1-9")*'Raw Data'!$D$2:$D$9999*'Raw Data'!$AO$2:$AO$9999)/SUMIFS('Raw Data'!$D:$D, 'Raw Data'!$B:$B, "Variant", 'Raw Data'!$C:$C, "B. 1-9"),"")</f>
        <v>22.12075397</v>
      </c>
      <c r="H51" s="28">
        <f t="shared" si="43"/>
        <v>0.06562710035</v>
      </c>
      <c r="I51" s="44">
        <v>44.857285344269364</v>
      </c>
      <c r="J51" s="43">
        <f>IFERROR(SUMPRODUCT(('Raw Data'!$B$2:$B$9999="Variant")*('Raw Data'!$C$2:$C$9999="C. 10-19")*'Raw Data'!$D$2:$D$9999*'Raw Data'!$AO$2:$AO$9999)/SUMIFS('Raw Data'!$D:$D, 'Raw Data'!$B:$B, "Variant", 'Raw Data'!$C:$C, "C. 10-19"),"")</f>
        <v>38.01028436</v>
      </c>
      <c r="K51" s="28">
        <f t="shared" si="44"/>
        <v>-0.1526396644</v>
      </c>
      <c r="L51" s="44">
        <v>44.82143398324103</v>
      </c>
      <c r="M51" s="43">
        <f>IFERROR(SUMPRODUCT(('Raw Data'!$B$2:$B$9999="Variant")*('Raw Data'!$C$2:$C$9999="D. 20-39")*'Raw Data'!$D$2:$D$9999*'Raw Data'!$AO$2:$AO$9999)/SUMIFS('Raw Data'!$D:$D, 'Raw Data'!$B:$B, "Variant", 'Raw Data'!$C:$C, "D. 20-39"),"")</f>
        <v>42.65295723</v>
      </c>
      <c r="N51" s="28">
        <f t="shared" si="45"/>
        <v>-0.04838035193</v>
      </c>
      <c r="O51" s="44">
        <v>49.47428880420229</v>
      </c>
      <c r="P51" s="43">
        <f>IFERROR(SUMPRODUCT(('Raw Data'!$B$2:$B$9999="Variant")*('Raw Data'!$C$2:$C$9999="E. 40-99")*'Raw Data'!$D$2:$D$9999*'Raw Data'!$AO$2:$AO$9999)/SUMIFS('Raw Data'!$D:$D, 'Raw Data'!$B:$B, "Variant", 'Raw Data'!$C:$C, "E. 40-99"),"")</f>
        <v>48.12199781</v>
      </c>
      <c r="Q51" s="28">
        <f t="shared" si="46"/>
        <v>-0.02733320726</v>
      </c>
      <c r="R51" s="44">
        <v>49.613294797687864</v>
      </c>
      <c r="S51" s="66">
        <f>IFERROR(SUMPRODUCT(('Raw Data'!$B$2:$B$9999="Variant")*('Raw Data'!$C$2:$C$9999="F. 100+")*'Raw Data'!$D$2:$D$9999*'Raw Data'!$AO$2:$AO$9999)/SUMIFS('Raw Data'!$D:$D, 'Raw Data'!$B:$B, "Variant", 'Raw Data'!$C:$C, "F. 100+"),"")</f>
        <v>56.56194651</v>
      </c>
      <c r="T51" s="31">
        <f t="shared" si="47"/>
        <v>0.1400562439</v>
      </c>
    </row>
    <row r="52" ht="15.75" customHeight="1">
      <c r="A52" s="24"/>
      <c r="B52" s="25" t="s">
        <v>58</v>
      </c>
      <c r="C52" s="42"/>
      <c r="D52" s="43">
        <f>IFERROR(SUMPRODUCT(('Raw Data'!$B$2:$B$9999="Variant")*('Raw Data'!$C$2:$C$9999="A. 0")*'Raw Data'!$D$2:$D$9999*'Raw Data'!$AP$2:$AP$9999)/SUMIFS('Raw Data'!$D:$D, 'Raw Data'!$B:$B, "Variant", 'Raw Data'!$C:$C, "A. 0"),"")</f>
        <v>0.05964508978</v>
      </c>
      <c r="E52" s="28"/>
      <c r="F52" s="44">
        <v>8.35851789946364</v>
      </c>
      <c r="G52" s="43">
        <f>IFERROR(SUMPRODUCT(('Raw Data'!$B$2:$B$9999="Variant")*('Raw Data'!$C$2:$C$9999="B. 1-9")*'Raw Data'!$D$2:$D$9999*'Raw Data'!$AP$2:$AP$9999)/SUMIFS('Raw Data'!$D:$D, 'Raw Data'!$B:$B, "Variant", 'Raw Data'!$C:$C, "B. 1-9"),"")</f>
        <v>6.491077266</v>
      </c>
      <c r="H52" s="28">
        <f t="shared" si="43"/>
        <v>-0.2234176748</v>
      </c>
      <c r="I52" s="44">
        <v>25.564667601985754</v>
      </c>
      <c r="J52" s="43">
        <f>IFERROR(SUMPRODUCT(('Raw Data'!$B$2:$B$9999="Variant")*('Raw Data'!$C$2:$C$9999="C. 10-19")*'Raw Data'!$D$2:$D$9999*'Raw Data'!$AP$2:$AP$9999)/SUMIFS('Raw Data'!$D:$D, 'Raw Data'!$B:$B, "Variant", 'Raw Data'!$C:$C, "C. 10-19"),"")</f>
        <v>18.6060443</v>
      </c>
      <c r="K52" s="28">
        <f t="shared" si="44"/>
        <v>-0.2721969011</v>
      </c>
      <c r="L52" s="44">
        <v>29.76296452615758</v>
      </c>
      <c r="M52" s="43">
        <f>IFERROR(SUMPRODUCT(('Raw Data'!$B$2:$B$9999="Variant")*('Raw Data'!$C$2:$C$9999="D. 20-39")*'Raw Data'!$D$2:$D$9999*'Raw Data'!$AP$2:$AP$9999)/SUMIFS('Raw Data'!$D:$D, 'Raw Data'!$B:$B, "Variant", 'Raw Data'!$C:$C, "D. 20-39"),"")</f>
        <v>24.2222035</v>
      </c>
      <c r="N52" s="28">
        <f t="shared" si="45"/>
        <v>-0.1861629414</v>
      </c>
      <c r="O52" s="44">
        <v>34.037131012462666</v>
      </c>
      <c r="P52" s="43">
        <f>IFERROR(SUMPRODUCT(('Raw Data'!$B$2:$B$9999="Variant")*('Raw Data'!$C$2:$C$9999="E. 40-99")*'Raw Data'!$D$2:$D$9999*'Raw Data'!$AP$2:$AP$9999)/SUMIFS('Raw Data'!$D:$D, 'Raw Data'!$B:$B, "Variant", 'Raw Data'!$C:$C, "E. 40-99"),"")</f>
        <v>32.91982194</v>
      </c>
      <c r="Q52" s="28">
        <f t="shared" si="46"/>
        <v>-0.03282618256</v>
      </c>
      <c r="R52" s="44">
        <v>36.70592485549133</v>
      </c>
      <c r="S52" s="66">
        <f>IFERROR(SUMPRODUCT(('Raw Data'!$B$2:$B$9999="Variant")*('Raw Data'!$C$2:$C$9999="F. 100+")*'Raw Data'!$D$2:$D$9999*'Raw Data'!$AP$2:$AP$9999)/SUMIFS('Raw Data'!$D:$D, 'Raw Data'!$B:$B, "Variant", 'Raw Data'!$C:$C, "F. 100+"),"")</f>
        <v>44.27922663</v>
      </c>
      <c r="T52" s="31">
        <f t="shared" si="47"/>
        <v>0.2063236877</v>
      </c>
    </row>
    <row r="53" ht="15.75" customHeight="1">
      <c r="B53" s="2"/>
      <c r="F53" s="3"/>
    </row>
    <row r="54" ht="15.75" customHeight="1">
      <c r="B54" s="2"/>
      <c r="F54" s="3"/>
    </row>
    <row r="55" ht="15.75" customHeight="1">
      <c r="B55" s="2"/>
      <c r="F55" s="3"/>
    </row>
    <row r="56" ht="15.75" customHeight="1">
      <c r="B56" s="2"/>
      <c r="F56" s="3"/>
    </row>
    <row r="57" ht="15.75" customHeight="1">
      <c r="B57" s="2"/>
      <c r="F57" s="3"/>
    </row>
    <row r="58" ht="15.75" customHeight="1">
      <c r="B58" s="2"/>
      <c r="F58" s="3"/>
    </row>
    <row r="59" ht="15.75" customHeight="1">
      <c r="B59" s="2"/>
      <c r="F59" s="3"/>
    </row>
    <row r="60" ht="15.75" customHeight="1">
      <c r="B60" s="2"/>
      <c r="F60" s="3"/>
    </row>
    <row r="61" ht="15.75" customHeight="1">
      <c r="B61" s="2"/>
      <c r="F61" s="3"/>
    </row>
    <row r="62" ht="15.75" customHeight="1">
      <c r="B62" s="2"/>
      <c r="F62" s="3"/>
    </row>
    <row r="63" ht="15.75" customHeight="1">
      <c r="B63" s="2"/>
      <c r="F63" s="3"/>
    </row>
    <row r="64" ht="15.75" customHeight="1">
      <c r="B64" s="2"/>
      <c r="F64" s="3"/>
    </row>
    <row r="65" ht="15.75" customHeight="1">
      <c r="B65" s="2"/>
      <c r="F65" s="3"/>
    </row>
    <row r="66" ht="15.75" customHeight="1">
      <c r="B66" s="2"/>
      <c r="F66" s="3"/>
    </row>
    <row r="67" ht="15.75" customHeight="1">
      <c r="B67" s="2"/>
      <c r="F67" s="3"/>
    </row>
    <row r="68" ht="15.75" customHeight="1">
      <c r="B68" s="2"/>
      <c r="F68" s="3"/>
    </row>
    <row r="69" ht="15.75" customHeight="1">
      <c r="B69" s="2"/>
      <c r="F69" s="3"/>
    </row>
    <row r="70" ht="15.75" customHeight="1">
      <c r="B70" s="2"/>
      <c r="F70" s="3"/>
    </row>
    <row r="71" ht="15.75" customHeight="1">
      <c r="B71" s="2"/>
      <c r="F71" s="3"/>
    </row>
    <row r="72" ht="15.75" customHeight="1">
      <c r="B72" s="2"/>
      <c r="F72" s="3"/>
    </row>
    <row r="73" ht="15.75" customHeight="1">
      <c r="B73" s="2"/>
      <c r="F73" s="3"/>
    </row>
    <row r="74" ht="15.75" customHeight="1">
      <c r="B74" s="2"/>
      <c r="F74" s="3"/>
    </row>
    <row r="75" ht="15.75" customHeight="1">
      <c r="B75" s="2"/>
      <c r="F75" s="3"/>
    </row>
    <row r="76" ht="15.75" customHeight="1">
      <c r="B76" s="2"/>
      <c r="F76" s="3"/>
    </row>
    <row r="77" ht="15.75" customHeight="1">
      <c r="B77" s="2"/>
      <c r="F77" s="3"/>
    </row>
    <row r="78" ht="15.75" customHeight="1">
      <c r="B78" s="2"/>
      <c r="F78" s="3"/>
    </row>
    <row r="79" ht="15.75" customHeight="1">
      <c r="B79" s="2"/>
      <c r="F79" s="3"/>
    </row>
    <row r="80" ht="15.75" customHeight="1">
      <c r="B80" s="2"/>
      <c r="F80" s="3"/>
    </row>
    <row r="81" ht="15.75" customHeight="1">
      <c r="B81" s="2"/>
      <c r="F81" s="3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</sheetData>
  <mergeCells count="9">
    <mergeCell ref="O3:Q3"/>
    <mergeCell ref="R3:T3"/>
    <mergeCell ref="A1:T1"/>
    <mergeCell ref="A3:A4"/>
    <mergeCell ref="B3:B4"/>
    <mergeCell ref="C3:E3"/>
    <mergeCell ref="F3:H3"/>
    <mergeCell ref="I3:K3"/>
    <mergeCell ref="L3:N3"/>
  </mergeCells>
  <conditionalFormatting sqref="E8:E11">
    <cfRule type="cellIs" dxfId="0" priority="1" operator="greaterThan">
      <formula>0</formula>
    </cfRule>
  </conditionalFormatting>
  <conditionalFormatting sqref="E8:E11">
    <cfRule type="cellIs" dxfId="1" priority="2" operator="lessThan">
      <formula>0</formula>
    </cfRule>
  </conditionalFormatting>
  <conditionalFormatting sqref="E13:E15">
    <cfRule type="cellIs" dxfId="0" priority="3" operator="greaterThan">
      <formula>0</formula>
    </cfRule>
  </conditionalFormatting>
  <conditionalFormatting sqref="E13:E15">
    <cfRule type="cellIs" dxfId="1" priority="4" operator="lessThan">
      <formula>0</formula>
    </cfRule>
  </conditionalFormatting>
  <conditionalFormatting sqref="E17:E21">
    <cfRule type="cellIs" dxfId="0" priority="5" operator="greaterThan">
      <formula>0</formula>
    </cfRule>
  </conditionalFormatting>
  <conditionalFormatting sqref="E17:E21">
    <cfRule type="cellIs" dxfId="1" priority="6" operator="lessThan">
      <formula>0</formula>
    </cfRule>
  </conditionalFormatting>
  <conditionalFormatting sqref="E28">
    <cfRule type="cellIs" dxfId="2" priority="7" operator="greaterThan">
      <formula>0</formula>
    </cfRule>
  </conditionalFormatting>
  <conditionalFormatting sqref="E28">
    <cfRule type="cellIs" dxfId="3" priority="8" operator="lessThan">
      <formula>0</formula>
    </cfRule>
  </conditionalFormatting>
  <conditionalFormatting sqref="E29">
    <cfRule type="cellIs" dxfId="0" priority="9" operator="greaterThan">
      <formula>0</formula>
    </cfRule>
  </conditionalFormatting>
  <conditionalFormatting sqref="E29">
    <cfRule type="cellIs" dxfId="1" priority="10" operator="lessThan">
      <formula>0</formula>
    </cfRule>
  </conditionalFormatting>
  <conditionalFormatting sqref="E30">
    <cfRule type="cellIs" dxfId="2" priority="11" operator="lessThan">
      <formula>0</formula>
    </cfRule>
  </conditionalFormatting>
  <conditionalFormatting sqref="E30">
    <cfRule type="cellIs" dxfId="3" priority="12" operator="greaterThan">
      <formula>0</formula>
    </cfRule>
  </conditionalFormatting>
  <conditionalFormatting sqref="E31">
    <cfRule type="cellIs" dxfId="2" priority="13" operator="greaterThan">
      <formula>0</formula>
    </cfRule>
  </conditionalFormatting>
  <conditionalFormatting sqref="E31">
    <cfRule type="cellIs" dxfId="3" priority="14" operator="lessThan">
      <formula>0</formula>
    </cfRule>
  </conditionalFormatting>
  <conditionalFormatting sqref="E32">
    <cfRule type="cellIs" dxfId="2" priority="15" operator="lessThan">
      <formula>0</formula>
    </cfRule>
  </conditionalFormatting>
  <conditionalFormatting sqref="E32">
    <cfRule type="cellIs" dxfId="3" priority="16" operator="greaterThan">
      <formula>0</formula>
    </cfRule>
  </conditionalFormatting>
  <conditionalFormatting sqref="E33">
    <cfRule type="cellIs" dxfId="2" priority="17" operator="greaterThan">
      <formula>0</formula>
    </cfRule>
  </conditionalFormatting>
  <conditionalFormatting sqref="E33">
    <cfRule type="cellIs" dxfId="3" priority="18" operator="lessThan">
      <formula>0</formula>
    </cfRule>
  </conditionalFormatting>
  <conditionalFormatting sqref="E34">
    <cfRule type="cellIs" dxfId="0" priority="19" operator="greaterThan">
      <formula>0</formula>
    </cfRule>
  </conditionalFormatting>
  <conditionalFormatting sqref="E34">
    <cfRule type="cellIs" dxfId="1" priority="20" operator="lessThan">
      <formula>0</formula>
    </cfRule>
  </conditionalFormatting>
  <conditionalFormatting sqref="E48:E52">
    <cfRule type="cellIs" dxfId="2" priority="21" operator="greaterThan">
      <formula>0</formula>
    </cfRule>
  </conditionalFormatting>
  <conditionalFormatting sqref="E48:E52">
    <cfRule type="cellIs" dxfId="3" priority="22" operator="lessThan">
      <formula>0</formula>
    </cfRule>
  </conditionalFormatting>
  <conditionalFormatting sqref="E40:E41">
    <cfRule type="cellIs" dxfId="2" priority="23" operator="greaterThan">
      <formula>0</formula>
    </cfRule>
  </conditionalFormatting>
  <conditionalFormatting sqref="E40:E41">
    <cfRule type="cellIs" dxfId="3" priority="24" operator="lessThan">
      <formula>0</formula>
    </cfRule>
  </conditionalFormatting>
  <conditionalFormatting sqref="E42">
    <cfRule type="cellIs" dxfId="2" priority="25" operator="lessThan">
      <formula>0</formula>
    </cfRule>
  </conditionalFormatting>
  <conditionalFormatting sqref="E42">
    <cfRule type="cellIs" dxfId="3" priority="26" operator="greaterThan">
      <formula>0</formula>
    </cfRule>
  </conditionalFormatting>
  <conditionalFormatting sqref="E43">
    <cfRule type="cellIs" dxfId="2" priority="27" operator="greaterThan">
      <formula>0</formula>
    </cfRule>
  </conditionalFormatting>
  <conditionalFormatting sqref="E43">
    <cfRule type="cellIs" dxfId="3" priority="28" operator="lessThan">
      <formula>0</formula>
    </cfRule>
  </conditionalFormatting>
  <conditionalFormatting sqref="E44">
    <cfRule type="cellIs" dxfId="2" priority="29" operator="lessThan">
      <formula>0</formula>
    </cfRule>
  </conditionalFormatting>
  <conditionalFormatting sqref="E44">
    <cfRule type="cellIs" dxfId="3" priority="30" operator="greaterThan">
      <formula>0</formula>
    </cfRule>
  </conditionalFormatting>
  <conditionalFormatting sqref="E45">
    <cfRule type="cellIs" dxfId="2" priority="31" operator="greaterThan">
      <formula>0</formula>
    </cfRule>
  </conditionalFormatting>
  <conditionalFormatting sqref="E45">
    <cfRule type="cellIs" dxfId="3" priority="32" operator="lessThan">
      <formula>0</formula>
    </cfRule>
  </conditionalFormatting>
  <conditionalFormatting sqref="H8:H11">
    <cfRule type="cellIs" dxfId="0" priority="33" operator="greaterThan">
      <formula>0</formula>
    </cfRule>
  </conditionalFormatting>
  <conditionalFormatting sqref="H8:H11">
    <cfRule type="cellIs" dxfId="1" priority="34" operator="lessThan">
      <formula>0</formula>
    </cfRule>
  </conditionalFormatting>
  <conditionalFormatting sqref="H13:H15">
    <cfRule type="cellIs" dxfId="0" priority="35" operator="greaterThan">
      <formula>0</formula>
    </cfRule>
  </conditionalFormatting>
  <conditionalFormatting sqref="H13:H15">
    <cfRule type="cellIs" dxfId="1" priority="36" operator="lessThan">
      <formula>0</formula>
    </cfRule>
  </conditionalFormatting>
  <conditionalFormatting sqref="H17:H21">
    <cfRule type="cellIs" dxfId="0" priority="37" operator="greaterThan">
      <formula>0</formula>
    </cfRule>
  </conditionalFormatting>
  <conditionalFormatting sqref="H17:H21">
    <cfRule type="cellIs" dxfId="1" priority="38" operator="lessThan">
      <formula>0</formula>
    </cfRule>
  </conditionalFormatting>
  <conditionalFormatting sqref="H29">
    <cfRule type="cellIs" dxfId="0" priority="39" operator="greaterThan">
      <formula>0</formula>
    </cfRule>
  </conditionalFormatting>
  <conditionalFormatting sqref="H29">
    <cfRule type="cellIs" dxfId="1" priority="40" operator="lessThan">
      <formula>0</formula>
    </cfRule>
  </conditionalFormatting>
  <conditionalFormatting sqref="H30">
    <cfRule type="cellIs" dxfId="2" priority="41" operator="lessThan">
      <formula>0</formula>
    </cfRule>
  </conditionalFormatting>
  <conditionalFormatting sqref="H30">
    <cfRule type="cellIs" dxfId="3" priority="42" operator="greaterThan">
      <formula>0</formula>
    </cfRule>
  </conditionalFormatting>
  <conditionalFormatting sqref="H31">
    <cfRule type="cellIs" dxfId="2" priority="43" operator="greaterThan">
      <formula>0</formula>
    </cfRule>
  </conditionalFormatting>
  <conditionalFormatting sqref="H31">
    <cfRule type="cellIs" dxfId="3" priority="44" operator="lessThan">
      <formula>0</formula>
    </cfRule>
  </conditionalFormatting>
  <conditionalFormatting sqref="H32">
    <cfRule type="cellIs" dxfId="2" priority="45" operator="lessThan">
      <formula>0</formula>
    </cfRule>
  </conditionalFormatting>
  <conditionalFormatting sqref="H32">
    <cfRule type="cellIs" dxfId="3" priority="46" operator="greaterThan">
      <formula>0</formula>
    </cfRule>
  </conditionalFormatting>
  <conditionalFormatting sqref="H33">
    <cfRule type="cellIs" dxfId="2" priority="47" operator="greaterThan">
      <formula>0</formula>
    </cfRule>
  </conditionalFormatting>
  <conditionalFormatting sqref="H33">
    <cfRule type="cellIs" dxfId="3" priority="48" operator="lessThan">
      <formula>0</formula>
    </cfRule>
  </conditionalFormatting>
  <conditionalFormatting sqref="H34">
    <cfRule type="cellIs" dxfId="0" priority="49" operator="greaterThan">
      <formula>0</formula>
    </cfRule>
  </conditionalFormatting>
  <conditionalFormatting sqref="H34">
    <cfRule type="cellIs" dxfId="1" priority="50" operator="lessThan">
      <formula>0</formula>
    </cfRule>
  </conditionalFormatting>
  <conditionalFormatting sqref="H41">
    <cfRule type="cellIs" dxfId="2" priority="51" operator="greaterThan">
      <formula>0</formula>
    </cfRule>
  </conditionalFormatting>
  <conditionalFormatting sqref="H41">
    <cfRule type="cellIs" dxfId="3" priority="52" operator="lessThan">
      <formula>0</formula>
    </cfRule>
  </conditionalFormatting>
  <conditionalFormatting sqref="H42">
    <cfRule type="cellIs" dxfId="2" priority="53" operator="lessThan">
      <formula>0</formula>
    </cfRule>
  </conditionalFormatting>
  <conditionalFormatting sqref="H42">
    <cfRule type="cellIs" dxfId="3" priority="54" operator="greaterThan">
      <formula>0</formula>
    </cfRule>
  </conditionalFormatting>
  <conditionalFormatting sqref="H43">
    <cfRule type="cellIs" dxfId="2" priority="55" operator="greaterThan">
      <formula>0</formula>
    </cfRule>
  </conditionalFormatting>
  <conditionalFormatting sqref="H43">
    <cfRule type="cellIs" dxfId="3" priority="56" operator="lessThan">
      <formula>0</formula>
    </cfRule>
  </conditionalFormatting>
  <conditionalFormatting sqref="H44">
    <cfRule type="cellIs" dxfId="2" priority="57" operator="lessThan">
      <formula>0</formula>
    </cfRule>
  </conditionalFormatting>
  <conditionalFormatting sqref="H44">
    <cfRule type="cellIs" dxfId="3" priority="58" operator="greaterThan">
      <formula>0</formula>
    </cfRule>
  </conditionalFormatting>
  <conditionalFormatting sqref="H45">
    <cfRule type="cellIs" dxfId="2" priority="59" operator="greaterThan">
      <formula>0</formula>
    </cfRule>
  </conditionalFormatting>
  <conditionalFormatting sqref="H45">
    <cfRule type="cellIs" dxfId="3" priority="60" operator="lessThan">
      <formula>0</formula>
    </cfRule>
  </conditionalFormatting>
  <conditionalFormatting sqref="K8:K11">
    <cfRule type="cellIs" dxfId="0" priority="61" operator="greaterThan">
      <formula>0</formula>
    </cfRule>
  </conditionalFormatting>
  <conditionalFormatting sqref="K8:K11">
    <cfRule type="cellIs" dxfId="1" priority="62" operator="lessThan">
      <formula>0</formula>
    </cfRule>
  </conditionalFormatting>
  <conditionalFormatting sqref="K13:K15">
    <cfRule type="cellIs" dxfId="0" priority="63" operator="greaterThan">
      <formula>0</formula>
    </cfRule>
  </conditionalFormatting>
  <conditionalFormatting sqref="K13:K15">
    <cfRule type="cellIs" dxfId="1" priority="64" operator="lessThan">
      <formula>0</formula>
    </cfRule>
  </conditionalFormatting>
  <conditionalFormatting sqref="K17:K21">
    <cfRule type="cellIs" dxfId="0" priority="65" operator="greaterThan">
      <formula>0</formula>
    </cfRule>
  </conditionalFormatting>
  <conditionalFormatting sqref="K17:K21">
    <cfRule type="cellIs" dxfId="1" priority="66" operator="lessThan">
      <formula>0</formula>
    </cfRule>
  </conditionalFormatting>
  <conditionalFormatting sqref="K29">
    <cfRule type="cellIs" dxfId="0" priority="67" operator="greaterThan">
      <formula>0</formula>
    </cfRule>
  </conditionalFormatting>
  <conditionalFormatting sqref="K29">
    <cfRule type="cellIs" dxfId="1" priority="68" operator="lessThan">
      <formula>0</formula>
    </cfRule>
  </conditionalFormatting>
  <conditionalFormatting sqref="K30">
    <cfRule type="cellIs" dxfId="2" priority="69" operator="lessThan">
      <formula>0</formula>
    </cfRule>
  </conditionalFormatting>
  <conditionalFormatting sqref="K30">
    <cfRule type="cellIs" dxfId="3" priority="70" operator="greaterThan">
      <formula>0</formula>
    </cfRule>
  </conditionalFormatting>
  <conditionalFormatting sqref="K31">
    <cfRule type="cellIs" dxfId="2" priority="71" operator="greaterThan">
      <formula>0</formula>
    </cfRule>
  </conditionalFormatting>
  <conditionalFormatting sqref="K31">
    <cfRule type="cellIs" dxfId="3" priority="72" operator="lessThan">
      <formula>0</formula>
    </cfRule>
  </conditionalFormatting>
  <conditionalFormatting sqref="K32">
    <cfRule type="cellIs" dxfId="2" priority="73" operator="lessThan">
      <formula>0</formula>
    </cfRule>
  </conditionalFormatting>
  <conditionalFormatting sqref="K32">
    <cfRule type="cellIs" dxfId="3" priority="74" operator="greaterThan">
      <formula>0</formula>
    </cfRule>
  </conditionalFormatting>
  <conditionalFormatting sqref="K33">
    <cfRule type="cellIs" dxfId="2" priority="75" operator="greaterThan">
      <formula>0</formula>
    </cfRule>
  </conditionalFormatting>
  <conditionalFormatting sqref="K33">
    <cfRule type="cellIs" dxfId="3" priority="76" operator="lessThan">
      <formula>0</formula>
    </cfRule>
  </conditionalFormatting>
  <conditionalFormatting sqref="K34">
    <cfRule type="cellIs" dxfId="0" priority="77" operator="greaterThan">
      <formula>0</formula>
    </cfRule>
  </conditionalFormatting>
  <conditionalFormatting sqref="K34">
    <cfRule type="cellIs" dxfId="1" priority="78" operator="lessThan">
      <formula>0</formula>
    </cfRule>
  </conditionalFormatting>
  <conditionalFormatting sqref="K41">
    <cfRule type="cellIs" dxfId="2" priority="79" operator="greaterThan">
      <formula>0</formula>
    </cfRule>
  </conditionalFormatting>
  <conditionalFormatting sqref="K41">
    <cfRule type="cellIs" dxfId="3" priority="80" operator="lessThan">
      <formula>0</formula>
    </cfRule>
  </conditionalFormatting>
  <conditionalFormatting sqref="K42">
    <cfRule type="cellIs" dxfId="2" priority="81" operator="lessThan">
      <formula>0</formula>
    </cfRule>
  </conditionalFormatting>
  <conditionalFormatting sqref="K42">
    <cfRule type="cellIs" dxfId="3" priority="82" operator="greaterThan">
      <formula>0</formula>
    </cfRule>
  </conditionalFormatting>
  <conditionalFormatting sqref="K43">
    <cfRule type="cellIs" dxfId="2" priority="83" operator="greaterThan">
      <formula>0</formula>
    </cfRule>
  </conditionalFormatting>
  <conditionalFormatting sqref="K43">
    <cfRule type="cellIs" dxfId="3" priority="84" operator="lessThan">
      <formula>0</formula>
    </cfRule>
  </conditionalFormatting>
  <conditionalFormatting sqref="K44">
    <cfRule type="cellIs" dxfId="2" priority="85" operator="lessThan">
      <formula>0</formula>
    </cfRule>
  </conditionalFormatting>
  <conditionalFormatting sqref="K44">
    <cfRule type="cellIs" dxfId="3" priority="86" operator="greaterThan">
      <formula>0</formula>
    </cfRule>
  </conditionalFormatting>
  <conditionalFormatting sqref="K45">
    <cfRule type="cellIs" dxfId="2" priority="87" operator="greaterThan">
      <formula>0</formula>
    </cfRule>
  </conditionalFormatting>
  <conditionalFormatting sqref="K45">
    <cfRule type="cellIs" dxfId="3" priority="88" operator="lessThan">
      <formula>0</formula>
    </cfRule>
  </conditionalFormatting>
  <conditionalFormatting sqref="N8:N11">
    <cfRule type="cellIs" dxfId="0" priority="89" operator="greaterThan">
      <formula>0</formula>
    </cfRule>
  </conditionalFormatting>
  <conditionalFormatting sqref="N8:N11">
    <cfRule type="cellIs" dxfId="1" priority="90" operator="lessThan">
      <formula>0</formula>
    </cfRule>
  </conditionalFormatting>
  <conditionalFormatting sqref="N13:N15">
    <cfRule type="cellIs" dxfId="0" priority="91" operator="greaterThan">
      <formula>0</formula>
    </cfRule>
  </conditionalFormatting>
  <conditionalFormatting sqref="N13:N15">
    <cfRule type="cellIs" dxfId="1" priority="92" operator="lessThan">
      <formula>0</formula>
    </cfRule>
  </conditionalFormatting>
  <conditionalFormatting sqref="N17:N21">
    <cfRule type="cellIs" dxfId="0" priority="93" operator="greaterThan">
      <formula>0</formula>
    </cfRule>
  </conditionalFormatting>
  <conditionalFormatting sqref="N17:N21">
    <cfRule type="cellIs" dxfId="1" priority="94" operator="lessThan">
      <formula>0</formula>
    </cfRule>
  </conditionalFormatting>
  <conditionalFormatting sqref="N29">
    <cfRule type="cellIs" dxfId="0" priority="95" operator="greaterThan">
      <formula>0</formula>
    </cfRule>
  </conditionalFormatting>
  <conditionalFormatting sqref="N29">
    <cfRule type="cellIs" dxfId="1" priority="96" operator="lessThan">
      <formula>0</formula>
    </cfRule>
  </conditionalFormatting>
  <conditionalFormatting sqref="N30">
    <cfRule type="cellIs" dxfId="2" priority="97" operator="lessThan">
      <formula>0</formula>
    </cfRule>
  </conditionalFormatting>
  <conditionalFormatting sqref="N30">
    <cfRule type="cellIs" dxfId="3" priority="98" operator="greaterThan">
      <formula>0</formula>
    </cfRule>
  </conditionalFormatting>
  <conditionalFormatting sqref="N31">
    <cfRule type="cellIs" dxfId="2" priority="99" operator="greaterThan">
      <formula>0</formula>
    </cfRule>
  </conditionalFormatting>
  <conditionalFormatting sqref="N31">
    <cfRule type="cellIs" dxfId="3" priority="100" operator="lessThan">
      <formula>0</formula>
    </cfRule>
  </conditionalFormatting>
  <conditionalFormatting sqref="N32">
    <cfRule type="cellIs" dxfId="2" priority="101" operator="lessThan">
      <formula>0</formula>
    </cfRule>
  </conditionalFormatting>
  <conditionalFormatting sqref="N32">
    <cfRule type="cellIs" dxfId="3" priority="102" operator="greaterThan">
      <formula>0</formula>
    </cfRule>
  </conditionalFormatting>
  <conditionalFormatting sqref="N33">
    <cfRule type="cellIs" dxfId="2" priority="103" operator="greaterThan">
      <formula>0</formula>
    </cfRule>
  </conditionalFormatting>
  <conditionalFormatting sqref="N33">
    <cfRule type="cellIs" dxfId="3" priority="104" operator="lessThan">
      <formula>0</formula>
    </cfRule>
  </conditionalFormatting>
  <conditionalFormatting sqref="N34">
    <cfRule type="cellIs" dxfId="0" priority="105" operator="greaterThan">
      <formula>0</formula>
    </cfRule>
  </conditionalFormatting>
  <conditionalFormatting sqref="N34">
    <cfRule type="cellIs" dxfId="1" priority="106" operator="lessThan">
      <formula>0</formula>
    </cfRule>
  </conditionalFormatting>
  <conditionalFormatting sqref="N41">
    <cfRule type="cellIs" dxfId="2" priority="107" operator="greaterThan">
      <formula>0</formula>
    </cfRule>
  </conditionalFormatting>
  <conditionalFormatting sqref="N41">
    <cfRule type="cellIs" dxfId="3" priority="108" operator="lessThan">
      <formula>0</formula>
    </cfRule>
  </conditionalFormatting>
  <conditionalFormatting sqref="N42">
    <cfRule type="cellIs" dxfId="2" priority="109" operator="lessThan">
      <formula>0</formula>
    </cfRule>
  </conditionalFormatting>
  <conditionalFormatting sqref="N42">
    <cfRule type="cellIs" dxfId="3" priority="110" operator="greaterThan">
      <formula>0</formula>
    </cfRule>
  </conditionalFormatting>
  <conditionalFormatting sqref="N43">
    <cfRule type="cellIs" dxfId="2" priority="111" operator="greaterThan">
      <formula>0</formula>
    </cfRule>
  </conditionalFormatting>
  <conditionalFormatting sqref="N43">
    <cfRule type="cellIs" dxfId="3" priority="112" operator="lessThan">
      <formula>0</formula>
    </cfRule>
  </conditionalFormatting>
  <conditionalFormatting sqref="N44">
    <cfRule type="cellIs" dxfId="2" priority="113" operator="lessThan">
      <formula>0</formula>
    </cfRule>
  </conditionalFormatting>
  <conditionalFormatting sqref="N44">
    <cfRule type="cellIs" dxfId="3" priority="114" operator="greaterThan">
      <formula>0</formula>
    </cfRule>
  </conditionalFormatting>
  <conditionalFormatting sqref="N45">
    <cfRule type="cellIs" dxfId="2" priority="115" operator="greaterThan">
      <formula>0</formula>
    </cfRule>
  </conditionalFormatting>
  <conditionalFormatting sqref="N45">
    <cfRule type="cellIs" dxfId="3" priority="116" operator="lessThan">
      <formula>0</formula>
    </cfRule>
  </conditionalFormatting>
  <conditionalFormatting sqref="Q8:Q11">
    <cfRule type="cellIs" dxfId="0" priority="117" operator="greaterThan">
      <formula>0</formula>
    </cfRule>
  </conditionalFormatting>
  <conditionalFormatting sqref="Q8:Q11">
    <cfRule type="cellIs" dxfId="1" priority="118" operator="lessThan">
      <formula>0</formula>
    </cfRule>
  </conditionalFormatting>
  <conditionalFormatting sqref="Q13:Q15">
    <cfRule type="cellIs" dxfId="0" priority="119" operator="greaterThan">
      <formula>0</formula>
    </cfRule>
  </conditionalFormatting>
  <conditionalFormatting sqref="Q13:Q15">
    <cfRule type="cellIs" dxfId="1" priority="120" operator="lessThan">
      <formula>0</formula>
    </cfRule>
  </conditionalFormatting>
  <conditionalFormatting sqref="Q17:Q21">
    <cfRule type="cellIs" dxfId="0" priority="121" operator="greaterThan">
      <formula>0</formula>
    </cfRule>
  </conditionalFormatting>
  <conditionalFormatting sqref="Q17:Q21">
    <cfRule type="cellIs" dxfId="1" priority="122" operator="lessThan">
      <formula>0</formula>
    </cfRule>
  </conditionalFormatting>
  <conditionalFormatting sqref="Q29">
    <cfRule type="cellIs" dxfId="0" priority="123" operator="greaterThan">
      <formula>0</formula>
    </cfRule>
  </conditionalFormatting>
  <conditionalFormatting sqref="Q29">
    <cfRule type="cellIs" dxfId="1" priority="124" operator="lessThan">
      <formula>0</formula>
    </cfRule>
  </conditionalFormatting>
  <conditionalFormatting sqref="Q30">
    <cfRule type="cellIs" dxfId="2" priority="125" operator="lessThan">
      <formula>0</formula>
    </cfRule>
  </conditionalFormatting>
  <conditionalFormatting sqref="Q30">
    <cfRule type="cellIs" dxfId="3" priority="126" operator="greaterThan">
      <formula>0</formula>
    </cfRule>
  </conditionalFormatting>
  <conditionalFormatting sqref="Q31">
    <cfRule type="cellIs" dxfId="2" priority="127" operator="greaterThan">
      <formula>0</formula>
    </cfRule>
  </conditionalFormatting>
  <conditionalFormatting sqref="Q31">
    <cfRule type="cellIs" dxfId="3" priority="128" operator="lessThan">
      <formula>0</formula>
    </cfRule>
  </conditionalFormatting>
  <conditionalFormatting sqref="Q32">
    <cfRule type="cellIs" dxfId="2" priority="129" operator="lessThan">
      <formula>0</formula>
    </cfRule>
  </conditionalFormatting>
  <conditionalFormatting sqref="Q32">
    <cfRule type="cellIs" dxfId="3" priority="130" operator="greaterThan">
      <formula>0</formula>
    </cfRule>
  </conditionalFormatting>
  <conditionalFormatting sqref="Q33">
    <cfRule type="cellIs" dxfId="2" priority="131" operator="greaterThan">
      <formula>0</formula>
    </cfRule>
  </conditionalFormatting>
  <conditionalFormatting sqref="Q33">
    <cfRule type="cellIs" dxfId="3" priority="132" operator="lessThan">
      <formula>0</formula>
    </cfRule>
  </conditionalFormatting>
  <conditionalFormatting sqref="Q34">
    <cfRule type="cellIs" dxfId="0" priority="133" operator="greaterThan">
      <formula>0</formula>
    </cfRule>
  </conditionalFormatting>
  <conditionalFormatting sqref="Q34">
    <cfRule type="cellIs" dxfId="1" priority="134" operator="lessThan">
      <formula>0</formula>
    </cfRule>
  </conditionalFormatting>
  <conditionalFormatting sqref="Q41">
    <cfRule type="cellIs" dxfId="2" priority="135" operator="greaterThan">
      <formula>0</formula>
    </cfRule>
  </conditionalFormatting>
  <conditionalFormatting sqref="Q41">
    <cfRule type="cellIs" dxfId="3" priority="136" operator="lessThan">
      <formula>0</formula>
    </cfRule>
  </conditionalFormatting>
  <conditionalFormatting sqref="Q42">
    <cfRule type="cellIs" dxfId="2" priority="137" operator="lessThan">
      <formula>0</formula>
    </cfRule>
  </conditionalFormatting>
  <conditionalFormatting sqref="Q42">
    <cfRule type="cellIs" dxfId="3" priority="138" operator="greaterThan">
      <formula>0</formula>
    </cfRule>
  </conditionalFormatting>
  <conditionalFormatting sqref="Q43">
    <cfRule type="cellIs" dxfId="2" priority="139" operator="greaterThan">
      <formula>0</formula>
    </cfRule>
  </conditionalFormatting>
  <conditionalFormatting sqref="Q43">
    <cfRule type="cellIs" dxfId="3" priority="140" operator="lessThan">
      <formula>0</formula>
    </cfRule>
  </conditionalFormatting>
  <conditionalFormatting sqref="Q44">
    <cfRule type="cellIs" dxfId="2" priority="141" operator="lessThan">
      <formula>0</formula>
    </cfRule>
  </conditionalFormatting>
  <conditionalFormatting sqref="Q44">
    <cfRule type="cellIs" dxfId="3" priority="142" operator="greaterThan">
      <formula>0</formula>
    </cfRule>
  </conditionalFormatting>
  <conditionalFormatting sqref="Q45">
    <cfRule type="cellIs" dxfId="2" priority="143" operator="greaterThan">
      <formula>0</formula>
    </cfRule>
  </conditionalFormatting>
  <conditionalFormatting sqref="Q45">
    <cfRule type="cellIs" dxfId="3" priority="144" operator="lessThan">
      <formula>0</formula>
    </cfRule>
  </conditionalFormatting>
  <conditionalFormatting sqref="T8:T11">
    <cfRule type="cellIs" dxfId="0" priority="145" operator="greaterThan">
      <formula>0</formula>
    </cfRule>
  </conditionalFormatting>
  <conditionalFormatting sqref="T8:T11">
    <cfRule type="cellIs" dxfId="1" priority="146" operator="lessThan">
      <formula>0</formula>
    </cfRule>
  </conditionalFormatting>
  <conditionalFormatting sqref="T13:T15">
    <cfRule type="cellIs" dxfId="0" priority="147" operator="greaterThan">
      <formula>0</formula>
    </cfRule>
  </conditionalFormatting>
  <conditionalFormatting sqref="T13:T15">
    <cfRule type="cellIs" dxfId="1" priority="148" operator="lessThan">
      <formula>0</formula>
    </cfRule>
  </conditionalFormatting>
  <conditionalFormatting sqref="T17:T21">
    <cfRule type="cellIs" dxfId="0" priority="149" operator="greaterThan">
      <formula>0</formula>
    </cfRule>
  </conditionalFormatting>
  <conditionalFormatting sqref="T17:T21">
    <cfRule type="cellIs" dxfId="1" priority="150" operator="lessThan">
      <formula>0</formula>
    </cfRule>
  </conditionalFormatting>
  <conditionalFormatting sqref="T29">
    <cfRule type="cellIs" dxfId="0" priority="151" operator="greaterThan">
      <formula>0</formula>
    </cfRule>
  </conditionalFormatting>
  <conditionalFormatting sqref="T29">
    <cfRule type="cellIs" dxfId="1" priority="152" operator="lessThan">
      <formula>0</formula>
    </cfRule>
  </conditionalFormatting>
  <conditionalFormatting sqref="T30">
    <cfRule type="cellIs" dxfId="2" priority="153" operator="lessThan">
      <formula>0</formula>
    </cfRule>
  </conditionalFormatting>
  <conditionalFormatting sqref="T30">
    <cfRule type="cellIs" dxfId="3" priority="154" operator="greaterThan">
      <formula>0</formula>
    </cfRule>
  </conditionalFormatting>
  <conditionalFormatting sqref="T31">
    <cfRule type="cellIs" dxfId="2" priority="155" operator="greaterThan">
      <formula>0</formula>
    </cfRule>
  </conditionalFormatting>
  <conditionalFormatting sqref="T31">
    <cfRule type="cellIs" dxfId="3" priority="156" operator="lessThan">
      <formula>0</formula>
    </cfRule>
  </conditionalFormatting>
  <conditionalFormatting sqref="T32">
    <cfRule type="cellIs" dxfId="2" priority="157" operator="lessThan">
      <formula>0</formula>
    </cfRule>
  </conditionalFormatting>
  <conditionalFormatting sqref="T32">
    <cfRule type="cellIs" dxfId="3" priority="158" operator="greaterThan">
      <formula>0</formula>
    </cfRule>
  </conditionalFormatting>
  <conditionalFormatting sqref="T33">
    <cfRule type="cellIs" dxfId="2" priority="159" operator="greaterThan">
      <formula>0</formula>
    </cfRule>
  </conditionalFormatting>
  <conditionalFormatting sqref="T33">
    <cfRule type="cellIs" dxfId="3" priority="160" operator="lessThan">
      <formula>0</formula>
    </cfRule>
  </conditionalFormatting>
  <conditionalFormatting sqref="T34">
    <cfRule type="cellIs" dxfId="0" priority="161" operator="greaterThan">
      <formula>0</formula>
    </cfRule>
  </conditionalFormatting>
  <conditionalFormatting sqref="T34">
    <cfRule type="cellIs" dxfId="1" priority="162" operator="lessThan">
      <formula>0</formula>
    </cfRule>
  </conditionalFormatting>
  <conditionalFormatting sqref="T41">
    <cfRule type="cellIs" dxfId="2" priority="163" operator="greaterThan">
      <formula>0</formula>
    </cfRule>
  </conditionalFormatting>
  <conditionalFormatting sqref="T41">
    <cfRule type="cellIs" dxfId="3" priority="164" operator="lessThan">
      <formula>0</formula>
    </cfRule>
  </conditionalFormatting>
  <conditionalFormatting sqref="T42">
    <cfRule type="cellIs" dxfId="2" priority="165" operator="lessThan">
      <formula>0</formula>
    </cfRule>
  </conditionalFormatting>
  <conditionalFormatting sqref="T42">
    <cfRule type="cellIs" dxfId="3" priority="166" operator="greaterThan">
      <formula>0</formula>
    </cfRule>
  </conditionalFormatting>
  <conditionalFormatting sqref="T43">
    <cfRule type="cellIs" dxfId="2" priority="167" operator="greaterThan">
      <formula>0</formula>
    </cfRule>
  </conditionalFormatting>
  <conditionalFormatting sqref="T43">
    <cfRule type="cellIs" dxfId="3" priority="168" operator="lessThan">
      <formula>0</formula>
    </cfRule>
  </conditionalFormatting>
  <conditionalFormatting sqref="T44">
    <cfRule type="cellIs" dxfId="2" priority="169" operator="lessThan">
      <formula>0</formula>
    </cfRule>
  </conditionalFormatting>
  <conditionalFormatting sqref="T44">
    <cfRule type="cellIs" dxfId="3" priority="170" operator="greaterThan">
      <formula>0</formula>
    </cfRule>
  </conditionalFormatting>
  <conditionalFormatting sqref="T45">
    <cfRule type="cellIs" dxfId="2" priority="171" operator="greaterThan">
      <formula>0</formula>
    </cfRule>
  </conditionalFormatting>
  <conditionalFormatting sqref="T45">
    <cfRule type="cellIs" dxfId="3" priority="172" operator="lessThan">
      <formula>0</formula>
    </cfRule>
  </conditionalFormatting>
  <conditionalFormatting sqref="H28">
    <cfRule type="cellIs" dxfId="2" priority="173" operator="lessThan">
      <formula>0</formula>
    </cfRule>
  </conditionalFormatting>
  <conditionalFormatting sqref="H28">
    <cfRule type="cellIs" dxfId="3" priority="174" operator="greaterThan">
      <formula>0</formula>
    </cfRule>
  </conditionalFormatting>
  <conditionalFormatting sqref="K28">
    <cfRule type="cellIs" dxfId="2" priority="175" operator="lessThan">
      <formula>0</formula>
    </cfRule>
  </conditionalFormatting>
  <conditionalFormatting sqref="K28">
    <cfRule type="cellIs" dxfId="3" priority="176" operator="greaterThan">
      <formula>0</formula>
    </cfRule>
  </conditionalFormatting>
  <conditionalFormatting sqref="N28">
    <cfRule type="cellIs" dxfId="2" priority="177" operator="lessThan">
      <formula>0</formula>
    </cfRule>
  </conditionalFormatting>
  <conditionalFormatting sqref="N28">
    <cfRule type="cellIs" dxfId="3" priority="178" operator="greaterThan">
      <formula>0</formula>
    </cfRule>
  </conditionalFormatting>
  <conditionalFormatting sqref="Q28">
    <cfRule type="cellIs" dxfId="2" priority="179" operator="lessThan">
      <formula>0</formula>
    </cfRule>
  </conditionalFormatting>
  <conditionalFormatting sqref="Q28">
    <cfRule type="cellIs" dxfId="3" priority="180" operator="greaterThan">
      <formula>0</formula>
    </cfRule>
  </conditionalFormatting>
  <conditionalFormatting sqref="T28">
    <cfRule type="cellIs" dxfId="2" priority="181" operator="lessThan">
      <formula>0</formula>
    </cfRule>
  </conditionalFormatting>
  <conditionalFormatting sqref="T28">
    <cfRule type="cellIs" dxfId="3" priority="182" operator="greaterThan">
      <formula>0</formula>
    </cfRule>
  </conditionalFormatting>
  <conditionalFormatting sqref="H40">
    <cfRule type="cellIs" dxfId="2" priority="183" operator="lessThan">
      <formula>0</formula>
    </cfRule>
  </conditionalFormatting>
  <conditionalFormatting sqref="H40">
    <cfRule type="cellIs" dxfId="3" priority="184" operator="greaterThan">
      <formula>0</formula>
    </cfRule>
  </conditionalFormatting>
  <conditionalFormatting sqref="K40">
    <cfRule type="cellIs" dxfId="2" priority="185" operator="lessThan">
      <formula>0</formula>
    </cfRule>
  </conditionalFormatting>
  <conditionalFormatting sqref="K40">
    <cfRule type="cellIs" dxfId="3" priority="186" operator="greaterThan">
      <formula>0</formula>
    </cfRule>
  </conditionalFormatting>
  <conditionalFormatting sqref="N40">
    <cfRule type="cellIs" dxfId="2" priority="187" operator="lessThan">
      <formula>0</formula>
    </cfRule>
  </conditionalFormatting>
  <conditionalFormatting sqref="N40">
    <cfRule type="cellIs" dxfId="3" priority="188" operator="greaterThan">
      <formula>0</formula>
    </cfRule>
  </conditionalFormatting>
  <conditionalFormatting sqref="Q40">
    <cfRule type="cellIs" dxfId="2" priority="189" operator="lessThan">
      <formula>0</formula>
    </cfRule>
  </conditionalFormatting>
  <conditionalFormatting sqref="Q40">
    <cfRule type="cellIs" dxfId="3" priority="190" operator="greaterThan">
      <formula>0</formula>
    </cfRule>
  </conditionalFormatting>
  <conditionalFormatting sqref="T40">
    <cfRule type="cellIs" dxfId="2" priority="191" operator="lessThan">
      <formula>0</formula>
    </cfRule>
  </conditionalFormatting>
  <conditionalFormatting sqref="T40">
    <cfRule type="cellIs" dxfId="3" priority="19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</cols>
  <sheetData>
    <row r="1">
      <c r="A1" s="1" t="s">
        <v>59</v>
      </c>
    </row>
    <row r="3" ht="21.75" customHeight="1">
      <c r="A3" s="67" t="s">
        <v>1</v>
      </c>
      <c r="B3" s="67" t="s">
        <v>2</v>
      </c>
      <c r="C3" s="67" t="s">
        <v>8</v>
      </c>
      <c r="D3" s="67" t="s">
        <v>9</v>
      </c>
      <c r="E3" s="67" t="s">
        <v>60</v>
      </c>
      <c r="F3" s="67" t="s">
        <v>10</v>
      </c>
    </row>
    <row r="4">
      <c r="A4" s="68" t="s">
        <v>11</v>
      </c>
      <c r="B4" s="21"/>
      <c r="C4" s="21"/>
      <c r="D4" s="21"/>
      <c r="E4" s="21"/>
      <c r="F4" s="21"/>
    </row>
    <row r="5">
      <c r="A5" s="24"/>
      <c r="B5" s="69" t="s">
        <v>12</v>
      </c>
      <c r="C5" s="27">
        <f>SUMIFS('Raw Data'!$D:$D, 'Raw Data'!$B:$B, "Control")</f>
        <v>2369835</v>
      </c>
      <c r="D5" s="27">
        <f>SUMIFS('Raw Data'!$D:$D, 'Raw Data'!$B:$B, "Variant")</f>
        <v>2360728</v>
      </c>
      <c r="E5" s="70">
        <f>IFERROR(D5-C5,"")</f>
        <v>-9107</v>
      </c>
      <c r="F5" s="31">
        <f>IFERROR((D5-C5)/ABS(C5),"")</f>
        <v>-0.003842883576</v>
      </c>
    </row>
    <row r="6">
      <c r="A6" s="68" t="s">
        <v>13</v>
      </c>
      <c r="B6" s="21"/>
      <c r="C6" s="21"/>
      <c r="D6" s="21"/>
      <c r="E6" s="21"/>
      <c r="F6" s="21"/>
    </row>
    <row r="7">
      <c r="A7" s="24"/>
      <c r="B7" s="69" t="s">
        <v>14</v>
      </c>
      <c r="C7" s="33">
        <f>SUMIFS('Raw Data'!$F:$F, 'Raw Data'!$B:$B, "Control")</f>
        <v>836569.58</v>
      </c>
      <c r="D7" s="33">
        <f>SUMIFS('Raw Data'!$F:$F, 'Raw Data'!$B:$B, "Variant")</f>
        <v>873805.96</v>
      </c>
      <c r="E7" s="71">
        <f t="shared" ref="E7:E9" si="1">IFERROR(D7-C7,"")</f>
        <v>37236.38</v>
      </c>
      <c r="F7" s="38">
        <f t="shared" ref="F7:F9" si="2">IFERROR((D7-C7)/ABS(C7),"")</f>
        <v>0.04451079849</v>
      </c>
    </row>
    <row r="8">
      <c r="A8" s="24"/>
      <c r="B8" s="69" t="s">
        <v>15</v>
      </c>
      <c r="C8" s="40">
        <f>IFERROR(SUMIFS('Raw Data'!$F:$F, 'Raw Data'!$B:$B, "Control")/SUMIFS('Raw Data'!$D:$D, 'Raw Data'!$B:$B, "Control"),"")</f>
        <v>0.3530075216</v>
      </c>
      <c r="D8" s="40">
        <f>IFERROR(SUMIFS('Raw Data'!$F:$F, 'Raw Data'!$B:$B, "Variant")/SUMIFS('Raw Data'!$D:$D, 'Raw Data'!$B:$B, "Variant"),"")</f>
        <v>0.3701425831</v>
      </c>
      <c r="E8" s="71">
        <f t="shared" si="1"/>
        <v>0.01713506151</v>
      </c>
      <c r="F8" s="38">
        <f t="shared" si="2"/>
        <v>0.04854021647</v>
      </c>
    </row>
    <row r="9">
      <c r="A9" s="24"/>
      <c r="B9" s="69" t="s">
        <v>17</v>
      </c>
      <c r="C9" s="40">
        <f>IFERROR(SUMIFS('Raw Data'!$F:$F, 'Raw Data'!$B:$B, "Control")/SUMPRODUCT(('Raw Data'!$B$2:$B$9999="Control")*'Raw Data'!$D$2:$D$9999*'Raw Data'!$H$2:$H$9999/100),"")</f>
        <v>6.446561669</v>
      </c>
      <c r="D9" s="40">
        <f>IFERROR(SUMIFS('Raw Data'!$F:$F, 'Raw Data'!$B:$B, "Variant")/SUMPRODUCT(('Raw Data'!$B$2:$B$9999="Variant")*'Raw Data'!$D$2:$D$9999*'Raw Data'!$H$2:$H$9999/100),"")</f>
        <v>6.611612843</v>
      </c>
      <c r="E9" s="71">
        <f t="shared" si="1"/>
        <v>0.1650511735</v>
      </c>
      <c r="F9" s="38">
        <f t="shared" si="2"/>
        <v>0.02560297751</v>
      </c>
    </row>
    <row r="10">
      <c r="A10" s="68" t="s">
        <v>18</v>
      </c>
      <c r="B10" s="21"/>
      <c r="C10" s="21"/>
      <c r="D10" s="21"/>
      <c r="E10" s="21"/>
      <c r="F10" s="21"/>
    </row>
    <row r="11">
      <c r="A11" s="24"/>
      <c r="B11" s="69" t="s">
        <v>19</v>
      </c>
      <c r="C11" s="47">
        <f>IFERROR(SUMPRODUCT(('Raw Data'!$B$2:$B$9999="Control")*'Raw Data'!$D$2:$D$9999*'Raw Data'!$J$2:$J$9999)/SUMIFS('Raw Data'!$D:$D, 'Raw Data'!$B:$B, "Control"),"")</f>
        <v>45.49266237</v>
      </c>
      <c r="D11" s="47">
        <f>IFERROR(SUMPRODUCT(('Raw Data'!$B$2:$B$9999="Variant")*'Raw Data'!$D$2:$D$9999*'Raw Data'!$J$2:$J$9999)/SUMIFS('Raw Data'!$D:$D, 'Raw Data'!$B:$B, "Variant"),"")</f>
        <v>47.23005947</v>
      </c>
      <c r="E11" s="72">
        <f t="shared" ref="E11:E13" si="3">IFERROR(D11-C11,"")</f>
        <v>1.737397102</v>
      </c>
      <c r="F11" s="49">
        <f t="shared" ref="F11:F13" si="4">IFERROR((D11-C11)/ABS(C11),"")</f>
        <v>0.03819071058</v>
      </c>
    </row>
    <row r="12">
      <c r="A12" s="24"/>
      <c r="B12" s="69" t="s">
        <v>20</v>
      </c>
      <c r="C12" s="47">
        <f>IFERROR(SUMPRODUCT(('Raw Data'!$B$2:$B$9999="Control")*'Raw Data'!$D$2:$D$9999*'Raw Data'!$K$2:$K$9999)/SUMIFS('Raw Data'!$D:$D, 'Raw Data'!$B:$B, "Control"),"")</f>
        <v>23.72947243</v>
      </c>
      <c r="D12" s="47">
        <f>IFERROR(SUMPRODUCT(('Raw Data'!$B$2:$B$9999="Variant")*'Raw Data'!$D$2:$D$9999*'Raw Data'!$K$2:$K$9999)/SUMIFS('Raw Data'!$D:$D, 'Raw Data'!$B:$B, "Variant"),"")</f>
        <v>24.63824189</v>
      </c>
      <c r="E12" s="72">
        <f t="shared" si="3"/>
        <v>0.9087694582</v>
      </c>
      <c r="F12" s="49">
        <f t="shared" si="4"/>
        <v>0.03829707807</v>
      </c>
    </row>
    <row r="13">
      <c r="A13" s="24"/>
      <c r="B13" s="69" t="s">
        <v>21</v>
      </c>
      <c r="C13" s="47">
        <f>IFERROR(SUMPRODUCT(('Raw Data'!$B$2:$B$9999="Control")*'Raw Data'!$D$2:$D$9999*'Raw Data'!$L$2:$L$9999)/SUMIFS('Raw Data'!$D:$D, 'Raw Data'!$B:$B, "Control"),"")</f>
        <v>12.58431165</v>
      </c>
      <c r="D13" s="47">
        <f>IFERROR(SUMPRODUCT(('Raw Data'!$B$2:$B$9999="Variant")*'Raw Data'!$D$2:$D$9999*'Raw Data'!$L$2:$L$9999)/SUMIFS('Raw Data'!$D:$D, 'Raw Data'!$B:$B, "Variant"),"")</f>
        <v>13.02891378</v>
      </c>
      <c r="E13" s="72">
        <f t="shared" si="3"/>
        <v>0.4446021296</v>
      </c>
      <c r="F13" s="49">
        <f t="shared" si="4"/>
        <v>0.03532987278</v>
      </c>
    </row>
    <row r="14" ht="15.75" customHeight="1">
      <c r="A14" s="68" t="s">
        <v>22</v>
      </c>
      <c r="B14" s="21"/>
      <c r="C14" s="21"/>
      <c r="D14" s="21"/>
      <c r="E14" s="21"/>
      <c r="F14" s="21"/>
    </row>
    <row r="15" ht="15.75" customHeight="1">
      <c r="A15" s="24"/>
      <c r="B15" s="69" t="s">
        <v>23</v>
      </c>
      <c r="C15" s="47">
        <f>IFERROR(SUMPRODUCT(('Raw Data'!$B$2:$B$9999="Control")*'Raw Data'!$D$2:$D$9999*'Raw Data'!$AD$2:$AD$9999)/SUMIFS('Raw Data'!$D:$D, 'Raw Data'!$B:$B, "Control"),"")</f>
        <v>8.361194328</v>
      </c>
      <c r="D15" s="47">
        <f>IFERROR(SUMPRODUCT(('Raw Data'!$B$2:$B$9999="Variant")*'Raw Data'!$D$2:$D$9999*'Raw Data'!$AD$2:$AD$9999)/SUMIFS('Raw Data'!$D:$D, 'Raw Data'!$B:$B, "Variant"),"")</f>
        <v>8.686686171</v>
      </c>
      <c r="E15" s="72">
        <f t="shared" ref="E15:E19" si="5">IFERROR(D15-C15,"")</f>
        <v>0.3254918427</v>
      </c>
      <c r="F15" s="49">
        <f t="shared" ref="F15:F19" si="6">IFERROR((D15-C15)/ABS(C15),"")</f>
        <v>0.03892886948</v>
      </c>
    </row>
    <row r="16" ht="15.75" customHeight="1">
      <c r="A16" s="24"/>
      <c r="B16" s="69" t="s">
        <v>24</v>
      </c>
      <c r="C16" s="47">
        <f>IFERROR(SUMPRODUCT(('Raw Data'!$B$2:$B$9999="Control")*'Raw Data'!$D$2:$D$9999*'Raw Data'!$AE$2:$AE$9999)/SUMIFS('Raw Data'!$D:$D, 'Raw Data'!$B:$B, "Control"),"")</f>
        <v>2.927098722</v>
      </c>
      <c r="D16" s="47">
        <f>IFERROR(SUMPRODUCT(('Raw Data'!$B$2:$B$9999="Variant")*'Raw Data'!$D$2:$D$9999*'Raw Data'!$AE$2:$AE$9999)/SUMIFS('Raw Data'!$D:$D, 'Raw Data'!$B:$B, "Variant"),"")</f>
        <v>3.004827324</v>
      </c>
      <c r="E16" s="72">
        <f t="shared" si="5"/>
        <v>0.07772860239</v>
      </c>
      <c r="F16" s="49">
        <f t="shared" si="6"/>
        <v>0.02655482776</v>
      </c>
    </row>
    <row r="17" ht="15.75" customHeight="1">
      <c r="A17" s="24"/>
      <c r="B17" s="69" t="s">
        <v>25</v>
      </c>
      <c r="C17" s="47">
        <f>IFERROR(SUMPRODUCT(('Raw Data'!$B$2:$B$9999="Control")*'Raw Data'!$D$2:$D$9999*'Raw Data'!$AF$2:$AF$9999)/SUMIFS('Raw Data'!$D:$D, 'Raw Data'!$B:$B, "Control"),"")</f>
        <v>6.200865461</v>
      </c>
      <c r="D17" s="47">
        <f>IFERROR(SUMPRODUCT(('Raw Data'!$B$2:$B$9999="Variant")*'Raw Data'!$D$2:$D$9999*'Raw Data'!$AF$2:$AF$9999)/SUMIFS('Raw Data'!$D:$D, 'Raw Data'!$B:$B, "Variant"),"")</f>
        <v>6.427114856</v>
      </c>
      <c r="E17" s="72">
        <f t="shared" si="5"/>
        <v>0.226249395</v>
      </c>
      <c r="F17" s="49">
        <f t="shared" si="6"/>
        <v>0.0364867447</v>
      </c>
    </row>
    <row r="18" ht="15.75" customHeight="1">
      <c r="A18" s="24"/>
      <c r="B18" s="69" t="s">
        <v>26</v>
      </c>
      <c r="C18" s="47">
        <f>IFERROR(SUMPRODUCT(('Raw Data'!$B$2:$B$9999="Control")*'Raw Data'!$D$2:$D$9999*'Raw Data'!$AG$2:$AG$9999)/SUMIFS('Raw Data'!$D:$D, 'Raw Data'!$B:$B, "Control"),"")</f>
        <v>11.47544407</v>
      </c>
      <c r="D18" s="47">
        <f>IFERROR(SUMPRODUCT(('Raw Data'!$B$2:$B$9999="Variant")*'Raw Data'!$D$2:$D$9999*'Raw Data'!$AG$2:$AG$9999)/SUMIFS('Raw Data'!$D:$D, 'Raw Data'!$B:$B, "Variant"),"")</f>
        <v>11.92095574</v>
      </c>
      <c r="E18" s="72">
        <f t="shared" si="5"/>
        <v>0.4455116681</v>
      </c>
      <c r="F18" s="49">
        <f t="shared" si="6"/>
        <v>0.03882304382</v>
      </c>
    </row>
    <row r="19" ht="15.75" customHeight="1">
      <c r="A19" s="24"/>
      <c r="B19" s="69" t="s">
        <v>27</v>
      </c>
      <c r="C19" s="47">
        <f>IFERROR(SUMPRODUCT(('Raw Data'!$B$2:$B$9999="Control")*'Raw Data'!$D$2:$D$9999*'Raw Data'!$AH$2:$AH$9999)/SUMIFS('Raw Data'!$D:$D, 'Raw Data'!$B:$B, "Control"),"")</f>
        <v>17.89439265</v>
      </c>
      <c r="D19" s="47">
        <f>IFERROR(SUMPRODUCT(('Raw Data'!$B$2:$B$9999="Variant")*'Raw Data'!$D$2:$D$9999*'Raw Data'!$AH$2:$AH$9999)/SUMIFS('Raw Data'!$D:$D, 'Raw Data'!$B:$B, "Variant"),"")</f>
        <v>18.59967857</v>
      </c>
      <c r="E19" s="72">
        <f t="shared" si="5"/>
        <v>0.7052859261</v>
      </c>
      <c r="F19" s="49">
        <f t="shared" si="6"/>
        <v>0.03941379515</v>
      </c>
    </row>
    <row r="20">
      <c r="A20" s="68" t="s">
        <v>28</v>
      </c>
      <c r="B20" s="21"/>
      <c r="C20" s="21"/>
      <c r="D20" s="21"/>
      <c r="E20" s="21"/>
      <c r="F20" s="21"/>
    </row>
    <row r="21" ht="15.75" customHeight="1">
      <c r="A21" s="24"/>
      <c r="B21" s="69" t="s">
        <v>29</v>
      </c>
      <c r="C21" s="53">
        <f>IFERROR(SUMPRODUCT(('Raw Data'!$B$2:$B$9999="Control")*'Raw Data'!$D$2:$D$9999*'Raw Data'!$M$2:$M$9999)/SUMIFS('Raw Data'!$D:$D, 'Raw Data'!$B:$B, "Control"),"")</f>
        <v>0.3781649174</v>
      </c>
      <c r="D21" s="53">
        <f>IFERROR(SUMPRODUCT(('Raw Data'!$B$2:$B$9999="Variant")*'Raw Data'!$D$2:$D$9999*'Raw Data'!$M$2:$M$9999)/SUMIFS('Raw Data'!$D:$D, 'Raw Data'!$B:$B, "Variant"),"")</f>
        <v>0.373589906</v>
      </c>
      <c r="E21" s="73">
        <f t="shared" ref="E21:E24" si="7">IFERROR(D21-C21,"")</f>
        <v>-0.004575011351</v>
      </c>
      <c r="F21" s="31">
        <f t="shared" ref="F21:F24" si="8">IFERROR((D21-C21)/ABS(C21),"")</f>
        <v>-0.01209792644</v>
      </c>
    </row>
    <row r="22" ht="15.75" customHeight="1">
      <c r="A22" s="24"/>
      <c r="B22" s="69" t="s">
        <v>30</v>
      </c>
      <c r="C22" s="53">
        <f>IFERROR(SUMPRODUCT(('Raw Data'!$B$2:$B$9999="Control")*'Raw Data'!$D$2:$D$9999*'Raw Data'!$N$2:$N$9999)/SUMIFS('Raw Data'!$D:$D, 'Raw Data'!$B:$B, "Control"),"")</f>
        <v>0.7263452799</v>
      </c>
      <c r="D22" s="53">
        <f>IFERROR(SUMPRODUCT(('Raw Data'!$B$2:$B$9999="Variant")*'Raw Data'!$D$2:$D$9999*'Raw Data'!$N$2:$N$9999)/SUMIFS('Raw Data'!$D:$D, 'Raw Data'!$B:$B, "Variant"),"")</f>
        <v>0.7266549884</v>
      </c>
      <c r="E22" s="73">
        <f t="shared" si="7"/>
        <v>0.0003097084308</v>
      </c>
      <c r="F22" s="31">
        <f t="shared" si="8"/>
        <v>0.0004263928456</v>
      </c>
    </row>
    <row r="23" ht="15.75" customHeight="1">
      <c r="A23" s="24"/>
      <c r="B23" s="69" t="s">
        <v>31</v>
      </c>
      <c r="C23" s="53">
        <f>IFERROR(SUMPRODUCT(('Raw Data'!$B$2:$B$9999="Control")*'Raw Data'!$D$2:$D$9999*'Raw Data'!$O$2:$O$9999)/SUMIFS('Raw Data'!$D:$D, 'Raw Data'!$B:$B, "Control"),"")</f>
        <v>0.5125274399</v>
      </c>
      <c r="D23" s="53">
        <f>IFERROR(SUMPRODUCT(('Raw Data'!$B$2:$B$9999="Variant")*'Raw Data'!$D$2:$D$9999*'Raw Data'!$O$2:$O$9999)/SUMIFS('Raw Data'!$D:$D, 'Raw Data'!$B:$B, "Variant"),"")</f>
        <v>0.5035141107</v>
      </c>
      <c r="E23" s="73">
        <f t="shared" si="7"/>
        <v>-0.009013329153</v>
      </c>
      <c r="F23" s="31">
        <f t="shared" si="8"/>
        <v>-0.01758604213</v>
      </c>
    </row>
    <row r="24" ht="15.75" customHeight="1">
      <c r="A24" s="24"/>
      <c r="B24" s="69" t="s">
        <v>32</v>
      </c>
      <c r="C24" s="47">
        <f>IFERROR(SUMPRODUCT(('Raw Data'!$B$2:$B$9999="Control")*'Raw Data'!$D$2:$D$9999*'Raw Data'!$P$2:$P$9999)/SUMIFS('Raw Data'!$D:$D, 'Raw Data'!$B:$B, "Control"),"")</f>
        <v>15.50109075</v>
      </c>
      <c r="D24" s="47">
        <f>IFERROR(SUMPRODUCT(('Raw Data'!$B$2:$B$9999="Variant")*'Raw Data'!$D$2:$D$9999*'Raw Data'!$P$2:$P$9999)/SUMIFS('Raw Data'!$D:$D, 'Raw Data'!$B:$B, "Variant"),"")</f>
        <v>11.65581582</v>
      </c>
      <c r="E24" s="74">
        <f t="shared" si="7"/>
        <v>-3.845274933</v>
      </c>
      <c r="F24" s="31">
        <f t="shared" si="8"/>
        <v>-0.2480647971</v>
      </c>
    </row>
    <row r="25" ht="15.75" customHeight="1">
      <c r="A25" s="68" t="s">
        <v>33</v>
      </c>
      <c r="B25" s="21"/>
      <c r="C25" s="21"/>
      <c r="D25" s="21"/>
      <c r="E25" s="21"/>
      <c r="F25" s="21"/>
    </row>
    <row r="26" ht="15.75" customHeight="1">
      <c r="A26" s="24"/>
      <c r="B26" s="75" t="s">
        <v>34</v>
      </c>
      <c r="C26" s="47">
        <f>IFERROR(SUMPRODUCT(('Raw Data'!$B$2:$B$9999="Control")*'Raw Data'!$D$2:$D$9999*'Raw Data'!$Q$2:$Q$9999)/SUMIFS('Raw Data'!$D:$D, 'Raw Data'!$B:$B, "Control"),"")</f>
        <v>117.013984</v>
      </c>
      <c r="D26" s="47">
        <f>IFERROR(SUMPRODUCT(('Raw Data'!$B$2:$B$9999="Variant")*'Raw Data'!$D$2:$D$9999*'Raw Data'!$Q$2:$Q$9999)/SUMIFS('Raw Data'!$D:$D, 'Raw Data'!$B:$B, "Variant"),"")</f>
        <v>113.9032638</v>
      </c>
      <c r="E26" s="76">
        <f t="shared" ref="E26:E34" si="9">IFERROR(D26-C26,"")</f>
        <v>-3.110720196</v>
      </c>
      <c r="F26" s="38">
        <f t="shared" ref="F26:F34" si="10">IFERROR((D26-C26)/ABS(C26),"")</f>
        <v>-0.02658417473</v>
      </c>
    </row>
    <row r="27" ht="15.75" customHeight="1">
      <c r="A27" s="24"/>
      <c r="B27" s="69" t="s">
        <v>61</v>
      </c>
      <c r="C27" s="47">
        <f>IFERROR(SUMPRODUCT(('Raw Data'!$B$2:$B$9999="Control")*'Raw Data'!$D$2:$D$9999*'Raw Data'!$R$2:$R$9999)/SUMIFS('Raw Data'!$D:$D, 'Raw Data'!$B:$B, "Control"),"")</f>
        <v>91.19624618</v>
      </c>
      <c r="D27" s="47">
        <f>IFERROR(SUMPRODUCT(('Raw Data'!$B$2:$B$9999="Variant")*'Raw Data'!$D$2:$D$9999*'Raw Data'!$R$2:$R$9999)/SUMIFS('Raw Data'!$D:$D, 'Raw Data'!$B:$B, "Variant"),"")</f>
        <v>104.045628</v>
      </c>
      <c r="E27" s="74">
        <f t="shared" si="9"/>
        <v>12.84938182</v>
      </c>
      <c r="F27" s="31">
        <f t="shared" si="10"/>
        <v>0.1408981439</v>
      </c>
    </row>
    <row r="28" ht="15.75" customHeight="1">
      <c r="A28" s="24"/>
      <c r="B28" s="69" t="s">
        <v>62</v>
      </c>
      <c r="C28" s="47">
        <f>IFERROR(SUMPRODUCT(('Raw Data'!$B$2:$B$9999="Control")*'Raw Data'!$D$2:$D$9999*'Raw Data'!$S$2:$S$9999)/SUMIFS('Raw Data'!$D:$D, 'Raw Data'!$B:$B, "Control"),"")</f>
        <v>25.81821566</v>
      </c>
      <c r="D28" s="47">
        <f>IFERROR(SUMPRODUCT(('Raw Data'!$B$2:$B$9999="Variant")*'Raw Data'!$D$2:$D$9999*'Raw Data'!$S$2:$S$9999)/SUMIFS('Raw Data'!$D:$D, 'Raw Data'!$B:$B, "Variant"),"")</f>
        <v>9.857762834</v>
      </c>
      <c r="E28" s="74">
        <f t="shared" si="9"/>
        <v>-15.96045283</v>
      </c>
      <c r="F28" s="31">
        <f t="shared" si="10"/>
        <v>-0.6181857428</v>
      </c>
    </row>
    <row r="29" ht="15.75" customHeight="1">
      <c r="A29" s="24"/>
      <c r="B29" s="75" t="s">
        <v>35</v>
      </c>
      <c r="C29" s="47">
        <f>IFERROR(SUMPRODUCT(('Raw Data'!$B$2:$B$9999="Control")*'Raw Data'!$D$2:$D$9999*'Raw Data'!$T$2:$T$9999)/SUMIFS('Raw Data'!$D:$D, 'Raw Data'!$B:$B, "Control"),"")</f>
        <v>21.8291568</v>
      </c>
      <c r="D29" s="47">
        <f>IFERROR(SUMPRODUCT(('Raw Data'!$B$2:$B$9999="Variant")*'Raw Data'!$D$2:$D$9999*'Raw Data'!$T$2:$T$9999)/SUMIFS('Raw Data'!$D:$D, 'Raw Data'!$B:$B, "Variant"),"")</f>
        <v>22.91715682</v>
      </c>
      <c r="E29" s="72">
        <f t="shared" si="9"/>
        <v>1.08800002</v>
      </c>
      <c r="F29" s="38">
        <f t="shared" si="10"/>
        <v>0.04984159626</v>
      </c>
    </row>
    <row r="30" ht="15.75" customHeight="1">
      <c r="A30" s="24"/>
      <c r="B30" s="75" t="s">
        <v>36</v>
      </c>
      <c r="C30" s="47">
        <f>IFERROR(SUMPRODUCT(('Raw Data'!$B$2:$B$9999="Control")*'Raw Data'!$D$2:$D$9999*'Raw Data'!$U$2:$U$9999)/SUMIFS('Raw Data'!$D:$D, 'Raw Data'!$B:$B, "Control"),"")</f>
        <v>95.18477981</v>
      </c>
      <c r="D30" s="47">
        <f>IFERROR(SUMPRODUCT(('Raw Data'!$B$2:$B$9999="Variant")*'Raw Data'!$D$2:$D$9999*'Raw Data'!$U$2:$U$9999)/SUMIFS('Raw Data'!$D:$D, 'Raw Data'!$B:$B, "Variant"),"")</f>
        <v>90.98620201</v>
      </c>
      <c r="E30" s="72">
        <f t="shared" si="9"/>
        <v>-4.198577791</v>
      </c>
      <c r="F30" s="38">
        <f t="shared" si="10"/>
        <v>-0.04410975998</v>
      </c>
    </row>
    <row r="31" ht="15.75" customHeight="1">
      <c r="A31" s="24"/>
      <c r="B31" s="75" t="s">
        <v>37</v>
      </c>
      <c r="C31" s="47">
        <f>IFERROR(SUMPRODUCT(('Raw Data'!$B$2:$B$9999="Control")*'Raw Data'!$D$2:$D$9999*'Raw Data'!$V$2:$V$9999)/SUMIFS('Raw Data'!$D:$D, 'Raw Data'!$B:$B, "Control"),"")</f>
        <v>112.9336202</v>
      </c>
      <c r="D31" s="47">
        <f>IFERROR(SUMPRODUCT(('Raw Data'!$B$2:$B$9999="Variant")*'Raw Data'!$D$2:$D$9999*'Raw Data'!$V$2:$V$9999)/SUMIFS('Raw Data'!$D:$D, 'Raw Data'!$B:$B, "Variant"),"")</f>
        <v>110.6401699</v>
      </c>
      <c r="E31" s="77">
        <f t="shared" si="9"/>
        <v>-2.293450258</v>
      </c>
      <c r="F31" s="49">
        <f t="shared" si="10"/>
        <v>-0.02030794952</v>
      </c>
    </row>
    <row r="32" ht="15.75" customHeight="1">
      <c r="A32" s="24"/>
      <c r="B32" s="75" t="s">
        <v>63</v>
      </c>
      <c r="C32" s="47">
        <f>IFERROR(SUMPRODUCT(('Raw Data'!$B$2:$B$9999="Control")*'Raw Data'!$D$2:$D$9999*('Raw Data'!$Q$2:$Q$9999-'Raw Data'!$V$2:$V$9999))/SUMIFS('Raw Data'!$D:$D, 'Raw Data'!$B:$B, "Control"),"")</f>
        <v>4.080363785</v>
      </c>
      <c r="D32" s="47">
        <f>IFERROR(SUMPRODUCT(('Raw Data'!$B$2:$B$9999="Variant")*'Raw Data'!$D$2:$D$9999*('Raw Data'!$Q$2:$Q$9999-'Raw Data'!$V$2:$V$9999))/SUMIFS('Raw Data'!$D:$D, 'Raw Data'!$B:$B, "Variant"),"")</f>
        <v>3.263093846</v>
      </c>
      <c r="E32" s="72">
        <f t="shared" si="9"/>
        <v>-0.8172699383</v>
      </c>
      <c r="F32" s="38">
        <f t="shared" si="10"/>
        <v>-0.2002934006</v>
      </c>
    </row>
    <row r="33" ht="15.75" customHeight="1">
      <c r="A33" s="24"/>
      <c r="B33" s="69" t="s">
        <v>39</v>
      </c>
      <c r="C33" s="47">
        <f>IFERROR(SUMPRODUCT(('Raw Data'!$B$2:$B$9999="Control")*'Raw Data'!$D$2:$D$9999*'Raw Data'!$W$2:$W$9999)/SUMIFS('Raw Data'!$D:$D, 'Raw Data'!$B:$B, "Control"),"")</f>
        <v>3.790034211</v>
      </c>
      <c r="D33" s="47">
        <f>IFERROR(SUMPRODUCT(('Raw Data'!$B$2:$B$9999="Variant")*'Raw Data'!$D$2:$D$9999*'Raw Data'!$W$2:$W$9999)/SUMIFS('Raw Data'!$D:$D, 'Raw Data'!$B:$B, "Variant"),"")</f>
        <v>3.47874428</v>
      </c>
      <c r="E33" s="77">
        <f t="shared" si="9"/>
        <v>-0.3112899305</v>
      </c>
      <c r="F33" s="49">
        <f t="shared" si="10"/>
        <v>-0.08213380493</v>
      </c>
    </row>
    <row r="34" ht="15.75" customHeight="1">
      <c r="A34" s="24"/>
      <c r="B34" s="69" t="s">
        <v>40</v>
      </c>
      <c r="C34" s="53">
        <f>IFERROR(SUMPRODUCT(('Raw Data'!$B$2:$B$9999="Control")*'Raw Data'!$D$2:$D$9999*'Raw Data'!$X$2:$X$9999)/SUMIFS('Raw Data'!$D:$D, 'Raw Data'!$B:$B, "Control"),"")</f>
        <v>13.03190768</v>
      </c>
      <c r="D34" s="53">
        <f>IFERROR(SUMPRODUCT(('Raw Data'!$B$2:$B$9999="Variant")*'Raw Data'!$D$2:$D$9999*'Raw Data'!$X$2:$X$9999)/SUMIFS('Raw Data'!$D:$D, 'Raw Data'!$B:$B, "Variant"),"")</f>
        <v>14.13321096</v>
      </c>
      <c r="E34" s="72">
        <f t="shared" si="9"/>
        <v>1.101303277</v>
      </c>
      <c r="F34" s="38">
        <f t="shared" si="10"/>
        <v>0.08450821662</v>
      </c>
    </row>
    <row r="35" ht="15.75" customHeight="1">
      <c r="A35" s="68" t="s">
        <v>41</v>
      </c>
      <c r="B35" s="21"/>
      <c r="C35" s="21"/>
      <c r="D35" s="21"/>
      <c r="E35" s="21"/>
      <c r="F35" s="21"/>
    </row>
    <row r="36" ht="15.75" customHeight="1">
      <c r="A36" s="24"/>
      <c r="B36" s="69" t="s">
        <v>42</v>
      </c>
      <c r="C36" s="27">
        <f>IFERROR(SUMPRODUCT(('Raw Data'!$B$2:$B$9999="Control")*'Raw Data'!$D$2:$D$9999*'Raw Data'!$Y$2:$Y$9999)/SUMIFS('Raw Data'!$D:$D, 'Raw Data'!$B:$B, "Control"),"")</f>
        <v>139.4403674</v>
      </c>
      <c r="D36" s="27">
        <f>IFERROR(SUMPRODUCT(('Raw Data'!$B$2:$B$9999="Variant")*'Raw Data'!$D$2:$D$9999*'Raw Data'!$Y$2:$Y$9999)/SUMIFS('Raw Data'!$D:$D, 'Raw Data'!$B:$B, "Variant"),"")</f>
        <v>129.9749213</v>
      </c>
      <c r="E36" s="70">
        <f t="shared" ref="E36:E38" si="11">IFERROR(D36-C36,"")</f>
        <v>-9.465446072</v>
      </c>
      <c r="F36" s="31">
        <f t="shared" ref="F36:F38" si="12">IFERROR((D36-C36)/ABS(C36),"")</f>
        <v>-0.06788167767</v>
      </c>
    </row>
    <row r="37" ht="15.75" customHeight="1">
      <c r="A37" s="24"/>
      <c r="B37" s="69" t="s">
        <v>43</v>
      </c>
      <c r="C37" s="27">
        <f>IFERROR(SUMPRODUCT(('Raw Data'!$B$2:$B$9999="Control")*'Raw Data'!$D$2:$D$9999*'Raw Data'!$Z$2:$Z$9999)/SUMIFS('Raw Data'!$D:$D, 'Raw Data'!$B:$B, "Control"),"")</f>
        <v>952.0991288</v>
      </c>
      <c r="D37" s="27">
        <f>IFERROR(SUMPRODUCT(('Raw Data'!$B$2:$B$9999="Variant")*'Raw Data'!$D$2:$D$9999*'Raw Data'!$Z$2:$Z$9999)/SUMIFS('Raw Data'!$D:$D, 'Raw Data'!$B:$B, "Variant"),"")</f>
        <v>874.9995133</v>
      </c>
      <c r="E37" s="70">
        <f t="shared" si="11"/>
        <v>-77.09961556</v>
      </c>
      <c r="F37" s="31">
        <f t="shared" si="12"/>
        <v>-0.08097855908</v>
      </c>
    </row>
    <row r="38" ht="15.75" customHeight="1">
      <c r="A38" s="24"/>
      <c r="B38" s="69" t="s">
        <v>44</v>
      </c>
      <c r="C38" s="27">
        <f>IFERROR(SUMPRODUCT(('Raw Data'!$B$2:$B$9999="Control")*'Raw Data'!$D$2:$D$9999*'Raw Data'!$AA$2:$AA$9999)/SUMIFS('Raw Data'!$D:$D, 'Raw Data'!$B:$B, "Control"),"")</f>
        <v>5520.358969</v>
      </c>
      <c r="D38" s="27">
        <f>IFERROR(SUMPRODUCT(('Raw Data'!$B$2:$B$9999="Variant")*'Raw Data'!$D$2:$D$9999*'Raw Data'!$AA$2:$AA$9999)/SUMIFS('Raw Data'!$D:$D, 'Raw Data'!$B:$B, "Variant"),"")</f>
        <v>5239.189255</v>
      </c>
      <c r="E38" s="70">
        <f t="shared" si="11"/>
        <v>-281.1697145</v>
      </c>
      <c r="F38" s="31">
        <f t="shared" si="12"/>
        <v>-0.05093323027</v>
      </c>
    </row>
    <row r="39" ht="15.75" customHeight="1">
      <c r="A39" s="68" t="s">
        <v>64</v>
      </c>
      <c r="B39" s="21"/>
      <c r="C39" s="21"/>
      <c r="D39" s="21"/>
      <c r="E39" s="21"/>
      <c r="F39" s="21"/>
    </row>
    <row r="40" ht="15.75" customHeight="1">
      <c r="A40" s="24"/>
      <c r="B40" s="69" t="s">
        <v>65</v>
      </c>
      <c r="C40" s="47">
        <f>IFERROR(SUMPRODUCT(('Raw Data'!$B$2:$B$9999="Control")*'Raw Data'!$D$2:$D$9999*'Raw Data'!$AB$2:$AB$9999)/SUMIFS('Raw Data'!$D:$D, 'Raw Data'!$B:$B, "Control"),"")</f>
        <v>51.4765844</v>
      </c>
      <c r="D40" s="47">
        <f>IFERROR(SUMPRODUCT(('Raw Data'!$B$2:$B$9999="Variant")*'Raw Data'!$D$2:$D$9999*'Raw Data'!$AB$2:$AB$9999)/SUMIFS('Raw Data'!$D:$D, 'Raw Data'!$B:$B, "Variant"),"")</f>
        <v>51.53327564</v>
      </c>
      <c r="E40" s="72">
        <f t="shared" ref="E40:E41" si="13">IFERROR(D40-C40,"")</f>
        <v>0.0566912343</v>
      </c>
      <c r="F40" s="49">
        <f t="shared" ref="F40:F41" si="14">IFERROR((D40-C40)/ABS(C40),"")</f>
        <v>0.001101301397</v>
      </c>
    </row>
    <row r="41" ht="15.75" customHeight="1">
      <c r="A41" s="24"/>
      <c r="B41" s="69" t="s">
        <v>66</v>
      </c>
      <c r="C41" s="47">
        <f>IFERROR(SUMPRODUCT(('Raw Data'!$B$2:$B$9999="Control")*'Raw Data'!$D$2:$D$9999*'Raw Data'!$AC$2:$AC$9999)/SUMIFS('Raw Data'!$D:$D, 'Raw Data'!$B:$B, "Control"),"")</f>
        <v>0.5640225397</v>
      </c>
      <c r="D41" s="47">
        <f>IFERROR(SUMPRODUCT(('Raw Data'!$B$2:$B$9999="Variant")*'Raw Data'!$D$2:$D$9999*'Raw Data'!$AC$2:$AC$9999)/SUMIFS('Raw Data'!$D:$D, 'Raw Data'!$B:$B, "Variant"),"")</f>
        <v>0.5649101197</v>
      </c>
      <c r="E41" s="72">
        <f t="shared" si="13"/>
        <v>0.0008875799623</v>
      </c>
      <c r="F41" s="38">
        <f t="shared" si="14"/>
        <v>0.001573660448</v>
      </c>
    </row>
    <row r="42" ht="15.75" customHeight="1">
      <c r="A42" s="68" t="s">
        <v>67</v>
      </c>
      <c r="B42" s="21"/>
      <c r="C42" s="21"/>
      <c r="D42" s="21"/>
      <c r="E42" s="21"/>
      <c r="F42" s="21"/>
    </row>
    <row r="43" ht="15.75" customHeight="1">
      <c r="A43" s="24"/>
      <c r="B43" s="69" t="s">
        <v>68</v>
      </c>
      <c r="C43" s="43">
        <f>IFERROR(SUMPRODUCT(('Raw Data'!$B$2:$B$9999="Control")*'Raw Data'!$D$2:$D$9999*'Raw Data'!$AI$2:$AI$9999)/SUMIFS('Raw Data'!$D:$D, 'Raw Data'!$B:$B, "Control"),"")</f>
        <v>51.61667531</v>
      </c>
      <c r="D43" s="43">
        <f>IFERROR(SUMPRODUCT(('Raw Data'!$B$2:$B$9999="Variant")*'Raw Data'!$D$2:$D$9999*'Raw Data'!$AI$2:$AI$9999)/SUMIFS('Raw Data'!$D:$D, 'Raw Data'!$B:$B, "Variant"),"")</f>
        <v>50.95307145</v>
      </c>
      <c r="E43" s="78">
        <f t="shared" ref="E43:E45" si="15">IFERROR(D43-C43,"")</f>
        <v>-0.6636038578</v>
      </c>
      <c r="F43" s="38">
        <f t="shared" ref="F43:F45" si="16">IFERROR((D43-C43)/ABS(C43),"")</f>
        <v>-0.01285638515</v>
      </c>
    </row>
    <row r="44" ht="15.75" customHeight="1">
      <c r="A44" s="24"/>
      <c r="B44" s="69" t="s">
        <v>69</v>
      </c>
      <c r="C44" s="43">
        <f>IFERROR(SUMPRODUCT(('Raw Data'!$B$2:$B$9999="Control")*'Raw Data'!$D$2:$D$9999*'Raw Data'!$AJ$2:$AJ$9999)/SUMIFS('Raw Data'!$D:$D, 'Raw Data'!$B:$B, "Control"),"")</f>
        <v>21.30857975</v>
      </c>
      <c r="D44" s="43">
        <f>IFERROR(SUMPRODUCT(('Raw Data'!$B$2:$B$9999="Variant")*'Raw Data'!$D$2:$D$9999*'Raw Data'!$AJ$2:$AJ$9999)/SUMIFS('Raw Data'!$D:$D, 'Raw Data'!$B:$B, "Variant"),"")</f>
        <v>21.20677976</v>
      </c>
      <c r="E44" s="79">
        <f t="shared" si="15"/>
        <v>-0.1017999805</v>
      </c>
      <c r="F44" s="49">
        <f t="shared" si="16"/>
        <v>-0.004777417438</v>
      </c>
    </row>
    <row r="45" ht="15.75" customHeight="1">
      <c r="A45" s="24"/>
      <c r="B45" s="69" t="s">
        <v>70</v>
      </c>
      <c r="C45" s="43">
        <f>IFERROR(SUMPRODUCT(('Raw Data'!$B$2:$B$9999="Control")*'Raw Data'!$D$2:$D$9999*'Raw Data'!$AK$2:$AK$9999)/SUMIFS('Raw Data'!$D:$D, 'Raw Data'!$B:$B, "Control"),"")</f>
        <v>5.504440845</v>
      </c>
      <c r="D45" s="43">
        <f>IFERROR(SUMPRODUCT(('Raw Data'!$B$2:$B$9999="Variant")*'Raw Data'!$D$2:$D$9999*'Raw Data'!$AK$2:$AK$9999)/SUMIFS('Raw Data'!$D:$D, 'Raw Data'!$B:$B, "Variant"),"")</f>
        <v>5.650148662</v>
      </c>
      <c r="E45" s="79">
        <f t="shared" si="15"/>
        <v>0.1457078167</v>
      </c>
      <c r="F45" s="49">
        <f t="shared" si="16"/>
        <v>0.02647095697</v>
      </c>
    </row>
    <row r="46" ht="15.75" customHeight="1">
      <c r="A46" s="68" t="s">
        <v>71</v>
      </c>
      <c r="B46" s="21"/>
      <c r="C46" s="21"/>
      <c r="D46" s="21"/>
      <c r="E46" s="21"/>
      <c r="F46" s="21"/>
    </row>
    <row r="47" ht="15.75" customHeight="1">
      <c r="A47" s="24"/>
      <c r="B47" s="69" t="s">
        <v>72</v>
      </c>
      <c r="C47" s="53">
        <f>IFERROR(SUMPRODUCT(('Raw Data'!$B$2:$B$9999="Control")*'Raw Data'!$D$2:$D$9999*'Raw Data'!$AL$2:$AL$9999)/SUMIFS('Raw Data'!$D:$D, 'Raw Data'!$B:$B, "Control"),"")</f>
        <v>0.2496988926</v>
      </c>
      <c r="D47" s="53">
        <f>IFERROR(SUMPRODUCT(('Raw Data'!$B$2:$B$9999="Variant")*'Raw Data'!$D$2:$D$9999*'Raw Data'!$AL$2:$AL$9999)/SUMIFS('Raw Data'!$D:$D, 'Raw Data'!$B:$B, "Variant"),"")</f>
        <v>0.2496920528</v>
      </c>
      <c r="E47" s="80">
        <f>IFERROR(D47-C47,"")</f>
        <v>-0.000006839790471</v>
      </c>
      <c r="F47" s="49">
        <f>IFERROR((D47-C47)/ABS(C47),"")</f>
        <v>-0.0000273921538</v>
      </c>
    </row>
    <row r="48" ht="15.75" customHeight="1">
      <c r="A48" s="68" t="s">
        <v>52</v>
      </c>
      <c r="B48" s="21"/>
      <c r="C48" s="21"/>
      <c r="D48" s="21"/>
      <c r="E48" s="21"/>
      <c r="F48" s="21"/>
    </row>
    <row r="49" ht="15.75" customHeight="1">
      <c r="A49" s="24"/>
      <c r="B49" s="69" t="s">
        <v>55</v>
      </c>
      <c r="C49" s="43"/>
      <c r="D49" s="43">
        <f>IFERROR(SUMPRODUCT(('Raw Data'!$B$2:$B$9999="Variant")*'Raw Data'!$D$2:$D$9999*'Raw Data'!$AM$2:$AM$9999)/SUMIFS('Raw Data'!$D:$D, 'Raw Data'!$B:$B, "Variant"),"")</f>
        <v>46.79891718</v>
      </c>
      <c r="E49" s="78"/>
      <c r="F49" s="38"/>
    </row>
    <row r="50" ht="15.75" customHeight="1">
      <c r="A50" s="24"/>
      <c r="B50" s="69" t="s">
        <v>56</v>
      </c>
      <c r="C50" s="43"/>
      <c r="D50" s="43">
        <f>IFERROR(SUMPRODUCT(('Raw Data'!$B$2:$B$9999="Variant")*'Raw Data'!$D$2:$D$9999*'Raw Data'!$AN$2:$AN$9999)/SUMIFS('Raw Data'!$D:$D, 'Raw Data'!$B:$B, "Variant"),"")</f>
        <v>46.79891718</v>
      </c>
      <c r="E50" s="78"/>
      <c r="F50" s="38"/>
    </row>
    <row r="51" ht="15.75" customHeight="1">
      <c r="A51" s="24"/>
      <c r="B51" s="69" t="s">
        <v>57</v>
      </c>
      <c r="C51" s="43"/>
      <c r="D51" s="43">
        <f>IFERROR(SUMPRODUCT(('Raw Data'!$B$2:$B$9999="Variant")*'Raw Data'!$D$2:$D$9999*'Raw Data'!$AO$2:$AO$9999)/SUMIFS('Raw Data'!$D:$D, 'Raw Data'!$B:$B, "Variant"),"")</f>
        <v>25.70402759</v>
      </c>
      <c r="E51" s="78"/>
      <c r="F51" s="38"/>
    </row>
    <row r="52" ht="15.75" customHeight="1">
      <c r="A52" s="24"/>
      <c r="B52" s="69" t="s">
        <v>58</v>
      </c>
      <c r="C52" s="43"/>
      <c r="D52" s="43">
        <f>IFERROR(SUMPRODUCT(('Raw Data'!$B$2:$B$9999="Variant")*'Raw Data'!$D$2:$D$9999*'Raw Data'!$AP$2:$AP$9999)/SUMIFS('Raw Data'!$D:$D, 'Raw Data'!$B:$B, "Variant"),"")</f>
        <v>12.00822601</v>
      </c>
      <c r="E52" s="78"/>
      <c r="F52" s="38"/>
    </row>
    <row r="53" ht="15.75" customHeight="1">
      <c r="A53" s="68" t="s">
        <v>45</v>
      </c>
      <c r="B53" s="21"/>
      <c r="C53" s="21"/>
      <c r="D53" s="21"/>
      <c r="E53" s="21"/>
      <c r="F53" s="21"/>
    </row>
    <row r="54" ht="15.75" customHeight="1">
      <c r="A54" s="24"/>
      <c r="B54" s="75" t="s">
        <v>46</v>
      </c>
      <c r="C54" s="53">
        <f>IFERROR(SUMPRODUCT(('Raw Data'!$B$2:$B$9999="Control")*'Raw Data'!$D$2:$D$9999*'Raw Data'!$AQ$2:$AQ$9999)/SUMIFS('Raw Data'!$D:$D, 'Raw Data'!$B:$B, "Control"),"")</f>
        <v>5.605525049</v>
      </c>
      <c r="D54" s="53">
        <f>IFERROR(SUMPRODUCT(('Raw Data'!$B$2:$B$9999="Variant")*'Raw Data'!$D$2:$D$9999*'Raw Data'!$AQ$2:$AQ$9999)/SUMIFS('Raw Data'!$D:$D, 'Raw Data'!$B:$B, "Variant"),"")</f>
        <v>6.212698784</v>
      </c>
      <c r="E54" s="77">
        <f t="shared" ref="E54:E59" si="17">IFERROR(D54-C54,"")</f>
        <v>0.6071737357</v>
      </c>
      <c r="F54" s="38">
        <f t="shared" ref="F54:F59" si="18">IFERROR((D54-C54)/ABS(C54),"")</f>
        <v>0.1083170141</v>
      </c>
    </row>
    <row r="55" ht="15.75" customHeight="1">
      <c r="A55" s="24"/>
      <c r="B55" s="75" t="s">
        <v>47</v>
      </c>
      <c r="C55" s="53">
        <f>IFERROR(SUMPRODUCT(('Raw Data'!$B$2:$B$9999="Control")*'Raw Data'!$D$2:$D$9999*'Raw Data'!$AR$2:$AR$9999)/SUMIFS('Raw Data'!$D:$D, 'Raw Data'!$B:$B, "Control"),"")</f>
        <v>0.2829178107</v>
      </c>
      <c r="D55" s="53">
        <f>IFERROR(SUMPRODUCT(('Raw Data'!$B$2:$B$9999="Variant")*'Raw Data'!$D$2:$D$9999*'Raw Data'!$AR$2:$AR$9999)/SUMIFS('Raw Data'!$D:$D, 'Raw Data'!$B:$B, "Variant"),"")</f>
        <v>0.3010476361</v>
      </c>
      <c r="E55" s="72">
        <f t="shared" si="17"/>
        <v>0.01812982538</v>
      </c>
      <c r="F55" s="38">
        <f t="shared" si="18"/>
        <v>0.06408159787</v>
      </c>
    </row>
    <row r="56" ht="15.75" customHeight="1">
      <c r="A56" s="24"/>
      <c r="B56" s="75" t="s">
        <v>48</v>
      </c>
      <c r="C56" s="53">
        <f>IFERROR(SUMPRODUCT(('Raw Data'!$B$2:$B$9999="Control")*'Raw Data'!$D$2:$D$9999*'Raw Data'!$AS$2:$AS$9999)/SUMIFS('Raw Data'!$D:$D, 'Raw Data'!$B:$B, "Control"),"")</f>
        <v>5.322603361</v>
      </c>
      <c r="D56" s="53">
        <f>IFERROR(SUMPRODUCT(('Raw Data'!$B$2:$B$9999="Variant")*'Raw Data'!$D$2:$D$9999*'Raw Data'!$AS$2:$AS$9999)/SUMIFS('Raw Data'!$D:$D, 'Raw Data'!$B:$B, "Variant"),"")</f>
        <v>5.91165174</v>
      </c>
      <c r="E56" s="77">
        <f t="shared" si="17"/>
        <v>0.5890483794</v>
      </c>
      <c r="F56" s="38">
        <f t="shared" si="18"/>
        <v>0.1106692232</v>
      </c>
    </row>
    <row r="57" ht="15.75" customHeight="1">
      <c r="A57" s="24"/>
      <c r="B57" s="75" t="s">
        <v>49</v>
      </c>
      <c r="C57" s="53">
        <f>IFERROR(SUMPRODUCT(('Raw Data'!$B$2:$B$9999="Control")*'Raw Data'!$D$2:$D$9999*'Raw Data'!$AT$2:$AT$9999)/SUMIFS('Raw Data'!$D:$D, 'Raw Data'!$B:$B, "Control"),"")</f>
        <v>5.244501036</v>
      </c>
      <c r="D57" s="53">
        <f>IFERROR(SUMPRODUCT(('Raw Data'!$B$2:$B$9999="Variant")*'Raw Data'!$D$2:$D$9999*'Raw Data'!$AT$2:$AT$9999)/SUMIFS('Raw Data'!$D:$D, 'Raw Data'!$B:$B, "Variant"),"")</f>
        <v>5.670531337</v>
      </c>
      <c r="E57" s="72">
        <f t="shared" si="17"/>
        <v>0.4260303008</v>
      </c>
      <c r="F57" s="38">
        <f t="shared" si="18"/>
        <v>0.08123371468</v>
      </c>
    </row>
    <row r="58" ht="15.75" customHeight="1">
      <c r="A58" s="24"/>
      <c r="B58" s="75" t="s">
        <v>50</v>
      </c>
      <c r="C58" s="53">
        <f>IFERROR(SUMPRODUCT(('Raw Data'!$B$2:$B$9999="Control")*'Raw Data'!$D$2:$D$9999*('Raw Data'!$AQ$2:$AQ$9999-'Raw Data'!$AT$2:$AT$9999))/SUMIFS('Raw Data'!$D:$D, 'Raw Data'!$B:$B, "Control"),"")</f>
        <v>0.3610240129</v>
      </c>
      <c r="D58" s="53">
        <f>IFERROR(SUMPRODUCT(('Raw Data'!$B$2:$B$9999="Variant")*'Raw Data'!$D$2:$D$9999*('Raw Data'!$AQ$2:$AQ$9999-'Raw Data'!$AT$2:$AT$9999))/SUMIFS('Raw Data'!$D:$D, 'Raw Data'!$B:$B, "Variant"),"")</f>
        <v>0.5421674478</v>
      </c>
      <c r="E58" s="77">
        <f t="shared" si="17"/>
        <v>0.1811434349</v>
      </c>
      <c r="F58" s="38">
        <f t="shared" si="18"/>
        <v>0.5017489928</v>
      </c>
    </row>
    <row r="59" ht="15.75" customHeight="1">
      <c r="A59" s="24"/>
      <c r="B59" s="69" t="s">
        <v>51</v>
      </c>
      <c r="C59" s="53">
        <f>IFERROR(SUMPRODUCT(('Raw Data'!$B$2:$B$9999="Control")*'Raw Data'!$D$2:$D$9999*'Raw Data'!$AU$2:$AU$9999)/SUMIFS('Raw Data'!$D:$D, 'Raw Data'!$B:$B, "Control"),"")</f>
        <v>0.2040242483</v>
      </c>
      <c r="D59" s="53">
        <f>IFERROR(SUMPRODUCT(('Raw Data'!$B$2:$B$9999="Variant")*'Raw Data'!$D$2:$D$9999*'Raw Data'!$AU$2:$AU$9999)/SUMIFS('Raw Data'!$D:$D, 'Raw Data'!$B:$B, "Variant"),"")</f>
        <v>0.2115486574</v>
      </c>
      <c r="E59" s="81">
        <f t="shared" si="17"/>
        <v>0.007524409135</v>
      </c>
      <c r="F59" s="49">
        <f t="shared" si="18"/>
        <v>0.0368799748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F7:F9">
    <cfRule type="cellIs" dxfId="0" priority="1" operator="greaterThan">
      <formula>0</formula>
    </cfRule>
  </conditionalFormatting>
  <conditionalFormatting sqref="F7:F9">
    <cfRule type="cellIs" dxfId="1" priority="2" operator="lessThan">
      <formula>0</formula>
    </cfRule>
  </conditionalFormatting>
  <conditionalFormatting sqref="F11:F13">
    <cfRule type="cellIs" dxfId="0" priority="3" operator="greaterThan">
      <formula>0</formula>
    </cfRule>
  </conditionalFormatting>
  <conditionalFormatting sqref="F11:F13">
    <cfRule type="cellIs" dxfId="1" priority="4" operator="lessThan">
      <formula>0</formula>
    </cfRule>
  </conditionalFormatting>
  <conditionalFormatting sqref="F15:F19">
    <cfRule type="cellIs" dxfId="0" priority="5" operator="greaterThan">
      <formula>0</formula>
    </cfRule>
  </conditionalFormatting>
  <conditionalFormatting sqref="F15:F19">
    <cfRule type="cellIs" dxfId="1" priority="6" operator="lessThan">
      <formula>0</formula>
    </cfRule>
  </conditionalFormatting>
  <conditionalFormatting sqref="E26:F26">
    <cfRule type="cellIs" dxfId="2" priority="7" operator="lessThan">
      <formula>0</formula>
    </cfRule>
  </conditionalFormatting>
  <conditionalFormatting sqref="E26:F26">
    <cfRule type="cellIs" dxfId="3" priority="8" operator="greaterThan">
      <formula>0</formula>
    </cfRule>
  </conditionalFormatting>
  <conditionalFormatting sqref="F29">
    <cfRule type="cellIs" dxfId="0" priority="9" operator="greaterThan">
      <formula>0</formula>
    </cfRule>
  </conditionalFormatting>
  <conditionalFormatting sqref="F29">
    <cfRule type="cellIs" dxfId="1" priority="10" operator="lessThan">
      <formula>0</formula>
    </cfRule>
  </conditionalFormatting>
  <conditionalFormatting sqref="F30">
    <cfRule type="cellIs" dxfId="2" priority="11" operator="lessThan">
      <formula>0</formula>
    </cfRule>
  </conditionalFormatting>
  <conditionalFormatting sqref="F30">
    <cfRule type="cellIs" dxfId="3" priority="12" operator="greaterThan">
      <formula>0</formula>
    </cfRule>
  </conditionalFormatting>
  <conditionalFormatting sqref="F31">
    <cfRule type="cellIs" dxfId="2" priority="13" operator="greaterThan">
      <formula>0</formula>
    </cfRule>
  </conditionalFormatting>
  <conditionalFormatting sqref="F31">
    <cfRule type="cellIs" dxfId="3" priority="14" operator="lessThan">
      <formula>0</formula>
    </cfRule>
  </conditionalFormatting>
  <conditionalFormatting sqref="F32">
    <cfRule type="cellIs" dxfId="2" priority="15" operator="lessThan">
      <formula>0</formula>
    </cfRule>
  </conditionalFormatting>
  <conditionalFormatting sqref="F32">
    <cfRule type="cellIs" dxfId="3" priority="16" operator="greaterThan">
      <formula>0</formula>
    </cfRule>
  </conditionalFormatting>
  <conditionalFormatting sqref="F33">
    <cfRule type="cellIs" dxfId="2" priority="17" operator="greaterThan">
      <formula>0</formula>
    </cfRule>
  </conditionalFormatting>
  <conditionalFormatting sqref="F33">
    <cfRule type="cellIs" dxfId="3" priority="18" operator="lessThan">
      <formula>0</formula>
    </cfRule>
  </conditionalFormatting>
  <conditionalFormatting sqref="F34">
    <cfRule type="cellIs" dxfId="0" priority="19" operator="greaterThan">
      <formula>0</formula>
    </cfRule>
  </conditionalFormatting>
  <conditionalFormatting sqref="F34">
    <cfRule type="cellIs" dxfId="1" priority="20" operator="lessThan">
      <formula>0</formula>
    </cfRule>
  </conditionalFormatting>
  <conditionalFormatting sqref="F40:F41 F55">
    <cfRule type="cellIs" dxfId="0" priority="21" operator="greaterThan">
      <formula>0</formula>
    </cfRule>
  </conditionalFormatting>
  <conditionalFormatting sqref="F40:F41 F55">
    <cfRule type="cellIs" dxfId="1" priority="22" operator="lessThan">
      <formula>0</formula>
    </cfRule>
  </conditionalFormatting>
  <conditionalFormatting sqref="F43:F45">
    <cfRule type="cellIs" dxfId="0" priority="23" operator="greaterThan">
      <formula>0</formula>
    </cfRule>
  </conditionalFormatting>
  <conditionalFormatting sqref="F43:F45">
    <cfRule type="cellIs" dxfId="1" priority="24" operator="lessThan">
      <formula>0</formula>
    </cfRule>
  </conditionalFormatting>
  <conditionalFormatting sqref="F47">
    <cfRule type="cellIs" dxfId="0" priority="25" operator="lessThan">
      <formula>0</formula>
    </cfRule>
  </conditionalFormatting>
  <conditionalFormatting sqref="F47">
    <cfRule type="cellIs" dxfId="1" priority="26" operator="greaterThan">
      <formula>0</formula>
    </cfRule>
  </conditionalFormatting>
  <conditionalFormatting sqref="F49:F52">
    <cfRule type="cellIs" dxfId="2" priority="27" operator="greaterThan">
      <formula>0</formula>
    </cfRule>
  </conditionalFormatting>
  <conditionalFormatting sqref="F49:F52">
    <cfRule type="cellIs" dxfId="3" priority="28" operator="lessThan">
      <formula>0</formula>
    </cfRule>
  </conditionalFormatting>
  <conditionalFormatting sqref="F54:F55">
    <cfRule type="cellIs" dxfId="2" priority="29" operator="lessThan">
      <formula>0</formula>
    </cfRule>
  </conditionalFormatting>
  <conditionalFormatting sqref="F54:F55">
    <cfRule type="cellIs" dxfId="3" priority="30" operator="greaterThan">
      <formula>0</formula>
    </cfRule>
  </conditionalFormatting>
  <conditionalFormatting sqref="F56">
    <cfRule type="cellIs" dxfId="2" priority="31" operator="lessThan">
      <formula>0</formula>
    </cfRule>
  </conditionalFormatting>
  <conditionalFormatting sqref="F56">
    <cfRule type="cellIs" dxfId="3" priority="32" operator="greaterThan">
      <formula>0</formula>
    </cfRule>
  </conditionalFormatting>
  <conditionalFormatting sqref="F57">
    <cfRule type="cellIs" dxfId="2" priority="33" operator="greaterThan">
      <formula>0</formula>
    </cfRule>
  </conditionalFormatting>
  <conditionalFormatting sqref="F57">
    <cfRule type="cellIs" dxfId="3" priority="34" operator="lessThan">
      <formula>0</formula>
    </cfRule>
  </conditionalFormatting>
  <conditionalFormatting sqref="F58">
    <cfRule type="cellIs" dxfId="2" priority="35" operator="lessThan">
      <formula>0</formula>
    </cfRule>
  </conditionalFormatting>
  <conditionalFormatting sqref="F58">
    <cfRule type="cellIs" dxfId="3" priority="36" operator="greaterThan">
      <formula>0</formula>
    </cfRule>
  </conditionalFormatting>
  <conditionalFormatting sqref="F59">
    <cfRule type="cellIs" dxfId="2" priority="37" operator="greaterThan">
      <formula>0</formula>
    </cfRule>
  </conditionalFormatting>
  <conditionalFormatting sqref="F59">
    <cfRule type="cellIs" dxfId="3" priority="38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3.0"/>
    <col customWidth="1" min="2" max="3" width="10.0"/>
    <col customWidth="1" min="4" max="4" width="9.0"/>
    <col customWidth="1" min="5" max="6" width="10.0"/>
    <col customWidth="1" min="7" max="7" width="9.0"/>
    <col customWidth="1" min="8" max="9" width="10.0"/>
    <col customWidth="1" min="10" max="10" width="9.0"/>
    <col customWidth="1" min="11" max="12" width="10.0"/>
    <col customWidth="1" min="13" max="13" width="9.0"/>
    <col customWidth="1" min="14" max="15" width="10.0"/>
    <col customWidth="1" min="16" max="16" width="9.0"/>
    <col customWidth="1" min="17" max="18" width="10.0"/>
    <col customWidth="1" min="19" max="19" width="9.0"/>
    <col customWidth="1" min="20" max="21" width="10.0"/>
    <col customWidth="1" min="22" max="22" width="9.0"/>
    <col customWidth="1" min="23" max="24" width="10.0"/>
    <col customWidth="1" min="25" max="25" width="9.0"/>
    <col customWidth="1" min="26" max="27" width="10.0"/>
    <col customWidth="1" min="28" max="28" width="9.0"/>
    <col customWidth="1" min="29" max="30" width="10.0"/>
    <col customWidth="1" min="31" max="31" width="9.0"/>
    <col customWidth="1" min="32" max="33" width="10.0"/>
    <col customWidth="1" min="34" max="34" width="9.0"/>
    <col customWidth="1" min="35" max="36" width="10.0"/>
    <col customWidth="1" min="37" max="37" width="9.0"/>
    <col customWidth="1" min="38" max="39" width="10.0"/>
    <col customWidth="1" min="40" max="40" width="9.0"/>
    <col customWidth="1" min="41" max="42" width="10.0"/>
    <col customWidth="1" min="43" max="43" width="9.0"/>
    <col customWidth="1" min="44" max="45" width="10.0"/>
    <col customWidth="1" min="46" max="46" width="9.0"/>
    <col customWidth="1" min="47" max="48" width="10.0"/>
    <col customWidth="1" min="49" max="49" width="9.0"/>
    <col customWidth="1" min="50" max="51" width="10.0"/>
    <col customWidth="1" min="52" max="52" width="9.0"/>
    <col customWidth="1" min="53" max="54" width="10.0"/>
    <col customWidth="1" min="55" max="55" width="9.0"/>
    <col customWidth="1" min="56" max="57" width="10.0"/>
    <col customWidth="1" min="58" max="58" width="9.0"/>
    <col customWidth="1" min="59" max="60" width="10.0"/>
    <col customWidth="1" min="61" max="61" width="9.0"/>
    <col customWidth="1" min="62" max="63" width="10.0"/>
    <col customWidth="1" min="64" max="64" width="9.0"/>
    <col customWidth="1" min="65" max="66" width="10.0"/>
    <col customWidth="1" min="67" max="67" width="9.0"/>
    <col customWidth="1" min="68" max="69" width="10.0"/>
    <col customWidth="1" min="70" max="70" width="9.0"/>
    <col customWidth="1" min="71" max="72" width="10.0"/>
    <col customWidth="1" min="73" max="73" width="9.0"/>
    <col customWidth="1" min="74" max="75" width="10.0"/>
    <col customWidth="1" min="76" max="76" width="9.0"/>
    <col customWidth="1" min="77" max="78" width="10.0"/>
    <col customWidth="1" min="79" max="79" width="9.0"/>
    <col customWidth="1" min="80" max="81" width="10.0"/>
    <col customWidth="1" min="82" max="82" width="9.0"/>
    <col customWidth="1" min="83" max="84" width="10.0"/>
    <col customWidth="1" min="85" max="85" width="9.0"/>
    <col customWidth="1" min="86" max="87" width="10.0"/>
    <col customWidth="1" min="88" max="88" width="9.0"/>
    <col customWidth="1" min="89" max="90" width="10.0"/>
    <col customWidth="1" min="91" max="91" width="9.0"/>
    <col customWidth="1" min="92" max="93" width="10.0"/>
    <col customWidth="1" min="94" max="94" width="9.0"/>
    <col customWidth="1" min="95" max="96" width="10.0"/>
    <col customWidth="1" min="97" max="97" width="9.0"/>
    <col customWidth="1" min="98" max="99" width="10.0"/>
    <col customWidth="1" min="100" max="100" width="9.0"/>
    <col customWidth="1" min="101" max="102" width="10.0"/>
    <col customWidth="1" min="103" max="103" width="9.0"/>
    <col customWidth="1" min="104" max="105" width="10.0"/>
    <col customWidth="1" min="106" max="106" width="9.0"/>
    <col customWidth="1" min="107" max="108" width="10.0"/>
    <col customWidth="1" min="109" max="109" width="9.0"/>
    <col customWidth="1" min="110" max="110" width="10.0"/>
    <col customWidth="1" min="111" max="111" width="13.0"/>
    <col customWidth="1" min="112" max="112" width="9.0"/>
    <col customWidth="1" min="113" max="113" width="10.0"/>
    <col customWidth="1" min="114" max="114" width="13.0"/>
    <col customWidth="1" min="115" max="115" width="9.0"/>
    <col customWidth="1" min="116" max="116" width="10.0"/>
    <col customWidth="1" min="117" max="117" width="13.0"/>
    <col customWidth="1" min="118" max="118" width="9.0"/>
    <col customWidth="1" min="119" max="119" width="10.0"/>
    <col customWidth="1" min="120" max="120" width="13.0"/>
    <col customWidth="1" min="121" max="121" width="9.0"/>
    <col customWidth="1" min="122" max="122" width="10.0"/>
    <col customWidth="1" min="123" max="123" width="13.0"/>
    <col customWidth="1" min="124" max="124" width="9.0"/>
    <col customWidth="1" min="125" max="125" width="10.0"/>
    <col customWidth="1" min="126" max="126" width="13.0"/>
    <col customWidth="1" min="127" max="127" width="9.0"/>
    <col customWidth="1" min="128" max="128" width="10.0"/>
    <col customWidth="1" min="129" max="129" width="13.0"/>
    <col customWidth="1" min="130" max="130" width="9.0"/>
    <col customWidth="1" min="131" max="131" width="10.0"/>
    <col customWidth="1" min="132" max="132" width="13.0"/>
    <col customWidth="1" min="133" max="133" width="9.0"/>
    <col customWidth="1" min="134" max="134" width="10.0"/>
    <col customWidth="1" min="135" max="135" width="13.0"/>
    <col customWidth="1" min="136" max="136" width="9.0"/>
    <col customWidth="1" min="137" max="137" width="10.0"/>
    <col customWidth="1" min="138" max="138" width="13.0"/>
    <col customWidth="1" min="139" max="139" width="9.0"/>
  </cols>
  <sheetData>
    <row r="1">
      <c r="A1" s="82" t="s">
        <v>73</v>
      </c>
      <c r="B1" s="83"/>
      <c r="C1" s="83"/>
      <c r="D1" s="83"/>
      <c r="E1" s="83"/>
      <c r="F1" s="83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</row>
    <row r="3">
      <c r="A3" s="85" t="s">
        <v>74</v>
      </c>
      <c r="B3" s="86" t="s">
        <v>75</v>
      </c>
      <c r="C3" s="87" t="str">
        <f>IF($B$3="1-9","B. 1-9",IF($B$3="10-19","C. 10-19",IF($B$3="20-39","D. 20-39",IF($B$3="40-99","E. 40-99",IF($B$3="100+","F. 100+","")))))</f>
        <v>F. 100+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</row>
    <row r="4" ht="30.0" customHeight="1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</row>
    <row r="5" ht="30.0" customHeight="1">
      <c r="A5" s="88" t="s">
        <v>76</v>
      </c>
      <c r="B5" s="89" t="s">
        <v>12</v>
      </c>
      <c r="C5" s="90"/>
      <c r="D5" s="91"/>
      <c r="E5" s="89" t="s">
        <v>77</v>
      </c>
      <c r="F5" s="90"/>
      <c r="G5" s="91"/>
      <c r="H5" s="89" t="s">
        <v>14</v>
      </c>
      <c r="I5" s="90"/>
      <c r="J5" s="91"/>
      <c r="K5" s="89" t="s">
        <v>15</v>
      </c>
      <c r="L5" s="90"/>
      <c r="M5" s="91"/>
      <c r="N5" s="89" t="s">
        <v>78</v>
      </c>
      <c r="O5" s="90"/>
      <c r="P5" s="91"/>
      <c r="Q5" s="89" t="s">
        <v>17</v>
      </c>
      <c r="R5" s="90"/>
      <c r="S5" s="91"/>
      <c r="T5" s="89" t="s">
        <v>19</v>
      </c>
      <c r="U5" s="90"/>
      <c r="V5" s="91"/>
      <c r="W5" s="89" t="s">
        <v>20</v>
      </c>
      <c r="X5" s="90"/>
      <c r="Y5" s="91"/>
      <c r="Z5" s="89" t="s">
        <v>21</v>
      </c>
      <c r="AA5" s="90"/>
      <c r="AB5" s="91"/>
      <c r="AC5" s="89" t="s">
        <v>29</v>
      </c>
      <c r="AD5" s="90"/>
      <c r="AE5" s="91"/>
      <c r="AF5" s="89" t="s">
        <v>30</v>
      </c>
      <c r="AG5" s="90"/>
      <c r="AH5" s="91"/>
      <c r="AI5" s="89" t="s">
        <v>31</v>
      </c>
      <c r="AJ5" s="90"/>
      <c r="AK5" s="91"/>
      <c r="AL5" s="89" t="s">
        <v>32</v>
      </c>
      <c r="AM5" s="90"/>
      <c r="AN5" s="91"/>
      <c r="AO5" s="89" t="s">
        <v>34</v>
      </c>
      <c r="AP5" s="90"/>
      <c r="AQ5" s="91"/>
      <c r="AR5" s="89" t="s">
        <v>61</v>
      </c>
      <c r="AS5" s="90"/>
      <c r="AT5" s="91"/>
      <c r="AU5" s="89" t="s">
        <v>62</v>
      </c>
      <c r="AV5" s="90"/>
      <c r="AW5" s="91"/>
      <c r="AX5" s="89" t="s">
        <v>35</v>
      </c>
      <c r="AY5" s="90"/>
      <c r="AZ5" s="91"/>
      <c r="BA5" s="89" t="s">
        <v>36</v>
      </c>
      <c r="BB5" s="90"/>
      <c r="BC5" s="91"/>
      <c r="BD5" s="89" t="s">
        <v>37</v>
      </c>
      <c r="BE5" s="90"/>
      <c r="BF5" s="91"/>
      <c r="BG5" s="89" t="s">
        <v>79</v>
      </c>
      <c r="BH5" s="90"/>
      <c r="BI5" s="91"/>
      <c r="BJ5" s="89" t="s">
        <v>39</v>
      </c>
      <c r="BK5" s="90"/>
      <c r="BL5" s="91"/>
      <c r="BM5" s="89" t="s">
        <v>40</v>
      </c>
      <c r="BN5" s="90"/>
      <c r="BO5" s="91"/>
      <c r="BP5" s="89" t="s">
        <v>42</v>
      </c>
      <c r="BQ5" s="90"/>
      <c r="BR5" s="91"/>
      <c r="BS5" s="89" t="s">
        <v>43</v>
      </c>
      <c r="BT5" s="90"/>
      <c r="BU5" s="91"/>
      <c r="BV5" s="89" t="s">
        <v>44</v>
      </c>
      <c r="BW5" s="90"/>
      <c r="BX5" s="91"/>
      <c r="BY5" s="89" t="s">
        <v>65</v>
      </c>
      <c r="BZ5" s="90"/>
      <c r="CA5" s="91"/>
      <c r="CB5" s="89" t="s">
        <v>66</v>
      </c>
      <c r="CC5" s="90"/>
      <c r="CD5" s="91"/>
      <c r="CE5" s="89" t="s">
        <v>23</v>
      </c>
      <c r="CF5" s="90"/>
      <c r="CG5" s="91"/>
      <c r="CH5" s="89" t="s">
        <v>24</v>
      </c>
      <c r="CI5" s="90"/>
      <c r="CJ5" s="91"/>
      <c r="CK5" s="89" t="s">
        <v>25</v>
      </c>
      <c r="CL5" s="90"/>
      <c r="CM5" s="91"/>
      <c r="CN5" s="89" t="s">
        <v>26</v>
      </c>
      <c r="CO5" s="90"/>
      <c r="CP5" s="91"/>
      <c r="CQ5" s="89" t="s">
        <v>27</v>
      </c>
      <c r="CR5" s="90"/>
      <c r="CS5" s="91"/>
      <c r="CT5" s="89" t="s">
        <v>68</v>
      </c>
      <c r="CU5" s="90"/>
      <c r="CV5" s="91"/>
      <c r="CW5" s="89" t="s">
        <v>69</v>
      </c>
      <c r="CX5" s="90"/>
      <c r="CY5" s="91"/>
      <c r="CZ5" s="89" t="s">
        <v>70</v>
      </c>
      <c r="DA5" s="90"/>
      <c r="DB5" s="91"/>
      <c r="DC5" s="89" t="s">
        <v>72</v>
      </c>
      <c r="DD5" s="90"/>
      <c r="DE5" s="91"/>
      <c r="DF5" s="89" t="s">
        <v>55</v>
      </c>
      <c r="DG5" s="90"/>
      <c r="DH5" s="91"/>
      <c r="DI5" s="89" t="s">
        <v>56</v>
      </c>
      <c r="DJ5" s="90"/>
      <c r="DK5" s="91"/>
      <c r="DL5" s="89" t="s">
        <v>57</v>
      </c>
      <c r="DM5" s="90"/>
      <c r="DN5" s="91"/>
      <c r="DO5" s="89" t="s">
        <v>58</v>
      </c>
      <c r="DP5" s="90"/>
      <c r="DQ5" s="91"/>
      <c r="DR5" s="89" t="s">
        <v>46</v>
      </c>
      <c r="DS5" s="90"/>
      <c r="DT5" s="91"/>
      <c r="DU5" s="89" t="s">
        <v>47</v>
      </c>
      <c r="DV5" s="90"/>
      <c r="DW5" s="91"/>
      <c r="DX5" s="89" t="s">
        <v>48</v>
      </c>
      <c r="DY5" s="90"/>
      <c r="DZ5" s="91"/>
      <c r="EA5" s="89" t="s">
        <v>49</v>
      </c>
      <c r="EB5" s="90"/>
      <c r="EC5" s="91"/>
      <c r="ED5" s="89" t="s">
        <v>50</v>
      </c>
      <c r="EE5" s="90"/>
      <c r="EF5" s="91"/>
      <c r="EG5" s="89" t="s">
        <v>51</v>
      </c>
      <c r="EH5" s="90"/>
      <c r="EI5" s="91"/>
    </row>
    <row r="6" ht="18.0" customHeight="1">
      <c r="A6" s="11"/>
      <c r="B6" s="92" t="s">
        <v>8</v>
      </c>
      <c r="C6" s="92" t="s">
        <v>9</v>
      </c>
      <c r="D6" s="92" t="s">
        <v>80</v>
      </c>
      <c r="E6" s="92" t="s">
        <v>8</v>
      </c>
      <c r="F6" s="92" t="s">
        <v>9</v>
      </c>
      <c r="G6" s="92" t="s">
        <v>80</v>
      </c>
      <c r="H6" s="92" t="s">
        <v>8</v>
      </c>
      <c r="I6" s="92" t="s">
        <v>9</v>
      </c>
      <c r="J6" s="92" t="s">
        <v>80</v>
      </c>
      <c r="K6" s="92" t="s">
        <v>8</v>
      </c>
      <c r="L6" s="92" t="s">
        <v>9</v>
      </c>
      <c r="M6" s="92" t="s">
        <v>80</v>
      </c>
      <c r="N6" s="92" t="s">
        <v>8</v>
      </c>
      <c r="O6" s="92" t="s">
        <v>9</v>
      </c>
      <c r="P6" s="92" t="s">
        <v>80</v>
      </c>
      <c r="Q6" s="92" t="s">
        <v>8</v>
      </c>
      <c r="R6" s="92" t="s">
        <v>9</v>
      </c>
      <c r="S6" s="92" t="s">
        <v>80</v>
      </c>
      <c r="T6" s="92" t="s">
        <v>8</v>
      </c>
      <c r="U6" s="92" t="s">
        <v>9</v>
      </c>
      <c r="V6" s="92" t="s">
        <v>80</v>
      </c>
      <c r="W6" s="92" t="s">
        <v>8</v>
      </c>
      <c r="X6" s="92" t="s">
        <v>9</v>
      </c>
      <c r="Y6" s="92" t="s">
        <v>80</v>
      </c>
      <c r="Z6" s="92" t="s">
        <v>8</v>
      </c>
      <c r="AA6" s="92" t="s">
        <v>9</v>
      </c>
      <c r="AB6" s="92" t="s">
        <v>80</v>
      </c>
      <c r="AC6" s="92" t="s">
        <v>8</v>
      </c>
      <c r="AD6" s="92" t="s">
        <v>9</v>
      </c>
      <c r="AE6" s="92" t="s">
        <v>80</v>
      </c>
      <c r="AF6" s="92" t="s">
        <v>8</v>
      </c>
      <c r="AG6" s="92" t="s">
        <v>9</v>
      </c>
      <c r="AH6" s="92" t="s">
        <v>80</v>
      </c>
      <c r="AI6" s="92" t="s">
        <v>8</v>
      </c>
      <c r="AJ6" s="92" t="s">
        <v>9</v>
      </c>
      <c r="AK6" s="92" t="s">
        <v>80</v>
      </c>
      <c r="AL6" s="92" t="s">
        <v>8</v>
      </c>
      <c r="AM6" s="92" t="s">
        <v>9</v>
      </c>
      <c r="AN6" s="92" t="s">
        <v>80</v>
      </c>
      <c r="AO6" s="92" t="s">
        <v>8</v>
      </c>
      <c r="AP6" s="92" t="s">
        <v>9</v>
      </c>
      <c r="AQ6" s="92" t="s">
        <v>80</v>
      </c>
      <c r="AR6" s="92" t="s">
        <v>8</v>
      </c>
      <c r="AS6" s="92" t="s">
        <v>9</v>
      </c>
      <c r="AT6" s="92" t="s">
        <v>80</v>
      </c>
      <c r="AU6" s="92" t="s">
        <v>8</v>
      </c>
      <c r="AV6" s="92" t="s">
        <v>9</v>
      </c>
      <c r="AW6" s="92" t="s">
        <v>80</v>
      </c>
      <c r="AX6" s="92" t="s">
        <v>8</v>
      </c>
      <c r="AY6" s="92" t="s">
        <v>9</v>
      </c>
      <c r="AZ6" s="92" t="s">
        <v>80</v>
      </c>
      <c r="BA6" s="92" t="s">
        <v>8</v>
      </c>
      <c r="BB6" s="92" t="s">
        <v>9</v>
      </c>
      <c r="BC6" s="92" t="s">
        <v>80</v>
      </c>
      <c r="BD6" s="92" t="s">
        <v>8</v>
      </c>
      <c r="BE6" s="92" t="s">
        <v>9</v>
      </c>
      <c r="BF6" s="92" t="s">
        <v>80</v>
      </c>
      <c r="BG6" s="92" t="s">
        <v>8</v>
      </c>
      <c r="BH6" s="92" t="s">
        <v>9</v>
      </c>
      <c r="BI6" s="92" t="s">
        <v>80</v>
      </c>
      <c r="BJ6" s="92" t="s">
        <v>8</v>
      </c>
      <c r="BK6" s="92" t="s">
        <v>9</v>
      </c>
      <c r="BL6" s="92" t="s">
        <v>80</v>
      </c>
      <c r="BM6" s="92" t="s">
        <v>8</v>
      </c>
      <c r="BN6" s="92" t="s">
        <v>9</v>
      </c>
      <c r="BO6" s="92" t="s">
        <v>80</v>
      </c>
      <c r="BP6" s="92" t="s">
        <v>8</v>
      </c>
      <c r="BQ6" s="92" t="s">
        <v>9</v>
      </c>
      <c r="BR6" s="92" t="s">
        <v>80</v>
      </c>
      <c r="BS6" s="92" t="s">
        <v>8</v>
      </c>
      <c r="BT6" s="92" t="s">
        <v>9</v>
      </c>
      <c r="BU6" s="92" t="s">
        <v>80</v>
      </c>
      <c r="BV6" s="92" t="s">
        <v>8</v>
      </c>
      <c r="BW6" s="92" t="s">
        <v>9</v>
      </c>
      <c r="BX6" s="92" t="s">
        <v>80</v>
      </c>
      <c r="BY6" s="92" t="s">
        <v>8</v>
      </c>
      <c r="BZ6" s="92" t="s">
        <v>9</v>
      </c>
      <c r="CA6" s="92" t="s">
        <v>80</v>
      </c>
      <c r="CB6" s="92" t="s">
        <v>8</v>
      </c>
      <c r="CC6" s="92" t="s">
        <v>9</v>
      </c>
      <c r="CD6" s="92" t="s">
        <v>80</v>
      </c>
      <c r="CE6" s="92" t="s">
        <v>8</v>
      </c>
      <c r="CF6" s="92" t="s">
        <v>9</v>
      </c>
      <c r="CG6" s="92" t="s">
        <v>80</v>
      </c>
      <c r="CH6" s="92" t="s">
        <v>8</v>
      </c>
      <c r="CI6" s="92" t="s">
        <v>9</v>
      </c>
      <c r="CJ6" s="92" t="s">
        <v>80</v>
      </c>
      <c r="CK6" s="92" t="s">
        <v>8</v>
      </c>
      <c r="CL6" s="92" t="s">
        <v>9</v>
      </c>
      <c r="CM6" s="92" t="s">
        <v>80</v>
      </c>
      <c r="CN6" s="92" t="s">
        <v>8</v>
      </c>
      <c r="CO6" s="92" t="s">
        <v>9</v>
      </c>
      <c r="CP6" s="92" t="s">
        <v>80</v>
      </c>
      <c r="CQ6" s="92" t="s">
        <v>8</v>
      </c>
      <c r="CR6" s="92" t="s">
        <v>9</v>
      </c>
      <c r="CS6" s="92" t="s">
        <v>80</v>
      </c>
      <c r="CT6" s="92" t="s">
        <v>8</v>
      </c>
      <c r="CU6" s="92" t="s">
        <v>9</v>
      </c>
      <c r="CV6" s="92" t="s">
        <v>80</v>
      </c>
      <c r="CW6" s="92" t="s">
        <v>8</v>
      </c>
      <c r="CX6" s="92" t="s">
        <v>9</v>
      </c>
      <c r="CY6" s="92" t="s">
        <v>80</v>
      </c>
      <c r="CZ6" s="92" t="s">
        <v>8</v>
      </c>
      <c r="DA6" s="92" t="s">
        <v>9</v>
      </c>
      <c r="DB6" s="92" t="s">
        <v>80</v>
      </c>
      <c r="DC6" s="92" t="s">
        <v>8</v>
      </c>
      <c r="DD6" s="92" t="s">
        <v>9</v>
      </c>
      <c r="DE6" s="92" t="s">
        <v>80</v>
      </c>
      <c r="DF6" s="92" t="s">
        <v>8</v>
      </c>
      <c r="DG6" s="92" t="s">
        <v>9</v>
      </c>
      <c r="DH6" s="92" t="s">
        <v>80</v>
      </c>
      <c r="DI6" s="92" t="s">
        <v>8</v>
      </c>
      <c r="DJ6" s="92" t="s">
        <v>9</v>
      </c>
      <c r="DK6" s="92" t="s">
        <v>80</v>
      </c>
      <c r="DL6" s="92" t="s">
        <v>8</v>
      </c>
      <c r="DM6" s="92" t="s">
        <v>9</v>
      </c>
      <c r="DN6" s="92" t="s">
        <v>80</v>
      </c>
      <c r="DO6" s="92" t="s">
        <v>8</v>
      </c>
      <c r="DP6" s="92" t="s">
        <v>9</v>
      </c>
      <c r="DQ6" s="92" t="s">
        <v>80</v>
      </c>
      <c r="DR6" s="92" t="s">
        <v>8</v>
      </c>
      <c r="DS6" s="92" t="s">
        <v>9</v>
      </c>
      <c r="DT6" s="92" t="s">
        <v>80</v>
      </c>
      <c r="DU6" s="92" t="s">
        <v>8</v>
      </c>
      <c r="DV6" s="92" t="s">
        <v>9</v>
      </c>
      <c r="DW6" s="92" t="s">
        <v>80</v>
      </c>
      <c r="DX6" s="92" t="s">
        <v>8</v>
      </c>
      <c r="DY6" s="92" t="s">
        <v>9</v>
      </c>
      <c r="DZ6" s="92" t="s">
        <v>80</v>
      </c>
      <c r="EA6" s="92" t="s">
        <v>8</v>
      </c>
      <c r="EB6" s="92" t="s">
        <v>9</v>
      </c>
      <c r="EC6" s="92" t="s">
        <v>80</v>
      </c>
      <c r="ED6" s="92" t="s">
        <v>8</v>
      </c>
      <c r="EE6" s="92" t="s">
        <v>9</v>
      </c>
      <c r="EF6" s="92" t="s">
        <v>80</v>
      </c>
      <c r="EG6" s="92" t="s">
        <v>8</v>
      </c>
      <c r="EH6" s="92" t="s">
        <v>9</v>
      </c>
      <c r="EI6" s="92" t="s">
        <v>80</v>
      </c>
    </row>
    <row r="7">
      <c r="A7" s="93">
        <v>46175.0</v>
      </c>
      <c r="B7" s="94">
        <f>IF($A7="","",SUMIFS('Raw Data'!$D:$D, 'Raw Data'!$B:$B, "Control", 'Raw Data'!$A:$A, $A7, 'Raw Data'!$C:$C, $C$3))</f>
        <v>393</v>
      </c>
      <c r="C7" s="94">
        <f>IF($A7="","",SUMIFS('Raw Data'!$D:$D, 'Raw Data'!$B:$B, "Variant", 'Raw Data'!$A:$A, $A7, 'Raw Data'!$C:$C, $C$3))</f>
        <v>396</v>
      </c>
      <c r="D7" s="95">
        <f t="shared" ref="D7:D41" si="1">IF($A7="","",IFERROR((C7-B7)/ABS(B7),""))</f>
        <v>0.007633587786</v>
      </c>
      <c r="E7" s="96">
        <f>IF($A7="","",IFERROR(SUMPRODUCT(('Raw Data'!$B$2:$B$9999="Control")*('Raw Data'!$A$2:$A$9999=$A7)*('Raw Data'!$C$2:$C$9999=$C$3)*'Raw Data'!$D$2:$D$9999*'Raw Data'!$E$2:$E$9999)/SUMIFS('Raw Data'!$D:$D, 'Raw Data'!$B:$B, "Control", 'Raw Data'!$A:$A, $A7, 'Raw Data'!$C:$C, $C$3),""))</f>
        <v>0.62</v>
      </c>
      <c r="F7" s="96">
        <f>IF($A7="","",IFERROR(SUMPRODUCT(('Raw Data'!$B$2:$B$9999="Variant")*('Raw Data'!$A$2:$A$9999=$A7)*('Raw Data'!$C$2:$C$9999=$C$3)*'Raw Data'!$D$2:$D$9999*'Raw Data'!$E$2:$E$9999)/SUMIFS('Raw Data'!$D:$D, 'Raw Data'!$B:$B, "Variant", 'Raw Data'!$A:$A, $A7, 'Raw Data'!$C:$C, $C$3),""))</f>
        <v>0.62</v>
      </c>
      <c r="G7" s="95">
        <f t="shared" ref="G7:G41" si="2">IF($A7="","",IFERROR((F7-E7)/ABS(E7),""))</f>
        <v>0</v>
      </c>
      <c r="H7" s="97">
        <f>IF($A7="","",SUMIFS('Raw Data'!$F:$F, 'Raw Data'!$B:$B, "Control", 'Raw Data'!$A:$A, $A7, 'Raw Data'!$C:$C, $C$3))</f>
        <v>1683.27</v>
      </c>
      <c r="I7" s="97">
        <f>IF($A7="","",SUMIFS('Raw Data'!$F:$F, 'Raw Data'!$B:$B, "Variant", 'Raw Data'!$A:$A, $A7, 'Raw Data'!$C:$C, $C$3))</f>
        <v>1679.43</v>
      </c>
      <c r="J7" s="98">
        <f t="shared" ref="J7:J41" si="3">IF($A7="","",IFERROR((I7-H7)/ABS(H7),""))</f>
        <v>-0.002281273949</v>
      </c>
      <c r="K7" s="99">
        <f>IF($A7="","",IFERROR(SUMIFS('Raw Data'!$F:$F, 'Raw Data'!$B:$B, "Control", 'Raw Data'!$A:$A, $A7, 'Raw Data'!$C:$C, $C$3)/SUMIFS('Raw Data'!$D:$D, 'Raw Data'!$B:$B, "Control", 'Raw Data'!$A:$A, $A7, 'Raw Data'!$C:$C, $C$3),""))</f>
        <v>4.283129771</v>
      </c>
      <c r="L7" s="99">
        <f>IF($A7="","",IFERROR(SUMIFS('Raw Data'!$F:$F, 'Raw Data'!$B:$B, "Variant", 'Raw Data'!$A:$A, $A7, 'Raw Data'!$C:$C, $C$3)/SUMIFS('Raw Data'!$D:$D, 'Raw Data'!$B:$B, "Variant", 'Raw Data'!$A:$A, $A7, 'Raw Data'!$C:$C, $C$3),""))</f>
        <v>4.240984848</v>
      </c>
      <c r="M7" s="98">
        <f t="shared" ref="M7:M41" si="4">IF($A7="","",IFERROR((L7-K7)/ABS(K7),""))</f>
        <v>-0.009839749146</v>
      </c>
      <c r="N7" s="96">
        <f>IF($A7="","",IFERROR(SUMPRODUCT(('Raw Data'!$B$2:$B$9999="Control")*('Raw Data'!$A$2:$A$9999=$A7)*('Raw Data'!$C$2:$C$9999=$C$3)*'Raw Data'!$D$2:$D$9999*'Raw Data'!$H$2:$H$9999/100)/SUMIFS('Raw Data'!$D:$D, 'Raw Data'!$B:$B, "Control", 'Raw Data'!$A:$A, $A7, 'Raw Data'!$C:$C, $C$3)*100,""))</f>
        <v>17.3</v>
      </c>
      <c r="O7" s="96">
        <f>IF($A7="","",IFERROR(SUMPRODUCT(('Raw Data'!$B$2:$B$9999="Variant")*('Raw Data'!$A$2:$A$9999=$A7)*('Raw Data'!$C$2:$C$9999=$C$3)*'Raw Data'!$D$2:$D$9999*'Raw Data'!$H$2:$H$9999/100)/SUMIFS('Raw Data'!$D:$D, 'Raw Data'!$B:$B, "Variant", 'Raw Data'!$A:$A, $A7, 'Raw Data'!$C:$C, $C$3)*100,""))</f>
        <v>15.66</v>
      </c>
      <c r="P7" s="98">
        <f t="shared" ref="P7:P41" si="5">IF($A7="","",IFERROR((O7-N7)/ABS(N7),""))</f>
        <v>-0.09479768786</v>
      </c>
      <c r="Q7" s="99">
        <f>IF($A7="","",IFERROR(SUMIFS('Raw Data'!$F:$F, 'Raw Data'!$B:$B, "Control", 'Raw Data'!$A:$A, $A7, 'Raw Data'!$C:$C, $C$3)/SUMPRODUCT(('Raw Data'!$B$2:$B$9999="Control")*('Raw Data'!$A$2:$A$9999=$A7)*('Raw Data'!$C$2:$C$9999=$C$3)*'Raw Data'!$D$2:$D$9999*'Raw Data'!$H$2:$H$9999/100),""))</f>
        <v>24.75797555</v>
      </c>
      <c r="R7" s="99">
        <f>IF($A7="","",IFERROR(SUMIFS('Raw Data'!$F:$F, 'Raw Data'!$B:$B, "Variant", 'Raw Data'!$A:$A, $A7, 'Raw Data'!$C:$C, $C$3)/SUMPRODUCT(('Raw Data'!$B$2:$B$9999="Variant")*('Raw Data'!$A$2:$A$9999=$A7)*('Raw Data'!$C$2:$C$9999=$C$3)*'Raw Data'!$D$2:$D$9999*'Raw Data'!$H$2:$H$9999/100),""))</f>
        <v>27.08164016</v>
      </c>
      <c r="S7" s="100">
        <f t="shared" ref="S7:S41" si="6">IF($A7="","",IFERROR((R7-Q7)/ABS(Q7),""))</f>
        <v>0.09385519411</v>
      </c>
      <c r="T7" s="101">
        <f>IF($A7="","",IFERROR(SUMPRODUCT(('Raw Data'!$B$2:$B$9999="Control")*('Raw Data'!$A$2:$A$9999=$A7)*('Raw Data'!$C$2:$C$9999=$C$3)*'Raw Data'!$D$2:$D$9999*'Raw Data'!$J$2:$J$9999)/SUMIFS('Raw Data'!$D:$D, 'Raw Data'!$B:$B, "Control", 'Raw Data'!$A:$A, $A7, 'Raw Data'!$C:$C, $C$3),""))</f>
        <v>252.19</v>
      </c>
      <c r="U7" s="101">
        <f>IF($A7="","",IFERROR(SUMPRODUCT(('Raw Data'!$B$2:$B$9999="Variant")*('Raw Data'!$A$2:$A$9999=$A7)*('Raw Data'!$C$2:$C$9999=$C$3)*'Raw Data'!$D$2:$D$9999*'Raw Data'!$J$2:$J$9999)/SUMIFS('Raw Data'!$D:$D, 'Raw Data'!$B:$B, "Variant", 'Raw Data'!$A:$A, $A7, 'Raw Data'!$C:$C, $C$3),""))</f>
        <v>263.84</v>
      </c>
      <c r="V7" s="100">
        <f t="shared" ref="V7:V41" si="7">IF($A7="","",IFERROR((U7-T7)/ABS(T7),""))</f>
        <v>0.04619532892</v>
      </c>
      <c r="W7" s="101">
        <f>IF($A7="","",IFERROR(SUMPRODUCT(('Raw Data'!$B$2:$B$9999="Control")*('Raw Data'!$A$2:$A$9999=$A7)*('Raw Data'!$C$2:$C$9999=$C$3)*'Raw Data'!$D$2:$D$9999*'Raw Data'!$K$2:$K$9999)/SUMIFS('Raw Data'!$D:$D, 'Raw Data'!$B:$B, "Control", 'Raw Data'!$A:$A, $A7, 'Raw Data'!$C:$C, $C$3),""))</f>
        <v>150.67</v>
      </c>
      <c r="X7" s="101">
        <f>IF($A7="","",IFERROR(SUMPRODUCT(('Raw Data'!$B$2:$B$9999="Variant")*('Raw Data'!$A$2:$A$9999=$A7)*('Raw Data'!$C$2:$C$9999=$C$3)*'Raw Data'!$D$2:$D$9999*'Raw Data'!$K$2:$K$9999)/SUMIFS('Raw Data'!$D:$D, 'Raw Data'!$B:$B, "Variant", 'Raw Data'!$A:$A, $A7, 'Raw Data'!$C:$C, $C$3),""))</f>
        <v>154.4</v>
      </c>
      <c r="Y7" s="100">
        <f t="shared" ref="Y7:Y41" si="8">IF($A7="","",IFERROR((X7-W7)/ABS(W7),""))</f>
        <v>0.02475608947</v>
      </c>
      <c r="Z7" s="101">
        <f>IF($A7="","",IFERROR(SUMPRODUCT(('Raw Data'!$B$2:$B$9999="Control")*('Raw Data'!$A$2:$A$9999=$A7)*('Raw Data'!$C$2:$C$9999=$C$3)*'Raw Data'!$D$2:$D$9999*'Raw Data'!$L$2:$L$9999)/SUMIFS('Raw Data'!$D:$D, 'Raw Data'!$B:$B, "Control", 'Raw Data'!$A:$A, $A7, 'Raw Data'!$C:$C, $C$3),""))</f>
        <v>130.84</v>
      </c>
      <c r="AA7" s="101">
        <f>IF($A7="","",IFERROR(SUMPRODUCT(('Raw Data'!$B$2:$B$9999="Variant")*('Raw Data'!$A$2:$A$9999=$A7)*('Raw Data'!$C$2:$C$9999=$C$3)*'Raw Data'!$D$2:$D$9999*'Raw Data'!$L$2:$L$9999)/SUMIFS('Raw Data'!$D:$D, 'Raw Data'!$B:$B, "Variant", 'Raw Data'!$A:$A, $A7, 'Raw Data'!$C:$C, $C$3),""))</f>
        <v>130.67</v>
      </c>
      <c r="AB7" s="98">
        <f t="shared" ref="AB7:AB41" si="9">IF($A7="","",IFERROR((AA7-Z7)/ABS(Z7),""))</f>
        <v>-0.001299296851</v>
      </c>
      <c r="AC7" s="102">
        <f>IF($A7="","",IFERROR(SUMPRODUCT(('Raw Data'!$B$2:$B$9999="Control")*('Raw Data'!$A$2:$A$9999=$A7)*('Raw Data'!$C$2:$C$9999=$C$3)*'Raw Data'!$D$2:$D$9999*'Raw Data'!$M$2:$M$9999)/SUMIFS('Raw Data'!$D:$D, 'Raw Data'!$B:$B, "Control", 'Raw Data'!$A:$A, $A7, 'Raw Data'!$C:$C, $C$3),""))</f>
        <v>0.8684</v>
      </c>
      <c r="AD7" s="102">
        <f>IF($A7="","",IFERROR(SUMPRODUCT(('Raw Data'!$B$2:$B$9999="Variant")*('Raw Data'!$A$2:$A$9999=$A7)*('Raw Data'!$C$2:$C$9999=$C$3)*'Raw Data'!$D$2:$D$9999*'Raw Data'!$M$2:$M$9999)/SUMIFS('Raw Data'!$D:$D, 'Raw Data'!$B:$B, "Variant", 'Raw Data'!$A:$A, $A7, 'Raw Data'!$C:$C, $C$3),""))</f>
        <v>0.8463</v>
      </c>
      <c r="AE7" s="98">
        <f t="shared" ref="AE7:AE41" si="10">IF($A7="","",IFERROR((AD7-AC7)/ABS(AC7),""))</f>
        <v>-0.0254491018</v>
      </c>
      <c r="AF7" s="102">
        <f>IF($A7="","",IFERROR(SUMPRODUCT(('Raw Data'!$B$2:$B$9999="Control")*('Raw Data'!$A$2:$A$9999=$A7)*('Raw Data'!$C$2:$C$9999=$C$3)*'Raw Data'!$D$2:$D$9999*'Raw Data'!$N$2:$N$9999)/SUMIFS('Raw Data'!$D:$D, 'Raw Data'!$B:$B, "Control", 'Raw Data'!$A:$A, $A7, 'Raw Data'!$C:$C, $C$3),""))</f>
        <v>0.2715</v>
      </c>
      <c r="AG7" s="102">
        <f>IF($A7="","",IFERROR(SUMPRODUCT(('Raw Data'!$B$2:$B$9999="Variant")*('Raw Data'!$A$2:$A$9999=$A7)*('Raw Data'!$C$2:$C$9999=$C$3)*'Raw Data'!$D$2:$D$9999*'Raw Data'!$N$2:$N$9999)/SUMIFS('Raw Data'!$D:$D, 'Raw Data'!$B:$B, "Variant", 'Raw Data'!$A:$A, $A7, 'Raw Data'!$C:$C, $C$3),""))</f>
        <v>0.2957</v>
      </c>
      <c r="AH7" s="98">
        <f t="shared" ref="AH7:AH41" si="11">IF($A7="","",IFERROR((AG7-AF7)/ABS(AF7),""))</f>
        <v>0.08913443831</v>
      </c>
      <c r="AI7" s="102">
        <f>IF($A7="","",IFERROR(SUMPRODUCT(('Raw Data'!$B$2:$B$9999="Control")*('Raw Data'!$A$2:$A$9999=$A7)*('Raw Data'!$C$2:$C$9999=$C$3)*'Raw Data'!$D$2:$D$9999*'Raw Data'!$O$2:$O$9999)/SUMIFS('Raw Data'!$D:$D, 'Raw Data'!$B:$B, "Control", 'Raw Data'!$A:$A, $A7, 'Raw Data'!$C:$C, $C$3),""))</f>
        <v>0.1973</v>
      </c>
      <c r="AJ7" s="102">
        <f>IF($A7="","",IFERROR(SUMPRODUCT(('Raw Data'!$B$2:$B$9999="Variant")*('Raw Data'!$A$2:$A$9999=$A7)*('Raw Data'!$C$2:$C$9999=$C$3)*'Raw Data'!$D$2:$D$9999*'Raw Data'!$O$2:$O$9999)/SUMIFS('Raw Data'!$D:$D, 'Raw Data'!$B:$B, "Variant", 'Raw Data'!$A:$A, $A7, 'Raw Data'!$C:$C, $C$3),""))</f>
        <v>0.2123</v>
      </c>
      <c r="AK7" s="98">
        <f t="shared" ref="AK7:AK41" si="12">IF($A7="","",IFERROR((AJ7-AI7)/ABS(AI7),""))</f>
        <v>0.0760263558</v>
      </c>
      <c r="AL7" s="101">
        <f>IF($A7="","",IFERROR(SUMPRODUCT(('Raw Data'!$B$2:$B$9999="Control")*('Raw Data'!$A$2:$A$9999=$A7)*('Raw Data'!$C$2:$C$9999=$C$3)*'Raw Data'!$D$2:$D$9999*'Raw Data'!$P$2:$P$9999)/SUMIFS('Raw Data'!$D:$D, 'Raw Data'!$B:$B, "Control", 'Raw Data'!$A:$A, $A7, 'Raw Data'!$C:$C, $C$3),""))</f>
        <v>1.1515</v>
      </c>
      <c r="AM7" s="101">
        <f>IF($A7="","",IFERROR(SUMPRODUCT(('Raw Data'!$B$2:$B$9999="Variant")*('Raw Data'!$A$2:$A$9999=$A7)*('Raw Data'!$C$2:$C$9999=$C$3)*'Raw Data'!$D$2:$D$9999*'Raw Data'!$P$2:$P$9999)/SUMIFS('Raw Data'!$D:$D, 'Raw Data'!$B:$B, "Variant", 'Raw Data'!$A:$A, $A7, 'Raw Data'!$C:$C, $C$3),""))</f>
        <v>1.1816</v>
      </c>
      <c r="AN7" s="98">
        <f t="shared" ref="AN7:AN41" si="13">IF($A7="","",IFERROR((AM7-AL7)/ABS(AL7),""))</f>
        <v>0.02613981763</v>
      </c>
      <c r="AO7" s="101">
        <f>IF($A7="","",IFERROR(SUMPRODUCT(('Raw Data'!$B$2:$B$9999="Control")*('Raw Data'!$A$2:$A$9999=$A7)*('Raw Data'!$C$2:$C$9999=$C$3)*'Raw Data'!$D$2:$D$9999*'Raw Data'!$Q$2:$Q$9999)/SUMIFS('Raw Data'!$D:$D, 'Raw Data'!$B:$B, "Control", 'Raw Data'!$A:$A, $A7, 'Raw Data'!$C:$C, $C$3),""))</f>
        <v>902.74</v>
      </c>
      <c r="AP7" s="101">
        <f>IF($A7="","",IFERROR(SUMPRODUCT(('Raw Data'!$B$2:$B$9999="Variant")*('Raw Data'!$A$2:$A$9999=$A7)*('Raw Data'!$C$2:$C$9999=$C$3)*'Raw Data'!$D$2:$D$9999*'Raw Data'!$Q$2:$Q$9999)/SUMIFS('Raw Data'!$D:$D, 'Raw Data'!$B:$B, "Variant", 'Raw Data'!$A:$A, $A7, 'Raw Data'!$C:$C, $C$3),""))</f>
        <v>843.59</v>
      </c>
      <c r="AQ7" s="95">
        <f t="shared" ref="AQ7:AQ41" si="14">IF($A7="","",IFERROR((AP7-AO7)/ABS(AO7),""))</f>
        <v>-0.06552274187</v>
      </c>
      <c r="AR7" s="101">
        <f>IF($A7="","",IFERROR(SUMPRODUCT(('Raw Data'!$B$2:$B$9999="Control")*('Raw Data'!$A$2:$A$9999=$A7)*('Raw Data'!$C$2:$C$9999=$C$3)*'Raw Data'!$D$2:$D$9999*'Raw Data'!$R$2:$R$9999)/SUMIFS('Raw Data'!$D:$D, 'Raw Data'!$B:$B, "Control", 'Raw Data'!$A:$A, $A7, 'Raw Data'!$C:$C, $C$3),""))</f>
        <v>626.33</v>
      </c>
      <c r="AS7" s="101">
        <f>IF($A7="","",IFERROR(SUMPRODUCT(('Raw Data'!$B$2:$B$9999="Variant")*('Raw Data'!$A$2:$A$9999=$A7)*('Raw Data'!$C$2:$C$9999=$C$3)*'Raw Data'!$D$2:$D$9999*'Raw Data'!$R$2:$R$9999)/SUMIFS('Raw Data'!$D:$D, 'Raw Data'!$B:$B, "Variant", 'Raw Data'!$A:$A, $A7, 'Raw Data'!$C:$C, $C$3),""))</f>
        <v>654.17</v>
      </c>
      <c r="AT7" s="95">
        <f t="shared" ref="AT7:AT41" si="15">IF($A7="","",IFERROR((AS7-AR7)/ABS(AR7),""))</f>
        <v>0.04444941165</v>
      </c>
      <c r="AU7" s="101">
        <f>IF($A7="","",IFERROR(SUMPRODUCT(('Raw Data'!$B$2:$B$9999="Control")*('Raw Data'!$A$2:$A$9999=$A7)*('Raw Data'!$C$2:$C$9999=$C$3)*'Raw Data'!$D$2:$D$9999*'Raw Data'!$S$2:$S$9999)/SUMIFS('Raw Data'!$D:$D, 'Raw Data'!$B:$B, "Control", 'Raw Data'!$A:$A, $A7, 'Raw Data'!$C:$C, $C$3),""))</f>
        <v>276.41</v>
      </c>
      <c r="AV7" s="101">
        <f>IF($A7="","",IFERROR(SUMPRODUCT(('Raw Data'!$B$2:$B$9999="Variant")*('Raw Data'!$A$2:$A$9999=$A7)*('Raw Data'!$C$2:$C$9999=$C$3)*'Raw Data'!$D$2:$D$9999*'Raw Data'!$S$2:$S$9999)/SUMIFS('Raw Data'!$D:$D, 'Raw Data'!$B:$B, "Variant", 'Raw Data'!$A:$A, $A7, 'Raw Data'!$C:$C, $C$3),""))</f>
        <v>189.42</v>
      </c>
      <c r="AW7" s="95">
        <f t="shared" ref="AW7:AW41" si="16">IF($A7="","",IFERROR((AV7-AU7)/ABS(AU7),""))</f>
        <v>-0.31471365</v>
      </c>
      <c r="AX7" s="101">
        <f>IF($A7="","",IFERROR(SUMPRODUCT(('Raw Data'!$B$2:$B$9999="Control")*('Raw Data'!$A$2:$A$9999=$A7)*('Raw Data'!$C$2:$C$9999=$C$3)*'Raw Data'!$D$2:$D$9999*'Raw Data'!$T$2:$T$9999)/SUMIFS('Raw Data'!$D:$D, 'Raw Data'!$B:$B, "Control", 'Raw Data'!$A:$A, $A7, 'Raw Data'!$C:$C, $C$3),""))</f>
        <v>256.49</v>
      </c>
      <c r="AY7" s="101">
        <f>IF($A7="","",IFERROR(SUMPRODUCT(('Raw Data'!$B$2:$B$9999="Variant")*('Raw Data'!$A$2:$A$9999=$A7)*('Raw Data'!$C$2:$C$9999=$C$3)*'Raw Data'!$D$2:$D$9999*'Raw Data'!$T$2:$T$9999)/SUMIFS('Raw Data'!$D:$D, 'Raw Data'!$B:$B, "Variant", 'Raw Data'!$A:$A, $A7, 'Raw Data'!$C:$C, $C$3),""))</f>
        <v>291.54</v>
      </c>
      <c r="AZ7" s="100">
        <f t="shared" ref="AZ7:AZ41" si="17">IF($A7="","",IFERROR((AY7-AX7)/ABS(AX7),""))</f>
        <v>0.1366525011</v>
      </c>
      <c r="BA7" s="101">
        <f>IF($A7="","",IFERROR(SUMPRODUCT(('Raw Data'!$B$2:$B$9999="Control")*('Raw Data'!$A$2:$A$9999=$A7)*('Raw Data'!$C$2:$C$9999=$C$3)*'Raw Data'!$D$2:$D$9999*'Raw Data'!$U$2:$U$9999)/SUMIFS('Raw Data'!$D:$D, 'Raw Data'!$B:$B, "Control", 'Raw Data'!$A:$A, $A7, 'Raw Data'!$C:$C, $C$3),""))</f>
        <v>646.25</v>
      </c>
      <c r="BB7" s="101">
        <f>IF($A7="","",IFERROR(SUMPRODUCT(('Raw Data'!$B$2:$B$9999="Variant")*('Raw Data'!$A$2:$A$9999=$A7)*('Raw Data'!$C$2:$C$9999=$C$3)*'Raw Data'!$D$2:$D$9999*'Raw Data'!$U$2:$U$9999)/SUMIFS('Raw Data'!$D:$D, 'Raw Data'!$B:$B, "Variant", 'Raw Data'!$A:$A, $A7, 'Raw Data'!$C:$C, $C$3),""))</f>
        <v>552.05</v>
      </c>
      <c r="BC7" s="95">
        <f t="shared" ref="BC7:BC41" si="18">IF($A7="","",IFERROR((BB7-BA7)/ABS(BA7),""))</f>
        <v>-0.1457640232</v>
      </c>
      <c r="BD7" s="101">
        <f>IF($A7="","",IFERROR(SUMPRODUCT(('Raw Data'!$B$2:$B$9999="Control")*('Raw Data'!$A$2:$A$9999=$A7)*('Raw Data'!$C$2:$C$9999=$C$3)*'Raw Data'!$D$2:$D$9999*'Raw Data'!$V$2:$V$9999)/SUMIFS('Raw Data'!$D:$D, 'Raw Data'!$B:$B, "Control", 'Raw Data'!$A:$A, $A7, 'Raw Data'!$C:$C, $C$3),""))</f>
        <v>959.16</v>
      </c>
      <c r="BE7" s="101">
        <f>IF($A7="","",IFERROR(SUMPRODUCT(('Raw Data'!$B$2:$B$9999="Variant")*('Raw Data'!$A$2:$A$9999=$A7)*('Raw Data'!$C$2:$C$9999=$C$3)*'Raw Data'!$D$2:$D$9999*'Raw Data'!$V$2:$V$9999)/SUMIFS('Raw Data'!$D:$D, 'Raw Data'!$B:$B, "Variant", 'Raw Data'!$A:$A, $A7, 'Raw Data'!$C:$C, $C$3),""))</f>
        <v>919.95</v>
      </c>
      <c r="BF7" s="95">
        <f t="shared" ref="BF7:BF41" si="19">IF($A7="","",IFERROR((BE7-BD7)/ABS(BD7),""))</f>
        <v>-0.04087951958</v>
      </c>
      <c r="BG7" s="101">
        <f>IF($A7="","",IFERROR(SUMPRODUCT(('Raw Data'!$B$2:$B$9999="Control")*('Raw Data'!$A$2:$A$9999=$A7)*('Raw Data'!$C$2:$C$9999=$C$3)*'Raw Data'!$D$2:$D$9999*('Raw Data'!$Q$2:$Q$9999-'Raw Data'!$V$2:$V$9999))/SUMIFS('Raw Data'!$D:$D, 'Raw Data'!$B:$B, "Control", 'Raw Data'!$A:$A, $A7, 'Raw Data'!$C:$C, $C$3),""))</f>
        <v>-56.42</v>
      </c>
      <c r="BH7" s="101">
        <f>IF($A7="","",IFERROR(SUMPRODUCT(('Raw Data'!$B$2:$B$9999="Variant")*('Raw Data'!$A$2:$A$9999=$A7)*('Raw Data'!$C$2:$C$9999=$C$3)*'Raw Data'!$D$2:$D$9999*('Raw Data'!$Q$2:$Q$9999-'Raw Data'!$V$2:$V$9999))/SUMIFS('Raw Data'!$D:$D, 'Raw Data'!$B:$B, "Variant", 'Raw Data'!$A:$A, $A7, 'Raw Data'!$C:$C, $C$3),""))</f>
        <v>-76.36</v>
      </c>
      <c r="BI7" s="95">
        <f t="shared" ref="BI7:BI41" si="20">IF($A7="","",IFERROR((BH7-BG7)/ABS(BG7),""))</f>
        <v>-0.3534207728</v>
      </c>
      <c r="BJ7" s="101">
        <f>IF($A7="","",IFERROR(SUMPRODUCT(('Raw Data'!$B$2:$B$9999="Control")*('Raw Data'!$A$2:$A$9999=$A7)*('Raw Data'!$C$2:$C$9999=$C$3)*'Raw Data'!$D$2:$D$9999*'Raw Data'!$W$2:$W$9999)/SUMIFS('Raw Data'!$D:$D, 'Raw Data'!$B:$B, "Control", 'Raw Data'!$A:$A, $A7, 'Raw Data'!$C:$C, $C$3),""))</f>
        <v>6.3659</v>
      </c>
      <c r="BK7" s="101">
        <f>IF($A7="","",IFERROR(SUMPRODUCT(('Raw Data'!$B$2:$B$9999="Variant")*('Raw Data'!$A$2:$A$9999=$A7)*('Raw Data'!$C$2:$C$9999=$C$3)*'Raw Data'!$D$2:$D$9999*'Raw Data'!$W$2:$W$9999)/SUMIFS('Raw Data'!$D:$D, 'Raw Data'!$B:$B, "Variant", 'Raw Data'!$A:$A, $A7, 'Raw Data'!$C:$C, $C$3),""))</f>
        <v>5.9582</v>
      </c>
      <c r="BL7" s="95">
        <f t="shared" ref="BL7:BL41" si="21">IF($A7="","",IFERROR((BK7-BJ7)/ABS(BJ7),""))</f>
        <v>-0.06404436136</v>
      </c>
      <c r="BM7" s="102">
        <f>IF($A7="","",IFERROR(SUMPRODUCT(('Raw Data'!$B$2:$B$9999="Control")*('Raw Data'!$A$2:$A$9999=$A7)*('Raw Data'!$C$2:$C$9999=$C$3)*'Raw Data'!$D$2:$D$9999*'Raw Data'!$X$2:$X$9999)/SUMIFS('Raw Data'!$D:$D, 'Raw Data'!$B:$B, "Control", 'Raw Data'!$A:$A, $A7, 'Raw Data'!$C:$C, $C$3),""))</f>
        <v>28.41</v>
      </c>
      <c r="BN7" s="102">
        <f>IF($A7="","",IFERROR(SUMPRODUCT(('Raw Data'!$B$2:$B$9999="Variant")*('Raw Data'!$A$2:$A$9999=$A7)*('Raw Data'!$C$2:$C$9999=$C$3)*'Raw Data'!$D$2:$D$9999*'Raw Data'!$X$2:$X$9999)/SUMIFS('Raw Data'!$D:$D, 'Raw Data'!$B:$B, "Variant", 'Raw Data'!$A:$A, $A7, 'Raw Data'!$C:$C, $C$3),""))</f>
        <v>34.56</v>
      </c>
      <c r="BO7" s="100">
        <f t="shared" ref="BO7:BO41" si="22">IF($A7="","",IFERROR((BN7-BM7)/ABS(BM7),""))</f>
        <v>0.2164730729</v>
      </c>
      <c r="BP7" s="94">
        <f>IF($A7="","",IFERROR(SUMPRODUCT(('Raw Data'!$B$2:$B$9999="Control")*('Raw Data'!$A$2:$A$9999=$A7)*('Raw Data'!$C$2:$C$9999=$C$3)*'Raw Data'!$D$2:$D$9999*'Raw Data'!$Y$2:$Y$9999)/SUMIFS('Raw Data'!$D:$D, 'Raw Data'!$B:$B, "Control", 'Raw Data'!$A:$A, $A7, 'Raw Data'!$C:$C, $C$3),""))</f>
        <v>373</v>
      </c>
      <c r="BQ7" s="94">
        <f>IF($A7="","",IFERROR(SUMPRODUCT(('Raw Data'!$B$2:$B$9999="Variant")*('Raw Data'!$A$2:$A$9999=$A7)*('Raw Data'!$C$2:$C$9999=$C$3)*'Raw Data'!$D$2:$D$9999*'Raw Data'!$Y$2:$Y$9999)/SUMIFS('Raw Data'!$D:$D, 'Raw Data'!$B:$B, "Variant", 'Raw Data'!$A:$A, $A7, 'Raw Data'!$C:$C, $C$3),""))</f>
        <v>460</v>
      </c>
      <c r="BR7" s="95">
        <f t="shared" ref="BR7:BR41" si="23">IF($A7="","",IFERROR((BQ7-BP7)/ABS(BP7),""))</f>
        <v>0.2332439678</v>
      </c>
      <c r="BS7" s="94">
        <f>IF($A7="","",IFERROR(SUMPRODUCT(('Raw Data'!$B$2:$B$9999="Control")*('Raw Data'!$A$2:$A$9999=$A7)*('Raw Data'!$C$2:$C$9999=$C$3)*'Raw Data'!$D$2:$D$9999*'Raw Data'!$Z$2:$Z$9999)/SUMIFS('Raw Data'!$D:$D, 'Raw Data'!$B:$B, "Control", 'Raw Data'!$A:$A, $A7, 'Raw Data'!$C:$C, $C$3),""))</f>
        <v>2669</v>
      </c>
      <c r="BT7" s="94">
        <f>IF($A7="","",IFERROR(SUMPRODUCT(('Raw Data'!$B$2:$B$9999="Variant")*('Raw Data'!$A$2:$A$9999=$A7)*('Raw Data'!$C$2:$C$9999=$C$3)*'Raw Data'!$D$2:$D$9999*'Raw Data'!$Z$2:$Z$9999)/SUMIFS('Raw Data'!$D:$D, 'Raw Data'!$B:$B, "Variant", 'Raw Data'!$A:$A, $A7, 'Raw Data'!$C:$C, $C$3),""))</f>
        <v>3382</v>
      </c>
      <c r="BU7" s="95">
        <f t="shared" ref="BU7:BU41" si="24">IF($A7="","",IFERROR((BT7-BS7)/ABS(BS7),""))</f>
        <v>0.2671412514</v>
      </c>
      <c r="BV7" s="94">
        <f>IF($A7="","",IFERROR(SUMPRODUCT(('Raw Data'!$B$2:$B$9999="Control")*('Raw Data'!$A$2:$A$9999=$A7)*('Raw Data'!$C$2:$C$9999=$C$3)*'Raw Data'!$D$2:$D$9999*'Raw Data'!$AA$2:$AA$9999)/SUMIFS('Raw Data'!$D:$D, 'Raw Data'!$B:$B, "Control", 'Raw Data'!$A:$A, $A7, 'Raw Data'!$C:$C, $C$3),""))</f>
        <v>9109</v>
      </c>
      <c r="BW7" s="94">
        <f>IF($A7="","",IFERROR(SUMPRODUCT(('Raw Data'!$B$2:$B$9999="Variant")*('Raw Data'!$A$2:$A$9999=$A7)*('Raw Data'!$C$2:$C$9999=$C$3)*'Raw Data'!$D$2:$D$9999*'Raw Data'!$AA$2:$AA$9999)/SUMIFS('Raw Data'!$D:$D, 'Raw Data'!$B:$B, "Variant", 'Raw Data'!$A:$A, $A7, 'Raw Data'!$C:$C, $C$3),""))</f>
        <v>10464</v>
      </c>
      <c r="BX7" s="95">
        <f t="shared" ref="BX7:BX41" si="25">IF($A7="","",IFERROR((BW7-BV7)/ABS(BV7),""))</f>
        <v>0.1487539796</v>
      </c>
      <c r="BY7" s="101">
        <f>IF($A7="","",IFERROR(SUMPRODUCT(('Raw Data'!$B$2:$B$9999="Control")*('Raw Data'!$A$2:$A$9999=$A7)*('Raw Data'!$C$2:$C$9999=$C$3)*'Raw Data'!$D$2:$D$9999*'Raw Data'!$AB$2:$AB$9999)/SUMIFS('Raw Data'!$D:$D, 'Raw Data'!$B:$B, "Control", 'Raw Data'!$A:$A, $A7, 'Raw Data'!$C:$C, $C$3),""))</f>
        <v>63.1483</v>
      </c>
      <c r="BZ7" s="101">
        <f>IF($A7="","",IFERROR(SUMPRODUCT(('Raw Data'!$B$2:$B$9999="Variant")*('Raw Data'!$A$2:$A$9999=$A7)*('Raw Data'!$C$2:$C$9999=$C$3)*'Raw Data'!$D$2:$D$9999*'Raw Data'!$AB$2:$AB$9999)/SUMIFS('Raw Data'!$D:$D, 'Raw Data'!$B:$B, "Variant", 'Raw Data'!$A:$A, $A7, 'Raw Data'!$C:$C, $C$3),""))</f>
        <v>63.0123</v>
      </c>
      <c r="CA7" s="98">
        <f t="shared" ref="CA7:CA41" si="26">IF($A7="","",IFERROR((BZ7-BY7)/ABS(BY7),""))</f>
        <v>-0.00215366051</v>
      </c>
      <c r="CB7" s="101">
        <f>IF($A7="","",IFERROR(SUMPRODUCT(('Raw Data'!$B$2:$B$9999="Control")*('Raw Data'!$A$2:$A$9999=$A7)*('Raw Data'!$C$2:$C$9999=$C$3)*'Raw Data'!$D$2:$D$9999*'Raw Data'!$AC$2:$AC$9999)/SUMIFS('Raw Data'!$D:$D, 'Raw Data'!$B:$B, "Control", 'Raw Data'!$A:$A, $A7, 'Raw Data'!$C:$C, $C$3),""))</f>
        <v>0.8921</v>
      </c>
      <c r="CC7" s="101">
        <f>IF($A7="","",IFERROR(SUMPRODUCT(('Raw Data'!$B$2:$B$9999="Variant")*('Raw Data'!$A$2:$A$9999=$A7)*('Raw Data'!$C$2:$C$9999=$C$3)*'Raw Data'!$D$2:$D$9999*'Raw Data'!$AC$2:$AC$9999)/SUMIFS('Raw Data'!$D:$D, 'Raw Data'!$B:$B, "Variant", 'Raw Data'!$A:$A, $A7, 'Raw Data'!$C:$C, $C$3),""))</f>
        <v>0.8653</v>
      </c>
      <c r="CD7" s="98">
        <f t="shared" ref="CD7:CD41" si="27">IF($A7="","",IFERROR((CC7-CB7)/ABS(CB7),""))</f>
        <v>-0.03004147517</v>
      </c>
      <c r="CE7" s="101">
        <f>IF($A7="","",IFERROR(SUMPRODUCT(('Raw Data'!$B$2:$B$9999="Control")*('Raw Data'!$A$2:$A$9999=$A7)*('Raw Data'!$C$2:$C$9999=$C$3)*'Raw Data'!$D$2:$D$9999*'Raw Data'!$AD$2:$AD$9999)/SUMIFS('Raw Data'!$D:$D, 'Raw Data'!$B:$B, "Control", 'Raw Data'!$A:$A, $A7, 'Raw Data'!$C:$C, $C$3),""))</f>
        <v>90.28</v>
      </c>
      <c r="CF7" s="101">
        <f>IF($A7="","",IFERROR(SUMPRODUCT(('Raw Data'!$B$2:$B$9999="Variant")*('Raw Data'!$A$2:$A$9999=$A7)*('Raw Data'!$C$2:$C$9999=$C$3)*'Raw Data'!$D$2:$D$9999*'Raw Data'!$AD$2:$AD$9999)/SUMIFS('Raw Data'!$D:$D, 'Raw Data'!$B:$B, "Variant", 'Raw Data'!$A:$A, $A7, 'Raw Data'!$C:$C, $C$3),""))</f>
        <v>90.71</v>
      </c>
      <c r="CG7" s="100">
        <f t="shared" ref="CG7:CG41" si="28">IF($A7="","",IFERROR((CF7-CE7)/ABS(CE7),""))</f>
        <v>0.004762959681</v>
      </c>
      <c r="CH7" s="101">
        <f>IF($A7="","",IFERROR(SUMPRODUCT(('Raw Data'!$B$2:$B$9999="Control")*('Raw Data'!$A$2:$A$9999=$A7)*('Raw Data'!$C$2:$C$9999=$C$3)*'Raw Data'!$D$2:$D$9999*'Raw Data'!$AE$2:$AE$9999)/SUMIFS('Raw Data'!$D:$D, 'Raw Data'!$B:$B, "Control", 'Raw Data'!$A:$A, $A7, 'Raw Data'!$C:$C, $C$3),""))</f>
        <v>44</v>
      </c>
      <c r="CI7" s="101">
        <f>IF($A7="","",IFERROR(SUMPRODUCT(('Raw Data'!$B$2:$B$9999="Variant")*('Raw Data'!$A$2:$A$9999=$A7)*('Raw Data'!$C$2:$C$9999=$C$3)*'Raw Data'!$D$2:$D$9999*'Raw Data'!$AE$2:$AE$9999)/SUMIFS('Raw Data'!$D:$D, 'Raw Data'!$B:$B, "Variant", 'Raw Data'!$A:$A, $A7, 'Raw Data'!$C:$C, $C$3),""))</f>
        <v>34</v>
      </c>
      <c r="CJ7" s="98">
        <f t="shared" ref="CJ7:CJ41" si="29">IF($A7="","",IFERROR((CI7-CH7)/ABS(CH7),""))</f>
        <v>-0.2272727273</v>
      </c>
      <c r="CK7" s="101">
        <f>IF($A7="","",IFERROR(SUMPRODUCT(('Raw Data'!$B$2:$B$9999="Control")*('Raw Data'!$A$2:$A$9999=$A7)*('Raw Data'!$C$2:$C$9999=$C$3)*'Raw Data'!$D$2:$D$9999*'Raw Data'!$AF$2:$AF$9999)/SUMIFS('Raw Data'!$D:$D, 'Raw Data'!$B:$B, "Control", 'Raw Data'!$A:$A, $A7, 'Raw Data'!$C:$C, $C$3),""))</f>
        <v>79</v>
      </c>
      <c r="CL7" s="101">
        <f>IF($A7="","",IFERROR(SUMPRODUCT(('Raw Data'!$B$2:$B$9999="Variant")*('Raw Data'!$A$2:$A$9999=$A7)*('Raw Data'!$C$2:$C$9999=$C$3)*'Raw Data'!$D$2:$D$9999*'Raw Data'!$AF$2:$AF$9999)/SUMIFS('Raw Data'!$D:$D, 'Raw Data'!$B:$B, "Variant", 'Raw Data'!$A:$A, $A7, 'Raw Data'!$C:$C, $C$3),""))</f>
        <v>80</v>
      </c>
      <c r="CM7" s="100">
        <f t="shared" ref="CM7:CM41" si="30">IF($A7="","",IFERROR((CL7-CK7)/ABS(CK7),""))</f>
        <v>0.01265822785</v>
      </c>
      <c r="CN7" s="101">
        <f>IF($A7="","",IFERROR(SUMPRODUCT(('Raw Data'!$B$2:$B$9999="Control")*('Raw Data'!$A$2:$A$9999=$A7)*('Raw Data'!$C$2:$C$9999=$C$3)*'Raw Data'!$D$2:$D$9999*'Raw Data'!$AG$2:$AG$9999)/SUMIFS('Raw Data'!$D:$D, 'Raw Data'!$B:$B, "Control", 'Raw Data'!$A:$A, $A7, 'Raw Data'!$C:$C, $C$3),""))</f>
        <v>126</v>
      </c>
      <c r="CO7" s="101">
        <f>IF($A7="","",IFERROR(SUMPRODUCT(('Raw Data'!$B$2:$B$9999="Variant")*('Raw Data'!$A$2:$A$9999=$A7)*('Raw Data'!$C$2:$C$9999=$C$3)*'Raw Data'!$D$2:$D$9999*'Raw Data'!$AG$2:$AG$9999)/SUMIFS('Raw Data'!$D:$D, 'Raw Data'!$B:$B, "Variant", 'Raw Data'!$A:$A, $A7, 'Raw Data'!$C:$C, $C$3),""))</f>
        <v>127</v>
      </c>
      <c r="CP7" s="100">
        <f t="shared" ref="CP7:CP41" si="31">IF($A7="","",IFERROR((CO7-CN7)/ABS(CN7),""))</f>
        <v>0.007936507937</v>
      </c>
      <c r="CQ7" s="101">
        <f>IF($A7="","",IFERROR(SUMPRODUCT(('Raw Data'!$B$2:$B$9999="Control")*('Raw Data'!$A$2:$A$9999=$A7)*('Raw Data'!$C$2:$C$9999=$C$3)*'Raw Data'!$D$2:$D$9999*'Raw Data'!$AH$2:$AH$9999)/SUMIFS('Raw Data'!$D:$D, 'Raw Data'!$B:$B, "Control", 'Raw Data'!$A:$A, $A7, 'Raw Data'!$C:$C, $C$3),""))</f>
        <v>179</v>
      </c>
      <c r="CR7" s="101">
        <f>IF($A7="","",IFERROR(SUMPRODUCT(('Raw Data'!$B$2:$B$9999="Variant")*('Raw Data'!$A$2:$A$9999=$A7)*('Raw Data'!$C$2:$C$9999=$C$3)*'Raw Data'!$D$2:$D$9999*'Raw Data'!$AH$2:$AH$9999)/SUMIFS('Raw Data'!$D:$D, 'Raw Data'!$B:$B, "Variant", 'Raw Data'!$A:$A, $A7, 'Raw Data'!$C:$C, $C$3),""))</f>
        <v>175</v>
      </c>
      <c r="CS7" s="98">
        <f t="shared" ref="CS7:CS41" si="32">IF($A7="","",IFERROR((CR7-CQ7)/ABS(CQ7),""))</f>
        <v>-0.02234636872</v>
      </c>
      <c r="CT7" s="96">
        <f>IF($A7="","",IFERROR(SUMPRODUCT(('Raw Data'!$B$2:$B$9999="Control")*('Raw Data'!$A$2:$A$9999=$A7)*('Raw Data'!$C$2:$C$9999=$C$3)*'Raw Data'!$D$2:$D$9999*'Raw Data'!$AI$2:$AI$9999)/SUMIFS('Raw Data'!$D:$D, 'Raw Data'!$B:$B, "Control", 'Raw Data'!$A:$A, $A7, 'Raw Data'!$C:$C, $C$3),""))</f>
        <v>49.36</v>
      </c>
      <c r="CU7" s="96">
        <f>IF($A7="","",IFERROR(SUMPRODUCT(('Raw Data'!$B$2:$B$9999="Variant")*('Raw Data'!$A$2:$A$9999=$A7)*('Raw Data'!$C$2:$C$9999=$C$3)*'Raw Data'!$D$2:$D$9999*'Raw Data'!$AI$2:$AI$9999)/SUMIFS('Raw Data'!$D:$D, 'Raw Data'!$B:$B, "Variant", 'Raw Data'!$A:$A, $A7, 'Raw Data'!$C:$C, $C$3),""))</f>
        <v>50</v>
      </c>
      <c r="CV7" s="100">
        <f t="shared" ref="CV7:CV41" si="33">IF($A7="","",IFERROR((CU7-CT7)/ABS(CT7),""))</f>
        <v>0.01296596434</v>
      </c>
      <c r="CW7" s="96">
        <f>IF($A7="","",IFERROR(SUMPRODUCT(('Raw Data'!$B$2:$B$9999="Control")*('Raw Data'!$A$2:$A$9999=$A7)*('Raw Data'!$C$2:$C$9999=$C$3)*'Raw Data'!$D$2:$D$9999*'Raw Data'!$AJ$2:$AJ$9999)/SUMIFS('Raw Data'!$D:$D, 'Raw Data'!$B:$B, "Control", 'Raw Data'!$A:$A, $A7, 'Raw Data'!$C:$C, $C$3),""))</f>
        <v>10.69</v>
      </c>
      <c r="CX7" s="96">
        <f>IF($A7="","",IFERROR(SUMPRODUCT(('Raw Data'!$B$2:$B$9999="Variant")*('Raw Data'!$A$2:$A$9999=$A7)*('Raw Data'!$C$2:$C$9999=$C$3)*'Raw Data'!$D$2:$D$9999*'Raw Data'!$AJ$2:$AJ$9999)/SUMIFS('Raw Data'!$D:$D, 'Raw Data'!$B:$B, "Variant", 'Raw Data'!$A:$A, $A7, 'Raw Data'!$C:$C, $C$3),""))</f>
        <v>10.1</v>
      </c>
      <c r="CY7" s="98">
        <f t="shared" ref="CY7:CY41" si="34">IF($A7="","",IFERROR((CX7-CW7)/ABS(CW7),""))</f>
        <v>-0.05519176801</v>
      </c>
      <c r="CZ7" s="96">
        <f>IF($A7="","",IFERROR(SUMPRODUCT(('Raw Data'!$B$2:$B$9999="Control")*('Raw Data'!$A$2:$A$9999=$A7)*('Raw Data'!$C$2:$C$9999=$C$3)*'Raw Data'!$D$2:$D$9999*'Raw Data'!$AK$2:$AK$9999)/SUMIFS('Raw Data'!$D:$D, 'Raw Data'!$B:$B, "Control", 'Raw Data'!$A:$A, $A7, 'Raw Data'!$C:$C, $C$3),""))</f>
        <v>0.51</v>
      </c>
      <c r="DA7" s="96">
        <f>IF($A7="","",IFERROR(SUMPRODUCT(('Raw Data'!$B$2:$B$9999="Variant")*('Raw Data'!$A$2:$A$9999=$A7)*('Raw Data'!$C$2:$C$9999=$C$3)*'Raw Data'!$D$2:$D$9999*'Raw Data'!$AK$2:$AK$9999)/SUMIFS('Raw Data'!$D:$D, 'Raw Data'!$B:$B, "Variant", 'Raw Data'!$A:$A, $A7, 'Raw Data'!$C:$C, $C$3),""))</f>
        <v>1.77</v>
      </c>
      <c r="DB7" s="100">
        <f t="shared" ref="DB7:DB41" si="35">IF($A7="","",IFERROR((DA7-CZ7)/ABS(CZ7),""))</f>
        <v>2.470588235</v>
      </c>
      <c r="DC7" s="102">
        <f>IF($A7="","",IFERROR(SUMPRODUCT(('Raw Data'!$B$2:$B$9999="Control")*('Raw Data'!$A$2:$A$9999=$A7)*('Raw Data'!$C$2:$C$9999=$C$3)*'Raw Data'!$D$2:$D$9999*'Raw Data'!$AL$2:$AL$9999)/SUMIFS('Raw Data'!$D:$D, 'Raw Data'!$B:$B, "Control", 'Raw Data'!$A:$A, $A7, 'Raw Data'!$C:$C, $C$3),""))</f>
        <v>0.0763</v>
      </c>
      <c r="DD7" s="102">
        <f>IF($A7="","",IFERROR(SUMPRODUCT(('Raw Data'!$B$2:$B$9999="Variant")*('Raw Data'!$A$2:$A$9999=$A7)*('Raw Data'!$C$2:$C$9999=$C$3)*'Raw Data'!$D$2:$D$9999*'Raw Data'!$AL$2:$AL$9999)/SUMIFS('Raw Data'!$D:$D, 'Raw Data'!$B:$B, "Variant", 'Raw Data'!$A:$A, $A7, 'Raw Data'!$C:$C, $C$3),""))</f>
        <v>0.0682</v>
      </c>
      <c r="DE7" s="100">
        <f t="shared" ref="DE7:DE41" si="36">IF($A7="","",IFERROR((DD7-DC7)/ABS(DC7),""))</f>
        <v>-0.1061598952</v>
      </c>
      <c r="DF7" s="103"/>
      <c r="DG7" s="96">
        <f>IF($A7="","",IFERROR(SUMPRODUCT(('Raw Data'!$B$2:$B$9999="Variant")*('Raw Data'!$A$2:$A$9999=$A7)*('Raw Data'!$C$2:$C$9999=$C$3)*'Raw Data'!$D$2:$D$9999*'Raw Data'!$AM$2:$AM$9999)/SUMIFS('Raw Data'!$D:$D, 'Raw Data'!$B:$B, "Variant", 'Raw Data'!$A:$A, $A7, 'Raw Data'!$C:$C, $C$3),""))</f>
        <v>0</v>
      </c>
      <c r="DH7" s="104"/>
      <c r="DI7" s="103"/>
      <c r="DJ7" s="96">
        <f>IF($A7="","",IFERROR(SUMPRODUCT(('Raw Data'!$B$2:$B$9999="Variant")*('Raw Data'!$A$2:$A$9999=$A7)*('Raw Data'!$C$2:$C$9999=$C$3)*'Raw Data'!$D$2:$D$9999*'Raw Data'!$AN$2:$AN$9999)/SUMIFS('Raw Data'!$D:$D, 'Raw Data'!$B:$B, "Variant", 'Raw Data'!$A:$A, $A7, 'Raw Data'!$C:$C, $C$3),""))</f>
        <v>0</v>
      </c>
      <c r="DK7" s="104"/>
      <c r="DL7" s="103"/>
      <c r="DM7" s="96">
        <f>IF($A7="","",IFERROR(SUMPRODUCT(('Raw Data'!$B$2:$B$9999="Variant")*('Raw Data'!$A$2:$A$9999=$A7)*('Raw Data'!$C$2:$C$9999=$C$3)*'Raw Data'!$D$2:$D$9999*'Raw Data'!$AO$2:$AO$9999)/SUMIFS('Raw Data'!$D:$D, 'Raw Data'!$B:$B, "Variant", 'Raw Data'!$A:$A, $A7, 'Raw Data'!$C:$C, $C$3),""))</f>
        <v>0</v>
      </c>
      <c r="DN7" s="104"/>
      <c r="DO7" s="103"/>
      <c r="DP7" s="96">
        <f>IF($A7="","",IFERROR(SUMPRODUCT(('Raw Data'!$B$2:$B$9999="Variant")*('Raw Data'!$A$2:$A$9999=$A7)*('Raw Data'!$C$2:$C$9999=$C$3)*'Raw Data'!$D$2:$D$9999*'Raw Data'!$AP$2:$AP$9999)/SUMIFS('Raw Data'!$D:$D, 'Raw Data'!$B:$B, "Variant", 'Raw Data'!$A:$A, $A7, 'Raw Data'!$C:$C, $C$3),""))</f>
        <v>0</v>
      </c>
      <c r="DQ7" s="104"/>
      <c r="DR7" s="102">
        <f>IF($A7="","",IFERROR(SUMPRODUCT(('Raw Data'!$B$2:$B$9999="Control")*('Raw Data'!$A$2:$A$9999=$A7)*('Raw Data'!$C$2:$C$9999=$C$3)*'Raw Data'!$D$2:$D$9999*'Raw Data'!$AQ$2:$AQ$9999)/SUMIFS('Raw Data'!$D:$D, 'Raw Data'!$B:$B, "Control", 'Raw Data'!$A:$A, $A7, 'Raw Data'!$C:$C, $C$3),""))</f>
        <v>32.3104</v>
      </c>
      <c r="DS7" s="102">
        <f>IF($A7="","",IFERROR(SUMPRODUCT(('Raw Data'!$B$2:$B$9999="Variant")*('Raw Data'!$A$2:$A$9999=$A7)*('Raw Data'!$C$2:$C$9999=$C$3)*'Raw Data'!$D$2:$D$9999*'Raw Data'!$AQ$2:$AQ$9999)/SUMIFS('Raw Data'!$D:$D, 'Raw Data'!$B:$B, "Variant", 'Raw Data'!$A:$A, $A7, 'Raw Data'!$C:$C, $C$3),""))</f>
        <v>32.3485</v>
      </c>
      <c r="DT7" s="105">
        <f t="shared" ref="DT7:DT41" si="37">IF($A7="","",IFERROR((DS7-DR7)/ABS(DR7),""))</f>
        <v>0.001179186887</v>
      </c>
      <c r="DU7" s="102">
        <f>IF($A7="","",IFERROR(SUMPRODUCT(('Raw Data'!$B$2:$B$9999="Control")*('Raw Data'!$A$2:$A$9999=$A7)*('Raw Data'!$C$2:$C$9999=$C$3)*'Raw Data'!$D$2:$D$9999*'Raw Data'!$AR$2:$AR$9999)/SUMIFS('Raw Data'!$D:$D, 'Raw Data'!$B:$B, "Control", 'Raw Data'!$A:$A, $A7, 'Raw Data'!$C:$C, $C$3),""))</f>
        <v>4.4326</v>
      </c>
      <c r="DV7" s="102">
        <f>IF($A7="","",IFERROR(SUMPRODUCT(('Raw Data'!$B$2:$B$9999="Variant")*('Raw Data'!$A$2:$A$9999=$A7)*('Raw Data'!$C$2:$C$9999=$C$3)*'Raw Data'!$D$2:$D$9999*'Raw Data'!$AR$2:$AR$9999)/SUMIFS('Raw Data'!$D:$D, 'Raw Data'!$B:$B, "Variant", 'Raw Data'!$A:$A, $A7, 'Raw Data'!$C:$C, $C$3),""))</f>
        <v>4.2652</v>
      </c>
      <c r="DW7" s="106">
        <f t="shared" ref="DW7:DW41" si="38">IF($A7="","",IFERROR((DV7-DU7)/ABS(DU7),""))</f>
        <v>-0.03776564545</v>
      </c>
      <c r="DX7" s="102">
        <f>IF($A7="","",IFERROR(SUMPRODUCT(('Raw Data'!$B$2:$B$9999="Control")*('Raw Data'!$A$2:$A$9999=$A7)*('Raw Data'!$C$2:$C$9999=$C$3)*'Raw Data'!$D$2:$D$9999*'Raw Data'!$AS$2:$AS$9999)/SUMIFS('Raw Data'!$D:$D, 'Raw Data'!$B:$B, "Control", 'Raw Data'!$A:$A, $A7, 'Raw Data'!$C:$C, $C$3),""))</f>
        <v>27.8779</v>
      </c>
      <c r="DY7" s="102">
        <f>IF($A7="","",IFERROR(SUMPRODUCT(('Raw Data'!$B$2:$B$9999="Variant")*('Raw Data'!$A$2:$A$9999=$A7)*('Raw Data'!$C$2:$C$9999=$C$3)*'Raw Data'!$D$2:$D$9999*'Raw Data'!$AS$2:$AS$9999)/SUMIFS('Raw Data'!$D:$D, 'Raw Data'!$B:$B, "Variant", 'Raw Data'!$A:$A, $A7, 'Raw Data'!$C:$C, $C$3),""))</f>
        <v>28.0833</v>
      </c>
      <c r="DZ7" s="106">
        <f t="shared" ref="DZ7:DZ41" si="39">IF($A7="","",IFERROR((DY7-DX7)/ABS(DX7),""))</f>
        <v>0.007367843345</v>
      </c>
      <c r="EA7" s="102">
        <f>IF($A7="","",IFERROR(SUMPRODUCT(('Raw Data'!$B$2:$B$9999="Control")*('Raw Data'!$A$2:$A$9999=$A7)*('Raw Data'!$C$2:$C$9999=$C$3)*'Raw Data'!$D$2:$D$9999*'Raw Data'!$AT$2:$AT$9999)/SUMIFS('Raw Data'!$D:$D, 'Raw Data'!$B:$B, "Control", 'Raw Data'!$A:$A, $A7, 'Raw Data'!$C:$C, $C$3),""))</f>
        <v>32.5267</v>
      </c>
      <c r="EB7" s="102">
        <f>IF($A7="","",IFERROR(SUMPRODUCT(('Raw Data'!$B$2:$B$9999="Variant")*('Raw Data'!$A$2:$A$9999=$A7)*('Raw Data'!$C$2:$C$9999=$C$3)*'Raw Data'!$D$2:$D$9999*'Raw Data'!$AT$2:$AT$9999)/SUMIFS('Raw Data'!$D:$D, 'Raw Data'!$B:$B, "Variant", 'Raw Data'!$A:$A, $A7, 'Raw Data'!$C:$C, $C$3),""))</f>
        <v>33.4874</v>
      </c>
      <c r="EC7" s="105">
        <f t="shared" ref="EC7:EC41" si="40">IF($A7="","",IFERROR((EB7-EA7)/ABS(EA7),""))</f>
        <v>0.02953573526</v>
      </c>
      <c r="ED7" s="102">
        <f>IF($A7="","",IFERROR(SUMPRODUCT(('Raw Data'!$B$2:$B$9999="Control")*('Raw Data'!$A$2:$A$9999=$A7)*('Raw Data'!$C$2:$C$9999=$C$3)*'Raw Data'!$D$2:$D$9999*('Raw Data'!$AQ$2:$AQ$9999-'Raw Data'!$AT$2:$AT$9999))/SUMIFS('Raw Data'!$D:$D, 'Raw Data'!$B:$B, "Control", 'Raw Data'!$A:$A, $A7, 'Raw Data'!$C:$C, $C$3),""))</f>
        <v>-0.2163</v>
      </c>
      <c r="EE7" s="102">
        <f>IF($A7="","",IFERROR(SUMPRODUCT(('Raw Data'!$B$2:$B$9999="Variant")*('Raw Data'!$A$2:$A$9999=$A7)*('Raw Data'!$C$2:$C$9999=$C$3)*'Raw Data'!$D$2:$D$9999*('Raw Data'!$AQ$2:$AQ$9999-'Raw Data'!$AT$2:$AT$9999))/SUMIFS('Raw Data'!$D:$D, 'Raw Data'!$B:$B, "Variant", 'Raw Data'!$A:$A, $A7, 'Raw Data'!$C:$C, $C$3),""))</f>
        <v>-1.1389</v>
      </c>
      <c r="EF7" s="105">
        <f t="shared" ref="EF7:EF41" si="41">IF($A7="","",IFERROR((EE7-ED7)/ABS(ED7),""))</f>
        <v>-4.265372168</v>
      </c>
      <c r="EG7" s="102">
        <f>IF($A7="","",IFERROR(SUMPRODUCT(('Raw Data'!$B$2:$B$9999="Control")*('Raw Data'!$A$2:$A$9999=$A7)*('Raw Data'!$C$2:$C$9999=$C$3)*'Raw Data'!$D$2:$D$9999*'Raw Data'!$AU$2:$AU$9999)/SUMIFS('Raw Data'!$D:$D, 'Raw Data'!$B:$B, "Control", 'Raw Data'!$A:$A, $A7, 'Raw Data'!$C:$C, $C$3),""))</f>
        <v>0.2159</v>
      </c>
      <c r="EH7" s="102">
        <f>IF($A7="","",IFERROR(SUMPRODUCT(('Raw Data'!$B$2:$B$9999="Variant")*('Raw Data'!$A$2:$A$9999=$A7)*('Raw Data'!$C$2:$C$9999=$C$3)*'Raw Data'!$D$2:$D$9999*'Raw Data'!$AU$2:$AU$9999)/SUMIFS('Raw Data'!$D:$D, 'Raw Data'!$B:$B, "Variant", 'Raw Data'!$A:$A, $A7, 'Raw Data'!$C:$C, $C$3),""))</f>
        <v>0.2169</v>
      </c>
      <c r="EI7" s="105">
        <f t="shared" ref="EI7:EI41" si="42">IF($A7="","",IFERROR((EH7-EG7)/ABS(EG7),""))</f>
        <v>0.004631773969</v>
      </c>
    </row>
    <row r="8">
      <c r="A8" s="93">
        <v>46176.0</v>
      </c>
      <c r="B8" s="94">
        <f>IF($A8="","",SUMIFS('Raw Data'!$D:$D, 'Raw Data'!$B:$B, "Control", 'Raw Data'!$A:$A, $A8, 'Raw Data'!$C:$C, $C$3))</f>
        <v>430</v>
      </c>
      <c r="C8" s="94">
        <f>IF($A8="","",SUMIFS('Raw Data'!$D:$D, 'Raw Data'!$B:$B, "Variant", 'Raw Data'!$A:$A, $A8, 'Raw Data'!$C:$C, $C$3))</f>
        <v>431</v>
      </c>
      <c r="D8" s="95">
        <f t="shared" si="1"/>
        <v>0.002325581395</v>
      </c>
      <c r="E8" s="96">
        <f>IF($A8="","",IFERROR(SUMPRODUCT(('Raw Data'!$B$2:$B$9999="Control")*('Raw Data'!$A$2:$A$9999=$A8)*('Raw Data'!$C$2:$C$9999=$C$3)*'Raw Data'!$D$2:$D$9999*'Raw Data'!$E$2:$E$9999)/SUMIFS('Raw Data'!$D:$D, 'Raw Data'!$B:$B, "Control", 'Raw Data'!$A:$A, $A8, 'Raw Data'!$C:$C, $C$3),""))</f>
        <v>0.51</v>
      </c>
      <c r="F8" s="96">
        <f>IF($A8="","",IFERROR(SUMPRODUCT(('Raw Data'!$B$2:$B$9999="Variant")*('Raw Data'!$A$2:$A$9999=$A8)*('Raw Data'!$C$2:$C$9999=$C$3)*'Raw Data'!$D$2:$D$9999*'Raw Data'!$E$2:$E$9999)/SUMIFS('Raw Data'!$D:$D, 'Raw Data'!$B:$B, "Variant", 'Raw Data'!$A:$A, $A8, 'Raw Data'!$C:$C, $C$3),""))</f>
        <v>0.51</v>
      </c>
      <c r="G8" s="95">
        <f t="shared" si="2"/>
        <v>0</v>
      </c>
      <c r="H8" s="97">
        <f>IF($A8="","",SUMIFS('Raw Data'!$F:$F, 'Raw Data'!$B:$B, "Control", 'Raw Data'!$A:$A, $A8, 'Raw Data'!$C:$C, $C$3))</f>
        <v>1928.28</v>
      </c>
      <c r="I8" s="97">
        <f>IF($A8="","",SUMIFS('Raw Data'!$F:$F, 'Raw Data'!$B:$B, "Variant", 'Raw Data'!$A:$A, $A8, 'Raw Data'!$C:$C, $C$3))</f>
        <v>1887.44</v>
      </c>
      <c r="J8" s="98">
        <f t="shared" si="3"/>
        <v>-0.02117949675</v>
      </c>
      <c r="K8" s="99">
        <f>IF($A8="","",IFERROR(SUMIFS('Raw Data'!$F:$F, 'Raw Data'!$B:$B, "Control", 'Raw Data'!$A:$A, $A8, 'Raw Data'!$C:$C, $C$3)/SUMIFS('Raw Data'!$D:$D, 'Raw Data'!$B:$B, "Control", 'Raw Data'!$A:$A, $A8, 'Raw Data'!$C:$C, $C$3),""))</f>
        <v>4.484372093</v>
      </c>
      <c r="L8" s="99">
        <f>IF($A8="","",IFERROR(SUMIFS('Raw Data'!$F:$F, 'Raw Data'!$B:$B, "Variant", 'Raw Data'!$A:$A, $A8, 'Raw Data'!$C:$C, $C$3)/SUMIFS('Raw Data'!$D:$D, 'Raw Data'!$B:$B, "Variant", 'Raw Data'!$A:$A, $A8, 'Raw Data'!$C:$C, $C$3),""))</f>
        <v>4.379211137</v>
      </c>
      <c r="M8" s="98">
        <f t="shared" si="4"/>
        <v>-0.023450542</v>
      </c>
      <c r="N8" s="96">
        <f>IF($A8="","",IFERROR(SUMPRODUCT(('Raw Data'!$B$2:$B$9999="Control")*('Raw Data'!$A$2:$A$9999=$A8)*('Raw Data'!$C$2:$C$9999=$C$3)*'Raw Data'!$D$2:$D$9999*'Raw Data'!$H$2:$H$9999/100)/SUMIFS('Raw Data'!$D:$D, 'Raw Data'!$B:$B, "Control", 'Raw Data'!$A:$A, $A8, 'Raw Data'!$C:$C, $C$3)*100,""))</f>
        <v>15.35</v>
      </c>
      <c r="O8" s="96">
        <f>IF($A8="","",IFERROR(SUMPRODUCT(('Raw Data'!$B$2:$B$9999="Variant")*('Raw Data'!$A$2:$A$9999=$A8)*('Raw Data'!$C$2:$C$9999=$C$3)*'Raw Data'!$D$2:$D$9999*'Raw Data'!$H$2:$H$9999/100)/SUMIFS('Raw Data'!$D:$D, 'Raw Data'!$B:$B, "Variant", 'Raw Data'!$A:$A, $A8, 'Raw Data'!$C:$C, $C$3)*100,""))</f>
        <v>17.87</v>
      </c>
      <c r="P8" s="100">
        <f t="shared" si="5"/>
        <v>0.1641693811</v>
      </c>
      <c r="Q8" s="99">
        <f>IF($A8="","",IFERROR(SUMIFS('Raw Data'!$F:$F, 'Raw Data'!$B:$B, "Control", 'Raw Data'!$A:$A, $A8, 'Raw Data'!$C:$C, $C$3)/SUMPRODUCT(('Raw Data'!$B$2:$B$9999="Control")*('Raw Data'!$A$2:$A$9999=$A8)*('Raw Data'!$C$2:$C$9999=$C$3)*'Raw Data'!$D$2:$D$9999*'Raw Data'!$H$2:$H$9999/100),""))</f>
        <v>29.21415044</v>
      </c>
      <c r="R8" s="99">
        <f>IF($A8="","",IFERROR(SUMIFS('Raw Data'!$F:$F, 'Raw Data'!$B:$B, "Variant", 'Raw Data'!$A:$A, $A8, 'Raw Data'!$C:$C, $C$3)/SUMPRODUCT(('Raw Data'!$B$2:$B$9999="Variant")*('Raw Data'!$A$2:$A$9999=$A8)*('Raw Data'!$C$2:$C$9999=$C$3)*'Raw Data'!$D$2:$D$9999*'Raw Data'!$H$2:$H$9999/100),""))</f>
        <v>24.50593809</v>
      </c>
      <c r="S8" s="98">
        <f t="shared" si="6"/>
        <v>-0.1611620492</v>
      </c>
      <c r="T8" s="101">
        <f>IF($A8="","",IFERROR(SUMPRODUCT(('Raw Data'!$B$2:$B$9999="Control")*('Raw Data'!$A$2:$A$9999=$A8)*('Raw Data'!$C$2:$C$9999=$C$3)*'Raw Data'!$D$2:$D$9999*'Raw Data'!$J$2:$J$9999)/SUMIFS('Raw Data'!$D:$D, 'Raw Data'!$B:$B, "Control", 'Raw Data'!$A:$A, $A8, 'Raw Data'!$C:$C, $C$3),""))</f>
        <v>256.14</v>
      </c>
      <c r="U8" s="101">
        <f>IF($A8="","",IFERROR(SUMPRODUCT(('Raw Data'!$B$2:$B$9999="Variant")*('Raw Data'!$A$2:$A$9999=$A8)*('Raw Data'!$C$2:$C$9999=$C$3)*'Raw Data'!$D$2:$D$9999*'Raw Data'!$J$2:$J$9999)/SUMIFS('Raw Data'!$D:$D, 'Raw Data'!$B:$B, "Variant", 'Raw Data'!$A:$A, $A8, 'Raw Data'!$C:$C, $C$3),""))</f>
        <v>269.58</v>
      </c>
      <c r="V8" s="100">
        <f t="shared" si="7"/>
        <v>0.05247130476</v>
      </c>
      <c r="W8" s="101">
        <f>IF($A8="","",IFERROR(SUMPRODUCT(('Raw Data'!$B$2:$B$9999="Control")*('Raw Data'!$A$2:$A$9999=$A8)*('Raw Data'!$C$2:$C$9999=$C$3)*'Raw Data'!$D$2:$D$9999*'Raw Data'!$K$2:$K$9999)/SUMIFS('Raw Data'!$D:$D, 'Raw Data'!$B:$B, "Control", 'Raw Data'!$A:$A, $A8, 'Raw Data'!$C:$C, $C$3),""))</f>
        <v>154.7</v>
      </c>
      <c r="X8" s="101">
        <f>IF($A8="","",IFERROR(SUMPRODUCT(('Raw Data'!$B$2:$B$9999="Variant")*('Raw Data'!$A$2:$A$9999=$A8)*('Raw Data'!$C$2:$C$9999=$C$3)*'Raw Data'!$D$2:$D$9999*'Raw Data'!$K$2:$K$9999)/SUMIFS('Raw Data'!$D:$D, 'Raw Data'!$B:$B, "Variant", 'Raw Data'!$A:$A, $A8, 'Raw Data'!$C:$C, $C$3),""))</f>
        <v>160.29</v>
      </c>
      <c r="Y8" s="100">
        <f t="shared" si="8"/>
        <v>0.03613445378</v>
      </c>
      <c r="Z8" s="101">
        <f>IF($A8="","",IFERROR(SUMPRODUCT(('Raw Data'!$B$2:$B$9999="Control")*('Raw Data'!$A$2:$A$9999=$A8)*('Raw Data'!$C$2:$C$9999=$C$3)*'Raw Data'!$D$2:$D$9999*'Raw Data'!$L$2:$L$9999)/SUMIFS('Raw Data'!$D:$D, 'Raw Data'!$B:$B, "Control", 'Raw Data'!$A:$A, $A8, 'Raw Data'!$C:$C, $C$3),""))</f>
        <v>131.78</v>
      </c>
      <c r="AA8" s="101">
        <f>IF($A8="","",IFERROR(SUMPRODUCT(('Raw Data'!$B$2:$B$9999="Variant")*('Raw Data'!$A$2:$A$9999=$A8)*('Raw Data'!$C$2:$C$9999=$C$3)*'Raw Data'!$D$2:$D$9999*'Raw Data'!$L$2:$L$9999)/SUMIFS('Raw Data'!$D:$D, 'Raw Data'!$B:$B, "Variant", 'Raw Data'!$A:$A, $A8, 'Raw Data'!$C:$C, $C$3),""))</f>
        <v>136.32</v>
      </c>
      <c r="AB8" s="100">
        <f t="shared" si="9"/>
        <v>0.03445135832</v>
      </c>
      <c r="AC8" s="102">
        <f>IF($A8="","",IFERROR(SUMPRODUCT(('Raw Data'!$B$2:$B$9999="Control")*('Raw Data'!$A$2:$A$9999=$A8)*('Raw Data'!$C$2:$C$9999=$C$3)*'Raw Data'!$D$2:$D$9999*'Raw Data'!$M$2:$M$9999)/SUMIFS('Raw Data'!$D:$D, 'Raw Data'!$B:$B, "Control", 'Raw Data'!$A:$A, $A8, 'Raw Data'!$C:$C, $C$3),""))</f>
        <v>0.8518</v>
      </c>
      <c r="AD8" s="102">
        <f>IF($A8="","",IFERROR(SUMPRODUCT(('Raw Data'!$B$2:$B$9999="Variant")*('Raw Data'!$A$2:$A$9999=$A8)*('Raw Data'!$C$2:$C$9999=$C$3)*'Raw Data'!$D$2:$D$9999*'Raw Data'!$M$2:$M$9999)/SUMIFS('Raw Data'!$D:$D, 'Raw Data'!$B:$B, "Variant", 'Raw Data'!$A:$A, $A8, 'Raw Data'!$C:$C, $C$3),""))</f>
        <v>0.8504</v>
      </c>
      <c r="AE8" s="98">
        <f t="shared" si="10"/>
        <v>-0.001643578305</v>
      </c>
      <c r="AF8" s="102">
        <f>IF($A8="","",IFERROR(SUMPRODUCT(('Raw Data'!$B$2:$B$9999="Control")*('Raw Data'!$A$2:$A$9999=$A8)*('Raw Data'!$C$2:$C$9999=$C$3)*'Raw Data'!$D$2:$D$9999*'Raw Data'!$N$2:$N$9999)/SUMIFS('Raw Data'!$D:$D, 'Raw Data'!$B:$B, "Control", 'Raw Data'!$A:$A, $A8, 'Raw Data'!$C:$C, $C$3),""))</f>
        <v>0.2827</v>
      </c>
      <c r="AG8" s="102">
        <f>IF($A8="","",IFERROR(SUMPRODUCT(('Raw Data'!$B$2:$B$9999="Variant")*('Raw Data'!$A$2:$A$9999=$A8)*('Raw Data'!$C$2:$C$9999=$C$3)*'Raw Data'!$D$2:$D$9999*'Raw Data'!$N$2:$N$9999)/SUMIFS('Raw Data'!$D:$D, 'Raw Data'!$B:$B, "Variant", 'Raw Data'!$A:$A, $A8, 'Raw Data'!$C:$C, $C$3),""))</f>
        <v>0.2767</v>
      </c>
      <c r="AH8" s="100">
        <f t="shared" si="11"/>
        <v>-0.02122391227</v>
      </c>
      <c r="AI8" s="102">
        <f>IF($A8="","",IFERROR(SUMPRODUCT(('Raw Data'!$B$2:$B$9999="Control")*('Raw Data'!$A$2:$A$9999=$A8)*('Raw Data'!$C$2:$C$9999=$C$3)*'Raw Data'!$D$2:$D$9999*'Raw Data'!$O$2:$O$9999)/SUMIFS('Raw Data'!$D:$D, 'Raw Data'!$B:$B, "Control", 'Raw Data'!$A:$A, $A8, 'Raw Data'!$C:$C, $C$3),""))</f>
        <v>0.2001</v>
      </c>
      <c r="AJ8" s="102">
        <f>IF($A8="","",IFERROR(SUMPRODUCT(('Raw Data'!$B$2:$B$9999="Variant")*('Raw Data'!$A$2:$A$9999=$A8)*('Raw Data'!$C$2:$C$9999=$C$3)*'Raw Data'!$D$2:$D$9999*'Raw Data'!$O$2:$O$9999)/SUMIFS('Raw Data'!$D:$D, 'Raw Data'!$B:$B, "Variant", 'Raw Data'!$A:$A, $A8, 'Raw Data'!$C:$C, $C$3),""))</f>
        <v>0.1938</v>
      </c>
      <c r="AK8" s="100">
        <f t="shared" si="12"/>
        <v>-0.03148425787</v>
      </c>
      <c r="AL8" s="101">
        <f>IF($A8="","",IFERROR(SUMPRODUCT(('Raw Data'!$B$2:$B$9999="Control")*('Raw Data'!$A$2:$A$9999=$A8)*('Raw Data'!$C$2:$C$9999=$C$3)*'Raw Data'!$D$2:$D$9999*'Raw Data'!$P$2:$P$9999)/SUMIFS('Raw Data'!$D:$D, 'Raw Data'!$B:$B, "Control", 'Raw Data'!$A:$A, $A8, 'Raw Data'!$C:$C, $C$3),""))</f>
        <v>1.1739</v>
      </c>
      <c r="AM8" s="101">
        <f>IF($A8="","",IFERROR(SUMPRODUCT(('Raw Data'!$B$2:$B$9999="Variant")*('Raw Data'!$A$2:$A$9999=$A8)*('Raw Data'!$C$2:$C$9999=$C$3)*'Raw Data'!$D$2:$D$9999*'Raw Data'!$P$2:$P$9999)/SUMIFS('Raw Data'!$D:$D, 'Raw Data'!$B:$B, "Variant", 'Raw Data'!$A:$A, $A8, 'Raw Data'!$C:$C, $C$3),""))</f>
        <v>1.1759</v>
      </c>
      <c r="AN8" s="98">
        <f t="shared" si="13"/>
        <v>0.001703722634</v>
      </c>
      <c r="AO8" s="101">
        <f>IF($A8="","",IFERROR(SUMPRODUCT(('Raw Data'!$B$2:$B$9999="Control")*('Raw Data'!$A$2:$A$9999=$A8)*('Raw Data'!$C$2:$C$9999=$C$3)*'Raw Data'!$D$2:$D$9999*'Raw Data'!$Q$2:$Q$9999)/SUMIFS('Raw Data'!$D:$D, 'Raw Data'!$B:$B, "Control", 'Raw Data'!$A:$A, $A8, 'Raw Data'!$C:$C, $C$3),""))</f>
        <v>743.48</v>
      </c>
      <c r="AP8" s="101">
        <f>IF($A8="","",IFERROR(SUMPRODUCT(('Raw Data'!$B$2:$B$9999="Variant")*('Raw Data'!$A$2:$A$9999=$A8)*('Raw Data'!$C$2:$C$9999=$C$3)*'Raw Data'!$D$2:$D$9999*'Raw Data'!$Q$2:$Q$9999)/SUMIFS('Raw Data'!$D:$D, 'Raw Data'!$B:$B, "Variant", 'Raw Data'!$A:$A, $A8, 'Raw Data'!$C:$C, $C$3),""))</f>
        <v>689.55</v>
      </c>
      <c r="AQ8" s="95">
        <f t="shared" si="14"/>
        <v>-0.07253725722</v>
      </c>
      <c r="AR8" s="101">
        <f>IF($A8="","",IFERROR(SUMPRODUCT(('Raw Data'!$B$2:$B$9999="Control")*('Raw Data'!$A$2:$A$9999=$A8)*('Raw Data'!$C$2:$C$9999=$C$3)*'Raw Data'!$D$2:$D$9999*'Raw Data'!$R$2:$R$9999)/SUMIFS('Raw Data'!$D:$D, 'Raw Data'!$B:$B, "Control", 'Raw Data'!$A:$A, $A8, 'Raw Data'!$C:$C, $C$3),""))</f>
        <v>463.23</v>
      </c>
      <c r="AS8" s="101">
        <f>IF($A8="","",IFERROR(SUMPRODUCT(('Raw Data'!$B$2:$B$9999="Variant")*('Raw Data'!$A$2:$A$9999=$A8)*('Raw Data'!$C$2:$C$9999=$C$3)*'Raw Data'!$D$2:$D$9999*'Raw Data'!$R$2:$R$9999)/SUMIFS('Raw Data'!$D:$D, 'Raw Data'!$B:$B, "Variant", 'Raw Data'!$A:$A, $A8, 'Raw Data'!$C:$C, $C$3),""))</f>
        <v>581.08</v>
      </c>
      <c r="AT8" s="95">
        <f t="shared" si="15"/>
        <v>0.2544092567</v>
      </c>
      <c r="AU8" s="101">
        <f>IF($A8="","",IFERROR(SUMPRODUCT(('Raw Data'!$B$2:$B$9999="Control")*('Raw Data'!$A$2:$A$9999=$A8)*('Raw Data'!$C$2:$C$9999=$C$3)*'Raw Data'!$D$2:$D$9999*'Raw Data'!$S$2:$S$9999)/SUMIFS('Raw Data'!$D:$D, 'Raw Data'!$B:$B, "Control", 'Raw Data'!$A:$A, $A8, 'Raw Data'!$C:$C, $C$3),""))</f>
        <v>280.26</v>
      </c>
      <c r="AV8" s="101">
        <f>IF($A8="","",IFERROR(SUMPRODUCT(('Raw Data'!$B$2:$B$9999="Variant")*('Raw Data'!$A$2:$A$9999=$A8)*('Raw Data'!$C$2:$C$9999=$C$3)*'Raw Data'!$D$2:$D$9999*'Raw Data'!$S$2:$S$9999)/SUMIFS('Raw Data'!$D:$D, 'Raw Data'!$B:$B, "Variant", 'Raw Data'!$A:$A, $A8, 'Raw Data'!$C:$C, $C$3),""))</f>
        <v>108.47</v>
      </c>
      <c r="AW8" s="95">
        <f t="shared" si="16"/>
        <v>-0.6129665311</v>
      </c>
      <c r="AX8" s="101">
        <f>IF($A8="","",IFERROR(SUMPRODUCT(('Raw Data'!$B$2:$B$9999="Control")*('Raw Data'!$A$2:$A$9999=$A8)*('Raw Data'!$C$2:$C$9999=$C$3)*'Raw Data'!$D$2:$D$9999*'Raw Data'!$T$2:$T$9999)/SUMIFS('Raw Data'!$D:$D, 'Raw Data'!$B:$B, "Control", 'Raw Data'!$A:$A, $A8, 'Raw Data'!$C:$C, $C$3),""))</f>
        <v>285.4</v>
      </c>
      <c r="AY8" s="101">
        <f>IF($A8="","",IFERROR(SUMPRODUCT(('Raw Data'!$B$2:$B$9999="Variant")*('Raw Data'!$A$2:$A$9999=$A8)*('Raw Data'!$C$2:$C$9999=$C$3)*'Raw Data'!$D$2:$D$9999*'Raw Data'!$T$2:$T$9999)/SUMIFS('Raw Data'!$D:$D, 'Raw Data'!$B:$B, "Variant", 'Raw Data'!$A:$A, $A8, 'Raw Data'!$C:$C, $C$3),""))</f>
        <v>264.32</v>
      </c>
      <c r="AZ8" s="98">
        <f t="shared" si="17"/>
        <v>-0.07386124737</v>
      </c>
      <c r="BA8" s="101">
        <f>IF($A8="","",IFERROR(SUMPRODUCT(('Raw Data'!$B$2:$B$9999="Control")*('Raw Data'!$A$2:$A$9999=$A8)*('Raw Data'!$C$2:$C$9999=$C$3)*'Raw Data'!$D$2:$D$9999*'Raw Data'!$U$2:$U$9999)/SUMIFS('Raw Data'!$D:$D, 'Raw Data'!$B:$B, "Control", 'Raw Data'!$A:$A, $A8, 'Raw Data'!$C:$C, $C$3),""))</f>
        <v>458.09</v>
      </c>
      <c r="BB8" s="101">
        <f>IF($A8="","",IFERROR(SUMPRODUCT(('Raw Data'!$B$2:$B$9999="Variant")*('Raw Data'!$A$2:$A$9999=$A8)*('Raw Data'!$C$2:$C$9999=$C$3)*'Raw Data'!$D$2:$D$9999*'Raw Data'!$U$2:$U$9999)/SUMIFS('Raw Data'!$D:$D, 'Raw Data'!$B:$B, "Variant", 'Raw Data'!$A:$A, $A8, 'Raw Data'!$C:$C, $C$3),""))</f>
        <v>425.23</v>
      </c>
      <c r="BC8" s="95">
        <f t="shared" si="18"/>
        <v>-0.07173262896</v>
      </c>
      <c r="BD8" s="101">
        <f>IF($A8="","",IFERROR(SUMPRODUCT(('Raw Data'!$B$2:$B$9999="Control")*('Raw Data'!$A$2:$A$9999=$A8)*('Raw Data'!$C$2:$C$9999=$C$3)*'Raw Data'!$D$2:$D$9999*'Raw Data'!$V$2:$V$9999)/SUMIFS('Raw Data'!$D:$D, 'Raw Data'!$B:$B, "Control", 'Raw Data'!$A:$A, $A8, 'Raw Data'!$C:$C, $C$3),""))</f>
        <v>856.28</v>
      </c>
      <c r="BE8" s="101">
        <f>IF($A8="","",IFERROR(SUMPRODUCT(('Raw Data'!$B$2:$B$9999="Variant")*('Raw Data'!$A$2:$A$9999=$A8)*('Raw Data'!$C$2:$C$9999=$C$3)*'Raw Data'!$D$2:$D$9999*'Raw Data'!$V$2:$V$9999)/SUMIFS('Raw Data'!$D:$D, 'Raw Data'!$B:$B, "Variant", 'Raw Data'!$A:$A, $A8, 'Raw Data'!$C:$C, $C$3),""))</f>
        <v>834.57</v>
      </c>
      <c r="BF8" s="95">
        <f t="shared" si="19"/>
        <v>-0.02535385622</v>
      </c>
      <c r="BG8" s="101">
        <f>IF($A8="","",IFERROR(SUMPRODUCT(('Raw Data'!$B$2:$B$9999="Control")*('Raw Data'!$A$2:$A$9999=$A8)*('Raw Data'!$C$2:$C$9999=$C$3)*'Raw Data'!$D$2:$D$9999*('Raw Data'!$Q$2:$Q$9999-'Raw Data'!$V$2:$V$9999))/SUMIFS('Raw Data'!$D:$D, 'Raw Data'!$B:$B, "Control", 'Raw Data'!$A:$A, $A8, 'Raw Data'!$C:$C, $C$3),""))</f>
        <v>-112.8</v>
      </c>
      <c r="BH8" s="101">
        <f>IF($A8="","",IFERROR(SUMPRODUCT(('Raw Data'!$B$2:$B$9999="Variant")*('Raw Data'!$A$2:$A$9999=$A8)*('Raw Data'!$C$2:$C$9999=$C$3)*'Raw Data'!$D$2:$D$9999*('Raw Data'!$Q$2:$Q$9999-'Raw Data'!$V$2:$V$9999))/SUMIFS('Raw Data'!$D:$D, 'Raw Data'!$B:$B, "Variant", 'Raw Data'!$A:$A, $A8, 'Raw Data'!$C:$C, $C$3),""))</f>
        <v>-145.02</v>
      </c>
      <c r="BI8" s="95">
        <f t="shared" si="20"/>
        <v>-0.2856382979</v>
      </c>
      <c r="BJ8" s="101">
        <f>IF($A8="","",IFERROR(SUMPRODUCT(('Raw Data'!$B$2:$B$9999="Control")*('Raw Data'!$A$2:$A$9999=$A8)*('Raw Data'!$C$2:$C$9999=$C$3)*'Raw Data'!$D$2:$D$9999*'Raw Data'!$W$2:$W$9999)/SUMIFS('Raw Data'!$D:$D, 'Raw Data'!$B:$B, "Control", 'Raw Data'!$A:$A, $A8, 'Raw Data'!$C:$C, $C$3),""))</f>
        <v>5.5349</v>
      </c>
      <c r="BK8" s="101">
        <f>IF($A8="","",IFERROR(SUMPRODUCT(('Raw Data'!$B$2:$B$9999="Variant")*('Raw Data'!$A$2:$A$9999=$A8)*('Raw Data'!$C$2:$C$9999=$C$3)*'Raw Data'!$D$2:$D$9999*'Raw Data'!$W$2:$W$9999)/SUMIFS('Raw Data'!$D:$D, 'Raw Data'!$B:$B, "Variant", 'Raw Data'!$A:$A, $A8, 'Raw Data'!$C:$C, $C$3),""))</f>
        <v>5.2065</v>
      </c>
      <c r="BL8" s="95">
        <f t="shared" si="21"/>
        <v>-0.0593325986</v>
      </c>
      <c r="BM8" s="102">
        <f>IF($A8="","",IFERROR(SUMPRODUCT(('Raw Data'!$B$2:$B$9999="Control")*('Raw Data'!$A$2:$A$9999=$A8)*('Raw Data'!$C$2:$C$9999=$C$3)*'Raw Data'!$D$2:$D$9999*'Raw Data'!$X$2:$X$9999)/SUMIFS('Raw Data'!$D:$D, 'Raw Data'!$B:$B, "Control", 'Raw Data'!$A:$A, $A8, 'Raw Data'!$C:$C, $C$3),""))</f>
        <v>38.39</v>
      </c>
      <c r="BN8" s="102">
        <f>IF($A8="","",IFERROR(SUMPRODUCT(('Raw Data'!$B$2:$B$9999="Variant")*('Raw Data'!$A$2:$A$9999=$A8)*('Raw Data'!$C$2:$C$9999=$C$3)*'Raw Data'!$D$2:$D$9999*'Raw Data'!$X$2:$X$9999)/SUMIFS('Raw Data'!$D:$D, 'Raw Data'!$B:$B, "Variant", 'Raw Data'!$A:$A, $A8, 'Raw Data'!$C:$C, $C$3),""))</f>
        <v>38.33</v>
      </c>
      <c r="BO8" s="98">
        <f t="shared" si="22"/>
        <v>-0.001562907007</v>
      </c>
      <c r="BP8" s="94">
        <f>IF($A8="","",IFERROR(SUMPRODUCT(('Raw Data'!$B$2:$B$9999="Control")*('Raw Data'!$A$2:$A$9999=$A8)*('Raw Data'!$C$2:$C$9999=$C$3)*'Raw Data'!$D$2:$D$9999*'Raw Data'!$Y$2:$Y$9999)/SUMIFS('Raw Data'!$D:$D, 'Raw Data'!$B:$B, "Control", 'Raw Data'!$A:$A, $A8, 'Raw Data'!$C:$C, $C$3),""))</f>
        <v>465</v>
      </c>
      <c r="BQ8" s="94">
        <f>IF($A8="","",IFERROR(SUMPRODUCT(('Raw Data'!$B$2:$B$9999="Variant")*('Raw Data'!$A$2:$A$9999=$A8)*('Raw Data'!$C$2:$C$9999=$C$3)*'Raw Data'!$D$2:$D$9999*'Raw Data'!$Y$2:$Y$9999)/SUMIFS('Raw Data'!$D:$D, 'Raw Data'!$B:$B, "Variant", 'Raw Data'!$A:$A, $A8, 'Raw Data'!$C:$C, $C$3),""))</f>
        <v>309</v>
      </c>
      <c r="BR8" s="95">
        <f t="shared" si="23"/>
        <v>-0.335483871</v>
      </c>
      <c r="BS8" s="94">
        <f>IF($A8="","",IFERROR(SUMPRODUCT(('Raw Data'!$B$2:$B$9999="Control")*('Raw Data'!$A$2:$A$9999=$A8)*('Raw Data'!$C$2:$C$9999=$C$3)*'Raw Data'!$D$2:$D$9999*'Raw Data'!$Z$2:$Z$9999)/SUMIFS('Raw Data'!$D:$D, 'Raw Data'!$B:$B, "Control", 'Raw Data'!$A:$A, $A8, 'Raw Data'!$C:$C, $C$3),""))</f>
        <v>3487</v>
      </c>
      <c r="BT8" s="94">
        <f>IF($A8="","",IFERROR(SUMPRODUCT(('Raw Data'!$B$2:$B$9999="Variant")*('Raw Data'!$A$2:$A$9999=$A8)*('Raw Data'!$C$2:$C$9999=$C$3)*'Raw Data'!$D$2:$D$9999*'Raw Data'!$Z$2:$Z$9999)/SUMIFS('Raw Data'!$D:$D, 'Raw Data'!$B:$B, "Variant", 'Raw Data'!$A:$A, $A8, 'Raw Data'!$C:$C, $C$3),""))</f>
        <v>2827</v>
      </c>
      <c r="BU8" s="95">
        <f t="shared" si="24"/>
        <v>-0.1892744479</v>
      </c>
      <c r="BV8" s="94">
        <f>IF($A8="","",IFERROR(SUMPRODUCT(('Raw Data'!$B$2:$B$9999="Control")*('Raw Data'!$A$2:$A$9999=$A8)*('Raw Data'!$C$2:$C$9999=$C$3)*'Raw Data'!$D$2:$D$9999*'Raw Data'!$AA$2:$AA$9999)/SUMIFS('Raw Data'!$D:$D, 'Raw Data'!$B:$B, "Control", 'Raw Data'!$A:$A, $A8, 'Raw Data'!$C:$C, $C$3),""))</f>
        <v>11206</v>
      </c>
      <c r="BW8" s="94">
        <f>IF($A8="","",IFERROR(SUMPRODUCT(('Raw Data'!$B$2:$B$9999="Variant")*('Raw Data'!$A$2:$A$9999=$A8)*('Raw Data'!$C$2:$C$9999=$C$3)*'Raw Data'!$D$2:$D$9999*'Raw Data'!$AA$2:$AA$9999)/SUMIFS('Raw Data'!$D:$D, 'Raw Data'!$B:$B, "Variant", 'Raw Data'!$A:$A, $A8, 'Raw Data'!$C:$C, $C$3),""))</f>
        <v>9544</v>
      </c>
      <c r="BX8" s="95">
        <f t="shared" si="25"/>
        <v>-0.1483134035</v>
      </c>
      <c r="BY8" s="101">
        <f>IF($A8="","",IFERROR(SUMPRODUCT(('Raw Data'!$B$2:$B$9999="Control")*('Raw Data'!$A$2:$A$9999=$A8)*('Raw Data'!$C$2:$C$9999=$C$3)*'Raw Data'!$D$2:$D$9999*'Raw Data'!$AB$2:$AB$9999)/SUMIFS('Raw Data'!$D:$D, 'Raw Data'!$B:$B, "Control", 'Raw Data'!$A:$A, $A8, 'Raw Data'!$C:$C, $C$3),""))</f>
        <v>63.4554</v>
      </c>
      <c r="BZ8" s="101">
        <f>IF($A8="","",IFERROR(SUMPRODUCT(('Raw Data'!$B$2:$B$9999="Variant")*('Raw Data'!$A$2:$A$9999=$A8)*('Raw Data'!$C$2:$C$9999=$C$3)*'Raw Data'!$D$2:$D$9999*'Raw Data'!$AB$2:$AB$9999)/SUMIFS('Raw Data'!$D:$D, 'Raw Data'!$B:$B, "Variant", 'Raw Data'!$A:$A, $A8, 'Raw Data'!$C:$C, $C$3),""))</f>
        <v>63.304</v>
      </c>
      <c r="CA8" s="98">
        <f t="shared" si="26"/>
        <v>-0.002385927754</v>
      </c>
      <c r="CB8" s="101">
        <f>IF($A8="","",IFERROR(SUMPRODUCT(('Raw Data'!$B$2:$B$9999="Control")*('Raw Data'!$A$2:$A$9999=$A8)*('Raw Data'!$C$2:$C$9999=$C$3)*'Raw Data'!$D$2:$D$9999*'Raw Data'!$AC$2:$AC$9999)/SUMIFS('Raw Data'!$D:$D, 'Raw Data'!$B:$B, "Control", 'Raw Data'!$A:$A, $A8, 'Raw Data'!$C:$C, $C$3),""))</f>
        <v>0.8976</v>
      </c>
      <c r="CC8" s="101">
        <f>IF($A8="","",IFERROR(SUMPRODUCT(('Raw Data'!$B$2:$B$9999="Variant")*('Raw Data'!$A$2:$A$9999=$A8)*('Raw Data'!$C$2:$C$9999=$C$3)*'Raw Data'!$D$2:$D$9999*'Raw Data'!$AC$2:$AC$9999)/SUMIFS('Raw Data'!$D:$D, 'Raw Data'!$B:$B, "Variant", 'Raw Data'!$A:$A, $A8, 'Raw Data'!$C:$C, $C$3),""))</f>
        <v>0.878</v>
      </c>
      <c r="CD8" s="98">
        <f t="shared" si="27"/>
        <v>-0.02183600713</v>
      </c>
      <c r="CE8" s="101">
        <f>IF($A8="","",IFERROR(SUMPRODUCT(('Raw Data'!$B$2:$B$9999="Control")*('Raw Data'!$A$2:$A$9999=$A8)*('Raw Data'!$C$2:$C$9999=$C$3)*'Raw Data'!$D$2:$D$9999*'Raw Data'!$AD$2:$AD$9999)/SUMIFS('Raw Data'!$D:$D, 'Raw Data'!$B:$B, "Control", 'Raw Data'!$A:$A, $A8, 'Raw Data'!$C:$C, $C$3),""))</f>
        <v>91.63</v>
      </c>
      <c r="CF8" s="101">
        <f>IF($A8="","",IFERROR(SUMPRODUCT(('Raw Data'!$B$2:$B$9999="Variant")*('Raw Data'!$A$2:$A$9999=$A8)*('Raw Data'!$C$2:$C$9999=$C$3)*'Raw Data'!$D$2:$D$9999*'Raw Data'!$AD$2:$AD$9999)/SUMIFS('Raw Data'!$D:$D, 'Raw Data'!$B:$B, "Variant", 'Raw Data'!$A:$A, $A8, 'Raw Data'!$C:$C, $C$3),""))</f>
        <v>95</v>
      </c>
      <c r="CG8" s="100">
        <f t="shared" si="28"/>
        <v>0.0367783477</v>
      </c>
      <c r="CH8" s="101">
        <f>IF($A8="","",IFERROR(SUMPRODUCT(('Raw Data'!$B$2:$B$9999="Control")*('Raw Data'!$A$2:$A$9999=$A8)*('Raw Data'!$C$2:$C$9999=$C$3)*'Raw Data'!$D$2:$D$9999*'Raw Data'!$AE$2:$AE$9999)/SUMIFS('Raw Data'!$D:$D, 'Raw Data'!$B:$B, "Control", 'Raw Data'!$A:$A, $A8, 'Raw Data'!$C:$C, $C$3),""))</f>
        <v>36</v>
      </c>
      <c r="CI8" s="101">
        <f>IF($A8="","",IFERROR(SUMPRODUCT(('Raw Data'!$B$2:$B$9999="Variant")*('Raw Data'!$A$2:$A$9999=$A8)*('Raw Data'!$C$2:$C$9999=$C$3)*'Raw Data'!$D$2:$D$9999*'Raw Data'!$AE$2:$AE$9999)/SUMIFS('Raw Data'!$D:$D, 'Raw Data'!$B:$B, "Variant", 'Raw Data'!$A:$A, $A8, 'Raw Data'!$C:$C, $C$3),""))</f>
        <v>39</v>
      </c>
      <c r="CJ8" s="100">
        <f t="shared" si="29"/>
        <v>0.08333333333</v>
      </c>
      <c r="CK8" s="101">
        <f>IF($A8="","",IFERROR(SUMPRODUCT(('Raw Data'!$B$2:$B$9999="Control")*('Raw Data'!$A$2:$A$9999=$A8)*('Raw Data'!$C$2:$C$9999=$C$3)*'Raw Data'!$D$2:$D$9999*'Raw Data'!$AF$2:$AF$9999)/SUMIFS('Raw Data'!$D:$D, 'Raw Data'!$B:$B, "Control", 'Raw Data'!$A:$A, $A8, 'Raw Data'!$C:$C, $C$3),""))</f>
        <v>78</v>
      </c>
      <c r="CL8" s="101">
        <f>IF($A8="","",IFERROR(SUMPRODUCT(('Raw Data'!$B$2:$B$9999="Variant")*('Raw Data'!$A$2:$A$9999=$A8)*('Raw Data'!$C$2:$C$9999=$C$3)*'Raw Data'!$D$2:$D$9999*'Raw Data'!$AF$2:$AF$9999)/SUMIFS('Raw Data'!$D:$D, 'Raw Data'!$B:$B, "Variant", 'Raw Data'!$A:$A, $A8, 'Raw Data'!$C:$C, $C$3),""))</f>
        <v>82</v>
      </c>
      <c r="CM8" s="100">
        <f t="shared" si="30"/>
        <v>0.05128205128</v>
      </c>
      <c r="CN8" s="101">
        <f>IF($A8="","",IFERROR(SUMPRODUCT(('Raw Data'!$B$2:$B$9999="Control")*('Raw Data'!$A$2:$A$9999=$A8)*('Raw Data'!$C$2:$C$9999=$C$3)*'Raw Data'!$D$2:$D$9999*'Raw Data'!$AG$2:$AG$9999)/SUMIFS('Raw Data'!$D:$D, 'Raw Data'!$B:$B, "Control", 'Raw Data'!$A:$A, $A8, 'Raw Data'!$C:$C, $C$3),""))</f>
        <v>130</v>
      </c>
      <c r="CO8" s="101">
        <f>IF($A8="","",IFERROR(SUMPRODUCT(('Raw Data'!$B$2:$B$9999="Variant")*('Raw Data'!$A$2:$A$9999=$A8)*('Raw Data'!$C$2:$C$9999=$C$3)*'Raw Data'!$D$2:$D$9999*'Raw Data'!$AG$2:$AG$9999)/SUMIFS('Raw Data'!$D:$D, 'Raw Data'!$B:$B, "Variant", 'Raw Data'!$A:$A, $A8, 'Raw Data'!$C:$C, $C$3),""))</f>
        <v>137</v>
      </c>
      <c r="CP8" s="100">
        <f t="shared" si="31"/>
        <v>0.05384615385</v>
      </c>
      <c r="CQ8" s="101">
        <f>IF($A8="","",IFERROR(SUMPRODUCT(('Raw Data'!$B$2:$B$9999="Control")*('Raw Data'!$A$2:$A$9999=$A8)*('Raw Data'!$C$2:$C$9999=$C$3)*'Raw Data'!$D$2:$D$9999*'Raw Data'!$AH$2:$AH$9999)/SUMIFS('Raw Data'!$D:$D, 'Raw Data'!$B:$B, "Control", 'Raw Data'!$A:$A, $A8, 'Raw Data'!$C:$C, $C$3),""))</f>
        <v>190</v>
      </c>
      <c r="CR8" s="101">
        <f>IF($A8="","",IFERROR(SUMPRODUCT(('Raw Data'!$B$2:$B$9999="Variant")*('Raw Data'!$A$2:$A$9999=$A8)*('Raw Data'!$C$2:$C$9999=$C$3)*'Raw Data'!$D$2:$D$9999*'Raw Data'!$AH$2:$AH$9999)/SUMIFS('Raw Data'!$D:$D, 'Raw Data'!$B:$B, "Variant", 'Raw Data'!$A:$A, $A8, 'Raw Data'!$C:$C, $C$3),""))</f>
        <v>190</v>
      </c>
      <c r="CS8" s="100">
        <f t="shared" si="32"/>
        <v>0</v>
      </c>
      <c r="CT8" s="96">
        <f>IF($A8="","",IFERROR(SUMPRODUCT(('Raw Data'!$B$2:$B$9999="Control")*('Raw Data'!$A$2:$A$9999=$A8)*('Raw Data'!$C$2:$C$9999=$C$3)*'Raw Data'!$D$2:$D$9999*'Raw Data'!$AI$2:$AI$9999)/SUMIFS('Raw Data'!$D:$D, 'Raw Data'!$B:$B, "Control", 'Raw Data'!$A:$A, $A8, 'Raw Data'!$C:$C, $C$3),""))</f>
        <v>49.07</v>
      </c>
      <c r="CU8" s="96">
        <f>IF($A8="","",IFERROR(SUMPRODUCT(('Raw Data'!$B$2:$B$9999="Variant")*('Raw Data'!$A$2:$A$9999=$A8)*('Raw Data'!$C$2:$C$9999=$C$3)*'Raw Data'!$D$2:$D$9999*'Raw Data'!$AI$2:$AI$9999)/SUMIFS('Raw Data'!$D:$D, 'Raw Data'!$B:$B, "Variant", 'Raw Data'!$A:$A, $A8, 'Raw Data'!$C:$C, $C$3),""))</f>
        <v>51.51</v>
      </c>
      <c r="CV8" s="100">
        <f t="shared" si="33"/>
        <v>0.04972488282</v>
      </c>
      <c r="CW8" s="96">
        <f>IF($A8="","",IFERROR(SUMPRODUCT(('Raw Data'!$B$2:$B$9999="Control")*('Raw Data'!$A$2:$A$9999=$A8)*('Raw Data'!$C$2:$C$9999=$C$3)*'Raw Data'!$D$2:$D$9999*'Raw Data'!$AJ$2:$AJ$9999)/SUMIFS('Raw Data'!$D:$D, 'Raw Data'!$B:$B, "Control", 'Raw Data'!$A:$A, $A8, 'Raw Data'!$C:$C, $C$3),""))</f>
        <v>11.86</v>
      </c>
      <c r="CX8" s="96">
        <f>IF($A8="","",IFERROR(SUMPRODUCT(('Raw Data'!$B$2:$B$9999="Variant")*('Raw Data'!$A$2:$A$9999=$A8)*('Raw Data'!$C$2:$C$9999=$C$3)*'Raw Data'!$D$2:$D$9999*'Raw Data'!$AJ$2:$AJ$9999)/SUMIFS('Raw Data'!$D:$D, 'Raw Data'!$B:$B, "Variant", 'Raw Data'!$A:$A, $A8, 'Raw Data'!$C:$C, $C$3),""))</f>
        <v>13.46</v>
      </c>
      <c r="CY8" s="100">
        <f t="shared" si="34"/>
        <v>0.1349072513</v>
      </c>
      <c r="CZ8" s="96">
        <f>IF($A8="","",IFERROR(SUMPRODUCT(('Raw Data'!$B$2:$B$9999="Control")*('Raw Data'!$A$2:$A$9999=$A8)*('Raw Data'!$C$2:$C$9999=$C$3)*'Raw Data'!$D$2:$D$9999*'Raw Data'!$AK$2:$AK$9999)/SUMIFS('Raw Data'!$D:$D, 'Raw Data'!$B:$B, "Control", 'Raw Data'!$A:$A, $A8, 'Raw Data'!$C:$C, $C$3),""))</f>
        <v>1.4</v>
      </c>
      <c r="DA8" s="96">
        <f>IF($A8="","",IFERROR(SUMPRODUCT(('Raw Data'!$B$2:$B$9999="Variant")*('Raw Data'!$A$2:$A$9999=$A8)*('Raw Data'!$C$2:$C$9999=$C$3)*'Raw Data'!$D$2:$D$9999*'Raw Data'!$AK$2:$AK$9999)/SUMIFS('Raw Data'!$D:$D, 'Raw Data'!$B:$B, "Variant", 'Raw Data'!$A:$A, $A8, 'Raw Data'!$C:$C, $C$3),""))</f>
        <v>2.09</v>
      </c>
      <c r="DB8" s="100">
        <f t="shared" si="35"/>
        <v>0.4928571429</v>
      </c>
      <c r="DC8" s="102">
        <f>IF($A8="","",IFERROR(SUMPRODUCT(('Raw Data'!$B$2:$B$9999="Control")*('Raw Data'!$A$2:$A$9999=$A8)*('Raw Data'!$C$2:$C$9999=$C$3)*'Raw Data'!$D$2:$D$9999*'Raw Data'!$AL$2:$AL$9999)/SUMIFS('Raw Data'!$D:$D, 'Raw Data'!$B:$B, "Control", 'Raw Data'!$A:$A, $A8, 'Raw Data'!$C:$C, $C$3),""))</f>
        <v>0.0907</v>
      </c>
      <c r="DD8" s="102">
        <f>IF($A8="","",IFERROR(SUMPRODUCT(('Raw Data'!$B$2:$B$9999="Variant")*('Raw Data'!$A$2:$A$9999=$A8)*('Raw Data'!$C$2:$C$9999=$C$3)*'Raw Data'!$D$2:$D$9999*'Raw Data'!$AL$2:$AL$9999)/SUMIFS('Raw Data'!$D:$D, 'Raw Data'!$B:$B, "Variant", 'Raw Data'!$A:$A, $A8, 'Raw Data'!$C:$C, $C$3),""))</f>
        <v>0.0928</v>
      </c>
      <c r="DE8" s="98">
        <f t="shared" si="36"/>
        <v>0.02315325248</v>
      </c>
      <c r="DF8" s="103"/>
      <c r="DG8" s="96">
        <f>IF($A8="","",IFERROR(SUMPRODUCT(('Raw Data'!$B$2:$B$9999="Variant")*('Raw Data'!$A$2:$A$9999=$A8)*('Raw Data'!$C$2:$C$9999=$C$3)*'Raw Data'!$D$2:$D$9999*'Raw Data'!$AM$2:$AM$9999)/SUMIFS('Raw Data'!$D:$D, 'Raw Data'!$B:$B, "Variant", 'Raw Data'!$A:$A, $A8, 'Raw Data'!$C:$C, $C$3),""))</f>
        <v>68.68</v>
      </c>
      <c r="DH8" s="104"/>
      <c r="DI8" s="103"/>
      <c r="DJ8" s="96">
        <f>IF($A8="","",IFERROR(SUMPRODUCT(('Raw Data'!$B$2:$B$9999="Variant")*('Raw Data'!$A$2:$A$9999=$A8)*('Raw Data'!$C$2:$C$9999=$C$3)*'Raw Data'!$D$2:$D$9999*'Raw Data'!$AN$2:$AN$9999)/SUMIFS('Raw Data'!$D:$D, 'Raw Data'!$B:$B, "Variant", 'Raw Data'!$A:$A, $A8, 'Raw Data'!$C:$C, $C$3),""))</f>
        <v>68.68</v>
      </c>
      <c r="DK8" s="104"/>
      <c r="DL8" s="103"/>
      <c r="DM8" s="96">
        <f>IF($A8="","",IFERROR(SUMPRODUCT(('Raw Data'!$B$2:$B$9999="Variant")*('Raw Data'!$A$2:$A$9999=$A8)*('Raw Data'!$C$2:$C$9999=$C$3)*'Raw Data'!$D$2:$D$9999*'Raw Data'!$AO$2:$AO$9999)/SUMIFS('Raw Data'!$D:$D, 'Raw Data'!$B:$B, "Variant", 'Raw Data'!$A:$A, $A8, 'Raw Data'!$C:$C, $C$3),""))</f>
        <v>44.32</v>
      </c>
      <c r="DN8" s="104"/>
      <c r="DO8" s="103"/>
      <c r="DP8" s="96">
        <f>IF($A8="","",IFERROR(SUMPRODUCT(('Raw Data'!$B$2:$B$9999="Variant")*('Raw Data'!$A$2:$A$9999=$A8)*('Raw Data'!$C$2:$C$9999=$C$3)*'Raw Data'!$D$2:$D$9999*'Raw Data'!$AP$2:$AP$9999)/SUMIFS('Raw Data'!$D:$D, 'Raw Data'!$B:$B, "Variant", 'Raw Data'!$A:$A, $A8, 'Raw Data'!$C:$C, $C$3),""))</f>
        <v>29.93</v>
      </c>
      <c r="DQ8" s="104"/>
      <c r="DR8" s="102">
        <f>IF($A8="","",IFERROR(SUMPRODUCT(('Raw Data'!$B$2:$B$9999="Control")*('Raw Data'!$A$2:$A$9999=$A8)*('Raw Data'!$C$2:$C$9999=$C$3)*'Raw Data'!$D$2:$D$9999*'Raw Data'!$AQ$2:$AQ$9999)/SUMIFS('Raw Data'!$D:$D, 'Raw Data'!$B:$B, "Control", 'Raw Data'!$A:$A, $A8, 'Raw Data'!$C:$C, $C$3),""))</f>
        <v>32.7279</v>
      </c>
      <c r="DS8" s="102">
        <f>IF($A8="","",IFERROR(SUMPRODUCT(('Raw Data'!$B$2:$B$9999="Variant")*('Raw Data'!$A$2:$A$9999=$A8)*('Raw Data'!$C$2:$C$9999=$C$3)*'Raw Data'!$D$2:$D$9999*'Raw Data'!$AQ$2:$AQ$9999)/SUMIFS('Raw Data'!$D:$D, 'Raw Data'!$B:$B, "Variant", 'Raw Data'!$A:$A, $A8, 'Raw Data'!$C:$C, $C$3),""))</f>
        <v>33.6729</v>
      </c>
      <c r="DT8" s="105">
        <f t="shared" si="37"/>
        <v>0.02887444657</v>
      </c>
      <c r="DU8" s="102">
        <f>IF($A8="","",IFERROR(SUMPRODUCT(('Raw Data'!$B$2:$B$9999="Control")*('Raw Data'!$A$2:$A$9999=$A8)*('Raw Data'!$C$2:$C$9999=$C$3)*'Raw Data'!$D$2:$D$9999*'Raw Data'!$AR$2:$AR$9999)/SUMIFS('Raw Data'!$D:$D, 'Raw Data'!$B:$B, "Control", 'Raw Data'!$A:$A, $A8, 'Raw Data'!$C:$C, $C$3),""))</f>
        <v>4.7349</v>
      </c>
      <c r="DV8" s="102">
        <f>IF($A8="","",IFERROR(SUMPRODUCT(('Raw Data'!$B$2:$B$9999="Variant")*('Raw Data'!$A$2:$A$9999=$A8)*('Raw Data'!$C$2:$C$9999=$C$3)*'Raw Data'!$D$2:$D$9999*'Raw Data'!$AR$2:$AR$9999)/SUMIFS('Raw Data'!$D:$D, 'Raw Data'!$B:$B, "Variant", 'Raw Data'!$A:$A, $A8, 'Raw Data'!$C:$C, $C$3),""))</f>
        <v>3.7935</v>
      </c>
      <c r="DW8" s="106">
        <f t="shared" si="38"/>
        <v>-0.1988215168</v>
      </c>
      <c r="DX8" s="102">
        <f>IF($A8="","",IFERROR(SUMPRODUCT(('Raw Data'!$B$2:$B$9999="Control")*('Raw Data'!$A$2:$A$9999=$A8)*('Raw Data'!$C$2:$C$9999=$C$3)*'Raw Data'!$D$2:$D$9999*'Raw Data'!$AS$2:$AS$9999)/SUMIFS('Raw Data'!$D:$D, 'Raw Data'!$B:$B, "Control", 'Raw Data'!$A:$A, $A8, 'Raw Data'!$C:$C, $C$3),""))</f>
        <v>27.993</v>
      </c>
      <c r="DY8" s="102">
        <f>IF($A8="","",IFERROR(SUMPRODUCT(('Raw Data'!$B$2:$B$9999="Variant")*('Raw Data'!$A$2:$A$9999=$A8)*('Raw Data'!$C$2:$C$9999=$C$3)*'Raw Data'!$D$2:$D$9999*'Raw Data'!$AS$2:$AS$9999)/SUMIFS('Raw Data'!$D:$D, 'Raw Data'!$B:$B, "Variant", 'Raw Data'!$A:$A, $A8, 'Raw Data'!$C:$C, $C$3),""))</f>
        <v>29.8794</v>
      </c>
      <c r="DZ8" s="106">
        <f t="shared" si="39"/>
        <v>0.06738827564</v>
      </c>
      <c r="EA8" s="102">
        <f>IF($A8="","",IFERROR(SUMPRODUCT(('Raw Data'!$B$2:$B$9999="Control")*('Raw Data'!$A$2:$A$9999=$A8)*('Raw Data'!$C$2:$C$9999=$C$3)*'Raw Data'!$D$2:$D$9999*'Raw Data'!$AT$2:$AT$9999)/SUMIFS('Raw Data'!$D:$D, 'Raw Data'!$B:$B, "Control", 'Raw Data'!$A:$A, $A8, 'Raw Data'!$C:$C, $C$3),""))</f>
        <v>36.3884</v>
      </c>
      <c r="EB8" s="102">
        <f>IF($A8="","",IFERROR(SUMPRODUCT(('Raw Data'!$B$2:$B$9999="Variant")*('Raw Data'!$A$2:$A$9999=$A8)*('Raw Data'!$C$2:$C$9999=$C$3)*'Raw Data'!$D$2:$D$9999*'Raw Data'!$AT$2:$AT$9999)/SUMIFS('Raw Data'!$D:$D, 'Raw Data'!$B:$B, "Variant", 'Raw Data'!$A:$A, $A8, 'Raw Data'!$C:$C, $C$3),""))</f>
        <v>39.4919</v>
      </c>
      <c r="EC8" s="105">
        <f t="shared" si="40"/>
        <v>0.08528816876</v>
      </c>
      <c r="ED8" s="102">
        <f>IF($A8="","",IFERROR(SUMPRODUCT(('Raw Data'!$B$2:$B$9999="Control")*('Raw Data'!$A$2:$A$9999=$A8)*('Raw Data'!$C$2:$C$9999=$C$3)*'Raw Data'!$D$2:$D$9999*('Raw Data'!$AQ$2:$AQ$9999-'Raw Data'!$AT$2:$AT$9999))/SUMIFS('Raw Data'!$D:$D, 'Raw Data'!$B:$B, "Control", 'Raw Data'!$A:$A, $A8, 'Raw Data'!$C:$C, $C$3),""))</f>
        <v>-3.6605</v>
      </c>
      <c r="EE8" s="102">
        <f>IF($A8="","",IFERROR(SUMPRODUCT(('Raw Data'!$B$2:$B$9999="Variant")*('Raw Data'!$A$2:$A$9999=$A8)*('Raw Data'!$C$2:$C$9999=$C$3)*'Raw Data'!$D$2:$D$9999*('Raw Data'!$AQ$2:$AQ$9999-'Raw Data'!$AT$2:$AT$9999))/SUMIFS('Raw Data'!$D:$D, 'Raw Data'!$B:$B, "Variant", 'Raw Data'!$A:$A, $A8, 'Raw Data'!$C:$C, $C$3),""))</f>
        <v>-5.819</v>
      </c>
      <c r="EF8" s="105">
        <f t="shared" si="41"/>
        <v>-0.5896735419</v>
      </c>
      <c r="EG8" s="102">
        <f>IF($A8="","",IFERROR(SUMPRODUCT(('Raw Data'!$B$2:$B$9999="Control")*('Raw Data'!$A$2:$A$9999=$A8)*('Raw Data'!$C$2:$C$9999=$C$3)*'Raw Data'!$D$2:$D$9999*'Raw Data'!$AU$2:$AU$9999)/SUMIFS('Raw Data'!$D:$D, 'Raw Data'!$B:$B, "Control", 'Raw Data'!$A:$A, $A8, 'Raw Data'!$C:$C, $C$3),""))</f>
        <v>0.2352</v>
      </c>
      <c r="EH8" s="102">
        <f>IF($A8="","",IFERROR(SUMPRODUCT(('Raw Data'!$B$2:$B$9999="Variant")*('Raw Data'!$A$2:$A$9999=$A8)*('Raw Data'!$C$2:$C$9999=$C$3)*'Raw Data'!$D$2:$D$9999*'Raw Data'!$AU$2:$AU$9999)/SUMIFS('Raw Data'!$D:$D, 'Raw Data'!$B:$B, "Variant", 'Raw Data'!$A:$A, $A8, 'Raw Data'!$C:$C, $C$3),""))</f>
        <v>0.2464</v>
      </c>
      <c r="EI8" s="105">
        <f t="shared" si="42"/>
        <v>0.04761904762</v>
      </c>
    </row>
    <row r="9">
      <c r="A9" s="93">
        <v>46177.0</v>
      </c>
      <c r="B9" s="94">
        <f>IF($A9="","",SUMIFS('Raw Data'!$D:$D, 'Raw Data'!$B:$B, "Control", 'Raw Data'!$A:$A, $A9, 'Raw Data'!$C:$C, $C$3))</f>
        <v>442</v>
      </c>
      <c r="C9" s="94">
        <f>IF($A9="","",SUMIFS('Raw Data'!$D:$D, 'Raw Data'!$B:$B, "Variant", 'Raw Data'!$A:$A, $A9, 'Raw Data'!$C:$C, $C$3))</f>
        <v>495</v>
      </c>
      <c r="D9" s="95">
        <f t="shared" si="1"/>
        <v>0.1199095023</v>
      </c>
      <c r="E9" s="96">
        <f>IF($A9="","",IFERROR(SUMPRODUCT(('Raw Data'!$B$2:$B$9999="Control")*('Raw Data'!$A$2:$A$9999=$A9)*('Raw Data'!$C$2:$C$9999=$C$3)*'Raw Data'!$D$2:$D$9999*'Raw Data'!$E$2:$E$9999)/SUMIFS('Raw Data'!$D:$D, 'Raw Data'!$B:$B, "Control", 'Raw Data'!$A:$A, $A9, 'Raw Data'!$C:$C, $C$3),""))</f>
        <v>0.53</v>
      </c>
      <c r="F9" s="96">
        <f>IF($A9="","",IFERROR(SUMPRODUCT(('Raw Data'!$B$2:$B$9999="Variant")*('Raw Data'!$A$2:$A$9999=$A9)*('Raw Data'!$C$2:$C$9999=$C$3)*'Raw Data'!$D$2:$D$9999*'Raw Data'!$E$2:$E$9999)/SUMIFS('Raw Data'!$D:$D, 'Raw Data'!$B:$B, "Variant", 'Raw Data'!$A:$A, $A9, 'Raw Data'!$C:$C, $C$3),""))</f>
        <v>0.59</v>
      </c>
      <c r="G9" s="95">
        <f t="shared" si="2"/>
        <v>0.1132075472</v>
      </c>
      <c r="H9" s="97">
        <f>IF($A9="","",SUMIFS('Raw Data'!$F:$F, 'Raw Data'!$B:$B, "Control", 'Raw Data'!$A:$A, $A9, 'Raw Data'!$C:$C, $C$3))</f>
        <v>885.79</v>
      </c>
      <c r="I9" s="97">
        <f>IF($A9="","",SUMIFS('Raw Data'!$F:$F, 'Raw Data'!$B:$B, "Variant", 'Raw Data'!$A:$A, $A9, 'Raw Data'!$C:$C, $C$3))</f>
        <v>1681.47</v>
      </c>
      <c r="J9" s="100">
        <f t="shared" si="3"/>
        <v>0.8982715994</v>
      </c>
      <c r="K9" s="99">
        <f>IF($A9="","",IFERROR(SUMIFS('Raw Data'!$F:$F, 'Raw Data'!$B:$B, "Control", 'Raw Data'!$A:$A, $A9, 'Raw Data'!$C:$C, $C$3)/SUMIFS('Raw Data'!$D:$D, 'Raw Data'!$B:$B, "Control", 'Raw Data'!$A:$A, $A9, 'Raw Data'!$C:$C, $C$3),""))</f>
        <v>2.004049774</v>
      </c>
      <c r="L9" s="99">
        <f>IF($A9="","",IFERROR(SUMIFS('Raw Data'!$F:$F, 'Raw Data'!$B:$B, "Variant", 'Raw Data'!$A:$A, $A9, 'Raw Data'!$C:$C, $C$3)/SUMIFS('Raw Data'!$D:$D, 'Raw Data'!$B:$B, "Variant", 'Raw Data'!$A:$A, $A9, 'Raw Data'!$C:$C, $C$3),""))</f>
        <v>3.396909091</v>
      </c>
      <c r="M9" s="100">
        <f t="shared" si="4"/>
        <v>0.695022317</v>
      </c>
      <c r="N9" s="96">
        <f>IF($A9="","",IFERROR(SUMPRODUCT(('Raw Data'!$B$2:$B$9999="Control")*('Raw Data'!$A$2:$A$9999=$A9)*('Raw Data'!$C$2:$C$9999=$C$3)*'Raw Data'!$D$2:$D$9999*'Raw Data'!$H$2:$H$9999/100)/SUMIFS('Raw Data'!$D:$D, 'Raw Data'!$B:$B, "Control", 'Raw Data'!$A:$A, $A9, 'Raw Data'!$C:$C, $C$3)*100,""))</f>
        <v>12.22</v>
      </c>
      <c r="O9" s="96">
        <f>IF($A9="","",IFERROR(SUMPRODUCT(('Raw Data'!$B$2:$B$9999="Variant")*('Raw Data'!$A$2:$A$9999=$A9)*('Raw Data'!$C$2:$C$9999=$C$3)*'Raw Data'!$D$2:$D$9999*'Raw Data'!$H$2:$H$9999/100)/SUMIFS('Raw Data'!$D:$D, 'Raw Data'!$B:$B, "Variant", 'Raw Data'!$A:$A, $A9, 'Raw Data'!$C:$C, $C$3)*100,""))</f>
        <v>16.36</v>
      </c>
      <c r="P9" s="100">
        <f t="shared" si="5"/>
        <v>0.3387888707</v>
      </c>
      <c r="Q9" s="99">
        <f>IF($A9="","",IFERROR(SUMIFS('Raw Data'!$F:$F, 'Raw Data'!$B:$B, "Control", 'Raw Data'!$A:$A, $A9, 'Raw Data'!$C:$C, $C$3)/SUMPRODUCT(('Raw Data'!$B$2:$B$9999="Control")*('Raw Data'!$A$2:$A$9999=$A9)*('Raw Data'!$C$2:$C$9999=$C$3)*'Raw Data'!$D$2:$D$9999*'Raw Data'!$H$2:$H$9999/100),""))</f>
        <v>16.39975265</v>
      </c>
      <c r="R9" s="99">
        <f>IF($A9="","",IFERROR(SUMIFS('Raw Data'!$F:$F, 'Raw Data'!$B:$B, "Variant", 'Raw Data'!$A:$A, $A9, 'Raw Data'!$C:$C, $C$3)/SUMPRODUCT(('Raw Data'!$B$2:$B$9999="Variant")*('Raw Data'!$A$2:$A$9999=$A9)*('Raw Data'!$C$2:$C$9999=$C$3)*'Raw Data'!$D$2:$D$9999*'Raw Data'!$H$2:$H$9999/100),""))</f>
        <v>20.763503</v>
      </c>
      <c r="S9" s="100">
        <f t="shared" si="6"/>
        <v>0.2660863517</v>
      </c>
      <c r="T9" s="101">
        <f>IF($A9="","",IFERROR(SUMPRODUCT(('Raw Data'!$B$2:$B$9999="Control")*('Raw Data'!$A$2:$A$9999=$A9)*('Raw Data'!$C$2:$C$9999=$C$3)*'Raw Data'!$D$2:$D$9999*'Raw Data'!$J$2:$J$9999)/SUMIFS('Raw Data'!$D:$D, 'Raw Data'!$B:$B, "Control", 'Raw Data'!$A:$A, $A9, 'Raw Data'!$C:$C, $C$3),""))</f>
        <v>256.15</v>
      </c>
      <c r="U9" s="101">
        <f>IF($A9="","",IFERROR(SUMPRODUCT(('Raw Data'!$B$2:$B$9999="Variant")*('Raw Data'!$A$2:$A$9999=$A9)*('Raw Data'!$C$2:$C$9999=$C$3)*'Raw Data'!$D$2:$D$9999*'Raw Data'!$J$2:$J$9999)/SUMIFS('Raw Data'!$D:$D, 'Raw Data'!$B:$B, "Variant", 'Raw Data'!$A:$A, $A9, 'Raw Data'!$C:$C, $C$3),""))</f>
        <v>253.96</v>
      </c>
      <c r="V9" s="98">
        <f t="shared" si="7"/>
        <v>-0.008549677923</v>
      </c>
      <c r="W9" s="101">
        <f>IF($A9="","",IFERROR(SUMPRODUCT(('Raw Data'!$B$2:$B$9999="Control")*('Raw Data'!$A$2:$A$9999=$A9)*('Raw Data'!$C$2:$C$9999=$C$3)*'Raw Data'!$D$2:$D$9999*'Raw Data'!$K$2:$K$9999)/SUMIFS('Raw Data'!$D:$D, 'Raw Data'!$B:$B, "Control", 'Raw Data'!$A:$A, $A9, 'Raw Data'!$C:$C, $C$3),""))</f>
        <v>157.62</v>
      </c>
      <c r="X9" s="101">
        <f>IF($A9="","",IFERROR(SUMPRODUCT(('Raw Data'!$B$2:$B$9999="Variant")*('Raw Data'!$A$2:$A$9999=$A9)*('Raw Data'!$C$2:$C$9999=$C$3)*'Raw Data'!$D$2:$D$9999*'Raw Data'!$K$2:$K$9999)/SUMIFS('Raw Data'!$D:$D, 'Raw Data'!$B:$B, "Variant", 'Raw Data'!$A:$A, $A9, 'Raw Data'!$C:$C, $C$3),""))</f>
        <v>152.53</v>
      </c>
      <c r="Y9" s="98">
        <f t="shared" si="8"/>
        <v>-0.03229285624</v>
      </c>
      <c r="Z9" s="101">
        <f>IF($A9="","",IFERROR(SUMPRODUCT(('Raw Data'!$B$2:$B$9999="Control")*('Raw Data'!$A$2:$A$9999=$A9)*('Raw Data'!$C$2:$C$9999=$C$3)*'Raw Data'!$D$2:$D$9999*'Raw Data'!$L$2:$L$9999)/SUMIFS('Raw Data'!$D:$D, 'Raw Data'!$B:$B, "Control", 'Raw Data'!$A:$A, $A9, 'Raw Data'!$C:$C, $C$3),""))</f>
        <v>137.74</v>
      </c>
      <c r="AA9" s="101">
        <f>IF($A9="","",IFERROR(SUMPRODUCT(('Raw Data'!$B$2:$B$9999="Variant")*('Raw Data'!$A$2:$A$9999=$A9)*('Raw Data'!$C$2:$C$9999=$C$3)*'Raw Data'!$D$2:$D$9999*'Raw Data'!$L$2:$L$9999)/SUMIFS('Raw Data'!$D:$D, 'Raw Data'!$B:$B, "Variant", 'Raw Data'!$A:$A, $A9, 'Raw Data'!$C:$C, $C$3),""))</f>
        <v>134.67</v>
      </c>
      <c r="AB9" s="98">
        <f t="shared" si="9"/>
        <v>-0.02228836939</v>
      </c>
      <c r="AC9" s="102">
        <f>IF($A9="","",IFERROR(SUMPRODUCT(('Raw Data'!$B$2:$B$9999="Control")*('Raw Data'!$A$2:$A$9999=$A9)*('Raw Data'!$C$2:$C$9999=$C$3)*'Raw Data'!$D$2:$D$9999*'Raw Data'!$M$2:$M$9999)/SUMIFS('Raw Data'!$D:$D, 'Raw Data'!$B:$B, "Control", 'Raw Data'!$A:$A, $A9, 'Raw Data'!$C:$C, $C$3),""))</f>
        <v>0.8738</v>
      </c>
      <c r="AD9" s="102">
        <f>IF($A9="","",IFERROR(SUMPRODUCT(('Raw Data'!$B$2:$B$9999="Variant")*('Raw Data'!$A$2:$A$9999=$A9)*('Raw Data'!$C$2:$C$9999=$C$3)*'Raw Data'!$D$2:$D$9999*'Raw Data'!$M$2:$M$9999)/SUMIFS('Raw Data'!$D:$D, 'Raw Data'!$B:$B, "Variant", 'Raw Data'!$A:$A, $A9, 'Raw Data'!$C:$C, $C$3),""))</f>
        <v>0.883</v>
      </c>
      <c r="AE9" s="100">
        <f t="shared" si="10"/>
        <v>0.01052872511</v>
      </c>
      <c r="AF9" s="102">
        <f>IF($A9="","",IFERROR(SUMPRODUCT(('Raw Data'!$B$2:$B$9999="Control")*('Raw Data'!$A$2:$A$9999=$A9)*('Raw Data'!$C$2:$C$9999=$C$3)*'Raw Data'!$D$2:$D$9999*'Raw Data'!$N$2:$N$9999)/SUMIFS('Raw Data'!$D:$D, 'Raw Data'!$B:$B, "Control", 'Raw Data'!$A:$A, $A9, 'Raw Data'!$C:$C, $C$3),""))</f>
        <v>0.2556</v>
      </c>
      <c r="AG9" s="102">
        <f>IF($A9="","",IFERROR(SUMPRODUCT(('Raw Data'!$B$2:$B$9999="Variant")*('Raw Data'!$A$2:$A$9999=$A9)*('Raw Data'!$C$2:$C$9999=$C$3)*'Raw Data'!$D$2:$D$9999*'Raw Data'!$N$2:$N$9999)/SUMIFS('Raw Data'!$D:$D, 'Raw Data'!$B:$B, "Variant", 'Raw Data'!$A:$A, $A9, 'Raw Data'!$C:$C, $C$3),""))</f>
        <v>0.251</v>
      </c>
      <c r="AH9" s="100">
        <f t="shared" si="11"/>
        <v>-0.01799687011</v>
      </c>
      <c r="AI9" s="102">
        <f>IF($A9="","",IFERROR(SUMPRODUCT(('Raw Data'!$B$2:$B$9999="Control")*('Raw Data'!$A$2:$A$9999=$A9)*('Raw Data'!$C$2:$C$9999=$C$3)*'Raw Data'!$D$2:$D$9999*'Raw Data'!$O$2:$O$9999)/SUMIFS('Raw Data'!$D:$D, 'Raw Data'!$B:$B, "Control", 'Raw Data'!$A:$A, $A9, 'Raw Data'!$C:$C, $C$3),""))</f>
        <v>0.1853</v>
      </c>
      <c r="AJ9" s="102">
        <f>IF($A9="","",IFERROR(SUMPRODUCT(('Raw Data'!$B$2:$B$9999="Variant")*('Raw Data'!$A$2:$A$9999=$A9)*('Raw Data'!$C$2:$C$9999=$C$3)*'Raw Data'!$D$2:$D$9999*'Raw Data'!$O$2:$O$9999)/SUMIFS('Raw Data'!$D:$D, 'Raw Data'!$B:$B, "Variant", 'Raw Data'!$A:$A, $A9, 'Raw Data'!$C:$C, $C$3),""))</f>
        <v>0.185</v>
      </c>
      <c r="AK9" s="100">
        <f t="shared" si="12"/>
        <v>-0.001618996222</v>
      </c>
      <c r="AL9" s="101">
        <f>IF($A9="","",IFERROR(SUMPRODUCT(('Raw Data'!$B$2:$B$9999="Control")*('Raw Data'!$A$2:$A$9999=$A9)*('Raw Data'!$C$2:$C$9999=$C$3)*'Raw Data'!$D$2:$D$9999*'Raw Data'!$P$2:$P$9999)/SUMIFS('Raw Data'!$D:$D, 'Raw Data'!$B:$B, "Control", 'Raw Data'!$A:$A, $A9, 'Raw Data'!$C:$C, $C$3),""))</f>
        <v>1.1444</v>
      </c>
      <c r="AM9" s="101">
        <f>IF($A9="","",IFERROR(SUMPRODUCT(('Raw Data'!$B$2:$B$9999="Variant")*('Raw Data'!$A$2:$A$9999=$A9)*('Raw Data'!$C$2:$C$9999=$C$3)*'Raw Data'!$D$2:$D$9999*'Raw Data'!$P$2:$P$9999)/SUMIFS('Raw Data'!$D:$D, 'Raw Data'!$B:$B, "Variant", 'Raw Data'!$A:$A, $A9, 'Raw Data'!$C:$C, $C$3),""))</f>
        <v>1.1326</v>
      </c>
      <c r="AN9" s="100">
        <f t="shared" si="13"/>
        <v>-0.01031108004</v>
      </c>
      <c r="AO9" s="101">
        <f>IF($A9="","",IFERROR(SUMPRODUCT(('Raw Data'!$B$2:$B$9999="Control")*('Raw Data'!$A$2:$A$9999=$A9)*('Raw Data'!$C$2:$C$9999=$C$3)*'Raw Data'!$D$2:$D$9999*'Raw Data'!$Q$2:$Q$9999)/SUMIFS('Raw Data'!$D:$D, 'Raw Data'!$B:$B, "Control", 'Raw Data'!$A:$A, $A9, 'Raw Data'!$C:$C, $C$3),""))</f>
        <v>956.88</v>
      </c>
      <c r="AP9" s="101">
        <f>IF($A9="","",IFERROR(SUMPRODUCT(('Raw Data'!$B$2:$B$9999="Variant")*('Raw Data'!$A$2:$A$9999=$A9)*('Raw Data'!$C$2:$C$9999=$C$3)*'Raw Data'!$D$2:$D$9999*'Raw Data'!$Q$2:$Q$9999)/SUMIFS('Raw Data'!$D:$D, 'Raw Data'!$B:$B, "Variant", 'Raw Data'!$A:$A, $A9, 'Raw Data'!$C:$C, $C$3),""))</f>
        <v>1014.07</v>
      </c>
      <c r="AQ9" s="95">
        <f t="shared" si="14"/>
        <v>0.05976715994</v>
      </c>
      <c r="AR9" s="101">
        <f>IF($A9="","",IFERROR(SUMPRODUCT(('Raw Data'!$B$2:$B$9999="Control")*('Raw Data'!$A$2:$A$9999=$A9)*('Raw Data'!$C$2:$C$9999=$C$3)*'Raw Data'!$D$2:$D$9999*'Raw Data'!$R$2:$R$9999)/SUMIFS('Raw Data'!$D:$D, 'Raw Data'!$B:$B, "Control", 'Raw Data'!$A:$A, $A9, 'Raw Data'!$C:$C, $C$3),""))</f>
        <v>664.82</v>
      </c>
      <c r="AS9" s="101">
        <f>IF($A9="","",IFERROR(SUMPRODUCT(('Raw Data'!$B$2:$B$9999="Variant")*('Raw Data'!$A$2:$A$9999=$A9)*('Raw Data'!$C$2:$C$9999=$C$3)*'Raw Data'!$D$2:$D$9999*'Raw Data'!$R$2:$R$9999)/SUMIFS('Raw Data'!$D:$D, 'Raw Data'!$B:$B, "Variant", 'Raw Data'!$A:$A, $A9, 'Raw Data'!$C:$C, $C$3),""))</f>
        <v>908.42</v>
      </c>
      <c r="AT9" s="95">
        <f t="shared" si="15"/>
        <v>0.3664149695</v>
      </c>
      <c r="AU9" s="101">
        <f>IF($A9="","",IFERROR(SUMPRODUCT(('Raw Data'!$B$2:$B$9999="Control")*('Raw Data'!$A$2:$A$9999=$A9)*('Raw Data'!$C$2:$C$9999=$C$3)*'Raw Data'!$D$2:$D$9999*'Raw Data'!$S$2:$S$9999)/SUMIFS('Raw Data'!$D:$D, 'Raw Data'!$B:$B, "Control", 'Raw Data'!$A:$A, $A9, 'Raw Data'!$C:$C, $C$3),""))</f>
        <v>292.06</v>
      </c>
      <c r="AV9" s="101">
        <f>IF($A9="","",IFERROR(SUMPRODUCT(('Raw Data'!$B$2:$B$9999="Variant")*('Raw Data'!$A$2:$A$9999=$A9)*('Raw Data'!$C$2:$C$9999=$C$3)*'Raw Data'!$D$2:$D$9999*'Raw Data'!$S$2:$S$9999)/SUMIFS('Raw Data'!$D:$D, 'Raw Data'!$B:$B, "Variant", 'Raw Data'!$A:$A, $A9, 'Raw Data'!$C:$C, $C$3),""))</f>
        <v>105.65</v>
      </c>
      <c r="AW9" s="95">
        <f t="shared" si="16"/>
        <v>-0.6382592618</v>
      </c>
      <c r="AX9" s="101">
        <f>IF($A9="","",IFERROR(SUMPRODUCT(('Raw Data'!$B$2:$B$9999="Control")*('Raw Data'!$A$2:$A$9999=$A9)*('Raw Data'!$C$2:$C$9999=$C$3)*'Raw Data'!$D$2:$D$9999*'Raw Data'!$T$2:$T$9999)/SUMIFS('Raw Data'!$D:$D, 'Raw Data'!$B:$B, "Control", 'Raw Data'!$A:$A, $A9, 'Raw Data'!$C:$C, $C$3),""))</f>
        <v>132.01</v>
      </c>
      <c r="AY9" s="101">
        <f>IF($A9="","",IFERROR(SUMPRODUCT(('Raw Data'!$B$2:$B$9999="Variant")*('Raw Data'!$A$2:$A$9999=$A9)*('Raw Data'!$C$2:$C$9999=$C$3)*'Raw Data'!$D$2:$D$9999*'Raw Data'!$T$2:$T$9999)/SUMIFS('Raw Data'!$D:$D, 'Raw Data'!$B:$B, "Variant", 'Raw Data'!$A:$A, $A9, 'Raw Data'!$C:$C, $C$3),""))</f>
        <v>222.03</v>
      </c>
      <c r="AZ9" s="100">
        <f t="shared" si="17"/>
        <v>0.6819180365</v>
      </c>
      <c r="BA9" s="101">
        <f>IF($A9="","",IFERROR(SUMPRODUCT(('Raw Data'!$B$2:$B$9999="Control")*('Raw Data'!$A$2:$A$9999=$A9)*('Raw Data'!$C$2:$C$9999=$C$3)*'Raw Data'!$D$2:$D$9999*'Raw Data'!$U$2:$U$9999)/SUMIFS('Raw Data'!$D:$D, 'Raw Data'!$B:$B, "Control", 'Raw Data'!$A:$A, $A9, 'Raw Data'!$C:$C, $C$3),""))</f>
        <v>824.86</v>
      </c>
      <c r="BB9" s="101">
        <f>IF($A9="","",IFERROR(SUMPRODUCT(('Raw Data'!$B$2:$B$9999="Variant")*('Raw Data'!$A$2:$A$9999=$A9)*('Raw Data'!$C$2:$C$9999=$C$3)*'Raw Data'!$D$2:$D$9999*'Raw Data'!$U$2:$U$9999)/SUMIFS('Raw Data'!$D:$D, 'Raw Data'!$B:$B, "Variant", 'Raw Data'!$A:$A, $A9, 'Raw Data'!$C:$C, $C$3),""))</f>
        <v>792.04</v>
      </c>
      <c r="BC9" s="95">
        <f t="shared" si="18"/>
        <v>-0.03978857018</v>
      </c>
      <c r="BD9" s="101">
        <f>IF($A9="","",IFERROR(SUMPRODUCT(('Raw Data'!$B$2:$B$9999="Control")*('Raw Data'!$A$2:$A$9999=$A9)*('Raw Data'!$C$2:$C$9999=$C$3)*'Raw Data'!$D$2:$D$9999*'Raw Data'!$V$2:$V$9999)/SUMIFS('Raw Data'!$D:$D, 'Raw Data'!$B:$B, "Control", 'Raw Data'!$A:$A, $A9, 'Raw Data'!$C:$C, $C$3),""))</f>
        <v>888.46</v>
      </c>
      <c r="BE9" s="101">
        <f>IF($A9="","",IFERROR(SUMPRODUCT(('Raw Data'!$B$2:$B$9999="Variant")*('Raw Data'!$A$2:$A$9999=$A9)*('Raw Data'!$C$2:$C$9999=$C$3)*'Raw Data'!$D$2:$D$9999*'Raw Data'!$V$2:$V$9999)/SUMIFS('Raw Data'!$D:$D, 'Raw Data'!$B:$B, "Variant", 'Raw Data'!$A:$A, $A9, 'Raw Data'!$C:$C, $C$3),""))</f>
        <v>876.16</v>
      </c>
      <c r="BF9" s="95">
        <f t="shared" si="19"/>
        <v>-0.01384417982</v>
      </c>
      <c r="BG9" s="101">
        <f>IF($A9="","",IFERROR(SUMPRODUCT(('Raw Data'!$B$2:$B$9999="Control")*('Raw Data'!$A$2:$A$9999=$A9)*('Raw Data'!$C$2:$C$9999=$C$3)*'Raw Data'!$D$2:$D$9999*('Raw Data'!$Q$2:$Q$9999-'Raw Data'!$V$2:$V$9999))/SUMIFS('Raw Data'!$D:$D, 'Raw Data'!$B:$B, "Control", 'Raw Data'!$A:$A, $A9, 'Raw Data'!$C:$C, $C$3),""))</f>
        <v>68.42</v>
      </c>
      <c r="BH9" s="101">
        <f>IF($A9="","",IFERROR(SUMPRODUCT(('Raw Data'!$B$2:$B$9999="Variant")*('Raw Data'!$A$2:$A$9999=$A9)*('Raw Data'!$C$2:$C$9999=$C$3)*'Raw Data'!$D$2:$D$9999*('Raw Data'!$Q$2:$Q$9999-'Raw Data'!$V$2:$V$9999))/SUMIFS('Raw Data'!$D:$D, 'Raw Data'!$B:$B, "Variant", 'Raw Data'!$A:$A, $A9, 'Raw Data'!$C:$C, $C$3),""))</f>
        <v>137.91</v>
      </c>
      <c r="BI9" s="95">
        <f t="shared" si="20"/>
        <v>1.015638702</v>
      </c>
      <c r="BJ9" s="101">
        <f>IF($A9="","",IFERROR(SUMPRODUCT(('Raw Data'!$B$2:$B$9999="Control")*('Raw Data'!$A$2:$A$9999=$A9)*('Raw Data'!$C$2:$C$9999=$C$3)*'Raw Data'!$D$2:$D$9999*'Raw Data'!$W$2:$W$9999)/SUMIFS('Raw Data'!$D:$D, 'Raw Data'!$B:$B, "Control", 'Raw Data'!$A:$A, $A9, 'Raw Data'!$C:$C, $C$3),""))</f>
        <v>5.6366</v>
      </c>
      <c r="BK9" s="101">
        <f>IF($A9="","",IFERROR(SUMPRODUCT(('Raw Data'!$B$2:$B$9999="Variant")*('Raw Data'!$A$2:$A$9999=$A9)*('Raw Data'!$C$2:$C$9999=$C$3)*'Raw Data'!$D$2:$D$9999*'Raw Data'!$W$2:$W$9999)/SUMIFS('Raw Data'!$D:$D, 'Raw Data'!$B:$B, "Variant", 'Raw Data'!$A:$A, $A9, 'Raw Data'!$C:$C, $C$3),""))</f>
        <v>5.7443</v>
      </c>
      <c r="BL9" s="95">
        <f t="shared" si="21"/>
        <v>0.01910726324</v>
      </c>
      <c r="BM9" s="102">
        <f>IF($A9="","",IFERROR(SUMPRODUCT(('Raw Data'!$B$2:$B$9999="Control")*('Raw Data'!$A$2:$A$9999=$A9)*('Raw Data'!$C$2:$C$9999=$C$3)*'Raw Data'!$D$2:$D$9999*'Raw Data'!$X$2:$X$9999)/SUMIFS('Raw Data'!$D:$D, 'Raw Data'!$B:$B, "Control", 'Raw Data'!$A:$A, $A9, 'Raw Data'!$C:$C, $C$3),""))</f>
        <v>13.8</v>
      </c>
      <c r="BN9" s="102">
        <f>IF($A9="","",IFERROR(SUMPRODUCT(('Raw Data'!$B$2:$B$9999="Variant")*('Raw Data'!$A$2:$A$9999=$A9)*('Raw Data'!$C$2:$C$9999=$C$3)*'Raw Data'!$D$2:$D$9999*'Raw Data'!$X$2:$X$9999)/SUMIFS('Raw Data'!$D:$D, 'Raw Data'!$B:$B, "Variant", 'Raw Data'!$A:$A, $A9, 'Raw Data'!$C:$C, $C$3),""))</f>
        <v>21.89</v>
      </c>
      <c r="BO9" s="100">
        <f t="shared" si="22"/>
        <v>0.5862318841</v>
      </c>
      <c r="BP9" s="94">
        <f>IF($A9="","",IFERROR(SUMPRODUCT(('Raw Data'!$B$2:$B$9999="Control")*('Raw Data'!$A$2:$A$9999=$A9)*('Raw Data'!$C$2:$C$9999=$C$3)*'Raw Data'!$D$2:$D$9999*'Raw Data'!$Y$2:$Y$9999)/SUMIFS('Raw Data'!$D:$D, 'Raw Data'!$B:$B, "Control", 'Raw Data'!$A:$A, $A9, 'Raw Data'!$C:$C, $C$3),""))</f>
        <v>517</v>
      </c>
      <c r="BQ9" s="94">
        <f>IF($A9="","",IFERROR(SUMPRODUCT(('Raw Data'!$B$2:$B$9999="Variant")*('Raw Data'!$A$2:$A$9999=$A9)*('Raw Data'!$C$2:$C$9999=$C$3)*'Raw Data'!$D$2:$D$9999*'Raw Data'!$Y$2:$Y$9999)/SUMIFS('Raw Data'!$D:$D, 'Raw Data'!$B:$B, "Variant", 'Raw Data'!$A:$A, $A9, 'Raw Data'!$C:$C, $C$3),""))</f>
        <v>537</v>
      </c>
      <c r="BR9" s="95">
        <f t="shared" si="23"/>
        <v>0.03868471954</v>
      </c>
      <c r="BS9" s="94">
        <f>IF($A9="","",IFERROR(SUMPRODUCT(('Raw Data'!$B$2:$B$9999="Control")*('Raw Data'!$A$2:$A$9999=$A9)*('Raw Data'!$C$2:$C$9999=$C$3)*'Raw Data'!$D$2:$D$9999*'Raw Data'!$Z$2:$Z$9999)/SUMIFS('Raw Data'!$D:$D, 'Raw Data'!$B:$B, "Control", 'Raw Data'!$A:$A, $A9, 'Raw Data'!$C:$C, $C$3),""))</f>
        <v>3063</v>
      </c>
      <c r="BT9" s="94">
        <f>IF($A9="","",IFERROR(SUMPRODUCT(('Raw Data'!$B$2:$B$9999="Variant")*('Raw Data'!$A$2:$A$9999=$A9)*('Raw Data'!$C$2:$C$9999=$C$3)*'Raw Data'!$D$2:$D$9999*'Raw Data'!$Z$2:$Z$9999)/SUMIFS('Raw Data'!$D:$D, 'Raw Data'!$B:$B, "Variant", 'Raw Data'!$A:$A, $A9, 'Raw Data'!$C:$C, $C$3),""))</f>
        <v>3134</v>
      </c>
      <c r="BU9" s="95">
        <f t="shared" si="24"/>
        <v>0.023179889</v>
      </c>
      <c r="BV9" s="94">
        <f>IF($A9="","",IFERROR(SUMPRODUCT(('Raw Data'!$B$2:$B$9999="Control")*('Raw Data'!$A$2:$A$9999=$A9)*('Raw Data'!$C$2:$C$9999=$C$3)*'Raw Data'!$D$2:$D$9999*'Raw Data'!$AA$2:$AA$9999)/SUMIFS('Raw Data'!$D:$D, 'Raw Data'!$B:$B, "Control", 'Raw Data'!$A:$A, $A9, 'Raw Data'!$C:$C, $C$3),""))</f>
        <v>10562</v>
      </c>
      <c r="BW9" s="94">
        <f>IF($A9="","",IFERROR(SUMPRODUCT(('Raw Data'!$B$2:$B$9999="Variant")*('Raw Data'!$A$2:$A$9999=$A9)*('Raw Data'!$C$2:$C$9999=$C$3)*'Raw Data'!$D$2:$D$9999*'Raw Data'!$AA$2:$AA$9999)/SUMIFS('Raw Data'!$D:$D, 'Raw Data'!$B:$B, "Variant", 'Raw Data'!$A:$A, $A9, 'Raw Data'!$C:$C, $C$3),""))</f>
        <v>10625</v>
      </c>
      <c r="BX9" s="95">
        <f t="shared" si="25"/>
        <v>0.005964779398</v>
      </c>
      <c r="BY9" s="101">
        <f>IF($A9="","",IFERROR(SUMPRODUCT(('Raw Data'!$B$2:$B$9999="Control")*('Raw Data'!$A$2:$A$9999=$A9)*('Raw Data'!$C$2:$C$9999=$C$3)*'Raw Data'!$D$2:$D$9999*'Raw Data'!$AB$2:$AB$9999)/SUMIFS('Raw Data'!$D:$D, 'Raw Data'!$B:$B, "Control", 'Raw Data'!$A:$A, $A9, 'Raw Data'!$C:$C, $C$3),""))</f>
        <v>63.3779</v>
      </c>
      <c r="BZ9" s="101">
        <f>IF($A9="","",IFERROR(SUMPRODUCT(('Raw Data'!$B$2:$B$9999="Variant")*('Raw Data'!$A$2:$A$9999=$A9)*('Raw Data'!$C$2:$C$9999=$C$3)*'Raw Data'!$D$2:$D$9999*'Raw Data'!$AB$2:$AB$9999)/SUMIFS('Raw Data'!$D:$D, 'Raw Data'!$B:$B, "Variant", 'Raw Data'!$A:$A, $A9, 'Raw Data'!$C:$C, $C$3),""))</f>
        <v>62.6979</v>
      </c>
      <c r="CA9" s="98">
        <f t="shared" si="26"/>
        <v>-0.01072929207</v>
      </c>
      <c r="CB9" s="101">
        <f>IF($A9="","",IFERROR(SUMPRODUCT(('Raw Data'!$B$2:$B$9999="Control")*('Raw Data'!$A$2:$A$9999=$A9)*('Raw Data'!$C$2:$C$9999=$C$3)*'Raw Data'!$D$2:$D$9999*'Raw Data'!$AC$2:$AC$9999)/SUMIFS('Raw Data'!$D:$D, 'Raw Data'!$B:$B, "Control", 'Raw Data'!$A:$A, $A9, 'Raw Data'!$C:$C, $C$3),""))</f>
        <v>0.8819</v>
      </c>
      <c r="CC9" s="101">
        <f>IF($A9="","",IFERROR(SUMPRODUCT(('Raw Data'!$B$2:$B$9999="Variant")*('Raw Data'!$A$2:$A$9999=$A9)*('Raw Data'!$C$2:$C$9999=$C$3)*'Raw Data'!$D$2:$D$9999*'Raw Data'!$AC$2:$AC$9999)/SUMIFS('Raw Data'!$D:$D, 'Raw Data'!$B:$B, "Variant", 'Raw Data'!$A:$A, $A9, 'Raw Data'!$C:$C, $C$3),""))</f>
        <v>0.8812</v>
      </c>
      <c r="CD9" s="98">
        <f t="shared" si="27"/>
        <v>-0.0007937407869</v>
      </c>
      <c r="CE9" s="101">
        <f>IF($A9="","",IFERROR(SUMPRODUCT(('Raw Data'!$B$2:$B$9999="Control")*('Raw Data'!$A$2:$A$9999=$A9)*('Raw Data'!$C$2:$C$9999=$C$3)*'Raw Data'!$D$2:$D$9999*'Raw Data'!$AD$2:$AD$9999)/SUMIFS('Raw Data'!$D:$D, 'Raw Data'!$B:$B, "Control", 'Raw Data'!$A:$A, $A9, 'Raw Data'!$C:$C, $C$3),""))</f>
        <v>96.43</v>
      </c>
      <c r="CF9" s="101">
        <f>IF($A9="","",IFERROR(SUMPRODUCT(('Raw Data'!$B$2:$B$9999="Variant")*('Raw Data'!$A$2:$A$9999=$A9)*('Raw Data'!$C$2:$C$9999=$C$3)*'Raw Data'!$D$2:$D$9999*'Raw Data'!$AD$2:$AD$9999)/SUMIFS('Raw Data'!$D:$D, 'Raw Data'!$B:$B, "Variant", 'Raw Data'!$A:$A, $A9, 'Raw Data'!$C:$C, $C$3),""))</f>
        <v>100.19</v>
      </c>
      <c r="CG9" s="100">
        <f t="shared" si="28"/>
        <v>0.03899201493</v>
      </c>
      <c r="CH9" s="101">
        <f>IF($A9="","",IFERROR(SUMPRODUCT(('Raw Data'!$B$2:$B$9999="Control")*('Raw Data'!$A$2:$A$9999=$A9)*('Raw Data'!$C$2:$C$9999=$C$3)*'Raw Data'!$D$2:$D$9999*'Raw Data'!$AE$2:$AE$9999)/SUMIFS('Raw Data'!$D:$D, 'Raw Data'!$B:$B, "Control", 'Raw Data'!$A:$A, $A9, 'Raw Data'!$C:$C, $C$3),""))</f>
        <v>44</v>
      </c>
      <c r="CI9" s="101">
        <f>IF($A9="","",IFERROR(SUMPRODUCT(('Raw Data'!$B$2:$B$9999="Variant")*('Raw Data'!$A$2:$A$9999=$A9)*('Raw Data'!$C$2:$C$9999=$C$3)*'Raw Data'!$D$2:$D$9999*'Raw Data'!$AE$2:$AE$9999)/SUMIFS('Raw Data'!$D:$D, 'Raw Data'!$B:$B, "Variant", 'Raw Data'!$A:$A, $A9, 'Raw Data'!$C:$C, $C$3),""))</f>
        <v>46</v>
      </c>
      <c r="CJ9" s="100">
        <f t="shared" si="29"/>
        <v>0.04545454545</v>
      </c>
      <c r="CK9" s="101">
        <f>IF($A9="","",IFERROR(SUMPRODUCT(('Raw Data'!$B$2:$B$9999="Control")*('Raw Data'!$A$2:$A$9999=$A9)*('Raw Data'!$C$2:$C$9999=$C$3)*'Raw Data'!$D$2:$D$9999*'Raw Data'!$AF$2:$AF$9999)/SUMIFS('Raw Data'!$D:$D, 'Raw Data'!$B:$B, "Control", 'Raw Data'!$A:$A, $A9, 'Raw Data'!$C:$C, $C$3),""))</f>
        <v>84</v>
      </c>
      <c r="CL9" s="101">
        <f>IF($A9="","",IFERROR(SUMPRODUCT(('Raw Data'!$B$2:$B$9999="Variant")*('Raw Data'!$A$2:$A$9999=$A9)*('Raw Data'!$C$2:$C$9999=$C$3)*'Raw Data'!$D$2:$D$9999*'Raw Data'!$AF$2:$AF$9999)/SUMIFS('Raw Data'!$D:$D, 'Raw Data'!$B:$B, "Variant", 'Raw Data'!$A:$A, $A9, 'Raw Data'!$C:$C, $C$3),""))</f>
        <v>88</v>
      </c>
      <c r="CM9" s="100">
        <f t="shared" si="30"/>
        <v>0.04761904762</v>
      </c>
      <c r="CN9" s="101">
        <f>IF($A9="","",IFERROR(SUMPRODUCT(('Raw Data'!$B$2:$B$9999="Control")*('Raw Data'!$A$2:$A$9999=$A9)*('Raw Data'!$C$2:$C$9999=$C$3)*'Raw Data'!$D$2:$D$9999*'Raw Data'!$AG$2:$AG$9999)/SUMIFS('Raw Data'!$D:$D, 'Raw Data'!$B:$B, "Control", 'Raw Data'!$A:$A, $A9, 'Raw Data'!$C:$C, $C$3),""))</f>
        <v>135</v>
      </c>
      <c r="CO9" s="101">
        <f>IF($A9="","",IFERROR(SUMPRODUCT(('Raw Data'!$B$2:$B$9999="Variant")*('Raw Data'!$A$2:$A$9999=$A9)*('Raw Data'!$C$2:$C$9999=$C$3)*'Raw Data'!$D$2:$D$9999*'Raw Data'!$AG$2:$AG$9999)/SUMIFS('Raw Data'!$D:$D, 'Raw Data'!$B:$B, "Variant", 'Raw Data'!$A:$A, $A9, 'Raw Data'!$C:$C, $C$3),""))</f>
        <v>137</v>
      </c>
      <c r="CP9" s="100">
        <f t="shared" si="31"/>
        <v>0.01481481481</v>
      </c>
      <c r="CQ9" s="101">
        <f>IF($A9="","",IFERROR(SUMPRODUCT(('Raw Data'!$B$2:$B$9999="Control")*('Raw Data'!$A$2:$A$9999=$A9)*('Raw Data'!$C$2:$C$9999=$C$3)*'Raw Data'!$D$2:$D$9999*'Raw Data'!$AH$2:$AH$9999)/SUMIFS('Raw Data'!$D:$D, 'Raw Data'!$B:$B, "Control", 'Raw Data'!$A:$A, $A9, 'Raw Data'!$C:$C, $C$3),""))</f>
        <v>183</v>
      </c>
      <c r="CR9" s="101">
        <f>IF($A9="","",IFERROR(SUMPRODUCT(('Raw Data'!$B$2:$B$9999="Variant")*('Raw Data'!$A$2:$A$9999=$A9)*('Raw Data'!$C$2:$C$9999=$C$3)*'Raw Data'!$D$2:$D$9999*'Raw Data'!$AH$2:$AH$9999)/SUMIFS('Raw Data'!$D:$D, 'Raw Data'!$B:$B, "Variant", 'Raw Data'!$A:$A, $A9, 'Raw Data'!$C:$C, $C$3),""))</f>
        <v>193</v>
      </c>
      <c r="CS9" s="100">
        <f t="shared" si="32"/>
        <v>0.05464480874</v>
      </c>
      <c r="CT9" s="96">
        <f>IF($A9="","",IFERROR(SUMPRODUCT(('Raw Data'!$B$2:$B$9999="Control")*('Raw Data'!$A$2:$A$9999=$A9)*('Raw Data'!$C$2:$C$9999=$C$3)*'Raw Data'!$D$2:$D$9999*'Raw Data'!$AI$2:$AI$9999)/SUMIFS('Raw Data'!$D:$D, 'Raw Data'!$B:$B, "Control", 'Raw Data'!$A:$A, $A9, 'Raw Data'!$C:$C, $C$3),""))</f>
        <v>51.81</v>
      </c>
      <c r="CU9" s="96">
        <f>IF($A9="","",IFERROR(SUMPRODUCT(('Raw Data'!$B$2:$B$9999="Variant")*('Raw Data'!$A$2:$A$9999=$A9)*('Raw Data'!$C$2:$C$9999=$C$3)*'Raw Data'!$D$2:$D$9999*'Raw Data'!$AI$2:$AI$9999)/SUMIFS('Raw Data'!$D:$D, 'Raw Data'!$B:$B, "Variant", 'Raw Data'!$A:$A, $A9, 'Raw Data'!$C:$C, $C$3),""))</f>
        <v>54.55</v>
      </c>
      <c r="CV9" s="100">
        <f t="shared" si="33"/>
        <v>0.05288554333</v>
      </c>
      <c r="CW9" s="96">
        <f>IF($A9="","",IFERROR(SUMPRODUCT(('Raw Data'!$B$2:$B$9999="Control")*('Raw Data'!$A$2:$A$9999=$A9)*('Raw Data'!$C$2:$C$9999=$C$3)*'Raw Data'!$D$2:$D$9999*'Raw Data'!$AJ$2:$AJ$9999)/SUMIFS('Raw Data'!$D:$D, 'Raw Data'!$B:$B, "Control", 'Raw Data'!$A:$A, $A9, 'Raw Data'!$C:$C, $C$3),""))</f>
        <v>11.09</v>
      </c>
      <c r="CX9" s="96">
        <f>IF($A9="","",IFERROR(SUMPRODUCT(('Raw Data'!$B$2:$B$9999="Variant")*('Raw Data'!$A$2:$A$9999=$A9)*('Raw Data'!$C$2:$C$9999=$C$3)*'Raw Data'!$D$2:$D$9999*'Raw Data'!$AJ$2:$AJ$9999)/SUMIFS('Raw Data'!$D:$D, 'Raw Data'!$B:$B, "Variant", 'Raw Data'!$A:$A, $A9, 'Raw Data'!$C:$C, $C$3),""))</f>
        <v>14.55</v>
      </c>
      <c r="CY9" s="100">
        <f t="shared" si="34"/>
        <v>0.3119927863</v>
      </c>
      <c r="CZ9" s="96">
        <f>IF($A9="","",IFERROR(SUMPRODUCT(('Raw Data'!$B$2:$B$9999="Control")*('Raw Data'!$A$2:$A$9999=$A9)*('Raw Data'!$C$2:$C$9999=$C$3)*'Raw Data'!$D$2:$D$9999*'Raw Data'!$AK$2:$AK$9999)/SUMIFS('Raw Data'!$D:$D, 'Raw Data'!$B:$B, "Control", 'Raw Data'!$A:$A, $A9, 'Raw Data'!$C:$C, $C$3),""))</f>
        <v>1.81</v>
      </c>
      <c r="DA9" s="96">
        <f>IF($A9="","",IFERROR(SUMPRODUCT(('Raw Data'!$B$2:$B$9999="Variant")*('Raw Data'!$A$2:$A$9999=$A9)*('Raw Data'!$C$2:$C$9999=$C$3)*'Raw Data'!$D$2:$D$9999*'Raw Data'!$AK$2:$AK$9999)/SUMIFS('Raw Data'!$D:$D, 'Raw Data'!$B:$B, "Variant", 'Raw Data'!$A:$A, $A9, 'Raw Data'!$C:$C, $C$3),""))</f>
        <v>1.62</v>
      </c>
      <c r="DB9" s="98">
        <f t="shared" si="35"/>
        <v>-0.1049723757</v>
      </c>
      <c r="DC9" s="102">
        <f>IF($A9="","",IFERROR(SUMPRODUCT(('Raw Data'!$B$2:$B$9999="Control")*('Raw Data'!$A$2:$A$9999=$A9)*('Raw Data'!$C$2:$C$9999=$C$3)*'Raw Data'!$D$2:$D$9999*'Raw Data'!$AL$2:$AL$9999)/SUMIFS('Raw Data'!$D:$D, 'Raw Data'!$B:$B, "Control", 'Raw Data'!$A:$A, $A9, 'Raw Data'!$C:$C, $C$3),""))</f>
        <v>0.1018</v>
      </c>
      <c r="DD9" s="102">
        <f>IF($A9="","",IFERROR(SUMPRODUCT(('Raw Data'!$B$2:$B$9999="Variant")*('Raw Data'!$A$2:$A$9999=$A9)*('Raw Data'!$C$2:$C$9999=$C$3)*'Raw Data'!$D$2:$D$9999*'Raw Data'!$AL$2:$AL$9999)/SUMIFS('Raw Data'!$D:$D, 'Raw Data'!$B:$B, "Variant", 'Raw Data'!$A:$A, $A9, 'Raw Data'!$C:$C, $C$3),""))</f>
        <v>0.1273</v>
      </c>
      <c r="DE9" s="98">
        <f t="shared" si="36"/>
        <v>0.2504911591</v>
      </c>
      <c r="DF9" s="103"/>
      <c r="DG9" s="96">
        <f>IF($A9="","",IFERROR(SUMPRODUCT(('Raw Data'!$B$2:$B$9999="Variant")*('Raw Data'!$A$2:$A$9999=$A9)*('Raw Data'!$C$2:$C$9999=$C$3)*'Raw Data'!$D$2:$D$9999*'Raw Data'!$AM$2:$AM$9999)/SUMIFS('Raw Data'!$D:$D, 'Raw Data'!$B:$B, "Variant", 'Raw Data'!$A:$A, $A9, 'Raw Data'!$C:$C, $C$3),""))</f>
        <v>72.73</v>
      </c>
      <c r="DH9" s="104"/>
      <c r="DI9" s="103"/>
      <c r="DJ9" s="96">
        <f>IF($A9="","",IFERROR(SUMPRODUCT(('Raw Data'!$B$2:$B$9999="Variant")*('Raw Data'!$A$2:$A$9999=$A9)*('Raw Data'!$C$2:$C$9999=$C$3)*'Raw Data'!$D$2:$D$9999*'Raw Data'!$AN$2:$AN$9999)/SUMIFS('Raw Data'!$D:$D, 'Raw Data'!$B:$B, "Variant", 'Raw Data'!$A:$A, $A9, 'Raw Data'!$C:$C, $C$3),""))</f>
        <v>72.73</v>
      </c>
      <c r="DK9" s="104"/>
      <c r="DL9" s="103"/>
      <c r="DM9" s="96">
        <f>IF($A9="","",IFERROR(SUMPRODUCT(('Raw Data'!$B$2:$B$9999="Variant")*('Raw Data'!$A$2:$A$9999=$A9)*('Raw Data'!$C$2:$C$9999=$C$3)*'Raw Data'!$D$2:$D$9999*'Raw Data'!$AO$2:$AO$9999)/SUMIFS('Raw Data'!$D:$D, 'Raw Data'!$B:$B, "Variant", 'Raw Data'!$A:$A, $A9, 'Raw Data'!$C:$C, $C$3),""))</f>
        <v>48.89</v>
      </c>
      <c r="DN9" s="104"/>
      <c r="DO9" s="103"/>
      <c r="DP9" s="96">
        <f>IF($A9="","",IFERROR(SUMPRODUCT(('Raw Data'!$B$2:$B$9999="Variant")*('Raw Data'!$A$2:$A$9999=$A9)*('Raw Data'!$C$2:$C$9999=$C$3)*'Raw Data'!$D$2:$D$9999*'Raw Data'!$AP$2:$AP$9999)/SUMIFS('Raw Data'!$D:$D, 'Raw Data'!$B:$B, "Variant", 'Raw Data'!$A:$A, $A9, 'Raw Data'!$C:$C, $C$3),""))</f>
        <v>31.92</v>
      </c>
      <c r="DQ9" s="104"/>
      <c r="DR9" s="102">
        <f>IF($A9="","",IFERROR(SUMPRODUCT(('Raw Data'!$B$2:$B$9999="Control")*('Raw Data'!$A$2:$A$9999=$A9)*('Raw Data'!$C$2:$C$9999=$C$3)*'Raw Data'!$D$2:$D$9999*'Raw Data'!$AQ$2:$AQ$9999)/SUMIFS('Raw Data'!$D:$D, 'Raw Data'!$B:$B, "Control", 'Raw Data'!$A:$A, $A9, 'Raw Data'!$C:$C, $C$3),""))</f>
        <v>33.7398</v>
      </c>
      <c r="DS9" s="102">
        <f>IF($A9="","",IFERROR(SUMPRODUCT(('Raw Data'!$B$2:$B$9999="Variant")*('Raw Data'!$A$2:$A$9999=$A9)*('Raw Data'!$C$2:$C$9999=$C$3)*'Raw Data'!$D$2:$D$9999*'Raw Data'!$AQ$2:$AQ$9999)/SUMIFS('Raw Data'!$D:$D, 'Raw Data'!$B:$B, "Variant", 'Raw Data'!$A:$A, $A9, 'Raw Data'!$C:$C, $C$3),""))</f>
        <v>36.4162</v>
      </c>
      <c r="DT9" s="105">
        <f t="shared" si="37"/>
        <v>0.07932471443</v>
      </c>
      <c r="DU9" s="102">
        <f>IF($A9="","",IFERROR(SUMPRODUCT(('Raw Data'!$B$2:$B$9999="Control")*('Raw Data'!$A$2:$A$9999=$A9)*('Raw Data'!$C$2:$C$9999=$C$3)*'Raw Data'!$D$2:$D$9999*'Raw Data'!$AR$2:$AR$9999)/SUMIFS('Raw Data'!$D:$D, 'Raw Data'!$B:$B, "Control", 'Raw Data'!$A:$A, $A9, 'Raw Data'!$C:$C, $C$3),""))</f>
        <v>2.2104</v>
      </c>
      <c r="DV9" s="102">
        <f>IF($A9="","",IFERROR(SUMPRODUCT(('Raw Data'!$B$2:$B$9999="Variant")*('Raw Data'!$A$2:$A$9999=$A9)*('Raw Data'!$C$2:$C$9999=$C$3)*'Raw Data'!$D$2:$D$9999*'Raw Data'!$AR$2:$AR$9999)/SUMIFS('Raw Data'!$D:$D, 'Raw Data'!$B:$B, "Variant", 'Raw Data'!$A:$A, $A9, 'Raw Data'!$C:$C, $C$3),""))</f>
        <v>3.2303</v>
      </c>
      <c r="DW9" s="105">
        <f t="shared" si="38"/>
        <v>0.4614096996</v>
      </c>
      <c r="DX9" s="102">
        <f>IF($A9="","",IFERROR(SUMPRODUCT(('Raw Data'!$B$2:$B$9999="Control")*('Raw Data'!$A$2:$A$9999=$A9)*('Raw Data'!$C$2:$C$9999=$C$3)*'Raw Data'!$D$2:$D$9999*'Raw Data'!$AS$2:$AS$9999)/SUMIFS('Raw Data'!$D:$D, 'Raw Data'!$B:$B, "Control", 'Raw Data'!$A:$A, $A9, 'Raw Data'!$C:$C, $C$3),""))</f>
        <v>31.5294</v>
      </c>
      <c r="DY9" s="102">
        <f>IF($A9="","",IFERROR(SUMPRODUCT(('Raw Data'!$B$2:$B$9999="Variant")*('Raw Data'!$A$2:$A$9999=$A9)*('Raw Data'!$C$2:$C$9999=$C$3)*'Raw Data'!$D$2:$D$9999*'Raw Data'!$AS$2:$AS$9999)/SUMIFS('Raw Data'!$D:$D, 'Raw Data'!$B:$B, "Variant", 'Raw Data'!$A:$A, $A9, 'Raw Data'!$C:$C, $C$3),""))</f>
        <v>33.1859</v>
      </c>
      <c r="DZ9" s="106">
        <f t="shared" si="39"/>
        <v>0.05253826587</v>
      </c>
      <c r="EA9" s="102">
        <f>IF($A9="","",IFERROR(SUMPRODUCT(('Raw Data'!$B$2:$B$9999="Control")*('Raw Data'!$A$2:$A$9999=$A9)*('Raw Data'!$C$2:$C$9999=$C$3)*'Raw Data'!$D$2:$D$9999*'Raw Data'!$AT$2:$AT$9999)/SUMIFS('Raw Data'!$D:$D, 'Raw Data'!$B:$B, "Control", 'Raw Data'!$A:$A, $A9, 'Raw Data'!$C:$C, $C$3),""))</f>
        <v>39.2805</v>
      </c>
      <c r="EB9" s="102">
        <f>IF($A9="","",IFERROR(SUMPRODUCT(('Raw Data'!$B$2:$B$9999="Variant")*('Raw Data'!$A$2:$A$9999=$A9)*('Raw Data'!$C$2:$C$9999=$C$3)*'Raw Data'!$D$2:$D$9999*'Raw Data'!$AT$2:$AT$9999)/SUMIFS('Raw Data'!$D:$D, 'Raw Data'!$B:$B, "Variant", 'Raw Data'!$A:$A, $A9, 'Raw Data'!$C:$C, $C$3),""))</f>
        <v>38.8182</v>
      </c>
      <c r="EC9" s="106">
        <f t="shared" si="40"/>
        <v>-0.01176919846</v>
      </c>
      <c r="ED9" s="102">
        <f>IF($A9="","",IFERROR(SUMPRODUCT(('Raw Data'!$B$2:$B$9999="Control")*('Raw Data'!$A$2:$A$9999=$A9)*('Raw Data'!$C$2:$C$9999=$C$3)*'Raw Data'!$D$2:$D$9999*('Raw Data'!$AQ$2:$AQ$9999-'Raw Data'!$AT$2:$AT$9999))/SUMIFS('Raw Data'!$D:$D, 'Raw Data'!$B:$B, "Control", 'Raw Data'!$A:$A, $A9, 'Raw Data'!$C:$C, $C$3),""))</f>
        <v>-5.5407</v>
      </c>
      <c r="EE9" s="102">
        <f>IF($A9="","",IFERROR(SUMPRODUCT(('Raw Data'!$B$2:$B$9999="Variant")*('Raw Data'!$A$2:$A$9999=$A9)*('Raw Data'!$C$2:$C$9999=$C$3)*'Raw Data'!$D$2:$D$9999*('Raw Data'!$AQ$2:$AQ$9999-'Raw Data'!$AT$2:$AT$9999))/SUMIFS('Raw Data'!$D:$D, 'Raw Data'!$B:$B, "Variant", 'Raw Data'!$A:$A, $A9, 'Raw Data'!$C:$C, $C$3),""))</f>
        <v>-2.402</v>
      </c>
      <c r="EF9" s="106">
        <f t="shared" si="41"/>
        <v>0.5664807696</v>
      </c>
      <c r="EG9" s="102">
        <f>IF($A9="","",IFERROR(SUMPRODUCT(('Raw Data'!$B$2:$B$9999="Control")*('Raw Data'!$A$2:$A$9999=$A9)*('Raw Data'!$C$2:$C$9999=$C$3)*'Raw Data'!$D$2:$D$9999*'Raw Data'!$AU$2:$AU$9999)/SUMIFS('Raw Data'!$D:$D, 'Raw Data'!$B:$B, "Control", 'Raw Data'!$A:$A, $A9, 'Raw Data'!$C:$C, $C$3),""))</f>
        <v>0.2492</v>
      </c>
      <c r="EH9" s="102">
        <f>IF($A9="","",IFERROR(SUMPRODUCT(('Raw Data'!$B$2:$B$9999="Variant")*('Raw Data'!$A$2:$A$9999=$A9)*('Raw Data'!$C$2:$C$9999=$C$3)*'Raw Data'!$D$2:$D$9999*'Raw Data'!$AU$2:$AU$9999)/SUMIFS('Raw Data'!$D:$D, 'Raw Data'!$B:$B, "Variant", 'Raw Data'!$A:$A, $A9, 'Raw Data'!$C:$C, $C$3),""))</f>
        <v>0.2545</v>
      </c>
      <c r="EI9" s="105">
        <f t="shared" si="42"/>
        <v>0.02126805778</v>
      </c>
    </row>
    <row r="10">
      <c r="A10" s="93">
        <v>46178.0</v>
      </c>
      <c r="B10" s="94">
        <f>IF($A10="","",SUMIFS('Raw Data'!$D:$D, 'Raw Data'!$B:$B, "Control", 'Raw Data'!$A:$A, $A10, 'Raw Data'!$C:$C, $C$3))</f>
        <v>457</v>
      </c>
      <c r="C10" s="94">
        <f>IF($A10="","",SUMIFS('Raw Data'!$D:$D, 'Raw Data'!$B:$B, "Variant", 'Raw Data'!$A:$A, $A10, 'Raw Data'!$C:$C, $C$3))</f>
        <v>468</v>
      </c>
      <c r="D10" s="95">
        <f t="shared" si="1"/>
        <v>0.02407002188</v>
      </c>
      <c r="E10" s="96">
        <f>IF($A10="","",IFERROR(SUMPRODUCT(('Raw Data'!$B$2:$B$9999="Control")*('Raw Data'!$A$2:$A$9999=$A10)*('Raw Data'!$C$2:$C$9999=$C$3)*'Raw Data'!$D$2:$D$9999*'Raw Data'!$E$2:$E$9999)/SUMIFS('Raw Data'!$D:$D, 'Raw Data'!$B:$B, "Control", 'Raw Data'!$A:$A, $A10, 'Raw Data'!$C:$C, $C$3),""))</f>
        <v>0.56</v>
      </c>
      <c r="F10" s="96">
        <f>IF($A10="","",IFERROR(SUMPRODUCT(('Raw Data'!$B$2:$B$9999="Variant")*('Raw Data'!$A$2:$A$9999=$A10)*('Raw Data'!$C$2:$C$9999=$C$3)*'Raw Data'!$D$2:$D$9999*'Raw Data'!$E$2:$E$9999)/SUMIFS('Raw Data'!$D:$D, 'Raw Data'!$B:$B, "Variant", 'Raw Data'!$A:$A, $A10, 'Raw Data'!$C:$C, $C$3),""))</f>
        <v>0.58</v>
      </c>
      <c r="G10" s="95">
        <f t="shared" si="2"/>
        <v>0.03571428571</v>
      </c>
      <c r="H10" s="97">
        <f>IF($A10="","",SUMIFS('Raw Data'!$F:$F, 'Raw Data'!$B:$B, "Control", 'Raw Data'!$A:$A, $A10, 'Raw Data'!$C:$C, $C$3))</f>
        <v>1583.13</v>
      </c>
      <c r="I10" s="97">
        <f>IF($A10="","",SUMIFS('Raw Data'!$F:$F, 'Raw Data'!$B:$B, "Variant", 'Raw Data'!$A:$A, $A10, 'Raw Data'!$C:$C, $C$3))</f>
        <v>2015.55</v>
      </c>
      <c r="J10" s="100">
        <f t="shared" si="3"/>
        <v>0.2731424457</v>
      </c>
      <c r="K10" s="99">
        <f>IF($A10="","",IFERROR(SUMIFS('Raw Data'!$F:$F, 'Raw Data'!$B:$B, "Control", 'Raw Data'!$A:$A, $A10, 'Raw Data'!$C:$C, $C$3)/SUMIFS('Raw Data'!$D:$D, 'Raw Data'!$B:$B, "Control", 'Raw Data'!$A:$A, $A10, 'Raw Data'!$C:$C, $C$3),""))</f>
        <v>3.464179431</v>
      </c>
      <c r="L10" s="99">
        <f>IF($A10="","",IFERROR(SUMIFS('Raw Data'!$F:$F, 'Raw Data'!$B:$B, "Variant", 'Raw Data'!$A:$A, $A10, 'Raw Data'!$C:$C, $C$3)/SUMIFS('Raw Data'!$D:$D, 'Raw Data'!$B:$B, "Variant", 'Raw Data'!$A:$A, $A10, 'Raw Data'!$C:$C, $C$3),""))</f>
        <v>4.306730769</v>
      </c>
      <c r="M10" s="100">
        <f t="shared" si="4"/>
        <v>0.2432181574</v>
      </c>
      <c r="N10" s="96">
        <f>IF($A10="","",IFERROR(SUMPRODUCT(('Raw Data'!$B$2:$B$9999="Control")*('Raw Data'!$A$2:$A$9999=$A10)*('Raw Data'!$C$2:$C$9999=$C$3)*'Raw Data'!$D$2:$D$9999*'Raw Data'!$H$2:$H$9999/100)/SUMIFS('Raw Data'!$D:$D, 'Raw Data'!$B:$B, "Control", 'Raw Data'!$A:$A, $A10, 'Raw Data'!$C:$C, $C$3)*100,""))</f>
        <v>15.54</v>
      </c>
      <c r="O10" s="96">
        <f>IF($A10="","",IFERROR(SUMPRODUCT(('Raw Data'!$B$2:$B$9999="Variant")*('Raw Data'!$A$2:$A$9999=$A10)*('Raw Data'!$C$2:$C$9999=$C$3)*'Raw Data'!$D$2:$D$9999*'Raw Data'!$H$2:$H$9999/100)/SUMIFS('Raw Data'!$D:$D, 'Raw Data'!$B:$B, "Variant", 'Raw Data'!$A:$A, $A10, 'Raw Data'!$C:$C, $C$3)*100,""))</f>
        <v>16.03</v>
      </c>
      <c r="P10" s="100">
        <f t="shared" si="5"/>
        <v>0.03153153153</v>
      </c>
      <c r="Q10" s="99">
        <f>IF($A10="","",IFERROR(SUMIFS('Raw Data'!$F:$F, 'Raw Data'!$B:$B, "Control", 'Raw Data'!$A:$A, $A10, 'Raw Data'!$C:$C, $C$3)/SUMPRODUCT(('Raw Data'!$B$2:$B$9999="Control")*('Raw Data'!$A$2:$A$9999=$A10)*('Raw Data'!$C$2:$C$9999=$C$3)*'Raw Data'!$D$2:$D$9999*'Raw Data'!$H$2:$H$9999/100),""))</f>
        <v>22.29201693</v>
      </c>
      <c r="R10" s="99">
        <f>IF($A10="","",IFERROR(SUMIFS('Raw Data'!$F:$F, 'Raw Data'!$B:$B, "Variant", 'Raw Data'!$A:$A, $A10, 'Raw Data'!$C:$C, $C$3)/SUMPRODUCT(('Raw Data'!$B$2:$B$9999="Variant")*('Raw Data'!$A$2:$A$9999=$A10)*('Raw Data'!$C$2:$C$9999=$C$3)*'Raw Data'!$D$2:$D$9999*'Raw Data'!$H$2:$H$9999/100),""))</f>
        <v>26.86669226</v>
      </c>
      <c r="S10" s="100">
        <f t="shared" si="6"/>
        <v>0.2052158557</v>
      </c>
      <c r="T10" s="101">
        <f>IF($A10="","",IFERROR(SUMPRODUCT(('Raw Data'!$B$2:$B$9999="Control")*('Raw Data'!$A$2:$A$9999=$A10)*('Raw Data'!$C$2:$C$9999=$C$3)*'Raw Data'!$D$2:$D$9999*'Raw Data'!$J$2:$J$9999)/SUMIFS('Raw Data'!$D:$D, 'Raw Data'!$B:$B, "Control", 'Raw Data'!$A:$A, $A10, 'Raw Data'!$C:$C, $C$3),""))</f>
        <v>248.41</v>
      </c>
      <c r="U10" s="101">
        <f>IF($A10="","",IFERROR(SUMPRODUCT(('Raw Data'!$B$2:$B$9999="Variant")*('Raw Data'!$A$2:$A$9999=$A10)*('Raw Data'!$C$2:$C$9999=$C$3)*'Raw Data'!$D$2:$D$9999*'Raw Data'!$J$2:$J$9999)/SUMIFS('Raw Data'!$D:$D, 'Raw Data'!$B:$B, "Variant", 'Raw Data'!$A:$A, $A10, 'Raw Data'!$C:$C, $C$3),""))</f>
        <v>252.46</v>
      </c>
      <c r="V10" s="100">
        <f t="shared" si="7"/>
        <v>0.01630369148</v>
      </c>
      <c r="W10" s="101">
        <f>IF($A10="","",IFERROR(SUMPRODUCT(('Raw Data'!$B$2:$B$9999="Control")*('Raw Data'!$A$2:$A$9999=$A10)*('Raw Data'!$C$2:$C$9999=$C$3)*'Raw Data'!$D$2:$D$9999*'Raw Data'!$K$2:$K$9999)/SUMIFS('Raw Data'!$D:$D, 'Raw Data'!$B:$B, "Control", 'Raw Data'!$A:$A, $A10, 'Raw Data'!$C:$C, $C$3),""))</f>
        <v>150.69</v>
      </c>
      <c r="X10" s="101">
        <f>IF($A10="","",IFERROR(SUMPRODUCT(('Raw Data'!$B$2:$B$9999="Variant")*('Raw Data'!$A$2:$A$9999=$A10)*('Raw Data'!$C$2:$C$9999=$C$3)*'Raw Data'!$D$2:$D$9999*'Raw Data'!$K$2:$K$9999)/SUMIFS('Raw Data'!$D:$D, 'Raw Data'!$B:$B, "Variant", 'Raw Data'!$A:$A, $A10, 'Raw Data'!$C:$C, $C$3),""))</f>
        <v>148.31</v>
      </c>
      <c r="Y10" s="98">
        <f t="shared" si="8"/>
        <v>-0.0157940142</v>
      </c>
      <c r="Z10" s="101">
        <f>IF($A10="","",IFERROR(SUMPRODUCT(('Raw Data'!$B$2:$B$9999="Control")*('Raw Data'!$A$2:$A$9999=$A10)*('Raw Data'!$C$2:$C$9999=$C$3)*'Raw Data'!$D$2:$D$9999*'Raw Data'!$L$2:$L$9999)/SUMIFS('Raw Data'!$D:$D, 'Raw Data'!$B:$B, "Control", 'Raw Data'!$A:$A, $A10, 'Raw Data'!$C:$C, $C$3),""))</f>
        <v>127.82</v>
      </c>
      <c r="AA10" s="101">
        <f>IF($A10="","",IFERROR(SUMPRODUCT(('Raw Data'!$B$2:$B$9999="Variant")*('Raw Data'!$A$2:$A$9999=$A10)*('Raw Data'!$C$2:$C$9999=$C$3)*'Raw Data'!$D$2:$D$9999*'Raw Data'!$L$2:$L$9999)/SUMIFS('Raw Data'!$D:$D, 'Raw Data'!$B:$B, "Variant", 'Raw Data'!$A:$A, $A10, 'Raw Data'!$C:$C, $C$3),""))</f>
        <v>125.32</v>
      </c>
      <c r="AB10" s="98">
        <f t="shared" si="9"/>
        <v>-0.0195587545</v>
      </c>
      <c r="AC10" s="102">
        <f>IF($A10="","",IFERROR(SUMPRODUCT(('Raw Data'!$B$2:$B$9999="Control")*('Raw Data'!$A$2:$A$9999=$A10)*('Raw Data'!$C$2:$C$9999=$C$3)*'Raw Data'!$D$2:$D$9999*'Raw Data'!$M$2:$M$9999)/SUMIFS('Raw Data'!$D:$D, 'Raw Data'!$B:$B, "Control", 'Raw Data'!$A:$A, $A10, 'Raw Data'!$C:$C, $C$3),""))</f>
        <v>0.8482</v>
      </c>
      <c r="AD10" s="102">
        <f>IF($A10="","",IFERROR(SUMPRODUCT(('Raw Data'!$B$2:$B$9999="Variant")*('Raw Data'!$A$2:$A$9999=$A10)*('Raw Data'!$C$2:$C$9999=$C$3)*'Raw Data'!$D$2:$D$9999*'Raw Data'!$M$2:$M$9999)/SUMIFS('Raw Data'!$D:$D, 'Raw Data'!$B:$B, "Variant", 'Raw Data'!$A:$A, $A10, 'Raw Data'!$C:$C, $C$3),""))</f>
        <v>0.845</v>
      </c>
      <c r="AE10" s="98">
        <f t="shared" si="10"/>
        <v>-0.003772695119</v>
      </c>
      <c r="AF10" s="102">
        <f>IF($A10="","",IFERROR(SUMPRODUCT(('Raw Data'!$B$2:$B$9999="Control")*('Raw Data'!$A$2:$A$9999=$A10)*('Raw Data'!$C$2:$C$9999=$C$3)*'Raw Data'!$D$2:$D$9999*'Raw Data'!$N$2:$N$9999)/SUMIFS('Raw Data'!$D:$D, 'Raw Data'!$B:$B, "Control", 'Raw Data'!$A:$A, $A10, 'Raw Data'!$C:$C, $C$3),""))</f>
        <v>0.2787</v>
      </c>
      <c r="AG10" s="102">
        <f>IF($A10="","",IFERROR(SUMPRODUCT(('Raw Data'!$B$2:$B$9999="Variant")*('Raw Data'!$A$2:$A$9999=$A10)*('Raw Data'!$C$2:$C$9999=$C$3)*'Raw Data'!$D$2:$D$9999*'Raw Data'!$N$2:$N$9999)/SUMIFS('Raw Data'!$D:$D, 'Raw Data'!$B:$B, "Variant", 'Raw Data'!$A:$A, $A10, 'Raw Data'!$C:$C, $C$3),""))</f>
        <v>0.2806</v>
      </c>
      <c r="AH10" s="98">
        <f t="shared" si="11"/>
        <v>0.006817366344</v>
      </c>
      <c r="AI10" s="102">
        <f>IF($A10="","",IFERROR(SUMPRODUCT(('Raw Data'!$B$2:$B$9999="Control")*('Raw Data'!$A$2:$A$9999=$A10)*('Raw Data'!$C$2:$C$9999=$C$3)*'Raw Data'!$D$2:$D$9999*'Raw Data'!$O$2:$O$9999)/SUMIFS('Raw Data'!$D:$D, 'Raw Data'!$B:$B, "Control", 'Raw Data'!$A:$A, $A10, 'Raw Data'!$C:$C, $C$3),""))</f>
        <v>0.1902</v>
      </c>
      <c r="AJ10" s="102">
        <f>IF($A10="","",IFERROR(SUMPRODUCT(('Raw Data'!$B$2:$B$9999="Variant")*('Raw Data'!$A$2:$A$9999=$A10)*('Raw Data'!$C$2:$C$9999=$C$3)*'Raw Data'!$D$2:$D$9999*'Raw Data'!$O$2:$O$9999)/SUMIFS('Raw Data'!$D:$D, 'Raw Data'!$B:$B, "Variant", 'Raw Data'!$A:$A, $A10, 'Raw Data'!$C:$C, $C$3),""))</f>
        <v>0.1882</v>
      </c>
      <c r="AK10" s="100">
        <f t="shared" si="12"/>
        <v>-0.01051524711</v>
      </c>
      <c r="AL10" s="101">
        <f>IF($A10="","",IFERROR(SUMPRODUCT(('Raw Data'!$B$2:$B$9999="Control")*('Raw Data'!$A$2:$A$9999=$A10)*('Raw Data'!$C$2:$C$9999=$C$3)*'Raw Data'!$D$2:$D$9999*'Raw Data'!$P$2:$P$9999)/SUMIFS('Raw Data'!$D:$D, 'Raw Data'!$B:$B, "Control", 'Raw Data'!$A:$A, $A10, 'Raw Data'!$C:$C, $C$3),""))</f>
        <v>1.1789</v>
      </c>
      <c r="AM10" s="101">
        <f>IF($A10="","",IFERROR(SUMPRODUCT(('Raw Data'!$B$2:$B$9999="Variant")*('Raw Data'!$A$2:$A$9999=$A10)*('Raw Data'!$C$2:$C$9999=$C$3)*'Raw Data'!$D$2:$D$9999*'Raw Data'!$P$2:$P$9999)/SUMIFS('Raw Data'!$D:$D, 'Raw Data'!$B:$B, "Variant", 'Raw Data'!$A:$A, $A10, 'Raw Data'!$C:$C, $C$3),""))</f>
        <v>1.1835</v>
      </c>
      <c r="AN10" s="98">
        <f t="shared" si="13"/>
        <v>0.003901942489</v>
      </c>
      <c r="AO10" s="101">
        <f>IF($A10="","",IFERROR(SUMPRODUCT(('Raw Data'!$B$2:$B$9999="Control")*('Raw Data'!$A$2:$A$9999=$A10)*('Raw Data'!$C$2:$C$9999=$C$3)*'Raw Data'!$D$2:$D$9999*'Raw Data'!$Q$2:$Q$9999)/SUMIFS('Raw Data'!$D:$D, 'Raw Data'!$B:$B, "Control", 'Raw Data'!$A:$A, $A10, 'Raw Data'!$C:$C, $C$3),""))</f>
        <v>836.31</v>
      </c>
      <c r="AP10" s="101">
        <f>IF($A10="","",IFERROR(SUMPRODUCT(('Raw Data'!$B$2:$B$9999="Variant")*('Raw Data'!$A$2:$A$9999=$A10)*('Raw Data'!$C$2:$C$9999=$C$3)*'Raw Data'!$D$2:$D$9999*'Raw Data'!$Q$2:$Q$9999)/SUMIFS('Raw Data'!$D:$D, 'Raw Data'!$B:$B, "Variant", 'Raw Data'!$A:$A, $A10, 'Raw Data'!$C:$C, $C$3),""))</f>
        <v>817.7</v>
      </c>
      <c r="AQ10" s="95">
        <f t="shared" si="14"/>
        <v>-0.02225251402</v>
      </c>
      <c r="AR10" s="101">
        <f>IF($A10="","",IFERROR(SUMPRODUCT(('Raw Data'!$B$2:$B$9999="Control")*('Raw Data'!$A$2:$A$9999=$A10)*('Raw Data'!$C$2:$C$9999=$C$3)*'Raw Data'!$D$2:$D$9999*'Raw Data'!$R$2:$R$9999)/SUMIFS('Raw Data'!$D:$D, 'Raw Data'!$B:$B, "Control", 'Raw Data'!$A:$A, $A10, 'Raw Data'!$C:$C, $C$3),""))</f>
        <v>564.25</v>
      </c>
      <c r="AS10" s="101">
        <f>IF($A10="","",IFERROR(SUMPRODUCT(('Raw Data'!$B$2:$B$9999="Variant")*('Raw Data'!$A$2:$A$9999=$A10)*('Raw Data'!$C$2:$C$9999=$C$3)*'Raw Data'!$D$2:$D$9999*'Raw Data'!$R$2:$R$9999)/SUMIFS('Raw Data'!$D:$D, 'Raw Data'!$B:$B, "Variant", 'Raw Data'!$A:$A, $A10, 'Raw Data'!$C:$C, $C$3),""))</f>
        <v>720.09</v>
      </c>
      <c r="AT10" s="95">
        <f t="shared" si="15"/>
        <v>0.2761896323</v>
      </c>
      <c r="AU10" s="101">
        <f>IF($A10="","",IFERROR(SUMPRODUCT(('Raw Data'!$B$2:$B$9999="Control")*('Raw Data'!$A$2:$A$9999=$A10)*('Raw Data'!$C$2:$C$9999=$C$3)*'Raw Data'!$D$2:$D$9999*'Raw Data'!$S$2:$S$9999)/SUMIFS('Raw Data'!$D:$D, 'Raw Data'!$B:$B, "Control", 'Raw Data'!$A:$A, $A10, 'Raw Data'!$C:$C, $C$3),""))</f>
        <v>272.06</v>
      </c>
      <c r="AV10" s="101">
        <f>IF($A10="","",IFERROR(SUMPRODUCT(('Raw Data'!$B$2:$B$9999="Variant")*('Raw Data'!$A$2:$A$9999=$A10)*('Raw Data'!$C$2:$C$9999=$C$3)*'Raw Data'!$D$2:$D$9999*'Raw Data'!$S$2:$S$9999)/SUMIFS('Raw Data'!$D:$D, 'Raw Data'!$B:$B, "Variant", 'Raw Data'!$A:$A, $A10, 'Raw Data'!$C:$C, $C$3),""))</f>
        <v>97.61</v>
      </c>
      <c r="AW10" s="95">
        <f t="shared" si="16"/>
        <v>-0.6412188488</v>
      </c>
      <c r="AX10" s="101">
        <f>IF($A10="","",IFERROR(SUMPRODUCT(('Raw Data'!$B$2:$B$9999="Control")*('Raw Data'!$A$2:$A$9999=$A10)*('Raw Data'!$C$2:$C$9999=$C$3)*'Raw Data'!$D$2:$D$9999*'Raw Data'!$T$2:$T$9999)/SUMIFS('Raw Data'!$D:$D, 'Raw Data'!$B:$B, "Control", 'Raw Data'!$A:$A, $A10, 'Raw Data'!$C:$C, $C$3),""))</f>
        <v>233.04</v>
      </c>
      <c r="AY10" s="101">
        <f>IF($A10="","",IFERROR(SUMPRODUCT(('Raw Data'!$B$2:$B$9999="Variant")*('Raw Data'!$A$2:$A$9999=$A10)*('Raw Data'!$C$2:$C$9999=$C$3)*'Raw Data'!$D$2:$D$9999*'Raw Data'!$T$2:$T$9999)/SUMIFS('Raw Data'!$D:$D, 'Raw Data'!$B:$B, "Variant", 'Raw Data'!$A:$A, $A10, 'Raw Data'!$C:$C, $C$3),""))</f>
        <v>271.37</v>
      </c>
      <c r="AZ10" s="100">
        <f t="shared" si="17"/>
        <v>0.1644782012</v>
      </c>
      <c r="BA10" s="101">
        <f>IF($A10="","",IFERROR(SUMPRODUCT(('Raw Data'!$B$2:$B$9999="Control")*('Raw Data'!$A$2:$A$9999=$A10)*('Raw Data'!$C$2:$C$9999=$C$3)*'Raw Data'!$D$2:$D$9999*'Raw Data'!$U$2:$U$9999)/SUMIFS('Raw Data'!$D:$D, 'Raw Data'!$B:$B, "Control", 'Raw Data'!$A:$A, $A10, 'Raw Data'!$C:$C, $C$3),""))</f>
        <v>603.26</v>
      </c>
      <c r="BB10" s="101">
        <f>IF($A10="","",IFERROR(SUMPRODUCT(('Raw Data'!$B$2:$B$9999="Variant")*('Raw Data'!$A$2:$A$9999=$A10)*('Raw Data'!$C$2:$C$9999=$C$3)*'Raw Data'!$D$2:$D$9999*'Raw Data'!$U$2:$U$9999)/SUMIFS('Raw Data'!$D:$D, 'Raw Data'!$B:$B, "Variant", 'Raw Data'!$A:$A, $A10, 'Raw Data'!$C:$C, $C$3),""))</f>
        <v>546.33</v>
      </c>
      <c r="BC10" s="95">
        <f t="shared" si="18"/>
        <v>-0.09437058648</v>
      </c>
      <c r="BD10" s="101">
        <f>IF($A10="","",IFERROR(SUMPRODUCT(('Raw Data'!$B$2:$B$9999="Control")*('Raw Data'!$A$2:$A$9999=$A10)*('Raw Data'!$C$2:$C$9999=$C$3)*'Raw Data'!$D$2:$D$9999*'Raw Data'!$V$2:$V$9999)/SUMIFS('Raw Data'!$D:$D, 'Raw Data'!$B:$B, "Control", 'Raw Data'!$A:$A, $A10, 'Raw Data'!$C:$C, $C$3),""))</f>
        <v>856.24</v>
      </c>
      <c r="BE10" s="101">
        <f>IF($A10="","",IFERROR(SUMPRODUCT(('Raw Data'!$B$2:$B$9999="Variant")*('Raw Data'!$A$2:$A$9999=$A10)*('Raw Data'!$C$2:$C$9999=$C$3)*'Raw Data'!$D$2:$D$9999*'Raw Data'!$V$2:$V$9999)/SUMIFS('Raw Data'!$D:$D, 'Raw Data'!$B:$B, "Variant", 'Raw Data'!$A:$A, $A10, 'Raw Data'!$C:$C, $C$3),""))</f>
        <v>822.33</v>
      </c>
      <c r="BF10" s="95">
        <f t="shared" si="19"/>
        <v>-0.03960338223</v>
      </c>
      <c r="BG10" s="101">
        <f>IF($A10="","",IFERROR(SUMPRODUCT(('Raw Data'!$B$2:$B$9999="Control")*('Raw Data'!$A$2:$A$9999=$A10)*('Raw Data'!$C$2:$C$9999=$C$3)*'Raw Data'!$D$2:$D$9999*('Raw Data'!$Q$2:$Q$9999-'Raw Data'!$V$2:$V$9999))/SUMIFS('Raw Data'!$D:$D, 'Raw Data'!$B:$B, "Control", 'Raw Data'!$A:$A, $A10, 'Raw Data'!$C:$C, $C$3),""))</f>
        <v>-19.93</v>
      </c>
      <c r="BH10" s="101">
        <f>IF($A10="","",IFERROR(SUMPRODUCT(('Raw Data'!$B$2:$B$9999="Variant")*('Raw Data'!$A$2:$A$9999=$A10)*('Raw Data'!$C$2:$C$9999=$C$3)*'Raw Data'!$D$2:$D$9999*('Raw Data'!$Q$2:$Q$9999-'Raw Data'!$V$2:$V$9999))/SUMIFS('Raw Data'!$D:$D, 'Raw Data'!$B:$B, "Variant", 'Raw Data'!$A:$A, $A10, 'Raw Data'!$C:$C, $C$3),""))</f>
        <v>-4.63</v>
      </c>
      <c r="BI10" s="95">
        <f t="shared" si="20"/>
        <v>0.7676869042</v>
      </c>
      <c r="BJ10" s="101">
        <f>IF($A10="","",IFERROR(SUMPRODUCT(('Raw Data'!$B$2:$B$9999="Control")*('Raw Data'!$A$2:$A$9999=$A10)*('Raw Data'!$C$2:$C$9999=$C$3)*'Raw Data'!$D$2:$D$9999*'Raw Data'!$W$2:$W$9999)/SUMIFS('Raw Data'!$D:$D, 'Raw Data'!$B:$B, "Control", 'Raw Data'!$A:$A, $A10, 'Raw Data'!$C:$C, $C$3),""))</f>
        <v>5.6822</v>
      </c>
      <c r="BK10" s="101">
        <f>IF($A10="","",IFERROR(SUMPRODUCT(('Raw Data'!$B$2:$B$9999="Variant")*('Raw Data'!$A$2:$A$9999=$A10)*('Raw Data'!$C$2:$C$9999=$C$3)*'Raw Data'!$D$2:$D$9999*'Raw Data'!$W$2:$W$9999)/SUMIFS('Raw Data'!$D:$D, 'Raw Data'!$B:$B, "Variant", 'Raw Data'!$A:$A, $A10, 'Raw Data'!$C:$C, $C$3),""))</f>
        <v>5.5445</v>
      </c>
      <c r="BL10" s="95">
        <f t="shared" si="21"/>
        <v>-0.0242335715</v>
      </c>
      <c r="BM10" s="102">
        <f>IF($A10="","",IFERROR(SUMPRODUCT(('Raw Data'!$B$2:$B$9999="Control")*('Raw Data'!$A$2:$A$9999=$A10)*('Raw Data'!$C$2:$C$9999=$C$3)*'Raw Data'!$D$2:$D$9999*'Raw Data'!$X$2:$X$9999)/SUMIFS('Raw Data'!$D:$D, 'Raw Data'!$B:$B, "Control", 'Raw Data'!$A:$A, $A10, 'Raw Data'!$C:$C, $C$3),""))</f>
        <v>27.87</v>
      </c>
      <c r="BN10" s="102">
        <f>IF($A10="","",IFERROR(SUMPRODUCT(('Raw Data'!$B$2:$B$9999="Variant")*('Raw Data'!$A$2:$A$9999=$A10)*('Raw Data'!$C$2:$C$9999=$C$3)*'Raw Data'!$D$2:$D$9999*'Raw Data'!$X$2:$X$9999)/SUMIFS('Raw Data'!$D:$D, 'Raw Data'!$B:$B, "Variant", 'Raw Data'!$A:$A, $A10, 'Raw Data'!$C:$C, $C$3),""))</f>
        <v>33.19</v>
      </c>
      <c r="BO10" s="100">
        <f t="shared" si="22"/>
        <v>0.1908862576</v>
      </c>
      <c r="BP10" s="94">
        <f>IF($A10="","",IFERROR(SUMPRODUCT(('Raw Data'!$B$2:$B$9999="Control")*('Raw Data'!$A$2:$A$9999=$A10)*('Raw Data'!$C$2:$C$9999=$C$3)*'Raw Data'!$D$2:$D$9999*'Raw Data'!$Y$2:$Y$9999)/SUMIFS('Raw Data'!$D:$D, 'Raw Data'!$B:$B, "Control", 'Raw Data'!$A:$A, $A10, 'Raw Data'!$C:$C, $C$3),""))</f>
        <v>544</v>
      </c>
      <c r="BQ10" s="94">
        <f>IF($A10="","",IFERROR(SUMPRODUCT(('Raw Data'!$B$2:$B$9999="Variant")*('Raw Data'!$A$2:$A$9999=$A10)*('Raw Data'!$C$2:$C$9999=$C$3)*'Raw Data'!$D$2:$D$9999*'Raw Data'!$Y$2:$Y$9999)/SUMIFS('Raw Data'!$D:$D, 'Raw Data'!$B:$B, "Variant", 'Raw Data'!$A:$A, $A10, 'Raw Data'!$C:$C, $C$3),""))</f>
        <v>567</v>
      </c>
      <c r="BR10" s="95">
        <f t="shared" si="23"/>
        <v>0.04227941176</v>
      </c>
      <c r="BS10" s="94">
        <f>IF($A10="","",IFERROR(SUMPRODUCT(('Raw Data'!$B$2:$B$9999="Control")*('Raw Data'!$A$2:$A$9999=$A10)*('Raw Data'!$C$2:$C$9999=$C$3)*'Raw Data'!$D$2:$D$9999*'Raw Data'!$Z$2:$Z$9999)/SUMIFS('Raw Data'!$D:$D, 'Raw Data'!$B:$B, "Control", 'Raw Data'!$A:$A, $A10, 'Raw Data'!$C:$C, $C$3),""))</f>
        <v>2950</v>
      </c>
      <c r="BT10" s="94">
        <f>IF($A10="","",IFERROR(SUMPRODUCT(('Raw Data'!$B$2:$B$9999="Variant")*('Raw Data'!$A$2:$A$9999=$A10)*('Raw Data'!$C$2:$C$9999=$C$3)*'Raw Data'!$D$2:$D$9999*'Raw Data'!$Z$2:$Z$9999)/SUMIFS('Raw Data'!$D:$D, 'Raw Data'!$B:$B, "Variant", 'Raw Data'!$A:$A, $A10, 'Raw Data'!$C:$C, $C$3),""))</f>
        <v>3208</v>
      </c>
      <c r="BU10" s="95">
        <f t="shared" si="24"/>
        <v>0.08745762712</v>
      </c>
      <c r="BV10" s="94">
        <f>IF($A10="","",IFERROR(SUMPRODUCT(('Raw Data'!$B$2:$B$9999="Control")*('Raw Data'!$A$2:$A$9999=$A10)*('Raw Data'!$C$2:$C$9999=$C$3)*'Raw Data'!$D$2:$D$9999*'Raw Data'!$AA$2:$AA$9999)/SUMIFS('Raw Data'!$D:$D, 'Raw Data'!$B:$B, "Control", 'Raw Data'!$A:$A, $A10, 'Raw Data'!$C:$C, $C$3),""))</f>
        <v>10065</v>
      </c>
      <c r="BW10" s="94">
        <f>IF($A10="","",IFERROR(SUMPRODUCT(('Raw Data'!$B$2:$B$9999="Variant")*('Raw Data'!$A$2:$A$9999=$A10)*('Raw Data'!$C$2:$C$9999=$C$3)*'Raw Data'!$D$2:$D$9999*'Raw Data'!$AA$2:$AA$9999)/SUMIFS('Raw Data'!$D:$D, 'Raw Data'!$B:$B, "Variant", 'Raw Data'!$A:$A, $A10, 'Raw Data'!$C:$C, $C$3),""))</f>
        <v>9379</v>
      </c>
      <c r="BX10" s="95">
        <f t="shared" si="25"/>
        <v>-0.06815697963</v>
      </c>
      <c r="BY10" s="101">
        <f>IF($A10="","",IFERROR(SUMPRODUCT(('Raw Data'!$B$2:$B$9999="Control")*('Raw Data'!$A$2:$A$9999=$A10)*('Raw Data'!$C$2:$C$9999=$C$3)*'Raw Data'!$D$2:$D$9999*'Raw Data'!$AB$2:$AB$9999)/SUMIFS('Raw Data'!$D:$D, 'Raw Data'!$B:$B, "Control", 'Raw Data'!$A:$A, $A10, 'Raw Data'!$C:$C, $C$3),""))</f>
        <v>62.8043</v>
      </c>
      <c r="BZ10" s="101">
        <f>IF($A10="","",IFERROR(SUMPRODUCT(('Raw Data'!$B$2:$B$9999="Variant")*('Raw Data'!$A$2:$A$9999=$A10)*('Raw Data'!$C$2:$C$9999=$C$3)*'Raw Data'!$D$2:$D$9999*'Raw Data'!$AB$2:$AB$9999)/SUMIFS('Raw Data'!$D:$D, 'Raw Data'!$B:$B, "Variant", 'Raw Data'!$A:$A, $A10, 'Raw Data'!$C:$C, $C$3),""))</f>
        <v>63.1062</v>
      </c>
      <c r="CA10" s="100">
        <f t="shared" si="26"/>
        <v>0.004806995699</v>
      </c>
      <c r="CB10" s="101">
        <f>IF($A10="","",IFERROR(SUMPRODUCT(('Raw Data'!$B$2:$B$9999="Control")*('Raw Data'!$A$2:$A$9999=$A10)*('Raw Data'!$C$2:$C$9999=$C$3)*'Raw Data'!$D$2:$D$9999*'Raw Data'!$AC$2:$AC$9999)/SUMIFS('Raw Data'!$D:$D, 'Raw Data'!$B:$B, "Control", 'Raw Data'!$A:$A, $A10, 'Raw Data'!$C:$C, $C$3),""))</f>
        <v>0.8947</v>
      </c>
      <c r="CC10" s="101">
        <f>IF($A10="","",IFERROR(SUMPRODUCT(('Raw Data'!$B$2:$B$9999="Variant")*('Raw Data'!$A$2:$A$9999=$A10)*('Raw Data'!$C$2:$C$9999=$C$3)*'Raw Data'!$D$2:$D$9999*'Raw Data'!$AC$2:$AC$9999)/SUMIFS('Raw Data'!$D:$D, 'Raw Data'!$B:$B, "Variant", 'Raw Data'!$A:$A, $A10, 'Raw Data'!$C:$C, $C$3),""))</f>
        <v>0.8932</v>
      </c>
      <c r="CD10" s="98">
        <f t="shared" si="27"/>
        <v>-0.001676539622</v>
      </c>
      <c r="CE10" s="101">
        <f>IF($A10="","",IFERROR(SUMPRODUCT(('Raw Data'!$B$2:$B$9999="Control")*('Raw Data'!$A$2:$A$9999=$A10)*('Raw Data'!$C$2:$C$9999=$C$3)*'Raw Data'!$D$2:$D$9999*'Raw Data'!$AD$2:$AD$9999)/SUMIFS('Raw Data'!$D:$D, 'Raw Data'!$B:$B, "Control", 'Raw Data'!$A:$A, $A10, 'Raw Data'!$C:$C, $C$3),""))</f>
        <v>90.47</v>
      </c>
      <c r="CF10" s="101">
        <f>IF($A10="","",IFERROR(SUMPRODUCT(('Raw Data'!$B$2:$B$9999="Variant")*('Raw Data'!$A$2:$A$9999=$A10)*('Raw Data'!$C$2:$C$9999=$C$3)*'Raw Data'!$D$2:$D$9999*'Raw Data'!$AD$2:$AD$9999)/SUMIFS('Raw Data'!$D:$D, 'Raw Data'!$B:$B, "Variant", 'Raw Data'!$A:$A, $A10, 'Raw Data'!$C:$C, $C$3),""))</f>
        <v>91.24</v>
      </c>
      <c r="CG10" s="100">
        <f t="shared" si="28"/>
        <v>0.008511108655</v>
      </c>
      <c r="CH10" s="101">
        <f>IF($A10="","",IFERROR(SUMPRODUCT(('Raw Data'!$B$2:$B$9999="Control")*('Raw Data'!$A$2:$A$9999=$A10)*('Raw Data'!$C$2:$C$9999=$C$3)*'Raw Data'!$D$2:$D$9999*'Raw Data'!$AE$2:$AE$9999)/SUMIFS('Raw Data'!$D:$D, 'Raw Data'!$B:$B, "Control", 'Raw Data'!$A:$A, $A10, 'Raw Data'!$C:$C, $C$3),""))</f>
        <v>34</v>
      </c>
      <c r="CI10" s="101">
        <f>IF($A10="","",IFERROR(SUMPRODUCT(('Raw Data'!$B$2:$B$9999="Variant")*('Raw Data'!$A$2:$A$9999=$A10)*('Raw Data'!$C$2:$C$9999=$C$3)*'Raw Data'!$D$2:$D$9999*'Raw Data'!$AE$2:$AE$9999)/SUMIFS('Raw Data'!$D:$D, 'Raw Data'!$B:$B, "Variant", 'Raw Data'!$A:$A, $A10, 'Raw Data'!$C:$C, $C$3),""))</f>
        <v>33</v>
      </c>
      <c r="CJ10" s="98">
        <f t="shared" si="29"/>
        <v>-0.02941176471</v>
      </c>
      <c r="CK10" s="101">
        <f>IF($A10="","",IFERROR(SUMPRODUCT(('Raw Data'!$B$2:$B$9999="Control")*('Raw Data'!$A$2:$A$9999=$A10)*('Raw Data'!$C$2:$C$9999=$C$3)*'Raw Data'!$D$2:$D$9999*'Raw Data'!$AF$2:$AF$9999)/SUMIFS('Raw Data'!$D:$D, 'Raw Data'!$B:$B, "Control", 'Raw Data'!$A:$A, $A10, 'Raw Data'!$C:$C, $C$3),""))</f>
        <v>71</v>
      </c>
      <c r="CL10" s="101">
        <f>IF($A10="","",IFERROR(SUMPRODUCT(('Raw Data'!$B$2:$B$9999="Variant")*('Raw Data'!$A$2:$A$9999=$A10)*('Raw Data'!$C$2:$C$9999=$C$3)*'Raw Data'!$D$2:$D$9999*'Raw Data'!$AF$2:$AF$9999)/SUMIFS('Raw Data'!$D:$D, 'Raw Data'!$B:$B, "Variant", 'Raw Data'!$A:$A, $A10, 'Raw Data'!$C:$C, $C$3),""))</f>
        <v>78</v>
      </c>
      <c r="CM10" s="100">
        <f t="shared" si="30"/>
        <v>0.0985915493</v>
      </c>
      <c r="CN10" s="101">
        <f>IF($A10="","",IFERROR(SUMPRODUCT(('Raw Data'!$B$2:$B$9999="Control")*('Raw Data'!$A$2:$A$9999=$A10)*('Raw Data'!$C$2:$C$9999=$C$3)*'Raw Data'!$D$2:$D$9999*'Raw Data'!$AG$2:$AG$9999)/SUMIFS('Raw Data'!$D:$D, 'Raw Data'!$B:$B, "Control", 'Raw Data'!$A:$A, $A10, 'Raw Data'!$C:$C, $C$3),""))</f>
        <v>129</v>
      </c>
      <c r="CO10" s="101">
        <f>IF($A10="","",IFERROR(SUMPRODUCT(('Raw Data'!$B$2:$B$9999="Variant")*('Raw Data'!$A$2:$A$9999=$A10)*('Raw Data'!$C$2:$C$9999=$C$3)*'Raw Data'!$D$2:$D$9999*'Raw Data'!$AG$2:$AG$9999)/SUMIFS('Raw Data'!$D:$D, 'Raw Data'!$B:$B, "Variant", 'Raw Data'!$A:$A, $A10, 'Raw Data'!$C:$C, $C$3),""))</f>
        <v>129</v>
      </c>
      <c r="CP10" s="100">
        <f t="shared" si="31"/>
        <v>0</v>
      </c>
      <c r="CQ10" s="101">
        <f>IF($A10="","",IFERROR(SUMPRODUCT(('Raw Data'!$B$2:$B$9999="Control")*('Raw Data'!$A$2:$A$9999=$A10)*('Raw Data'!$C$2:$C$9999=$C$3)*'Raw Data'!$D$2:$D$9999*'Raw Data'!$AH$2:$AH$9999)/SUMIFS('Raw Data'!$D:$D, 'Raw Data'!$B:$B, "Control", 'Raw Data'!$A:$A, $A10, 'Raw Data'!$C:$C, $C$3),""))</f>
        <v>191</v>
      </c>
      <c r="CR10" s="101">
        <f>IF($A10="","",IFERROR(SUMPRODUCT(('Raw Data'!$B$2:$B$9999="Variant")*('Raw Data'!$A$2:$A$9999=$A10)*('Raw Data'!$C$2:$C$9999=$C$3)*'Raw Data'!$D$2:$D$9999*'Raw Data'!$AH$2:$AH$9999)/SUMIFS('Raw Data'!$D:$D, 'Raw Data'!$B:$B, "Variant", 'Raw Data'!$A:$A, $A10, 'Raw Data'!$C:$C, $C$3),""))</f>
        <v>181</v>
      </c>
      <c r="CS10" s="98">
        <f t="shared" si="32"/>
        <v>-0.05235602094</v>
      </c>
      <c r="CT10" s="96">
        <f>IF($A10="","",IFERROR(SUMPRODUCT(('Raw Data'!$B$2:$B$9999="Control")*('Raw Data'!$A$2:$A$9999=$A10)*('Raw Data'!$C$2:$C$9999=$C$3)*'Raw Data'!$D$2:$D$9999*'Raw Data'!$AI$2:$AI$9999)/SUMIFS('Raw Data'!$D:$D, 'Raw Data'!$B:$B, "Control", 'Raw Data'!$A:$A, $A10, 'Raw Data'!$C:$C, $C$3),""))</f>
        <v>45.51</v>
      </c>
      <c r="CU10" s="96">
        <f>IF($A10="","",IFERROR(SUMPRODUCT(('Raw Data'!$B$2:$B$9999="Variant")*('Raw Data'!$A$2:$A$9999=$A10)*('Raw Data'!$C$2:$C$9999=$C$3)*'Raw Data'!$D$2:$D$9999*'Raw Data'!$AI$2:$AI$9999)/SUMIFS('Raw Data'!$D:$D, 'Raw Data'!$B:$B, "Variant", 'Raw Data'!$A:$A, $A10, 'Raw Data'!$C:$C, $C$3),""))</f>
        <v>49.36</v>
      </c>
      <c r="CV10" s="100">
        <f t="shared" si="33"/>
        <v>0.08459679191</v>
      </c>
      <c r="CW10" s="96">
        <f>IF($A10="","",IFERROR(SUMPRODUCT(('Raw Data'!$B$2:$B$9999="Control")*('Raw Data'!$A$2:$A$9999=$A10)*('Raw Data'!$C$2:$C$9999=$C$3)*'Raw Data'!$D$2:$D$9999*'Raw Data'!$AJ$2:$AJ$9999)/SUMIFS('Raw Data'!$D:$D, 'Raw Data'!$B:$B, "Control", 'Raw Data'!$A:$A, $A10, 'Raw Data'!$C:$C, $C$3),""))</f>
        <v>12.47</v>
      </c>
      <c r="CX10" s="96">
        <f>IF($A10="","",IFERROR(SUMPRODUCT(('Raw Data'!$B$2:$B$9999="Variant")*('Raw Data'!$A$2:$A$9999=$A10)*('Raw Data'!$C$2:$C$9999=$C$3)*'Raw Data'!$D$2:$D$9999*'Raw Data'!$AJ$2:$AJ$9999)/SUMIFS('Raw Data'!$D:$D, 'Raw Data'!$B:$B, "Variant", 'Raw Data'!$A:$A, $A10, 'Raw Data'!$C:$C, $C$3),""))</f>
        <v>12.82</v>
      </c>
      <c r="CY10" s="100">
        <f t="shared" si="34"/>
        <v>0.02806736167</v>
      </c>
      <c r="CZ10" s="96">
        <f>IF($A10="","",IFERROR(SUMPRODUCT(('Raw Data'!$B$2:$B$9999="Control")*('Raw Data'!$A$2:$A$9999=$A10)*('Raw Data'!$C$2:$C$9999=$C$3)*'Raw Data'!$D$2:$D$9999*'Raw Data'!$AK$2:$AK$9999)/SUMIFS('Raw Data'!$D:$D, 'Raw Data'!$B:$B, "Control", 'Raw Data'!$A:$A, $A10, 'Raw Data'!$C:$C, $C$3),""))</f>
        <v>2.41</v>
      </c>
      <c r="DA10" s="96">
        <f>IF($A10="","",IFERROR(SUMPRODUCT(('Raw Data'!$B$2:$B$9999="Variant")*('Raw Data'!$A$2:$A$9999=$A10)*('Raw Data'!$C$2:$C$9999=$C$3)*'Raw Data'!$D$2:$D$9999*'Raw Data'!$AK$2:$AK$9999)/SUMIFS('Raw Data'!$D:$D, 'Raw Data'!$B:$B, "Variant", 'Raw Data'!$A:$A, $A10, 'Raw Data'!$C:$C, $C$3),""))</f>
        <v>1.71</v>
      </c>
      <c r="DB10" s="98">
        <f t="shared" si="35"/>
        <v>-0.2904564315</v>
      </c>
      <c r="DC10" s="102">
        <f>IF($A10="","",IFERROR(SUMPRODUCT(('Raw Data'!$B$2:$B$9999="Control")*('Raw Data'!$A$2:$A$9999=$A10)*('Raw Data'!$C$2:$C$9999=$C$3)*'Raw Data'!$D$2:$D$9999*'Raw Data'!$AL$2:$AL$9999)/SUMIFS('Raw Data'!$D:$D, 'Raw Data'!$B:$B, "Control", 'Raw Data'!$A:$A, $A10, 'Raw Data'!$C:$C, $C$3),""))</f>
        <v>0.1335</v>
      </c>
      <c r="DD10" s="102">
        <f>IF($A10="","",IFERROR(SUMPRODUCT(('Raw Data'!$B$2:$B$9999="Variant")*('Raw Data'!$A$2:$A$9999=$A10)*('Raw Data'!$C$2:$C$9999=$C$3)*'Raw Data'!$D$2:$D$9999*'Raw Data'!$AL$2:$AL$9999)/SUMIFS('Raw Data'!$D:$D, 'Raw Data'!$B:$B, "Variant", 'Raw Data'!$A:$A, $A10, 'Raw Data'!$C:$C, $C$3),""))</f>
        <v>0.1368</v>
      </c>
      <c r="DE10" s="98">
        <f t="shared" si="36"/>
        <v>0.02471910112</v>
      </c>
      <c r="DF10" s="103"/>
      <c r="DG10" s="96">
        <f>IF($A10="","",IFERROR(SUMPRODUCT(('Raw Data'!$B$2:$B$9999="Variant")*('Raw Data'!$A$2:$A$9999=$A10)*('Raw Data'!$C$2:$C$9999=$C$3)*'Raw Data'!$D$2:$D$9999*'Raw Data'!$AM$2:$AM$9999)/SUMIFS('Raw Data'!$D:$D, 'Raw Data'!$B:$B, "Variant", 'Raw Data'!$A:$A, $A10, 'Raw Data'!$C:$C, $C$3),""))</f>
        <v>67.52</v>
      </c>
      <c r="DH10" s="104"/>
      <c r="DI10" s="103"/>
      <c r="DJ10" s="96">
        <f>IF($A10="","",IFERROR(SUMPRODUCT(('Raw Data'!$B$2:$B$9999="Variant")*('Raw Data'!$A$2:$A$9999=$A10)*('Raw Data'!$C$2:$C$9999=$C$3)*'Raw Data'!$D$2:$D$9999*'Raw Data'!$AN$2:$AN$9999)/SUMIFS('Raw Data'!$D:$D, 'Raw Data'!$B:$B, "Variant", 'Raw Data'!$A:$A, $A10, 'Raw Data'!$C:$C, $C$3),""))</f>
        <v>67.52</v>
      </c>
      <c r="DK10" s="104"/>
      <c r="DL10" s="103"/>
      <c r="DM10" s="96">
        <f>IF($A10="","",IFERROR(SUMPRODUCT(('Raw Data'!$B$2:$B$9999="Variant")*('Raw Data'!$A$2:$A$9999=$A10)*('Raw Data'!$C$2:$C$9999=$C$3)*'Raw Data'!$D$2:$D$9999*'Raw Data'!$AO$2:$AO$9999)/SUMIFS('Raw Data'!$D:$D, 'Raw Data'!$B:$B, "Variant", 'Raw Data'!$A:$A, $A10, 'Raw Data'!$C:$C, $C$3),""))</f>
        <v>42.95</v>
      </c>
      <c r="DN10" s="104"/>
      <c r="DO10" s="103"/>
      <c r="DP10" s="96">
        <f>IF($A10="","",IFERROR(SUMPRODUCT(('Raw Data'!$B$2:$B$9999="Variant")*('Raw Data'!$A$2:$A$9999=$A10)*('Raw Data'!$C$2:$C$9999=$C$3)*'Raw Data'!$D$2:$D$9999*'Raw Data'!$AP$2:$AP$9999)/SUMIFS('Raw Data'!$D:$D, 'Raw Data'!$B:$B, "Variant", 'Raw Data'!$A:$A, $A10, 'Raw Data'!$C:$C, $C$3),""))</f>
        <v>28.21</v>
      </c>
      <c r="DQ10" s="104"/>
      <c r="DR10" s="102">
        <f>IF($A10="","",IFERROR(SUMPRODUCT(('Raw Data'!$B$2:$B$9999="Control")*('Raw Data'!$A$2:$A$9999=$A10)*('Raw Data'!$C$2:$C$9999=$C$3)*'Raw Data'!$D$2:$D$9999*'Raw Data'!$AQ$2:$AQ$9999)/SUMIFS('Raw Data'!$D:$D, 'Raw Data'!$B:$B, "Control", 'Raw Data'!$A:$A, $A10, 'Raw Data'!$C:$C, $C$3),""))</f>
        <v>40.2998</v>
      </c>
      <c r="DS10" s="102">
        <f>IF($A10="","",IFERROR(SUMPRODUCT(('Raw Data'!$B$2:$B$9999="Variant")*('Raw Data'!$A$2:$A$9999=$A10)*('Raw Data'!$C$2:$C$9999=$C$3)*'Raw Data'!$D$2:$D$9999*'Raw Data'!$AQ$2:$AQ$9999)/SUMIFS('Raw Data'!$D:$D, 'Raw Data'!$B:$B, "Variant", 'Raw Data'!$A:$A, $A10, 'Raw Data'!$C:$C, $C$3),""))</f>
        <v>40.2863</v>
      </c>
      <c r="DT10" s="106">
        <f t="shared" si="37"/>
        <v>-0.0003349892555</v>
      </c>
      <c r="DU10" s="102">
        <f>IF($A10="","",IFERROR(SUMPRODUCT(('Raw Data'!$B$2:$B$9999="Control")*('Raw Data'!$A$2:$A$9999=$A10)*('Raw Data'!$C$2:$C$9999=$C$3)*'Raw Data'!$D$2:$D$9999*'Raw Data'!$AR$2:$AR$9999)/SUMIFS('Raw Data'!$D:$D, 'Raw Data'!$B:$B, "Control", 'Raw Data'!$A:$A, $A10, 'Raw Data'!$C:$C, $C$3),""))</f>
        <v>3.6061</v>
      </c>
      <c r="DV10" s="102">
        <f>IF($A10="","",IFERROR(SUMPRODUCT(('Raw Data'!$B$2:$B$9999="Variant")*('Raw Data'!$A$2:$A$9999=$A10)*('Raw Data'!$C$2:$C$9999=$C$3)*'Raw Data'!$D$2:$D$9999*'Raw Data'!$AR$2:$AR$9999)/SUMIFS('Raw Data'!$D:$D, 'Raw Data'!$B:$B, "Variant", 'Raw Data'!$A:$A, $A10, 'Raw Data'!$C:$C, $C$3),""))</f>
        <v>3.8098</v>
      </c>
      <c r="DW10" s="105">
        <f t="shared" si="38"/>
        <v>0.0564876182</v>
      </c>
      <c r="DX10" s="102">
        <f>IF($A10="","",IFERROR(SUMPRODUCT(('Raw Data'!$B$2:$B$9999="Control")*('Raw Data'!$A$2:$A$9999=$A10)*('Raw Data'!$C$2:$C$9999=$C$3)*'Raw Data'!$D$2:$D$9999*'Raw Data'!$AS$2:$AS$9999)/SUMIFS('Raw Data'!$D:$D, 'Raw Data'!$B:$B, "Control", 'Raw Data'!$A:$A, $A10, 'Raw Data'!$C:$C, $C$3),""))</f>
        <v>36.6937</v>
      </c>
      <c r="DY10" s="102">
        <f>IF($A10="","",IFERROR(SUMPRODUCT(('Raw Data'!$B$2:$B$9999="Variant")*('Raw Data'!$A$2:$A$9999=$A10)*('Raw Data'!$C$2:$C$9999=$C$3)*'Raw Data'!$D$2:$D$9999*'Raw Data'!$AS$2:$AS$9999)/SUMIFS('Raw Data'!$D:$D, 'Raw Data'!$B:$B, "Variant", 'Raw Data'!$A:$A, $A10, 'Raw Data'!$C:$C, $C$3),""))</f>
        <v>36.4765</v>
      </c>
      <c r="DZ10" s="105">
        <f t="shared" si="39"/>
        <v>-0.005919272246</v>
      </c>
      <c r="EA10" s="102">
        <f>IF($A10="","",IFERROR(SUMPRODUCT(('Raw Data'!$B$2:$B$9999="Control")*('Raw Data'!$A$2:$A$9999=$A10)*('Raw Data'!$C$2:$C$9999=$C$3)*'Raw Data'!$D$2:$D$9999*'Raw Data'!$AT$2:$AT$9999)/SUMIFS('Raw Data'!$D:$D, 'Raw Data'!$B:$B, "Control", 'Raw Data'!$A:$A, $A10, 'Raw Data'!$C:$C, $C$3),""))</f>
        <v>36.8775</v>
      </c>
      <c r="EB10" s="102">
        <f>IF($A10="","",IFERROR(SUMPRODUCT(('Raw Data'!$B$2:$B$9999="Variant")*('Raw Data'!$A$2:$A$9999=$A10)*('Raw Data'!$C$2:$C$9999=$C$3)*'Raw Data'!$D$2:$D$9999*'Raw Data'!$AT$2:$AT$9999)/SUMIFS('Raw Data'!$D:$D, 'Raw Data'!$B:$B, "Variant", 'Raw Data'!$A:$A, $A10, 'Raw Data'!$C:$C, $C$3),""))</f>
        <v>39.9423</v>
      </c>
      <c r="EC10" s="105">
        <f t="shared" si="40"/>
        <v>0.08310758593</v>
      </c>
      <c r="ED10" s="102">
        <f>IF($A10="","",IFERROR(SUMPRODUCT(('Raw Data'!$B$2:$B$9999="Control")*('Raw Data'!$A$2:$A$9999=$A10)*('Raw Data'!$C$2:$C$9999=$C$3)*'Raw Data'!$D$2:$D$9999*('Raw Data'!$AQ$2:$AQ$9999-'Raw Data'!$AT$2:$AT$9999))/SUMIFS('Raw Data'!$D:$D, 'Raw Data'!$B:$B, "Control", 'Raw Data'!$A:$A, $A10, 'Raw Data'!$C:$C, $C$3),""))</f>
        <v>3.4223</v>
      </c>
      <c r="EE10" s="102">
        <f>IF($A10="","",IFERROR(SUMPRODUCT(('Raw Data'!$B$2:$B$9999="Variant")*('Raw Data'!$A$2:$A$9999=$A10)*('Raw Data'!$C$2:$C$9999=$C$3)*'Raw Data'!$D$2:$D$9999*('Raw Data'!$AQ$2:$AQ$9999-'Raw Data'!$AT$2:$AT$9999))/SUMIFS('Raw Data'!$D:$D, 'Raw Data'!$B:$B, "Variant", 'Raw Data'!$A:$A, $A10, 'Raw Data'!$C:$C, $C$3),""))</f>
        <v>0.344</v>
      </c>
      <c r="EF10" s="105">
        <f t="shared" si="41"/>
        <v>-0.899482804</v>
      </c>
      <c r="EG10" s="102">
        <f>IF($A10="","",IFERROR(SUMPRODUCT(('Raw Data'!$B$2:$B$9999="Control")*('Raw Data'!$A$2:$A$9999=$A10)*('Raw Data'!$C$2:$C$9999=$C$3)*'Raw Data'!$D$2:$D$9999*'Raw Data'!$AU$2:$AU$9999)/SUMIFS('Raw Data'!$D:$D, 'Raw Data'!$B:$B, "Control", 'Raw Data'!$A:$A, $A10, 'Raw Data'!$C:$C, $C$3),""))</f>
        <v>0.2447</v>
      </c>
      <c r="EH10" s="102">
        <f>IF($A10="","",IFERROR(SUMPRODUCT(('Raw Data'!$B$2:$B$9999="Variant")*('Raw Data'!$A$2:$A$9999=$A10)*('Raw Data'!$C$2:$C$9999=$C$3)*'Raw Data'!$D$2:$D$9999*'Raw Data'!$AU$2:$AU$9999)/SUMIFS('Raw Data'!$D:$D, 'Raw Data'!$B:$B, "Variant", 'Raw Data'!$A:$A, $A10, 'Raw Data'!$C:$C, $C$3),""))</f>
        <v>0.2693</v>
      </c>
      <c r="EI10" s="105">
        <f t="shared" si="42"/>
        <v>0.1005312628</v>
      </c>
    </row>
    <row r="11">
      <c r="A11" s="93">
        <v>46179.0</v>
      </c>
      <c r="B11" s="94">
        <f>IF($A11="","",SUMIFS('Raw Data'!$D:$D, 'Raw Data'!$B:$B, "Control", 'Raw Data'!$A:$A, $A11, 'Raw Data'!$C:$C, $C$3))</f>
        <v>452</v>
      </c>
      <c r="C11" s="94">
        <f>IF($A11="","",SUMIFS('Raw Data'!$D:$D, 'Raw Data'!$B:$B, "Variant", 'Raw Data'!$A:$A, $A11, 'Raw Data'!$C:$C, $C$3))</f>
        <v>484</v>
      </c>
      <c r="D11" s="95">
        <f t="shared" si="1"/>
        <v>0.07079646018</v>
      </c>
      <c r="E11" s="96">
        <f>IF($A11="","",IFERROR(SUMPRODUCT(('Raw Data'!$B$2:$B$9999="Control")*('Raw Data'!$A$2:$A$9999=$A11)*('Raw Data'!$C$2:$C$9999=$C$3)*'Raw Data'!$D$2:$D$9999*'Raw Data'!$E$2:$E$9999)/SUMIFS('Raw Data'!$D:$D, 'Raw Data'!$B:$B, "Control", 'Raw Data'!$A:$A, $A11, 'Raw Data'!$C:$C, $C$3),""))</f>
        <v>0.56</v>
      </c>
      <c r="F11" s="96">
        <f>IF($A11="","",IFERROR(SUMPRODUCT(('Raw Data'!$B$2:$B$9999="Variant")*('Raw Data'!$A$2:$A$9999=$A11)*('Raw Data'!$C$2:$C$9999=$C$3)*'Raw Data'!$D$2:$D$9999*'Raw Data'!$E$2:$E$9999)/SUMIFS('Raw Data'!$D:$D, 'Raw Data'!$B:$B, "Variant", 'Raw Data'!$A:$A, $A11, 'Raw Data'!$C:$C, $C$3),""))</f>
        <v>0.6</v>
      </c>
      <c r="G11" s="95">
        <f t="shared" si="2"/>
        <v>0.07142857143</v>
      </c>
      <c r="H11" s="97">
        <f>IF($A11="","",SUMIFS('Raw Data'!$F:$F, 'Raw Data'!$B:$B, "Control", 'Raw Data'!$A:$A, $A11, 'Raw Data'!$C:$C, $C$3))</f>
        <v>1411.31</v>
      </c>
      <c r="I11" s="97">
        <f>IF($A11="","",SUMIFS('Raw Data'!$F:$F, 'Raw Data'!$B:$B, "Variant", 'Raw Data'!$A:$A, $A11, 'Raw Data'!$C:$C, $C$3))</f>
        <v>1777.13</v>
      </c>
      <c r="J11" s="100">
        <f t="shared" si="3"/>
        <v>0.2592059859</v>
      </c>
      <c r="K11" s="99">
        <f>IF($A11="","",IFERROR(SUMIFS('Raw Data'!$F:$F, 'Raw Data'!$B:$B, "Control", 'Raw Data'!$A:$A, $A11, 'Raw Data'!$C:$C, $C$3)/SUMIFS('Raw Data'!$D:$D, 'Raw Data'!$B:$B, "Control", 'Raw Data'!$A:$A, $A11, 'Raw Data'!$C:$C, $C$3),""))</f>
        <v>3.122367257</v>
      </c>
      <c r="L11" s="99">
        <f>IF($A11="","",IFERROR(SUMIFS('Raw Data'!$F:$F, 'Raw Data'!$B:$B, "Variant", 'Raw Data'!$A:$A, $A11, 'Raw Data'!$C:$C, $C$3)/SUMIFS('Raw Data'!$D:$D, 'Raw Data'!$B:$B, "Variant", 'Raw Data'!$A:$A, $A11, 'Raw Data'!$C:$C, $C$3),""))</f>
        <v>3.671756198</v>
      </c>
      <c r="M11" s="100">
        <f t="shared" si="4"/>
        <v>0.1759526976</v>
      </c>
      <c r="N11" s="96">
        <f>IF($A11="","",IFERROR(SUMPRODUCT(('Raw Data'!$B$2:$B$9999="Control")*('Raw Data'!$A$2:$A$9999=$A11)*('Raw Data'!$C$2:$C$9999=$C$3)*'Raw Data'!$D$2:$D$9999*'Raw Data'!$H$2:$H$9999/100)/SUMIFS('Raw Data'!$D:$D, 'Raw Data'!$B:$B, "Control", 'Raw Data'!$A:$A, $A11, 'Raw Data'!$C:$C, $C$3)*100,""))</f>
        <v>16.59</v>
      </c>
      <c r="O11" s="96">
        <f>IF($A11="","",IFERROR(SUMPRODUCT(('Raw Data'!$B$2:$B$9999="Variant")*('Raw Data'!$A$2:$A$9999=$A11)*('Raw Data'!$C$2:$C$9999=$C$3)*'Raw Data'!$D$2:$D$9999*'Raw Data'!$H$2:$H$9999/100)/SUMIFS('Raw Data'!$D:$D, 'Raw Data'!$B:$B, "Variant", 'Raw Data'!$A:$A, $A11, 'Raw Data'!$C:$C, $C$3)*100,""))</f>
        <v>15.91</v>
      </c>
      <c r="P11" s="98">
        <f t="shared" si="5"/>
        <v>-0.04098854732</v>
      </c>
      <c r="Q11" s="99">
        <f>IF($A11="","",IFERROR(SUMIFS('Raw Data'!$F:$F, 'Raw Data'!$B:$B, "Control", 'Raw Data'!$A:$A, $A11, 'Raw Data'!$C:$C, $C$3)/SUMPRODUCT(('Raw Data'!$B$2:$B$9999="Control")*('Raw Data'!$A$2:$A$9999=$A11)*('Raw Data'!$C$2:$C$9999=$C$3)*'Raw Data'!$D$2:$D$9999*'Raw Data'!$H$2:$H$9999/100),""))</f>
        <v>18.82077912</v>
      </c>
      <c r="R11" s="99">
        <f>IF($A11="","",IFERROR(SUMIFS('Raw Data'!$F:$F, 'Raw Data'!$B:$B, "Variant", 'Raw Data'!$A:$A, $A11, 'Raw Data'!$C:$C, $C$3)/SUMPRODUCT(('Raw Data'!$B$2:$B$9999="Variant")*('Raw Data'!$A$2:$A$9999=$A11)*('Raw Data'!$C$2:$C$9999=$C$3)*'Raw Data'!$D$2:$D$9999*'Raw Data'!$H$2:$H$9999/100),""))</f>
        <v>23.07829163</v>
      </c>
      <c r="S11" s="100">
        <f t="shared" si="6"/>
        <v>0.2262134037</v>
      </c>
      <c r="T11" s="101">
        <f>IF($A11="","",IFERROR(SUMPRODUCT(('Raw Data'!$B$2:$B$9999="Control")*('Raw Data'!$A$2:$A$9999=$A11)*('Raw Data'!$C$2:$C$9999=$C$3)*'Raw Data'!$D$2:$D$9999*'Raw Data'!$J$2:$J$9999)/SUMIFS('Raw Data'!$D:$D, 'Raw Data'!$B:$B, "Control", 'Raw Data'!$A:$A, $A11, 'Raw Data'!$C:$C, $C$3),""))</f>
        <v>234.26</v>
      </c>
      <c r="U11" s="101">
        <f>IF($A11="","",IFERROR(SUMPRODUCT(('Raw Data'!$B$2:$B$9999="Variant")*('Raw Data'!$A$2:$A$9999=$A11)*('Raw Data'!$C$2:$C$9999=$C$3)*'Raw Data'!$D$2:$D$9999*'Raw Data'!$J$2:$J$9999)/SUMIFS('Raw Data'!$D:$D, 'Raw Data'!$B:$B, "Variant", 'Raw Data'!$A:$A, $A11, 'Raw Data'!$C:$C, $C$3),""))</f>
        <v>248.67</v>
      </c>
      <c r="V11" s="100">
        <f t="shared" si="7"/>
        <v>0.06151284897</v>
      </c>
      <c r="W11" s="101">
        <f>IF($A11="","",IFERROR(SUMPRODUCT(('Raw Data'!$B$2:$B$9999="Control")*('Raw Data'!$A$2:$A$9999=$A11)*('Raw Data'!$C$2:$C$9999=$C$3)*'Raw Data'!$D$2:$D$9999*'Raw Data'!$K$2:$K$9999)/SUMIFS('Raw Data'!$D:$D, 'Raw Data'!$B:$B, "Control", 'Raw Data'!$A:$A, $A11, 'Raw Data'!$C:$C, $C$3),""))</f>
        <v>145.63</v>
      </c>
      <c r="X11" s="101">
        <f>IF($A11="","",IFERROR(SUMPRODUCT(('Raw Data'!$B$2:$B$9999="Variant")*('Raw Data'!$A$2:$A$9999=$A11)*('Raw Data'!$C$2:$C$9999=$C$3)*'Raw Data'!$D$2:$D$9999*'Raw Data'!$K$2:$K$9999)/SUMIFS('Raw Data'!$D:$D, 'Raw Data'!$B:$B, "Variant", 'Raw Data'!$A:$A, $A11, 'Raw Data'!$C:$C, $C$3),""))</f>
        <v>149.97</v>
      </c>
      <c r="Y11" s="100">
        <f t="shared" si="8"/>
        <v>0.02980155188</v>
      </c>
      <c r="Z11" s="101">
        <f>IF($A11="","",IFERROR(SUMPRODUCT(('Raw Data'!$B$2:$B$9999="Control")*('Raw Data'!$A$2:$A$9999=$A11)*('Raw Data'!$C$2:$C$9999=$C$3)*'Raw Data'!$D$2:$D$9999*'Raw Data'!$L$2:$L$9999)/SUMIFS('Raw Data'!$D:$D, 'Raw Data'!$B:$B, "Control", 'Raw Data'!$A:$A, $A11, 'Raw Data'!$C:$C, $C$3),""))</f>
        <v>125.65</v>
      </c>
      <c r="AA11" s="101">
        <f>IF($A11="","",IFERROR(SUMPRODUCT(('Raw Data'!$B$2:$B$9999="Variant")*('Raw Data'!$A$2:$A$9999=$A11)*('Raw Data'!$C$2:$C$9999=$C$3)*'Raw Data'!$D$2:$D$9999*'Raw Data'!$L$2:$L$9999)/SUMIFS('Raw Data'!$D:$D, 'Raw Data'!$B:$B, "Variant", 'Raw Data'!$A:$A, $A11, 'Raw Data'!$C:$C, $C$3),""))</f>
        <v>125.48</v>
      </c>
      <c r="AB11" s="98">
        <f t="shared" si="9"/>
        <v>-0.001352964584</v>
      </c>
      <c r="AC11" s="102">
        <f>IF($A11="","",IFERROR(SUMPRODUCT(('Raw Data'!$B$2:$B$9999="Control")*('Raw Data'!$A$2:$A$9999=$A11)*('Raw Data'!$C$2:$C$9999=$C$3)*'Raw Data'!$D$2:$D$9999*'Raw Data'!$M$2:$M$9999)/SUMIFS('Raw Data'!$D:$D, 'Raw Data'!$B:$B, "Control", 'Raw Data'!$A:$A, $A11, 'Raw Data'!$C:$C, $C$3),""))</f>
        <v>0.8628</v>
      </c>
      <c r="AD11" s="102">
        <f>IF($A11="","",IFERROR(SUMPRODUCT(('Raw Data'!$B$2:$B$9999="Variant")*('Raw Data'!$A$2:$A$9999=$A11)*('Raw Data'!$C$2:$C$9999=$C$3)*'Raw Data'!$D$2:$D$9999*'Raw Data'!$M$2:$M$9999)/SUMIFS('Raw Data'!$D:$D, 'Raw Data'!$B:$B, "Variant", 'Raw Data'!$A:$A, $A11, 'Raw Data'!$C:$C, $C$3),""))</f>
        <v>0.8367</v>
      </c>
      <c r="AE11" s="98">
        <f t="shared" si="10"/>
        <v>-0.03025034771</v>
      </c>
      <c r="AF11" s="102">
        <f>IF($A11="","",IFERROR(SUMPRODUCT(('Raw Data'!$B$2:$B$9999="Control")*('Raw Data'!$A$2:$A$9999=$A11)*('Raw Data'!$C$2:$C$9999=$C$3)*'Raw Data'!$D$2:$D$9999*'Raw Data'!$N$2:$N$9999)/SUMIFS('Raw Data'!$D:$D, 'Raw Data'!$B:$B, "Control", 'Raw Data'!$A:$A, $A11, 'Raw Data'!$C:$C, $C$3),""))</f>
        <v>0.2674</v>
      </c>
      <c r="AG11" s="102">
        <f>IF($A11="","",IFERROR(SUMPRODUCT(('Raw Data'!$B$2:$B$9999="Variant")*('Raw Data'!$A$2:$A$9999=$A11)*('Raw Data'!$C$2:$C$9999=$C$3)*'Raw Data'!$D$2:$D$9999*'Raw Data'!$N$2:$N$9999)/SUMIFS('Raw Data'!$D:$D, 'Raw Data'!$B:$B, "Variant", 'Raw Data'!$A:$A, $A11, 'Raw Data'!$C:$C, $C$3),""))</f>
        <v>0.2948</v>
      </c>
      <c r="AH11" s="98">
        <f t="shared" si="11"/>
        <v>0.1024682124</v>
      </c>
      <c r="AI11" s="102">
        <f>IF($A11="","",IFERROR(SUMPRODUCT(('Raw Data'!$B$2:$B$9999="Control")*('Raw Data'!$A$2:$A$9999=$A11)*('Raw Data'!$C$2:$C$9999=$C$3)*'Raw Data'!$D$2:$D$9999*'Raw Data'!$O$2:$O$9999)/SUMIFS('Raw Data'!$D:$D, 'Raw Data'!$B:$B, "Control", 'Raw Data'!$A:$A, $A11, 'Raw Data'!$C:$C, $C$3),""))</f>
        <v>0.1914</v>
      </c>
      <c r="AJ11" s="102">
        <f>IF($A11="","",IFERROR(SUMPRODUCT(('Raw Data'!$B$2:$B$9999="Variant")*('Raw Data'!$A$2:$A$9999=$A11)*('Raw Data'!$C$2:$C$9999=$C$3)*'Raw Data'!$D$2:$D$9999*'Raw Data'!$O$2:$O$9999)/SUMIFS('Raw Data'!$D:$D, 'Raw Data'!$B:$B, "Variant", 'Raw Data'!$A:$A, $A11, 'Raw Data'!$C:$C, $C$3),""))</f>
        <v>0.1995</v>
      </c>
      <c r="AK11" s="98">
        <f t="shared" si="12"/>
        <v>0.04231974922</v>
      </c>
      <c r="AL11" s="101">
        <f>IF($A11="","",IFERROR(SUMPRODUCT(('Raw Data'!$B$2:$B$9999="Control")*('Raw Data'!$A$2:$A$9999=$A11)*('Raw Data'!$C$2:$C$9999=$C$3)*'Raw Data'!$D$2:$D$9999*'Raw Data'!$P$2:$P$9999)/SUMIFS('Raw Data'!$D:$D, 'Raw Data'!$B:$B, "Control", 'Raw Data'!$A:$A, $A11, 'Raw Data'!$C:$C, $C$3),""))</f>
        <v>1.159</v>
      </c>
      <c r="AM11" s="101">
        <f>IF($A11="","",IFERROR(SUMPRODUCT(('Raw Data'!$B$2:$B$9999="Variant")*('Raw Data'!$A$2:$A$9999=$A11)*('Raw Data'!$C$2:$C$9999=$C$3)*'Raw Data'!$D$2:$D$9999*'Raw Data'!$P$2:$P$9999)/SUMIFS('Raw Data'!$D:$D, 'Raw Data'!$B:$B, "Variant", 'Raw Data'!$A:$A, $A11, 'Raw Data'!$C:$C, $C$3),""))</f>
        <v>1.1952</v>
      </c>
      <c r="AN11" s="98">
        <f t="shared" si="13"/>
        <v>0.03123382226</v>
      </c>
      <c r="AO11" s="101">
        <f>IF($A11="","",IFERROR(SUMPRODUCT(('Raw Data'!$B$2:$B$9999="Control")*('Raw Data'!$A$2:$A$9999=$A11)*('Raw Data'!$C$2:$C$9999=$C$3)*'Raw Data'!$D$2:$D$9999*'Raw Data'!$Q$2:$Q$9999)/SUMIFS('Raw Data'!$D:$D, 'Raw Data'!$B:$B, "Control", 'Raw Data'!$A:$A, $A11, 'Raw Data'!$C:$C, $C$3),""))</f>
        <v>859.34</v>
      </c>
      <c r="AP11" s="101">
        <f>IF($A11="","",IFERROR(SUMPRODUCT(('Raw Data'!$B$2:$B$9999="Variant")*('Raw Data'!$A$2:$A$9999=$A11)*('Raw Data'!$C$2:$C$9999=$C$3)*'Raw Data'!$D$2:$D$9999*'Raw Data'!$Q$2:$Q$9999)/SUMIFS('Raw Data'!$D:$D, 'Raw Data'!$B:$B, "Variant", 'Raw Data'!$A:$A, $A11, 'Raw Data'!$C:$C, $C$3),""))</f>
        <v>866.79</v>
      </c>
      <c r="AQ11" s="95">
        <f t="shared" si="14"/>
        <v>0.008669443992</v>
      </c>
      <c r="AR11" s="101">
        <f>IF($A11="","",IFERROR(SUMPRODUCT(('Raw Data'!$B$2:$B$9999="Control")*('Raw Data'!$A$2:$A$9999=$A11)*('Raw Data'!$C$2:$C$9999=$C$3)*'Raw Data'!$D$2:$D$9999*'Raw Data'!$R$2:$R$9999)/SUMIFS('Raw Data'!$D:$D, 'Raw Data'!$B:$B, "Control", 'Raw Data'!$A:$A, $A11, 'Raw Data'!$C:$C, $C$3),""))</f>
        <v>594.2</v>
      </c>
      <c r="AS11" s="101">
        <f>IF($A11="","",IFERROR(SUMPRODUCT(('Raw Data'!$B$2:$B$9999="Variant")*('Raw Data'!$A$2:$A$9999=$A11)*('Raw Data'!$C$2:$C$9999=$C$3)*'Raw Data'!$D$2:$D$9999*'Raw Data'!$R$2:$R$9999)/SUMIFS('Raw Data'!$D:$D, 'Raw Data'!$B:$B, "Variant", 'Raw Data'!$A:$A, $A11, 'Raw Data'!$C:$C, $C$3),""))</f>
        <v>770.37</v>
      </c>
      <c r="AT11" s="95">
        <f t="shared" si="15"/>
        <v>0.2964826658</v>
      </c>
      <c r="AU11" s="101">
        <f>IF($A11="","",IFERROR(SUMPRODUCT(('Raw Data'!$B$2:$B$9999="Control")*('Raw Data'!$A$2:$A$9999=$A11)*('Raw Data'!$C$2:$C$9999=$C$3)*'Raw Data'!$D$2:$D$9999*'Raw Data'!$S$2:$S$9999)/SUMIFS('Raw Data'!$D:$D, 'Raw Data'!$B:$B, "Control", 'Raw Data'!$A:$A, $A11, 'Raw Data'!$C:$C, $C$3),""))</f>
        <v>265.14</v>
      </c>
      <c r="AV11" s="101">
        <f>IF($A11="","",IFERROR(SUMPRODUCT(('Raw Data'!$B$2:$B$9999="Variant")*('Raw Data'!$A$2:$A$9999=$A11)*('Raw Data'!$C$2:$C$9999=$C$3)*'Raw Data'!$D$2:$D$9999*'Raw Data'!$S$2:$S$9999)/SUMIFS('Raw Data'!$D:$D, 'Raw Data'!$B:$B, "Variant", 'Raw Data'!$A:$A, $A11, 'Raw Data'!$C:$C, $C$3),""))</f>
        <v>96.42</v>
      </c>
      <c r="AW11" s="95">
        <f t="shared" si="16"/>
        <v>-0.636343064</v>
      </c>
      <c r="AX11" s="101">
        <f>IF($A11="","",IFERROR(SUMPRODUCT(('Raw Data'!$B$2:$B$9999="Control")*('Raw Data'!$A$2:$A$9999=$A11)*('Raw Data'!$C$2:$C$9999=$C$3)*'Raw Data'!$D$2:$D$9999*'Raw Data'!$T$2:$T$9999)/SUMIFS('Raw Data'!$D:$D, 'Raw Data'!$B:$B, "Control", 'Raw Data'!$A:$A, $A11, 'Raw Data'!$C:$C, $C$3),""))</f>
        <v>194.41</v>
      </c>
      <c r="AY11" s="101">
        <f>IF($A11="","",IFERROR(SUMPRODUCT(('Raw Data'!$B$2:$B$9999="Variant")*('Raw Data'!$A$2:$A$9999=$A11)*('Raw Data'!$C$2:$C$9999=$C$3)*'Raw Data'!$D$2:$D$9999*'Raw Data'!$T$2:$T$9999)/SUMIFS('Raw Data'!$D:$D, 'Raw Data'!$B:$B, "Variant", 'Raw Data'!$A:$A, $A11, 'Raw Data'!$C:$C, $C$3),""))</f>
        <v>236.98</v>
      </c>
      <c r="AZ11" s="100">
        <f t="shared" si="17"/>
        <v>0.2189702176</v>
      </c>
      <c r="BA11" s="101">
        <f>IF($A11="","",IFERROR(SUMPRODUCT(('Raw Data'!$B$2:$B$9999="Control")*('Raw Data'!$A$2:$A$9999=$A11)*('Raw Data'!$C$2:$C$9999=$C$3)*'Raw Data'!$D$2:$D$9999*'Raw Data'!$U$2:$U$9999)/SUMIFS('Raw Data'!$D:$D, 'Raw Data'!$B:$B, "Control", 'Raw Data'!$A:$A, $A11, 'Raw Data'!$C:$C, $C$3),""))</f>
        <v>664.93</v>
      </c>
      <c r="BB11" s="101">
        <f>IF($A11="","",IFERROR(SUMPRODUCT(('Raw Data'!$B$2:$B$9999="Variant")*('Raw Data'!$A$2:$A$9999=$A11)*('Raw Data'!$C$2:$C$9999=$C$3)*'Raw Data'!$D$2:$D$9999*'Raw Data'!$U$2:$U$9999)/SUMIFS('Raw Data'!$D:$D, 'Raw Data'!$B:$B, "Variant", 'Raw Data'!$A:$A, $A11, 'Raw Data'!$C:$C, $C$3),""))</f>
        <v>629.81</v>
      </c>
      <c r="BC11" s="95">
        <f t="shared" si="18"/>
        <v>-0.05281758982</v>
      </c>
      <c r="BD11" s="101">
        <f>IF($A11="","",IFERROR(SUMPRODUCT(('Raw Data'!$B$2:$B$9999="Control")*('Raw Data'!$A$2:$A$9999=$A11)*('Raw Data'!$C$2:$C$9999=$C$3)*'Raw Data'!$D$2:$D$9999*'Raw Data'!$V$2:$V$9999)/SUMIFS('Raw Data'!$D:$D, 'Raw Data'!$B:$B, "Control", 'Raw Data'!$A:$A, $A11, 'Raw Data'!$C:$C, $C$3),""))</f>
        <v>875</v>
      </c>
      <c r="BE11" s="101">
        <f>IF($A11="","",IFERROR(SUMPRODUCT(('Raw Data'!$B$2:$B$9999="Variant")*('Raw Data'!$A$2:$A$9999=$A11)*('Raw Data'!$C$2:$C$9999=$C$3)*'Raw Data'!$D$2:$D$9999*'Raw Data'!$V$2:$V$9999)/SUMIFS('Raw Data'!$D:$D, 'Raw Data'!$B:$B, "Variant", 'Raw Data'!$A:$A, $A11, 'Raw Data'!$C:$C, $C$3),""))</f>
        <v>861.26</v>
      </c>
      <c r="BF11" s="95">
        <f t="shared" si="19"/>
        <v>-0.01570285714</v>
      </c>
      <c r="BG11" s="101">
        <f>IF($A11="","",IFERROR(SUMPRODUCT(('Raw Data'!$B$2:$B$9999="Control")*('Raw Data'!$A$2:$A$9999=$A11)*('Raw Data'!$C$2:$C$9999=$C$3)*'Raw Data'!$D$2:$D$9999*('Raw Data'!$Q$2:$Q$9999-'Raw Data'!$V$2:$V$9999))/SUMIFS('Raw Data'!$D:$D, 'Raw Data'!$B:$B, "Control", 'Raw Data'!$A:$A, $A11, 'Raw Data'!$C:$C, $C$3),""))</f>
        <v>-15.66</v>
      </c>
      <c r="BH11" s="101">
        <f>IF($A11="","",IFERROR(SUMPRODUCT(('Raw Data'!$B$2:$B$9999="Variant")*('Raw Data'!$A$2:$A$9999=$A11)*('Raw Data'!$C$2:$C$9999=$C$3)*'Raw Data'!$D$2:$D$9999*('Raw Data'!$Q$2:$Q$9999-'Raw Data'!$V$2:$V$9999))/SUMIFS('Raw Data'!$D:$D, 'Raw Data'!$B:$B, "Variant", 'Raw Data'!$A:$A, $A11, 'Raw Data'!$C:$C, $C$3),""))</f>
        <v>5.53</v>
      </c>
      <c r="BI11" s="95">
        <f t="shared" si="20"/>
        <v>1.353128991</v>
      </c>
      <c r="BJ11" s="101">
        <f>IF($A11="","",IFERROR(SUMPRODUCT(('Raw Data'!$B$2:$B$9999="Control")*('Raw Data'!$A$2:$A$9999=$A11)*('Raw Data'!$C$2:$C$9999=$C$3)*'Raw Data'!$D$2:$D$9999*'Raw Data'!$W$2:$W$9999)/SUMIFS('Raw Data'!$D:$D, 'Raw Data'!$B:$B, "Control", 'Raw Data'!$A:$A, $A11, 'Raw Data'!$C:$C, $C$3),""))</f>
        <v>6.0085</v>
      </c>
      <c r="BK11" s="101">
        <f>IF($A11="","",IFERROR(SUMPRODUCT(('Raw Data'!$B$2:$B$9999="Variant")*('Raw Data'!$A$2:$A$9999=$A11)*('Raw Data'!$C$2:$C$9999=$C$3)*'Raw Data'!$D$2:$D$9999*'Raw Data'!$W$2:$W$9999)/SUMIFS('Raw Data'!$D:$D, 'Raw Data'!$B:$B, "Variant", 'Raw Data'!$A:$A, $A11, 'Raw Data'!$C:$C, $C$3),""))</f>
        <v>5.7428</v>
      </c>
      <c r="BL11" s="95">
        <f t="shared" si="21"/>
        <v>-0.04422068736</v>
      </c>
      <c r="BM11" s="102">
        <f>IF($A11="","",IFERROR(SUMPRODUCT(('Raw Data'!$B$2:$B$9999="Control")*('Raw Data'!$A$2:$A$9999=$A11)*('Raw Data'!$C$2:$C$9999=$C$3)*'Raw Data'!$D$2:$D$9999*'Raw Data'!$X$2:$X$9999)/SUMIFS('Raw Data'!$D:$D, 'Raw Data'!$B:$B, "Control", 'Raw Data'!$A:$A, $A11, 'Raw Data'!$C:$C, $C$3),""))</f>
        <v>22.62</v>
      </c>
      <c r="BN11" s="102">
        <f>IF($A11="","",IFERROR(SUMPRODUCT(('Raw Data'!$B$2:$B$9999="Variant")*('Raw Data'!$A$2:$A$9999=$A11)*('Raw Data'!$C$2:$C$9999=$C$3)*'Raw Data'!$D$2:$D$9999*'Raw Data'!$X$2:$X$9999)/SUMIFS('Raw Data'!$D:$D, 'Raw Data'!$B:$B, "Variant", 'Raw Data'!$A:$A, $A11, 'Raw Data'!$C:$C, $C$3),""))</f>
        <v>27.34</v>
      </c>
      <c r="BO11" s="100">
        <f t="shared" si="22"/>
        <v>0.2086648983</v>
      </c>
      <c r="BP11" s="94">
        <f>IF($A11="","",IFERROR(SUMPRODUCT(('Raw Data'!$B$2:$B$9999="Control")*('Raw Data'!$A$2:$A$9999=$A11)*('Raw Data'!$C$2:$C$9999=$C$3)*'Raw Data'!$D$2:$D$9999*'Raw Data'!$Y$2:$Y$9999)/SUMIFS('Raw Data'!$D:$D, 'Raw Data'!$B:$B, "Control", 'Raw Data'!$A:$A, $A11, 'Raw Data'!$C:$C, $C$3),""))</f>
        <v>465</v>
      </c>
      <c r="BQ11" s="94">
        <f>IF($A11="","",IFERROR(SUMPRODUCT(('Raw Data'!$B$2:$B$9999="Variant")*('Raw Data'!$A$2:$A$9999=$A11)*('Raw Data'!$C$2:$C$9999=$C$3)*'Raw Data'!$D$2:$D$9999*'Raw Data'!$Y$2:$Y$9999)/SUMIFS('Raw Data'!$D:$D, 'Raw Data'!$B:$B, "Variant", 'Raw Data'!$A:$A, $A11, 'Raw Data'!$C:$C, $C$3),""))</f>
        <v>491</v>
      </c>
      <c r="BR11" s="95">
        <f t="shared" si="23"/>
        <v>0.05591397849</v>
      </c>
      <c r="BS11" s="94">
        <f>IF($A11="","",IFERROR(SUMPRODUCT(('Raw Data'!$B$2:$B$9999="Control")*('Raw Data'!$A$2:$A$9999=$A11)*('Raw Data'!$C$2:$C$9999=$C$3)*'Raw Data'!$D$2:$D$9999*'Raw Data'!$Z$2:$Z$9999)/SUMIFS('Raw Data'!$D:$D, 'Raw Data'!$B:$B, "Control", 'Raw Data'!$A:$A, $A11, 'Raw Data'!$C:$C, $C$3),""))</f>
        <v>2981</v>
      </c>
      <c r="BT11" s="94">
        <f>IF($A11="","",IFERROR(SUMPRODUCT(('Raw Data'!$B$2:$B$9999="Variant")*('Raw Data'!$A$2:$A$9999=$A11)*('Raw Data'!$C$2:$C$9999=$C$3)*'Raw Data'!$D$2:$D$9999*'Raw Data'!$Z$2:$Z$9999)/SUMIFS('Raw Data'!$D:$D, 'Raw Data'!$B:$B, "Variant", 'Raw Data'!$A:$A, $A11, 'Raw Data'!$C:$C, $C$3),""))</f>
        <v>2962</v>
      </c>
      <c r="BU11" s="95">
        <f t="shared" si="24"/>
        <v>-0.006373700101</v>
      </c>
      <c r="BV11" s="94">
        <f>IF($A11="","",IFERROR(SUMPRODUCT(('Raw Data'!$B$2:$B$9999="Control")*('Raw Data'!$A$2:$A$9999=$A11)*('Raw Data'!$C$2:$C$9999=$C$3)*'Raw Data'!$D$2:$D$9999*'Raw Data'!$AA$2:$AA$9999)/SUMIFS('Raw Data'!$D:$D, 'Raw Data'!$B:$B, "Control", 'Raw Data'!$A:$A, $A11, 'Raw Data'!$C:$C, $C$3),""))</f>
        <v>9209</v>
      </c>
      <c r="BW11" s="94">
        <f>IF($A11="","",IFERROR(SUMPRODUCT(('Raw Data'!$B$2:$B$9999="Variant")*('Raw Data'!$A$2:$A$9999=$A11)*('Raw Data'!$C$2:$C$9999=$C$3)*'Raw Data'!$D$2:$D$9999*'Raw Data'!$AA$2:$AA$9999)/SUMIFS('Raw Data'!$D:$D, 'Raw Data'!$B:$B, "Variant", 'Raw Data'!$A:$A, $A11, 'Raw Data'!$C:$C, $C$3),""))</f>
        <v>10719</v>
      </c>
      <c r="BX11" s="95">
        <f t="shared" si="25"/>
        <v>0.1639700293</v>
      </c>
      <c r="BY11" s="101">
        <f>IF($A11="","",IFERROR(SUMPRODUCT(('Raw Data'!$B$2:$B$9999="Control")*('Raw Data'!$A$2:$A$9999=$A11)*('Raw Data'!$C$2:$C$9999=$C$3)*'Raw Data'!$D$2:$D$9999*'Raw Data'!$AB$2:$AB$9999)/SUMIFS('Raw Data'!$D:$D, 'Raw Data'!$B:$B, "Control", 'Raw Data'!$A:$A, $A11, 'Raw Data'!$C:$C, $C$3),""))</f>
        <v>62.4558</v>
      </c>
      <c r="BZ11" s="101">
        <f>IF($A11="","",IFERROR(SUMPRODUCT(('Raw Data'!$B$2:$B$9999="Variant")*('Raw Data'!$A$2:$A$9999=$A11)*('Raw Data'!$C$2:$C$9999=$C$3)*'Raw Data'!$D$2:$D$9999*'Raw Data'!$AB$2:$AB$9999)/SUMIFS('Raw Data'!$D:$D, 'Raw Data'!$B:$B, "Variant", 'Raw Data'!$A:$A, $A11, 'Raw Data'!$C:$C, $C$3),""))</f>
        <v>62.6273</v>
      </c>
      <c r="CA11" s="100">
        <f t="shared" si="26"/>
        <v>0.00274594193</v>
      </c>
      <c r="CB11" s="101">
        <f>IF($A11="","",IFERROR(SUMPRODUCT(('Raw Data'!$B$2:$B$9999="Control")*('Raw Data'!$A$2:$A$9999=$A11)*('Raw Data'!$C$2:$C$9999=$C$3)*'Raw Data'!$D$2:$D$9999*'Raw Data'!$AC$2:$AC$9999)/SUMIFS('Raw Data'!$D:$D, 'Raw Data'!$B:$B, "Control", 'Raw Data'!$A:$A, $A11, 'Raw Data'!$C:$C, $C$3),""))</f>
        <v>0.8908</v>
      </c>
      <c r="CC11" s="101">
        <f>IF($A11="","",IFERROR(SUMPRODUCT(('Raw Data'!$B$2:$B$9999="Variant")*('Raw Data'!$A$2:$A$9999=$A11)*('Raw Data'!$C$2:$C$9999=$C$3)*'Raw Data'!$D$2:$D$9999*'Raw Data'!$AC$2:$AC$9999)/SUMIFS('Raw Data'!$D:$D, 'Raw Data'!$B:$B, "Variant", 'Raw Data'!$A:$A, $A11, 'Raw Data'!$C:$C, $C$3),""))</f>
        <v>0.8834</v>
      </c>
      <c r="CD11" s="98">
        <f t="shared" si="27"/>
        <v>-0.00830713965</v>
      </c>
      <c r="CE11" s="101">
        <f>IF($A11="","",IFERROR(SUMPRODUCT(('Raw Data'!$B$2:$B$9999="Control")*('Raw Data'!$A$2:$A$9999=$A11)*('Raw Data'!$C$2:$C$9999=$C$3)*'Raw Data'!$D$2:$D$9999*'Raw Data'!$AD$2:$AD$9999)/SUMIFS('Raw Data'!$D:$D, 'Raw Data'!$B:$B, "Control", 'Raw Data'!$A:$A, $A11, 'Raw Data'!$C:$C, $C$3),""))</f>
        <v>87.29</v>
      </c>
      <c r="CF11" s="101">
        <f>IF($A11="","",IFERROR(SUMPRODUCT(('Raw Data'!$B$2:$B$9999="Variant")*('Raw Data'!$A$2:$A$9999=$A11)*('Raw Data'!$C$2:$C$9999=$C$3)*'Raw Data'!$D$2:$D$9999*'Raw Data'!$AD$2:$AD$9999)/SUMIFS('Raw Data'!$D:$D, 'Raw Data'!$B:$B, "Variant", 'Raw Data'!$A:$A, $A11, 'Raw Data'!$C:$C, $C$3),""))</f>
        <v>89.85</v>
      </c>
      <c r="CG11" s="100">
        <f t="shared" si="28"/>
        <v>0.02932752893</v>
      </c>
      <c r="CH11" s="101">
        <f>IF($A11="","",IFERROR(SUMPRODUCT(('Raw Data'!$B$2:$B$9999="Control")*('Raw Data'!$A$2:$A$9999=$A11)*('Raw Data'!$C$2:$C$9999=$C$3)*'Raw Data'!$D$2:$D$9999*'Raw Data'!$AE$2:$AE$9999)/SUMIFS('Raw Data'!$D:$D, 'Raw Data'!$B:$B, "Control", 'Raw Data'!$A:$A, $A11, 'Raw Data'!$C:$C, $C$3),""))</f>
        <v>35</v>
      </c>
      <c r="CI11" s="101">
        <f>IF($A11="","",IFERROR(SUMPRODUCT(('Raw Data'!$B$2:$B$9999="Variant")*('Raw Data'!$A$2:$A$9999=$A11)*('Raw Data'!$C$2:$C$9999=$C$3)*'Raw Data'!$D$2:$D$9999*'Raw Data'!$AE$2:$AE$9999)/SUMIFS('Raw Data'!$D:$D, 'Raw Data'!$B:$B, "Variant", 'Raw Data'!$A:$A, $A11, 'Raw Data'!$C:$C, $C$3),""))</f>
        <v>31</v>
      </c>
      <c r="CJ11" s="98">
        <f t="shared" si="29"/>
        <v>-0.1142857143</v>
      </c>
      <c r="CK11" s="101">
        <f>IF($A11="","",IFERROR(SUMPRODUCT(('Raw Data'!$B$2:$B$9999="Control")*('Raw Data'!$A$2:$A$9999=$A11)*('Raw Data'!$C$2:$C$9999=$C$3)*'Raw Data'!$D$2:$D$9999*'Raw Data'!$AF$2:$AF$9999)/SUMIFS('Raw Data'!$D:$D, 'Raw Data'!$B:$B, "Control", 'Raw Data'!$A:$A, $A11, 'Raw Data'!$C:$C, $C$3),""))</f>
        <v>76</v>
      </c>
      <c r="CL11" s="101">
        <f>IF($A11="","",IFERROR(SUMPRODUCT(('Raw Data'!$B$2:$B$9999="Variant")*('Raw Data'!$A$2:$A$9999=$A11)*('Raw Data'!$C$2:$C$9999=$C$3)*'Raw Data'!$D$2:$D$9999*'Raw Data'!$AF$2:$AF$9999)/SUMIFS('Raw Data'!$D:$D, 'Raw Data'!$B:$B, "Variant", 'Raw Data'!$A:$A, $A11, 'Raw Data'!$C:$C, $C$3),""))</f>
        <v>73</v>
      </c>
      <c r="CM11" s="98">
        <f t="shared" si="30"/>
        <v>-0.03947368421</v>
      </c>
      <c r="CN11" s="101">
        <f>IF($A11="","",IFERROR(SUMPRODUCT(('Raw Data'!$B$2:$B$9999="Control")*('Raw Data'!$A$2:$A$9999=$A11)*('Raw Data'!$C$2:$C$9999=$C$3)*'Raw Data'!$D$2:$D$9999*'Raw Data'!$AG$2:$AG$9999)/SUMIFS('Raw Data'!$D:$D, 'Raw Data'!$B:$B, "Control", 'Raw Data'!$A:$A, $A11, 'Raw Data'!$C:$C, $C$3),""))</f>
        <v>126</v>
      </c>
      <c r="CO11" s="101">
        <f>IF($A11="","",IFERROR(SUMPRODUCT(('Raw Data'!$B$2:$B$9999="Variant")*('Raw Data'!$A$2:$A$9999=$A11)*('Raw Data'!$C$2:$C$9999=$C$3)*'Raw Data'!$D$2:$D$9999*'Raw Data'!$AG$2:$AG$9999)/SUMIFS('Raw Data'!$D:$D, 'Raw Data'!$B:$B, "Variant", 'Raw Data'!$A:$A, $A11, 'Raw Data'!$C:$C, $C$3),""))</f>
        <v>125</v>
      </c>
      <c r="CP11" s="98">
        <f t="shared" si="31"/>
        <v>-0.007936507937</v>
      </c>
      <c r="CQ11" s="101">
        <f>IF($A11="","",IFERROR(SUMPRODUCT(('Raw Data'!$B$2:$B$9999="Control")*('Raw Data'!$A$2:$A$9999=$A11)*('Raw Data'!$C$2:$C$9999=$C$3)*'Raw Data'!$D$2:$D$9999*'Raw Data'!$AH$2:$AH$9999)/SUMIFS('Raw Data'!$D:$D, 'Raw Data'!$B:$B, "Control", 'Raw Data'!$A:$A, $A11, 'Raw Data'!$C:$C, $C$3),""))</f>
        <v>176</v>
      </c>
      <c r="CR11" s="101">
        <f>IF($A11="","",IFERROR(SUMPRODUCT(('Raw Data'!$B$2:$B$9999="Variant")*('Raw Data'!$A$2:$A$9999=$A11)*('Raw Data'!$C$2:$C$9999=$C$3)*'Raw Data'!$D$2:$D$9999*'Raw Data'!$AH$2:$AH$9999)/SUMIFS('Raw Data'!$D:$D, 'Raw Data'!$B:$B, "Variant", 'Raw Data'!$A:$A, $A11, 'Raw Data'!$C:$C, $C$3),""))</f>
        <v>184</v>
      </c>
      <c r="CS11" s="100">
        <f t="shared" si="32"/>
        <v>0.04545454545</v>
      </c>
      <c r="CT11" s="96">
        <f>IF($A11="","",IFERROR(SUMPRODUCT(('Raw Data'!$B$2:$B$9999="Control")*('Raw Data'!$A$2:$A$9999=$A11)*('Raw Data'!$C$2:$C$9999=$C$3)*'Raw Data'!$D$2:$D$9999*'Raw Data'!$AI$2:$AI$9999)/SUMIFS('Raw Data'!$D:$D, 'Raw Data'!$B:$B, "Control", 'Raw Data'!$A:$A, $A11, 'Raw Data'!$C:$C, $C$3),""))</f>
        <v>48.01</v>
      </c>
      <c r="CU11" s="96">
        <f>IF($A11="","",IFERROR(SUMPRODUCT(('Raw Data'!$B$2:$B$9999="Variant")*('Raw Data'!$A$2:$A$9999=$A11)*('Raw Data'!$C$2:$C$9999=$C$3)*'Raw Data'!$D$2:$D$9999*'Raw Data'!$AI$2:$AI$9999)/SUMIFS('Raw Data'!$D:$D, 'Raw Data'!$B:$B, "Variant", 'Raw Data'!$A:$A, $A11, 'Raw Data'!$C:$C, $C$3),""))</f>
        <v>46.69</v>
      </c>
      <c r="CV11" s="98">
        <f t="shared" si="33"/>
        <v>-0.02749427203</v>
      </c>
      <c r="CW11" s="96">
        <f>IF($A11="","",IFERROR(SUMPRODUCT(('Raw Data'!$B$2:$B$9999="Control")*('Raw Data'!$A$2:$A$9999=$A11)*('Raw Data'!$C$2:$C$9999=$C$3)*'Raw Data'!$D$2:$D$9999*'Raw Data'!$AJ$2:$AJ$9999)/SUMIFS('Raw Data'!$D:$D, 'Raw Data'!$B:$B, "Control", 'Raw Data'!$A:$A, $A11, 'Raw Data'!$C:$C, $C$3),""))</f>
        <v>9.96</v>
      </c>
      <c r="CX11" s="96">
        <f>IF($A11="","",IFERROR(SUMPRODUCT(('Raw Data'!$B$2:$B$9999="Variant")*('Raw Data'!$A$2:$A$9999=$A11)*('Raw Data'!$C$2:$C$9999=$C$3)*'Raw Data'!$D$2:$D$9999*'Raw Data'!$AJ$2:$AJ$9999)/SUMIFS('Raw Data'!$D:$D, 'Raw Data'!$B:$B, "Variant", 'Raw Data'!$A:$A, $A11, 'Raw Data'!$C:$C, $C$3),""))</f>
        <v>12.6</v>
      </c>
      <c r="CY11" s="100">
        <f t="shared" si="34"/>
        <v>0.265060241</v>
      </c>
      <c r="CZ11" s="96">
        <f>IF($A11="","",IFERROR(SUMPRODUCT(('Raw Data'!$B$2:$B$9999="Control")*('Raw Data'!$A$2:$A$9999=$A11)*('Raw Data'!$C$2:$C$9999=$C$3)*'Raw Data'!$D$2:$D$9999*'Raw Data'!$AK$2:$AK$9999)/SUMIFS('Raw Data'!$D:$D, 'Raw Data'!$B:$B, "Control", 'Raw Data'!$A:$A, $A11, 'Raw Data'!$C:$C, $C$3),""))</f>
        <v>0.66</v>
      </c>
      <c r="DA11" s="96">
        <f>IF($A11="","",IFERROR(SUMPRODUCT(('Raw Data'!$B$2:$B$9999="Variant")*('Raw Data'!$A$2:$A$9999=$A11)*('Raw Data'!$C$2:$C$9999=$C$3)*'Raw Data'!$D$2:$D$9999*'Raw Data'!$AK$2:$AK$9999)/SUMIFS('Raw Data'!$D:$D, 'Raw Data'!$B:$B, "Variant", 'Raw Data'!$A:$A, $A11, 'Raw Data'!$C:$C, $C$3),""))</f>
        <v>3.1</v>
      </c>
      <c r="DB11" s="100">
        <f t="shared" si="35"/>
        <v>3.696969697</v>
      </c>
      <c r="DC11" s="102">
        <f>IF($A11="","",IFERROR(SUMPRODUCT(('Raw Data'!$B$2:$B$9999="Control")*('Raw Data'!$A$2:$A$9999=$A11)*('Raw Data'!$C$2:$C$9999=$C$3)*'Raw Data'!$D$2:$D$9999*'Raw Data'!$AL$2:$AL$9999)/SUMIFS('Raw Data'!$D:$D, 'Raw Data'!$B:$B, "Control", 'Raw Data'!$A:$A, $A11, 'Raw Data'!$C:$C, $C$3),""))</f>
        <v>0.135</v>
      </c>
      <c r="DD11" s="102">
        <f>IF($A11="","",IFERROR(SUMPRODUCT(('Raw Data'!$B$2:$B$9999="Variant")*('Raw Data'!$A$2:$A$9999=$A11)*('Raw Data'!$C$2:$C$9999=$C$3)*'Raw Data'!$D$2:$D$9999*'Raw Data'!$AL$2:$AL$9999)/SUMIFS('Raw Data'!$D:$D, 'Raw Data'!$B:$B, "Variant", 'Raw Data'!$A:$A, $A11, 'Raw Data'!$C:$C, $C$3),""))</f>
        <v>0.1116</v>
      </c>
      <c r="DE11" s="100">
        <f t="shared" si="36"/>
        <v>-0.1733333333</v>
      </c>
      <c r="DF11" s="103"/>
      <c r="DG11" s="96">
        <f>IF($A11="","",IFERROR(SUMPRODUCT(('Raw Data'!$B$2:$B$9999="Variant")*('Raw Data'!$A$2:$A$9999=$A11)*('Raw Data'!$C$2:$C$9999=$C$3)*'Raw Data'!$D$2:$D$9999*'Raw Data'!$AM$2:$AM$9999)/SUMIFS('Raw Data'!$D:$D, 'Raw Data'!$B:$B, "Variant", 'Raw Data'!$A:$A, $A11, 'Raw Data'!$C:$C, $C$3),""))</f>
        <v>66.94</v>
      </c>
      <c r="DH11" s="104"/>
      <c r="DI11" s="103"/>
      <c r="DJ11" s="96">
        <f>IF($A11="","",IFERROR(SUMPRODUCT(('Raw Data'!$B$2:$B$9999="Variant")*('Raw Data'!$A$2:$A$9999=$A11)*('Raw Data'!$C$2:$C$9999=$C$3)*'Raw Data'!$D$2:$D$9999*'Raw Data'!$AN$2:$AN$9999)/SUMIFS('Raw Data'!$D:$D, 'Raw Data'!$B:$B, "Variant", 'Raw Data'!$A:$A, $A11, 'Raw Data'!$C:$C, $C$3),""))</f>
        <v>66.94</v>
      </c>
      <c r="DK11" s="104"/>
      <c r="DL11" s="103"/>
      <c r="DM11" s="96">
        <f>IF($A11="","",IFERROR(SUMPRODUCT(('Raw Data'!$B$2:$B$9999="Variant")*('Raw Data'!$A$2:$A$9999=$A11)*('Raw Data'!$C$2:$C$9999=$C$3)*'Raw Data'!$D$2:$D$9999*'Raw Data'!$AO$2:$AO$9999)/SUMIFS('Raw Data'!$D:$D, 'Raw Data'!$B:$B, "Variant", 'Raw Data'!$A:$A, $A11, 'Raw Data'!$C:$C, $C$3),""))</f>
        <v>46.9</v>
      </c>
      <c r="DN11" s="104"/>
      <c r="DO11" s="103"/>
      <c r="DP11" s="96">
        <f>IF($A11="","",IFERROR(SUMPRODUCT(('Raw Data'!$B$2:$B$9999="Variant")*('Raw Data'!$A$2:$A$9999=$A11)*('Raw Data'!$C$2:$C$9999=$C$3)*'Raw Data'!$D$2:$D$9999*'Raw Data'!$AP$2:$AP$9999)/SUMIFS('Raw Data'!$D:$D, 'Raw Data'!$B:$B, "Variant", 'Raw Data'!$A:$A, $A11, 'Raw Data'!$C:$C, $C$3),""))</f>
        <v>33.68</v>
      </c>
      <c r="DQ11" s="104"/>
      <c r="DR11" s="102">
        <f>IF($A11="","",IFERROR(SUMPRODUCT(('Raw Data'!$B$2:$B$9999="Control")*('Raw Data'!$A$2:$A$9999=$A11)*('Raw Data'!$C$2:$C$9999=$C$3)*'Raw Data'!$D$2:$D$9999*'Raw Data'!$AQ$2:$AQ$9999)/SUMIFS('Raw Data'!$D:$D, 'Raw Data'!$B:$B, "Control", 'Raw Data'!$A:$A, $A11, 'Raw Data'!$C:$C, $C$3),""))</f>
        <v>34.3496</v>
      </c>
      <c r="DS11" s="102">
        <f>IF($A11="","",IFERROR(SUMPRODUCT(('Raw Data'!$B$2:$B$9999="Variant")*('Raw Data'!$A$2:$A$9999=$A11)*('Raw Data'!$C$2:$C$9999=$C$3)*'Raw Data'!$D$2:$D$9999*'Raw Data'!$AQ$2:$AQ$9999)/SUMIFS('Raw Data'!$D:$D, 'Raw Data'!$B:$B, "Variant", 'Raw Data'!$A:$A, $A11, 'Raw Data'!$C:$C, $C$3),""))</f>
        <v>35.2273</v>
      </c>
      <c r="DT11" s="107">
        <f t="shared" si="37"/>
        <v>0.02555197149</v>
      </c>
      <c r="DU11" s="102">
        <f>IF($A11="","",IFERROR(SUMPRODUCT(('Raw Data'!$B$2:$B$9999="Control")*('Raw Data'!$A$2:$A$9999=$A11)*('Raw Data'!$C$2:$C$9999=$C$3)*'Raw Data'!$D$2:$D$9999*'Raw Data'!$AR$2:$AR$9999)/SUMIFS('Raw Data'!$D:$D, 'Raw Data'!$B:$B, "Control", 'Raw Data'!$A:$A, $A11, 'Raw Data'!$C:$C, $C$3),""))</f>
        <v>3.0354</v>
      </c>
      <c r="DV11" s="102">
        <f>IF($A11="","",IFERROR(SUMPRODUCT(('Raw Data'!$B$2:$B$9999="Variant")*('Raw Data'!$A$2:$A$9999=$A11)*('Raw Data'!$C$2:$C$9999=$C$3)*'Raw Data'!$D$2:$D$9999*'Raw Data'!$AR$2:$AR$9999)/SUMIFS('Raw Data'!$D:$D, 'Raw Data'!$B:$B, "Variant", 'Raw Data'!$A:$A, $A11, 'Raw Data'!$C:$C, $C$3),""))</f>
        <v>2.7645</v>
      </c>
      <c r="DW11" s="107">
        <f t="shared" si="38"/>
        <v>-0.08924688674</v>
      </c>
      <c r="DX11" s="102">
        <f>IF($A11="","",IFERROR(SUMPRODUCT(('Raw Data'!$B$2:$B$9999="Control")*('Raw Data'!$A$2:$A$9999=$A11)*('Raw Data'!$C$2:$C$9999=$C$3)*'Raw Data'!$D$2:$D$9999*'Raw Data'!$AS$2:$AS$9999)/SUMIFS('Raw Data'!$D:$D, 'Raw Data'!$B:$B, "Control", 'Raw Data'!$A:$A, $A11, 'Raw Data'!$C:$C, $C$3),""))</f>
        <v>31.3142</v>
      </c>
      <c r="DY11" s="102">
        <f>IF($A11="","",IFERROR(SUMPRODUCT(('Raw Data'!$B$2:$B$9999="Variant")*('Raw Data'!$A$2:$A$9999=$A11)*('Raw Data'!$C$2:$C$9999=$C$3)*'Raw Data'!$D$2:$D$9999*'Raw Data'!$AS$2:$AS$9999)/SUMIFS('Raw Data'!$D:$D, 'Raw Data'!$B:$B, "Variant", 'Raw Data'!$A:$A, $A11, 'Raw Data'!$C:$C, $C$3),""))</f>
        <v>32.4628</v>
      </c>
      <c r="DZ11" s="107">
        <f t="shared" si="39"/>
        <v>0.03667984493</v>
      </c>
      <c r="EA11" s="102">
        <f>IF($A11="","",IFERROR(SUMPRODUCT(('Raw Data'!$B$2:$B$9999="Control")*('Raw Data'!$A$2:$A$9999=$A11)*('Raw Data'!$C$2:$C$9999=$C$3)*'Raw Data'!$D$2:$D$9999*'Raw Data'!$AT$2:$AT$9999)/SUMIFS('Raw Data'!$D:$D, 'Raw Data'!$B:$B, "Control", 'Raw Data'!$A:$A, $A11, 'Raw Data'!$C:$C, $C$3),""))</f>
        <v>33.3739</v>
      </c>
      <c r="EB11" s="102">
        <f>IF($A11="","",IFERROR(SUMPRODUCT(('Raw Data'!$B$2:$B$9999="Variant")*('Raw Data'!$A$2:$A$9999=$A11)*('Raw Data'!$C$2:$C$9999=$C$3)*'Raw Data'!$D$2:$D$9999*'Raw Data'!$AT$2:$AT$9999)/SUMIFS('Raw Data'!$D:$D, 'Raw Data'!$B:$B, "Variant", 'Raw Data'!$A:$A, $A11, 'Raw Data'!$C:$C, $C$3),""))</f>
        <v>37.155</v>
      </c>
      <c r="EC11" s="107">
        <f t="shared" si="40"/>
        <v>0.1132951198</v>
      </c>
      <c r="ED11" s="102">
        <f>IF($A11="","",IFERROR(SUMPRODUCT(('Raw Data'!$B$2:$B$9999="Control")*('Raw Data'!$A$2:$A$9999=$A11)*('Raw Data'!$C$2:$C$9999=$C$3)*'Raw Data'!$D$2:$D$9999*('Raw Data'!$AQ$2:$AQ$9999-'Raw Data'!$AT$2:$AT$9999))/SUMIFS('Raw Data'!$D:$D, 'Raw Data'!$B:$B, "Control", 'Raw Data'!$A:$A, $A11, 'Raw Data'!$C:$C, $C$3),""))</f>
        <v>0.9757</v>
      </c>
      <c r="EE11" s="102">
        <f>IF($A11="","",IFERROR(SUMPRODUCT(('Raw Data'!$B$2:$B$9999="Variant")*('Raw Data'!$A$2:$A$9999=$A11)*('Raw Data'!$C$2:$C$9999=$C$3)*'Raw Data'!$D$2:$D$9999*('Raw Data'!$AQ$2:$AQ$9999-'Raw Data'!$AT$2:$AT$9999))/SUMIFS('Raw Data'!$D:$D, 'Raw Data'!$B:$B, "Variant", 'Raw Data'!$A:$A, $A11, 'Raw Data'!$C:$C, $C$3),""))</f>
        <v>-1.9277</v>
      </c>
      <c r="EF11" s="107">
        <f t="shared" si="41"/>
        <v>-2.975709747</v>
      </c>
      <c r="EG11" s="102">
        <f>IF($A11="","",IFERROR(SUMPRODUCT(('Raw Data'!$B$2:$B$9999="Control")*('Raw Data'!$A$2:$A$9999=$A11)*('Raw Data'!$C$2:$C$9999=$C$3)*'Raw Data'!$D$2:$D$9999*'Raw Data'!$AU$2:$AU$9999)/SUMIFS('Raw Data'!$D:$D, 'Raw Data'!$B:$B, "Control", 'Raw Data'!$A:$A, $A11, 'Raw Data'!$C:$C, $C$3),""))</f>
        <v>0.2292</v>
      </c>
      <c r="EH11" s="102">
        <f>IF($A11="","",IFERROR(SUMPRODUCT(('Raw Data'!$B$2:$B$9999="Variant")*('Raw Data'!$A$2:$A$9999=$A11)*('Raw Data'!$C$2:$C$9999=$C$3)*'Raw Data'!$D$2:$D$9999*'Raw Data'!$AU$2:$AU$9999)/SUMIFS('Raw Data'!$D:$D, 'Raw Data'!$B:$B, "Variant", 'Raw Data'!$A:$A, $A11, 'Raw Data'!$C:$C, $C$3),""))</f>
        <v>0.2477</v>
      </c>
      <c r="EI11" s="107">
        <f t="shared" si="42"/>
        <v>0.08071553229</v>
      </c>
    </row>
    <row r="12">
      <c r="A12" s="93">
        <v>46180.0</v>
      </c>
      <c r="B12" s="94">
        <f>IF($A12="","",SUMIFS('Raw Data'!$D:$D, 'Raw Data'!$B:$B, "Control", 'Raw Data'!$A:$A, $A12, 'Raw Data'!$C:$C, $C$3))</f>
        <v>454</v>
      </c>
      <c r="C12" s="94">
        <f>IF($A12="","",SUMIFS('Raw Data'!$D:$D, 'Raw Data'!$B:$B, "Variant", 'Raw Data'!$A:$A, $A12, 'Raw Data'!$C:$C, $C$3))</f>
        <v>516</v>
      </c>
      <c r="D12" s="95">
        <f t="shared" si="1"/>
        <v>0.1365638767</v>
      </c>
      <c r="E12" s="96">
        <f>IF($A12="","",IFERROR(SUMPRODUCT(('Raw Data'!$B$2:$B$9999="Control")*('Raw Data'!$A$2:$A$9999=$A12)*('Raw Data'!$C$2:$C$9999=$C$3)*'Raw Data'!$D$2:$D$9999*'Raw Data'!$E$2:$E$9999)/SUMIFS('Raw Data'!$D:$D, 'Raw Data'!$B:$B, "Control", 'Raw Data'!$A:$A, $A12, 'Raw Data'!$C:$C, $C$3),""))</f>
        <v>0.55</v>
      </c>
      <c r="F12" s="96">
        <f>IF($A12="","",IFERROR(SUMPRODUCT(('Raw Data'!$B$2:$B$9999="Variant")*('Raw Data'!$A$2:$A$9999=$A12)*('Raw Data'!$C$2:$C$9999=$C$3)*'Raw Data'!$D$2:$D$9999*'Raw Data'!$E$2:$E$9999)/SUMIFS('Raw Data'!$D:$D, 'Raw Data'!$B:$B, "Variant", 'Raw Data'!$A:$A, $A12, 'Raw Data'!$C:$C, $C$3),""))</f>
        <v>0.63</v>
      </c>
      <c r="G12" s="95">
        <f t="shared" si="2"/>
        <v>0.1454545455</v>
      </c>
      <c r="H12" s="97">
        <f>IF($A12="","",SUMIFS('Raw Data'!$F:$F, 'Raw Data'!$B:$B, "Control", 'Raw Data'!$A:$A, $A12, 'Raw Data'!$C:$C, $C$3))</f>
        <v>1709.01</v>
      </c>
      <c r="I12" s="97">
        <f>IF($A12="","",SUMIFS('Raw Data'!$F:$F, 'Raw Data'!$B:$B, "Variant", 'Raw Data'!$A:$A, $A12, 'Raw Data'!$C:$C, $C$3))</f>
        <v>2346.33</v>
      </c>
      <c r="J12" s="100">
        <f t="shared" si="3"/>
        <v>0.3729176541</v>
      </c>
      <c r="K12" s="99">
        <f>IF($A12="","",IFERROR(SUMIFS('Raw Data'!$F:$F, 'Raw Data'!$B:$B, "Control", 'Raw Data'!$A:$A, $A12, 'Raw Data'!$C:$C, $C$3)/SUMIFS('Raw Data'!$D:$D, 'Raw Data'!$B:$B, "Control", 'Raw Data'!$A:$A, $A12, 'Raw Data'!$C:$C, $C$3),""))</f>
        <v>3.764339207</v>
      </c>
      <c r="L12" s="99">
        <f>IF($A12="","",IFERROR(SUMIFS('Raw Data'!$F:$F, 'Raw Data'!$B:$B, "Variant", 'Raw Data'!$A:$A, $A12, 'Raw Data'!$C:$C, $C$3)/SUMIFS('Raw Data'!$D:$D, 'Raw Data'!$B:$B, "Variant", 'Raw Data'!$A:$A, $A12, 'Raw Data'!$C:$C, $C$3),""))</f>
        <v>4.547151163</v>
      </c>
      <c r="M12" s="100">
        <f t="shared" si="4"/>
        <v>0.2079546801</v>
      </c>
      <c r="N12" s="96">
        <f>IF($A12="","",IFERROR(SUMPRODUCT(('Raw Data'!$B$2:$B$9999="Control")*('Raw Data'!$A$2:$A$9999=$A12)*('Raw Data'!$C$2:$C$9999=$C$3)*'Raw Data'!$D$2:$D$9999*'Raw Data'!$H$2:$H$9999/100)/SUMIFS('Raw Data'!$D:$D, 'Raw Data'!$B:$B, "Control", 'Raw Data'!$A:$A, $A12, 'Raw Data'!$C:$C, $C$3)*100,""))</f>
        <v>18.06</v>
      </c>
      <c r="O12" s="96">
        <f>IF($A12="","",IFERROR(SUMPRODUCT(('Raw Data'!$B$2:$B$9999="Variant")*('Raw Data'!$A$2:$A$9999=$A12)*('Raw Data'!$C$2:$C$9999=$C$3)*'Raw Data'!$D$2:$D$9999*'Raw Data'!$H$2:$H$9999/100)/SUMIFS('Raw Data'!$D:$D, 'Raw Data'!$B:$B, "Variant", 'Raw Data'!$A:$A, $A12, 'Raw Data'!$C:$C, $C$3)*100,""))</f>
        <v>16.28</v>
      </c>
      <c r="P12" s="105">
        <f t="shared" si="5"/>
        <v>-0.09856035437</v>
      </c>
      <c r="Q12" s="99">
        <f>IF($A12="","",IFERROR(SUMIFS('Raw Data'!$F:$F, 'Raw Data'!$B:$B, "Control", 'Raw Data'!$A:$A, $A12, 'Raw Data'!$C:$C, $C$3)/SUMPRODUCT(('Raw Data'!$B$2:$B$9999="Control")*('Raw Data'!$A$2:$A$9999=$A12)*('Raw Data'!$C$2:$C$9999=$C$3)*'Raw Data'!$D$2:$D$9999*'Raw Data'!$H$2:$H$9999/100),""))</f>
        <v>20.8435172</v>
      </c>
      <c r="R12" s="99">
        <f>IF($A12="","",IFERROR(SUMIFS('Raw Data'!$F:$F, 'Raw Data'!$B:$B, "Variant", 'Raw Data'!$A:$A, $A12, 'Raw Data'!$C:$C, $C$3)/SUMPRODUCT(('Raw Data'!$B$2:$B$9999="Variant")*('Raw Data'!$A$2:$A$9999=$A12)*('Raw Data'!$C$2:$C$9999=$C$3)*'Raw Data'!$D$2:$D$9999*'Raw Data'!$H$2:$H$9999/100),""))</f>
        <v>27.93090395</v>
      </c>
      <c r="S12" s="105">
        <f t="shared" si="6"/>
        <v>0.3400283491</v>
      </c>
      <c r="T12" s="101">
        <f>IF($A12="","",IFERROR(SUMPRODUCT(('Raw Data'!$B$2:$B$9999="Control")*('Raw Data'!$A$2:$A$9999=$A12)*('Raw Data'!$C$2:$C$9999=$C$3)*'Raw Data'!$D$2:$D$9999*'Raw Data'!$J$2:$J$9999)/SUMIFS('Raw Data'!$D:$D, 'Raw Data'!$B:$B, "Control", 'Raw Data'!$A:$A, $A12, 'Raw Data'!$C:$C, $C$3),""))</f>
        <v>234.24</v>
      </c>
      <c r="U12" s="101">
        <f>IF($A12="","",IFERROR(SUMPRODUCT(('Raw Data'!$B$2:$B$9999="Variant")*('Raw Data'!$A$2:$A$9999=$A12)*('Raw Data'!$C$2:$C$9999=$C$3)*'Raw Data'!$D$2:$D$9999*'Raw Data'!$J$2:$J$9999)/SUMIFS('Raw Data'!$D:$D, 'Raw Data'!$B:$B, "Variant", 'Raw Data'!$A:$A, $A12, 'Raw Data'!$C:$C, $C$3),""))</f>
        <v>256.11</v>
      </c>
      <c r="V12" s="105">
        <f t="shared" si="7"/>
        <v>0.09336577869</v>
      </c>
      <c r="W12" s="101">
        <f>IF($A12="","",IFERROR(SUMPRODUCT(('Raw Data'!$B$2:$B$9999="Control")*('Raw Data'!$A$2:$A$9999=$A12)*('Raw Data'!$C$2:$C$9999=$C$3)*'Raw Data'!$D$2:$D$9999*'Raw Data'!$K$2:$K$9999)/SUMIFS('Raw Data'!$D:$D, 'Raw Data'!$B:$B, "Control", 'Raw Data'!$A:$A, $A12, 'Raw Data'!$C:$C, $C$3),""))</f>
        <v>144.84</v>
      </c>
      <c r="X12" s="101">
        <f>IF($A12="","",IFERROR(SUMPRODUCT(('Raw Data'!$B$2:$B$9999="Variant")*('Raw Data'!$A$2:$A$9999=$A12)*('Raw Data'!$C$2:$C$9999=$C$3)*'Raw Data'!$D$2:$D$9999*'Raw Data'!$K$2:$K$9999)/SUMIFS('Raw Data'!$D:$D, 'Raw Data'!$B:$B, "Variant", 'Raw Data'!$A:$A, $A12, 'Raw Data'!$C:$C, $C$3),""))</f>
        <v>156.48</v>
      </c>
      <c r="Y12" s="105">
        <f t="shared" si="8"/>
        <v>0.08036454018</v>
      </c>
      <c r="Z12" s="101">
        <f>IF($A12="","",IFERROR(SUMPRODUCT(('Raw Data'!$B$2:$B$9999="Control")*('Raw Data'!$A$2:$A$9999=$A12)*('Raw Data'!$C$2:$C$9999=$C$3)*'Raw Data'!$D$2:$D$9999*'Raw Data'!$L$2:$L$9999)/SUMIFS('Raw Data'!$D:$D, 'Raw Data'!$B:$B, "Control", 'Raw Data'!$A:$A, $A12, 'Raw Data'!$C:$C, $C$3),""))</f>
        <v>122.76</v>
      </c>
      <c r="AA12" s="101">
        <f>IF($A12="","",IFERROR(SUMPRODUCT(('Raw Data'!$B$2:$B$9999="Variant")*('Raw Data'!$A$2:$A$9999=$A12)*('Raw Data'!$C$2:$C$9999=$C$3)*'Raw Data'!$D$2:$D$9999*'Raw Data'!$L$2:$L$9999)/SUMIFS('Raw Data'!$D:$D, 'Raw Data'!$B:$B, "Variant", 'Raw Data'!$A:$A, $A12, 'Raw Data'!$C:$C, $C$3),""))</f>
        <v>132.15</v>
      </c>
      <c r="AB12" s="105">
        <f t="shared" si="9"/>
        <v>0.07649071359</v>
      </c>
      <c r="AC12" s="102">
        <f>IF($A12="","",IFERROR(SUMPRODUCT(('Raw Data'!$B$2:$B$9999="Control")*('Raw Data'!$A$2:$A$9999=$A12)*('Raw Data'!$C$2:$C$9999=$C$3)*'Raw Data'!$D$2:$D$9999*'Raw Data'!$M$2:$M$9999)/SUMIFS('Raw Data'!$D:$D, 'Raw Data'!$B:$B, "Control", 'Raw Data'!$A:$A, $A12, 'Raw Data'!$C:$C, $C$3),""))</f>
        <v>0.8476</v>
      </c>
      <c r="AD12" s="102">
        <f>IF($A12="","",IFERROR(SUMPRODUCT(('Raw Data'!$B$2:$B$9999="Variant")*('Raw Data'!$A$2:$A$9999=$A12)*('Raw Data'!$C$2:$C$9999=$C$3)*'Raw Data'!$D$2:$D$9999*'Raw Data'!$M$2:$M$9999)/SUMIFS('Raw Data'!$D:$D, 'Raw Data'!$B:$B, "Variant", 'Raw Data'!$A:$A, $A12, 'Raw Data'!$C:$C, $C$3),""))</f>
        <v>0.8445</v>
      </c>
      <c r="AE12" s="106">
        <f t="shared" si="10"/>
        <v>-0.003657385559</v>
      </c>
      <c r="AF12" s="102">
        <f>IF($A12="","",IFERROR(SUMPRODUCT(('Raw Data'!$B$2:$B$9999="Control")*('Raw Data'!$A$2:$A$9999=$A12)*('Raw Data'!$C$2:$C$9999=$C$3)*'Raw Data'!$D$2:$D$9999*'Raw Data'!$N$2:$N$9999)/SUMIFS('Raw Data'!$D:$D, 'Raw Data'!$B:$B, "Control", 'Raw Data'!$A:$A, $A12, 'Raw Data'!$C:$C, $C$3),""))</f>
        <v>0.2752</v>
      </c>
      <c r="AG12" s="102">
        <f>IF($A12="","",IFERROR(SUMPRODUCT(('Raw Data'!$B$2:$B$9999="Variant")*('Raw Data'!$A$2:$A$9999=$A12)*('Raw Data'!$C$2:$C$9999=$C$3)*'Raw Data'!$D$2:$D$9999*'Raw Data'!$N$2:$N$9999)/SUMIFS('Raw Data'!$D:$D, 'Raw Data'!$B:$B, "Variant", 'Raw Data'!$A:$A, $A12, 'Raw Data'!$C:$C, $C$3),""))</f>
        <v>0.2828</v>
      </c>
      <c r="AH12" s="106">
        <f t="shared" si="11"/>
        <v>0.02761627907</v>
      </c>
      <c r="AI12" s="102">
        <f>IF($A12="","",IFERROR(SUMPRODUCT(('Raw Data'!$B$2:$B$9999="Control")*('Raw Data'!$A$2:$A$9999=$A12)*('Raw Data'!$C$2:$C$9999=$C$3)*'Raw Data'!$D$2:$D$9999*'Raw Data'!$O$2:$O$9999)/SUMIFS('Raw Data'!$D:$D, 'Raw Data'!$B:$B, "Control", 'Raw Data'!$A:$A, $A12, 'Raw Data'!$C:$C, $C$3),""))</f>
        <v>0.1879</v>
      </c>
      <c r="AJ12" s="102">
        <f>IF($A12="","",IFERROR(SUMPRODUCT(('Raw Data'!$B$2:$B$9999="Variant")*('Raw Data'!$A$2:$A$9999=$A12)*('Raw Data'!$C$2:$C$9999=$C$3)*'Raw Data'!$D$2:$D$9999*'Raw Data'!$O$2:$O$9999)/SUMIFS('Raw Data'!$D:$D, 'Raw Data'!$B:$B, "Variant", 'Raw Data'!$A:$A, $A12, 'Raw Data'!$C:$C, $C$3),""))</f>
        <v>0.1946</v>
      </c>
      <c r="AK12" s="105">
        <f t="shared" si="12"/>
        <v>0.0356572645</v>
      </c>
      <c r="AL12" s="101">
        <f>IF($A12="","",IFERROR(SUMPRODUCT(('Raw Data'!$B$2:$B$9999="Control")*('Raw Data'!$A$2:$A$9999=$A12)*('Raw Data'!$C$2:$C$9999=$C$3)*'Raw Data'!$D$2:$D$9999*'Raw Data'!$P$2:$P$9999)/SUMIFS('Raw Data'!$D:$D, 'Raw Data'!$B:$B, "Control", 'Raw Data'!$A:$A, $A12, 'Raw Data'!$C:$C, $C$3),""))</f>
        <v>1.1798</v>
      </c>
      <c r="AM12" s="101">
        <f>IF($A12="","",IFERROR(SUMPRODUCT(('Raw Data'!$B$2:$B$9999="Variant")*('Raw Data'!$A$2:$A$9999=$A12)*('Raw Data'!$C$2:$C$9999=$C$3)*'Raw Data'!$D$2:$D$9999*'Raw Data'!$P$2:$P$9999)/SUMIFS('Raw Data'!$D:$D, 'Raw Data'!$B:$B, "Variant", 'Raw Data'!$A:$A, $A12, 'Raw Data'!$C:$C, $C$3),""))</f>
        <v>1.1841</v>
      </c>
      <c r="AN12" s="105">
        <f t="shared" si="13"/>
        <v>0.00364468554</v>
      </c>
      <c r="AO12" s="101">
        <f>IF($A12="","",IFERROR(SUMPRODUCT(('Raw Data'!$B$2:$B$9999="Control")*('Raw Data'!$A$2:$A$9999=$A12)*('Raw Data'!$C$2:$C$9999=$C$3)*'Raw Data'!$D$2:$D$9999*'Raw Data'!$Q$2:$Q$9999)/SUMIFS('Raw Data'!$D:$D, 'Raw Data'!$B:$B, "Control", 'Raw Data'!$A:$A, $A12, 'Raw Data'!$C:$C, $C$3),""))</f>
        <v>741.5</v>
      </c>
      <c r="AP12" s="101">
        <f>IF($A12="","",IFERROR(SUMPRODUCT(('Raw Data'!$B$2:$B$9999="Variant")*('Raw Data'!$A$2:$A$9999=$A12)*('Raw Data'!$C$2:$C$9999=$C$3)*'Raw Data'!$D$2:$D$9999*'Raw Data'!$Q$2:$Q$9999)/SUMIFS('Raw Data'!$D:$D, 'Raw Data'!$B:$B, "Variant", 'Raw Data'!$A:$A, $A12, 'Raw Data'!$C:$C, $C$3),""))</f>
        <v>802.43</v>
      </c>
      <c r="AQ12" s="95">
        <f t="shared" si="14"/>
        <v>0.08217127444</v>
      </c>
      <c r="AR12" s="101">
        <f>IF($A12="","",IFERROR(SUMPRODUCT(('Raw Data'!$B$2:$B$9999="Control")*('Raw Data'!$A$2:$A$9999=$A12)*('Raw Data'!$C$2:$C$9999=$C$3)*'Raw Data'!$D$2:$D$9999*'Raw Data'!$R$2:$R$9999)/SUMIFS('Raw Data'!$D:$D, 'Raw Data'!$B:$B, "Control", 'Raw Data'!$A:$A, $A12, 'Raw Data'!$C:$C, $C$3),""))</f>
        <v>482.32</v>
      </c>
      <c r="AS12" s="101">
        <f>IF($A12="","",IFERROR(SUMPRODUCT(('Raw Data'!$B$2:$B$9999="Variant")*('Raw Data'!$A$2:$A$9999=$A12)*('Raw Data'!$C$2:$C$9999=$C$3)*'Raw Data'!$D$2:$D$9999*'Raw Data'!$R$2:$R$9999)/SUMIFS('Raw Data'!$D:$D, 'Raw Data'!$B:$B, "Variant", 'Raw Data'!$A:$A, $A12, 'Raw Data'!$C:$C, $C$3),""))</f>
        <v>702.19</v>
      </c>
      <c r="AT12" s="95">
        <f t="shared" si="15"/>
        <v>0.4558591806</v>
      </c>
      <c r="AU12" s="101">
        <f>IF($A12="","",IFERROR(SUMPRODUCT(('Raw Data'!$B$2:$B$9999="Control")*('Raw Data'!$A$2:$A$9999=$A12)*('Raw Data'!$C$2:$C$9999=$C$3)*'Raw Data'!$D$2:$D$9999*'Raw Data'!$S$2:$S$9999)/SUMIFS('Raw Data'!$D:$D, 'Raw Data'!$B:$B, "Control", 'Raw Data'!$A:$A, $A12, 'Raw Data'!$C:$C, $C$3),""))</f>
        <v>259.17</v>
      </c>
      <c r="AV12" s="101">
        <f>IF($A12="","",IFERROR(SUMPRODUCT(('Raw Data'!$B$2:$B$9999="Variant")*('Raw Data'!$A$2:$A$9999=$A12)*('Raw Data'!$C$2:$C$9999=$C$3)*'Raw Data'!$D$2:$D$9999*'Raw Data'!$S$2:$S$9999)/SUMIFS('Raw Data'!$D:$D, 'Raw Data'!$B:$B, "Variant", 'Raw Data'!$A:$A, $A12, 'Raw Data'!$C:$C, $C$3),""))</f>
        <v>100.24</v>
      </c>
      <c r="AW12" s="95">
        <f t="shared" si="16"/>
        <v>-0.6132268395</v>
      </c>
      <c r="AX12" s="101">
        <f>IF($A12="","",IFERROR(SUMPRODUCT(('Raw Data'!$B$2:$B$9999="Control")*('Raw Data'!$A$2:$A$9999=$A12)*('Raw Data'!$C$2:$C$9999=$C$3)*'Raw Data'!$D$2:$D$9999*'Raw Data'!$T$2:$T$9999)/SUMIFS('Raw Data'!$D:$D, 'Raw Data'!$B:$B, "Control", 'Raw Data'!$A:$A, $A12, 'Raw Data'!$C:$C, $C$3),""))</f>
        <v>246.46</v>
      </c>
      <c r="AY12" s="101">
        <f>IF($A12="","",IFERROR(SUMPRODUCT(('Raw Data'!$B$2:$B$9999="Variant")*('Raw Data'!$A$2:$A$9999=$A12)*('Raw Data'!$C$2:$C$9999=$C$3)*'Raw Data'!$D$2:$D$9999*'Raw Data'!$T$2:$T$9999)/SUMIFS('Raw Data'!$D:$D, 'Raw Data'!$B:$B, "Variant", 'Raw Data'!$A:$A, $A12, 'Raw Data'!$C:$C, $C$3),""))</f>
        <v>292.53</v>
      </c>
      <c r="AZ12" s="105">
        <f t="shared" si="17"/>
        <v>0.1869268847</v>
      </c>
      <c r="BA12" s="101">
        <f>IF($A12="","",IFERROR(SUMPRODUCT(('Raw Data'!$B$2:$B$9999="Control")*('Raw Data'!$A$2:$A$9999=$A12)*('Raw Data'!$C$2:$C$9999=$C$3)*'Raw Data'!$D$2:$D$9999*'Raw Data'!$U$2:$U$9999)/SUMIFS('Raw Data'!$D:$D, 'Raw Data'!$B:$B, "Control", 'Raw Data'!$A:$A, $A12, 'Raw Data'!$C:$C, $C$3),""))</f>
        <v>495.03</v>
      </c>
      <c r="BB12" s="101">
        <f>IF($A12="","",IFERROR(SUMPRODUCT(('Raw Data'!$B$2:$B$9999="Variant")*('Raw Data'!$A$2:$A$9999=$A12)*('Raw Data'!$C$2:$C$9999=$C$3)*'Raw Data'!$D$2:$D$9999*'Raw Data'!$U$2:$U$9999)/SUMIFS('Raw Data'!$D:$D, 'Raw Data'!$B:$B, "Variant", 'Raw Data'!$A:$A, $A12, 'Raw Data'!$C:$C, $C$3),""))</f>
        <v>509.9</v>
      </c>
      <c r="BC12" s="95">
        <f t="shared" si="18"/>
        <v>0.03003858352</v>
      </c>
      <c r="BD12" s="101">
        <f>IF($A12="","",IFERROR(SUMPRODUCT(('Raw Data'!$B$2:$B$9999="Control")*('Raw Data'!$A$2:$A$9999=$A12)*('Raw Data'!$C$2:$C$9999=$C$3)*'Raw Data'!$D$2:$D$9999*'Raw Data'!$V$2:$V$9999)/SUMIFS('Raw Data'!$D:$D, 'Raw Data'!$B:$B, "Control", 'Raw Data'!$A:$A, $A12, 'Raw Data'!$C:$C, $C$3),""))</f>
        <v>800.99</v>
      </c>
      <c r="BE12" s="101">
        <f>IF($A12="","",IFERROR(SUMPRODUCT(('Raw Data'!$B$2:$B$9999="Variant")*('Raw Data'!$A$2:$A$9999=$A12)*('Raw Data'!$C$2:$C$9999=$C$3)*'Raw Data'!$D$2:$D$9999*'Raw Data'!$V$2:$V$9999)/SUMIFS('Raw Data'!$D:$D, 'Raw Data'!$B:$B, "Variant", 'Raw Data'!$A:$A, $A12, 'Raw Data'!$C:$C, $C$3),""))</f>
        <v>841.67</v>
      </c>
      <c r="BF12" s="95">
        <f t="shared" si="19"/>
        <v>0.0507871509</v>
      </c>
      <c r="BG12" s="101">
        <f>IF($A12="","",IFERROR(SUMPRODUCT(('Raw Data'!$B$2:$B$9999="Control")*('Raw Data'!$A$2:$A$9999=$A12)*('Raw Data'!$C$2:$C$9999=$C$3)*'Raw Data'!$D$2:$D$9999*('Raw Data'!$Q$2:$Q$9999-'Raw Data'!$V$2:$V$9999))/SUMIFS('Raw Data'!$D:$D, 'Raw Data'!$B:$B, "Control", 'Raw Data'!$A:$A, $A12, 'Raw Data'!$C:$C, $C$3),""))</f>
        <v>-59.49</v>
      </c>
      <c r="BH12" s="101">
        <f>IF($A12="","",IFERROR(SUMPRODUCT(('Raw Data'!$B$2:$B$9999="Variant")*('Raw Data'!$A$2:$A$9999=$A12)*('Raw Data'!$C$2:$C$9999=$C$3)*'Raw Data'!$D$2:$D$9999*('Raw Data'!$Q$2:$Q$9999-'Raw Data'!$V$2:$V$9999))/SUMIFS('Raw Data'!$D:$D, 'Raw Data'!$B:$B, "Variant", 'Raw Data'!$A:$A, $A12, 'Raw Data'!$C:$C, $C$3),""))</f>
        <v>-39.24</v>
      </c>
      <c r="BI12" s="95">
        <f t="shared" si="20"/>
        <v>0.3403933434</v>
      </c>
      <c r="BJ12" s="101">
        <f>IF($A12="","",IFERROR(SUMPRODUCT(('Raw Data'!$B$2:$B$9999="Control")*('Raw Data'!$A$2:$A$9999=$A12)*('Raw Data'!$C$2:$C$9999=$C$3)*'Raw Data'!$D$2:$D$9999*'Raw Data'!$W$2:$W$9999)/SUMIFS('Raw Data'!$D:$D, 'Raw Data'!$B:$B, "Control", 'Raw Data'!$A:$A, $A12, 'Raw Data'!$C:$C, $C$3),""))</f>
        <v>5.5303</v>
      </c>
      <c r="BK12" s="101">
        <f>IF($A12="","",IFERROR(SUMPRODUCT(('Raw Data'!$B$2:$B$9999="Variant")*('Raw Data'!$A$2:$A$9999=$A12)*('Raw Data'!$C$2:$C$9999=$C$3)*'Raw Data'!$D$2:$D$9999*'Raw Data'!$W$2:$W$9999)/SUMIFS('Raw Data'!$D:$D, 'Raw Data'!$B:$B, "Variant", 'Raw Data'!$A:$A, $A12, 'Raw Data'!$C:$C, $C$3),""))</f>
        <v>5.3787</v>
      </c>
      <c r="BL12" s="95">
        <f t="shared" si="21"/>
        <v>-0.02741261776</v>
      </c>
      <c r="BM12" s="102">
        <f>IF($A12="","",IFERROR(SUMPRODUCT(('Raw Data'!$B$2:$B$9999="Control")*('Raw Data'!$A$2:$A$9999=$A12)*('Raw Data'!$C$2:$C$9999=$C$3)*'Raw Data'!$D$2:$D$9999*'Raw Data'!$X$2:$X$9999)/SUMIFS('Raw Data'!$D:$D, 'Raw Data'!$B:$B, "Control", 'Raw Data'!$A:$A, $A12, 'Raw Data'!$C:$C, $C$3),""))</f>
        <v>33.24</v>
      </c>
      <c r="BN12" s="102">
        <f>IF($A12="","",IFERROR(SUMPRODUCT(('Raw Data'!$B$2:$B$9999="Variant")*('Raw Data'!$A$2:$A$9999=$A12)*('Raw Data'!$C$2:$C$9999=$C$3)*'Raw Data'!$D$2:$D$9999*'Raw Data'!$X$2:$X$9999)/SUMIFS('Raw Data'!$D:$D, 'Raw Data'!$B:$B, "Variant", 'Raw Data'!$A:$A, $A12, 'Raw Data'!$C:$C, $C$3),""))</f>
        <v>36.46</v>
      </c>
      <c r="BO12" s="105">
        <f t="shared" si="22"/>
        <v>0.09687123947</v>
      </c>
      <c r="BP12" s="94">
        <f>IF($A12="","",IFERROR(SUMPRODUCT(('Raw Data'!$B$2:$B$9999="Control")*('Raw Data'!$A$2:$A$9999=$A12)*('Raw Data'!$C$2:$C$9999=$C$3)*'Raw Data'!$D$2:$D$9999*'Raw Data'!$Y$2:$Y$9999)/SUMIFS('Raw Data'!$D:$D, 'Raw Data'!$B:$B, "Control", 'Raw Data'!$A:$A, $A12, 'Raw Data'!$C:$C, $C$3),""))</f>
        <v>360</v>
      </c>
      <c r="BQ12" s="94">
        <f>IF($A12="","",IFERROR(SUMPRODUCT(('Raw Data'!$B$2:$B$9999="Variant")*('Raw Data'!$A$2:$A$9999=$A12)*('Raw Data'!$C$2:$C$9999=$C$3)*'Raw Data'!$D$2:$D$9999*'Raw Data'!$Y$2:$Y$9999)/SUMIFS('Raw Data'!$D:$D, 'Raw Data'!$B:$B, "Variant", 'Raw Data'!$A:$A, $A12, 'Raw Data'!$C:$C, $C$3),""))</f>
        <v>520</v>
      </c>
      <c r="BR12" s="95">
        <f t="shared" si="23"/>
        <v>0.4444444444</v>
      </c>
      <c r="BS12" s="94">
        <f>IF($A12="","",IFERROR(SUMPRODUCT(('Raw Data'!$B$2:$B$9999="Control")*('Raw Data'!$A$2:$A$9999=$A12)*('Raw Data'!$C$2:$C$9999=$C$3)*'Raw Data'!$D$2:$D$9999*'Raw Data'!$Z$2:$Z$9999)/SUMIFS('Raw Data'!$D:$D, 'Raw Data'!$B:$B, "Control", 'Raw Data'!$A:$A, $A12, 'Raw Data'!$C:$C, $C$3),""))</f>
        <v>2543</v>
      </c>
      <c r="BT12" s="94">
        <f>IF($A12="","",IFERROR(SUMPRODUCT(('Raw Data'!$B$2:$B$9999="Variant")*('Raw Data'!$A$2:$A$9999=$A12)*('Raw Data'!$C$2:$C$9999=$C$3)*'Raw Data'!$D$2:$D$9999*'Raw Data'!$Z$2:$Z$9999)/SUMIFS('Raw Data'!$D:$D, 'Raw Data'!$B:$B, "Variant", 'Raw Data'!$A:$A, $A12, 'Raw Data'!$C:$C, $C$3),""))</f>
        <v>3065</v>
      </c>
      <c r="BU12" s="95">
        <f t="shared" si="24"/>
        <v>0.2052693669</v>
      </c>
      <c r="BV12" s="94">
        <f>IF($A12="","",IFERROR(SUMPRODUCT(('Raw Data'!$B$2:$B$9999="Control")*('Raw Data'!$A$2:$A$9999=$A12)*('Raw Data'!$C$2:$C$9999=$C$3)*'Raw Data'!$D$2:$D$9999*'Raw Data'!$AA$2:$AA$9999)/SUMIFS('Raw Data'!$D:$D, 'Raw Data'!$B:$B, "Control", 'Raw Data'!$A:$A, $A12, 'Raw Data'!$C:$C, $C$3),""))</f>
        <v>8526</v>
      </c>
      <c r="BW12" s="94">
        <f>IF($A12="","",IFERROR(SUMPRODUCT(('Raw Data'!$B$2:$B$9999="Variant")*('Raw Data'!$A$2:$A$9999=$A12)*('Raw Data'!$C$2:$C$9999=$C$3)*'Raw Data'!$D$2:$D$9999*'Raw Data'!$AA$2:$AA$9999)/SUMIFS('Raw Data'!$D:$D, 'Raw Data'!$B:$B, "Variant", 'Raw Data'!$A:$A, $A12, 'Raw Data'!$C:$C, $C$3),""))</f>
        <v>10894</v>
      </c>
      <c r="BX12" s="95">
        <f t="shared" si="25"/>
        <v>0.2777386817</v>
      </c>
      <c r="BY12" s="101">
        <f>IF($A12="","",IFERROR(SUMPRODUCT(('Raw Data'!$B$2:$B$9999="Control")*('Raw Data'!$A$2:$A$9999=$A12)*('Raw Data'!$C$2:$C$9999=$C$3)*'Raw Data'!$D$2:$D$9999*'Raw Data'!$AB$2:$AB$9999)/SUMIFS('Raw Data'!$D:$D, 'Raw Data'!$B:$B, "Control", 'Raw Data'!$A:$A, $A12, 'Raw Data'!$C:$C, $C$3),""))</f>
        <v>62.5893</v>
      </c>
      <c r="BZ12" s="101">
        <f>IF($A12="","",IFERROR(SUMPRODUCT(('Raw Data'!$B$2:$B$9999="Variant")*('Raw Data'!$A$2:$A$9999=$A12)*('Raw Data'!$C$2:$C$9999=$C$3)*'Raw Data'!$D$2:$D$9999*'Raw Data'!$AB$2:$AB$9999)/SUMIFS('Raw Data'!$D:$D, 'Raw Data'!$B:$B, "Variant", 'Raw Data'!$A:$A, $A12, 'Raw Data'!$C:$C, $C$3),""))</f>
        <v>62.4991</v>
      </c>
      <c r="CA12" s="105">
        <f t="shared" si="26"/>
        <v>-0.001441140898</v>
      </c>
      <c r="CB12" s="101">
        <f>IF($A12="","",IFERROR(SUMPRODUCT(('Raw Data'!$B$2:$B$9999="Control")*('Raw Data'!$A$2:$A$9999=$A12)*('Raw Data'!$C$2:$C$9999=$C$3)*'Raw Data'!$D$2:$D$9999*'Raw Data'!$AC$2:$AC$9999)/SUMIFS('Raw Data'!$D:$D, 'Raw Data'!$B:$B, "Control", 'Raw Data'!$A:$A, $A12, 'Raw Data'!$C:$C, $C$3),""))</f>
        <v>0.8787</v>
      </c>
      <c r="CC12" s="101">
        <f>IF($A12="","",IFERROR(SUMPRODUCT(('Raw Data'!$B$2:$B$9999="Variant")*('Raw Data'!$A$2:$A$9999=$A12)*('Raw Data'!$C$2:$C$9999=$C$3)*'Raw Data'!$D$2:$D$9999*'Raw Data'!$AC$2:$AC$9999)/SUMIFS('Raw Data'!$D:$D, 'Raw Data'!$B:$B, "Variant", 'Raw Data'!$A:$A, $A12, 'Raw Data'!$C:$C, $C$3),""))</f>
        <v>0.8851</v>
      </c>
      <c r="CD12" s="105">
        <f t="shared" si="27"/>
        <v>0.007283486969</v>
      </c>
      <c r="CE12" s="101">
        <f>IF($A12="","",IFERROR(SUMPRODUCT(('Raw Data'!$B$2:$B$9999="Control")*('Raw Data'!$A$2:$A$9999=$A12)*('Raw Data'!$C$2:$C$9999=$C$3)*'Raw Data'!$D$2:$D$9999*'Raw Data'!$AD$2:$AD$9999)/SUMIFS('Raw Data'!$D:$D, 'Raw Data'!$B:$B, "Control", 'Raw Data'!$A:$A, $A12, 'Raw Data'!$C:$C, $C$3),""))</f>
        <v>83.46</v>
      </c>
      <c r="CF12" s="101">
        <f>IF($A12="","",IFERROR(SUMPRODUCT(('Raw Data'!$B$2:$B$9999="Variant")*('Raw Data'!$A$2:$A$9999=$A12)*('Raw Data'!$C$2:$C$9999=$C$3)*'Raw Data'!$D$2:$D$9999*'Raw Data'!$AD$2:$AD$9999)/SUMIFS('Raw Data'!$D:$D, 'Raw Data'!$B:$B, "Variant", 'Raw Data'!$A:$A, $A12, 'Raw Data'!$C:$C, $C$3),""))</f>
        <v>91.75</v>
      </c>
      <c r="CG12" s="105">
        <f t="shared" si="28"/>
        <v>0.09932901989</v>
      </c>
      <c r="CH12" s="101">
        <f>IF($A12="","",IFERROR(SUMPRODUCT(('Raw Data'!$B$2:$B$9999="Control")*('Raw Data'!$A$2:$A$9999=$A12)*('Raw Data'!$C$2:$C$9999=$C$3)*'Raw Data'!$D$2:$D$9999*'Raw Data'!$AE$2:$AE$9999)/SUMIFS('Raw Data'!$D:$D, 'Raw Data'!$B:$B, "Control", 'Raw Data'!$A:$A, $A12, 'Raw Data'!$C:$C, $C$3),""))</f>
        <v>31</v>
      </c>
      <c r="CI12" s="101">
        <f>IF($A12="","",IFERROR(SUMPRODUCT(('Raw Data'!$B$2:$B$9999="Variant")*('Raw Data'!$A$2:$A$9999=$A12)*('Raw Data'!$C$2:$C$9999=$C$3)*'Raw Data'!$D$2:$D$9999*'Raw Data'!$AE$2:$AE$9999)/SUMIFS('Raw Data'!$D:$D, 'Raw Data'!$B:$B, "Variant", 'Raw Data'!$A:$A, $A12, 'Raw Data'!$C:$C, $C$3),""))</f>
        <v>38</v>
      </c>
      <c r="CJ12" s="105">
        <f t="shared" si="29"/>
        <v>0.2258064516</v>
      </c>
      <c r="CK12" s="101">
        <f>IF($A12="","",IFERROR(SUMPRODUCT(('Raw Data'!$B$2:$B$9999="Control")*('Raw Data'!$A$2:$A$9999=$A12)*('Raw Data'!$C$2:$C$9999=$C$3)*'Raw Data'!$D$2:$D$9999*'Raw Data'!$AF$2:$AF$9999)/SUMIFS('Raw Data'!$D:$D, 'Raw Data'!$B:$B, "Control", 'Raw Data'!$A:$A, $A12, 'Raw Data'!$C:$C, $C$3),""))</f>
        <v>67</v>
      </c>
      <c r="CL12" s="101">
        <f>IF($A12="","",IFERROR(SUMPRODUCT(('Raw Data'!$B$2:$B$9999="Variant")*('Raw Data'!$A$2:$A$9999=$A12)*('Raw Data'!$C$2:$C$9999=$C$3)*'Raw Data'!$D$2:$D$9999*'Raw Data'!$AF$2:$AF$9999)/SUMIFS('Raw Data'!$D:$D, 'Raw Data'!$B:$B, "Variant", 'Raw Data'!$A:$A, $A12, 'Raw Data'!$C:$C, $C$3),""))</f>
        <v>81</v>
      </c>
      <c r="CM12" s="105">
        <f t="shared" si="30"/>
        <v>0.2089552239</v>
      </c>
      <c r="CN12" s="101">
        <f>IF($A12="","",IFERROR(SUMPRODUCT(('Raw Data'!$B$2:$B$9999="Control")*('Raw Data'!$A$2:$A$9999=$A12)*('Raw Data'!$C$2:$C$9999=$C$3)*'Raw Data'!$D$2:$D$9999*'Raw Data'!$AG$2:$AG$9999)/SUMIFS('Raw Data'!$D:$D, 'Raw Data'!$B:$B, "Control", 'Raw Data'!$A:$A, $A12, 'Raw Data'!$C:$C, $C$3),""))</f>
        <v>120</v>
      </c>
      <c r="CO12" s="101">
        <f>IF($A12="","",IFERROR(SUMPRODUCT(('Raw Data'!$B$2:$B$9999="Variant")*('Raw Data'!$A$2:$A$9999=$A12)*('Raw Data'!$C$2:$C$9999=$C$3)*'Raw Data'!$D$2:$D$9999*'Raw Data'!$AG$2:$AG$9999)/SUMIFS('Raw Data'!$D:$D, 'Raw Data'!$B:$B, "Variant", 'Raw Data'!$A:$A, $A12, 'Raw Data'!$C:$C, $C$3),""))</f>
        <v>130</v>
      </c>
      <c r="CP12" s="105">
        <f t="shared" si="31"/>
        <v>0.08333333333</v>
      </c>
      <c r="CQ12" s="101">
        <f>IF($A12="","",IFERROR(SUMPRODUCT(('Raw Data'!$B$2:$B$9999="Control")*('Raw Data'!$A$2:$A$9999=$A12)*('Raw Data'!$C$2:$C$9999=$C$3)*'Raw Data'!$D$2:$D$9999*'Raw Data'!$AH$2:$AH$9999)/SUMIFS('Raw Data'!$D:$D, 'Raw Data'!$B:$B, "Control", 'Raw Data'!$A:$A, $A12, 'Raw Data'!$C:$C, $C$3),""))</f>
        <v>177</v>
      </c>
      <c r="CR12" s="101">
        <f>IF($A12="","",IFERROR(SUMPRODUCT(('Raw Data'!$B$2:$B$9999="Variant")*('Raw Data'!$A$2:$A$9999=$A12)*('Raw Data'!$C$2:$C$9999=$C$3)*'Raw Data'!$D$2:$D$9999*'Raw Data'!$AH$2:$AH$9999)/SUMIFS('Raw Data'!$D:$D, 'Raw Data'!$B:$B, "Variant", 'Raw Data'!$A:$A, $A12, 'Raw Data'!$C:$C, $C$3),""))</f>
        <v>181</v>
      </c>
      <c r="CS12" s="105">
        <f t="shared" si="32"/>
        <v>0.02259887006</v>
      </c>
      <c r="CT12" s="96">
        <f>IF($A12="","",IFERROR(SUMPRODUCT(('Raw Data'!$B$2:$B$9999="Control")*('Raw Data'!$A$2:$A$9999=$A12)*('Raw Data'!$C$2:$C$9999=$C$3)*'Raw Data'!$D$2:$D$9999*'Raw Data'!$AI$2:$AI$9999)/SUMIFS('Raw Data'!$D:$D, 'Raw Data'!$B:$B, "Control", 'Raw Data'!$A:$A, $A12, 'Raw Data'!$C:$C, $C$3),""))</f>
        <v>43.17</v>
      </c>
      <c r="CU12" s="96">
        <f>IF($A12="","",IFERROR(SUMPRODUCT(('Raw Data'!$B$2:$B$9999="Variant")*('Raw Data'!$A$2:$A$9999=$A12)*('Raw Data'!$C$2:$C$9999=$C$3)*'Raw Data'!$D$2:$D$9999*'Raw Data'!$AI$2:$AI$9999)/SUMIFS('Raw Data'!$D:$D, 'Raw Data'!$B:$B, "Variant", 'Raw Data'!$A:$A, $A12, 'Raw Data'!$C:$C, $C$3),""))</f>
        <v>50.97</v>
      </c>
      <c r="CV12" s="106">
        <f t="shared" si="33"/>
        <v>0.1806810285</v>
      </c>
      <c r="CW12" s="96">
        <f>IF($A12="","",IFERROR(SUMPRODUCT(('Raw Data'!$B$2:$B$9999="Control")*('Raw Data'!$A$2:$A$9999=$A12)*('Raw Data'!$C$2:$C$9999=$C$3)*'Raw Data'!$D$2:$D$9999*'Raw Data'!$AJ$2:$AJ$9999)/SUMIFS('Raw Data'!$D:$D, 'Raw Data'!$B:$B, "Control", 'Raw Data'!$A:$A, $A12, 'Raw Data'!$C:$C, $C$3),""))</f>
        <v>10.35</v>
      </c>
      <c r="CX12" s="96">
        <f>IF($A12="","",IFERROR(SUMPRODUCT(('Raw Data'!$B$2:$B$9999="Variant")*('Raw Data'!$A$2:$A$9999=$A12)*('Raw Data'!$C$2:$C$9999=$C$3)*'Raw Data'!$D$2:$D$9999*'Raw Data'!$AJ$2:$AJ$9999)/SUMIFS('Raw Data'!$D:$D, 'Raw Data'!$B:$B, "Variant", 'Raw Data'!$A:$A, $A12, 'Raw Data'!$C:$C, $C$3),""))</f>
        <v>11.24</v>
      </c>
      <c r="CY12" s="105">
        <f t="shared" si="34"/>
        <v>0.08599033816</v>
      </c>
      <c r="CZ12" s="96">
        <f>IF($A12="","",IFERROR(SUMPRODUCT(('Raw Data'!$B$2:$B$9999="Control")*('Raw Data'!$A$2:$A$9999=$A12)*('Raw Data'!$C$2:$C$9999=$C$3)*'Raw Data'!$D$2:$D$9999*'Raw Data'!$AK$2:$AK$9999)/SUMIFS('Raw Data'!$D:$D, 'Raw Data'!$B:$B, "Control", 'Raw Data'!$A:$A, $A12, 'Raw Data'!$C:$C, $C$3),""))</f>
        <v>1.32</v>
      </c>
      <c r="DA12" s="96">
        <f>IF($A12="","",IFERROR(SUMPRODUCT(('Raw Data'!$B$2:$B$9999="Variant")*('Raw Data'!$A$2:$A$9999=$A12)*('Raw Data'!$C$2:$C$9999=$C$3)*'Raw Data'!$D$2:$D$9999*'Raw Data'!$AK$2:$AK$9999)/SUMIFS('Raw Data'!$D:$D, 'Raw Data'!$B:$B, "Variant", 'Raw Data'!$A:$A, $A12, 'Raw Data'!$C:$C, $C$3),""))</f>
        <v>1.94</v>
      </c>
      <c r="DB12" s="105">
        <f t="shared" si="35"/>
        <v>0.4696969697</v>
      </c>
      <c r="DC12" s="102">
        <f>IF($A12="","",IFERROR(SUMPRODUCT(('Raw Data'!$B$2:$B$9999="Control")*('Raw Data'!$A$2:$A$9999=$A12)*('Raw Data'!$C$2:$C$9999=$C$3)*'Raw Data'!$D$2:$D$9999*'Raw Data'!$AL$2:$AL$9999)/SUMIFS('Raw Data'!$D:$D, 'Raw Data'!$B:$B, "Control", 'Raw Data'!$A:$A, $A12, 'Raw Data'!$C:$C, $C$3),""))</f>
        <v>0.13</v>
      </c>
      <c r="DD12" s="102">
        <f>IF($A12="","",IFERROR(SUMPRODUCT(('Raw Data'!$B$2:$B$9999="Variant")*('Raw Data'!$A$2:$A$9999=$A12)*('Raw Data'!$C$2:$C$9999=$C$3)*'Raw Data'!$D$2:$D$9999*'Raw Data'!$AL$2:$AL$9999)/SUMIFS('Raw Data'!$D:$D, 'Raw Data'!$B:$B, "Variant", 'Raw Data'!$A:$A, $A12, 'Raw Data'!$C:$C, $C$3),""))</f>
        <v>0.1376</v>
      </c>
      <c r="DE12" s="105">
        <f t="shared" si="36"/>
        <v>0.05846153846</v>
      </c>
      <c r="DF12" s="103"/>
      <c r="DG12" s="96">
        <f>IF($A12="","",IFERROR(SUMPRODUCT(('Raw Data'!$B$2:$B$9999="Variant")*('Raw Data'!$A$2:$A$9999=$A12)*('Raw Data'!$C$2:$C$9999=$C$3)*'Raw Data'!$D$2:$D$9999*'Raw Data'!$AM$2:$AM$9999)/SUMIFS('Raw Data'!$D:$D, 'Raw Data'!$B:$B, "Variant", 'Raw Data'!$A:$A, $A12, 'Raw Data'!$C:$C, $C$3),""))</f>
        <v>72.29</v>
      </c>
      <c r="DH12" s="104"/>
      <c r="DI12" s="103"/>
      <c r="DJ12" s="96">
        <f>IF($A12="","",IFERROR(SUMPRODUCT(('Raw Data'!$B$2:$B$9999="Variant")*('Raw Data'!$A$2:$A$9999=$A12)*('Raw Data'!$C$2:$C$9999=$C$3)*'Raw Data'!$D$2:$D$9999*'Raw Data'!$AN$2:$AN$9999)/SUMIFS('Raw Data'!$D:$D, 'Raw Data'!$B:$B, "Variant", 'Raw Data'!$A:$A, $A12, 'Raw Data'!$C:$C, $C$3),""))</f>
        <v>72.29</v>
      </c>
      <c r="DK12" s="104"/>
      <c r="DL12" s="103"/>
      <c r="DM12" s="96">
        <f>IF($A12="","",IFERROR(SUMPRODUCT(('Raw Data'!$B$2:$B$9999="Variant")*('Raw Data'!$A$2:$A$9999=$A12)*('Raw Data'!$C$2:$C$9999=$C$3)*'Raw Data'!$D$2:$D$9999*'Raw Data'!$AO$2:$AO$9999)/SUMIFS('Raw Data'!$D:$D, 'Raw Data'!$B:$B, "Variant", 'Raw Data'!$A:$A, $A12, 'Raw Data'!$C:$C, $C$3),""))</f>
        <v>49.81</v>
      </c>
      <c r="DN12" s="104"/>
      <c r="DO12" s="103"/>
      <c r="DP12" s="96">
        <f>IF($A12="","",IFERROR(SUMPRODUCT(('Raw Data'!$B$2:$B$9999="Variant")*('Raw Data'!$A$2:$A$9999=$A12)*('Raw Data'!$C$2:$C$9999=$C$3)*'Raw Data'!$D$2:$D$9999*'Raw Data'!$AP$2:$AP$9999)/SUMIFS('Raw Data'!$D:$D, 'Raw Data'!$B:$B, "Variant", 'Raw Data'!$A:$A, $A12, 'Raw Data'!$C:$C, $C$3),""))</f>
        <v>38.95</v>
      </c>
      <c r="DQ12" s="104"/>
      <c r="DR12" s="102">
        <f>IF($A12="","",IFERROR(SUMPRODUCT(('Raw Data'!$B$2:$B$9999="Control")*('Raw Data'!$A$2:$A$9999=$A12)*('Raw Data'!$C$2:$C$9999=$C$3)*'Raw Data'!$D$2:$D$9999*'Raw Data'!$AQ$2:$AQ$9999)/SUMIFS('Raw Data'!$D:$D, 'Raw Data'!$B:$B, "Control", 'Raw Data'!$A:$A, $A12, 'Raw Data'!$C:$C, $C$3),""))</f>
        <v>32.7489</v>
      </c>
      <c r="DS12" s="102">
        <f>IF($A12="","",IFERROR(SUMPRODUCT(('Raw Data'!$B$2:$B$9999="Variant")*('Raw Data'!$A$2:$A$9999=$A12)*('Raw Data'!$C$2:$C$9999=$C$3)*'Raw Data'!$D$2:$D$9999*'Raw Data'!$AQ$2:$AQ$9999)/SUMIFS('Raw Data'!$D:$D, 'Raw Data'!$B:$B, "Variant", 'Raw Data'!$A:$A, $A12, 'Raw Data'!$C:$C, $C$3),""))</f>
        <v>36.5872</v>
      </c>
      <c r="DT12" s="107">
        <f t="shared" si="37"/>
        <v>0.1172039366</v>
      </c>
      <c r="DU12" s="102">
        <f>IF($A12="","",IFERROR(SUMPRODUCT(('Raw Data'!$B$2:$B$9999="Control")*('Raw Data'!$A$2:$A$9999=$A12)*('Raw Data'!$C$2:$C$9999=$C$3)*'Raw Data'!$D$2:$D$9999*'Raw Data'!$AR$2:$AR$9999)/SUMIFS('Raw Data'!$D:$D, 'Raw Data'!$B:$B, "Control", 'Raw Data'!$A:$A, $A12, 'Raw Data'!$C:$C, $C$3),""))</f>
        <v>2.9427</v>
      </c>
      <c r="DV12" s="102">
        <f>IF($A12="","",IFERROR(SUMPRODUCT(('Raw Data'!$B$2:$B$9999="Variant")*('Raw Data'!$A$2:$A$9999=$A12)*('Raw Data'!$C$2:$C$9999=$C$3)*'Raw Data'!$D$2:$D$9999*'Raw Data'!$AR$2:$AR$9999)/SUMIFS('Raw Data'!$D:$D, 'Raw Data'!$B:$B, "Variant", 'Raw Data'!$A:$A, $A12, 'Raw Data'!$C:$C, $C$3),""))</f>
        <v>3.2248</v>
      </c>
      <c r="DW12" s="107">
        <f t="shared" si="38"/>
        <v>0.09586434227</v>
      </c>
      <c r="DX12" s="102">
        <f>IF($A12="","",IFERROR(SUMPRODUCT(('Raw Data'!$B$2:$B$9999="Control")*('Raw Data'!$A$2:$A$9999=$A12)*('Raw Data'!$C$2:$C$9999=$C$3)*'Raw Data'!$D$2:$D$9999*'Raw Data'!$AS$2:$AS$9999)/SUMIFS('Raw Data'!$D:$D, 'Raw Data'!$B:$B, "Control", 'Raw Data'!$A:$A, $A12, 'Raw Data'!$C:$C, $C$3),""))</f>
        <v>29.8062</v>
      </c>
      <c r="DY12" s="102">
        <f>IF($A12="","",IFERROR(SUMPRODUCT(('Raw Data'!$B$2:$B$9999="Variant")*('Raw Data'!$A$2:$A$9999=$A12)*('Raw Data'!$C$2:$C$9999=$C$3)*'Raw Data'!$D$2:$D$9999*'Raw Data'!$AS$2:$AS$9999)/SUMIFS('Raw Data'!$D:$D, 'Raw Data'!$B:$B, "Variant", 'Raw Data'!$A:$A, $A12, 'Raw Data'!$C:$C, $C$3),""))</f>
        <v>33.3624</v>
      </c>
      <c r="DZ12" s="107">
        <f t="shared" si="39"/>
        <v>0.1193107474</v>
      </c>
      <c r="EA12" s="102">
        <f>IF($A12="","",IFERROR(SUMPRODUCT(('Raw Data'!$B$2:$B$9999="Control")*('Raw Data'!$A$2:$A$9999=$A12)*('Raw Data'!$C$2:$C$9999=$C$3)*'Raw Data'!$D$2:$D$9999*'Raw Data'!$AT$2:$AT$9999)/SUMIFS('Raw Data'!$D:$D, 'Raw Data'!$B:$B, "Control", 'Raw Data'!$A:$A, $A12, 'Raw Data'!$C:$C, $C$3),""))</f>
        <v>33.1564</v>
      </c>
      <c r="EB12" s="102">
        <f>IF($A12="","",IFERROR(SUMPRODUCT(('Raw Data'!$B$2:$B$9999="Variant")*('Raw Data'!$A$2:$A$9999=$A12)*('Raw Data'!$C$2:$C$9999=$C$3)*'Raw Data'!$D$2:$D$9999*'Raw Data'!$AT$2:$AT$9999)/SUMIFS('Raw Data'!$D:$D, 'Raw Data'!$B:$B, "Variant", 'Raw Data'!$A:$A, $A12, 'Raw Data'!$C:$C, $C$3),""))</f>
        <v>37.1105</v>
      </c>
      <c r="EC12" s="107">
        <f t="shared" si="40"/>
        <v>0.1192560109</v>
      </c>
      <c r="ED12" s="102">
        <f>IF($A12="","",IFERROR(SUMPRODUCT(('Raw Data'!$B$2:$B$9999="Control")*('Raw Data'!$A$2:$A$9999=$A12)*('Raw Data'!$C$2:$C$9999=$C$3)*'Raw Data'!$D$2:$D$9999*('Raw Data'!$AQ$2:$AQ$9999-'Raw Data'!$AT$2:$AT$9999))/SUMIFS('Raw Data'!$D:$D, 'Raw Data'!$B:$B, "Control", 'Raw Data'!$A:$A, $A12, 'Raw Data'!$C:$C, $C$3),""))</f>
        <v>-0.4075</v>
      </c>
      <c r="EE12" s="102">
        <f>IF($A12="","",IFERROR(SUMPRODUCT(('Raw Data'!$B$2:$B$9999="Variant")*('Raw Data'!$A$2:$A$9999=$A12)*('Raw Data'!$C$2:$C$9999=$C$3)*'Raw Data'!$D$2:$D$9999*('Raw Data'!$AQ$2:$AQ$9999-'Raw Data'!$AT$2:$AT$9999))/SUMIFS('Raw Data'!$D:$D, 'Raw Data'!$B:$B, "Variant", 'Raw Data'!$A:$A, $A12, 'Raw Data'!$C:$C, $C$3),""))</f>
        <v>-0.5233</v>
      </c>
      <c r="EF12" s="107">
        <f t="shared" si="41"/>
        <v>-0.2841717791</v>
      </c>
      <c r="EG12" s="102">
        <f>IF($A12="","",IFERROR(SUMPRODUCT(('Raw Data'!$B$2:$B$9999="Control")*('Raw Data'!$A$2:$A$9999=$A12)*('Raw Data'!$C$2:$C$9999=$C$3)*'Raw Data'!$D$2:$D$9999*'Raw Data'!$AU$2:$AU$9999)/SUMIFS('Raw Data'!$D:$D, 'Raw Data'!$B:$B, "Control", 'Raw Data'!$A:$A, $A12, 'Raw Data'!$C:$C, $C$3),""))</f>
        <v>0.2289</v>
      </c>
      <c r="EH12" s="102">
        <f>IF($A12="","",IFERROR(SUMPRODUCT(('Raw Data'!$B$2:$B$9999="Variant")*('Raw Data'!$A$2:$A$9999=$A12)*('Raw Data'!$C$2:$C$9999=$C$3)*'Raw Data'!$D$2:$D$9999*'Raw Data'!$AU$2:$AU$9999)/SUMIFS('Raw Data'!$D:$D, 'Raw Data'!$B:$B, "Variant", 'Raw Data'!$A:$A, $A12, 'Raw Data'!$C:$C, $C$3),""))</f>
        <v>0.2372</v>
      </c>
      <c r="EI12" s="107">
        <f t="shared" si="42"/>
        <v>0.03626037571</v>
      </c>
    </row>
    <row r="13">
      <c r="A13" s="93">
        <v>46181.0</v>
      </c>
      <c r="B13" s="94">
        <f>IF($A13="","",SUMIFS('Raw Data'!$D:$D, 'Raw Data'!$B:$B, "Control", 'Raw Data'!$A:$A, $A13, 'Raw Data'!$C:$C, $C$3))</f>
        <v>439</v>
      </c>
      <c r="C13" s="94">
        <f>IF($A13="","",SUMIFS('Raw Data'!$D:$D, 'Raw Data'!$B:$B, "Variant", 'Raw Data'!$A:$A, $A13, 'Raw Data'!$C:$C, $C$3))</f>
        <v>532</v>
      </c>
      <c r="D13" s="95">
        <f t="shared" si="1"/>
        <v>0.2118451025</v>
      </c>
      <c r="E13" s="96">
        <f>IF($A13="","",IFERROR(SUMPRODUCT(('Raw Data'!$B$2:$B$9999="Control")*('Raw Data'!$A$2:$A$9999=$A13)*('Raw Data'!$C$2:$C$9999=$C$3)*'Raw Data'!$D$2:$D$9999*'Raw Data'!$E$2:$E$9999)/SUMIFS('Raw Data'!$D:$D, 'Raw Data'!$B:$B, "Control", 'Raw Data'!$A:$A, $A13, 'Raw Data'!$C:$C, $C$3),""))</f>
        <v>0.51</v>
      </c>
      <c r="F13" s="96">
        <f>IF($A13="","",IFERROR(SUMPRODUCT(('Raw Data'!$B$2:$B$9999="Variant")*('Raw Data'!$A$2:$A$9999=$A13)*('Raw Data'!$C$2:$C$9999=$C$3)*'Raw Data'!$D$2:$D$9999*'Raw Data'!$E$2:$E$9999)/SUMIFS('Raw Data'!$D:$D, 'Raw Data'!$B:$B, "Variant", 'Raw Data'!$A:$A, $A13, 'Raw Data'!$C:$C, $C$3),""))</f>
        <v>0.61</v>
      </c>
      <c r="G13" s="95">
        <f t="shared" si="2"/>
        <v>0.1960784314</v>
      </c>
      <c r="H13" s="97">
        <f>IF($A13="","",SUMIFS('Raw Data'!$F:$F, 'Raw Data'!$B:$B, "Control", 'Raw Data'!$A:$A, $A13, 'Raw Data'!$C:$C, $C$3))</f>
        <v>934.21</v>
      </c>
      <c r="I13" s="97">
        <f>IF($A13="","",SUMIFS('Raw Data'!$F:$F, 'Raw Data'!$B:$B, "Variant", 'Raw Data'!$A:$A, $A13, 'Raw Data'!$C:$C, $C$3))</f>
        <v>1927.93</v>
      </c>
      <c r="J13" s="100">
        <f t="shared" si="3"/>
        <v>1.063700881</v>
      </c>
      <c r="K13" s="99">
        <f>IF($A13="","",IFERROR(SUMIFS('Raw Data'!$F:$F, 'Raw Data'!$B:$B, "Control", 'Raw Data'!$A:$A, $A13, 'Raw Data'!$C:$C, $C$3)/SUMIFS('Raw Data'!$D:$D, 'Raw Data'!$B:$B, "Control", 'Raw Data'!$A:$A, $A13, 'Raw Data'!$C:$C, $C$3),""))</f>
        <v>2.128041002</v>
      </c>
      <c r="L13" s="99">
        <f>IF($A13="","",IFERROR(SUMIFS('Raw Data'!$F:$F, 'Raw Data'!$B:$B, "Variant", 'Raw Data'!$A:$A, $A13, 'Raw Data'!$C:$C, $C$3)/SUMIFS('Raw Data'!$D:$D, 'Raw Data'!$B:$B, "Variant", 'Raw Data'!$A:$A, $A13, 'Raw Data'!$C:$C, $C$3),""))</f>
        <v>3.623928571</v>
      </c>
      <c r="M13" s="100">
        <f t="shared" si="4"/>
        <v>0.7029411405</v>
      </c>
      <c r="N13" s="96">
        <f>IF($A13="","",IFERROR(SUMPRODUCT(('Raw Data'!$B$2:$B$9999="Control")*('Raw Data'!$A$2:$A$9999=$A13)*('Raw Data'!$C$2:$C$9999=$C$3)*'Raw Data'!$D$2:$D$9999*'Raw Data'!$H$2:$H$9999/100)/SUMIFS('Raw Data'!$D:$D, 'Raw Data'!$B:$B, "Control", 'Raw Data'!$A:$A, $A13, 'Raw Data'!$C:$C, $C$3)*100,""))</f>
        <v>14.58</v>
      </c>
      <c r="O13" s="96">
        <f>IF($A13="","",IFERROR(SUMPRODUCT(('Raw Data'!$B$2:$B$9999="Variant")*('Raw Data'!$A$2:$A$9999=$A13)*('Raw Data'!$C$2:$C$9999=$C$3)*'Raw Data'!$D$2:$D$9999*'Raw Data'!$H$2:$H$9999/100)/SUMIFS('Raw Data'!$D:$D, 'Raw Data'!$B:$B, "Variant", 'Raw Data'!$A:$A, $A13, 'Raw Data'!$C:$C, $C$3)*100,""))</f>
        <v>18.98</v>
      </c>
      <c r="P13" s="105">
        <f t="shared" si="5"/>
        <v>0.3017832647</v>
      </c>
      <c r="Q13" s="99">
        <f>IF($A13="","",IFERROR(SUMIFS('Raw Data'!$F:$F, 'Raw Data'!$B:$B, "Control", 'Raw Data'!$A:$A, $A13, 'Raw Data'!$C:$C, $C$3)/SUMPRODUCT(('Raw Data'!$B$2:$B$9999="Control")*('Raw Data'!$A$2:$A$9999=$A13)*('Raw Data'!$C$2:$C$9999=$C$3)*'Raw Data'!$D$2:$D$9999*'Raw Data'!$H$2:$H$9999/100),""))</f>
        <v>14.5956173</v>
      </c>
      <c r="R13" s="99">
        <f>IF($A13="","",IFERROR(SUMIFS('Raw Data'!$F:$F, 'Raw Data'!$B:$B, "Variant", 'Raw Data'!$A:$A, $A13, 'Raw Data'!$C:$C, $C$3)/SUMPRODUCT(('Raw Data'!$B$2:$B$9999="Variant")*('Raw Data'!$A$2:$A$9999=$A13)*('Raw Data'!$C$2:$C$9999=$C$3)*'Raw Data'!$D$2:$D$9999*'Raw Data'!$H$2:$H$9999/100),""))</f>
        <v>19.09340659</v>
      </c>
      <c r="S13" s="105">
        <f t="shared" si="6"/>
        <v>0.3081602649</v>
      </c>
      <c r="T13" s="101">
        <f>IF($A13="","",IFERROR(SUMPRODUCT(('Raw Data'!$B$2:$B$9999="Control")*('Raw Data'!$A$2:$A$9999=$A13)*('Raw Data'!$C$2:$C$9999=$C$3)*'Raw Data'!$D$2:$D$9999*'Raw Data'!$J$2:$J$9999)/SUMIFS('Raw Data'!$D:$D, 'Raw Data'!$B:$B, "Control", 'Raw Data'!$A:$A, $A13, 'Raw Data'!$C:$C, $C$3),""))</f>
        <v>234.89</v>
      </c>
      <c r="U13" s="101">
        <f>IF($A13="","",IFERROR(SUMPRODUCT(('Raw Data'!$B$2:$B$9999="Variant")*('Raw Data'!$A$2:$A$9999=$A13)*('Raw Data'!$C$2:$C$9999=$C$3)*'Raw Data'!$D$2:$D$9999*'Raw Data'!$J$2:$J$9999)/SUMIFS('Raw Data'!$D:$D, 'Raw Data'!$B:$B, "Variant", 'Raw Data'!$A:$A, $A13, 'Raw Data'!$C:$C, $C$3),""))</f>
        <v>251.47</v>
      </c>
      <c r="V13" s="105">
        <f t="shared" si="7"/>
        <v>0.07058623185</v>
      </c>
      <c r="W13" s="101">
        <f>IF($A13="","",IFERROR(SUMPRODUCT(('Raw Data'!$B$2:$B$9999="Control")*('Raw Data'!$A$2:$A$9999=$A13)*('Raw Data'!$C$2:$C$9999=$C$3)*'Raw Data'!$D$2:$D$9999*'Raw Data'!$K$2:$K$9999)/SUMIFS('Raw Data'!$D:$D, 'Raw Data'!$B:$B, "Control", 'Raw Data'!$A:$A, $A13, 'Raw Data'!$C:$C, $C$3),""))</f>
        <v>146.67</v>
      </c>
      <c r="X13" s="101">
        <f>IF($A13="","",IFERROR(SUMPRODUCT(('Raw Data'!$B$2:$B$9999="Variant")*('Raw Data'!$A$2:$A$9999=$A13)*('Raw Data'!$C$2:$C$9999=$C$3)*'Raw Data'!$D$2:$D$9999*'Raw Data'!$K$2:$K$9999)/SUMIFS('Raw Data'!$D:$D, 'Raw Data'!$B:$B, "Variant", 'Raw Data'!$A:$A, $A13, 'Raw Data'!$C:$C, $C$3),""))</f>
        <v>154.84</v>
      </c>
      <c r="Y13" s="105">
        <f t="shared" si="8"/>
        <v>0.05570327947</v>
      </c>
      <c r="Z13" s="101">
        <f>IF($A13="","",IFERROR(SUMPRODUCT(('Raw Data'!$B$2:$B$9999="Control")*('Raw Data'!$A$2:$A$9999=$A13)*('Raw Data'!$C$2:$C$9999=$C$3)*'Raw Data'!$D$2:$D$9999*'Raw Data'!$L$2:$L$9999)/SUMIFS('Raw Data'!$D:$D, 'Raw Data'!$B:$B, "Control", 'Raw Data'!$A:$A, $A13, 'Raw Data'!$C:$C, $C$3),""))</f>
        <v>125.95</v>
      </c>
      <c r="AA13" s="101">
        <f>IF($A13="","",IFERROR(SUMPRODUCT(('Raw Data'!$B$2:$B$9999="Variant")*('Raw Data'!$A$2:$A$9999=$A13)*('Raw Data'!$C$2:$C$9999=$C$3)*'Raw Data'!$D$2:$D$9999*'Raw Data'!$L$2:$L$9999)/SUMIFS('Raw Data'!$D:$D, 'Raw Data'!$B:$B, "Variant", 'Raw Data'!$A:$A, $A13, 'Raw Data'!$C:$C, $C$3),""))</f>
        <v>129.79</v>
      </c>
      <c r="AB13" s="105">
        <f t="shared" si="9"/>
        <v>0.030488289</v>
      </c>
      <c r="AC13" s="102">
        <f>IF($A13="","",IFERROR(SUMPRODUCT(('Raw Data'!$B$2:$B$9999="Control")*('Raw Data'!$A$2:$A$9999=$A13)*('Raw Data'!$C$2:$C$9999=$C$3)*'Raw Data'!$D$2:$D$9999*'Raw Data'!$M$2:$M$9999)/SUMIFS('Raw Data'!$D:$D, 'Raw Data'!$B:$B, "Control", 'Raw Data'!$A:$A, $A13, 'Raw Data'!$C:$C, $C$3),""))</f>
        <v>0.8587</v>
      </c>
      <c r="AD13" s="102">
        <f>IF($A13="","",IFERROR(SUMPRODUCT(('Raw Data'!$B$2:$B$9999="Variant")*('Raw Data'!$A$2:$A$9999=$A13)*('Raw Data'!$C$2:$C$9999=$C$3)*'Raw Data'!$D$2:$D$9999*'Raw Data'!$M$2:$M$9999)/SUMIFS('Raw Data'!$D:$D, 'Raw Data'!$B:$B, "Variant", 'Raw Data'!$A:$A, $A13, 'Raw Data'!$C:$C, $C$3),""))</f>
        <v>0.8382</v>
      </c>
      <c r="AE13" s="106">
        <f t="shared" si="10"/>
        <v>-0.02387329684</v>
      </c>
      <c r="AF13" s="102">
        <f>IF($A13="","",IFERROR(SUMPRODUCT(('Raw Data'!$B$2:$B$9999="Control")*('Raw Data'!$A$2:$A$9999=$A13)*('Raw Data'!$C$2:$C$9999=$C$3)*'Raw Data'!$D$2:$D$9999*'Raw Data'!$N$2:$N$9999)/SUMIFS('Raw Data'!$D:$D, 'Raw Data'!$B:$B, "Control", 'Raw Data'!$A:$A, $A13, 'Raw Data'!$C:$C, $C$3),""))</f>
        <v>0.2726</v>
      </c>
      <c r="AG13" s="102">
        <f>IF($A13="","",IFERROR(SUMPRODUCT(('Raw Data'!$B$2:$B$9999="Variant")*('Raw Data'!$A$2:$A$9999=$A13)*('Raw Data'!$C$2:$C$9999=$C$3)*'Raw Data'!$D$2:$D$9999*'Raw Data'!$N$2:$N$9999)/SUMIFS('Raw Data'!$D:$D, 'Raw Data'!$B:$B, "Variant", 'Raw Data'!$A:$A, $A13, 'Raw Data'!$C:$C, $C$3),""))</f>
        <v>0.2904</v>
      </c>
      <c r="AH13" s="105">
        <f t="shared" si="11"/>
        <v>0.06529713866</v>
      </c>
      <c r="AI13" s="102">
        <f>IF($A13="","",IFERROR(SUMPRODUCT(('Raw Data'!$B$2:$B$9999="Control")*('Raw Data'!$A$2:$A$9999=$A13)*('Raw Data'!$C$2:$C$9999=$C$3)*'Raw Data'!$D$2:$D$9999*'Raw Data'!$O$2:$O$9999)/SUMIFS('Raw Data'!$D:$D, 'Raw Data'!$B:$B, "Control", 'Raw Data'!$A:$A, $A13, 'Raw Data'!$C:$C, $C$3),""))</f>
        <v>0.192</v>
      </c>
      <c r="AJ13" s="102">
        <f>IF($A13="","",IFERROR(SUMPRODUCT(('Raw Data'!$B$2:$B$9999="Variant")*('Raw Data'!$A$2:$A$9999=$A13)*('Raw Data'!$C$2:$C$9999=$C$3)*'Raw Data'!$D$2:$D$9999*'Raw Data'!$O$2:$O$9999)/SUMIFS('Raw Data'!$D:$D, 'Raw Data'!$B:$B, "Variant", 'Raw Data'!$A:$A, $A13, 'Raw Data'!$C:$C, $C$3),""))</f>
        <v>0.1967</v>
      </c>
      <c r="AK13" s="105">
        <f t="shared" si="12"/>
        <v>0.02447916667</v>
      </c>
      <c r="AL13" s="101">
        <f>IF($A13="","",IFERROR(SUMPRODUCT(('Raw Data'!$B$2:$B$9999="Control")*('Raw Data'!$A$2:$A$9999=$A13)*('Raw Data'!$C$2:$C$9999=$C$3)*'Raw Data'!$D$2:$D$9999*'Raw Data'!$P$2:$P$9999)/SUMIFS('Raw Data'!$D:$D, 'Raw Data'!$B:$B, "Control", 'Raw Data'!$A:$A, $A13, 'Raw Data'!$C:$C, $C$3),""))</f>
        <v>1.1645</v>
      </c>
      <c r="AM13" s="101">
        <f>IF($A13="","",IFERROR(SUMPRODUCT(('Raw Data'!$B$2:$B$9999="Variant")*('Raw Data'!$A$2:$A$9999=$A13)*('Raw Data'!$C$2:$C$9999=$C$3)*'Raw Data'!$D$2:$D$9999*'Raw Data'!$P$2:$P$9999)/SUMIFS('Raw Data'!$D:$D, 'Raw Data'!$B:$B, "Variant", 'Raw Data'!$A:$A, $A13, 'Raw Data'!$C:$C, $C$3),""))</f>
        <v>1.193</v>
      </c>
      <c r="AN13" s="106">
        <f t="shared" si="13"/>
        <v>0.02447402319</v>
      </c>
      <c r="AO13" s="101">
        <f>IF($A13="","",IFERROR(SUMPRODUCT(('Raw Data'!$B$2:$B$9999="Control")*('Raw Data'!$A$2:$A$9999=$A13)*('Raw Data'!$C$2:$C$9999=$C$3)*'Raw Data'!$D$2:$D$9999*'Raw Data'!$Q$2:$Q$9999)/SUMIFS('Raw Data'!$D:$D, 'Raw Data'!$B:$B, "Control", 'Raw Data'!$A:$A, $A13, 'Raw Data'!$C:$C, $C$3),""))</f>
        <v>854.68</v>
      </c>
      <c r="AP13" s="101">
        <f>IF($A13="","",IFERROR(SUMPRODUCT(('Raw Data'!$B$2:$B$9999="Variant")*('Raw Data'!$A$2:$A$9999=$A13)*('Raw Data'!$C$2:$C$9999=$C$3)*'Raw Data'!$D$2:$D$9999*'Raw Data'!$Q$2:$Q$9999)/SUMIFS('Raw Data'!$D:$D, 'Raw Data'!$B:$B, "Variant", 'Raw Data'!$A:$A, $A13, 'Raw Data'!$C:$C, $C$3),""))</f>
        <v>946.61</v>
      </c>
      <c r="AQ13" s="95">
        <f t="shared" si="14"/>
        <v>0.1075607245</v>
      </c>
      <c r="AR13" s="101">
        <f>IF($A13="","",IFERROR(SUMPRODUCT(('Raw Data'!$B$2:$B$9999="Control")*('Raw Data'!$A$2:$A$9999=$A13)*('Raw Data'!$C$2:$C$9999=$C$3)*'Raw Data'!$D$2:$D$9999*'Raw Data'!$R$2:$R$9999)/SUMIFS('Raw Data'!$D:$D, 'Raw Data'!$B:$B, "Control", 'Raw Data'!$A:$A, $A13, 'Raw Data'!$C:$C, $C$3),""))</f>
        <v>587.97</v>
      </c>
      <c r="AS13" s="101">
        <f>IF($A13="","",IFERROR(SUMPRODUCT(('Raw Data'!$B$2:$B$9999="Variant")*('Raw Data'!$A$2:$A$9999=$A13)*('Raw Data'!$C$2:$C$9999=$C$3)*'Raw Data'!$D$2:$D$9999*'Raw Data'!$R$2:$R$9999)/SUMIFS('Raw Data'!$D:$D, 'Raw Data'!$B:$B, "Variant", 'Raw Data'!$A:$A, $A13, 'Raw Data'!$C:$C, $C$3),""))</f>
        <v>844.9</v>
      </c>
      <c r="AT13" s="95">
        <f t="shared" si="15"/>
        <v>0.4369780771</v>
      </c>
      <c r="AU13" s="101">
        <f>IF($A13="","",IFERROR(SUMPRODUCT(('Raw Data'!$B$2:$B$9999="Control")*('Raw Data'!$A$2:$A$9999=$A13)*('Raw Data'!$C$2:$C$9999=$C$3)*'Raw Data'!$D$2:$D$9999*'Raw Data'!$S$2:$S$9999)/SUMIFS('Raw Data'!$D:$D, 'Raw Data'!$B:$B, "Control", 'Raw Data'!$A:$A, $A13, 'Raw Data'!$C:$C, $C$3),""))</f>
        <v>266.71</v>
      </c>
      <c r="AV13" s="101">
        <f>IF($A13="","",IFERROR(SUMPRODUCT(('Raw Data'!$B$2:$B$9999="Variant")*('Raw Data'!$A$2:$A$9999=$A13)*('Raw Data'!$C$2:$C$9999=$C$3)*'Raw Data'!$D$2:$D$9999*'Raw Data'!$S$2:$S$9999)/SUMIFS('Raw Data'!$D:$D, 'Raw Data'!$B:$B, "Variant", 'Raw Data'!$A:$A, $A13, 'Raw Data'!$C:$C, $C$3),""))</f>
        <v>101.71</v>
      </c>
      <c r="AW13" s="95">
        <f t="shared" si="16"/>
        <v>-0.6186494695</v>
      </c>
      <c r="AX13" s="101">
        <f>IF($A13="","",IFERROR(SUMPRODUCT(('Raw Data'!$B$2:$B$9999="Control")*('Raw Data'!$A$2:$A$9999=$A13)*('Raw Data'!$C$2:$C$9999=$C$3)*'Raw Data'!$D$2:$D$9999*'Raw Data'!$T$2:$T$9999)/SUMIFS('Raw Data'!$D:$D, 'Raw Data'!$B:$B, "Control", 'Raw Data'!$A:$A, $A13, 'Raw Data'!$C:$C, $C$3),""))</f>
        <v>140.89</v>
      </c>
      <c r="AY13" s="101">
        <f>IF($A13="","",IFERROR(SUMPRODUCT(('Raw Data'!$B$2:$B$9999="Variant")*('Raw Data'!$A$2:$A$9999=$A13)*('Raw Data'!$C$2:$C$9999=$C$3)*'Raw Data'!$D$2:$D$9999*'Raw Data'!$T$2:$T$9999)/SUMIFS('Raw Data'!$D:$D, 'Raw Data'!$B:$B, "Variant", 'Raw Data'!$A:$A, $A13, 'Raw Data'!$C:$C, $C$3),""))</f>
        <v>211.18</v>
      </c>
      <c r="AZ13" s="105">
        <f t="shared" si="17"/>
        <v>0.4988998509</v>
      </c>
      <c r="BA13" s="101">
        <f>IF($A13="","",IFERROR(SUMPRODUCT(('Raw Data'!$B$2:$B$9999="Control")*('Raw Data'!$A$2:$A$9999=$A13)*('Raw Data'!$C$2:$C$9999=$C$3)*'Raw Data'!$D$2:$D$9999*'Raw Data'!$U$2:$U$9999)/SUMIFS('Raw Data'!$D:$D, 'Raw Data'!$B:$B, "Control", 'Raw Data'!$A:$A, $A13, 'Raw Data'!$C:$C, $C$3),""))</f>
        <v>713.79</v>
      </c>
      <c r="BB13" s="101">
        <f>IF($A13="","",IFERROR(SUMPRODUCT(('Raw Data'!$B$2:$B$9999="Variant")*('Raw Data'!$A$2:$A$9999=$A13)*('Raw Data'!$C$2:$C$9999=$C$3)*'Raw Data'!$D$2:$D$9999*'Raw Data'!$U$2:$U$9999)/SUMIFS('Raw Data'!$D:$D, 'Raw Data'!$B:$B, "Variant", 'Raw Data'!$A:$A, $A13, 'Raw Data'!$C:$C, $C$3),""))</f>
        <v>735.42</v>
      </c>
      <c r="BC13" s="95">
        <f t="shared" si="18"/>
        <v>0.0303030303</v>
      </c>
      <c r="BD13" s="101">
        <f>IF($A13="","",IFERROR(SUMPRODUCT(('Raw Data'!$B$2:$B$9999="Control")*('Raw Data'!$A$2:$A$9999=$A13)*('Raw Data'!$C$2:$C$9999=$C$3)*'Raw Data'!$D$2:$D$9999*'Raw Data'!$V$2:$V$9999)/SUMIFS('Raw Data'!$D:$D, 'Raw Data'!$B:$B, "Control", 'Raw Data'!$A:$A, $A13, 'Raw Data'!$C:$C, $C$3),""))</f>
        <v>849.66</v>
      </c>
      <c r="BE13" s="101">
        <f>IF($A13="","",IFERROR(SUMPRODUCT(('Raw Data'!$B$2:$B$9999="Variant")*('Raw Data'!$A$2:$A$9999=$A13)*('Raw Data'!$C$2:$C$9999=$C$3)*'Raw Data'!$D$2:$D$9999*'Raw Data'!$V$2:$V$9999)/SUMIFS('Raw Data'!$D:$D, 'Raw Data'!$B:$B, "Variant", 'Raw Data'!$A:$A, $A13, 'Raw Data'!$C:$C, $C$3),""))</f>
        <v>918.42</v>
      </c>
      <c r="BF13" s="95">
        <f t="shared" si="19"/>
        <v>0.08092648824</v>
      </c>
      <c r="BG13" s="101">
        <f>IF($A13="","",IFERROR(SUMPRODUCT(('Raw Data'!$B$2:$B$9999="Control")*('Raw Data'!$A$2:$A$9999=$A13)*('Raw Data'!$C$2:$C$9999=$C$3)*'Raw Data'!$D$2:$D$9999*('Raw Data'!$Q$2:$Q$9999-'Raw Data'!$V$2:$V$9999))/SUMIFS('Raw Data'!$D:$D, 'Raw Data'!$B:$B, "Control", 'Raw Data'!$A:$A, $A13, 'Raw Data'!$C:$C, $C$3),""))</f>
        <v>5.02</v>
      </c>
      <c r="BH13" s="101">
        <f>IF($A13="","",IFERROR(SUMPRODUCT(('Raw Data'!$B$2:$B$9999="Variant")*('Raw Data'!$A$2:$A$9999=$A13)*('Raw Data'!$C$2:$C$9999=$C$3)*'Raw Data'!$D$2:$D$9999*('Raw Data'!$Q$2:$Q$9999-'Raw Data'!$V$2:$V$9999))/SUMIFS('Raw Data'!$D:$D, 'Raw Data'!$B:$B, "Variant", 'Raw Data'!$A:$A, $A13, 'Raw Data'!$C:$C, $C$3),""))</f>
        <v>28.19</v>
      </c>
      <c r="BI13" s="95">
        <f t="shared" si="20"/>
        <v>4.615537849</v>
      </c>
      <c r="BJ13" s="101">
        <f>IF($A13="","",IFERROR(SUMPRODUCT(('Raw Data'!$B$2:$B$9999="Control")*('Raw Data'!$A$2:$A$9999=$A13)*('Raw Data'!$C$2:$C$9999=$C$3)*'Raw Data'!$D$2:$D$9999*'Raw Data'!$W$2:$W$9999)/SUMIFS('Raw Data'!$D:$D, 'Raw Data'!$B:$B, "Control", 'Raw Data'!$A:$A, $A13, 'Raw Data'!$C:$C, $C$3),""))</f>
        <v>5.7929</v>
      </c>
      <c r="BK13" s="101">
        <f>IF($A13="","",IFERROR(SUMPRODUCT(('Raw Data'!$B$2:$B$9999="Variant")*('Raw Data'!$A$2:$A$9999=$A13)*('Raw Data'!$C$2:$C$9999=$C$3)*'Raw Data'!$D$2:$D$9999*'Raw Data'!$W$2:$W$9999)/SUMIFS('Raw Data'!$D:$D, 'Raw Data'!$B:$B, "Variant", 'Raw Data'!$A:$A, $A13, 'Raw Data'!$C:$C, $C$3),""))</f>
        <v>5.9313</v>
      </c>
      <c r="BL13" s="95">
        <f t="shared" si="21"/>
        <v>0.02389131523</v>
      </c>
      <c r="BM13" s="102">
        <f>IF($A13="","",IFERROR(SUMPRODUCT(('Raw Data'!$B$2:$B$9999="Control")*('Raw Data'!$A$2:$A$9999=$A13)*('Raw Data'!$C$2:$C$9999=$C$3)*'Raw Data'!$D$2:$D$9999*'Raw Data'!$X$2:$X$9999)/SUMIFS('Raw Data'!$D:$D, 'Raw Data'!$B:$B, "Control", 'Raw Data'!$A:$A, $A13, 'Raw Data'!$C:$C, $C$3),""))</f>
        <v>16.48</v>
      </c>
      <c r="BN13" s="102">
        <f>IF($A13="","",IFERROR(SUMPRODUCT(('Raw Data'!$B$2:$B$9999="Variant")*('Raw Data'!$A$2:$A$9999=$A13)*('Raw Data'!$C$2:$C$9999=$C$3)*'Raw Data'!$D$2:$D$9999*'Raw Data'!$X$2:$X$9999)/SUMIFS('Raw Data'!$D:$D, 'Raw Data'!$B:$B, "Variant", 'Raw Data'!$A:$A, $A13, 'Raw Data'!$C:$C, $C$3),""))</f>
        <v>22.31</v>
      </c>
      <c r="BO13" s="105">
        <f t="shared" si="22"/>
        <v>0.3537621359</v>
      </c>
      <c r="BP13" s="94">
        <f>IF($A13="","",IFERROR(SUMPRODUCT(('Raw Data'!$B$2:$B$9999="Control")*('Raw Data'!$A$2:$A$9999=$A13)*('Raw Data'!$C$2:$C$9999=$C$3)*'Raw Data'!$D$2:$D$9999*'Raw Data'!$Y$2:$Y$9999)/SUMIFS('Raw Data'!$D:$D, 'Raw Data'!$B:$B, "Control", 'Raw Data'!$A:$A, $A13, 'Raw Data'!$C:$C, $C$3),""))</f>
        <v>453</v>
      </c>
      <c r="BQ13" s="94">
        <f>IF($A13="","",IFERROR(SUMPRODUCT(('Raw Data'!$B$2:$B$9999="Variant")*('Raw Data'!$A$2:$A$9999=$A13)*('Raw Data'!$C$2:$C$9999=$C$3)*'Raw Data'!$D$2:$D$9999*'Raw Data'!$Y$2:$Y$9999)/SUMIFS('Raw Data'!$D:$D, 'Raw Data'!$B:$B, "Variant", 'Raw Data'!$A:$A, $A13, 'Raw Data'!$C:$C, $C$3),""))</f>
        <v>404</v>
      </c>
      <c r="BR13" s="95">
        <f t="shared" si="23"/>
        <v>-0.1081677704</v>
      </c>
      <c r="BS13" s="94">
        <f>IF($A13="","",IFERROR(SUMPRODUCT(('Raw Data'!$B$2:$B$9999="Control")*('Raw Data'!$A$2:$A$9999=$A13)*('Raw Data'!$C$2:$C$9999=$C$3)*'Raw Data'!$D$2:$D$9999*'Raw Data'!$Z$2:$Z$9999)/SUMIFS('Raw Data'!$D:$D, 'Raw Data'!$B:$B, "Control", 'Raw Data'!$A:$A, $A13, 'Raw Data'!$C:$C, $C$3),""))</f>
        <v>2999</v>
      </c>
      <c r="BT13" s="94">
        <f>IF($A13="","",IFERROR(SUMPRODUCT(('Raw Data'!$B$2:$B$9999="Variant")*('Raw Data'!$A$2:$A$9999=$A13)*('Raw Data'!$C$2:$C$9999=$C$3)*'Raw Data'!$D$2:$D$9999*'Raw Data'!$Z$2:$Z$9999)/SUMIFS('Raw Data'!$D:$D, 'Raw Data'!$B:$B, "Variant", 'Raw Data'!$A:$A, $A13, 'Raw Data'!$C:$C, $C$3),""))</f>
        <v>2892</v>
      </c>
      <c r="BU13" s="95">
        <f t="shared" si="24"/>
        <v>-0.03567855952</v>
      </c>
      <c r="BV13" s="94">
        <f>IF($A13="","",IFERROR(SUMPRODUCT(('Raw Data'!$B$2:$B$9999="Control")*('Raw Data'!$A$2:$A$9999=$A13)*('Raw Data'!$C$2:$C$9999=$C$3)*'Raw Data'!$D$2:$D$9999*'Raw Data'!$AA$2:$AA$9999)/SUMIFS('Raw Data'!$D:$D, 'Raw Data'!$B:$B, "Control", 'Raw Data'!$A:$A, $A13, 'Raw Data'!$C:$C, $C$3),""))</f>
        <v>10393</v>
      </c>
      <c r="BW13" s="94">
        <f>IF($A13="","",IFERROR(SUMPRODUCT(('Raw Data'!$B$2:$B$9999="Variant")*('Raw Data'!$A$2:$A$9999=$A13)*('Raw Data'!$C$2:$C$9999=$C$3)*'Raw Data'!$D$2:$D$9999*'Raw Data'!$AA$2:$AA$9999)/SUMIFS('Raw Data'!$D:$D, 'Raw Data'!$B:$B, "Variant", 'Raw Data'!$A:$A, $A13, 'Raw Data'!$C:$C, $C$3),""))</f>
        <v>11692</v>
      </c>
      <c r="BX13" s="95">
        <f t="shared" si="25"/>
        <v>0.1249879727</v>
      </c>
      <c r="BY13" s="101">
        <f>IF($A13="","",IFERROR(SUMPRODUCT(('Raw Data'!$B$2:$B$9999="Control")*('Raw Data'!$A$2:$A$9999=$A13)*('Raw Data'!$C$2:$C$9999=$C$3)*'Raw Data'!$D$2:$D$9999*'Raw Data'!$AB$2:$AB$9999)/SUMIFS('Raw Data'!$D:$D, 'Raw Data'!$B:$B, "Control", 'Raw Data'!$A:$A, $A13, 'Raw Data'!$C:$C, $C$3),""))</f>
        <v>63.1683</v>
      </c>
      <c r="BZ13" s="101">
        <f>IF($A13="","",IFERROR(SUMPRODUCT(('Raw Data'!$B$2:$B$9999="Variant")*('Raw Data'!$A$2:$A$9999=$A13)*('Raw Data'!$C$2:$C$9999=$C$3)*'Raw Data'!$D$2:$D$9999*'Raw Data'!$AB$2:$AB$9999)/SUMIFS('Raw Data'!$D:$D, 'Raw Data'!$B:$B, "Variant", 'Raw Data'!$A:$A, $A13, 'Raw Data'!$C:$C, $C$3),""))</f>
        <v>62.476</v>
      </c>
      <c r="CA13" s="105">
        <f t="shared" si="26"/>
        <v>-0.01095961107</v>
      </c>
      <c r="CB13" s="101">
        <f>IF($A13="","",IFERROR(SUMPRODUCT(('Raw Data'!$B$2:$B$9999="Control")*('Raw Data'!$A$2:$A$9999=$A13)*('Raw Data'!$C$2:$C$9999=$C$3)*'Raw Data'!$D$2:$D$9999*'Raw Data'!$AC$2:$AC$9999)/SUMIFS('Raw Data'!$D:$D, 'Raw Data'!$B:$B, "Control", 'Raw Data'!$A:$A, $A13, 'Raw Data'!$C:$C, $C$3),""))</f>
        <v>0.8659</v>
      </c>
      <c r="CC13" s="101">
        <f>IF($A13="","",IFERROR(SUMPRODUCT(('Raw Data'!$B$2:$B$9999="Variant")*('Raw Data'!$A$2:$A$9999=$A13)*('Raw Data'!$C$2:$C$9999=$C$3)*'Raw Data'!$D$2:$D$9999*'Raw Data'!$AC$2:$AC$9999)/SUMIFS('Raw Data'!$D:$D, 'Raw Data'!$B:$B, "Variant", 'Raw Data'!$A:$A, $A13, 'Raw Data'!$C:$C, $C$3),""))</f>
        <v>0.8579</v>
      </c>
      <c r="CD13" s="105">
        <f t="shared" si="27"/>
        <v>-0.009238942141</v>
      </c>
      <c r="CE13" s="101">
        <f>IF($A13="","",IFERROR(SUMPRODUCT(('Raw Data'!$B$2:$B$9999="Control")*('Raw Data'!$A$2:$A$9999=$A13)*('Raw Data'!$C$2:$C$9999=$C$3)*'Raw Data'!$D$2:$D$9999*'Raw Data'!$AD$2:$AD$9999)/SUMIFS('Raw Data'!$D:$D, 'Raw Data'!$B:$B, "Control", 'Raw Data'!$A:$A, $A13, 'Raw Data'!$C:$C, $C$3),""))</f>
        <v>88.24</v>
      </c>
      <c r="CF13" s="101">
        <f>IF($A13="","",IFERROR(SUMPRODUCT(('Raw Data'!$B$2:$B$9999="Variant")*('Raw Data'!$A$2:$A$9999=$A13)*('Raw Data'!$C$2:$C$9999=$C$3)*'Raw Data'!$D$2:$D$9999*'Raw Data'!$AD$2:$AD$9999)/SUMIFS('Raw Data'!$D:$D, 'Raw Data'!$B:$B, "Variant", 'Raw Data'!$A:$A, $A13, 'Raw Data'!$C:$C, $C$3),""))</f>
        <v>93.18</v>
      </c>
      <c r="CG13" s="105">
        <f t="shared" si="28"/>
        <v>0.05598368087</v>
      </c>
      <c r="CH13" s="101">
        <f>IF($A13="","",IFERROR(SUMPRODUCT(('Raw Data'!$B$2:$B$9999="Control")*('Raw Data'!$A$2:$A$9999=$A13)*('Raw Data'!$C$2:$C$9999=$C$3)*'Raw Data'!$D$2:$D$9999*'Raw Data'!$AE$2:$AE$9999)/SUMIFS('Raw Data'!$D:$D, 'Raw Data'!$B:$B, "Control", 'Raw Data'!$A:$A, $A13, 'Raw Data'!$C:$C, $C$3),""))</f>
        <v>37</v>
      </c>
      <c r="CI13" s="101">
        <f>IF($A13="","",IFERROR(SUMPRODUCT(('Raw Data'!$B$2:$B$9999="Variant")*('Raw Data'!$A$2:$A$9999=$A13)*('Raw Data'!$C$2:$C$9999=$C$3)*'Raw Data'!$D$2:$D$9999*'Raw Data'!$AE$2:$AE$9999)/SUMIFS('Raw Data'!$D:$D, 'Raw Data'!$B:$B, "Variant", 'Raw Data'!$A:$A, $A13, 'Raw Data'!$C:$C, $C$3),""))</f>
        <v>38</v>
      </c>
      <c r="CJ13" s="105">
        <f t="shared" si="29"/>
        <v>0.02702702703</v>
      </c>
      <c r="CK13" s="101">
        <f>IF($A13="","",IFERROR(SUMPRODUCT(('Raw Data'!$B$2:$B$9999="Control")*('Raw Data'!$A$2:$A$9999=$A13)*('Raw Data'!$C$2:$C$9999=$C$3)*'Raw Data'!$D$2:$D$9999*'Raw Data'!$AF$2:$AF$9999)/SUMIFS('Raw Data'!$D:$D, 'Raw Data'!$B:$B, "Control", 'Raw Data'!$A:$A, $A13, 'Raw Data'!$C:$C, $C$3),""))</f>
        <v>77</v>
      </c>
      <c r="CL13" s="101">
        <f>IF($A13="","",IFERROR(SUMPRODUCT(('Raw Data'!$B$2:$B$9999="Variant")*('Raw Data'!$A$2:$A$9999=$A13)*('Raw Data'!$C$2:$C$9999=$C$3)*'Raw Data'!$D$2:$D$9999*'Raw Data'!$AF$2:$AF$9999)/SUMIFS('Raw Data'!$D:$D, 'Raw Data'!$B:$B, "Variant", 'Raw Data'!$A:$A, $A13, 'Raw Data'!$C:$C, $C$3),""))</f>
        <v>80</v>
      </c>
      <c r="CM13" s="105">
        <f t="shared" si="30"/>
        <v>0.03896103896</v>
      </c>
      <c r="CN13" s="101">
        <f>IF($A13="","",IFERROR(SUMPRODUCT(('Raw Data'!$B$2:$B$9999="Control")*('Raw Data'!$A$2:$A$9999=$A13)*('Raw Data'!$C$2:$C$9999=$C$3)*'Raw Data'!$D$2:$D$9999*'Raw Data'!$AG$2:$AG$9999)/SUMIFS('Raw Data'!$D:$D, 'Raw Data'!$B:$B, "Control", 'Raw Data'!$A:$A, $A13, 'Raw Data'!$C:$C, $C$3),""))</f>
        <v>121</v>
      </c>
      <c r="CO13" s="101">
        <f>IF($A13="","",IFERROR(SUMPRODUCT(('Raw Data'!$B$2:$B$9999="Variant")*('Raw Data'!$A$2:$A$9999=$A13)*('Raw Data'!$C$2:$C$9999=$C$3)*'Raw Data'!$D$2:$D$9999*'Raw Data'!$AG$2:$AG$9999)/SUMIFS('Raw Data'!$D:$D, 'Raw Data'!$B:$B, "Variant", 'Raw Data'!$A:$A, $A13, 'Raw Data'!$C:$C, $C$3),""))</f>
        <v>132</v>
      </c>
      <c r="CP13" s="105">
        <f t="shared" si="31"/>
        <v>0.09090909091</v>
      </c>
      <c r="CQ13" s="101">
        <f>IF($A13="","",IFERROR(SUMPRODUCT(('Raw Data'!$B$2:$B$9999="Control")*('Raw Data'!$A$2:$A$9999=$A13)*('Raw Data'!$C$2:$C$9999=$C$3)*'Raw Data'!$D$2:$D$9999*'Raw Data'!$AH$2:$AH$9999)/SUMIFS('Raw Data'!$D:$D, 'Raw Data'!$B:$B, "Control", 'Raw Data'!$A:$A, $A13, 'Raw Data'!$C:$C, $C$3),""))</f>
        <v>175</v>
      </c>
      <c r="CR13" s="101">
        <f>IF($A13="","",IFERROR(SUMPRODUCT(('Raw Data'!$B$2:$B$9999="Variant")*('Raw Data'!$A$2:$A$9999=$A13)*('Raw Data'!$C$2:$C$9999=$C$3)*'Raw Data'!$D$2:$D$9999*'Raw Data'!$AH$2:$AH$9999)/SUMIFS('Raw Data'!$D:$D, 'Raw Data'!$B:$B, "Variant", 'Raw Data'!$A:$A, $A13, 'Raw Data'!$C:$C, $C$3),""))</f>
        <v>184</v>
      </c>
      <c r="CS13" s="105">
        <f t="shared" si="32"/>
        <v>0.05142857143</v>
      </c>
      <c r="CT13" s="96">
        <f>IF($A13="","",IFERROR(SUMPRODUCT(('Raw Data'!$B$2:$B$9999="Control")*('Raw Data'!$A$2:$A$9999=$A13)*('Raw Data'!$C$2:$C$9999=$C$3)*'Raw Data'!$D$2:$D$9999*'Raw Data'!$AI$2:$AI$9999)/SUMIFS('Raw Data'!$D:$D, 'Raw Data'!$B:$B, "Control", 'Raw Data'!$A:$A, $A13, 'Raw Data'!$C:$C, $C$3),""))</f>
        <v>48.97</v>
      </c>
      <c r="CU13" s="96">
        <f>IF($A13="","",IFERROR(SUMPRODUCT(('Raw Data'!$B$2:$B$9999="Variant")*('Raw Data'!$A$2:$A$9999=$A13)*('Raw Data'!$C$2:$C$9999=$C$3)*'Raw Data'!$D$2:$D$9999*'Raw Data'!$AI$2:$AI$9999)/SUMIFS('Raw Data'!$D:$D, 'Raw Data'!$B:$B, "Variant", 'Raw Data'!$A:$A, $A13, 'Raw Data'!$C:$C, $C$3),""))</f>
        <v>51.13</v>
      </c>
      <c r="CV13" s="106">
        <f t="shared" si="33"/>
        <v>0.04410863794</v>
      </c>
      <c r="CW13" s="96">
        <f>IF($A13="","",IFERROR(SUMPRODUCT(('Raw Data'!$B$2:$B$9999="Control")*('Raw Data'!$A$2:$A$9999=$A13)*('Raw Data'!$C$2:$C$9999=$C$3)*'Raw Data'!$D$2:$D$9999*'Raw Data'!$AJ$2:$AJ$9999)/SUMIFS('Raw Data'!$D:$D, 'Raw Data'!$B:$B, "Control", 'Raw Data'!$A:$A, $A13, 'Raw Data'!$C:$C, $C$3),""))</f>
        <v>10.48</v>
      </c>
      <c r="CX13" s="96">
        <f>IF($A13="","",IFERROR(SUMPRODUCT(('Raw Data'!$B$2:$B$9999="Variant")*('Raw Data'!$A$2:$A$9999=$A13)*('Raw Data'!$C$2:$C$9999=$C$3)*'Raw Data'!$D$2:$D$9999*'Raw Data'!$AJ$2:$AJ$9999)/SUMIFS('Raw Data'!$D:$D, 'Raw Data'!$B:$B, "Variant", 'Raw Data'!$A:$A, $A13, 'Raw Data'!$C:$C, $C$3),""))</f>
        <v>12.22</v>
      </c>
      <c r="CY13" s="105">
        <f t="shared" si="34"/>
        <v>0.1660305344</v>
      </c>
      <c r="CZ13" s="96">
        <f>IF($A13="","",IFERROR(SUMPRODUCT(('Raw Data'!$B$2:$B$9999="Control")*('Raw Data'!$A$2:$A$9999=$A13)*('Raw Data'!$C$2:$C$9999=$C$3)*'Raw Data'!$D$2:$D$9999*'Raw Data'!$AK$2:$AK$9999)/SUMIFS('Raw Data'!$D:$D, 'Raw Data'!$B:$B, "Control", 'Raw Data'!$A:$A, $A13, 'Raw Data'!$C:$C, $C$3),""))</f>
        <v>1.59</v>
      </c>
      <c r="DA13" s="96">
        <f>IF($A13="","",IFERROR(SUMPRODUCT(('Raw Data'!$B$2:$B$9999="Variant")*('Raw Data'!$A$2:$A$9999=$A13)*('Raw Data'!$C$2:$C$9999=$C$3)*'Raw Data'!$D$2:$D$9999*'Raw Data'!$AK$2:$AK$9999)/SUMIFS('Raw Data'!$D:$D, 'Raw Data'!$B:$B, "Variant", 'Raw Data'!$A:$A, $A13, 'Raw Data'!$C:$C, $C$3),""))</f>
        <v>1.5</v>
      </c>
      <c r="DB13" s="106">
        <f t="shared" si="35"/>
        <v>-0.05660377358</v>
      </c>
      <c r="DC13" s="102">
        <f>IF($A13="","",IFERROR(SUMPRODUCT(('Raw Data'!$B$2:$B$9999="Control")*('Raw Data'!$A$2:$A$9999=$A13)*('Raw Data'!$C$2:$C$9999=$C$3)*'Raw Data'!$D$2:$D$9999*'Raw Data'!$AL$2:$AL$9999)/SUMIFS('Raw Data'!$D:$D, 'Raw Data'!$B:$B, "Control", 'Raw Data'!$A:$A, $A13, 'Raw Data'!$C:$C, $C$3),""))</f>
        <v>0.1093</v>
      </c>
      <c r="DD13" s="102">
        <f>IF($A13="","",IFERROR(SUMPRODUCT(('Raw Data'!$B$2:$B$9999="Variant")*('Raw Data'!$A$2:$A$9999=$A13)*('Raw Data'!$C$2:$C$9999=$C$3)*'Raw Data'!$D$2:$D$9999*'Raw Data'!$AL$2:$AL$9999)/SUMIFS('Raw Data'!$D:$D, 'Raw Data'!$B:$B, "Variant", 'Raw Data'!$A:$A, $A13, 'Raw Data'!$C:$C, $C$3),""))</f>
        <v>0.1184</v>
      </c>
      <c r="DE13" s="105">
        <f t="shared" si="36"/>
        <v>0.08325709058</v>
      </c>
      <c r="DF13" s="103"/>
      <c r="DG13" s="96">
        <f>IF($A13="","",IFERROR(SUMPRODUCT(('Raw Data'!$B$2:$B$9999="Variant")*('Raw Data'!$A$2:$A$9999=$A13)*('Raw Data'!$C$2:$C$9999=$C$3)*'Raw Data'!$D$2:$D$9999*'Raw Data'!$AM$2:$AM$9999)/SUMIFS('Raw Data'!$D:$D, 'Raw Data'!$B:$B, "Variant", 'Raw Data'!$A:$A, $A13, 'Raw Data'!$C:$C, $C$3),""))</f>
        <v>74.44</v>
      </c>
      <c r="DH13" s="104"/>
      <c r="DI13" s="103"/>
      <c r="DJ13" s="96">
        <f>IF($A13="","",IFERROR(SUMPRODUCT(('Raw Data'!$B$2:$B$9999="Variant")*('Raw Data'!$A$2:$A$9999=$A13)*('Raw Data'!$C$2:$C$9999=$C$3)*'Raw Data'!$D$2:$D$9999*'Raw Data'!$AN$2:$AN$9999)/SUMIFS('Raw Data'!$D:$D, 'Raw Data'!$B:$B, "Variant", 'Raw Data'!$A:$A, $A13, 'Raw Data'!$C:$C, $C$3),""))</f>
        <v>74.44</v>
      </c>
      <c r="DK13" s="104"/>
      <c r="DL13" s="103"/>
      <c r="DM13" s="96">
        <f>IF($A13="","",IFERROR(SUMPRODUCT(('Raw Data'!$B$2:$B$9999="Variant")*('Raw Data'!$A$2:$A$9999=$A13)*('Raw Data'!$C$2:$C$9999=$C$3)*'Raw Data'!$D$2:$D$9999*'Raw Data'!$AO$2:$AO$9999)/SUMIFS('Raw Data'!$D:$D, 'Raw Data'!$B:$B, "Variant", 'Raw Data'!$A:$A, $A13, 'Raw Data'!$C:$C, $C$3),""))</f>
        <v>52.63</v>
      </c>
      <c r="DN13" s="104"/>
      <c r="DO13" s="103"/>
      <c r="DP13" s="96">
        <f>IF($A13="","",IFERROR(SUMPRODUCT(('Raw Data'!$B$2:$B$9999="Variant")*('Raw Data'!$A$2:$A$9999=$A13)*('Raw Data'!$C$2:$C$9999=$C$3)*'Raw Data'!$D$2:$D$9999*'Raw Data'!$AP$2:$AP$9999)/SUMIFS('Raw Data'!$D:$D, 'Raw Data'!$B:$B, "Variant", 'Raw Data'!$A:$A, $A13, 'Raw Data'!$C:$C, $C$3),""))</f>
        <v>39.1</v>
      </c>
      <c r="DQ13" s="104"/>
      <c r="DR13" s="102">
        <f>IF($A13="","",IFERROR(SUMPRODUCT(('Raw Data'!$B$2:$B$9999="Control")*('Raw Data'!$A$2:$A$9999=$A13)*('Raw Data'!$C$2:$C$9999=$C$3)*'Raw Data'!$D$2:$D$9999*'Raw Data'!$AQ$2:$AQ$9999)/SUMIFS('Raw Data'!$D:$D, 'Raw Data'!$B:$B, "Control", 'Raw Data'!$A:$A, $A13, 'Raw Data'!$C:$C, $C$3),""))</f>
        <v>36.0342</v>
      </c>
      <c r="DS13" s="102">
        <f>IF($A13="","",IFERROR(SUMPRODUCT(('Raw Data'!$B$2:$B$9999="Variant")*('Raw Data'!$A$2:$A$9999=$A13)*('Raw Data'!$C$2:$C$9999=$C$3)*'Raw Data'!$D$2:$D$9999*'Raw Data'!$AQ$2:$AQ$9999)/SUMIFS('Raw Data'!$D:$D, 'Raw Data'!$B:$B, "Variant", 'Raw Data'!$A:$A, $A13, 'Raw Data'!$C:$C, $C$3),""))</f>
        <v>39.594</v>
      </c>
      <c r="DT13" s="107">
        <f t="shared" si="37"/>
        <v>0.09878948332</v>
      </c>
      <c r="DU13" s="102">
        <f>IF($A13="","",IFERROR(SUMPRODUCT(('Raw Data'!$B$2:$B$9999="Control")*('Raw Data'!$A$2:$A$9999=$A13)*('Raw Data'!$C$2:$C$9999=$C$3)*'Raw Data'!$D$2:$D$9999*'Raw Data'!$AR$2:$AR$9999)/SUMIFS('Raw Data'!$D:$D, 'Raw Data'!$B:$B, "Control", 'Raw Data'!$A:$A, $A13, 'Raw Data'!$C:$C, $C$3),""))</f>
        <v>1.9749</v>
      </c>
      <c r="DV13" s="102">
        <f>IF($A13="","",IFERROR(SUMPRODUCT(('Raw Data'!$B$2:$B$9999="Variant")*('Raw Data'!$A$2:$A$9999=$A13)*('Raw Data'!$C$2:$C$9999=$C$3)*'Raw Data'!$D$2:$D$9999*'Raw Data'!$AR$2:$AR$9999)/SUMIFS('Raw Data'!$D:$D, 'Raw Data'!$B:$B, "Variant", 'Raw Data'!$A:$A, $A13, 'Raw Data'!$C:$C, $C$3),""))</f>
        <v>3</v>
      </c>
      <c r="DW13" s="107">
        <f t="shared" si="38"/>
        <v>0.5190642564</v>
      </c>
      <c r="DX13" s="102">
        <f>IF($A13="","",IFERROR(SUMPRODUCT(('Raw Data'!$B$2:$B$9999="Control")*('Raw Data'!$A$2:$A$9999=$A13)*('Raw Data'!$C$2:$C$9999=$C$3)*'Raw Data'!$D$2:$D$9999*'Raw Data'!$AS$2:$AS$9999)/SUMIFS('Raw Data'!$D:$D, 'Raw Data'!$B:$B, "Control", 'Raw Data'!$A:$A, $A13, 'Raw Data'!$C:$C, $C$3),""))</f>
        <v>34.0592</v>
      </c>
      <c r="DY13" s="102">
        <f>IF($A13="","",IFERROR(SUMPRODUCT(('Raw Data'!$B$2:$B$9999="Variant")*('Raw Data'!$A$2:$A$9999=$A13)*('Raw Data'!$C$2:$C$9999=$C$3)*'Raw Data'!$D$2:$D$9999*'Raw Data'!$AS$2:$AS$9999)/SUMIFS('Raw Data'!$D:$D, 'Raw Data'!$B:$B, "Variant", 'Raw Data'!$A:$A, $A13, 'Raw Data'!$C:$C, $C$3),""))</f>
        <v>36.594</v>
      </c>
      <c r="DZ13" s="107">
        <f t="shared" si="39"/>
        <v>0.07442335698</v>
      </c>
      <c r="EA13" s="102">
        <f>IF($A13="","",IFERROR(SUMPRODUCT(('Raw Data'!$B$2:$B$9999="Control")*('Raw Data'!$A$2:$A$9999=$A13)*('Raw Data'!$C$2:$C$9999=$C$3)*'Raw Data'!$D$2:$D$9999*'Raw Data'!$AT$2:$AT$9999)/SUMIFS('Raw Data'!$D:$D, 'Raw Data'!$B:$B, "Control", 'Raw Data'!$A:$A, $A13, 'Raw Data'!$C:$C, $C$3),""))</f>
        <v>32.385</v>
      </c>
      <c r="EB13" s="102">
        <f>IF($A13="","",IFERROR(SUMPRODUCT(('Raw Data'!$B$2:$B$9999="Variant")*('Raw Data'!$A$2:$A$9999=$A13)*('Raw Data'!$C$2:$C$9999=$C$3)*'Raw Data'!$D$2:$D$9999*'Raw Data'!$AT$2:$AT$9999)/SUMIFS('Raw Data'!$D:$D, 'Raw Data'!$B:$B, "Variant", 'Raw Data'!$A:$A, $A13, 'Raw Data'!$C:$C, $C$3),""))</f>
        <v>35.8045</v>
      </c>
      <c r="EC13" s="107">
        <f t="shared" si="40"/>
        <v>0.1055890073</v>
      </c>
      <c r="ED13" s="102">
        <f>IF($A13="","",IFERROR(SUMPRODUCT(('Raw Data'!$B$2:$B$9999="Control")*('Raw Data'!$A$2:$A$9999=$A13)*('Raw Data'!$C$2:$C$9999=$C$3)*'Raw Data'!$D$2:$D$9999*('Raw Data'!$AQ$2:$AQ$9999-'Raw Data'!$AT$2:$AT$9999))/SUMIFS('Raw Data'!$D:$D, 'Raw Data'!$B:$B, "Control", 'Raw Data'!$A:$A, $A13, 'Raw Data'!$C:$C, $C$3),""))</f>
        <v>3.6492</v>
      </c>
      <c r="EE13" s="102">
        <f>IF($A13="","",IFERROR(SUMPRODUCT(('Raw Data'!$B$2:$B$9999="Variant")*('Raw Data'!$A$2:$A$9999=$A13)*('Raw Data'!$C$2:$C$9999=$C$3)*'Raw Data'!$D$2:$D$9999*('Raw Data'!$AQ$2:$AQ$9999-'Raw Data'!$AT$2:$AT$9999))/SUMIFS('Raw Data'!$D:$D, 'Raw Data'!$B:$B, "Variant", 'Raw Data'!$A:$A, $A13, 'Raw Data'!$C:$C, $C$3),""))</f>
        <v>3.7895</v>
      </c>
      <c r="EF13" s="107">
        <f t="shared" si="41"/>
        <v>0.03844678286</v>
      </c>
      <c r="EG13" s="102">
        <f>IF($A13="","",IFERROR(SUMPRODUCT(('Raw Data'!$B$2:$B$9999="Control")*('Raw Data'!$A$2:$A$9999=$A13)*('Raw Data'!$C$2:$C$9999=$C$3)*'Raw Data'!$D$2:$D$9999*'Raw Data'!$AU$2:$AU$9999)/SUMIFS('Raw Data'!$D:$D, 'Raw Data'!$B:$B, "Control", 'Raw Data'!$A:$A, $A13, 'Raw Data'!$C:$C, $C$3),""))</f>
        <v>0.2208</v>
      </c>
      <c r="EH13" s="102">
        <f>IF($A13="","",IFERROR(SUMPRODUCT(('Raw Data'!$B$2:$B$9999="Variant")*('Raw Data'!$A$2:$A$9999=$A13)*('Raw Data'!$C$2:$C$9999=$C$3)*'Raw Data'!$D$2:$D$9999*'Raw Data'!$AU$2:$AU$9999)/SUMIFS('Raw Data'!$D:$D, 'Raw Data'!$B:$B, "Variant", 'Raw Data'!$A:$A, $A13, 'Raw Data'!$C:$C, $C$3),""))</f>
        <v>0.2312</v>
      </c>
      <c r="EI13" s="107">
        <f t="shared" si="42"/>
        <v>0.04710144928</v>
      </c>
    </row>
    <row r="14">
      <c r="A14" s="93">
        <v>46182.0</v>
      </c>
      <c r="B14" s="94">
        <f>IF($A14="","",SUMIFS('Raw Data'!$D:$D, 'Raw Data'!$B:$B, "Control", 'Raw Data'!$A:$A, $A14, 'Raw Data'!$C:$C, $C$3))</f>
        <v>448</v>
      </c>
      <c r="C14" s="94">
        <f>IF($A14="","",SUMIFS('Raw Data'!$D:$D, 'Raw Data'!$B:$B, "Variant", 'Raw Data'!$A:$A, $A14, 'Raw Data'!$C:$C, $C$3))</f>
        <v>518</v>
      </c>
      <c r="D14" s="95">
        <f t="shared" si="1"/>
        <v>0.15625</v>
      </c>
      <c r="E14" s="96">
        <f>IF($A14="","",IFERROR(SUMPRODUCT(('Raw Data'!$B$2:$B$9999="Control")*('Raw Data'!$A$2:$A$9999=$A14)*('Raw Data'!$C$2:$C$9999=$C$3)*'Raw Data'!$D$2:$D$9999*'Raw Data'!$E$2:$E$9999)/SUMIFS('Raw Data'!$D:$D, 'Raw Data'!$B:$B, "Control", 'Raw Data'!$A:$A, $A14, 'Raw Data'!$C:$C, $C$3),""))</f>
        <v>0.52</v>
      </c>
      <c r="F14" s="96">
        <f>IF($A14="","",IFERROR(SUMPRODUCT(('Raw Data'!$B$2:$B$9999="Variant")*('Raw Data'!$A$2:$A$9999=$A14)*('Raw Data'!$C$2:$C$9999=$C$3)*'Raw Data'!$D$2:$D$9999*'Raw Data'!$E$2:$E$9999)/SUMIFS('Raw Data'!$D:$D, 'Raw Data'!$B:$B, "Variant", 'Raw Data'!$A:$A, $A14, 'Raw Data'!$C:$C, $C$3),""))</f>
        <v>0.61</v>
      </c>
      <c r="G14" s="95">
        <f t="shared" si="2"/>
        <v>0.1730769231</v>
      </c>
      <c r="H14" s="97">
        <f>IF($A14="","",SUMIFS('Raw Data'!$F:$F, 'Raw Data'!$B:$B, "Control", 'Raw Data'!$A:$A, $A14, 'Raw Data'!$C:$C, $C$3))</f>
        <v>1310</v>
      </c>
      <c r="I14" s="97">
        <f>IF($A14="","",SUMIFS('Raw Data'!$F:$F, 'Raw Data'!$B:$B, "Variant", 'Raw Data'!$A:$A, $A14, 'Raw Data'!$C:$C, $C$3))</f>
        <v>1798.5</v>
      </c>
      <c r="J14" s="100">
        <f t="shared" si="3"/>
        <v>0.3729007634</v>
      </c>
      <c r="K14" s="99">
        <f>IF($A14="","",IFERROR(SUMIFS('Raw Data'!$F:$F, 'Raw Data'!$B:$B, "Control", 'Raw Data'!$A:$A, $A14, 'Raw Data'!$C:$C, $C$3)/SUMIFS('Raw Data'!$D:$D, 'Raw Data'!$B:$B, "Control", 'Raw Data'!$A:$A, $A14, 'Raw Data'!$C:$C, $C$3),""))</f>
        <v>2.924107143</v>
      </c>
      <c r="L14" s="99">
        <f>IF($A14="","",IFERROR(SUMIFS('Raw Data'!$F:$F, 'Raw Data'!$B:$B, "Variant", 'Raw Data'!$A:$A, $A14, 'Raw Data'!$C:$C, $C$3)/SUMIFS('Raw Data'!$D:$D, 'Raw Data'!$B:$B, "Variant", 'Raw Data'!$A:$A, $A14, 'Raw Data'!$C:$C, $C$3),""))</f>
        <v>3.472007722</v>
      </c>
      <c r="M14" s="100">
        <f t="shared" si="4"/>
        <v>0.1873736332</v>
      </c>
      <c r="N14" s="96">
        <f>IF($A14="","",IFERROR(SUMPRODUCT(('Raw Data'!$B$2:$B$9999="Control")*('Raw Data'!$A$2:$A$9999=$A14)*('Raw Data'!$C$2:$C$9999=$C$3)*'Raw Data'!$D$2:$D$9999*'Raw Data'!$H$2:$H$9999/100)/SUMIFS('Raw Data'!$D:$D, 'Raw Data'!$B:$B, "Control", 'Raw Data'!$A:$A, $A14, 'Raw Data'!$C:$C, $C$3)*100,""))</f>
        <v>17.41</v>
      </c>
      <c r="O14" s="96">
        <f>IF($A14="","",IFERROR(SUMPRODUCT(('Raw Data'!$B$2:$B$9999="Variant")*('Raw Data'!$A$2:$A$9999=$A14)*('Raw Data'!$C$2:$C$9999=$C$3)*'Raw Data'!$D$2:$D$9999*'Raw Data'!$H$2:$H$9999/100)/SUMIFS('Raw Data'!$D:$D, 'Raw Data'!$B:$B, "Variant", 'Raw Data'!$A:$A, $A14, 'Raw Data'!$C:$C, $C$3)*100,""))</f>
        <v>16.6</v>
      </c>
      <c r="P14" s="106">
        <f t="shared" si="5"/>
        <v>-0.04652498564</v>
      </c>
      <c r="Q14" s="99">
        <f>IF($A14="","",IFERROR(SUMIFS('Raw Data'!$F:$F, 'Raw Data'!$B:$B, "Control", 'Raw Data'!$A:$A, $A14, 'Raw Data'!$C:$C, $C$3)/SUMPRODUCT(('Raw Data'!$B$2:$B$9999="Control")*('Raw Data'!$A$2:$A$9999=$A14)*('Raw Data'!$C$2:$C$9999=$C$3)*'Raw Data'!$D$2:$D$9999*'Raw Data'!$H$2:$H$9999/100),""))</f>
        <v>16.79556084</v>
      </c>
      <c r="R14" s="99">
        <f>IF($A14="","",IFERROR(SUMIFS('Raw Data'!$F:$F, 'Raw Data'!$B:$B, "Variant", 'Raw Data'!$A:$A, $A14, 'Raw Data'!$C:$C, $C$3)/SUMPRODUCT(('Raw Data'!$B$2:$B$9999="Variant")*('Raw Data'!$A$2:$A$9999=$A14)*('Raw Data'!$C$2:$C$9999=$C$3)*'Raw Data'!$D$2:$D$9999*'Raw Data'!$H$2:$H$9999/100),""))</f>
        <v>20.91570917</v>
      </c>
      <c r="S14" s="106">
        <f t="shared" si="6"/>
        <v>0.2453117442</v>
      </c>
      <c r="T14" s="101">
        <f>IF($A14="","",IFERROR(SUMPRODUCT(('Raw Data'!$B$2:$B$9999="Control")*('Raw Data'!$A$2:$A$9999=$A14)*('Raw Data'!$C$2:$C$9999=$C$3)*'Raw Data'!$D$2:$D$9999*'Raw Data'!$J$2:$J$9999)/SUMIFS('Raw Data'!$D:$D, 'Raw Data'!$B:$B, "Control", 'Raw Data'!$A:$A, $A14, 'Raw Data'!$C:$C, $C$3),""))</f>
        <v>228.47</v>
      </c>
      <c r="U14" s="101">
        <f>IF($A14="","",IFERROR(SUMPRODUCT(('Raw Data'!$B$2:$B$9999="Variant")*('Raw Data'!$A$2:$A$9999=$A14)*('Raw Data'!$C$2:$C$9999=$C$3)*'Raw Data'!$D$2:$D$9999*'Raw Data'!$J$2:$J$9999)/SUMIFS('Raw Data'!$D:$D, 'Raw Data'!$B:$B, "Variant", 'Raw Data'!$A:$A, $A14, 'Raw Data'!$C:$C, $C$3),""))</f>
        <v>238.51</v>
      </c>
      <c r="V14" s="105">
        <f t="shared" si="7"/>
        <v>0.04394450037</v>
      </c>
      <c r="W14" s="101">
        <f>IF($A14="","",IFERROR(SUMPRODUCT(('Raw Data'!$B$2:$B$9999="Control")*('Raw Data'!$A$2:$A$9999=$A14)*('Raw Data'!$C$2:$C$9999=$C$3)*'Raw Data'!$D$2:$D$9999*'Raw Data'!$K$2:$K$9999)/SUMIFS('Raw Data'!$D:$D, 'Raw Data'!$B:$B, "Control", 'Raw Data'!$A:$A, $A14, 'Raw Data'!$C:$C, $C$3),""))</f>
        <v>143.55</v>
      </c>
      <c r="X14" s="101">
        <f>IF($A14="","",IFERROR(SUMPRODUCT(('Raw Data'!$B$2:$B$9999="Variant")*('Raw Data'!$A$2:$A$9999=$A14)*('Raw Data'!$C$2:$C$9999=$C$3)*'Raw Data'!$D$2:$D$9999*'Raw Data'!$K$2:$K$9999)/SUMIFS('Raw Data'!$D:$D, 'Raw Data'!$B:$B, "Variant", 'Raw Data'!$A:$A, $A14, 'Raw Data'!$C:$C, $C$3),""))</f>
        <v>146.33</v>
      </c>
      <c r="Y14" s="105">
        <f t="shared" si="8"/>
        <v>0.01936607454</v>
      </c>
      <c r="Z14" s="101">
        <f>IF($A14="","",IFERROR(SUMPRODUCT(('Raw Data'!$B$2:$B$9999="Control")*('Raw Data'!$A$2:$A$9999=$A14)*('Raw Data'!$C$2:$C$9999=$C$3)*'Raw Data'!$D$2:$D$9999*'Raw Data'!$L$2:$L$9999)/SUMIFS('Raw Data'!$D:$D, 'Raw Data'!$B:$B, "Control", 'Raw Data'!$A:$A, $A14, 'Raw Data'!$C:$C, $C$3),""))</f>
        <v>125.01</v>
      </c>
      <c r="AA14" s="101">
        <f>IF($A14="","",IFERROR(SUMPRODUCT(('Raw Data'!$B$2:$B$9999="Variant")*('Raw Data'!$A$2:$A$9999=$A14)*('Raw Data'!$C$2:$C$9999=$C$3)*'Raw Data'!$D$2:$D$9999*'Raw Data'!$L$2:$L$9999)/SUMIFS('Raw Data'!$D:$D, 'Raw Data'!$B:$B, "Variant", 'Raw Data'!$A:$A, $A14, 'Raw Data'!$C:$C, $C$3),""))</f>
        <v>125.61</v>
      </c>
      <c r="AB14" s="105">
        <f t="shared" si="9"/>
        <v>0.004799616031</v>
      </c>
      <c r="AC14" s="102">
        <f>IF($A14="","",IFERROR(SUMPRODUCT(('Raw Data'!$B$2:$B$9999="Control")*('Raw Data'!$A$2:$A$9999=$A14)*('Raw Data'!$C$2:$C$9999=$C$3)*'Raw Data'!$D$2:$D$9999*'Raw Data'!$M$2:$M$9999)/SUMIFS('Raw Data'!$D:$D, 'Raw Data'!$B:$B, "Control", 'Raw Data'!$A:$A, $A14, 'Raw Data'!$C:$C, $C$3),""))</f>
        <v>0.8708</v>
      </c>
      <c r="AD14" s="102">
        <f>IF($A14="","",IFERROR(SUMPRODUCT(('Raw Data'!$B$2:$B$9999="Variant")*('Raw Data'!$A$2:$A$9999=$A14)*('Raw Data'!$C$2:$C$9999=$C$3)*'Raw Data'!$D$2:$D$9999*'Raw Data'!$M$2:$M$9999)/SUMIFS('Raw Data'!$D:$D, 'Raw Data'!$B:$B, "Variant", 'Raw Data'!$A:$A, $A14, 'Raw Data'!$C:$C, $C$3),""))</f>
        <v>0.8584</v>
      </c>
      <c r="AE14" s="106">
        <f t="shared" si="10"/>
        <v>-0.01423977951</v>
      </c>
      <c r="AF14" s="102">
        <f>IF($A14="","",IFERROR(SUMPRODUCT(('Raw Data'!$B$2:$B$9999="Control")*('Raw Data'!$A$2:$A$9999=$A14)*('Raw Data'!$C$2:$C$9999=$C$3)*'Raw Data'!$D$2:$D$9999*'Raw Data'!$N$2:$N$9999)/SUMIFS('Raw Data'!$D:$D, 'Raw Data'!$B:$B, "Control", 'Raw Data'!$A:$A, $A14, 'Raw Data'!$C:$C, $C$3),""))</f>
        <v>0.2555</v>
      </c>
      <c r="AG14" s="102">
        <f>IF($A14="","",IFERROR(SUMPRODUCT(('Raw Data'!$B$2:$B$9999="Variant")*('Raw Data'!$A$2:$A$9999=$A14)*('Raw Data'!$C$2:$C$9999=$C$3)*'Raw Data'!$D$2:$D$9999*'Raw Data'!$N$2:$N$9999)/SUMIFS('Raw Data'!$D:$D, 'Raw Data'!$B:$B, "Variant", 'Raw Data'!$A:$A, $A14, 'Raw Data'!$C:$C, $C$3),""))</f>
        <v>0.2742</v>
      </c>
      <c r="AH14" s="106">
        <f t="shared" si="11"/>
        <v>0.07318982387</v>
      </c>
      <c r="AI14" s="102">
        <f>IF($A14="","",IFERROR(SUMPRODUCT(('Raw Data'!$B$2:$B$9999="Control")*('Raw Data'!$A$2:$A$9999=$A14)*('Raw Data'!$C$2:$C$9999=$C$3)*'Raw Data'!$D$2:$D$9999*'Raw Data'!$O$2:$O$9999)/SUMIFS('Raw Data'!$D:$D, 'Raw Data'!$B:$B, "Control", 'Raw Data'!$A:$A, $A14, 'Raw Data'!$C:$C, $C$3),""))</f>
        <v>0.1787</v>
      </c>
      <c r="AJ14" s="102">
        <f>IF($A14="","",IFERROR(SUMPRODUCT(('Raw Data'!$B$2:$B$9999="Variant")*('Raw Data'!$A$2:$A$9999=$A14)*('Raw Data'!$C$2:$C$9999=$C$3)*'Raw Data'!$D$2:$D$9999*'Raw Data'!$O$2:$O$9999)/SUMIFS('Raw Data'!$D:$D, 'Raw Data'!$B:$B, "Variant", 'Raw Data'!$A:$A, $A14, 'Raw Data'!$C:$C, $C$3),""))</f>
        <v>0.1925</v>
      </c>
      <c r="AK14" s="105">
        <f t="shared" si="12"/>
        <v>0.07722439843</v>
      </c>
      <c r="AL14" s="101">
        <f>IF($A14="","",IFERROR(SUMPRODUCT(('Raw Data'!$B$2:$B$9999="Control")*('Raw Data'!$A$2:$A$9999=$A14)*('Raw Data'!$C$2:$C$9999=$C$3)*'Raw Data'!$D$2:$D$9999*'Raw Data'!$P$2:$P$9999)/SUMIFS('Raw Data'!$D:$D, 'Raw Data'!$B:$B, "Control", 'Raw Data'!$A:$A, $A14, 'Raw Data'!$C:$C, $C$3),""))</f>
        <v>1.1483</v>
      </c>
      <c r="AM14" s="101">
        <f>IF($A14="","",IFERROR(SUMPRODUCT(('Raw Data'!$B$2:$B$9999="Variant")*('Raw Data'!$A$2:$A$9999=$A14)*('Raw Data'!$C$2:$C$9999=$C$3)*'Raw Data'!$D$2:$D$9999*'Raw Data'!$P$2:$P$9999)/SUMIFS('Raw Data'!$D:$D, 'Raw Data'!$B:$B, "Variant", 'Raw Data'!$A:$A, $A14, 'Raw Data'!$C:$C, $C$3),""))</f>
        <v>1.1649</v>
      </c>
      <c r="AN14" s="105">
        <f t="shared" si="13"/>
        <v>0.01445615257</v>
      </c>
      <c r="AO14" s="101">
        <f>IF($A14="","",IFERROR(SUMPRODUCT(('Raw Data'!$B$2:$B$9999="Control")*('Raw Data'!$A$2:$A$9999=$A14)*('Raw Data'!$C$2:$C$9999=$C$3)*'Raw Data'!$D$2:$D$9999*'Raw Data'!$Q$2:$Q$9999)/SUMIFS('Raw Data'!$D:$D, 'Raw Data'!$B:$B, "Control", 'Raw Data'!$A:$A, $A14, 'Raw Data'!$C:$C, $C$3),""))</f>
        <v>907.02</v>
      </c>
      <c r="AP14" s="101">
        <f>IF($A14="","",IFERROR(SUMPRODUCT(('Raw Data'!$B$2:$B$9999="Variant")*('Raw Data'!$A$2:$A$9999=$A14)*('Raw Data'!$C$2:$C$9999=$C$3)*'Raw Data'!$D$2:$D$9999*'Raw Data'!$Q$2:$Q$9999)/SUMIFS('Raw Data'!$D:$D, 'Raw Data'!$B:$B, "Variant", 'Raw Data'!$A:$A, $A14, 'Raw Data'!$C:$C, $C$3),""))</f>
        <v>946.58</v>
      </c>
      <c r="AQ14" s="95">
        <f t="shared" si="14"/>
        <v>0.04361535578</v>
      </c>
      <c r="AR14" s="101">
        <f>IF($A14="","",IFERROR(SUMPRODUCT(('Raw Data'!$B$2:$B$9999="Control")*('Raw Data'!$A$2:$A$9999=$A14)*('Raw Data'!$C$2:$C$9999=$C$3)*'Raw Data'!$D$2:$D$9999*'Raw Data'!$R$2:$R$9999)/SUMIFS('Raw Data'!$D:$D, 'Raw Data'!$B:$B, "Control", 'Raw Data'!$A:$A, $A14, 'Raw Data'!$C:$C, $C$3),""))</f>
        <v>641.78</v>
      </c>
      <c r="AS14" s="101">
        <f>IF($A14="","",IFERROR(SUMPRODUCT(('Raw Data'!$B$2:$B$9999="Variant")*('Raw Data'!$A$2:$A$9999=$A14)*('Raw Data'!$C$2:$C$9999=$C$3)*'Raw Data'!$D$2:$D$9999*'Raw Data'!$R$2:$R$9999)/SUMIFS('Raw Data'!$D:$D, 'Raw Data'!$B:$B, "Variant", 'Raw Data'!$A:$A, $A14, 'Raw Data'!$C:$C, $C$3),""))</f>
        <v>849.77</v>
      </c>
      <c r="AT14" s="95">
        <f t="shared" si="15"/>
        <v>0.3240830191</v>
      </c>
      <c r="AU14" s="101">
        <f>IF($A14="","",IFERROR(SUMPRODUCT(('Raw Data'!$B$2:$B$9999="Control")*('Raw Data'!$A$2:$A$9999=$A14)*('Raw Data'!$C$2:$C$9999=$C$3)*'Raw Data'!$D$2:$D$9999*'Raw Data'!$S$2:$S$9999)/SUMIFS('Raw Data'!$D:$D, 'Raw Data'!$B:$B, "Control", 'Raw Data'!$A:$A, $A14, 'Raw Data'!$C:$C, $C$3),""))</f>
        <v>265.25</v>
      </c>
      <c r="AV14" s="101">
        <f>IF($A14="","",IFERROR(SUMPRODUCT(('Raw Data'!$B$2:$B$9999="Variant")*('Raw Data'!$A$2:$A$9999=$A14)*('Raw Data'!$C$2:$C$9999=$C$3)*'Raw Data'!$D$2:$D$9999*'Raw Data'!$S$2:$S$9999)/SUMIFS('Raw Data'!$D:$D, 'Raw Data'!$B:$B, "Variant", 'Raw Data'!$A:$A, $A14, 'Raw Data'!$C:$C, $C$3),""))</f>
        <v>96.81</v>
      </c>
      <c r="AW14" s="95">
        <f t="shared" si="16"/>
        <v>-0.6350235627</v>
      </c>
      <c r="AX14" s="101">
        <f>IF($A14="","",IFERROR(SUMPRODUCT(('Raw Data'!$B$2:$B$9999="Control")*('Raw Data'!$A$2:$A$9999=$A14)*('Raw Data'!$C$2:$C$9999=$C$3)*'Raw Data'!$D$2:$D$9999*'Raw Data'!$T$2:$T$9999)/SUMIFS('Raw Data'!$D:$D, 'Raw Data'!$B:$B, "Control", 'Raw Data'!$A:$A, $A14, 'Raw Data'!$C:$C, $C$3),""))</f>
        <v>201.12</v>
      </c>
      <c r="AY14" s="101">
        <f>IF($A14="","",IFERROR(SUMPRODUCT(('Raw Data'!$B$2:$B$9999="Variant")*('Raw Data'!$A$2:$A$9999=$A14)*('Raw Data'!$C$2:$C$9999=$C$3)*'Raw Data'!$D$2:$D$9999*'Raw Data'!$T$2:$T$9999)/SUMIFS('Raw Data'!$D:$D, 'Raw Data'!$B:$B, "Variant", 'Raw Data'!$A:$A, $A14, 'Raw Data'!$C:$C, $C$3),""))</f>
        <v>234.85</v>
      </c>
      <c r="AZ14" s="106">
        <f t="shared" si="17"/>
        <v>0.1677108194</v>
      </c>
      <c r="BA14" s="101">
        <f>IF($A14="","",IFERROR(SUMPRODUCT(('Raw Data'!$B$2:$B$9999="Control")*('Raw Data'!$A$2:$A$9999=$A14)*('Raw Data'!$C$2:$C$9999=$C$3)*'Raw Data'!$D$2:$D$9999*'Raw Data'!$U$2:$U$9999)/SUMIFS('Raw Data'!$D:$D, 'Raw Data'!$B:$B, "Control", 'Raw Data'!$A:$A, $A14, 'Raw Data'!$C:$C, $C$3),""))</f>
        <v>705.91</v>
      </c>
      <c r="BB14" s="101">
        <f>IF($A14="","",IFERROR(SUMPRODUCT(('Raw Data'!$B$2:$B$9999="Variant")*('Raw Data'!$A$2:$A$9999=$A14)*('Raw Data'!$C$2:$C$9999=$C$3)*'Raw Data'!$D$2:$D$9999*'Raw Data'!$U$2:$U$9999)/SUMIFS('Raw Data'!$D:$D, 'Raw Data'!$B:$B, "Variant", 'Raw Data'!$A:$A, $A14, 'Raw Data'!$C:$C, $C$3),""))</f>
        <v>711.73</v>
      </c>
      <c r="BC14" s="95">
        <f t="shared" si="18"/>
        <v>0.008244677083</v>
      </c>
      <c r="BD14" s="101">
        <f>IF($A14="","",IFERROR(SUMPRODUCT(('Raw Data'!$B$2:$B$9999="Control")*('Raw Data'!$A$2:$A$9999=$A14)*('Raw Data'!$C$2:$C$9999=$C$3)*'Raw Data'!$D$2:$D$9999*'Raw Data'!$V$2:$V$9999)/SUMIFS('Raw Data'!$D:$D, 'Raw Data'!$B:$B, "Control", 'Raw Data'!$A:$A, $A14, 'Raw Data'!$C:$C, $C$3),""))</f>
        <v>867.41</v>
      </c>
      <c r="BE14" s="101">
        <f>IF($A14="","",IFERROR(SUMPRODUCT(('Raw Data'!$B$2:$B$9999="Variant")*('Raw Data'!$A$2:$A$9999=$A14)*('Raw Data'!$C$2:$C$9999=$C$3)*'Raw Data'!$D$2:$D$9999*'Raw Data'!$V$2:$V$9999)/SUMIFS('Raw Data'!$D:$D, 'Raw Data'!$B:$B, "Variant", 'Raw Data'!$A:$A, $A14, 'Raw Data'!$C:$C, $C$3),""))</f>
        <v>887.07</v>
      </c>
      <c r="BF14" s="95">
        <f t="shared" si="19"/>
        <v>0.02266517564</v>
      </c>
      <c r="BG14" s="101">
        <f>IF($A14="","",IFERROR(SUMPRODUCT(('Raw Data'!$B$2:$B$9999="Control")*('Raw Data'!$A$2:$A$9999=$A14)*('Raw Data'!$C$2:$C$9999=$C$3)*'Raw Data'!$D$2:$D$9999*('Raw Data'!$Q$2:$Q$9999-'Raw Data'!$V$2:$V$9999))/SUMIFS('Raw Data'!$D:$D, 'Raw Data'!$B:$B, "Control", 'Raw Data'!$A:$A, $A14, 'Raw Data'!$C:$C, $C$3),""))</f>
        <v>39.61</v>
      </c>
      <c r="BH14" s="101">
        <f>IF($A14="","",IFERROR(SUMPRODUCT(('Raw Data'!$B$2:$B$9999="Variant")*('Raw Data'!$A$2:$A$9999=$A14)*('Raw Data'!$C$2:$C$9999=$C$3)*'Raw Data'!$D$2:$D$9999*('Raw Data'!$Q$2:$Q$9999-'Raw Data'!$V$2:$V$9999))/SUMIFS('Raw Data'!$D:$D, 'Raw Data'!$B:$B, "Variant", 'Raw Data'!$A:$A, $A14, 'Raw Data'!$C:$C, $C$3),""))</f>
        <v>59.51</v>
      </c>
      <c r="BI14" s="95">
        <f t="shared" si="20"/>
        <v>0.5023983842</v>
      </c>
      <c r="BJ14" s="101">
        <f>IF($A14="","",IFERROR(SUMPRODUCT(('Raw Data'!$B$2:$B$9999="Control")*('Raw Data'!$A$2:$A$9999=$A14)*('Raw Data'!$C$2:$C$9999=$C$3)*'Raw Data'!$D$2:$D$9999*'Raw Data'!$W$2:$W$9999)/SUMIFS('Raw Data'!$D:$D, 'Raw Data'!$B:$B, "Control", 'Raw Data'!$A:$A, $A14, 'Raw Data'!$C:$C, $C$3),""))</f>
        <v>6.0427</v>
      </c>
      <c r="BK14" s="101">
        <f>IF($A14="","",IFERROR(SUMPRODUCT(('Raw Data'!$B$2:$B$9999="Variant")*('Raw Data'!$A$2:$A$9999=$A14)*('Raw Data'!$C$2:$C$9999=$C$3)*'Raw Data'!$D$2:$D$9999*'Raw Data'!$W$2:$W$9999)/SUMIFS('Raw Data'!$D:$D, 'Raw Data'!$B:$B, "Variant", 'Raw Data'!$A:$A, $A14, 'Raw Data'!$C:$C, $C$3),""))</f>
        <v>6.062</v>
      </c>
      <c r="BL14" s="95">
        <f t="shared" si="21"/>
        <v>0.003193936485</v>
      </c>
      <c r="BM14" s="102">
        <f>IF($A14="","",IFERROR(SUMPRODUCT(('Raw Data'!$B$2:$B$9999="Control")*('Raw Data'!$A$2:$A$9999=$A14)*('Raw Data'!$C$2:$C$9999=$C$3)*'Raw Data'!$D$2:$D$9999*'Raw Data'!$X$2:$X$9999)/SUMIFS('Raw Data'!$D:$D, 'Raw Data'!$B:$B, "Control", 'Raw Data'!$A:$A, $A14, 'Raw Data'!$C:$C, $C$3),""))</f>
        <v>22.17</v>
      </c>
      <c r="BN14" s="102">
        <f>IF($A14="","",IFERROR(SUMPRODUCT(('Raw Data'!$B$2:$B$9999="Variant")*('Raw Data'!$A$2:$A$9999=$A14)*('Raw Data'!$C$2:$C$9999=$C$3)*'Raw Data'!$D$2:$D$9999*'Raw Data'!$X$2:$X$9999)/SUMIFS('Raw Data'!$D:$D, 'Raw Data'!$B:$B, "Variant", 'Raw Data'!$A:$A, $A14, 'Raw Data'!$C:$C, $C$3),""))</f>
        <v>24.81</v>
      </c>
      <c r="BO14" s="105">
        <f t="shared" si="22"/>
        <v>0.1190798376</v>
      </c>
      <c r="BP14" s="94">
        <f>IF($A14="","",IFERROR(SUMPRODUCT(('Raw Data'!$B$2:$B$9999="Control")*('Raw Data'!$A$2:$A$9999=$A14)*('Raw Data'!$C$2:$C$9999=$C$3)*'Raw Data'!$D$2:$D$9999*'Raw Data'!$Y$2:$Y$9999)/SUMIFS('Raw Data'!$D:$D, 'Raw Data'!$B:$B, "Control", 'Raw Data'!$A:$A, $A14, 'Raw Data'!$C:$C, $C$3),""))</f>
        <v>469</v>
      </c>
      <c r="BQ14" s="94">
        <f>IF($A14="","",IFERROR(SUMPRODUCT(('Raw Data'!$B$2:$B$9999="Variant")*('Raw Data'!$A$2:$A$9999=$A14)*('Raw Data'!$C$2:$C$9999=$C$3)*'Raw Data'!$D$2:$D$9999*'Raw Data'!$Y$2:$Y$9999)/SUMIFS('Raw Data'!$D:$D, 'Raw Data'!$B:$B, "Variant", 'Raw Data'!$A:$A, $A14, 'Raw Data'!$C:$C, $C$3),""))</f>
        <v>552</v>
      </c>
      <c r="BR14" s="95">
        <f t="shared" si="23"/>
        <v>0.1769722814</v>
      </c>
      <c r="BS14" s="94">
        <f>IF($A14="","",IFERROR(SUMPRODUCT(('Raw Data'!$B$2:$B$9999="Control")*('Raw Data'!$A$2:$A$9999=$A14)*('Raw Data'!$C$2:$C$9999=$C$3)*'Raw Data'!$D$2:$D$9999*'Raw Data'!$Z$2:$Z$9999)/SUMIFS('Raw Data'!$D:$D, 'Raw Data'!$B:$B, "Control", 'Raw Data'!$A:$A, $A14, 'Raw Data'!$C:$C, $C$3),""))</f>
        <v>3039</v>
      </c>
      <c r="BT14" s="94">
        <f>IF($A14="","",IFERROR(SUMPRODUCT(('Raw Data'!$B$2:$B$9999="Variant")*('Raw Data'!$A$2:$A$9999=$A14)*('Raw Data'!$C$2:$C$9999=$C$3)*'Raw Data'!$D$2:$D$9999*'Raw Data'!$Z$2:$Z$9999)/SUMIFS('Raw Data'!$D:$D, 'Raw Data'!$B:$B, "Variant", 'Raw Data'!$A:$A, $A14, 'Raw Data'!$C:$C, $C$3),""))</f>
        <v>3212</v>
      </c>
      <c r="BU14" s="95">
        <f t="shared" si="24"/>
        <v>0.0569266206</v>
      </c>
      <c r="BV14" s="94">
        <f>IF($A14="","",IFERROR(SUMPRODUCT(('Raw Data'!$B$2:$B$9999="Control")*('Raw Data'!$A$2:$A$9999=$A14)*('Raw Data'!$C$2:$C$9999=$C$3)*'Raw Data'!$D$2:$D$9999*'Raw Data'!$AA$2:$AA$9999)/SUMIFS('Raw Data'!$D:$D, 'Raw Data'!$B:$B, "Control", 'Raw Data'!$A:$A, $A14, 'Raw Data'!$C:$C, $C$3),""))</f>
        <v>9963</v>
      </c>
      <c r="BW14" s="94">
        <f>IF($A14="","",IFERROR(SUMPRODUCT(('Raw Data'!$B$2:$B$9999="Variant")*('Raw Data'!$A$2:$A$9999=$A14)*('Raw Data'!$C$2:$C$9999=$C$3)*'Raw Data'!$D$2:$D$9999*'Raw Data'!$AA$2:$AA$9999)/SUMIFS('Raw Data'!$D:$D, 'Raw Data'!$B:$B, "Variant", 'Raw Data'!$A:$A, $A14, 'Raw Data'!$C:$C, $C$3),""))</f>
        <v>10777</v>
      </c>
      <c r="BX14" s="95">
        <f t="shared" si="25"/>
        <v>0.0817022985</v>
      </c>
      <c r="BY14" s="101">
        <f>IF($A14="","",IFERROR(SUMPRODUCT(('Raw Data'!$B$2:$B$9999="Control")*('Raw Data'!$A$2:$A$9999=$A14)*('Raw Data'!$C$2:$C$9999=$C$3)*'Raw Data'!$D$2:$D$9999*'Raw Data'!$AB$2:$AB$9999)/SUMIFS('Raw Data'!$D:$D, 'Raw Data'!$B:$B, "Control", 'Raw Data'!$A:$A, $A14, 'Raw Data'!$C:$C, $C$3),""))</f>
        <v>62.4732</v>
      </c>
      <c r="BZ14" s="101">
        <f>IF($A14="","",IFERROR(SUMPRODUCT(('Raw Data'!$B$2:$B$9999="Variant")*('Raw Data'!$A$2:$A$9999=$A14)*('Raw Data'!$C$2:$C$9999=$C$3)*'Raw Data'!$D$2:$D$9999*'Raw Data'!$AB$2:$AB$9999)/SUMIFS('Raw Data'!$D:$D, 'Raw Data'!$B:$B, "Variant", 'Raw Data'!$A:$A, $A14, 'Raw Data'!$C:$C, $C$3),""))</f>
        <v>62.6136</v>
      </c>
      <c r="CA14" s="105">
        <f t="shared" si="26"/>
        <v>0.00224736367</v>
      </c>
      <c r="CB14" s="101">
        <f>IF($A14="","",IFERROR(SUMPRODUCT(('Raw Data'!$B$2:$B$9999="Control")*('Raw Data'!$A$2:$A$9999=$A14)*('Raw Data'!$C$2:$C$9999=$C$3)*'Raw Data'!$D$2:$D$9999*'Raw Data'!$AC$2:$AC$9999)/SUMIFS('Raw Data'!$D:$D, 'Raw Data'!$B:$B, "Control", 'Raw Data'!$A:$A, $A14, 'Raw Data'!$C:$C, $C$3),""))</f>
        <v>0.8784</v>
      </c>
      <c r="CC14" s="101">
        <f>IF($A14="","",IFERROR(SUMPRODUCT(('Raw Data'!$B$2:$B$9999="Variant")*('Raw Data'!$A$2:$A$9999=$A14)*('Raw Data'!$C$2:$C$9999=$C$3)*'Raw Data'!$D$2:$D$9999*'Raw Data'!$AC$2:$AC$9999)/SUMIFS('Raw Data'!$D:$D, 'Raw Data'!$B:$B, "Variant", 'Raw Data'!$A:$A, $A14, 'Raw Data'!$C:$C, $C$3),""))</f>
        <v>0.8792</v>
      </c>
      <c r="CD14" s="105">
        <f t="shared" si="27"/>
        <v>0.0009107468124</v>
      </c>
      <c r="CE14" s="101">
        <f>IF($A14="","",IFERROR(SUMPRODUCT(('Raw Data'!$B$2:$B$9999="Control")*('Raw Data'!$A$2:$A$9999=$A14)*('Raw Data'!$C$2:$C$9999=$C$3)*'Raw Data'!$D$2:$D$9999*'Raw Data'!$AD$2:$AD$9999)/SUMIFS('Raw Data'!$D:$D, 'Raw Data'!$B:$B, "Control", 'Raw Data'!$A:$A, $A14, 'Raw Data'!$C:$C, $C$3),""))</f>
        <v>92.3</v>
      </c>
      <c r="CF14" s="101">
        <f>IF($A14="","",IFERROR(SUMPRODUCT(('Raw Data'!$B$2:$B$9999="Variant")*('Raw Data'!$A$2:$A$9999=$A14)*('Raw Data'!$C$2:$C$9999=$C$3)*'Raw Data'!$D$2:$D$9999*'Raw Data'!$AD$2:$AD$9999)/SUMIFS('Raw Data'!$D:$D, 'Raw Data'!$B:$B, "Variant", 'Raw Data'!$A:$A, $A14, 'Raw Data'!$C:$C, $C$3),""))</f>
        <v>93.57</v>
      </c>
      <c r="CG14" s="105">
        <f t="shared" si="28"/>
        <v>0.01375947996</v>
      </c>
      <c r="CH14" s="101">
        <f>IF($A14="","",IFERROR(SUMPRODUCT(('Raw Data'!$B$2:$B$9999="Control")*('Raw Data'!$A$2:$A$9999=$A14)*('Raw Data'!$C$2:$C$9999=$C$3)*'Raw Data'!$D$2:$D$9999*'Raw Data'!$AE$2:$AE$9999)/SUMIFS('Raw Data'!$D:$D, 'Raw Data'!$B:$B, "Control", 'Raw Data'!$A:$A, $A14, 'Raw Data'!$C:$C, $C$3),""))</f>
        <v>40</v>
      </c>
      <c r="CI14" s="101">
        <f>IF($A14="","",IFERROR(SUMPRODUCT(('Raw Data'!$B$2:$B$9999="Variant")*('Raw Data'!$A$2:$A$9999=$A14)*('Raw Data'!$C$2:$C$9999=$C$3)*'Raw Data'!$D$2:$D$9999*'Raw Data'!$AE$2:$AE$9999)/SUMIFS('Raw Data'!$D:$D, 'Raw Data'!$B:$B, "Variant", 'Raw Data'!$A:$A, $A14, 'Raw Data'!$C:$C, $C$3),""))</f>
        <v>35</v>
      </c>
      <c r="CJ14" s="106">
        <f t="shared" si="29"/>
        <v>-0.125</v>
      </c>
      <c r="CK14" s="101">
        <f>IF($A14="","",IFERROR(SUMPRODUCT(('Raw Data'!$B$2:$B$9999="Control")*('Raw Data'!$A$2:$A$9999=$A14)*('Raw Data'!$C$2:$C$9999=$C$3)*'Raw Data'!$D$2:$D$9999*'Raw Data'!$AF$2:$AF$9999)/SUMIFS('Raw Data'!$D:$D, 'Raw Data'!$B:$B, "Control", 'Raw Data'!$A:$A, $A14, 'Raw Data'!$C:$C, $C$3),""))</f>
        <v>82</v>
      </c>
      <c r="CL14" s="101">
        <f>IF($A14="","",IFERROR(SUMPRODUCT(('Raw Data'!$B$2:$B$9999="Variant")*('Raw Data'!$A$2:$A$9999=$A14)*('Raw Data'!$C$2:$C$9999=$C$3)*'Raw Data'!$D$2:$D$9999*'Raw Data'!$AF$2:$AF$9999)/SUMIFS('Raw Data'!$D:$D, 'Raw Data'!$B:$B, "Variant", 'Raw Data'!$A:$A, $A14, 'Raw Data'!$C:$C, $C$3),""))</f>
        <v>81</v>
      </c>
      <c r="CM14" s="105">
        <f t="shared" si="30"/>
        <v>-0.01219512195</v>
      </c>
      <c r="CN14" s="101">
        <f>IF($A14="","",IFERROR(SUMPRODUCT(('Raw Data'!$B$2:$B$9999="Control")*('Raw Data'!$A$2:$A$9999=$A14)*('Raw Data'!$C$2:$C$9999=$C$3)*'Raw Data'!$D$2:$D$9999*'Raw Data'!$AG$2:$AG$9999)/SUMIFS('Raw Data'!$D:$D, 'Raw Data'!$B:$B, "Control", 'Raw Data'!$A:$A, $A14, 'Raw Data'!$C:$C, $C$3),""))</f>
        <v>129</v>
      </c>
      <c r="CO14" s="101">
        <f>IF($A14="","",IFERROR(SUMPRODUCT(('Raw Data'!$B$2:$B$9999="Variant")*('Raw Data'!$A$2:$A$9999=$A14)*('Raw Data'!$C$2:$C$9999=$C$3)*'Raw Data'!$D$2:$D$9999*'Raw Data'!$AG$2:$AG$9999)/SUMIFS('Raw Data'!$D:$D, 'Raw Data'!$B:$B, "Variant", 'Raw Data'!$A:$A, $A14, 'Raw Data'!$C:$C, $C$3),""))</f>
        <v>133</v>
      </c>
      <c r="CP14" s="105">
        <f t="shared" si="31"/>
        <v>0.03100775194</v>
      </c>
      <c r="CQ14" s="101">
        <f>IF($A14="","",IFERROR(SUMPRODUCT(('Raw Data'!$B$2:$B$9999="Control")*('Raw Data'!$A$2:$A$9999=$A14)*('Raw Data'!$C$2:$C$9999=$C$3)*'Raw Data'!$D$2:$D$9999*'Raw Data'!$AH$2:$AH$9999)/SUMIFS('Raw Data'!$D:$D, 'Raw Data'!$B:$B, "Control", 'Raw Data'!$A:$A, $A14, 'Raw Data'!$C:$C, $C$3),""))</f>
        <v>184</v>
      </c>
      <c r="CR14" s="101">
        <f>IF($A14="","",IFERROR(SUMPRODUCT(('Raw Data'!$B$2:$B$9999="Variant")*('Raw Data'!$A$2:$A$9999=$A14)*('Raw Data'!$C$2:$C$9999=$C$3)*'Raw Data'!$D$2:$D$9999*'Raw Data'!$AH$2:$AH$9999)/SUMIFS('Raw Data'!$D:$D, 'Raw Data'!$B:$B, "Variant", 'Raw Data'!$A:$A, $A14, 'Raw Data'!$C:$C, $C$3),""))</f>
        <v>191</v>
      </c>
      <c r="CS14" s="105">
        <f t="shared" si="32"/>
        <v>0.03804347826</v>
      </c>
      <c r="CT14" s="96">
        <f>IF($A14="","",IFERROR(SUMPRODUCT(('Raw Data'!$B$2:$B$9999="Control")*('Raw Data'!$A$2:$A$9999=$A14)*('Raw Data'!$C$2:$C$9999=$C$3)*'Raw Data'!$D$2:$D$9999*'Raw Data'!$AI$2:$AI$9999)/SUMIFS('Raw Data'!$D:$D, 'Raw Data'!$B:$B, "Control", 'Raw Data'!$A:$A, $A14, 'Raw Data'!$C:$C, $C$3),""))</f>
        <v>51.56</v>
      </c>
      <c r="CU14" s="96">
        <f>IF($A14="","",IFERROR(SUMPRODUCT(('Raw Data'!$B$2:$B$9999="Variant")*('Raw Data'!$A$2:$A$9999=$A14)*('Raw Data'!$C$2:$C$9999=$C$3)*'Raw Data'!$D$2:$D$9999*'Raw Data'!$AI$2:$AI$9999)/SUMIFS('Raw Data'!$D:$D, 'Raw Data'!$B:$B, "Variant", 'Raw Data'!$A:$A, $A14, 'Raw Data'!$C:$C, $C$3),""))</f>
        <v>51.74</v>
      </c>
      <c r="CV14" s="106">
        <f t="shared" si="33"/>
        <v>0.003491078355</v>
      </c>
      <c r="CW14" s="96">
        <f>IF($A14="","",IFERROR(SUMPRODUCT(('Raw Data'!$B$2:$B$9999="Control")*('Raw Data'!$A$2:$A$9999=$A14)*('Raw Data'!$C$2:$C$9999=$C$3)*'Raw Data'!$D$2:$D$9999*'Raw Data'!$AJ$2:$AJ$9999)/SUMIFS('Raw Data'!$D:$D, 'Raw Data'!$B:$B, "Control", 'Raw Data'!$A:$A, $A14, 'Raw Data'!$C:$C, $C$3),""))</f>
        <v>12.28</v>
      </c>
      <c r="CX14" s="96">
        <f>IF($A14="","",IFERROR(SUMPRODUCT(('Raw Data'!$B$2:$B$9999="Variant")*('Raw Data'!$A$2:$A$9999=$A14)*('Raw Data'!$C$2:$C$9999=$C$3)*'Raw Data'!$D$2:$D$9999*'Raw Data'!$AJ$2:$AJ$9999)/SUMIFS('Raw Data'!$D:$D, 'Raw Data'!$B:$B, "Variant", 'Raw Data'!$A:$A, $A14, 'Raw Data'!$C:$C, $C$3),""))</f>
        <v>13.32</v>
      </c>
      <c r="CY14" s="106">
        <f t="shared" si="34"/>
        <v>0.08469055375</v>
      </c>
      <c r="CZ14" s="96">
        <f>IF($A14="","",IFERROR(SUMPRODUCT(('Raw Data'!$B$2:$B$9999="Control")*('Raw Data'!$A$2:$A$9999=$A14)*('Raw Data'!$C$2:$C$9999=$C$3)*'Raw Data'!$D$2:$D$9999*'Raw Data'!$AK$2:$AK$9999)/SUMIFS('Raw Data'!$D:$D, 'Raw Data'!$B:$B, "Control", 'Raw Data'!$A:$A, $A14, 'Raw Data'!$C:$C, $C$3),""))</f>
        <v>0.45</v>
      </c>
      <c r="DA14" s="96">
        <f>IF($A14="","",IFERROR(SUMPRODUCT(('Raw Data'!$B$2:$B$9999="Variant")*('Raw Data'!$A$2:$A$9999=$A14)*('Raw Data'!$C$2:$C$9999=$C$3)*'Raw Data'!$D$2:$D$9999*'Raw Data'!$AK$2:$AK$9999)/SUMIFS('Raw Data'!$D:$D, 'Raw Data'!$B:$B, "Variant", 'Raw Data'!$A:$A, $A14, 'Raw Data'!$C:$C, $C$3),""))</f>
        <v>2.51</v>
      </c>
      <c r="DB14" s="105">
        <f t="shared" si="35"/>
        <v>4.577777778</v>
      </c>
      <c r="DC14" s="102">
        <f>IF($A14="","",IFERROR(SUMPRODUCT(('Raw Data'!$B$2:$B$9999="Control")*('Raw Data'!$A$2:$A$9999=$A14)*('Raw Data'!$C$2:$C$9999=$C$3)*'Raw Data'!$D$2:$D$9999*'Raw Data'!$AL$2:$AL$9999)/SUMIFS('Raw Data'!$D:$D, 'Raw Data'!$B:$B, "Control", 'Raw Data'!$A:$A, $A14, 'Raw Data'!$C:$C, $C$3),""))</f>
        <v>0.1071</v>
      </c>
      <c r="DD14" s="102">
        <f>IF($A14="","",IFERROR(SUMPRODUCT(('Raw Data'!$B$2:$B$9999="Variant")*('Raw Data'!$A$2:$A$9999=$A14)*('Raw Data'!$C$2:$C$9999=$C$3)*'Raw Data'!$D$2:$D$9999*'Raw Data'!$AL$2:$AL$9999)/SUMIFS('Raw Data'!$D:$D, 'Raw Data'!$B:$B, "Variant", 'Raw Data'!$A:$A, $A14, 'Raw Data'!$C:$C, $C$3),""))</f>
        <v>0.1042</v>
      </c>
      <c r="DE14" s="105">
        <f t="shared" si="36"/>
        <v>-0.02707749767</v>
      </c>
      <c r="DF14" s="103"/>
      <c r="DG14" s="96">
        <f>IF($A14="","",IFERROR(SUMPRODUCT(('Raw Data'!$B$2:$B$9999="Variant")*('Raw Data'!$A$2:$A$9999=$A14)*('Raw Data'!$C$2:$C$9999=$C$3)*'Raw Data'!$D$2:$D$9999*'Raw Data'!$AM$2:$AM$9999)/SUMIFS('Raw Data'!$D:$D, 'Raw Data'!$B:$B, "Variant", 'Raw Data'!$A:$A, $A14, 'Raw Data'!$C:$C, $C$3),""))</f>
        <v>73.55</v>
      </c>
      <c r="DH14" s="104"/>
      <c r="DI14" s="103"/>
      <c r="DJ14" s="96">
        <f>IF($A14="","",IFERROR(SUMPRODUCT(('Raw Data'!$B$2:$B$9999="Variant")*('Raw Data'!$A$2:$A$9999=$A14)*('Raw Data'!$C$2:$C$9999=$C$3)*'Raw Data'!$D$2:$D$9999*'Raw Data'!$AN$2:$AN$9999)/SUMIFS('Raw Data'!$D:$D, 'Raw Data'!$B:$B, "Variant", 'Raw Data'!$A:$A, $A14, 'Raw Data'!$C:$C, $C$3),""))</f>
        <v>73.55</v>
      </c>
      <c r="DK14" s="104"/>
      <c r="DL14" s="103"/>
      <c r="DM14" s="96">
        <f>IF($A14="","",IFERROR(SUMPRODUCT(('Raw Data'!$B$2:$B$9999="Variant")*('Raw Data'!$A$2:$A$9999=$A14)*('Raw Data'!$C$2:$C$9999=$C$3)*'Raw Data'!$D$2:$D$9999*'Raw Data'!$AO$2:$AO$9999)/SUMIFS('Raw Data'!$D:$D, 'Raw Data'!$B:$B, "Variant", 'Raw Data'!$A:$A, $A14, 'Raw Data'!$C:$C, $C$3),""))</f>
        <v>53.86</v>
      </c>
      <c r="DN14" s="104"/>
      <c r="DO14" s="103"/>
      <c r="DP14" s="96">
        <f>IF($A14="","",IFERROR(SUMPRODUCT(('Raw Data'!$B$2:$B$9999="Variant")*('Raw Data'!$A$2:$A$9999=$A14)*('Raw Data'!$C$2:$C$9999=$C$3)*'Raw Data'!$D$2:$D$9999*'Raw Data'!$AP$2:$AP$9999)/SUMIFS('Raw Data'!$D:$D, 'Raw Data'!$B:$B, "Variant", 'Raw Data'!$A:$A, $A14, 'Raw Data'!$C:$C, $C$3),""))</f>
        <v>40.35</v>
      </c>
      <c r="DQ14" s="104"/>
      <c r="DR14" s="102">
        <f>IF($A14="","",IFERROR(SUMPRODUCT(('Raw Data'!$B$2:$B$9999="Control")*('Raw Data'!$A$2:$A$9999=$A14)*('Raw Data'!$C$2:$C$9999=$C$3)*'Raw Data'!$D$2:$D$9999*'Raw Data'!$AQ$2:$AQ$9999)/SUMIFS('Raw Data'!$D:$D, 'Raw Data'!$B:$B, "Control", 'Raw Data'!$A:$A, $A14, 'Raw Data'!$C:$C, $C$3),""))</f>
        <v>33.125</v>
      </c>
      <c r="DS14" s="102">
        <f>IF($A14="","",IFERROR(SUMPRODUCT(('Raw Data'!$B$2:$B$9999="Variant")*('Raw Data'!$A$2:$A$9999=$A14)*('Raw Data'!$C$2:$C$9999=$C$3)*'Raw Data'!$D$2:$D$9999*'Raw Data'!$AQ$2:$AQ$9999)/SUMIFS('Raw Data'!$D:$D, 'Raw Data'!$B:$B, "Variant", 'Raw Data'!$A:$A, $A14, 'Raw Data'!$C:$C, $C$3),""))</f>
        <v>34.9672</v>
      </c>
      <c r="DT14" s="107">
        <f t="shared" si="37"/>
        <v>0.05561358491</v>
      </c>
      <c r="DU14" s="102">
        <f>IF($A14="","",IFERROR(SUMPRODUCT(('Raw Data'!$B$2:$B$9999="Control")*('Raw Data'!$A$2:$A$9999=$A14)*('Raw Data'!$C$2:$C$9999=$C$3)*'Raw Data'!$D$2:$D$9999*'Raw Data'!$AR$2:$AR$9999)/SUMIFS('Raw Data'!$D:$D, 'Raw Data'!$B:$B, "Control", 'Raw Data'!$A:$A, $A14, 'Raw Data'!$C:$C, $C$3),""))</f>
        <v>2.9933</v>
      </c>
      <c r="DV14" s="102">
        <f>IF($A14="","",IFERROR(SUMPRODUCT(('Raw Data'!$B$2:$B$9999="Variant")*('Raw Data'!$A$2:$A$9999=$A14)*('Raw Data'!$C$2:$C$9999=$C$3)*'Raw Data'!$D$2:$D$9999*'Raw Data'!$AR$2:$AR$9999)/SUMIFS('Raw Data'!$D:$D, 'Raw Data'!$B:$B, "Variant", 'Raw Data'!$A:$A, $A14, 'Raw Data'!$C:$C, $C$3),""))</f>
        <v>2.7432</v>
      </c>
      <c r="DW14" s="107">
        <f t="shared" si="38"/>
        <v>-0.08355326897</v>
      </c>
      <c r="DX14" s="102">
        <f>IF($A14="","",IFERROR(SUMPRODUCT(('Raw Data'!$B$2:$B$9999="Control")*('Raw Data'!$A$2:$A$9999=$A14)*('Raw Data'!$C$2:$C$9999=$C$3)*'Raw Data'!$D$2:$D$9999*'Raw Data'!$AS$2:$AS$9999)/SUMIFS('Raw Data'!$D:$D, 'Raw Data'!$B:$B, "Control", 'Raw Data'!$A:$A, $A14, 'Raw Data'!$C:$C, $C$3),""))</f>
        <v>30.1317</v>
      </c>
      <c r="DY14" s="102">
        <f>IF($A14="","",IFERROR(SUMPRODUCT(('Raw Data'!$B$2:$B$9999="Variant")*('Raw Data'!$A$2:$A$9999=$A14)*('Raw Data'!$C$2:$C$9999=$C$3)*'Raw Data'!$D$2:$D$9999*'Raw Data'!$AS$2:$AS$9999)/SUMIFS('Raw Data'!$D:$D, 'Raw Data'!$B:$B, "Variant", 'Raw Data'!$A:$A, $A14, 'Raw Data'!$C:$C, $C$3),""))</f>
        <v>32.2239</v>
      </c>
      <c r="DZ14" s="107">
        <f t="shared" si="39"/>
        <v>0.06943517956</v>
      </c>
      <c r="EA14" s="102">
        <f>IF($A14="","",IFERROR(SUMPRODUCT(('Raw Data'!$B$2:$B$9999="Control")*('Raw Data'!$A$2:$A$9999=$A14)*('Raw Data'!$C$2:$C$9999=$C$3)*'Raw Data'!$D$2:$D$9999*'Raw Data'!$AT$2:$AT$9999)/SUMIFS('Raw Data'!$D:$D, 'Raw Data'!$B:$B, "Control", 'Raw Data'!$A:$A, $A14, 'Raw Data'!$C:$C, $C$3),""))</f>
        <v>31.4241</v>
      </c>
      <c r="EB14" s="102">
        <f>IF($A14="","",IFERROR(SUMPRODUCT(('Raw Data'!$B$2:$B$9999="Variant")*('Raw Data'!$A$2:$A$9999=$A14)*('Raw Data'!$C$2:$C$9999=$C$3)*'Raw Data'!$D$2:$D$9999*'Raw Data'!$AT$2:$AT$9999)/SUMIFS('Raw Data'!$D:$D, 'Raw Data'!$B:$B, "Variant", 'Raw Data'!$A:$A, $A14, 'Raw Data'!$C:$C, $C$3),""))</f>
        <v>35.1815</v>
      </c>
      <c r="EC14" s="107">
        <f t="shared" si="40"/>
        <v>0.119570648</v>
      </c>
      <c r="ED14" s="102">
        <f>IF($A14="","",IFERROR(SUMPRODUCT(('Raw Data'!$B$2:$B$9999="Control")*('Raw Data'!$A$2:$A$9999=$A14)*('Raw Data'!$C$2:$C$9999=$C$3)*'Raw Data'!$D$2:$D$9999*('Raw Data'!$AQ$2:$AQ$9999-'Raw Data'!$AT$2:$AT$9999))/SUMIFS('Raw Data'!$D:$D, 'Raw Data'!$B:$B, "Control", 'Raw Data'!$A:$A, $A14, 'Raw Data'!$C:$C, $C$3),""))</f>
        <v>1.7009</v>
      </c>
      <c r="EE14" s="102">
        <f>IF($A14="","",IFERROR(SUMPRODUCT(('Raw Data'!$B$2:$B$9999="Variant")*('Raw Data'!$A$2:$A$9999=$A14)*('Raw Data'!$C$2:$C$9999=$C$3)*'Raw Data'!$D$2:$D$9999*('Raw Data'!$AQ$2:$AQ$9999-'Raw Data'!$AT$2:$AT$9999))/SUMIFS('Raw Data'!$D:$D, 'Raw Data'!$B:$B, "Variant", 'Raw Data'!$A:$A, $A14, 'Raw Data'!$C:$C, $C$3),""))</f>
        <v>-0.2143</v>
      </c>
      <c r="EF14" s="107">
        <f t="shared" si="41"/>
        <v>-1.125992122</v>
      </c>
      <c r="EG14" s="102">
        <f>IF($A14="","",IFERROR(SUMPRODUCT(('Raw Data'!$B$2:$B$9999="Control")*('Raw Data'!$A$2:$A$9999=$A14)*('Raw Data'!$C$2:$C$9999=$C$3)*'Raw Data'!$D$2:$D$9999*'Raw Data'!$AU$2:$AU$9999)/SUMIFS('Raw Data'!$D:$D, 'Raw Data'!$B:$B, "Control", 'Raw Data'!$A:$A, $A14, 'Raw Data'!$C:$C, $C$3),""))</f>
        <v>0.2189</v>
      </c>
      <c r="EH14" s="102">
        <f>IF($A14="","",IFERROR(SUMPRODUCT(('Raw Data'!$B$2:$B$9999="Variant")*('Raw Data'!$A$2:$A$9999=$A14)*('Raw Data'!$C$2:$C$9999=$C$3)*'Raw Data'!$D$2:$D$9999*'Raw Data'!$AU$2:$AU$9999)/SUMIFS('Raw Data'!$D:$D, 'Raw Data'!$B:$B, "Variant", 'Raw Data'!$A:$A, $A14, 'Raw Data'!$C:$C, $C$3),""))</f>
        <v>0.2404</v>
      </c>
      <c r="EI14" s="107">
        <f t="shared" si="42"/>
        <v>0.09821836455</v>
      </c>
    </row>
    <row r="15">
      <c r="A15" s="93">
        <v>46183.0</v>
      </c>
      <c r="B15" s="94">
        <f>IF($A15="","",SUMIFS('Raw Data'!$D:$D, 'Raw Data'!$B:$B, "Control", 'Raw Data'!$A:$A, $A15, 'Raw Data'!$C:$C, $C$3))</f>
        <v>405</v>
      </c>
      <c r="C15" s="94">
        <f>IF($A15="","",SUMIFS('Raw Data'!$D:$D, 'Raw Data'!$B:$B, "Variant", 'Raw Data'!$A:$A, $A15, 'Raw Data'!$C:$C, $C$3))</f>
        <v>523</v>
      </c>
      <c r="D15" s="95">
        <f t="shared" si="1"/>
        <v>0.2913580247</v>
      </c>
      <c r="E15" s="96">
        <f>IF($A15="","",IFERROR(SUMPRODUCT(('Raw Data'!$B$2:$B$9999="Control")*('Raw Data'!$A$2:$A$9999=$A15)*('Raw Data'!$C$2:$C$9999=$C$3)*'Raw Data'!$D$2:$D$9999*'Raw Data'!$E$2:$E$9999)/SUMIFS('Raw Data'!$D:$D, 'Raw Data'!$B:$B, "Control", 'Raw Data'!$A:$A, $A15, 'Raw Data'!$C:$C, $C$3),""))</f>
        <v>0.48</v>
      </c>
      <c r="F15" s="96">
        <f>IF($A15="","",IFERROR(SUMPRODUCT(('Raw Data'!$B$2:$B$9999="Variant")*('Raw Data'!$A$2:$A$9999=$A15)*('Raw Data'!$C$2:$C$9999=$C$3)*'Raw Data'!$D$2:$D$9999*'Raw Data'!$E$2:$E$9999)/SUMIFS('Raw Data'!$D:$D, 'Raw Data'!$B:$B, "Variant", 'Raw Data'!$A:$A, $A15, 'Raw Data'!$C:$C, $C$3),""))</f>
        <v>0.62</v>
      </c>
      <c r="G15" s="95">
        <f t="shared" si="2"/>
        <v>0.2916666667</v>
      </c>
      <c r="H15" s="97">
        <f>IF($A15="","",SUMIFS('Raw Data'!$F:$F, 'Raw Data'!$B:$B, "Control", 'Raw Data'!$A:$A, $A15, 'Raw Data'!$C:$C, $C$3))</f>
        <v>1111.98</v>
      </c>
      <c r="I15" s="97">
        <f>IF($A15="","",SUMIFS('Raw Data'!$F:$F, 'Raw Data'!$B:$B, "Variant", 'Raw Data'!$A:$A, $A15, 'Raw Data'!$C:$C, $C$3))</f>
        <v>2310.55</v>
      </c>
      <c r="J15" s="100">
        <f t="shared" si="3"/>
        <v>1.077870106</v>
      </c>
      <c r="K15" s="99">
        <f>IF($A15="","",IFERROR(SUMIFS('Raw Data'!$F:$F, 'Raw Data'!$B:$B, "Control", 'Raw Data'!$A:$A, $A15, 'Raw Data'!$C:$C, $C$3)/SUMIFS('Raw Data'!$D:$D, 'Raw Data'!$B:$B, "Control", 'Raw Data'!$A:$A, $A15, 'Raw Data'!$C:$C, $C$3),""))</f>
        <v>2.74562963</v>
      </c>
      <c r="L15" s="99">
        <f>IF($A15="","",IFERROR(SUMIFS('Raw Data'!$F:$F, 'Raw Data'!$B:$B, "Variant", 'Raw Data'!$A:$A, $A15, 'Raw Data'!$C:$C, $C$3)/SUMIFS('Raw Data'!$D:$D, 'Raw Data'!$B:$B, "Variant", 'Raw Data'!$A:$A, $A15, 'Raw Data'!$C:$C, $C$3),""))</f>
        <v>4.417877629</v>
      </c>
      <c r="M15" s="100">
        <f t="shared" si="4"/>
        <v>0.6090581123</v>
      </c>
      <c r="N15" s="96">
        <f>IF($A15="","",IFERROR(SUMPRODUCT(('Raw Data'!$B$2:$B$9999="Control")*('Raw Data'!$A$2:$A$9999=$A15)*('Raw Data'!$C$2:$C$9999=$C$3)*'Raw Data'!$D$2:$D$9999*'Raw Data'!$H$2:$H$9999/100)/SUMIFS('Raw Data'!$D:$D, 'Raw Data'!$B:$B, "Control", 'Raw Data'!$A:$A, $A15, 'Raw Data'!$C:$C, $C$3)*100,""))</f>
        <v>15.31</v>
      </c>
      <c r="O15" s="96">
        <f>IF($A15="","",IFERROR(SUMPRODUCT(('Raw Data'!$B$2:$B$9999="Variant")*('Raw Data'!$A$2:$A$9999=$A15)*('Raw Data'!$C$2:$C$9999=$C$3)*'Raw Data'!$D$2:$D$9999*'Raw Data'!$H$2:$H$9999/100)/SUMIFS('Raw Data'!$D:$D, 'Raw Data'!$B:$B, "Variant", 'Raw Data'!$A:$A, $A15, 'Raw Data'!$C:$C, $C$3)*100,""))</f>
        <v>17.21</v>
      </c>
      <c r="P15" s="105">
        <f t="shared" si="5"/>
        <v>0.1241018942</v>
      </c>
      <c r="Q15" s="99">
        <f>IF($A15="","",IFERROR(SUMIFS('Raw Data'!$F:$F, 'Raw Data'!$B:$B, "Control", 'Raw Data'!$A:$A, $A15, 'Raw Data'!$C:$C, $C$3)/SUMPRODUCT(('Raw Data'!$B$2:$B$9999="Control")*('Raw Data'!$A$2:$A$9999=$A15)*('Raw Data'!$C$2:$C$9999=$C$3)*'Raw Data'!$D$2:$D$9999*'Raw Data'!$H$2:$H$9999/100),""))</f>
        <v>17.93357041</v>
      </c>
      <c r="R15" s="99">
        <f>IF($A15="","",IFERROR(SUMIFS('Raw Data'!$F:$F, 'Raw Data'!$B:$B, "Variant", 'Raw Data'!$A:$A, $A15, 'Raw Data'!$C:$C, $C$3)/SUMPRODUCT(('Raw Data'!$B$2:$B$9999="Variant")*('Raw Data'!$A$2:$A$9999=$A15)*('Raw Data'!$C$2:$C$9999=$C$3)*'Raw Data'!$D$2:$D$9999*'Raw Data'!$H$2:$H$9999/100),""))</f>
        <v>25.6704104</v>
      </c>
      <c r="S15" s="105">
        <f t="shared" si="6"/>
        <v>0.4314166008</v>
      </c>
      <c r="T15" s="101">
        <f>IF($A15="","",IFERROR(SUMPRODUCT(('Raw Data'!$B$2:$B$9999="Control")*('Raw Data'!$A$2:$A$9999=$A15)*('Raw Data'!$C$2:$C$9999=$C$3)*'Raw Data'!$D$2:$D$9999*'Raw Data'!$J$2:$J$9999)/SUMIFS('Raw Data'!$D:$D, 'Raw Data'!$B:$B, "Control", 'Raw Data'!$A:$A, $A15, 'Raw Data'!$C:$C, $C$3),""))</f>
        <v>235.36</v>
      </c>
      <c r="U15" s="101">
        <f>IF($A15="","",IFERROR(SUMPRODUCT(('Raw Data'!$B$2:$B$9999="Variant")*('Raw Data'!$A$2:$A$9999=$A15)*('Raw Data'!$C$2:$C$9999=$C$3)*'Raw Data'!$D$2:$D$9999*'Raw Data'!$J$2:$J$9999)/SUMIFS('Raw Data'!$D:$D, 'Raw Data'!$B:$B, "Variant", 'Raw Data'!$A:$A, $A15, 'Raw Data'!$C:$C, $C$3),""))</f>
        <v>239.67</v>
      </c>
      <c r="V15" s="105">
        <f t="shared" si="7"/>
        <v>0.01831237254</v>
      </c>
      <c r="W15" s="101">
        <f>IF($A15="","",IFERROR(SUMPRODUCT(('Raw Data'!$B$2:$B$9999="Control")*('Raw Data'!$A$2:$A$9999=$A15)*('Raw Data'!$C$2:$C$9999=$C$3)*'Raw Data'!$D$2:$D$9999*'Raw Data'!$K$2:$K$9999)/SUMIFS('Raw Data'!$D:$D, 'Raw Data'!$B:$B, "Control", 'Raw Data'!$A:$A, $A15, 'Raw Data'!$C:$C, $C$3),""))</f>
        <v>147.43</v>
      </c>
      <c r="X15" s="101">
        <f>IF($A15="","",IFERROR(SUMPRODUCT(('Raw Data'!$B$2:$B$9999="Variant")*('Raw Data'!$A$2:$A$9999=$A15)*('Raw Data'!$C$2:$C$9999=$C$3)*'Raw Data'!$D$2:$D$9999*'Raw Data'!$K$2:$K$9999)/SUMIFS('Raw Data'!$D:$D, 'Raw Data'!$B:$B, "Variant", 'Raw Data'!$A:$A, $A15, 'Raw Data'!$C:$C, $C$3),""))</f>
        <v>146.95</v>
      </c>
      <c r="Y15" s="105">
        <f t="shared" si="8"/>
        <v>-0.003255782405</v>
      </c>
      <c r="Z15" s="101">
        <f>IF($A15="","",IFERROR(SUMPRODUCT(('Raw Data'!$B$2:$B$9999="Control")*('Raw Data'!$A$2:$A$9999=$A15)*('Raw Data'!$C$2:$C$9999=$C$3)*'Raw Data'!$D$2:$D$9999*'Raw Data'!$L$2:$L$9999)/SUMIFS('Raw Data'!$D:$D, 'Raw Data'!$B:$B, "Control", 'Raw Data'!$A:$A, $A15, 'Raw Data'!$C:$C, $C$3),""))</f>
        <v>126.55</v>
      </c>
      <c r="AA15" s="101">
        <f>IF($A15="","",IFERROR(SUMPRODUCT(('Raw Data'!$B$2:$B$9999="Variant")*('Raw Data'!$A$2:$A$9999=$A15)*('Raw Data'!$C$2:$C$9999=$C$3)*'Raw Data'!$D$2:$D$9999*'Raw Data'!$L$2:$L$9999)/SUMIFS('Raw Data'!$D:$D, 'Raw Data'!$B:$B, "Variant", 'Raw Data'!$A:$A, $A15, 'Raw Data'!$C:$C, $C$3),""))</f>
        <v>121.7</v>
      </c>
      <c r="AB15" s="105">
        <f t="shared" si="9"/>
        <v>-0.03832477282</v>
      </c>
      <c r="AC15" s="102">
        <f>IF($A15="","",IFERROR(SUMPRODUCT(('Raw Data'!$B$2:$B$9999="Control")*('Raw Data'!$A$2:$A$9999=$A15)*('Raw Data'!$C$2:$C$9999=$C$3)*'Raw Data'!$D$2:$D$9999*'Raw Data'!$M$2:$M$9999)/SUMIFS('Raw Data'!$D:$D, 'Raw Data'!$B:$B, "Control", 'Raw Data'!$A:$A, $A15, 'Raw Data'!$C:$C, $C$3),""))</f>
        <v>0.8583</v>
      </c>
      <c r="AD15" s="102">
        <f>IF($A15="","",IFERROR(SUMPRODUCT(('Raw Data'!$B$2:$B$9999="Variant")*('Raw Data'!$A$2:$A$9999=$A15)*('Raw Data'!$C$2:$C$9999=$C$3)*'Raw Data'!$D$2:$D$9999*'Raw Data'!$M$2:$M$9999)/SUMIFS('Raw Data'!$D:$D, 'Raw Data'!$B:$B, "Variant", 'Raw Data'!$A:$A, $A15, 'Raw Data'!$C:$C, $C$3),""))</f>
        <v>0.8282</v>
      </c>
      <c r="AE15" s="106">
        <f t="shared" si="10"/>
        <v>-0.03506932308</v>
      </c>
      <c r="AF15" s="102">
        <f>IF($A15="","",IFERROR(SUMPRODUCT(('Raw Data'!$B$2:$B$9999="Control")*('Raw Data'!$A$2:$A$9999=$A15)*('Raw Data'!$C$2:$C$9999=$C$3)*'Raw Data'!$D$2:$D$9999*'Raw Data'!$N$2:$N$9999)/SUMIFS('Raw Data'!$D:$D, 'Raw Data'!$B:$B, "Control", 'Raw Data'!$A:$A, $A15, 'Raw Data'!$C:$C, $C$3),""))</f>
        <v>0.2676</v>
      </c>
      <c r="AG15" s="102">
        <f>IF($A15="","",IFERROR(SUMPRODUCT(('Raw Data'!$B$2:$B$9999="Variant")*('Raw Data'!$A$2:$A$9999=$A15)*('Raw Data'!$C$2:$C$9999=$C$3)*'Raw Data'!$D$2:$D$9999*'Raw Data'!$N$2:$N$9999)/SUMIFS('Raw Data'!$D:$D, 'Raw Data'!$B:$B, "Variant", 'Raw Data'!$A:$A, $A15, 'Raw Data'!$C:$C, $C$3),""))</f>
        <v>0.3024</v>
      </c>
      <c r="AH15" s="106">
        <f t="shared" si="11"/>
        <v>0.130044843</v>
      </c>
      <c r="AI15" s="102">
        <f>IF($A15="","",IFERROR(SUMPRODUCT(('Raw Data'!$B$2:$B$9999="Control")*('Raw Data'!$A$2:$A$9999=$A15)*('Raw Data'!$C$2:$C$9999=$C$3)*'Raw Data'!$D$2:$D$9999*'Raw Data'!$O$2:$O$9999)/SUMIFS('Raw Data'!$D:$D, 'Raw Data'!$B:$B, "Control", 'Raw Data'!$A:$A, $A15, 'Raw Data'!$C:$C, $C$3),""))</f>
        <v>0.1867</v>
      </c>
      <c r="AJ15" s="102">
        <f>IF($A15="","",IFERROR(SUMPRODUCT(('Raw Data'!$B$2:$B$9999="Variant")*('Raw Data'!$A$2:$A$9999=$A15)*('Raw Data'!$C$2:$C$9999=$C$3)*'Raw Data'!$D$2:$D$9999*'Raw Data'!$O$2:$O$9999)/SUMIFS('Raw Data'!$D:$D, 'Raw Data'!$B:$B, "Variant", 'Raw Data'!$A:$A, $A15, 'Raw Data'!$C:$C, $C$3),""))</f>
        <v>0.2024</v>
      </c>
      <c r="AK15" s="105">
        <f t="shared" si="12"/>
        <v>0.08409212641</v>
      </c>
      <c r="AL15" s="101">
        <f>IF($A15="","",IFERROR(SUMPRODUCT(('Raw Data'!$B$2:$B$9999="Control")*('Raw Data'!$A$2:$A$9999=$A15)*('Raw Data'!$C$2:$C$9999=$C$3)*'Raw Data'!$D$2:$D$9999*'Raw Data'!$P$2:$P$9999)/SUMIFS('Raw Data'!$D:$D, 'Raw Data'!$B:$B, "Control", 'Raw Data'!$A:$A, $A15, 'Raw Data'!$C:$C, $C$3),""))</f>
        <v>1.165</v>
      </c>
      <c r="AM15" s="101">
        <f>IF($A15="","",IFERROR(SUMPRODUCT(('Raw Data'!$B$2:$B$9999="Variant")*('Raw Data'!$A$2:$A$9999=$A15)*('Raw Data'!$C$2:$C$9999=$C$3)*'Raw Data'!$D$2:$D$9999*'Raw Data'!$P$2:$P$9999)/SUMIFS('Raw Data'!$D:$D, 'Raw Data'!$B:$B, "Variant", 'Raw Data'!$A:$A, $A15, 'Raw Data'!$C:$C, $C$3),""))</f>
        <v>1.2074</v>
      </c>
      <c r="AN15" s="106">
        <f t="shared" si="13"/>
        <v>0.03639484979</v>
      </c>
      <c r="AO15" s="101">
        <f>IF($A15="","",IFERROR(SUMPRODUCT(('Raw Data'!$B$2:$B$9999="Control")*('Raw Data'!$A$2:$A$9999=$A15)*('Raw Data'!$C$2:$C$9999=$C$3)*'Raw Data'!$D$2:$D$9999*'Raw Data'!$Q$2:$Q$9999)/SUMIFS('Raw Data'!$D:$D, 'Raw Data'!$B:$B, "Control", 'Raw Data'!$A:$A, $A15, 'Raw Data'!$C:$C, $C$3),""))</f>
        <v>712.36</v>
      </c>
      <c r="AP15" s="101">
        <f>IF($A15="","",IFERROR(SUMPRODUCT(('Raw Data'!$B$2:$B$9999="Variant")*('Raw Data'!$A$2:$A$9999=$A15)*('Raw Data'!$C$2:$C$9999=$C$3)*'Raw Data'!$D$2:$D$9999*'Raw Data'!$Q$2:$Q$9999)/SUMIFS('Raw Data'!$D:$D, 'Raw Data'!$B:$B, "Variant", 'Raw Data'!$A:$A, $A15, 'Raw Data'!$C:$C, $C$3),""))</f>
        <v>746.78</v>
      </c>
      <c r="AQ15" s="95">
        <f t="shared" si="14"/>
        <v>0.04831826605</v>
      </c>
      <c r="AR15" s="101">
        <f>IF($A15="","",IFERROR(SUMPRODUCT(('Raw Data'!$B$2:$B$9999="Control")*('Raw Data'!$A$2:$A$9999=$A15)*('Raw Data'!$C$2:$C$9999=$C$3)*'Raw Data'!$D$2:$D$9999*'Raw Data'!$R$2:$R$9999)/SUMIFS('Raw Data'!$D:$D, 'Raw Data'!$B:$B, "Control", 'Raw Data'!$A:$A, $A15, 'Raw Data'!$C:$C, $C$3),""))</f>
        <v>442.79</v>
      </c>
      <c r="AS15" s="101">
        <f>IF($A15="","",IFERROR(SUMPRODUCT(('Raw Data'!$B$2:$B$9999="Variant")*('Raw Data'!$A$2:$A$9999=$A15)*('Raw Data'!$C$2:$C$9999=$C$3)*'Raw Data'!$D$2:$D$9999*'Raw Data'!$R$2:$R$9999)/SUMIFS('Raw Data'!$D:$D, 'Raw Data'!$B:$B, "Variant", 'Raw Data'!$A:$A, $A15, 'Raw Data'!$C:$C, $C$3),""))</f>
        <v>654.39</v>
      </c>
      <c r="AT15" s="95">
        <f t="shared" si="15"/>
        <v>0.4778789042</v>
      </c>
      <c r="AU15" s="101">
        <f>IF($A15="","",IFERROR(SUMPRODUCT(('Raw Data'!$B$2:$B$9999="Control")*('Raw Data'!$A$2:$A$9999=$A15)*('Raw Data'!$C$2:$C$9999=$C$3)*'Raw Data'!$D$2:$D$9999*'Raw Data'!$S$2:$S$9999)/SUMIFS('Raw Data'!$D:$D, 'Raw Data'!$B:$B, "Control", 'Raw Data'!$A:$A, $A15, 'Raw Data'!$C:$C, $C$3),""))</f>
        <v>269.57</v>
      </c>
      <c r="AV15" s="101">
        <f>IF($A15="","",IFERROR(SUMPRODUCT(('Raw Data'!$B$2:$B$9999="Variant")*('Raw Data'!$A$2:$A$9999=$A15)*('Raw Data'!$C$2:$C$9999=$C$3)*'Raw Data'!$D$2:$D$9999*'Raw Data'!$S$2:$S$9999)/SUMIFS('Raw Data'!$D:$D, 'Raw Data'!$B:$B, "Variant", 'Raw Data'!$A:$A, $A15, 'Raw Data'!$C:$C, $C$3),""))</f>
        <v>92.39</v>
      </c>
      <c r="AW15" s="95">
        <f t="shared" si="16"/>
        <v>-0.6572689839</v>
      </c>
      <c r="AX15" s="101">
        <f>IF($A15="","",IFERROR(SUMPRODUCT(('Raw Data'!$B$2:$B$9999="Control")*('Raw Data'!$A$2:$A$9999=$A15)*('Raw Data'!$C$2:$C$9999=$C$3)*'Raw Data'!$D$2:$D$9999*'Raw Data'!$T$2:$T$9999)/SUMIFS('Raw Data'!$D:$D, 'Raw Data'!$B:$B, "Control", 'Raw Data'!$A:$A, $A15, 'Raw Data'!$C:$C, $C$3),""))</f>
        <v>185.42</v>
      </c>
      <c r="AY15" s="101">
        <f>IF($A15="","",IFERROR(SUMPRODUCT(('Raw Data'!$B$2:$B$9999="Variant")*('Raw Data'!$A$2:$A$9999=$A15)*('Raw Data'!$C$2:$C$9999=$C$3)*'Raw Data'!$D$2:$D$9999*'Raw Data'!$T$2:$T$9999)/SUMIFS('Raw Data'!$D:$D, 'Raw Data'!$B:$B, "Variant", 'Raw Data'!$A:$A, $A15, 'Raw Data'!$C:$C, $C$3),""))</f>
        <v>270.46</v>
      </c>
      <c r="AZ15" s="105">
        <f t="shared" si="17"/>
        <v>0.4586344515</v>
      </c>
      <c r="BA15" s="101">
        <f>IF($A15="","",IFERROR(SUMPRODUCT(('Raw Data'!$B$2:$B$9999="Control")*('Raw Data'!$A$2:$A$9999=$A15)*('Raw Data'!$C$2:$C$9999=$C$3)*'Raw Data'!$D$2:$D$9999*'Raw Data'!$U$2:$U$9999)/SUMIFS('Raw Data'!$D:$D, 'Raw Data'!$B:$B, "Control", 'Raw Data'!$A:$A, $A15, 'Raw Data'!$C:$C, $C$3),""))</f>
        <v>526.94</v>
      </c>
      <c r="BB15" s="101">
        <f>IF($A15="","",IFERROR(SUMPRODUCT(('Raw Data'!$B$2:$B$9999="Variant")*('Raw Data'!$A$2:$A$9999=$A15)*('Raw Data'!$C$2:$C$9999=$C$3)*'Raw Data'!$D$2:$D$9999*'Raw Data'!$U$2:$U$9999)/SUMIFS('Raw Data'!$D:$D, 'Raw Data'!$B:$B, "Variant", 'Raw Data'!$A:$A, $A15, 'Raw Data'!$C:$C, $C$3),""))</f>
        <v>476.33</v>
      </c>
      <c r="BC15" s="95">
        <f t="shared" si="18"/>
        <v>-0.09604509052</v>
      </c>
      <c r="BD15" s="101">
        <f>IF($A15="","",IFERROR(SUMPRODUCT(('Raw Data'!$B$2:$B$9999="Control")*('Raw Data'!$A$2:$A$9999=$A15)*('Raw Data'!$C$2:$C$9999=$C$3)*'Raw Data'!$D$2:$D$9999*'Raw Data'!$V$2:$V$9999)/SUMIFS('Raw Data'!$D:$D, 'Raw Data'!$B:$B, "Control", 'Raw Data'!$A:$A, $A15, 'Raw Data'!$C:$C, $C$3),""))</f>
        <v>806.91</v>
      </c>
      <c r="BE15" s="101">
        <f>IF($A15="","",IFERROR(SUMPRODUCT(('Raw Data'!$B$2:$B$9999="Variant")*('Raw Data'!$A$2:$A$9999=$A15)*('Raw Data'!$C$2:$C$9999=$C$3)*'Raw Data'!$D$2:$D$9999*'Raw Data'!$V$2:$V$9999)/SUMIFS('Raw Data'!$D:$D, 'Raw Data'!$B:$B, "Variant", 'Raw Data'!$A:$A, $A15, 'Raw Data'!$C:$C, $C$3),""))</f>
        <v>826.1</v>
      </c>
      <c r="BF15" s="95">
        <f t="shared" si="19"/>
        <v>0.02378208226</v>
      </c>
      <c r="BG15" s="101">
        <f>IF($A15="","",IFERROR(SUMPRODUCT(('Raw Data'!$B$2:$B$9999="Control")*('Raw Data'!$A$2:$A$9999=$A15)*('Raw Data'!$C$2:$C$9999=$C$3)*'Raw Data'!$D$2:$D$9999*('Raw Data'!$Q$2:$Q$9999-'Raw Data'!$V$2:$V$9999))/SUMIFS('Raw Data'!$D:$D, 'Raw Data'!$B:$B, "Control", 'Raw Data'!$A:$A, $A15, 'Raw Data'!$C:$C, $C$3),""))</f>
        <v>-94.55</v>
      </c>
      <c r="BH15" s="101">
        <f>IF($A15="","",IFERROR(SUMPRODUCT(('Raw Data'!$B$2:$B$9999="Variant")*('Raw Data'!$A$2:$A$9999=$A15)*('Raw Data'!$C$2:$C$9999=$C$3)*'Raw Data'!$D$2:$D$9999*('Raw Data'!$Q$2:$Q$9999-'Raw Data'!$V$2:$V$9999))/SUMIFS('Raw Data'!$D:$D, 'Raw Data'!$B:$B, "Variant", 'Raw Data'!$A:$A, $A15, 'Raw Data'!$C:$C, $C$3),""))</f>
        <v>-79.32</v>
      </c>
      <c r="BI15" s="95">
        <f t="shared" si="20"/>
        <v>0.1610787943</v>
      </c>
      <c r="BJ15" s="101">
        <f>IF($A15="","",IFERROR(SUMPRODUCT(('Raw Data'!$B$2:$B$9999="Control")*('Raw Data'!$A$2:$A$9999=$A15)*('Raw Data'!$C$2:$C$9999=$C$3)*'Raw Data'!$D$2:$D$9999*'Raw Data'!$W$2:$W$9999)/SUMIFS('Raw Data'!$D:$D, 'Raw Data'!$B:$B, "Control", 'Raw Data'!$A:$A, $A15, 'Raw Data'!$C:$C, $C$3),""))</f>
        <v>5.4731</v>
      </c>
      <c r="BK15" s="101">
        <f>IF($A15="","",IFERROR(SUMPRODUCT(('Raw Data'!$B$2:$B$9999="Variant")*('Raw Data'!$A$2:$A$9999=$A15)*('Raw Data'!$C$2:$C$9999=$C$3)*'Raw Data'!$D$2:$D$9999*'Raw Data'!$W$2:$W$9999)/SUMIFS('Raw Data'!$D:$D, 'Raw Data'!$B:$B, "Variant", 'Raw Data'!$A:$A, $A15, 'Raw Data'!$C:$C, $C$3),""))</f>
        <v>5.6217</v>
      </c>
      <c r="BL15" s="95">
        <f t="shared" si="21"/>
        <v>0.02715097477</v>
      </c>
      <c r="BM15" s="102">
        <f>IF($A15="","",IFERROR(SUMPRODUCT(('Raw Data'!$B$2:$B$9999="Control")*('Raw Data'!$A$2:$A$9999=$A15)*('Raw Data'!$C$2:$C$9999=$C$3)*'Raw Data'!$D$2:$D$9999*'Raw Data'!$X$2:$X$9999)/SUMIFS('Raw Data'!$D:$D, 'Raw Data'!$B:$B, "Control", 'Raw Data'!$A:$A, $A15, 'Raw Data'!$C:$C, $C$3),""))</f>
        <v>26.03</v>
      </c>
      <c r="BN15" s="102">
        <f>IF($A15="","",IFERROR(SUMPRODUCT(('Raw Data'!$B$2:$B$9999="Variant")*('Raw Data'!$A$2:$A$9999=$A15)*('Raw Data'!$C$2:$C$9999=$C$3)*'Raw Data'!$D$2:$D$9999*'Raw Data'!$X$2:$X$9999)/SUMIFS('Raw Data'!$D:$D, 'Raw Data'!$B:$B, "Variant", 'Raw Data'!$A:$A, $A15, 'Raw Data'!$C:$C, $C$3),""))</f>
        <v>36.22</v>
      </c>
      <c r="BO15" s="105">
        <f t="shared" si="22"/>
        <v>0.3914713792</v>
      </c>
      <c r="BP15" s="94">
        <f>IF($A15="","",IFERROR(SUMPRODUCT(('Raw Data'!$B$2:$B$9999="Control")*('Raw Data'!$A$2:$A$9999=$A15)*('Raw Data'!$C$2:$C$9999=$C$3)*'Raw Data'!$D$2:$D$9999*'Raw Data'!$Y$2:$Y$9999)/SUMIFS('Raw Data'!$D:$D, 'Raw Data'!$B:$B, "Control", 'Raw Data'!$A:$A, $A15, 'Raw Data'!$C:$C, $C$3),""))</f>
        <v>481</v>
      </c>
      <c r="BQ15" s="94">
        <f>IF($A15="","",IFERROR(SUMPRODUCT(('Raw Data'!$B$2:$B$9999="Variant")*('Raw Data'!$A$2:$A$9999=$A15)*('Raw Data'!$C$2:$C$9999=$C$3)*'Raw Data'!$D$2:$D$9999*'Raw Data'!$Y$2:$Y$9999)/SUMIFS('Raw Data'!$D:$D, 'Raw Data'!$B:$B, "Variant", 'Raw Data'!$A:$A, $A15, 'Raw Data'!$C:$C, $C$3),""))</f>
        <v>381</v>
      </c>
      <c r="BR15" s="95">
        <f t="shared" si="23"/>
        <v>-0.2079002079</v>
      </c>
      <c r="BS15" s="94">
        <f>IF($A15="","",IFERROR(SUMPRODUCT(('Raw Data'!$B$2:$B$9999="Control")*('Raw Data'!$A$2:$A$9999=$A15)*('Raw Data'!$C$2:$C$9999=$C$3)*'Raw Data'!$D$2:$D$9999*'Raw Data'!$Z$2:$Z$9999)/SUMIFS('Raw Data'!$D:$D, 'Raw Data'!$B:$B, "Control", 'Raw Data'!$A:$A, $A15, 'Raw Data'!$C:$C, $C$3),""))</f>
        <v>3240</v>
      </c>
      <c r="BT15" s="94">
        <f>IF($A15="","",IFERROR(SUMPRODUCT(('Raw Data'!$B$2:$B$9999="Variant")*('Raw Data'!$A$2:$A$9999=$A15)*('Raw Data'!$C$2:$C$9999=$C$3)*'Raw Data'!$D$2:$D$9999*'Raw Data'!$Z$2:$Z$9999)/SUMIFS('Raw Data'!$D:$D, 'Raw Data'!$B:$B, "Variant", 'Raw Data'!$A:$A, $A15, 'Raw Data'!$C:$C, $C$3),""))</f>
        <v>3033</v>
      </c>
      <c r="BU15" s="95">
        <f t="shared" si="24"/>
        <v>-0.06388888889</v>
      </c>
      <c r="BV15" s="94">
        <f>IF($A15="","",IFERROR(SUMPRODUCT(('Raw Data'!$B$2:$B$9999="Control")*('Raw Data'!$A$2:$A$9999=$A15)*('Raw Data'!$C$2:$C$9999=$C$3)*'Raw Data'!$D$2:$D$9999*'Raw Data'!$AA$2:$AA$9999)/SUMIFS('Raw Data'!$D:$D, 'Raw Data'!$B:$B, "Control", 'Raw Data'!$A:$A, $A15, 'Raw Data'!$C:$C, $C$3),""))</f>
        <v>9793</v>
      </c>
      <c r="BW15" s="94">
        <f>IF($A15="","",IFERROR(SUMPRODUCT(('Raw Data'!$B$2:$B$9999="Variant")*('Raw Data'!$A$2:$A$9999=$A15)*('Raw Data'!$C$2:$C$9999=$C$3)*'Raw Data'!$D$2:$D$9999*'Raw Data'!$AA$2:$AA$9999)/SUMIFS('Raw Data'!$D:$D, 'Raw Data'!$B:$B, "Variant", 'Raw Data'!$A:$A, $A15, 'Raw Data'!$C:$C, $C$3),""))</f>
        <v>11489</v>
      </c>
      <c r="BX15" s="95">
        <f t="shared" si="25"/>
        <v>0.173184928</v>
      </c>
      <c r="BY15" s="101">
        <f>IF($A15="","",IFERROR(SUMPRODUCT(('Raw Data'!$B$2:$B$9999="Control")*('Raw Data'!$A$2:$A$9999=$A15)*('Raw Data'!$C$2:$C$9999=$C$3)*'Raw Data'!$D$2:$D$9999*'Raw Data'!$AB$2:$AB$9999)/SUMIFS('Raw Data'!$D:$D, 'Raw Data'!$B:$B, "Control", 'Raw Data'!$A:$A, $A15, 'Raw Data'!$C:$C, $C$3),""))</f>
        <v>63.4352</v>
      </c>
      <c r="BZ15" s="101">
        <f>IF($A15="","",IFERROR(SUMPRODUCT(('Raw Data'!$B$2:$B$9999="Variant")*('Raw Data'!$A$2:$A$9999=$A15)*('Raw Data'!$C$2:$C$9999=$C$3)*'Raw Data'!$D$2:$D$9999*'Raw Data'!$AB$2:$AB$9999)/SUMIFS('Raw Data'!$D:$D, 'Raw Data'!$B:$B, "Variant", 'Raw Data'!$A:$A, $A15, 'Raw Data'!$C:$C, $C$3),""))</f>
        <v>62.6091</v>
      </c>
      <c r="CA15" s="105">
        <f t="shared" si="26"/>
        <v>-0.01302273816</v>
      </c>
      <c r="CB15" s="101">
        <f>IF($A15="","",IFERROR(SUMPRODUCT(('Raw Data'!$B$2:$B$9999="Control")*('Raw Data'!$A$2:$A$9999=$A15)*('Raw Data'!$C$2:$C$9999=$C$3)*'Raw Data'!$D$2:$D$9999*'Raw Data'!$AC$2:$AC$9999)/SUMIFS('Raw Data'!$D:$D, 'Raw Data'!$B:$B, "Control", 'Raw Data'!$A:$A, $A15, 'Raw Data'!$C:$C, $C$3),""))</f>
        <v>0.8995</v>
      </c>
      <c r="CC15" s="101">
        <f>IF($A15="","",IFERROR(SUMPRODUCT(('Raw Data'!$B$2:$B$9999="Variant")*('Raw Data'!$A$2:$A$9999=$A15)*('Raw Data'!$C$2:$C$9999=$C$3)*'Raw Data'!$D$2:$D$9999*'Raw Data'!$AC$2:$AC$9999)/SUMIFS('Raw Data'!$D:$D, 'Raw Data'!$B:$B, "Variant", 'Raw Data'!$A:$A, $A15, 'Raw Data'!$C:$C, $C$3),""))</f>
        <v>0.8826</v>
      </c>
      <c r="CD15" s="105">
        <f t="shared" si="27"/>
        <v>-0.01878821568</v>
      </c>
      <c r="CE15" s="101">
        <f>IF($A15="","",IFERROR(SUMPRODUCT(('Raw Data'!$B$2:$B$9999="Control")*('Raw Data'!$A$2:$A$9999=$A15)*('Raw Data'!$C$2:$C$9999=$C$3)*'Raw Data'!$D$2:$D$9999*'Raw Data'!$AD$2:$AD$9999)/SUMIFS('Raw Data'!$D:$D, 'Raw Data'!$B:$B, "Control", 'Raw Data'!$A:$A, $A15, 'Raw Data'!$C:$C, $C$3),""))</f>
        <v>90.8</v>
      </c>
      <c r="CF15" s="101">
        <f>IF($A15="","",IFERROR(SUMPRODUCT(('Raw Data'!$B$2:$B$9999="Variant")*('Raw Data'!$A$2:$A$9999=$A15)*('Raw Data'!$C$2:$C$9999=$C$3)*'Raw Data'!$D$2:$D$9999*'Raw Data'!$AD$2:$AD$9999)/SUMIFS('Raw Data'!$D:$D, 'Raw Data'!$B:$B, "Variant", 'Raw Data'!$A:$A, $A15, 'Raw Data'!$C:$C, $C$3),""))</f>
        <v>85.8</v>
      </c>
      <c r="CG15" s="105">
        <f t="shared" si="28"/>
        <v>-0.0550660793</v>
      </c>
      <c r="CH15" s="101">
        <f>IF($A15="","",IFERROR(SUMPRODUCT(('Raw Data'!$B$2:$B$9999="Control")*('Raw Data'!$A$2:$A$9999=$A15)*('Raw Data'!$C$2:$C$9999=$C$3)*'Raw Data'!$D$2:$D$9999*'Raw Data'!$AE$2:$AE$9999)/SUMIFS('Raw Data'!$D:$D, 'Raw Data'!$B:$B, "Control", 'Raw Data'!$A:$A, $A15, 'Raw Data'!$C:$C, $C$3),""))</f>
        <v>35</v>
      </c>
      <c r="CI15" s="101">
        <f>IF($A15="","",IFERROR(SUMPRODUCT(('Raw Data'!$B$2:$B$9999="Variant")*('Raw Data'!$A$2:$A$9999=$A15)*('Raw Data'!$C$2:$C$9999=$C$3)*'Raw Data'!$D$2:$D$9999*'Raw Data'!$AE$2:$AE$9999)/SUMIFS('Raw Data'!$D:$D, 'Raw Data'!$B:$B, "Variant", 'Raw Data'!$A:$A, $A15, 'Raw Data'!$C:$C, $C$3),""))</f>
        <v>33</v>
      </c>
      <c r="CJ15" s="105">
        <f t="shared" si="29"/>
        <v>-0.05714285714</v>
      </c>
      <c r="CK15" s="101">
        <f>IF($A15="","",IFERROR(SUMPRODUCT(('Raw Data'!$B$2:$B$9999="Control")*('Raw Data'!$A$2:$A$9999=$A15)*('Raw Data'!$C$2:$C$9999=$C$3)*'Raw Data'!$D$2:$D$9999*'Raw Data'!$AF$2:$AF$9999)/SUMIFS('Raw Data'!$D:$D, 'Raw Data'!$B:$B, "Control", 'Raw Data'!$A:$A, $A15, 'Raw Data'!$C:$C, $C$3),""))</f>
        <v>76</v>
      </c>
      <c r="CL15" s="101">
        <f>IF($A15="","",IFERROR(SUMPRODUCT(('Raw Data'!$B$2:$B$9999="Variant")*('Raw Data'!$A$2:$A$9999=$A15)*('Raw Data'!$C$2:$C$9999=$C$3)*'Raw Data'!$D$2:$D$9999*'Raw Data'!$AF$2:$AF$9999)/SUMIFS('Raw Data'!$D:$D, 'Raw Data'!$B:$B, "Variant", 'Raw Data'!$A:$A, $A15, 'Raw Data'!$C:$C, $C$3),""))</f>
        <v>75</v>
      </c>
      <c r="CM15" s="105">
        <f t="shared" si="30"/>
        <v>-0.01315789474</v>
      </c>
      <c r="CN15" s="101">
        <f>IF($A15="","",IFERROR(SUMPRODUCT(('Raw Data'!$B$2:$B$9999="Control")*('Raw Data'!$A$2:$A$9999=$A15)*('Raw Data'!$C$2:$C$9999=$C$3)*'Raw Data'!$D$2:$D$9999*'Raw Data'!$AG$2:$AG$9999)/SUMIFS('Raw Data'!$D:$D, 'Raw Data'!$B:$B, "Control", 'Raw Data'!$A:$A, $A15, 'Raw Data'!$C:$C, $C$3),""))</f>
        <v>126</v>
      </c>
      <c r="CO15" s="101">
        <f>IF($A15="","",IFERROR(SUMPRODUCT(('Raw Data'!$B$2:$B$9999="Variant")*('Raw Data'!$A$2:$A$9999=$A15)*('Raw Data'!$C$2:$C$9999=$C$3)*'Raw Data'!$D$2:$D$9999*'Raw Data'!$AG$2:$AG$9999)/SUMIFS('Raw Data'!$D:$D, 'Raw Data'!$B:$B, "Variant", 'Raw Data'!$A:$A, $A15, 'Raw Data'!$C:$C, $C$3),""))</f>
        <v>119</v>
      </c>
      <c r="CP15" s="105">
        <f t="shared" si="31"/>
        <v>-0.05555555556</v>
      </c>
      <c r="CQ15" s="101">
        <f>IF($A15="","",IFERROR(SUMPRODUCT(('Raw Data'!$B$2:$B$9999="Control")*('Raw Data'!$A$2:$A$9999=$A15)*('Raw Data'!$C$2:$C$9999=$C$3)*'Raw Data'!$D$2:$D$9999*'Raw Data'!$AH$2:$AH$9999)/SUMIFS('Raw Data'!$D:$D, 'Raw Data'!$B:$B, "Control", 'Raw Data'!$A:$A, $A15, 'Raw Data'!$C:$C, $C$3),""))</f>
        <v>189</v>
      </c>
      <c r="CR15" s="101">
        <f>IF($A15="","",IFERROR(SUMPRODUCT(('Raw Data'!$B$2:$B$9999="Variant")*('Raw Data'!$A$2:$A$9999=$A15)*('Raw Data'!$C$2:$C$9999=$C$3)*'Raw Data'!$D$2:$D$9999*'Raw Data'!$AH$2:$AH$9999)/SUMIFS('Raw Data'!$D:$D, 'Raw Data'!$B:$B, "Variant", 'Raw Data'!$A:$A, $A15, 'Raw Data'!$C:$C, $C$3),""))</f>
        <v>173</v>
      </c>
      <c r="CS15" s="105">
        <f t="shared" si="32"/>
        <v>-0.08465608466</v>
      </c>
      <c r="CT15" s="96">
        <f>IF($A15="","",IFERROR(SUMPRODUCT(('Raw Data'!$B$2:$B$9999="Control")*('Raw Data'!$A$2:$A$9999=$A15)*('Raw Data'!$C$2:$C$9999=$C$3)*'Raw Data'!$D$2:$D$9999*'Raw Data'!$AI$2:$AI$9999)/SUMIFS('Raw Data'!$D:$D, 'Raw Data'!$B:$B, "Control", 'Raw Data'!$A:$A, $A15, 'Raw Data'!$C:$C, $C$3),""))</f>
        <v>48.89</v>
      </c>
      <c r="CU15" s="96">
        <f>IF($A15="","",IFERROR(SUMPRODUCT(('Raw Data'!$B$2:$B$9999="Variant")*('Raw Data'!$A$2:$A$9999=$A15)*('Raw Data'!$C$2:$C$9999=$C$3)*'Raw Data'!$D$2:$D$9999*'Raw Data'!$AI$2:$AI$9999)/SUMIFS('Raw Data'!$D:$D, 'Raw Data'!$B:$B, "Variant", 'Raw Data'!$A:$A, $A15, 'Raw Data'!$C:$C, $C$3),""))</f>
        <v>47.42</v>
      </c>
      <c r="CV15" s="106">
        <f t="shared" si="33"/>
        <v>-0.03006749847</v>
      </c>
      <c r="CW15" s="96">
        <f>IF($A15="","",IFERROR(SUMPRODUCT(('Raw Data'!$B$2:$B$9999="Control")*('Raw Data'!$A$2:$A$9999=$A15)*('Raw Data'!$C$2:$C$9999=$C$3)*'Raw Data'!$D$2:$D$9999*'Raw Data'!$AJ$2:$AJ$9999)/SUMIFS('Raw Data'!$D:$D, 'Raw Data'!$B:$B, "Control", 'Raw Data'!$A:$A, $A15, 'Raw Data'!$C:$C, $C$3),""))</f>
        <v>11.85</v>
      </c>
      <c r="CX15" s="96">
        <f>IF($A15="","",IFERROR(SUMPRODUCT(('Raw Data'!$B$2:$B$9999="Variant")*('Raw Data'!$A$2:$A$9999=$A15)*('Raw Data'!$C$2:$C$9999=$C$3)*'Raw Data'!$D$2:$D$9999*'Raw Data'!$AJ$2:$AJ$9999)/SUMIFS('Raw Data'!$D:$D, 'Raw Data'!$B:$B, "Variant", 'Raw Data'!$A:$A, $A15, 'Raw Data'!$C:$C, $C$3),""))</f>
        <v>9.75</v>
      </c>
      <c r="CY15" s="106">
        <f t="shared" si="34"/>
        <v>-0.1772151899</v>
      </c>
      <c r="CZ15" s="96">
        <f>IF($A15="","",IFERROR(SUMPRODUCT(('Raw Data'!$B$2:$B$9999="Control")*('Raw Data'!$A$2:$A$9999=$A15)*('Raw Data'!$C$2:$C$9999=$C$3)*'Raw Data'!$D$2:$D$9999*'Raw Data'!$AK$2:$AK$9999)/SUMIFS('Raw Data'!$D:$D, 'Raw Data'!$B:$B, "Control", 'Raw Data'!$A:$A, $A15, 'Raw Data'!$C:$C, $C$3),""))</f>
        <v>1.23</v>
      </c>
      <c r="DA15" s="96">
        <f>IF($A15="","",IFERROR(SUMPRODUCT(('Raw Data'!$B$2:$B$9999="Variant")*('Raw Data'!$A$2:$A$9999=$A15)*('Raw Data'!$C$2:$C$9999=$C$3)*'Raw Data'!$D$2:$D$9999*'Raw Data'!$AK$2:$AK$9999)/SUMIFS('Raw Data'!$D:$D, 'Raw Data'!$B:$B, "Variant", 'Raw Data'!$A:$A, $A15, 'Raw Data'!$C:$C, $C$3),""))</f>
        <v>1.91</v>
      </c>
      <c r="DB15" s="105">
        <f t="shared" si="35"/>
        <v>0.5528455285</v>
      </c>
      <c r="DC15" s="102">
        <f>IF($A15="","",IFERROR(SUMPRODUCT(('Raw Data'!$B$2:$B$9999="Control")*('Raw Data'!$A$2:$A$9999=$A15)*('Raw Data'!$C$2:$C$9999=$C$3)*'Raw Data'!$D$2:$D$9999*'Raw Data'!$AL$2:$AL$9999)/SUMIFS('Raw Data'!$D:$D, 'Raw Data'!$B:$B, "Control", 'Raw Data'!$A:$A, $A15, 'Raw Data'!$C:$C, $C$3),""))</f>
        <v>0.0988</v>
      </c>
      <c r="DD15" s="102">
        <f>IF($A15="","",IFERROR(SUMPRODUCT(('Raw Data'!$B$2:$B$9999="Variant")*('Raw Data'!$A$2:$A$9999=$A15)*('Raw Data'!$C$2:$C$9999=$C$3)*'Raw Data'!$D$2:$D$9999*'Raw Data'!$AL$2:$AL$9999)/SUMIFS('Raw Data'!$D:$D, 'Raw Data'!$B:$B, "Variant", 'Raw Data'!$A:$A, $A15, 'Raw Data'!$C:$C, $C$3),""))</f>
        <v>0.086</v>
      </c>
      <c r="DE15" s="105">
        <f t="shared" si="36"/>
        <v>-0.1295546559</v>
      </c>
      <c r="DF15" s="103"/>
      <c r="DG15" s="96">
        <f>IF($A15="","",IFERROR(SUMPRODUCT(('Raw Data'!$B$2:$B$9999="Variant")*('Raw Data'!$A$2:$A$9999=$A15)*('Raw Data'!$C$2:$C$9999=$C$3)*'Raw Data'!$D$2:$D$9999*'Raw Data'!$AM$2:$AM$9999)/SUMIFS('Raw Data'!$D:$D, 'Raw Data'!$B:$B, "Variant", 'Raw Data'!$A:$A, $A15, 'Raw Data'!$C:$C, $C$3),""))</f>
        <v>70.94</v>
      </c>
      <c r="DH15" s="104"/>
      <c r="DI15" s="103"/>
      <c r="DJ15" s="96">
        <f>IF($A15="","",IFERROR(SUMPRODUCT(('Raw Data'!$B$2:$B$9999="Variant")*('Raw Data'!$A$2:$A$9999=$A15)*('Raw Data'!$C$2:$C$9999=$C$3)*'Raw Data'!$D$2:$D$9999*'Raw Data'!$AN$2:$AN$9999)/SUMIFS('Raw Data'!$D:$D, 'Raw Data'!$B:$B, "Variant", 'Raw Data'!$A:$A, $A15, 'Raw Data'!$C:$C, $C$3),""))</f>
        <v>70.94</v>
      </c>
      <c r="DK15" s="104"/>
      <c r="DL15" s="103"/>
      <c r="DM15" s="96">
        <f>IF($A15="","",IFERROR(SUMPRODUCT(('Raw Data'!$B$2:$B$9999="Variant")*('Raw Data'!$A$2:$A$9999=$A15)*('Raw Data'!$C$2:$C$9999=$C$3)*'Raw Data'!$D$2:$D$9999*'Raw Data'!$AO$2:$AO$9999)/SUMIFS('Raw Data'!$D:$D, 'Raw Data'!$B:$B, "Variant", 'Raw Data'!$A:$A, $A15, 'Raw Data'!$C:$C, $C$3),""))</f>
        <v>54.11</v>
      </c>
      <c r="DN15" s="104"/>
      <c r="DO15" s="103"/>
      <c r="DP15" s="96">
        <f>IF($A15="","",IFERROR(SUMPRODUCT(('Raw Data'!$B$2:$B$9999="Variant")*('Raw Data'!$A$2:$A$9999=$A15)*('Raw Data'!$C$2:$C$9999=$C$3)*'Raw Data'!$D$2:$D$9999*'Raw Data'!$AP$2:$AP$9999)/SUMIFS('Raw Data'!$D:$D, 'Raw Data'!$B:$B, "Variant", 'Raw Data'!$A:$A, $A15, 'Raw Data'!$C:$C, $C$3),""))</f>
        <v>41.87</v>
      </c>
      <c r="DQ15" s="104"/>
      <c r="DR15" s="102">
        <f>IF($A15="","",IFERROR(SUMPRODUCT(('Raw Data'!$B$2:$B$9999="Control")*('Raw Data'!$A$2:$A$9999=$A15)*('Raw Data'!$C$2:$C$9999=$C$3)*'Raw Data'!$D$2:$D$9999*'Raw Data'!$AQ$2:$AQ$9999)/SUMIFS('Raw Data'!$D:$D, 'Raw Data'!$B:$B, "Control", 'Raw Data'!$A:$A, $A15, 'Raw Data'!$C:$C, $C$3),""))</f>
        <v>33.2642</v>
      </c>
      <c r="DS15" s="102">
        <f>IF($A15="","",IFERROR(SUMPRODUCT(('Raw Data'!$B$2:$B$9999="Variant")*('Raw Data'!$A$2:$A$9999=$A15)*('Raw Data'!$C$2:$C$9999=$C$3)*'Raw Data'!$D$2:$D$9999*'Raw Data'!$AQ$2:$AQ$9999)/SUMIFS('Raw Data'!$D:$D, 'Raw Data'!$B:$B, "Variant", 'Raw Data'!$A:$A, $A15, 'Raw Data'!$C:$C, $C$3),""))</f>
        <v>33.8929</v>
      </c>
      <c r="DT15" s="107">
        <f t="shared" si="37"/>
        <v>0.01890019901</v>
      </c>
      <c r="DU15" s="102">
        <f>IF($A15="","",IFERROR(SUMPRODUCT(('Raw Data'!$B$2:$B$9999="Control")*('Raw Data'!$A$2:$A$9999=$A15)*('Raw Data'!$C$2:$C$9999=$C$3)*'Raw Data'!$D$2:$D$9999*'Raw Data'!$AR$2:$AR$9999)/SUMIFS('Raw Data'!$D:$D, 'Raw Data'!$B:$B, "Control", 'Raw Data'!$A:$A, $A15, 'Raw Data'!$C:$C, $C$3),""))</f>
        <v>3.1185</v>
      </c>
      <c r="DV15" s="102">
        <f>IF($A15="","",IFERROR(SUMPRODUCT(('Raw Data'!$B$2:$B$9999="Variant")*('Raw Data'!$A$2:$A$9999=$A15)*('Raw Data'!$C$2:$C$9999=$C$3)*'Raw Data'!$D$2:$D$9999*'Raw Data'!$AR$2:$AR$9999)/SUMIFS('Raw Data'!$D:$D, 'Raw Data'!$B:$B, "Variant", 'Raw Data'!$A:$A, $A15, 'Raw Data'!$C:$C, $C$3),""))</f>
        <v>3.5545</v>
      </c>
      <c r="DW15" s="107">
        <f t="shared" si="38"/>
        <v>0.1398108065</v>
      </c>
      <c r="DX15" s="102">
        <f>IF($A15="","",IFERROR(SUMPRODUCT(('Raw Data'!$B$2:$B$9999="Control")*('Raw Data'!$A$2:$A$9999=$A15)*('Raw Data'!$C$2:$C$9999=$C$3)*'Raw Data'!$D$2:$D$9999*'Raw Data'!$AS$2:$AS$9999)/SUMIFS('Raw Data'!$D:$D, 'Raw Data'!$B:$B, "Control", 'Raw Data'!$A:$A, $A15, 'Raw Data'!$C:$C, $C$3),""))</f>
        <v>30.1457</v>
      </c>
      <c r="DY15" s="102">
        <f>IF($A15="","",IFERROR(SUMPRODUCT(('Raw Data'!$B$2:$B$9999="Variant")*('Raw Data'!$A$2:$A$9999=$A15)*('Raw Data'!$C$2:$C$9999=$C$3)*'Raw Data'!$D$2:$D$9999*'Raw Data'!$AS$2:$AS$9999)/SUMIFS('Raw Data'!$D:$D, 'Raw Data'!$B:$B, "Variant", 'Raw Data'!$A:$A, $A15, 'Raw Data'!$C:$C, $C$3),""))</f>
        <v>30.3384</v>
      </c>
      <c r="DZ15" s="107">
        <f t="shared" si="39"/>
        <v>0.006392288121</v>
      </c>
      <c r="EA15" s="102">
        <f>IF($A15="","",IFERROR(SUMPRODUCT(('Raw Data'!$B$2:$B$9999="Control")*('Raw Data'!$A$2:$A$9999=$A15)*('Raw Data'!$C$2:$C$9999=$C$3)*'Raw Data'!$D$2:$D$9999*'Raw Data'!$AT$2:$AT$9999)/SUMIFS('Raw Data'!$D:$D, 'Raw Data'!$B:$B, "Control", 'Raw Data'!$A:$A, $A15, 'Raw Data'!$C:$C, $C$3),""))</f>
        <v>32.4272</v>
      </c>
      <c r="EB15" s="102">
        <f>IF($A15="","",IFERROR(SUMPRODUCT(('Raw Data'!$B$2:$B$9999="Variant")*('Raw Data'!$A$2:$A$9999=$A15)*('Raw Data'!$C$2:$C$9999=$C$3)*'Raw Data'!$D$2:$D$9999*'Raw Data'!$AT$2:$AT$9999)/SUMIFS('Raw Data'!$D:$D, 'Raw Data'!$B:$B, "Variant", 'Raw Data'!$A:$A, $A15, 'Raw Data'!$C:$C, $C$3),""))</f>
        <v>34.0516</v>
      </c>
      <c r="EC15" s="107">
        <f t="shared" si="40"/>
        <v>0.05009374846</v>
      </c>
      <c r="ED15" s="102">
        <f>IF($A15="","",IFERROR(SUMPRODUCT(('Raw Data'!$B$2:$B$9999="Control")*('Raw Data'!$A$2:$A$9999=$A15)*('Raw Data'!$C$2:$C$9999=$C$3)*'Raw Data'!$D$2:$D$9999*('Raw Data'!$AQ$2:$AQ$9999-'Raw Data'!$AT$2:$AT$9999))/SUMIFS('Raw Data'!$D:$D, 'Raw Data'!$B:$B, "Control", 'Raw Data'!$A:$A, $A15, 'Raw Data'!$C:$C, $C$3),""))</f>
        <v>0.837</v>
      </c>
      <c r="EE15" s="102">
        <f>IF($A15="","",IFERROR(SUMPRODUCT(('Raw Data'!$B$2:$B$9999="Variant")*('Raw Data'!$A$2:$A$9999=$A15)*('Raw Data'!$C$2:$C$9999=$C$3)*'Raw Data'!$D$2:$D$9999*('Raw Data'!$AQ$2:$AQ$9999-'Raw Data'!$AT$2:$AT$9999))/SUMIFS('Raw Data'!$D:$D, 'Raw Data'!$B:$B, "Variant", 'Raw Data'!$A:$A, $A15, 'Raw Data'!$C:$C, $C$3),""))</f>
        <v>-0.1587</v>
      </c>
      <c r="EF15" s="107">
        <f t="shared" si="41"/>
        <v>-1.189605735</v>
      </c>
      <c r="EG15" s="102">
        <f>IF($A15="","",IFERROR(SUMPRODUCT(('Raw Data'!$B$2:$B$9999="Control")*('Raw Data'!$A$2:$A$9999=$A15)*('Raw Data'!$C$2:$C$9999=$C$3)*'Raw Data'!$D$2:$D$9999*'Raw Data'!$AU$2:$AU$9999)/SUMIFS('Raw Data'!$D:$D, 'Raw Data'!$B:$B, "Control", 'Raw Data'!$A:$A, $A15, 'Raw Data'!$C:$C, $C$3),""))</f>
        <v>0.2199</v>
      </c>
      <c r="EH15" s="102">
        <f>IF($A15="","",IFERROR(SUMPRODUCT(('Raw Data'!$B$2:$B$9999="Variant")*('Raw Data'!$A$2:$A$9999=$A15)*('Raw Data'!$C$2:$C$9999=$C$3)*'Raw Data'!$D$2:$D$9999*'Raw Data'!$AU$2:$AU$9999)/SUMIFS('Raw Data'!$D:$D, 'Raw Data'!$B:$B, "Variant", 'Raw Data'!$A:$A, $A15, 'Raw Data'!$C:$C, $C$3),""))</f>
        <v>0.2317</v>
      </c>
      <c r="EI15" s="107">
        <f t="shared" si="42"/>
        <v>0.05366075489</v>
      </c>
    </row>
    <row r="16">
      <c r="A16" s="93">
        <v>46184.0</v>
      </c>
      <c r="B16" s="94">
        <f>IF($A16="","",SUMIFS('Raw Data'!$D:$D, 'Raw Data'!$B:$B, "Control", 'Raw Data'!$A:$A, $A16, 'Raw Data'!$C:$C, $C$3))</f>
        <v>405</v>
      </c>
      <c r="C16" s="94">
        <f>IF($A16="","",SUMIFS('Raw Data'!$D:$D, 'Raw Data'!$B:$B, "Variant", 'Raw Data'!$A:$A, $A16, 'Raw Data'!$C:$C, $C$3))</f>
        <v>507</v>
      </c>
      <c r="D16" s="95">
        <f t="shared" si="1"/>
        <v>0.2518518519</v>
      </c>
      <c r="E16" s="96">
        <f>IF($A16="","",IFERROR(SUMPRODUCT(('Raw Data'!$B$2:$B$9999="Control")*('Raw Data'!$A$2:$A$9999=$A16)*('Raw Data'!$C$2:$C$9999=$C$3)*'Raw Data'!$D$2:$D$9999*'Raw Data'!$E$2:$E$9999)/SUMIFS('Raw Data'!$D:$D, 'Raw Data'!$B:$B, "Control", 'Raw Data'!$A:$A, $A16, 'Raw Data'!$C:$C, $C$3),""))</f>
        <v>0.49</v>
      </c>
      <c r="F16" s="96">
        <f>IF($A16="","",IFERROR(SUMPRODUCT(('Raw Data'!$B$2:$B$9999="Variant")*('Raw Data'!$A$2:$A$9999=$A16)*('Raw Data'!$C$2:$C$9999=$C$3)*'Raw Data'!$D$2:$D$9999*'Raw Data'!$E$2:$E$9999)/SUMIFS('Raw Data'!$D:$D, 'Raw Data'!$B:$B, "Variant", 'Raw Data'!$A:$A, $A16, 'Raw Data'!$C:$C, $C$3),""))</f>
        <v>0.61</v>
      </c>
      <c r="G16" s="95">
        <f t="shared" si="2"/>
        <v>0.2448979592</v>
      </c>
      <c r="H16" s="97">
        <f>IF($A16="","",SUMIFS('Raw Data'!$F:$F, 'Raw Data'!$B:$B, "Control", 'Raw Data'!$A:$A, $A16, 'Raw Data'!$C:$C, $C$3))</f>
        <v>1639.28</v>
      </c>
      <c r="I16" s="97">
        <f>IF($A16="","",SUMIFS('Raw Data'!$F:$F, 'Raw Data'!$B:$B, "Variant", 'Raw Data'!$A:$A, $A16, 'Raw Data'!$C:$C, $C$3))</f>
        <v>1867.11</v>
      </c>
      <c r="J16" s="100">
        <f t="shared" si="3"/>
        <v>0.1389817481</v>
      </c>
      <c r="K16" s="99">
        <f>IF($A16="","",IFERROR(SUMIFS('Raw Data'!$F:$F, 'Raw Data'!$B:$B, "Control", 'Raw Data'!$A:$A, $A16, 'Raw Data'!$C:$C, $C$3)/SUMIFS('Raw Data'!$D:$D, 'Raw Data'!$B:$B, "Control", 'Raw Data'!$A:$A, $A16, 'Raw Data'!$C:$C, $C$3),""))</f>
        <v>4.047604938</v>
      </c>
      <c r="L16" s="99">
        <f>IF($A16="","",IFERROR(SUMIFS('Raw Data'!$F:$F, 'Raw Data'!$B:$B, "Variant", 'Raw Data'!$A:$A, $A16, 'Raw Data'!$C:$C, $C$3)/SUMIFS('Raw Data'!$D:$D, 'Raw Data'!$B:$B, "Variant", 'Raw Data'!$A:$A, $A16, 'Raw Data'!$C:$C, $C$3),""))</f>
        <v>3.682662722</v>
      </c>
      <c r="M16" s="98">
        <f t="shared" si="4"/>
        <v>-0.09016250893</v>
      </c>
      <c r="N16" s="96">
        <f>IF($A16="","",IFERROR(SUMPRODUCT(('Raw Data'!$B$2:$B$9999="Control")*('Raw Data'!$A$2:$A$9999=$A16)*('Raw Data'!$C$2:$C$9999=$C$3)*'Raw Data'!$D$2:$D$9999*'Raw Data'!$H$2:$H$9999/100)/SUMIFS('Raw Data'!$D:$D, 'Raw Data'!$B:$B, "Control", 'Raw Data'!$A:$A, $A16, 'Raw Data'!$C:$C, $C$3)*100,""))</f>
        <v>17.78</v>
      </c>
      <c r="O16" s="96">
        <f>IF($A16="","",IFERROR(SUMPRODUCT(('Raw Data'!$B$2:$B$9999="Variant")*('Raw Data'!$A$2:$A$9999=$A16)*('Raw Data'!$C$2:$C$9999=$C$3)*'Raw Data'!$D$2:$D$9999*'Raw Data'!$H$2:$H$9999/100)/SUMIFS('Raw Data'!$D:$D, 'Raw Data'!$B:$B, "Variant", 'Raw Data'!$A:$A, $A16, 'Raw Data'!$C:$C, $C$3)*100,""))</f>
        <v>15.98</v>
      </c>
      <c r="P16" s="105">
        <f t="shared" si="5"/>
        <v>-0.1012373453</v>
      </c>
      <c r="Q16" s="99">
        <f>IF($A16="","",IFERROR(SUMIFS('Raw Data'!$F:$F, 'Raw Data'!$B:$B, "Control", 'Raw Data'!$A:$A, $A16, 'Raw Data'!$C:$C, $C$3)/SUMPRODUCT(('Raw Data'!$B$2:$B$9999="Control")*('Raw Data'!$A$2:$A$9999=$A16)*('Raw Data'!$C$2:$C$9999=$C$3)*'Raw Data'!$D$2:$D$9999*'Raw Data'!$H$2:$H$9999/100),""))</f>
        <v>22.76493216</v>
      </c>
      <c r="R16" s="99">
        <f>IF($A16="","",IFERROR(SUMIFS('Raw Data'!$F:$F, 'Raw Data'!$B:$B, "Variant", 'Raw Data'!$A:$A, $A16, 'Raw Data'!$C:$C, $C$3)/SUMPRODUCT(('Raw Data'!$B$2:$B$9999="Variant")*('Raw Data'!$A$2:$A$9999=$A16)*('Raw Data'!$C$2:$C$9999=$C$3)*'Raw Data'!$D$2:$D$9999*'Raw Data'!$H$2:$H$9999/100),""))</f>
        <v>23.04544882</v>
      </c>
      <c r="S16" s="105">
        <f t="shared" si="6"/>
        <v>0.01232231485</v>
      </c>
      <c r="T16" s="101">
        <f>IF($A16="","",IFERROR(SUMPRODUCT(('Raw Data'!$B$2:$B$9999="Control")*('Raw Data'!$A$2:$A$9999=$A16)*('Raw Data'!$C$2:$C$9999=$C$3)*'Raw Data'!$D$2:$D$9999*'Raw Data'!$J$2:$J$9999)/SUMIFS('Raw Data'!$D:$D, 'Raw Data'!$B:$B, "Control", 'Raw Data'!$A:$A, $A16, 'Raw Data'!$C:$C, $C$3),""))</f>
        <v>228.76</v>
      </c>
      <c r="U16" s="101">
        <f>IF($A16="","",IFERROR(SUMPRODUCT(('Raw Data'!$B$2:$B$9999="Variant")*('Raw Data'!$A$2:$A$9999=$A16)*('Raw Data'!$C$2:$C$9999=$C$3)*'Raw Data'!$D$2:$D$9999*'Raw Data'!$J$2:$J$9999)/SUMIFS('Raw Data'!$D:$D, 'Raw Data'!$B:$B, "Variant", 'Raw Data'!$A:$A, $A16, 'Raw Data'!$C:$C, $C$3),""))</f>
        <v>229.99</v>
      </c>
      <c r="V16" s="105">
        <f t="shared" si="7"/>
        <v>0.005376814128</v>
      </c>
      <c r="W16" s="101">
        <f>IF($A16="","",IFERROR(SUMPRODUCT(('Raw Data'!$B$2:$B$9999="Control")*('Raw Data'!$A$2:$A$9999=$A16)*('Raw Data'!$C$2:$C$9999=$C$3)*'Raw Data'!$D$2:$D$9999*'Raw Data'!$K$2:$K$9999)/SUMIFS('Raw Data'!$D:$D, 'Raw Data'!$B:$B, "Control", 'Raw Data'!$A:$A, $A16, 'Raw Data'!$C:$C, $C$3),""))</f>
        <v>143.78</v>
      </c>
      <c r="X16" s="101">
        <f>IF($A16="","",IFERROR(SUMPRODUCT(('Raw Data'!$B$2:$B$9999="Variant")*('Raw Data'!$A$2:$A$9999=$A16)*('Raw Data'!$C$2:$C$9999=$C$3)*'Raw Data'!$D$2:$D$9999*'Raw Data'!$K$2:$K$9999)/SUMIFS('Raw Data'!$D:$D, 'Raw Data'!$B:$B, "Variant", 'Raw Data'!$A:$A, $A16, 'Raw Data'!$C:$C, $C$3),""))</f>
        <v>138.19</v>
      </c>
      <c r="Y16" s="105">
        <f t="shared" si="8"/>
        <v>-0.03887884268</v>
      </c>
      <c r="Z16" s="101">
        <f>IF($A16="","",IFERROR(SUMPRODUCT(('Raw Data'!$B$2:$B$9999="Control")*('Raw Data'!$A$2:$A$9999=$A16)*('Raw Data'!$C$2:$C$9999=$C$3)*'Raw Data'!$D$2:$D$9999*'Raw Data'!$L$2:$L$9999)/SUMIFS('Raw Data'!$D:$D, 'Raw Data'!$B:$B, "Control", 'Raw Data'!$A:$A, $A16, 'Raw Data'!$C:$C, $C$3),""))</f>
        <v>122.11</v>
      </c>
      <c r="AA16" s="101">
        <f>IF($A16="","",IFERROR(SUMPRODUCT(('Raw Data'!$B$2:$B$9999="Variant")*('Raw Data'!$A$2:$A$9999=$A16)*('Raw Data'!$C$2:$C$9999=$C$3)*'Raw Data'!$D$2:$D$9999*'Raw Data'!$L$2:$L$9999)/SUMIFS('Raw Data'!$D:$D, 'Raw Data'!$B:$B, "Variant", 'Raw Data'!$A:$A, $A16, 'Raw Data'!$C:$C, $C$3),""))</f>
        <v>117.29</v>
      </c>
      <c r="AB16" s="105">
        <f t="shared" si="9"/>
        <v>-0.03947260667</v>
      </c>
      <c r="AC16" s="102">
        <f>IF($A16="","",IFERROR(SUMPRODUCT(('Raw Data'!$B$2:$B$9999="Control")*('Raw Data'!$A$2:$A$9999=$A16)*('Raw Data'!$C$2:$C$9999=$C$3)*'Raw Data'!$D$2:$D$9999*'Raw Data'!$M$2:$M$9999)/SUMIFS('Raw Data'!$D:$D, 'Raw Data'!$B:$B, "Control", 'Raw Data'!$A:$A, $A16, 'Raw Data'!$C:$C, $C$3),""))</f>
        <v>0.8493</v>
      </c>
      <c r="AD16" s="102">
        <f>IF($A16="","",IFERROR(SUMPRODUCT(('Raw Data'!$B$2:$B$9999="Variant")*('Raw Data'!$A$2:$A$9999=$A16)*('Raw Data'!$C$2:$C$9999=$C$3)*'Raw Data'!$D$2:$D$9999*'Raw Data'!$M$2:$M$9999)/SUMIFS('Raw Data'!$D:$D, 'Raw Data'!$B:$B, "Variant", 'Raw Data'!$A:$A, $A16, 'Raw Data'!$C:$C, $C$3),""))</f>
        <v>0.8488</v>
      </c>
      <c r="AE16" s="106">
        <f t="shared" si="10"/>
        <v>-0.0005887201225</v>
      </c>
      <c r="AF16" s="102">
        <f>IF($A16="","",IFERROR(SUMPRODUCT(('Raw Data'!$B$2:$B$9999="Control")*('Raw Data'!$A$2:$A$9999=$A16)*('Raw Data'!$C$2:$C$9999=$C$3)*'Raw Data'!$D$2:$D$9999*'Raw Data'!$N$2:$N$9999)/SUMIFS('Raw Data'!$D:$D, 'Raw Data'!$B:$B, "Control", 'Raw Data'!$A:$A, $A16, 'Raw Data'!$C:$C, $C$3),""))</f>
        <v>0.2824</v>
      </c>
      <c r="AG16" s="102">
        <f>IF($A16="","",IFERROR(SUMPRODUCT(('Raw Data'!$B$2:$B$9999="Variant")*('Raw Data'!$A$2:$A$9999=$A16)*('Raw Data'!$C$2:$C$9999=$C$3)*'Raw Data'!$D$2:$D$9999*'Raw Data'!$N$2:$N$9999)/SUMIFS('Raw Data'!$D:$D, 'Raw Data'!$B:$B, "Variant", 'Raw Data'!$A:$A, $A16, 'Raw Data'!$C:$C, $C$3),""))</f>
        <v>0.2854</v>
      </c>
      <c r="AH16" s="106">
        <f t="shared" si="11"/>
        <v>0.01062322946</v>
      </c>
      <c r="AI16" s="102">
        <f>IF($A16="","",IFERROR(SUMPRODUCT(('Raw Data'!$B$2:$B$9999="Control")*('Raw Data'!$A$2:$A$9999=$A16)*('Raw Data'!$C$2:$C$9999=$C$3)*'Raw Data'!$D$2:$D$9999*'Raw Data'!$O$2:$O$9999)/SUMIFS('Raw Data'!$D:$D, 'Raw Data'!$B:$B, "Control", 'Raw Data'!$A:$A, $A16, 'Raw Data'!$C:$C, $C$3),""))</f>
        <v>0.1973</v>
      </c>
      <c r="AJ16" s="102">
        <f>IF($A16="","",IFERROR(SUMPRODUCT(('Raw Data'!$B$2:$B$9999="Variant")*('Raw Data'!$A$2:$A$9999=$A16)*('Raw Data'!$C$2:$C$9999=$C$3)*'Raw Data'!$D$2:$D$9999*'Raw Data'!$O$2:$O$9999)/SUMIFS('Raw Data'!$D:$D, 'Raw Data'!$B:$B, "Variant", 'Raw Data'!$A:$A, $A16, 'Raw Data'!$C:$C, $C$3),""))</f>
        <v>0.1999</v>
      </c>
      <c r="AK16" s="105">
        <f t="shared" si="12"/>
        <v>0.01317790167</v>
      </c>
      <c r="AL16" s="101">
        <f>IF($A16="","",IFERROR(SUMPRODUCT(('Raw Data'!$B$2:$B$9999="Control")*('Raw Data'!$A$2:$A$9999=$A16)*('Raw Data'!$C$2:$C$9999=$C$3)*'Raw Data'!$D$2:$D$9999*'Raw Data'!$P$2:$P$9999)/SUMIFS('Raw Data'!$D:$D, 'Raw Data'!$B:$B, "Control", 'Raw Data'!$A:$A, $A16, 'Raw Data'!$C:$C, $C$3),""))</f>
        <v>1.1775</v>
      </c>
      <c r="AM16" s="101">
        <f>IF($A16="","",IFERROR(SUMPRODUCT(('Raw Data'!$B$2:$B$9999="Variant")*('Raw Data'!$A$2:$A$9999=$A16)*('Raw Data'!$C$2:$C$9999=$C$3)*'Raw Data'!$D$2:$D$9999*'Raw Data'!$P$2:$P$9999)/SUMIFS('Raw Data'!$D:$D, 'Raw Data'!$B:$B, "Variant", 'Raw Data'!$A:$A, $A16, 'Raw Data'!$C:$C, $C$3),""))</f>
        <v>1.1782</v>
      </c>
      <c r="AN16" s="105">
        <f t="shared" si="13"/>
        <v>0.0005944798301</v>
      </c>
      <c r="AO16" s="101">
        <f>IF($A16="","",IFERROR(SUMPRODUCT(('Raw Data'!$B$2:$B$9999="Control")*('Raw Data'!$A$2:$A$9999=$A16)*('Raw Data'!$C$2:$C$9999=$C$3)*'Raw Data'!$D$2:$D$9999*'Raw Data'!$Q$2:$Q$9999)/SUMIFS('Raw Data'!$D:$D, 'Raw Data'!$B:$B, "Control", 'Raw Data'!$A:$A, $A16, 'Raw Data'!$C:$C, $C$3),""))</f>
        <v>848.77</v>
      </c>
      <c r="AP16" s="101">
        <f>IF($A16="","",IFERROR(SUMPRODUCT(('Raw Data'!$B$2:$B$9999="Variant")*('Raw Data'!$A$2:$A$9999=$A16)*('Raw Data'!$C$2:$C$9999=$C$3)*'Raw Data'!$D$2:$D$9999*'Raw Data'!$Q$2:$Q$9999)/SUMIFS('Raw Data'!$D:$D, 'Raw Data'!$B:$B, "Variant", 'Raw Data'!$A:$A, $A16, 'Raw Data'!$C:$C, $C$3),""))</f>
        <v>773.69</v>
      </c>
      <c r="AQ16" s="95">
        <f t="shared" si="14"/>
        <v>-0.08845741485</v>
      </c>
      <c r="AR16" s="101">
        <f>IF($A16="","",IFERROR(SUMPRODUCT(('Raw Data'!$B$2:$B$9999="Control")*('Raw Data'!$A$2:$A$9999=$A16)*('Raw Data'!$C$2:$C$9999=$C$3)*'Raw Data'!$D$2:$D$9999*'Raw Data'!$R$2:$R$9999)/SUMIFS('Raw Data'!$D:$D, 'Raw Data'!$B:$B, "Control", 'Raw Data'!$A:$A, $A16, 'Raw Data'!$C:$C, $C$3),""))</f>
        <v>587.47</v>
      </c>
      <c r="AS16" s="101">
        <f>IF($A16="","",IFERROR(SUMPRODUCT(('Raw Data'!$B$2:$B$9999="Variant")*('Raw Data'!$A$2:$A$9999=$A16)*('Raw Data'!$C$2:$C$9999=$C$3)*'Raw Data'!$D$2:$D$9999*'Raw Data'!$R$2:$R$9999)/SUMIFS('Raw Data'!$D:$D, 'Raw Data'!$B:$B, "Variant", 'Raw Data'!$A:$A, $A16, 'Raw Data'!$C:$C, $C$3),""))</f>
        <v>684.25</v>
      </c>
      <c r="AT16" s="95">
        <f t="shared" si="15"/>
        <v>0.1647403272</v>
      </c>
      <c r="AU16" s="101">
        <f>IF($A16="","",IFERROR(SUMPRODUCT(('Raw Data'!$B$2:$B$9999="Control")*('Raw Data'!$A$2:$A$9999=$A16)*('Raw Data'!$C$2:$C$9999=$C$3)*'Raw Data'!$D$2:$D$9999*'Raw Data'!$S$2:$S$9999)/SUMIFS('Raw Data'!$D:$D, 'Raw Data'!$B:$B, "Control", 'Raw Data'!$A:$A, $A16, 'Raw Data'!$C:$C, $C$3),""))</f>
        <v>261.3</v>
      </c>
      <c r="AV16" s="101">
        <f>IF($A16="","",IFERROR(SUMPRODUCT(('Raw Data'!$B$2:$B$9999="Variant")*('Raw Data'!$A$2:$A$9999=$A16)*('Raw Data'!$C$2:$C$9999=$C$3)*'Raw Data'!$D$2:$D$9999*'Raw Data'!$S$2:$S$9999)/SUMIFS('Raw Data'!$D:$D, 'Raw Data'!$B:$B, "Variant", 'Raw Data'!$A:$A, $A16, 'Raw Data'!$C:$C, $C$3),""))</f>
        <v>89.44</v>
      </c>
      <c r="AW16" s="95">
        <f t="shared" si="16"/>
        <v>-0.6577114428</v>
      </c>
      <c r="AX16" s="101">
        <f>IF($A16="","",IFERROR(SUMPRODUCT(('Raw Data'!$B$2:$B$9999="Control")*('Raw Data'!$A$2:$A$9999=$A16)*('Raw Data'!$C$2:$C$9999=$C$3)*'Raw Data'!$D$2:$D$9999*'Raw Data'!$T$2:$T$9999)/SUMIFS('Raw Data'!$D:$D, 'Raw Data'!$B:$B, "Control", 'Raw Data'!$A:$A, $A16, 'Raw Data'!$C:$C, $C$3),""))</f>
        <v>251.54</v>
      </c>
      <c r="AY16" s="101">
        <f>IF($A16="","",IFERROR(SUMPRODUCT(('Raw Data'!$B$2:$B$9999="Variant")*('Raw Data'!$A$2:$A$9999=$A16)*('Raw Data'!$C$2:$C$9999=$C$3)*'Raw Data'!$D$2:$D$9999*'Raw Data'!$T$2:$T$9999)/SUMIFS('Raw Data'!$D:$D, 'Raw Data'!$B:$B, "Variant", 'Raw Data'!$A:$A, $A16, 'Raw Data'!$C:$C, $C$3),""))</f>
        <v>240.58</v>
      </c>
      <c r="AZ16" s="105">
        <f t="shared" si="17"/>
        <v>-0.04357159895</v>
      </c>
      <c r="BA16" s="101">
        <f>IF($A16="","",IFERROR(SUMPRODUCT(('Raw Data'!$B$2:$B$9999="Control")*('Raw Data'!$A$2:$A$9999=$A16)*('Raw Data'!$C$2:$C$9999=$C$3)*'Raw Data'!$D$2:$D$9999*'Raw Data'!$U$2:$U$9999)/SUMIFS('Raw Data'!$D:$D, 'Raw Data'!$B:$B, "Control", 'Raw Data'!$A:$A, $A16, 'Raw Data'!$C:$C, $C$3),""))</f>
        <v>597.23</v>
      </c>
      <c r="BB16" s="101">
        <f>IF($A16="","",IFERROR(SUMPRODUCT(('Raw Data'!$B$2:$B$9999="Variant")*('Raw Data'!$A$2:$A$9999=$A16)*('Raw Data'!$C$2:$C$9999=$C$3)*'Raw Data'!$D$2:$D$9999*'Raw Data'!$U$2:$U$9999)/SUMIFS('Raw Data'!$D:$D, 'Raw Data'!$B:$B, "Variant", 'Raw Data'!$A:$A, $A16, 'Raw Data'!$C:$C, $C$3),""))</f>
        <v>533.11</v>
      </c>
      <c r="BC16" s="95">
        <f t="shared" si="18"/>
        <v>-0.1073623227</v>
      </c>
      <c r="BD16" s="101">
        <f>IF($A16="","",IFERROR(SUMPRODUCT(('Raw Data'!$B$2:$B$9999="Control")*('Raw Data'!$A$2:$A$9999=$A16)*('Raw Data'!$C$2:$C$9999=$C$3)*'Raw Data'!$D$2:$D$9999*'Raw Data'!$V$2:$V$9999)/SUMIFS('Raw Data'!$D:$D, 'Raw Data'!$B:$B, "Control", 'Raw Data'!$A:$A, $A16, 'Raw Data'!$C:$C, $C$3),""))</f>
        <v>969.26</v>
      </c>
      <c r="BE16" s="101">
        <f>IF($A16="","",IFERROR(SUMPRODUCT(('Raw Data'!$B$2:$B$9999="Variant")*('Raw Data'!$A$2:$A$9999=$A16)*('Raw Data'!$C$2:$C$9999=$C$3)*'Raw Data'!$D$2:$D$9999*'Raw Data'!$V$2:$V$9999)/SUMIFS('Raw Data'!$D:$D, 'Raw Data'!$B:$B, "Variant", 'Raw Data'!$A:$A, $A16, 'Raw Data'!$C:$C, $C$3),""))</f>
        <v>776.63</v>
      </c>
      <c r="BF16" s="95">
        <f t="shared" si="19"/>
        <v>-0.1987392444</v>
      </c>
      <c r="BG16" s="101">
        <f>IF($A16="","",IFERROR(SUMPRODUCT(('Raw Data'!$B$2:$B$9999="Control")*('Raw Data'!$A$2:$A$9999=$A16)*('Raw Data'!$C$2:$C$9999=$C$3)*'Raw Data'!$D$2:$D$9999*('Raw Data'!$Q$2:$Q$9999-'Raw Data'!$V$2:$V$9999))/SUMIFS('Raw Data'!$D:$D, 'Raw Data'!$B:$B, "Control", 'Raw Data'!$A:$A, $A16, 'Raw Data'!$C:$C, $C$3),""))</f>
        <v>-120.49</v>
      </c>
      <c r="BH16" s="101">
        <f>IF($A16="","",IFERROR(SUMPRODUCT(('Raw Data'!$B$2:$B$9999="Variant")*('Raw Data'!$A$2:$A$9999=$A16)*('Raw Data'!$C$2:$C$9999=$C$3)*'Raw Data'!$D$2:$D$9999*('Raw Data'!$Q$2:$Q$9999-'Raw Data'!$V$2:$V$9999))/SUMIFS('Raw Data'!$D:$D, 'Raw Data'!$B:$B, "Variant", 'Raw Data'!$A:$A, $A16, 'Raw Data'!$C:$C, $C$3),""))</f>
        <v>-2.94</v>
      </c>
      <c r="BI16" s="95">
        <f t="shared" si="20"/>
        <v>0.9755996348</v>
      </c>
      <c r="BJ16" s="101">
        <f>IF($A16="","",IFERROR(SUMPRODUCT(('Raw Data'!$B$2:$B$9999="Control")*('Raw Data'!$A$2:$A$9999=$A16)*('Raw Data'!$C$2:$C$9999=$C$3)*'Raw Data'!$D$2:$D$9999*'Raw Data'!$W$2:$W$9999)/SUMIFS('Raw Data'!$D:$D, 'Raw Data'!$B:$B, "Control", 'Raw Data'!$A:$A, $A16, 'Raw Data'!$C:$C, $C$3),""))</f>
        <v>6.7413</v>
      </c>
      <c r="BK16" s="101">
        <f>IF($A16="","",IFERROR(SUMPRODUCT(('Raw Data'!$B$2:$B$9999="Variant")*('Raw Data'!$A$2:$A$9999=$A16)*('Raw Data'!$C$2:$C$9999=$C$3)*'Raw Data'!$D$2:$D$9999*'Raw Data'!$W$2:$W$9999)/SUMIFS('Raw Data'!$D:$D, 'Raw Data'!$B:$B, "Variant", 'Raw Data'!$A:$A, $A16, 'Raw Data'!$C:$C, $C$3),""))</f>
        <v>5.62</v>
      </c>
      <c r="BL16" s="95">
        <f t="shared" si="21"/>
        <v>-0.1663329031</v>
      </c>
      <c r="BM16" s="102">
        <f>IF($A16="","",IFERROR(SUMPRODUCT(('Raw Data'!$B$2:$B$9999="Control")*('Raw Data'!$A$2:$A$9999=$A16)*('Raw Data'!$C$2:$C$9999=$C$3)*'Raw Data'!$D$2:$D$9999*'Raw Data'!$X$2:$X$9999)/SUMIFS('Raw Data'!$D:$D, 'Raw Data'!$B:$B, "Control", 'Raw Data'!$A:$A, $A16, 'Raw Data'!$C:$C, $C$3),""))</f>
        <v>29.64</v>
      </c>
      <c r="BN16" s="102">
        <f>IF($A16="","",IFERROR(SUMPRODUCT(('Raw Data'!$B$2:$B$9999="Variant")*('Raw Data'!$A$2:$A$9999=$A16)*('Raw Data'!$C$2:$C$9999=$C$3)*'Raw Data'!$D$2:$D$9999*'Raw Data'!$X$2:$X$9999)/SUMIFS('Raw Data'!$D:$D, 'Raw Data'!$B:$B, "Variant", 'Raw Data'!$A:$A, $A16, 'Raw Data'!$C:$C, $C$3),""))</f>
        <v>31.1</v>
      </c>
      <c r="BO16" s="105">
        <f t="shared" si="22"/>
        <v>0.04925775978</v>
      </c>
      <c r="BP16" s="94">
        <f>IF($A16="","",IFERROR(SUMPRODUCT(('Raw Data'!$B$2:$B$9999="Control")*('Raw Data'!$A$2:$A$9999=$A16)*('Raw Data'!$C$2:$C$9999=$C$3)*'Raw Data'!$D$2:$D$9999*'Raw Data'!$Y$2:$Y$9999)/SUMIFS('Raw Data'!$D:$D, 'Raw Data'!$B:$B, "Control", 'Raw Data'!$A:$A, $A16, 'Raw Data'!$C:$C, $C$3),""))</f>
        <v>366</v>
      </c>
      <c r="BQ16" s="94">
        <f>IF($A16="","",IFERROR(SUMPRODUCT(('Raw Data'!$B$2:$B$9999="Variant")*('Raw Data'!$A$2:$A$9999=$A16)*('Raw Data'!$C$2:$C$9999=$C$3)*'Raw Data'!$D$2:$D$9999*'Raw Data'!$Y$2:$Y$9999)/SUMIFS('Raw Data'!$D:$D, 'Raw Data'!$B:$B, "Variant", 'Raw Data'!$A:$A, $A16, 'Raw Data'!$C:$C, $C$3),""))</f>
        <v>356</v>
      </c>
      <c r="BR16" s="95">
        <f t="shared" si="23"/>
        <v>-0.02732240437</v>
      </c>
      <c r="BS16" s="94">
        <f>IF($A16="","",IFERROR(SUMPRODUCT(('Raw Data'!$B$2:$B$9999="Control")*('Raw Data'!$A$2:$A$9999=$A16)*('Raw Data'!$C$2:$C$9999=$C$3)*'Raw Data'!$D$2:$D$9999*'Raw Data'!$Z$2:$Z$9999)/SUMIFS('Raw Data'!$D:$D, 'Raw Data'!$B:$B, "Control", 'Raw Data'!$A:$A, $A16, 'Raw Data'!$C:$C, $C$3),""))</f>
        <v>2986</v>
      </c>
      <c r="BT16" s="94">
        <f>IF($A16="","",IFERROR(SUMPRODUCT(('Raw Data'!$B$2:$B$9999="Variant")*('Raw Data'!$A$2:$A$9999=$A16)*('Raw Data'!$C$2:$C$9999=$C$3)*'Raw Data'!$D$2:$D$9999*'Raw Data'!$Z$2:$Z$9999)/SUMIFS('Raw Data'!$D:$D, 'Raw Data'!$B:$B, "Variant", 'Raw Data'!$A:$A, $A16, 'Raw Data'!$C:$C, $C$3),""))</f>
        <v>2797</v>
      </c>
      <c r="BU16" s="95">
        <f t="shared" si="24"/>
        <v>-0.06329537843</v>
      </c>
      <c r="BV16" s="94">
        <f>IF($A16="","",IFERROR(SUMPRODUCT(('Raw Data'!$B$2:$B$9999="Control")*('Raw Data'!$A$2:$A$9999=$A16)*('Raw Data'!$C$2:$C$9999=$C$3)*'Raw Data'!$D$2:$D$9999*'Raw Data'!$AA$2:$AA$9999)/SUMIFS('Raw Data'!$D:$D, 'Raw Data'!$B:$B, "Control", 'Raw Data'!$A:$A, $A16, 'Raw Data'!$C:$C, $C$3),""))</f>
        <v>10258</v>
      </c>
      <c r="BW16" s="94">
        <f>IF($A16="","",IFERROR(SUMPRODUCT(('Raw Data'!$B$2:$B$9999="Variant")*('Raw Data'!$A$2:$A$9999=$A16)*('Raw Data'!$C$2:$C$9999=$C$3)*'Raw Data'!$D$2:$D$9999*'Raw Data'!$AA$2:$AA$9999)/SUMIFS('Raw Data'!$D:$D, 'Raw Data'!$B:$B, "Variant", 'Raw Data'!$A:$A, $A16, 'Raw Data'!$C:$C, $C$3),""))</f>
        <v>10313</v>
      </c>
      <c r="BX16" s="95">
        <f t="shared" si="25"/>
        <v>0.005361668941</v>
      </c>
      <c r="BY16" s="101">
        <f>IF($A16="","",IFERROR(SUMPRODUCT(('Raw Data'!$B$2:$B$9999="Control")*('Raw Data'!$A$2:$A$9999=$A16)*('Raw Data'!$C$2:$C$9999=$C$3)*'Raw Data'!$D$2:$D$9999*'Raw Data'!$AB$2:$AB$9999)/SUMIFS('Raw Data'!$D:$D, 'Raw Data'!$B:$B, "Control", 'Raw Data'!$A:$A, $A16, 'Raw Data'!$C:$C, $C$3),""))</f>
        <v>62.4966</v>
      </c>
      <c r="BZ16" s="101">
        <f>IF($A16="","",IFERROR(SUMPRODUCT(('Raw Data'!$B$2:$B$9999="Variant")*('Raw Data'!$A$2:$A$9999=$A16)*('Raw Data'!$C$2:$C$9999=$C$3)*'Raw Data'!$D$2:$D$9999*'Raw Data'!$AB$2:$AB$9999)/SUMIFS('Raw Data'!$D:$D, 'Raw Data'!$B:$B, "Variant", 'Raw Data'!$A:$A, $A16, 'Raw Data'!$C:$C, $C$3),""))</f>
        <v>62.3554</v>
      </c>
      <c r="CA16" s="105">
        <f t="shared" si="26"/>
        <v>-0.002259322907</v>
      </c>
      <c r="CB16" s="101">
        <f>IF($A16="","",IFERROR(SUMPRODUCT(('Raw Data'!$B$2:$B$9999="Control")*('Raw Data'!$A$2:$A$9999=$A16)*('Raw Data'!$C$2:$C$9999=$C$3)*'Raw Data'!$D$2:$D$9999*'Raw Data'!$AC$2:$AC$9999)/SUMIFS('Raw Data'!$D:$D, 'Raw Data'!$B:$B, "Control", 'Raw Data'!$A:$A, $A16, 'Raw Data'!$C:$C, $C$3),""))</f>
        <v>0.8876</v>
      </c>
      <c r="CC16" s="101">
        <f>IF($A16="","",IFERROR(SUMPRODUCT(('Raw Data'!$B$2:$B$9999="Variant")*('Raw Data'!$A$2:$A$9999=$A16)*('Raw Data'!$C$2:$C$9999=$C$3)*'Raw Data'!$D$2:$D$9999*'Raw Data'!$AC$2:$AC$9999)/SUMIFS('Raw Data'!$D:$D, 'Raw Data'!$B:$B, "Variant", 'Raw Data'!$A:$A, $A16, 'Raw Data'!$C:$C, $C$3),""))</f>
        <v>0.8704</v>
      </c>
      <c r="CD16" s="105">
        <f t="shared" si="27"/>
        <v>-0.01937809824</v>
      </c>
      <c r="CE16" s="101">
        <f>IF($A16="","",IFERROR(SUMPRODUCT(('Raw Data'!$B$2:$B$9999="Control")*('Raw Data'!$A$2:$A$9999=$A16)*('Raw Data'!$C$2:$C$9999=$C$3)*'Raw Data'!$D$2:$D$9999*'Raw Data'!$AD$2:$AD$9999)/SUMIFS('Raw Data'!$D:$D, 'Raw Data'!$B:$B, "Control", 'Raw Data'!$A:$A, $A16, 'Raw Data'!$C:$C, $C$3),""))</f>
        <v>84.91</v>
      </c>
      <c r="CF16" s="101">
        <f>IF($A16="","",IFERROR(SUMPRODUCT(('Raw Data'!$B$2:$B$9999="Variant")*('Raw Data'!$A$2:$A$9999=$A16)*('Raw Data'!$C$2:$C$9999=$C$3)*'Raw Data'!$D$2:$D$9999*'Raw Data'!$AD$2:$AD$9999)/SUMIFS('Raw Data'!$D:$D, 'Raw Data'!$B:$B, "Variant", 'Raw Data'!$A:$A, $A16, 'Raw Data'!$C:$C, $C$3),""))</f>
        <v>82.24</v>
      </c>
      <c r="CG16" s="105">
        <f t="shared" si="28"/>
        <v>-0.03144505947</v>
      </c>
      <c r="CH16" s="101">
        <f>IF($A16="","",IFERROR(SUMPRODUCT(('Raw Data'!$B$2:$B$9999="Control")*('Raw Data'!$A$2:$A$9999=$A16)*('Raw Data'!$C$2:$C$9999=$C$3)*'Raw Data'!$D$2:$D$9999*'Raw Data'!$AE$2:$AE$9999)/SUMIFS('Raw Data'!$D:$D, 'Raw Data'!$B:$B, "Control", 'Raw Data'!$A:$A, $A16, 'Raw Data'!$C:$C, $C$3),""))</f>
        <v>34</v>
      </c>
      <c r="CI16" s="101">
        <f>IF($A16="","",IFERROR(SUMPRODUCT(('Raw Data'!$B$2:$B$9999="Variant")*('Raw Data'!$A$2:$A$9999=$A16)*('Raw Data'!$C$2:$C$9999=$C$3)*'Raw Data'!$D$2:$D$9999*'Raw Data'!$AE$2:$AE$9999)/SUMIFS('Raw Data'!$D:$D, 'Raw Data'!$B:$B, "Variant", 'Raw Data'!$A:$A, $A16, 'Raw Data'!$C:$C, $C$3),""))</f>
        <v>32</v>
      </c>
      <c r="CJ16" s="105">
        <f t="shared" si="29"/>
        <v>-0.05882352941</v>
      </c>
      <c r="CK16" s="101">
        <f>IF($A16="","",IFERROR(SUMPRODUCT(('Raw Data'!$B$2:$B$9999="Control")*('Raw Data'!$A$2:$A$9999=$A16)*('Raw Data'!$C$2:$C$9999=$C$3)*'Raw Data'!$D$2:$D$9999*'Raw Data'!$AF$2:$AF$9999)/SUMIFS('Raw Data'!$D:$D, 'Raw Data'!$B:$B, "Control", 'Raw Data'!$A:$A, $A16, 'Raw Data'!$C:$C, $C$3),""))</f>
        <v>67</v>
      </c>
      <c r="CL16" s="101">
        <f>IF($A16="","",IFERROR(SUMPRODUCT(('Raw Data'!$B$2:$B$9999="Variant")*('Raw Data'!$A$2:$A$9999=$A16)*('Raw Data'!$C$2:$C$9999=$C$3)*'Raw Data'!$D$2:$D$9999*'Raw Data'!$AF$2:$AF$9999)/SUMIFS('Raw Data'!$D:$D, 'Raw Data'!$B:$B, "Variant", 'Raw Data'!$A:$A, $A16, 'Raw Data'!$C:$C, $C$3),""))</f>
        <v>68</v>
      </c>
      <c r="CM16" s="105">
        <f t="shared" si="30"/>
        <v>0.01492537313</v>
      </c>
      <c r="CN16" s="101">
        <f>IF($A16="","",IFERROR(SUMPRODUCT(('Raw Data'!$B$2:$B$9999="Control")*('Raw Data'!$A$2:$A$9999=$A16)*('Raw Data'!$C$2:$C$9999=$C$3)*'Raw Data'!$D$2:$D$9999*'Raw Data'!$AG$2:$AG$9999)/SUMIFS('Raw Data'!$D:$D, 'Raw Data'!$B:$B, "Control", 'Raw Data'!$A:$A, $A16, 'Raw Data'!$C:$C, $C$3),""))</f>
        <v>119</v>
      </c>
      <c r="CO16" s="101">
        <f>IF($A16="","",IFERROR(SUMPRODUCT(('Raw Data'!$B$2:$B$9999="Variant")*('Raw Data'!$A$2:$A$9999=$A16)*('Raw Data'!$C$2:$C$9999=$C$3)*'Raw Data'!$D$2:$D$9999*'Raw Data'!$AG$2:$AG$9999)/SUMIFS('Raw Data'!$D:$D, 'Raw Data'!$B:$B, "Variant", 'Raw Data'!$A:$A, $A16, 'Raw Data'!$C:$C, $C$3),""))</f>
        <v>116</v>
      </c>
      <c r="CP16" s="105">
        <f t="shared" si="31"/>
        <v>-0.02521008403</v>
      </c>
      <c r="CQ16" s="101">
        <f>IF($A16="","",IFERROR(SUMPRODUCT(('Raw Data'!$B$2:$B$9999="Control")*('Raw Data'!$A$2:$A$9999=$A16)*('Raw Data'!$C$2:$C$9999=$C$3)*'Raw Data'!$D$2:$D$9999*'Raw Data'!$AH$2:$AH$9999)/SUMIFS('Raw Data'!$D:$D, 'Raw Data'!$B:$B, "Control", 'Raw Data'!$A:$A, $A16, 'Raw Data'!$C:$C, $C$3),""))</f>
        <v>179</v>
      </c>
      <c r="CR16" s="101">
        <f>IF($A16="","",IFERROR(SUMPRODUCT(('Raw Data'!$B$2:$B$9999="Variant")*('Raw Data'!$A$2:$A$9999=$A16)*('Raw Data'!$C$2:$C$9999=$C$3)*'Raw Data'!$D$2:$D$9999*'Raw Data'!$AH$2:$AH$9999)/SUMIFS('Raw Data'!$D:$D, 'Raw Data'!$B:$B, "Variant", 'Raw Data'!$A:$A, $A16, 'Raw Data'!$C:$C, $C$3),""))</f>
        <v>170</v>
      </c>
      <c r="CS16" s="105">
        <f t="shared" si="32"/>
        <v>-0.05027932961</v>
      </c>
      <c r="CT16" s="96">
        <f>IF($A16="","",IFERROR(SUMPRODUCT(('Raw Data'!$B$2:$B$9999="Control")*('Raw Data'!$A$2:$A$9999=$A16)*('Raw Data'!$C$2:$C$9999=$C$3)*'Raw Data'!$D$2:$D$9999*'Raw Data'!$AI$2:$AI$9999)/SUMIFS('Raw Data'!$D:$D, 'Raw Data'!$B:$B, "Control", 'Raw Data'!$A:$A, $A16, 'Raw Data'!$C:$C, $C$3),""))</f>
        <v>43.7</v>
      </c>
      <c r="CU16" s="96">
        <f>IF($A16="","",IFERROR(SUMPRODUCT(('Raw Data'!$B$2:$B$9999="Variant")*('Raw Data'!$A$2:$A$9999=$A16)*('Raw Data'!$C$2:$C$9999=$C$3)*'Raw Data'!$D$2:$D$9999*'Raw Data'!$AI$2:$AI$9999)/SUMIFS('Raw Data'!$D:$D, 'Raw Data'!$B:$B, "Variant", 'Raw Data'!$A:$A, $A16, 'Raw Data'!$C:$C, $C$3),""))</f>
        <v>44.58</v>
      </c>
      <c r="CV16" s="106">
        <f t="shared" si="33"/>
        <v>0.02013729977</v>
      </c>
      <c r="CW16" s="96">
        <f>IF($A16="","",IFERROR(SUMPRODUCT(('Raw Data'!$B$2:$B$9999="Control")*('Raw Data'!$A$2:$A$9999=$A16)*('Raw Data'!$C$2:$C$9999=$C$3)*'Raw Data'!$D$2:$D$9999*'Raw Data'!$AJ$2:$AJ$9999)/SUMIFS('Raw Data'!$D:$D, 'Raw Data'!$B:$B, "Control", 'Raw Data'!$A:$A, $A16, 'Raw Data'!$C:$C, $C$3),""))</f>
        <v>10.86</v>
      </c>
      <c r="CX16" s="96">
        <f>IF($A16="","",IFERROR(SUMPRODUCT(('Raw Data'!$B$2:$B$9999="Variant")*('Raw Data'!$A$2:$A$9999=$A16)*('Raw Data'!$C$2:$C$9999=$C$3)*'Raw Data'!$D$2:$D$9999*'Raw Data'!$AJ$2:$AJ$9999)/SUMIFS('Raw Data'!$D:$D, 'Raw Data'!$B:$B, "Variant", 'Raw Data'!$A:$A, $A16, 'Raw Data'!$C:$C, $C$3),""))</f>
        <v>9.07</v>
      </c>
      <c r="CY16" s="106">
        <f t="shared" si="34"/>
        <v>-0.164825046</v>
      </c>
      <c r="CZ16" s="96">
        <f>IF($A16="","",IFERROR(SUMPRODUCT(('Raw Data'!$B$2:$B$9999="Control")*('Raw Data'!$A$2:$A$9999=$A16)*('Raw Data'!$C$2:$C$9999=$C$3)*'Raw Data'!$D$2:$D$9999*'Raw Data'!$AK$2:$AK$9999)/SUMIFS('Raw Data'!$D:$D, 'Raw Data'!$B:$B, "Control", 'Raw Data'!$A:$A, $A16, 'Raw Data'!$C:$C, $C$3),""))</f>
        <v>1.73</v>
      </c>
      <c r="DA16" s="96">
        <f>IF($A16="","",IFERROR(SUMPRODUCT(('Raw Data'!$B$2:$B$9999="Variant")*('Raw Data'!$A$2:$A$9999=$A16)*('Raw Data'!$C$2:$C$9999=$C$3)*'Raw Data'!$D$2:$D$9999*'Raw Data'!$AK$2:$AK$9999)/SUMIFS('Raw Data'!$D:$D, 'Raw Data'!$B:$B, "Variant", 'Raw Data'!$A:$A, $A16, 'Raw Data'!$C:$C, $C$3),""))</f>
        <v>1.18</v>
      </c>
      <c r="DB16" s="105">
        <f t="shared" si="35"/>
        <v>-0.3179190751</v>
      </c>
      <c r="DC16" s="102">
        <f>IF($A16="","",IFERROR(SUMPRODUCT(('Raw Data'!$B$2:$B$9999="Control")*('Raw Data'!$A$2:$A$9999=$A16)*('Raw Data'!$C$2:$C$9999=$C$3)*'Raw Data'!$D$2:$D$9999*'Raw Data'!$AL$2:$AL$9999)/SUMIFS('Raw Data'!$D:$D, 'Raw Data'!$B:$B, "Control", 'Raw Data'!$A:$A, $A16, 'Raw Data'!$C:$C, $C$3),""))</f>
        <v>0.1185</v>
      </c>
      <c r="DD16" s="102">
        <f>IF($A16="","",IFERROR(SUMPRODUCT(('Raw Data'!$B$2:$B$9999="Variant")*('Raw Data'!$A$2:$A$9999=$A16)*('Raw Data'!$C$2:$C$9999=$C$3)*'Raw Data'!$D$2:$D$9999*'Raw Data'!$AL$2:$AL$9999)/SUMIFS('Raw Data'!$D:$D, 'Raw Data'!$B:$B, "Variant", 'Raw Data'!$A:$A, $A16, 'Raw Data'!$C:$C, $C$3),""))</f>
        <v>0.0966</v>
      </c>
      <c r="DE16" s="105">
        <f t="shared" si="36"/>
        <v>-0.1848101266</v>
      </c>
      <c r="DF16" s="103"/>
      <c r="DG16" s="96">
        <f>IF($A16="","",IFERROR(SUMPRODUCT(('Raw Data'!$B$2:$B$9999="Variant")*('Raw Data'!$A$2:$A$9999=$A16)*('Raw Data'!$C$2:$C$9999=$C$3)*'Raw Data'!$D$2:$D$9999*'Raw Data'!$AM$2:$AM$9999)/SUMIFS('Raw Data'!$D:$D, 'Raw Data'!$B:$B, "Variant", 'Raw Data'!$A:$A, $A16, 'Raw Data'!$C:$C, $C$3),""))</f>
        <v>72.78</v>
      </c>
      <c r="DH16" s="104"/>
      <c r="DI16" s="103"/>
      <c r="DJ16" s="96">
        <f>IF($A16="","",IFERROR(SUMPRODUCT(('Raw Data'!$B$2:$B$9999="Variant")*('Raw Data'!$A$2:$A$9999=$A16)*('Raw Data'!$C$2:$C$9999=$C$3)*'Raw Data'!$D$2:$D$9999*'Raw Data'!$AN$2:$AN$9999)/SUMIFS('Raw Data'!$D:$D, 'Raw Data'!$B:$B, "Variant", 'Raw Data'!$A:$A, $A16, 'Raw Data'!$C:$C, $C$3),""))</f>
        <v>72.78</v>
      </c>
      <c r="DK16" s="104"/>
      <c r="DL16" s="103"/>
      <c r="DM16" s="96">
        <f>IF($A16="","",IFERROR(SUMPRODUCT(('Raw Data'!$B$2:$B$9999="Variant")*('Raw Data'!$A$2:$A$9999=$A16)*('Raw Data'!$C$2:$C$9999=$C$3)*'Raw Data'!$D$2:$D$9999*'Raw Data'!$AO$2:$AO$9999)/SUMIFS('Raw Data'!$D:$D, 'Raw Data'!$B:$B, "Variant", 'Raw Data'!$A:$A, $A16, 'Raw Data'!$C:$C, $C$3),""))</f>
        <v>52.47</v>
      </c>
      <c r="DN16" s="104"/>
      <c r="DO16" s="103"/>
      <c r="DP16" s="96">
        <f>IF($A16="","",IFERROR(SUMPRODUCT(('Raw Data'!$B$2:$B$9999="Variant")*('Raw Data'!$A$2:$A$9999=$A16)*('Raw Data'!$C$2:$C$9999=$C$3)*'Raw Data'!$D$2:$D$9999*'Raw Data'!$AP$2:$AP$9999)/SUMIFS('Raw Data'!$D:$D, 'Raw Data'!$B:$B, "Variant", 'Raw Data'!$A:$A, $A16, 'Raw Data'!$C:$C, $C$3),""))</f>
        <v>40.83</v>
      </c>
      <c r="DQ16" s="104"/>
      <c r="DR16" s="102">
        <f>IF($A16="","",IFERROR(SUMPRODUCT(('Raw Data'!$B$2:$B$9999="Control")*('Raw Data'!$A$2:$A$9999=$A16)*('Raw Data'!$C$2:$C$9999=$C$3)*'Raw Data'!$D$2:$D$9999*'Raw Data'!$AQ$2:$AQ$9999)/SUMIFS('Raw Data'!$D:$D, 'Raw Data'!$B:$B, "Control", 'Raw Data'!$A:$A, $A16, 'Raw Data'!$C:$C, $C$3),""))</f>
        <v>30.9358</v>
      </c>
      <c r="DS16" s="102">
        <f>IF($A16="","",IFERROR(SUMPRODUCT(('Raw Data'!$B$2:$B$9999="Variant")*('Raw Data'!$A$2:$A$9999=$A16)*('Raw Data'!$C$2:$C$9999=$C$3)*'Raw Data'!$D$2:$D$9999*'Raw Data'!$AQ$2:$AQ$9999)/SUMIFS('Raw Data'!$D:$D, 'Raw Data'!$B:$B, "Variant", 'Raw Data'!$A:$A, $A16, 'Raw Data'!$C:$C, $C$3),""))</f>
        <v>29.0118</v>
      </c>
      <c r="DT16" s="107">
        <f t="shared" si="37"/>
        <v>-0.06219331648</v>
      </c>
      <c r="DU16" s="102">
        <f>IF($A16="","",IFERROR(SUMPRODUCT(('Raw Data'!$B$2:$B$9999="Control")*('Raw Data'!$A$2:$A$9999=$A16)*('Raw Data'!$C$2:$C$9999=$C$3)*'Raw Data'!$D$2:$D$9999*'Raw Data'!$AR$2:$AR$9999)/SUMIFS('Raw Data'!$D:$D, 'Raw Data'!$B:$B, "Control", 'Raw Data'!$A:$A, $A16, 'Raw Data'!$C:$C, $C$3),""))</f>
        <v>4.9407</v>
      </c>
      <c r="DV16" s="102">
        <f>IF($A16="","",IFERROR(SUMPRODUCT(('Raw Data'!$B$2:$B$9999="Variant")*('Raw Data'!$A$2:$A$9999=$A16)*('Raw Data'!$C$2:$C$9999=$C$3)*'Raw Data'!$D$2:$D$9999*'Raw Data'!$AR$2:$AR$9999)/SUMIFS('Raw Data'!$D:$D, 'Raw Data'!$B:$B, "Variant", 'Raw Data'!$A:$A, $A16, 'Raw Data'!$C:$C, $C$3),""))</f>
        <v>2.9014</v>
      </c>
      <c r="DW16" s="107">
        <f t="shared" si="38"/>
        <v>-0.4127552776</v>
      </c>
      <c r="DX16" s="102">
        <f>IF($A16="","",IFERROR(SUMPRODUCT(('Raw Data'!$B$2:$B$9999="Control")*('Raw Data'!$A$2:$A$9999=$A16)*('Raw Data'!$C$2:$C$9999=$C$3)*'Raw Data'!$D$2:$D$9999*'Raw Data'!$AS$2:$AS$9999)/SUMIFS('Raw Data'!$D:$D, 'Raw Data'!$B:$B, "Control", 'Raw Data'!$A:$A, $A16, 'Raw Data'!$C:$C, $C$3),""))</f>
        <v>25.9951</v>
      </c>
      <c r="DY16" s="102">
        <f>IF($A16="","",IFERROR(SUMPRODUCT(('Raw Data'!$B$2:$B$9999="Variant")*('Raw Data'!$A$2:$A$9999=$A16)*('Raw Data'!$C$2:$C$9999=$C$3)*'Raw Data'!$D$2:$D$9999*'Raw Data'!$AS$2:$AS$9999)/SUMIFS('Raw Data'!$D:$D, 'Raw Data'!$B:$B, "Variant", 'Raw Data'!$A:$A, $A16, 'Raw Data'!$C:$C, $C$3),""))</f>
        <v>26.1105</v>
      </c>
      <c r="DZ16" s="107">
        <f t="shared" si="39"/>
        <v>0.004439298175</v>
      </c>
      <c r="EA16" s="102">
        <f>IF($A16="","",IFERROR(SUMPRODUCT(('Raw Data'!$B$2:$B$9999="Control")*('Raw Data'!$A$2:$A$9999=$A16)*('Raw Data'!$C$2:$C$9999=$C$3)*'Raw Data'!$D$2:$D$9999*'Raw Data'!$AT$2:$AT$9999)/SUMIFS('Raw Data'!$D:$D, 'Raw Data'!$B:$B, "Control", 'Raw Data'!$A:$A, $A16, 'Raw Data'!$C:$C, $C$3),""))</f>
        <v>39.4173</v>
      </c>
      <c r="EB16" s="102">
        <f>IF($A16="","",IFERROR(SUMPRODUCT(('Raw Data'!$B$2:$B$9999="Variant")*('Raw Data'!$A$2:$A$9999=$A16)*('Raw Data'!$C$2:$C$9999=$C$3)*'Raw Data'!$D$2:$D$9999*'Raw Data'!$AT$2:$AT$9999)/SUMIFS('Raw Data'!$D:$D, 'Raw Data'!$B:$B, "Variant", 'Raw Data'!$A:$A, $A16, 'Raw Data'!$C:$C, $C$3),""))</f>
        <v>30.4398</v>
      </c>
      <c r="EC16" s="107">
        <f t="shared" si="40"/>
        <v>-0.2277553257</v>
      </c>
      <c r="ED16" s="102">
        <f>IF($A16="","",IFERROR(SUMPRODUCT(('Raw Data'!$B$2:$B$9999="Control")*('Raw Data'!$A$2:$A$9999=$A16)*('Raw Data'!$C$2:$C$9999=$C$3)*'Raw Data'!$D$2:$D$9999*('Raw Data'!$AQ$2:$AQ$9999-'Raw Data'!$AT$2:$AT$9999))/SUMIFS('Raw Data'!$D:$D, 'Raw Data'!$B:$B, "Control", 'Raw Data'!$A:$A, $A16, 'Raw Data'!$C:$C, $C$3),""))</f>
        <v>-8.4815</v>
      </c>
      <c r="EE16" s="102">
        <f>IF($A16="","",IFERROR(SUMPRODUCT(('Raw Data'!$B$2:$B$9999="Variant")*('Raw Data'!$A$2:$A$9999=$A16)*('Raw Data'!$C$2:$C$9999=$C$3)*'Raw Data'!$D$2:$D$9999*('Raw Data'!$AQ$2:$AQ$9999-'Raw Data'!$AT$2:$AT$9999))/SUMIFS('Raw Data'!$D:$D, 'Raw Data'!$B:$B, "Variant", 'Raw Data'!$A:$A, $A16, 'Raw Data'!$C:$C, $C$3),""))</f>
        <v>-1.428</v>
      </c>
      <c r="EF16" s="107">
        <f t="shared" si="41"/>
        <v>0.8316335554</v>
      </c>
      <c r="EG16" s="102">
        <f>IF($A16="","",IFERROR(SUMPRODUCT(('Raw Data'!$B$2:$B$9999="Control")*('Raw Data'!$A$2:$A$9999=$A16)*('Raw Data'!$C$2:$C$9999=$C$3)*'Raw Data'!$D$2:$D$9999*'Raw Data'!$AU$2:$AU$9999)/SUMIFS('Raw Data'!$D:$D, 'Raw Data'!$B:$B, "Control", 'Raw Data'!$A:$A, $A16, 'Raw Data'!$C:$C, $C$3),""))</f>
        <v>0.2741</v>
      </c>
      <c r="EH16" s="102">
        <f>IF($A16="","",IFERROR(SUMPRODUCT(('Raw Data'!$B$2:$B$9999="Variant")*('Raw Data'!$A$2:$A$9999=$A16)*('Raw Data'!$C$2:$C$9999=$C$3)*'Raw Data'!$D$2:$D$9999*'Raw Data'!$AU$2:$AU$9999)/SUMIFS('Raw Data'!$D:$D, 'Raw Data'!$B:$B, "Variant", 'Raw Data'!$A:$A, $A16, 'Raw Data'!$C:$C, $C$3),""))</f>
        <v>0.2203</v>
      </c>
      <c r="EI16" s="107">
        <f t="shared" si="42"/>
        <v>-0.1962787304</v>
      </c>
    </row>
    <row r="17">
      <c r="A17" s="93">
        <v>46185.0</v>
      </c>
      <c r="B17" s="94">
        <f>IF($A17="","",SUMIFS('Raw Data'!$D:$D, 'Raw Data'!$B:$B, "Control", 'Raw Data'!$A:$A, $A17, 'Raw Data'!$C:$C, $C$3))</f>
        <v>413</v>
      </c>
      <c r="C17" s="94">
        <f>IF($A17="","",SUMIFS('Raw Data'!$D:$D, 'Raw Data'!$B:$B, "Variant", 'Raw Data'!$A:$A, $A17, 'Raw Data'!$C:$C, $C$3))</f>
        <v>496</v>
      </c>
      <c r="D17" s="95">
        <f t="shared" si="1"/>
        <v>0.200968523</v>
      </c>
      <c r="E17" s="96">
        <f>IF($A17="","",IFERROR(SUMPRODUCT(('Raw Data'!$B$2:$B$9999="Control")*('Raw Data'!$A$2:$A$9999=$A17)*('Raw Data'!$C$2:$C$9999=$C$3)*'Raw Data'!$D$2:$D$9999*'Raw Data'!$E$2:$E$9999)/SUMIFS('Raw Data'!$D:$D, 'Raw Data'!$B:$B, "Control", 'Raw Data'!$A:$A, $A17, 'Raw Data'!$C:$C, $C$3),""))</f>
        <v>0.51</v>
      </c>
      <c r="F17" s="96">
        <f>IF($A17="","",IFERROR(SUMPRODUCT(('Raw Data'!$B$2:$B$9999="Variant")*('Raw Data'!$A$2:$A$9999=$A17)*('Raw Data'!$C$2:$C$9999=$C$3)*'Raw Data'!$D$2:$D$9999*'Raw Data'!$E$2:$E$9999)/SUMIFS('Raw Data'!$D:$D, 'Raw Data'!$B:$B, "Variant", 'Raw Data'!$A:$A, $A17, 'Raw Data'!$C:$C, $C$3),""))</f>
        <v>0.61</v>
      </c>
      <c r="G17" s="95">
        <f t="shared" si="2"/>
        <v>0.1960784314</v>
      </c>
      <c r="H17" s="97">
        <f>IF($A17="","",SUMIFS('Raw Data'!$F:$F, 'Raw Data'!$B:$B, "Control", 'Raw Data'!$A:$A, $A17, 'Raw Data'!$C:$C, $C$3))</f>
        <v>1595.46</v>
      </c>
      <c r="I17" s="97">
        <f>IF($A17="","",SUMIFS('Raw Data'!$F:$F, 'Raw Data'!$B:$B, "Variant", 'Raw Data'!$A:$A, $A17, 'Raw Data'!$C:$C, $C$3))</f>
        <v>2356.63</v>
      </c>
      <c r="J17" s="100">
        <f t="shared" si="3"/>
        <v>0.4770849786</v>
      </c>
      <c r="K17" s="99">
        <f>IF($A17="","",IFERROR(SUMIFS('Raw Data'!$F:$F, 'Raw Data'!$B:$B, "Control", 'Raw Data'!$A:$A, $A17, 'Raw Data'!$C:$C, $C$3)/SUMIFS('Raw Data'!$D:$D, 'Raw Data'!$B:$B, "Control", 'Raw Data'!$A:$A, $A17, 'Raw Data'!$C:$C, $C$3),""))</f>
        <v>3.863099274</v>
      </c>
      <c r="L17" s="99">
        <f>IF($A17="","",IFERROR(SUMIFS('Raw Data'!$F:$F, 'Raw Data'!$B:$B, "Variant", 'Raw Data'!$A:$A, $A17, 'Raw Data'!$C:$C, $C$3)/SUMIFS('Raw Data'!$D:$D, 'Raw Data'!$B:$B, "Variant", 'Raw Data'!$A:$A, $A17, 'Raw Data'!$C:$C, $C$3),""))</f>
        <v>4.751270161</v>
      </c>
      <c r="M17" s="100">
        <f t="shared" si="4"/>
        <v>0.2299114842</v>
      </c>
      <c r="N17" s="96">
        <f>IF($A17="","",IFERROR(SUMPRODUCT(('Raw Data'!$B$2:$B$9999="Control")*('Raw Data'!$A$2:$A$9999=$A17)*('Raw Data'!$C$2:$C$9999=$C$3)*'Raw Data'!$D$2:$D$9999*'Raw Data'!$H$2:$H$9999/100)/SUMIFS('Raw Data'!$D:$D, 'Raw Data'!$B:$B, "Control", 'Raw Data'!$A:$A, $A17, 'Raw Data'!$C:$C, $C$3)*100,""))</f>
        <v>20.58</v>
      </c>
      <c r="O17" s="96">
        <f>IF($A17="","",IFERROR(SUMPRODUCT(('Raw Data'!$B$2:$B$9999="Variant")*('Raw Data'!$A$2:$A$9999=$A17)*('Raw Data'!$C$2:$C$9999=$C$3)*'Raw Data'!$D$2:$D$9999*'Raw Data'!$H$2:$H$9999/100)/SUMIFS('Raw Data'!$D:$D, 'Raw Data'!$B:$B, "Variant", 'Raw Data'!$A:$A, $A17, 'Raw Data'!$C:$C, $C$3)*100,""))</f>
        <v>17.54</v>
      </c>
      <c r="P17" s="105">
        <f t="shared" si="5"/>
        <v>-0.1477162293</v>
      </c>
      <c r="Q17" s="99">
        <f>IF($A17="","",IFERROR(SUMIFS('Raw Data'!$F:$F, 'Raw Data'!$B:$B, "Control", 'Raw Data'!$A:$A, $A17, 'Raw Data'!$C:$C, $C$3)/SUMPRODUCT(('Raw Data'!$B$2:$B$9999="Control")*('Raw Data'!$A$2:$A$9999=$A17)*('Raw Data'!$C$2:$C$9999=$C$3)*'Raw Data'!$D$2:$D$9999*'Raw Data'!$H$2:$H$9999/100),""))</f>
        <v>18.7711335</v>
      </c>
      <c r="R17" s="99">
        <f>IF($A17="","",IFERROR(SUMIFS('Raw Data'!$F:$F, 'Raw Data'!$B:$B, "Variant", 'Raw Data'!$A:$A, $A17, 'Raw Data'!$C:$C, $C$3)/SUMPRODUCT(('Raw Data'!$B$2:$B$9999="Variant")*('Raw Data'!$A$2:$A$9999=$A17)*('Raw Data'!$C$2:$C$9999=$C$3)*'Raw Data'!$D$2:$D$9999*'Raw Data'!$H$2:$H$9999/100),""))</f>
        <v>27.08819932</v>
      </c>
      <c r="S17" s="105">
        <f t="shared" si="6"/>
        <v>0.4430774427</v>
      </c>
      <c r="T17" s="101">
        <f>IF($A17="","",IFERROR(SUMPRODUCT(('Raw Data'!$B$2:$B$9999="Control")*('Raw Data'!$A$2:$A$9999=$A17)*('Raw Data'!$C$2:$C$9999=$C$3)*'Raw Data'!$D$2:$D$9999*'Raw Data'!$J$2:$J$9999)/SUMIFS('Raw Data'!$D:$D, 'Raw Data'!$B:$B, "Control", 'Raw Data'!$A:$A, $A17, 'Raw Data'!$C:$C, $C$3),""))</f>
        <v>249.24</v>
      </c>
      <c r="U17" s="101">
        <f>IF($A17="","",IFERROR(SUMPRODUCT(('Raw Data'!$B$2:$B$9999="Variant")*('Raw Data'!$A$2:$A$9999=$A17)*('Raw Data'!$C$2:$C$9999=$C$3)*'Raw Data'!$D$2:$D$9999*'Raw Data'!$J$2:$J$9999)/SUMIFS('Raw Data'!$D:$D, 'Raw Data'!$B:$B, "Variant", 'Raw Data'!$A:$A, $A17, 'Raw Data'!$C:$C, $C$3),""))</f>
        <v>259.71</v>
      </c>
      <c r="V17" s="105">
        <f t="shared" si="7"/>
        <v>0.04200770342</v>
      </c>
      <c r="W17" s="101">
        <f>IF($A17="","",IFERROR(SUMPRODUCT(('Raw Data'!$B$2:$B$9999="Control")*('Raw Data'!$A$2:$A$9999=$A17)*('Raw Data'!$C$2:$C$9999=$C$3)*'Raw Data'!$D$2:$D$9999*'Raw Data'!$K$2:$K$9999)/SUMIFS('Raw Data'!$D:$D, 'Raw Data'!$B:$B, "Control", 'Raw Data'!$A:$A, $A17, 'Raw Data'!$C:$C, $C$3),""))</f>
        <v>151.61</v>
      </c>
      <c r="X17" s="101">
        <f>IF($A17="","",IFERROR(SUMPRODUCT(('Raw Data'!$B$2:$B$9999="Variant")*('Raw Data'!$A$2:$A$9999=$A17)*('Raw Data'!$C$2:$C$9999=$C$3)*'Raw Data'!$D$2:$D$9999*'Raw Data'!$K$2:$K$9999)/SUMIFS('Raw Data'!$D:$D, 'Raw Data'!$B:$B, "Variant", 'Raw Data'!$A:$A, $A17, 'Raw Data'!$C:$C, $C$3),""))</f>
        <v>151.03</v>
      </c>
      <c r="Y17" s="105">
        <f t="shared" si="8"/>
        <v>-0.003825605171</v>
      </c>
      <c r="Z17" s="101">
        <f>IF($A17="","",IFERROR(SUMPRODUCT(('Raw Data'!$B$2:$B$9999="Control")*('Raw Data'!$A$2:$A$9999=$A17)*('Raw Data'!$C$2:$C$9999=$C$3)*'Raw Data'!$D$2:$D$9999*'Raw Data'!$L$2:$L$9999)/SUMIFS('Raw Data'!$D:$D, 'Raw Data'!$B:$B, "Control", 'Raw Data'!$A:$A, $A17, 'Raw Data'!$C:$C, $C$3),""))</f>
        <v>130.41</v>
      </c>
      <c r="AA17" s="101">
        <f>IF($A17="","",IFERROR(SUMPRODUCT(('Raw Data'!$B$2:$B$9999="Variant")*('Raw Data'!$A$2:$A$9999=$A17)*('Raw Data'!$C$2:$C$9999=$C$3)*'Raw Data'!$D$2:$D$9999*'Raw Data'!$L$2:$L$9999)/SUMIFS('Raw Data'!$D:$D, 'Raw Data'!$B:$B, "Variant", 'Raw Data'!$A:$A, $A17, 'Raw Data'!$C:$C, $C$3),""))</f>
        <v>126.35</v>
      </c>
      <c r="AB17" s="105">
        <f t="shared" si="9"/>
        <v>-0.03113258186</v>
      </c>
      <c r="AC17" s="102">
        <f>IF($A17="","",IFERROR(SUMPRODUCT(('Raw Data'!$B$2:$B$9999="Control")*('Raw Data'!$A$2:$A$9999=$A17)*('Raw Data'!$C$2:$C$9999=$C$3)*'Raw Data'!$D$2:$D$9999*'Raw Data'!$M$2:$M$9999)/SUMIFS('Raw Data'!$D:$D, 'Raw Data'!$B:$B, "Control", 'Raw Data'!$A:$A, $A17, 'Raw Data'!$C:$C, $C$3),""))</f>
        <v>0.8602</v>
      </c>
      <c r="AD17" s="102">
        <f>IF($A17="","",IFERROR(SUMPRODUCT(('Raw Data'!$B$2:$B$9999="Variant")*('Raw Data'!$A$2:$A$9999=$A17)*('Raw Data'!$C$2:$C$9999=$C$3)*'Raw Data'!$D$2:$D$9999*'Raw Data'!$M$2:$M$9999)/SUMIFS('Raw Data'!$D:$D, 'Raw Data'!$B:$B, "Variant", 'Raw Data'!$A:$A, $A17, 'Raw Data'!$C:$C, $C$3),""))</f>
        <v>0.8365</v>
      </c>
      <c r="AE17" s="106">
        <f t="shared" si="10"/>
        <v>-0.02755173216</v>
      </c>
      <c r="AF17" s="102">
        <f>IF($A17="","",IFERROR(SUMPRODUCT(('Raw Data'!$B$2:$B$9999="Control")*('Raw Data'!$A$2:$A$9999=$A17)*('Raw Data'!$C$2:$C$9999=$C$3)*'Raw Data'!$D$2:$D$9999*'Raw Data'!$N$2:$N$9999)/SUMIFS('Raw Data'!$D:$D, 'Raw Data'!$B:$B, "Control", 'Raw Data'!$A:$A, $A17, 'Raw Data'!$C:$C, $C$3),""))</f>
        <v>0.2701</v>
      </c>
      <c r="AG17" s="102">
        <f>IF($A17="","",IFERROR(SUMPRODUCT(('Raw Data'!$B$2:$B$9999="Variant")*('Raw Data'!$A$2:$A$9999=$A17)*('Raw Data'!$C$2:$C$9999=$C$3)*'Raw Data'!$D$2:$D$9999*'Raw Data'!$N$2:$N$9999)/SUMIFS('Raw Data'!$D:$D, 'Raw Data'!$B:$B, "Variant", 'Raw Data'!$A:$A, $A17, 'Raw Data'!$C:$C, $C$3),""))</f>
        <v>0.302</v>
      </c>
      <c r="AH17" s="105">
        <f t="shared" si="11"/>
        <v>0.1181044058</v>
      </c>
      <c r="AI17" s="102">
        <f>IF($A17="","",IFERROR(SUMPRODUCT(('Raw Data'!$B$2:$B$9999="Control")*('Raw Data'!$A$2:$A$9999=$A17)*('Raw Data'!$C$2:$C$9999=$C$3)*'Raw Data'!$D$2:$D$9999*'Raw Data'!$O$2:$O$9999)/SUMIFS('Raw Data'!$D:$D, 'Raw Data'!$B:$B, "Control", 'Raw Data'!$A:$A, $A17, 'Raw Data'!$C:$C, $C$3),""))</f>
        <v>0.1911</v>
      </c>
      <c r="AJ17" s="102">
        <f>IF($A17="","",IFERROR(SUMPRODUCT(('Raw Data'!$B$2:$B$9999="Variant")*('Raw Data'!$A$2:$A$9999=$A17)*('Raw Data'!$C$2:$C$9999=$C$3)*'Raw Data'!$D$2:$D$9999*'Raw Data'!$O$2:$O$9999)/SUMIFS('Raw Data'!$D:$D, 'Raw Data'!$B:$B, "Variant", 'Raw Data'!$A:$A, $A17, 'Raw Data'!$C:$C, $C$3),""))</f>
        <v>0.2081</v>
      </c>
      <c r="AK17" s="105">
        <f t="shared" si="12"/>
        <v>0.08895866039</v>
      </c>
      <c r="AL17" s="101">
        <f>IF($A17="","",IFERROR(SUMPRODUCT(('Raw Data'!$B$2:$B$9999="Control")*('Raw Data'!$A$2:$A$9999=$A17)*('Raw Data'!$C$2:$C$9999=$C$3)*'Raw Data'!$D$2:$D$9999*'Raw Data'!$P$2:$P$9999)/SUMIFS('Raw Data'!$D:$D, 'Raw Data'!$B:$B, "Control", 'Raw Data'!$A:$A, $A17, 'Raw Data'!$C:$C, $C$3),""))</f>
        <v>1.1626</v>
      </c>
      <c r="AM17" s="101">
        <f>IF($A17="","",IFERROR(SUMPRODUCT(('Raw Data'!$B$2:$B$9999="Variant")*('Raw Data'!$A$2:$A$9999=$A17)*('Raw Data'!$C$2:$C$9999=$C$3)*'Raw Data'!$D$2:$D$9999*'Raw Data'!$P$2:$P$9999)/SUMIFS('Raw Data'!$D:$D, 'Raw Data'!$B:$B, "Variant", 'Raw Data'!$A:$A, $A17, 'Raw Data'!$C:$C, $C$3),""))</f>
        <v>1.1954</v>
      </c>
      <c r="AN17" s="105">
        <f t="shared" si="13"/>
        <v>0.02821262687</v>
      </c>
      <c r="AO17" s="101">
        <f>IF($A17="","",IFERROR(SUMPRODUCT(('Raw Data'!$B$2:$B$9999="Control")*('Raw Data'!$A$2:$A$9999=$A17)*('Raw Data'!$C$2:$C$9999=$C$3)*'Raw Data'!$D$2:$D$9999*'Raw Data'!$Q$2:$Q$9999)/SUMIFS('Raw Data'!$D:$D, 'Raw Data'!$B:$B, "Control", 'Raw Data'!$A:$A, $A17, 'Raw Data'!$C:$C, $C$3),""))</f>
        <v>813.82</v>
      </c>
      <c r="AP17" s="101">
        <f>IF($A17="","",IFERROR(SUMPRODUCT(('Raw Data'!$B$2:$B$9999="Variant")*('Raw Data'!$A$2:$A$9999=$A17)*('Raw Data'!$C$2:$C$9999=$C$3)*'Raw Data'!$D$2:$D$9999*'Raw Data'!$Q$2:$Q$9999)/SUMIFS('Raw Data'!$D:$D, 'Raw Data'!$B:$B, "Variant", 'Raw Data'!$A:$A, $A17, 'Raw Data'!$C:$C, $C$3),""))</f>
        <v>792.34</v>
      </c>
      <c r="AQ17" s="95">
        <f t="shared" si="14"/>
        <v>-0.02639404291</v>
      </c>
      <c r="AR17" s="101">
        <f>IF($A17="","",IFERROR(SUMPRODUCT(('Raw Data'!$B$2:$B$9999="Control")*('Raw Data'!$A$2:$A$9999=$A17)*('Raw Data'!$C$2:$C$9999=$C$3)*'Raw Data'!$D$2:$D$9999*'Raw Data'!$R$2:$R$9999)/SUMIFS('Raw Data'!$D:$D, 'Raw Data'!$B:$B, "Control", 'Raw Data'!$A:$A, $A17, 'Raw Data'!$C:$C, $C$3),""))</f>
        <v>537.09</v>
      </c>
      <c r="AS17" s="101">
        <f>IF($A17="","",IFERROR(SUMPRODUCT(('Raw Data'!$B$2:$B$9999="Variant")*('Raw Data'!$A$2:$A$9999=$A17)*('Raw Data'!$C$2:$C$9999=$C$3)*'Raw Data'!$D$2:$D$9999*'Raw Data'!$R$2:$R$9999)/SUMIFS('Raw Data'!$D:$D, 'Raw Data'!$B:$B, "Variant", 'Raw Data'!$A:$A, $A17, 'Raw Data'!$C:$C, $C$3),""))</f>
        <v>696.3</v>
      </c>
      <c r="AT17" s="95">
        <f t="shared" si="15"/>
        <v>0.2964307658</v>
      </c>
      <c r="AU17" s="101">
        <f>IF($A17="","",IFERROR(SUMPRODUCT(('Raw Data'!$B$2:$B$9999="Control")*('Raw Data'!$A$2:$A$9999=$A17)*('Raw Data'!$C$2:$C$9999=$C$3)*'Raw Data'!$D$2:$D$9999*'Raw Data'!$S$2:$S$9999)/SUMIFS('Raw Data'!$D:$D, 'Raw Data'!$B:$B, "Control", 'Raw Data'!$A:$A, $A17, 'Raw Data'!$C:$C, $C$3),""))</f>
        <v>276.73</v>
      </c>
      <c r="AV17" s="101">
        <f>IF($A17="","",IFERROR(SUMPRODUCT(('Raw Data'!$B$2:$B$9999="Variant")*('Raw Data'!$A$2:$A$9999=$A17)*('Raw Data'!$C$2:$C$9999=$C$3)*'Raw Data'!$D$2:$D$9999*'Raw Data'!$S$2:$S$9999)/SUMIFS('Raw Data'!$D:$D, 'Raw Data'!$B:$B, "Variant", 'Raw Data'!$A:$A, $A17, 'Raw Data'!$C:$C, $C$3),""))</f>
        <v>96.04</v>
      </c>
      <c r="AW17" s="95">
        <f t="shared" si="16"/>
        <v>-0.6529469158</v>
      </c>
      <c r="AX17" s="101">
        <f>IF($A17="","",IFERROR(SUMPRODUCT(('Raw Data'!$B$2:$B$9999="Control")*('Raw Data'!$A$2:$A$9999=$A17)*('Raw Data'!$C$2:$C$9999=$C$3)*'Raw Data'!$D$2:$D$9999*'Raw Data'!$T$2:$T$9999)/SUMIFS('Raw Data'!$D:$D, 'Raw Data'!$B:$B, "Control", 'Raw Data'!$A:$A, $A17, 'Raw Data'!$C:$C, $C$3),""))</f>
        <v>264.41</v>
      </c>
      <c r="AY17" s="101">
        <f>IF($A17="","",IFERROR(SUMPRODUCT(('Raw Data'!$B$2:$B$9999="Variant")*('Raw Data'!$A$2:$A$9999=$A17)*('Raw Data'!$C$2:$C$9999=$C$3)*'Raw Data'!$D$2:$D$9999*'Raw Data'!$T$2:$T$9999)/SUMIFS('Raw Data'!$D:$D, 'Raw Data'!$B:$B, "Variant", 'Raw Data'!$A:$A, $A17, 'Raw Data'!$C:$C, $C$3),""))</f>
        <v>289.36</v>
      </c>
      <c r="AZ17" s="105">
        <f t="shared" si="17"/>
        <v>0.09436103022</v>
      </c>
      <c r="BA17" s="101">
        <f>IF($A17="","",IFERROR(SUMPRODUCT(('Raw Data'!$B$2:$B$9999="Control")*('Raw Data'!$A$2:$A$9999=$A17)*('Raw Data'!$C$2:$C$9999=$C$3)*'Raw Data'!$D$2:$D$9999*'Raw Data'!$U$2:$U$9999)/SUMIFS('Raw Data'!$D:$D, 'Raw Data'!$B:$B, "Control", 'Raw Data'!$A:$A, $A17, 'Raw Data'!$C:$C, $C$3),""))</f>
        <v>549.41</v>
      </c>
      <c r="BB17" s="101">
        <f>IF($A17="","",IFERROR(SUMPRODUCT(('Raw Data'!$B$2:$B$9999="Variant")*('Raw Data'!$A$2:$A$9999=$A17)*('Raw Data'!$C$2:$C$9999=$C$3)*'Raw Data'!$D$2:$D$9999*'Raw Data'!$U$2:$U$9999)/SUMIFS('Raw Data'!$D:$D, 'Raw Data'!$B:$B, "Variant", 'Raw Data'!$A:$A, $A17, 'Raw Data'!$C:$C, $C$3),""))</f>
        <v>502.98</v>
      </c>
      <c r="BC17" s="95">
        <f t="shared" si="18"/>
        <v>-0.08450883675</v>
      </c>
      <c r="BD17" s="101">
        <f>IF($A17="","",IFERROR(SUMPRODUCT(('Raw Data'!$B$2:$B$9999="Control")*('Raw Data'!$A$2:$A$9999=$A17)*('Raw Data'!$C$2:$C$9999=$C$3)*'Raw Data'!$D$2:$D$9999*'Raw Data'!$V$2:$V$9999)/SUMIFS('Raw Data'!$D:$D, 'Raw Data'!$B:$B, "Control", 'Raw Data'!$A:$A, $A17, 'Raw Data'!$C:$C, $C$3),""))</f>
        <v>869.98</v>
      </c>
      <c r="BE17" s="101">
        <f>IF($A17="","",IFERROR(SUMPRODUCT(('Raw Data'!$B$2:$B$9999="Variant")*('Raw Data'!$A$2:$A$9999=$A17)*('Raw Data'!$C$2:$C$9999=$C$3)*'Raw Data'!$D$2:$D$9999*'Raw Data'!$V$2:$V$9999)/SUMIFS('Raw Data'!$D:$D, 'Raw Data'!$B:$B, "Variant", 'Raw Data'!$A:$A, $A17, 'Raw Data'!$C:$C, $C$3),""))</f>
        <v>894.35</v>
      </c>
      <c r="BF17" s="95">
        <f t="shared" si="19"/>
        <v>0.02801213821</v>
      </c>
      <c r="BG17" s="101">
        <f>IF($A17="","",IFERROR(SUMPRODUCT(('Raw Data'!$B$2:$B$9999="Control")*('Raw Data'!$A$2:$A$9999=$A17)*('Raw Data'!$C$2:$C$9999=$C$3)*'Raw Data'!$D$2:$D$9999*('Raw Data'!$Q$2:$Q$9999-'Raw Data'!$V$2:$V$9999))/SUMIFS('Raw Data'!$D:$D, 'Raw Data'!$B:$B, "Control", 'Raw Data'!$A:$A, $A17, 'Raw Data'!$C:$C, $C$3),""))</f>
        <v>-56.16</v>
      </c>
      <c r="BH17" s="101">
        <f>IF($A17="","",IFERROR(SUMPRODUCT(('Raw Data'!$B$2:$B$9999="Variant")*('Raw Data'!$A$2:$A$9999=$A17)*('Raw Data'!$C$2:$C$9999=$C$3)*'Raw Data'!$D$2:$D$9999*('Raw Data'!$Q$2:$Q$9999-'Raw Data'!$V$2:$V$9999))/SUMIFS('Raw Data'!$D:$D, 'Raw Data'!$B:$B, "Variant", 'Raw Data'!$A:$A, $A17, 'Raw Data'!$C:$C, $C$3),""))</f>
        <v>-102.01</v>
      </c>
      <c r="BI17" s="95">
        <f t="shared" si="20"/>
        <v>-0.8164173789</v>
      </c>
      <c r="BJ17" s="101">
        <f>IF($A17="","",IFERROR(SUMPRODUCT(('Raw Data'!$B$2:$B$9999="Control")*('Raw Data'!$A$2:$A$9999=$A17)*('Raw Data'!$C$2:$C$9999=$C$3)*'Raw Data'!$D$2:$D$9999*'Raw Data'!$W$2:$W$9999)/SUMIFS('Raw Data'!$D:$D, 'Raw Data'!$B:$B, "Control", 'Raw Data'!$A:$A, $A17, 'Raw Data'!$C:$C, $C$3),""))</f>
        <v>5.7384</v>
      </c>
      <c r="BK17" s="101">
        <f>IF($A17="","",IFERROR(SUMPRODUCT(('Raw Data'!$B$2:$B$9999="Variant")*('Raw Data'!$A$2:$A$9999=$A17)*('Raw Data'!$C$2:$C$9999=$C$3)*'Raw Data'!$D$2:$D$9999*'Raw Data'!$W$2:$W$9999)/SUMIFS('Raw Data'!$D:$D, 'Raw Data'!$B:$B, "Variant", 'Raw Data'!$A:$A, $A17, 'Raw Data'!$C:$C, $C$3),""))</f>
        <v>5.9215</v>
      </c>
      <c r="BL17" s="95">
        <f t="shared" si="21"/>
        <v>0.03190784888</v>
      </c>
      <c r="BM17" s="102">
        <f>IF($A17="","",IFERROR(SUMPRODUCT(('Raw Data'!$B$2:$B$9999="Control")*('Raw Data'!$A$2:$A$9999=$A17)*('Raw Data'!$C$2:$C$9999=$C$3)*'Raw Data'!$D$2:$D$9999*'Raw Data'!$X$2:$X$9999)/SUMIFS('Raw Data'!$D:$D, 'Raw Data'!$B:$B, "Control", 'Raw Data'!$A:$A, $A17, 'Raw Data'!$C:$C, $C$3),""))</f>
        <v>32.49</v>
      </c>
      <c r="BN17" s="102">
        <f>IF($A17="","",IFERROR(SUMPRODUCT(('Raw Data'!$B$2:$B$9999="Variant")*('Raw Data'!$A$2:$A$9999=$A17)*('Raw Data'!$C$2:$C$9999=$C$3)*'Raw Data'!$D$2:$D$9999*'Raw Data'!$X$2:$X$9999)/SUMIFS('Raw Data'!$D:$D, 'Raw Data'!$B:$B, "Variant", 'Raw Data'!$A:$A, $A17, 'Raw Data'!$C:$C, $C$3),""))</f>
        <v>36.52</v>
      </c>
      <c r="BO17" s="105">
        <f t="shared" si="22"/>
        <v>0.1240381656</v>
      </c>
      <c r="BP17" s="94">
        <f>IF($A17="","",IFERROR(SUMPRODUCT(('Raw Data'!$B$2:$B$9999="Control")*('Raw Data'!$A$2:$A$9999=$A17)*('Raw Data'!$C$2:$C$9999=$C$3)*'Raw Data'!$D$2:$D$9999*'Raw Data'!$Y$2:$Y$9999)/SUMIFS('Raw Data'!$D:$D, 'Raw Data'!$B:$B, "Control", 'Raw Data'!$A:$A, $A17, 'Raw Data'!$C:$C, $C$3),""))</f>
        <v>374</v>
      </c>
      <c r="BQ17" s="94">
        <f>IF($A17="","",IFERROR(SUMPRODUCT(('Raw Data'!$B$2:$B$9999="Variant")*('Raw Data'!$A$2:$A$9999=$A17)*('Raw Data'!$C$2:$C$9999=$C$3)*'Raw Data'!$D$2:$D$9999*'Raw Data'!$Y$2:$Y$9999)/SUMIFS('Raw Data'!$D:$D, 'Raw Data'!$B:$B, "Variant", 'Raw Data'!$A:$A, $A17, 'Raw Data'!$C:$C, $C$3),""))</f>
        <v>427</v>
      </c>
      <c r="BR17" s="95">
        <f t="shared" si="23"/>
        <v>0.1417112299</v>
      </c>
      <c r="BS17" s="94">
        <f>IF($A17="","",IFERROR(SUMPRODUCT(('Raw Data'!$B$2:$B$9999="Control")*('Raw Data'!$A$2:$A$9999=$A17)*('Raw Data'!$C$2:$C$9999=$C$3)*'Raw Data'!$D$2:$D$9999*'Raw Data'!$Z$2:$Z$9999)/SUMIFS('Raw Data'!$D:$D, 'Raw Data'!$B:$B, "Control", 'Raw Data'!$A:$A, $A17, 'Raw Data'!$C:$C, $C$3),""))</f>
        <v>3089</v>
      </c>
      <c r="BT17" s="94">
        <f>IF($A17="","",IFERROR(SUMPRODUCT(('Raw Data'!$B$2:$B$9999="Variant")*('Raw Data'!$A$2:$A$9999=$A17)*('Raw Data'!$C$2:$C$9999=$C$3)*'Raw Data'!$D$2:$D$9999*'Raw Data'!$Z$2:$Z$9999)/SUMIFS('Raw Data'!$D:$D, 'Raw Data'!$B:$B, "Variant", 'Raw Data'!$A:$A, $A17, 'Raw Data'!$C:$C, $C$3),""))</f>
        <v>2610</v>
      </c>
      <c r="BU17" s="95">
        <f t="shared" si="24"/>
        <v>-0.1550663645</v>
      </c>
      <c r="BV17" s="94">
        <f>IF($A17="","",IFERROR(SUMPRODUCT(('Raw Data'!$B$2:$B$9999="Control")*('Raw Data'!$A$2:$A$9999=$A17)*('Raw Data'!$C$2:$C$9999=$C$3)*'Raw Data'!$D$2:$D$9999*'Raw Data'!$AA$2:$AA$9999)/SUMIFS('Raw Data'!$D:$D, 'Raw Data'!$B:$B, "Control", 'Raw Data'!$A:$A, $A17, 'Raw Data'!$C:$C, $C$3),""))</f>
        <v>10361</v>
      </c>
      <c r="BW17" s="94">
        <f>IF($A17="","",IFERROR(SUMPRODUCT(('Raw Data'!$B$2:$B$9999="Variant")*('Raw Data'!$A$2:$A$9999=$A17)*('Raw Data'!$C$2:$C$9999=$C$3)*'Raw Data'!$D$2:$D$9999*'Raw Data'!$AA$2:$AA$9999)/SUMIFS('Raw Data'!$D:$D, 'Raw Data'!$B:$B, "Variant", 'Raw Data'!$A:$A, $A17, 'Raw Data'!$C:$C, $C$3),""))</f>
        <v>9564</v>
      </c>
      <c r="BX17" s="95">
        <f t="shared" si="25"/>
        <v>-0.07692307692</v>
      </c>
      <c r="BY17" s="101">
        <f>IF($A17="","",IFERROR(SUMPRODUCT(('Raw Data'!$B$2:$B$9999="Control")*('Raw Data'!$A$2:$A$9999=$A17)*('Raw Data'!$C$2:$C$9999=$C$3)*'Raw Data'!$D$2:$D$9999*'Raw Data'!$AB$2:$AB$9999)/SUMIFS('Raw Data'!$D:$D, 'Raw Data'!$B:$B, "Control", 'Raw Data'!$A:$A, $A17, 'Raw Data'!$C:$C, $C$3),""))</f>
        <v>62.6115</v>
      </c>
      <c r="BZ17" s="101">
        <f>IF($A17="","",IFERROR(SUMPRODUCT(('Raw Data'!$B$2:$B$9999="Variant")*('Raw Data'!$A$2:$A$9999=$A17)*('Raw Data'!$C$2:$C$9999=$C$3)*'Raw Data'!$D$2:$D$9999*'Raw Data'!$AB$2:$AB$9999)/SUMIFS('Raw Data'!$D:$D, 'Raw Data'!$B:$B, "Variant", 'Raw Data'!$A:$A, $A17, 'Raw Data'!$C:$C, $C$3),""))</f>
        <v>62.7378</v>
      </c>
      <c r="CA17" s="105">
        <f t="shared" si="26"/>
        <v>0.002017201313</v>
      </c>
      <c r="CB17" s="101">
        <f>IF($A17="","",IFERROR(SUMPRODUCT(('Raw Data'!$B$2:$B$9999="Control")*('Raw Data'!$A$2:$A$9999=$A17)*('Raw Data'!$C$2:$C$9999=$C$3)*'Raw Data'!$D$2:$D$9999*'Raw Data'!$AC$2:$AC$9999)/SUMIFS('Raw Data'!$D:$D, 'Raw Data'!$B:$B, "Control", 'Raw Data'!$A:$A, $A17, 'Raw Data'!$C:$C, $C$3),""))</f>
        <v>0.8847</v>
      </c>
      <c r="CC17" s="101">
        <f>IF($A17="","",IFERROR(SUMPRODUCT(('Raw Data'!$B$2:$B$9999="Variant")*('Raw Data'!$A$2:$A$9999=$A17)*('Raw Data'!$C$2:$C$9999=$C$3)*'Raw Data'!$D$2:$D$9999*'Raw Data'!$AC$2:$AC$9999)/SUMIFS('Raw Data'!$D:$D, 'Raw Data'!$B:$B, "Variant", 'Raw Data'!$A:$A, $A17, 'Raw Data'!$C:$C, $C$3),""))</f>
        <v>0.883</v>
      </c>
      <c r="CD17" s="105">
        <f t="shared" si="27"/>
        <v>-0.001921555329</v>
      </c>
      <c r="CE17" s="101">
        <f>IF($A17="","",IFERROR(SUMPRODUCT(('Raw Data'!$B$2:$B$9999="Control")*('Raw Data'!$A$2:$A$9999=$A17)*('Raw Data'!$C$2:$C$9999=$C$3)*'Raw Data'!$D$2:$D$9999*'Raw Data'!$AD$2:$AD$9999)/SUMIFS('Raw Data'!$D:$D, 'Raw Data'!$B:$B, "Control", 'Raw Data'!$A:$A, $A17, 'Raw Data'!$C:$C, $C$3),""))</f>
        <v>92.53</v>
      </c>
      <c r="CF17" s="101">
        <f>IF($A17="","",IFERROR(SUMPRODUCT(('Raw Data'!$B$2:$B$9999="Variant")*('Raw Data'!$A$2:$A$9999=$A17)*('Raw Data'!$C$2:$C$9999=$C$3)*'Raw Data'!$D$2:$D$9999*'Raw Data'!$AD$2:$AD$9999)/SUMIFS('Raw Data'!$D:$D, 'Raw Data'!$B:$B, "Variant", 'Raw Data'!$A:$A, $A17, 'Raw Data'!$C:$C, $C$3),""))</f>
        <v>86.46</v>
      </c>
      <c r="CG17" s="105">
        <f t="shared" si="28"/>
        <v>-0.06560034583</v>
      </c>
      <c r="CH17" s="101">
        <f>IF($A17="","",IFERROR(SUMPRODUCT(('Raw Data'!$B$2:$B$9999="Control")*('Raw Data'!$A$2:$A$9999=$A17)*('Raw Data'!$C$2:$C$9999=$C$3)*'Raw Data'!$D$2:$D$9999*'Raw Data'!$AE$2:$AE$9999)/SUMIFS('Raw Data'!$D:$D, 'Raw Data'!$B:$B, "Control", 'Raw Data'!$A:$A, $A17, 'Raw Data'!$C:$C, $C$3),""))</f>
        <v>39</v>
      </c>
      <c r="CI17" s="101">
        <f>IF($A17="","",IFERROR(SUMPRODUCT(('Raw Data'!$B$2:$B$9999="Variant")*('Raw Data'!$A$2:$A$9999=$A17)*('Raw Data'!$C$2:$C$9999=$C$3)*'Raw Data'!$D$2:$D$9999*'Raw Data'!$AE$2:$AE$9999)/SUMIFS('Raw Data'!$D:$D, 'Raw Data'!$B:$B, "Variant", 'Raw Data'!$A:$A, $A17, 'Raw Data'!$C:$C, $C$3),""))</f>
        <v>36</v>
      </c>
      <c r="CJ17" s="105">
        <f t="shared" si="29"/>
        <v>-0.07692307692</v>
      </c>
      <c r="CK17" s="101">
        <f>IF($A17="","",IFERROR(SUMPRODUCT(('Raw Data'!$B$2:$B$9999="Control")*('Raw Data'!$A$2:$A$9999=$A17)*('Raw Data'!$C$2:$C$9999=$C$3)*'Raw Data'!$D$2:$D$9999*'Raw Data'!$AF$2:$AF$9999)/SUMIFS('Raw Data'!$D:$D, 'Raw Data'!$B:$B, "Control", 'Raw Data'!$A:$A, $A17, 'Raw Data'!$C:$C, $C$3),""))</f>
        <v>80</v>
      </c>
      <c r="CL17" s="101">
        <f>IF($A17="","",IFERROR(SUMPRODUCT(('Raw Data'!$B$2:$B$9999="Variant")*('Raw Data'!$A$2:$A$9999=$A17)*('Raw Data'!$C$2:$C$9999=$C$3)*'Raw Data'!$D$2:$D$9999*'Raw Data'!$AF$2:$AF$9999)/SUMIFS('Raw Data'!$D:$D, 'Raw Data'!$B:$B, "Variant", 'Raw Data'!$A:$A, $A17, 'Raw Data'!$C:$C, $C$3),""))</f>
        <v>78</v>
      </c>
      <c r="CM17" s="106">
        <f t="shared" si="30"/>
        <v>-0.025</v>
      </c>
      <c r="CN17" s="101">
        <f>IF($A17="","",IFERROR(SUMPRODUCT(('Raw Data'!$B$2:$B$9999="Control")*('Raw Data'!$A$2:$A$9999=$A17)*('Raw Data'!$C$2:$C$9999=$C$3)*'Raw Data'!$D$2:$D$9999*'Raw Data'!$AG$2:$AG$9999)/SUMIFS('Raw Data'!$D:$D, 'Raw Data'!$B:$B, "Control", 'Raw Data'!$A:$A, $A17, 'Raw Data'!$C:$C, $C$3),""))</f>
        <v>127</v>
      </c>
      <c r="CO17" s="101">
        <f>IF($A17="","",IFERROR(SUMPRODUCT(('Raw Data'!$B$2:$B$9999="Variant")*('Raw Data'!$A$2:$A$9999=$A17)*('Raw Data'!$C$2:$C$9999=$C$3)*'Raw Data'!$D$2:$D$9999*'Raw Data'!$AG$2:$AG$9999)/SUMIFS('Raw Data'!$D:$D, 'Raw Data'!$B:$B, "Variant", 'Raw Data'!$A:$A, $A17, 'Raw Data'!$C:$C, $C$3),""))</f>
        <v>124</v>
      </c>
      <c r="CP17" s="105">
        <f t="shared" si="31"/>
        <v>-0.02362204724</v>
      </c>
      <c r="CQ17" s="101">
        <f>IF($A17="","",IFERROR(SUMPRODUCT(('Raw Data'!$B$2:$B$9999="Control")*('Raw Data'!$A$2:$A$9999=$A17)*('Raw Data'!$C$2:$C$9999=$C$3)*'Raw Data'!$D$2:$D$9999*'Raw Data'!$AH$2:$AH$9999)/SUMIFS('Raw Data'!$D:$D, 'Raw Data'!$B:$B, "Control", 'Raw Data'!$A:$A, $A17, 'Raw Data'!$C:$C, $C$3),""))</f>
        <v>174</v>
      </c>
      <c r="CR17" s="101">
        <f>IF($A17="","",IFERROR(SUMPRODUCT(('Raw Data'!$B$2:$B$9999="Variant")*('Raw Data'!$A$2:$A$9999=$A17)*('Raw Data'!$C$2:$C$9999=$C$3)*'Raw Data'!$D$2:$D$9999*'Raw Data'!$AH$2:$AH$9999)/SUMIFS('Raw Data'!$D:$D, 'Raw Data'!$B:$B, "Variant", 'Raw Data'!$A:$A, $A17, 'Raw Data'!$C:$C, $C$3),""))</f>
        <v>170</v>
      </c>
      <c r="CS17" s="105">
        <f t="shared" si="32"/>
        <v>-0.02298850575</v>
      </c>
      <c r="CT17" s="96">
        <f>IF($A17="","",IFERROR(SUMPRODUCT(('Raw Data'!$B$2:$B$9999="Control")*('Raw Data'!$A$2:$A$9999=$A17)*('Raw Data'!$C$2:$C$9999=$C$3)*'Raw Data'!$D$2:$D$9999*'Raw Data'!$AI$2:$AI$9999)/SUMIFS('Raw Data'!$D:$D, 'Raw Data'!$B:$B, "Control", 'Raw Data'!$A:$A, $A17, 'Raw Data'!$C:$C, $C$3),""))</f>
        <v>49.39</v>
      </c>
      <c r="CU17" s="96">
        <f>IF($A17="","",IFERROR(SUMPRODUCT(('Raw Data'!$B$2:$B$9999="Variant")*('Raw Data'!$A$2:$A$9999=$A17)*('Raw Data'!$C$2:$C$9999=$C$3)*'Raw Data'!$D$2:$D$9999*'Raw Data'!$AI$2:$AI$9999)/SUMIFS('Raw Data'!$D:$D, 'Raw Data'!$B:$B, "Variant", 'Raw Data'!$A:$A, $A17, 'Raw Data'!$C:$C, $C$3),""))</f>
        <v>49.6</v>
      </c>
      <c r="CV17" s="106">
        <f t="shared" si="33"/>
        <v>0.004251872849</v>
      </c>
      <c r="CW17" s="96">
        <f>IF($A17="","",IFERROR(SUMPRODUCT(('Raw Data'!$B$2:$B$9999="Control")*('Raw Data'!$A$2:$A$9999=$A17)*('Raw Data'!$C$2:$C$9999=$C$3)*'Raw Data'!$D$2:$D$9999*'Raw Data'!$AJ$2:$AJ$9999)/SUMIFS('Raw Data'!$D:$D, 'Raw Data'!$B:$B, "Control", 'Raw Data'!$A:$A, $A17, 'Raw Data'!$C:$C, $C$3),""))</f>
        <v>9.69</v>
      </c>
      <c r="CX17" s="96">
        <f>IF($A17="","",IFERROR(SUMPRODUCT(('Raw Data'!$B$2:$B$9999="Variant")*('Raw Data'!$A$2:$A$9999=$A17)*('Raw Data'!$C$2:$C$9999=$C$3)*'Raw Data'!$D$2:$D$9999*'Raw Data'!$AJ$2:$AJ$9999)/SUMIFS('Raw Data'!$D:$D, 'Raw Data'!$B:$B, "Variant", 'Raw Data'!$A:$A, $A17, 'Raw Data'!$C:$C, $C$3),""))</f>
        <v>8.47</v>
      </c>
      <c r="CY17" s="106">
        <f t="shared" si="34"/>
        <v>-0.1259029928</v>
      </c>
      <c r="CZ17" s="96">
        <f>IF($A17="","",IFERROR(SUMPRODUCT(('Raw Data'!$B$2:$B$9999="Control")*('Raw Data'!$A$2:$A$9999=$A17)*('Raw Data'!$C$2:$C$9999=$C$3)*'Raw Data'!$D$2:$D$9999*'Raw Data'!$AK$2:$AK$9999)/SUMIFS('Raw Data'!$D:$D, 'Raw Data'!$B:$B, "Control", 'Raw Data'!$A:$A, $A17, 'Raw Data'!$C:$C, $C$3),""))</f>
        <v>2.18</v>
      </c>
      <c r="DA17" s="96">
        <f>IF($A17="","",IFERROR(SUMPRODUCT(('Raw Data'!$B$2:$B$9999="Variant")*('Raw Data'!$A$2:$A$9999=$A17)*('Raw Data'!$C$2:$C$9999=$C$3)*'Raw Data'!$D$2:$D$9999*'Raw Data'!$AK$2:$AK$9999)/SUMIFS('Raw Data'!$D:$D, 'Raw Data'!$B:$B, "Variant", 'Raw Data'!$A:$A, $A17, 'Raw Data'!$C:$C, $C$3),""))</f>
        <v>0.81</v>
      </c>
      <c r="DB17" s="105">
        <f t="shared" si="35"/>
        <v>-0.628440367</v>
      </c>
      <c r="DC17" s="102">
        <f>IF($A17="","",IFERROR(SUMPRODUCT(('Raw Data'!$B$2:$B$9999="Control")*('Raw Data'!$A$2:$A$9999=$A17)*('Raw Data'!$C$2:$C$9999=$C$3)*'Raw Data'!$D$2:$D$9999*'Raw Data'!$AL$2:$AL$9999)/SUMIFS('Raw Data'!$D:$D, 'Raw Data'!$B:$B, "Control", 'Raw Data'!$A:$A, $A17, 'Raw Data'!$C:$C, $C$3),""))</f>
        <v>0.1259</v>
      </c>
      <c r="DD17" s="102">
        <f>IF($A17="","",IFERROR(SUMPRODUCT(('Raw Data'!$B$2:$B$9999="Variant")*('Raw Data'!$A$2:$A$9999=$A17)*('Raw Data'!$C$2:$C$9999=$C$3)*'Raw Data'!$D$2:$D$9999*'Raw Data'!$AL$2:$AL$9999)/SUMIFS('Raw Data'!$D:$D, 'Raw Data'!$B:$B, "Variant", 'Raw Data'!$A:$A, $A17, 'Raw Data'!$C:$C, $C$3),""))</f>
        <v>0.1028</v>
      </c>
      <c r="DE17" s="105">
        <f t="shared" si="36"/>
        <v>-0.1834789515</v>
      </c>
      <c r="DF17" s="103"/>
      <c r="DG17" s="96">
        <f>IF($A17="","",IFERROR(SUMPRODUCT(('Raw Data'!$B$2:$B$9999="Variant")*('Raw Data'!$A$2:$A$9999=$A17)*('Raw Data'!$C$2:$C$9999=$C$3)*'Raw Data'!$D$2:$D$9999*'Raw Data'!$AM$2:$AM$9999)/SUMIFS('Raw Data'!$D:$D, 'Raw Data'!$B:$B, "Variant", 'Raw Data'!$A:$A, $A17, 'Raw Data'!$C:$C, $C$3),""))</f>
        <v>66.73</v>
      </c>
      <c r="DH17" s="104"/>
      <c r="DI17" s="103"/>
      <c r="DJ17" s="96">
        <f>IF($A17="","",IFERROR(SUMPRODUCT(('Raw Data'!$B$2:$B$9999="Variant")*('Raw Data'!$A$2:$A$9999=$A17)*('Raw Data'!$C$2:$C$9999=$C$3)*'Raw Data'!$D$2:$D$9999*'Raw Data'!$AN$2:$AN$9999)/SUMIFS('Raw Data'!$D:$D, 'Raw Data'!$B:$B, "Variant", 'Raw Data'!$A:$A, $A17, 'Raw Data'!$C:$C, $C$3),""))</f>
        <v>66.73</v>
      </c>
      <c r="DK17" s="104"/>
      <c r="DL17" s="103"/>
      <c r="DM17" s="96">
        <f>IF($A17="","",IFERROR(SUMPRODUCT(('Raw Data'!$B$2:$B$9999="Variant")*('Raw Data'!$A$2:$A$9999=$A17)*('Raw Data'!$C$2:$C$9999=$C$3)*'Raw Data'!$D$2:$D$9999*'Raw Data'!$AO$2:$AO$9999)/SUMIFS('Raw Data'!$D:$D, 'Raw Data'!$B:$B, "Variant", 'Raw Data'!$A:$A, $A17, 'Raw Data'!$C:$C, $C$3),""))</f>
        <v>41.94</v>
      </c>
      <c r="DN17" s="104"/>
      <c r="DO17" s="103"/>
      <c r="DP17" s="96">
        <f>IF($A17="","",IFERROR(SUMPRODUCT(('Raw Data'!$B$2:$B$9999="Variant")*('Raw Data'!$A$2:$A$9999=$A17)*('Raw Data'!$C$2:$C$9999=$C$3)*'Raw Data'!$D$2:$D$9999*'Raw Data'!$AP$2:$AP$9999)/SUMIFS('Raw Data'!$D:$D, 'Raw Data'!$B:$B, "Variant", 'Raw Data'!$A:$A, $A17, 'Raw Data'!$C:$C, $C$3),""))</f>
        <v>29.03</v>
      </c>
      <c r="DQ17" s="104"/>
      <c r="DR17" s="102">
        <f>IF($A17="","",IFERROR(SUMPRODUCT(('Raw Data'!$B$2:$B$9999="Control")*('Raw Data'!$A$2:$A$9999=$A17)*('Raw Data'!$C$2:$C$9999=$C$3)*'Raw Data'!$D$2:$D$9999*'Raw Data'!$AQ$2:$AQ$9999)/SUMIFS('Raw Data'!$D:$D, 'Raw Data'!$B:$B, "Control", 'Raw Data'!$A:$A, $A17, 'Raw Data'!$C:$C, $C$3),""))</f>
        <v>38.6053</v>
      </c>
      <c r="DS17" s="102">
        <f>IF($A17="","",IFERROR(SUMPRODUCT(('Raw Data'!$B$2:$B$9999="Variant")*('Raw Data'!$A$2:$A$9999=$A17)*('Raw Data'!$C$2:$C$9999=$C$3)*'Raw Data'!$D$2:$D$9999*'Raw Data'!$AQ$2:$AQ$9999)/SUMIFS('Raw Data'!$D:$D, 'Raw Data'!$B:$B, "Variant", 'Raw Data'!$A:$A, $A17, 'Raw Data'!$C:$C, $C$3),""))</f>
        <v>38.6048</v>
      </c>
      <c r="DT17" s="107">
        <f t="shared" si="37"/>
        <v>-0.00001295158955</v>
      </c>
      <c r="DU17" s="102">
        <f>IF($A17="","",IFERROR(SUMPRODUCT(('Raw Data'!$B$2:$B$9999="Control")*('Raw Data'!$A$2:$A$9999=$A17)*('Raw Data'!$C$2:$C$9999=$C$3)*'Raw Data'!$D$2:$D$9999*'Raw Data'!$AR$2:$AR$9999)/SUMIFS('Raw Data'!$D:$D, 'Raw Data'!$B:$B, "Control", 'Raw Data'!$A:$A, $A17, 'Raw Data'!$C:$C, $C$3),""))</f>
        <v>3.6271</v>
      </c>
      <c r="DV17" s="102">
        <f>IF($A17="","",IFERROR(SUMPRODUCT(('Raw Data'!$B$2:$B$9999="Variant")*('Raw Data'!$A$2:$A$9999=$A17)*('Raw Data'!$C$2:$C$9999=$C$3)*'Raw Data'!$D$2:$D$9999*'Raw Data'!$AR$2:$AR$9999)/SUMIFS('Raw Data'!$D:$D, 'Raw Data'!$B:$B, "Variant", 'Raw Data'!$A:$A, $A17, 'Raw Data'!$C:$C, $C$3),""))</f>
        <v>3.9052</v>
      </c>
      <c r="DW17" s="107">
        <f t="shared" si="38"/>
        <v>0.07667282402</v>
      </c>
      <c r="DX17" s="102">
        <f>IF($A17="","",IFERROR(SUMPRODUCT(('Raw Data'!$B$2:$B$9999="Control")*('Raw Data'!$A$2:$A$9999=$A17)*('Raw Data'!$C$2:$C$9999=$C$3)*'Raw Data'!$D$2:$D$9999*'Raw Data'!$AS$2:$AS$9999)/SUMIFS('Raw Data'!$D:$D, 'Raw Data'!$B:$B, "Control", 'Raw Data'!$A:$A, $A17, 'Raw Data'!$C:$C, $C$3),""))</f>
        <v>34.9782</v>
      </c>
      <c r="DY17" s="102">
        <f>IF($A17="","",IFERROR(SUMPRODUCT(('Raw Data'!$B$2:$B$9999="Variant")*('Raw Data'!$A$2:$A$9999=$A17)*('Raw Data'!$C$2:$C$9999=$C$3)*'Raw Data'!$D$2:$D$9999*'Raw Data'!$AS$2:$AS$9999)/SUMIFS('Raw Data'!$D:$D, 'Raw Data'!$B:$B, "Variant", 'Raw Data'!$A:$A, $A17, 'Raw Data'!$C:$C, $C$3),""))</f>
        <v>34.6996</v>
      </c>
      <c r="DZ17" s="107">
        <f t="shared" si="39"/>
        <v>-0.007964961033</v>
      </c>
      <c r="EA17" s="102">
        <f>IF($A17="","",IFERROR(SUMPRODUCT(('Raw Data'!$B$2:$B$9999="Control")*('Raw Data'!$A$2:$A$9999=$A17)*('Raw Data'!$C$2:$C$9999=$C$3)*'Raw Data'!$D$2:$D$9999*'Raw Data'!$AT$2:$AT$9999)/SUMIFS('Raw Data'!$D:$D, 'Raw Data'!$B:$B, "Control", 'Raw Data'!$A:$A, $A17, 'Raw Data'!$C:$C, $C$3),""))</f>
        <v>39.0242</v>
      </c>
      <c r="EB17" s="102">
        <f>IF($A17="","",IFERROR(SUMPRODUCT(('Raw Data'!$B$2:$B$9999="Variant")*('Raw Data'!$A$2:$A$9999=$A17)*('Raw Data'!$C$2:$C$9999=$C$3)*'Raw Data'!$D$2:$D$9999*'Raw Data'!$AT$2:$AT$9999)/SUMIFS('Raw Data'!$D:$D, 'Raw Data'!$B:$B, "Variant", 'Raw Data'!$A:$A, $A17, 'Raw Data'!$C:$C, $C$3),""))</f>
        <v>38.2883</v>
      </c>
      <c r="EC17" s="107">
        <f t="shared" si="40"/>
        <v>-0.01885752943</v>
      </c>
      <c r="ED17" s="102">
        <f>IF($A17="","",IFERROR(SUMPRODUCT(('Raw Data'!$B$2:$B$9999="Control")*('Raw Data'!$A$2:$A$9999=$A17)*('Raw Data'!$C$2:$C$9999=$C$3)*'Raw Data'!$D$2:$D$9999*('Raw Data'!$AQ$2:$AQ$9999-'Raw Data'!$AT$2:$AT$9999))/SUMIFS('Raw Data'!$D:$D, 'Raw Data'!$B:$B, "Control", 'Raw Data'!$A:$A, $A17, 'Raw Data'!$C:$C, $C$3),""))</f>
        <v>-0.4189</v>
      </c>
      <c r="EE17" s="102">
        <f>IF($A17="","",IFERROR(SUMPRODUCT(('Raw Data'!$B$2:$B$9999="Variant")*('Raw Data'!$A$2:$A$9999=$A17)*('Raw Data'!$C$2:$C$9999=$C$3)*'Raw Data'!$D$2:$D$9999*('Raw Data'!$AQ$2:$AQ$9999-'Raw Data'!$AT$2:$AT$9999))/SUMIFS('Raw Data'!$D:$D, 'Raw Data'!$B:$B, "Variant", 'Raw Data'!$A:$A, $A17, 'Raw Data'!$C:$C, $C$3),""))</f>
        <v>0.3165</v>
      </c>
      <c r="EF17" s="107">
        <f t="shared" si="41"/>
        <v>1.755550251</v>
      </c>
      <c r="EG17" s="102">
        <f>IF($A17="","",IFERROR(SUMPRODUCT(('Raw Data'!$B$2:$B$9999="Control")*('Raw Data'!$A$2:$A$9999=$A17)*('Raw Data'!$C$2:$C$9999=$C$3)*'Raw Data'!$D$2:$D$9999*'Raw Data'!$AU$2:$AU$9999)/SUMIFS('Raw Data'!$D:$D, 'Raw Data'!$B:$B, "Control", 'Raw Data'!$A:$A, $A17, 'Raw Data'!$C:$C, $C$3),""))</f>
        <v>0.2574</v>
      </c>
      <c r="EH17" s="102">
        <f>IF($A17="","",IFERROR(SUMPRODUCT(('Raw Data'!$B$2:$B$9999="Variant")*('Raw Data'!$A$2:$A$9999=$A17)*('Raw Data'!$C$2:$C$9999=$C$3)*'Raw Data'!$D$2:$D$9999*'Raw Data'!$AU$2:$AU$9999)/SUMIFS('Raw Data'!$D:$D, 'Raw Data'!$B:$B, "Variant", 'Raw Data'!$A:$A, $A17, 'Raw Data'!$C:$C, $C$3),""))</f>
        <v>0.2535</v>
      </c>
      <c r="EI17" s="107">
        <f t="shared" si="42"/>
        <v>-0.01515151515</v>
      </c>
    </row>
    <row r="18">
      <c r="A18" s="93">
        <v>46186.0</v>
      </c>
      <c r="B18" s="94">
        <f>IF($A18="","",SUMIFS('Raw Data'!$D:$D, 'Raw Data'!$B:$B, "Control", 'Raw Data'!$A:$A, $A18, 'Raw Data'!$C:$C, $C$3))</f>
        <v>437</v>
      </c>
      <c r="C18" s="94">
        <f>IF($A18="","",SUMIFS('Raw Data'!$D:$D, 'Raw Data'!$B:$B, "Variant", 'Raw Data'!$A:$A, $A18, 'Raw Data'!$C:$C, $C$3))</f>
        <v>490</v>
      </c>
      <c r="D18" s="95">
        <f t="shared" si="1"/>
        <v>0.1212814645</v>
      </c>
      <c r="E18" s="96">
        <f>IF($A18="","",IFERROR(SUMPRODUCT(('Raw Data'!$B$2:$B$9999="Control")*('Raw Data'!$A$2:$A$9999=$A18)*('Raw Data'!$C$2:$C$9999=$C$3)*'Raw Data'!$D$2:$D$9999*'Raw Data'!$E$2:$E$9999)/SUMIFS('Raw Data'!$D:$D, 'Raw Data'!$B:$B, "Control", 'Raw Data'!$A:$A, $A18, 'Raw Data'!$C:$C, $C$3),""))</f>
        <v>0.55</v>
      </c>
      <c r="F18" s="96">
        <f>IF($A18="","",IFERROR(SUMPRODUCT(('Raw Data'!$B$2:$B$9999="Variant")*('Raw Data'!$A$2:$A$9999=$A18)*('Raw Data'!$C$2:$C$9999=$C$3)*'Raw Data'!$D$2:$D$9999*'Raw Data'!$E$2:$E$9999)/SUMIFS('Raw Data'!$D:$D, 'Raw Data'!$B:$B, "Variant", 'Raw Data'!$A:$A, $A18, 'Raw Data'!$C:$C, $C$3),""))</f>
        <v>0.62</v>
      </c>
      <c r="G18" s="95">
        <f t="shared" si="2"/>
        <v>0.1272727273</v>
      </c>
      <c r="H18" s="97">
        <f>IF($A18="","",SUMIFS('Raw Data'!$F:$F, 'Raw Data'!$B:$B, "Control", 'Raw Data'!$A:$A, $A18, 'Raw Data'!$C:$C, $C$3))</f>
        <v>1660.57</v>
      </c>
      <c r="I18" s="97">
        <f>IF($A18="","",SUMIFS('Raw Data'!$F:$F, 'Raw Data'!$B:$B, "Variant", 'Raw Data'!$A:$A, $A18, 'Raw Data'!$C:$C, $C$3))</f>
        <v>1984.53</v>
      </c>
      <c r="J18" s="100">
        <f t="shared" si="3"/>
        <v>0.1950896379</v>
      </c>
      <c r="K18" s="99">
        <f>IF($A18="","",IFERROR(SUMIFS('Raw Data'!$F:$F, 'Raw Data'!$B:$B, "Control", 'Raw Data'!$A:$A, $A18, 'Raw Data'!$C:$C, $C$3)/SUMIFS('Raw Data'!$D:$D, 'Raw Data'!$B:$B, "Control", 'Raw Data'!$A:$A, $A18, 'Raw Data'!$C:$C, $C$3),""))</f>
        <v>3.79993135</v>
      </c>
      <c r="L18" s="99">
        <f>IF($A18="","",IFERROR(SUMIFS('Raw Data'!$F:$F, 'Raw Data'!$B:$B, "Variant", 'Raw Data'!$A:$A, $A18, 'Raw Data'!$C:$C, $C$3)/SUMIFS('Raw Data'!$D:$D, 'Raw Data'!$B:$B, "Variant", 'Raw Data'!$A:$A, $A18, 'Raw Data'!$C:$C, $C$3),""))</f>
        <v>4.050061224</v>
      </c>
      <c r="M18" s="100">
        <f t="shared" si="4"/>
        <v>0.06582484033</v>
      </c>
      <c r="N18" s="96">
        <f>IF($A18="","",IFERROR(SUMPRODUCT(('Raw Data'!$B$2:$B$9999="Control")*('Raw Data'!$A$2:$A$9999=$A18)*('Raw Data'!$C$2:$C$9999=$C$3)*'Raw Data'!$D$2:$D$9999*'Raw Data'!$H$2:$H$9999/100)/SUMIFS('Raw Data'!$D:$D, 'Raw Data'!$B:$B, "Control", 'Raw Data'!$A:$A, $A18, 'Raw Data'!$C:$C, $C$3)*100,""))</f>
        <v>17.39</v>
      </c>
      <c r="O18" s="96">
        <f>IF($A18="","",IFERROR(SUMPRODUCT(('Raw Data'!$B$2:$B$9999="Variant")*('Raw Data'!$A$2:$A$9999=$A18)*('Raw Data'!$C$2:$C$9999=$C$3)*'Raw Data'!$D$2:$D$9999*'Raw Data'!$H$2:$H$9999/100)/SUMIFS('Raw Data'!$D:$D, 'Raw Data'!$B:$B, "Variant", 'Raw Data'!$A:$A, $A18, 'Raw Data'!$C:$C, $C$3)*100,""))</f>
        <v>14.9</v>
      </c>
      <c r="P18" s="105">
        <f t="shared" si="5"/>
        <v>-0.1431857389</v>
      </c>
      <c r="Q18" s="99">
        <f>IF($A18="","",IFERROR(SUMIFS('Raw Data'!$F:$F, 'Raw Data'!$B:$B, "Control", 'Raw Data'!$A:$A, $A18, 'Raw Data'!$C:$C, $C$3)/SUMPRODUCT(('Raw Data'!$B$2:$B$9999="Control")*('Raw Data'!$A$2:$A$9999=$A18)*('Raw Data'!$C$2:$C$9999=$C$3)*'Raw Data'!$D$2:$D$9999*'Raw Data'!$H$2:$H$9999/100),""))</f>
        <v>21.85124411</v>
      </c>
      <c r="R18" s="99">
        <f>IF($A18="","",IFERROR(SUMIFS('Raw Data'!$F:$F, 'Raw Data'!$B:$B, "Variant", 'Raw Data'!$A:$A, $A18, 'Raw Data'!$C:$C, $C$3)/SUMPRODUCT(('Raw Data'!$B$2:$B$9999="Variant")*('Raw Data'!$A$2:$A$9999=$A18)*('Raw Data'!$C$2:$C$9999=$C$3)*'Raw Data'!$D$2:$D$9999*'Raw Data'!$H$2:$H$9999/100),""))</f>
        <v>27.18161896</v>
      </c>
      <c r="S18" s="105">
        <f t="shared" si="6"/>
        <v>0.2439391928</v>
      </c>
      <c r="T18" s="101">
        <f>IF($A18="","",IFERROR(SUMPRODUCT(('Raw Data'!$B$2:$B$9999="Control")*('Raw Data'!$A$2:$A$9999=$A18)*('Raw Data'!$C$2:$C$9999=$C$3)*'Raw Data'!$D$2:$D$9999*'Raw Data'!$J$2:$J$9999)/SUMIFS('Raw Data'!$D:$D, 'Raw Data'!$B:$B, "Control", 'Raw Data'!$A:$A, $A18, 'Raw Data'!$C:$C, $C$3),""))</f>
        <v>225.72</v>
      </c>
      <c r="U18" s="101">
        <f>IF($A18="","",IFERROR(SUMPRODUCT(('Raw Data'!$B$2:$B$9999="Variant")*('Raw Data'!$A$2:$A$9999=$A18)*('Raw Data'!$C$2:$C$9999=$C$3)*'Raw Data'!$D$2:$D$9999*'Raw Data'!$J$2:$J$9999)/SUMIFS('Raw Data'!$D:$D, 'Raw Data'!$B:$B, "Variant", 'Raw Data'!$A:$A, $A18, 'Raw Data'!$C:$C, $C$3),""))</f>
        <v>233.63</v>
      </c>
      <c r="V18" s="105">
        <f t="shared" si="7"/>
        <v>0.03504341662</v>
      </c>
      <c r="W18" s="101">
        <f>IF($A18="","",IFERROR(SUMPRODUCT(('Raw Data'!$B$2:$B$9999="Control")*('Raw Data'!$A$2:$A$9999=$A18)*('Raw Data'!$C$2:$C$9999=$C$3)*'Raw Data'!$D$2:$D$9999*'Raw Data'!$K$2:$K$9999)/SUMIFS('Raw Data'!$D:$D, 'Raw Data'!$B:$B, "Control", 'Raw Data'!$A:$A, $A18, 'Raw Data'!$C:$C, $C$3),""))</f>
        <v>139.92</v>
      </c>
      <c r="X18" s="101">
        <f>IF($A18="","",IFERROR(SUMPRODUCT(('Raw Data'!$B$2:$B$9999="Variant")*('Raw Data'!$A$2:$A$9999=$A18)*('Raw Data'!$C$2:$C$9999=$C$3)*'Raw Data'!$D$2:$D$9999*'Raw Data'!$K$2:$K$9999)/SUMIFS('Raw Data'!$D:$D, 'Raw Data'!$B:$B, "Variant", 'Raw Data'!$A:$A, $A18, 'Raw Data'!$C:$C, $C$3),""))</f>
        <v>139.15</v>
      </c>
      <c r="Y18" s="105">
        <f t="shared" si="8"/>
        <v>-0.005503144654</v>
      </c>
      <c r="Z18" s="101">
        <f>IF($A18="","",IFERROR(SUMPRODUCT(('Raw Data'!$B$2:$B$9999="Control")*('Raw Data'!$A$2:$A$9999=$A18)*('Raw Data'!$C$2:$C$9999=$C$3)*'Raw Data'!$D$2:$D$9999*'Raw Data'!$L$2:$L$9999)/SUMIFS('Raw Data'!$D:$D, 'Raw Data'!$B:$B, "Control", 'Raw Data'!$A:$A, $A18, 'Raw Data'!$C:$C, $C$3),""))</f>
        <v>121</v>
      </c>
      <c r="AA18" s="101">
        <f>IF($A18="","",IFERROR(SUMPRODUCT(('Raw Data'!$B$2:$B$9999="Variant")*('Raw Data'!$A$2:$A$9999=$A18)*('Raw Data'!$C$2:$C$9999=$C$3)*'Raw Data'!$D$2:$D$9999*'Raw Data'!$L$2:$L$9999)/SUMIFS('Raw Data'!$D:$D, 'Raw Data'!$B:$B, "Variant", 'Raw Data'!$A:$A, $A18, 'Raw Data'!$C:$C, $C$3),""))</f>
        <v>119.07</v>
      </c>
      <c r="AB18" s="105">
        <f t="shared" si="9"/>
        <v>-0.01595041322</v>
      </c>
      <c r="AC18" s="102">
        <f>IF($A18="","",IFERROR(SUMPRODUCT(('Raw Data'!$B$2:$B$9999="Control")*('Raw Data'!$A$2:$A$9999=$A18)*('Raw Data'!$C$2:$C$9999=$C$3)*'Raw Data'!$D$2:$D$9999*'Raw Data'!$M$2:$M$9999)/SUMIFS('Raw Data'!$D:$D, 'Raw Data'!$B:$B, "Control", 'Raw Data'!$A:$A, $A18, 'Raw Data'!$C:$C, $C$3),""))</f>
        <v>0.8647</v>
      </c>
      <c r="AD18" s="102">
        <f>IF($A18="","",IFERROR(SUMPRODUCT(('Raw Data'!$B$2:$B$9999="Variant")*('Raw Data'!$A$2:$A$9999=$A18)*('Raw Data'!$C$2:$C$9999=$C$3)*'Raw Data'!$D$2:$D$9999*'Raw Data'!$M$2:$M$9999)/SUMIFS('Raw Data'!$D:$D, 'Raw Data'!$B:$B, "Variant", 'Raw Data'!$A:$A, $A18, 'Raw Data'!$C:$C, $C$3),""))</f>
        <v>0.8557</v>
      </c>
      <c r="AE18" s="106">
        <f t="shared" si="10"/>
        <v>-0.01040823407</v>
      </c>
      <c r="AF18" s="102">
        <f>IF($A18="","",IFERROR(SUMPRODUCT(('Raw Data'!$B$2:$B$9999="Control")*('Raw Data'!$A$2:$A$9999=$A18)*('Raw Data'!$C$2:$C$9999=$C$3)*'Raw Data'!$D$2:$D$9999*'Raw Data'!$N$2:$N$9999)/SUMIFS('Raw Data'!$D:$D, 'Raw Data'!$B:$B, "Control", 'Raw Data'!$A:$A, $A18, 'Raw Data'!$C:$C, $C$3),""))</f>
        <v>0.2659</v>
      </c>
      <c r="AG18" s="102">
        <f>IF($A18="","",IFERROR(SUMPRODUCT(('Raw Data'!$B$2:$B$9999="Variant")*('Raw Data'!$A$2:$A$9999=$A18)*('Raw Data'!$C$2:$C$9999=$C$3)*'Raw Data'!$D$2:$D$9999*'Raw Data'!$N$2:$N$9999)/SUMIFS('Raw Data'!$D:$D, 'Raw Data'!$B:$B, "Variant", 'Raw Data'!$A:$A, $A18, 'Raw Data'!$C:$C, $C$3),""))</f>
        <v>0.2851</v>
      </c>
      <c r="AH18" s="106">
        <f t="shared" si="11"/>
        <v>0.07220759684</v>
      </c>
      <c r="AI18" s="102">
        <f>IF($A18="","",IFERROR(SUMPRODUCT(('Raw Data'!$B$2:$B$9999="Control")*('Raw Data'!$A$2:$A$9999=$A18)*('Raw Data'!$C$2:$C$9999=$C$3)*'Raw Data'!$D$2:$D$9999*'Raw Data'!$O$2:$O$9999)/SUMIFS('Raw Data'!$D:$D, 'Raw Data'!$B:$B, "Control", 'Raw Data'!$A:$A, $A18, 'Raw Data'!$C:$C, $C$3),""))</f>
        <v>0.1914</v>
      </c>
      <c r="AJ18" s="102">
        <f>IF($A18="","",IFERROR(SUMPRODUCT(('Raw Data'!$B$2:$B$9999="Variant")*('Raw Data'!$A$2:$A$9999=$A18)*('Raw Data'!$C$2:$C$9999=$C$3)*'Raw Data'!$D$2:$D$9999*'Raw Data'!$O$2:$O$9999)/SUMIFS('Raw Data'!$D:$D, 'Raw Data'!$B:$B, "Variant", 'Raw Data'!$A:$A, $A18, 'Raw Data'!$C:$C, $C$3),""))</f>
        <v>0.2031</v>
      </c>
      <c r="AK18" s="105">
        <f t="shared" si="12"/>
        <v>0.06112852665</v>
      </c>
      <c r="AL18" s="101">
        <f>IF($A18="","",IFERROR(SUMPRODUCT(('Raw Data'!$B$2:$B$9999="Control")*('Raw Data'!$A$2:$A$9999=$A18)*('Raw Data'!$C$2:$C$9999=$C$3)*'Raw Data'!$D$2:$D$9999*'Raw Data'!$P$2:$P$9999)/SUMIFS('Raw Data'!$D:$D, 'Raw Data'!$B:$B, "Control", 'Raw Data'!$A:$A, $A18, 'Raw Data'!$C:$C, $C$3),""))</f>
        <v>1.1564</v>
      </c>
      <c r="AM18" s="101">
        <f>IF($A18="","",IFERROR(SUMPRODUCT(('Raw Data'!$B$2:$B$9999="Variant")*('Raw Data'!$A$2:$A$9999=$A18)*('Raw Data'!$C$2:$C$9999=$C$3)*'Raw Data'!$D$2:$D$9999*'Raw Data'!$P$2:$P$9999)/SUMIFS('Raw Data'!$D:$D, 'Raw Data'!$B:$B, "Variant", 'Raw Data'!$A:$A, $A18, 'Raw Data'!$C:$C, $C$3),""))</f>
        <v>1.1687</v>
      </c>
      <c r="AN18" s="105">
        <f t="shared" si="13"/>
        <v>0.01063645797</v>
      </c>
      <c r="AO18" s="101">
        <f>IF($A18="","",IFERROR(SUMPRODUCT(('Raw Data'!$B$2:$B$9999="Control")*('Raw Data'!$A$2:$A$9999=$A18)*('Raw Data'!$C$2:$C$9999=$C$3)*'Raw Data'!$D$2:$D$9999*'Raw Data'!$Q$2:$Q$9999)/SUMIFS('Raw Data'!$D:$D, 'Raw Data'!$B:$B, "Control", 'Raw Data'!$A:$A, $A18, 'Raw Data'!$C:$C, $C$3),""))</f>
        <v>854.17</v>
      </c>
      <c r="AP18" s="101">
        <f>IF($A18="","",IFERROR(SUMPRODUCT(('Raw Data'!$B$2:$B$9999="Variant")*('Raw Data'!$A$2:$A$9999=$A18)*('Raw Data'!$C$2:$C$9999=$C$3)*'Raw Data'!$D$2:$D$9999*'Raw Data'!$Q$2:$Q$9999)/SUMIFS('Raw Data'!$D:$D, 'Raw Data'!$B:$B, "Variant", 'Raw Data'!$A:$A, $A18, 'Raw Data'!$C:$C, $C$3),""))</f>
        <v>819.08</v>
      </c>
      <c r="AQ18" s="95">
        <f t="shared" si="14"/>
        <v>-0.04108081529</v>
      </c>
      <c r="AR18" s="101">
        <f>IF($A18="","",IFERROR(SUMPRODUCT(('Raw Data'!$B$2:$B$9999="Control")*('Raw Data'!$A$2:$A$9999=$A18)*('Raw Data'!$C$2:$C$9999=$C$3)*'Raw Data'!$D$2:$D$9999*'Raw Data'!$R$2:$R$9999)/SUMIFS('Raw Data'!$D:$D, 'Raw Data'!$B:$B, "Control", 'Raw Data'!$A:$A, $A18, 'Raw Data'!$C:$C, $C$3),""))</f>
        <v>597.66</v>
      </c>
      <c r="AS18" s="101">
        <f>IF($A18="","",IFERROR(SUMPRODUCT(('Raw Data'!$B$2:$B$9999="Variant")*('Raw Data'!$A$2:$A$9999=$A18)*('Raw Data'!$C$2:$C$9999=$C$3)*'Raw Data'!$D$2:$D$9999*'Raw Data'!$R$2:$R$9999)/SUMIFS('Raw Data'!$D:$D, 'Raw Data'!$B:$B, "Variant", 'Raw Data'!$A:$A, $A18, 'Raw Data'!$C:$C, $C$3),""))</f>
        <v>728.37</v>
      </c>
      <c r="AT18" s="95">
        <f t="shared" si="15"/>
        <v>0.2187029415</v>
      </c>
      <c r="AU18" s="101">
        <f>IF($A18="","",IFERROR(SUMPRODUCT(('Raw Data'!$B$2:$B$9999="Control")*('Raw Data'!$A$2:$A$9999=$A18)*('Raw Data'!$C$2:$C$9999=$C$3)*'Raw Data'!$D$2:$D$9999*'Raw Data'!$S$2:$S$9999)/SUMIFS('Raw Data'!$D:$D, 'Raw Data'!$B:$B, "Control", 'Raw Data'!$A:$A, $A18, 'Raw Data'!$C:$C, $C$3),""))</f>
        <v>256.51</v>
      </c>
      <c r="AV18" s="101">
        <f>IF($A18="","",IFERROR(SUMPRODUCT(('Raw Data'!$B$2:$B$9999="Variant")*('Raw Data'!$A$2:$A$9999=$A18)*('Raw Data'!$C$2:$C$9999=$C$3)*'Raw Data'!$D$2:$D$9999*'Raw Data'!$S$2:$S$9999)/SUMIFS('Raw Data'!$D:$D, 'Raw Data'!$B:$B, "Variant", 'Raw Data'!$A:$A, $A18, 'Raw Data'!$C:$C, $C$3),""))</f>
        <v>90.7</v>
      </c>
      <c r="AW18" s="95">
        <f t="shared" si="16"/>
        <v>-0.6464075475</v>
      </c>
      <c r="AX18" s="101">
        <f>IF($A18="","",IFERROR(SUMPRODUCT(('Raw Data'!$B$2:$B$9999="Control")*('Raw Data'!$A$2:$A$9999=$A18)*('Raw Data'!$C$2:$C$9999=$C$3)*'Raw Data'!$D$2:$D$9999*'Raw Data'!$T$2:$T$9999)/SUMIFS('Raw Data'!$D:$D, 'Raw Data'!$B:$B, "Control", 'Raw Data'!$A:$A, $A18, 'Raw Data'!$C:$C, $C$3),""))</f>
        <v>256.05</v>
      </c>
      <c r="AY18" s="101">
        <f>IF($A18="","",IFERROR(SUMPRODUCT(('Raw Data'!$B$2:$B$9999="Variant")*('Raw Data'!$A$2:$A$9999=$A18)*('Raw Data'!$C$2:$C$9999=$C$3)*'Raw Data'!$D$2:$D$9999*'Raw Data'!$T$2:$T$9999)/SUMIFS('Raw Data'!$D:$D, 'Raw Data'!$B:$B, "Variant", 'Raw Data'!$A:$A, $A18, 'Raw Data'!$C:$C, $C$3),""))</f>
        <v>266.99</v>
      </c>
      <c r="AZ18" s="105">
        <f t="shared" si="17"/>
        <v>0.04272603007</v>
      </c>
      <c r="BA18" s="101">
        <f>IF($A18="","",IFERROR(SUMPRODUCT(('Raw Data'!$B$2:$B$9999="Control")*('Raw Data'!$A$2:$A$9999=$A18)*('Raw Data'!$C$2:$C$9999=$C$3)*'Raw Data'!$D$2:$D$9999*'Raw Data'!$U$2:$U$9999)/SUMIFS('Raw Data'!$D:$D, 'Raw Data'!$B:$B, "Control", 'Raw Data'!$A:$A, $A18, 'Raw Data'!$C:$C, $C$3),""))</f>
        <v>598.12</v>
      </c>
      <c r="BB18" s="101">
        <f>IF($A18="","",IFERROR(SUMPRODUCT(('Raw Data'!$B$2:$B$9999="Variant")*('Raw Data'!$A$2:$A$9999=$A18)*('Raw Data'!$C$2:$C$9999=$C$3)*'Raw Data'!$D$2:$D$9999*'Raw Data'!$U$2:$U$9999)/SUMIFS('Raw Data'!$D:$D, 'Raw Data'!$B:$B, "Variant", 'Raw Data'!$A:$A, $A18, 'Raw Data'!$C:$C, $C$3),""))</f>
        <v>552.09</v>
      </c>
      <c r="BC18" s="95">
        <f t="shared" si="18"/>
        <v>-0.07695780111</v>
      </c>
      <c r="BD18" s="101">
        <f>IF($A18="","",IFERROR(SUMPRODUCT(('Raw Data'!$B$2:$B$9999="Control")*('Raw Data'!$A$2:$A$9999=$A18)*('Raw Data'!$C$2:$C$9999=$C$3)*'Raw Data'!$D$2:$D$9999*'Raw Data'!$V$2:$V$9999)/SUMIFS('Raw Data'!$D:$D, 'Raw Data'!$B:$B, "Control", 'Raw Data'!$A:$A, $A18, 'Raw Data'!$C:$C, $C$3),""))</f>
        <v>849.77</v>
      </c>
      <c r="BE18" s="101">
        <f>IF($A18="","",IFERROR(SUMPRODUCT(('Raw Data'!$B$2:$B$9999="Variant")*('Raw Data'!$A$2:$A$9999=$A18)*('Raw Data'!$C$2:$C$9999=$C$3)*'Raw Data'!$D$2:$D$9999*'Raw Data'!$V$2:$V$9999)/SUMIFS('Raw Data'!$D:$D, 'Raw Data'!$B:$B, "Variant", 'Raw Data'!$A:$A, $A18, 'Raw Data'!$C:$C, $C$3),""))</f>
        <v>842.14</v>
      </c>
      <c r="BF18" s="95">
        <f t="shared" si="19"/>
        <v>-0.008978900173</v>
      </c>
      <c r="BG18" s="101">
        <f>IF($A18="","",IFERROR(SUMPRODUCT(('Raw Data'!$B$2:$B$9999="Control")*('Raw Data'!$A$2:$A$9999=$A18)*('Raw Data'!$C$2:$C$9999=$C$3)*'Raw Data'!$D$2:$D$9999*('Raw Data'!$Q$2:$Q$9999-'Raw Data'!$V$2:$V$9999))/SUMIFS('Raw Data'!$D:$D, 'Raw Data'!$B:$B, "Control", 'Raw Data'!$A:$A, $A18, 'Raw Data'!$C:$C, $C$3),""))</f>
        <v>4.4</v>
      </c>
      <c r="BH18" s="101">
        <f>IF($A18="","",IFERROR(SUMPRODUCT(('Raw Data'!$B$2:$B$9999="Variant")*('Raw Data'!$A$2:$A$9999=$A18)*('Raw Data'!$C$2:$C$9999=$C$3)*'Raw Data'!$D$2:$D$9999*('Raw Data'!$Q$2:$Q$9999-'Raw Data'!$V$2:$V$9999))/SUMIFS('Raw Data'!$D:$D, 'Raw Data'!$B:$B, "Variant", 'Raw Data'!$A:$A, $A18, 'Raw Data'!$C:$C, $C$3),""))</f>
        <v>-23.06</v>
      </c>
      <c r="BI18" s="95">
        <f t="shared" si="20"/>
        <v>-6.240909091</v>
      </c>
      <c r="BJ18" s="101">
        <f>IF($A18="","",IFERROR(SUMPRODUCT(('Raw Data'!$B$2:$B$9999="Control")*('Raw Data'!$A$2:$A$9999=$A18)*('Raw Data'!$C$2:$C$9999=$C$3)*'Raw Data'!$D$2:$D$9999*'Raw Data'!$W$2:$W$9999)/SUMIFS('Raw Data'!$D:$D, 'Raw Data'!$B:$B, "Control", 'Raw Data'!$A:$A, $A18, 'Raw Data'!$C:$C, $C$3),""))</f>
        <v>6.0733</v>
      </c>
      <c r="BK18" s="101">
        <f>IF($A18="","",IFERROR(SUMPRODUCT(('Raw Data'!$B$2:$B$9999="Variant")*('Raw Data'!$A$2:$A$9999=$A18)*('Raw Data'!$C$2:$C$9999=$C$3)*'Raw Data'!$D$2:$D$9999*'Raw Data'!$W$2:$W$9999)/SUMIFS('Raw Data'!$D:$D, 'Raw Data'!$B:$B, "Variant", 'Raw Data'!$A:$A, $A18, 'Raw Data'!$C:$C, $C$3),""))</f>
        <v>6.052</v>
      </c>
      <c r="BL18" s="95">
        <f t="shared" si="21"/>
        <v>-0.003507154265</v>
      </c>
      <c r="BM18" s="102">
        <f>IF($A18="","",IFERROR(SUMPRODUCT(('Raw Data'!$B$2:$B$9999="Control")*('Raw Data'!$A$2:$A$9999=$A18)*('Raw Data'!$C$2:$C$9999=$C$3)*'Raw Data'!$D$2:$D$9999*'Raw Data'!$X$2:$X$9999)/SUMIFS('Raw Data'!$D:$D, 'Raw Data'!$B:$B, "Control", 'Raw Data'!$A:$A, $A18, 'Raw Data'!$C:$C, $C$3),""))</f>
        <v>29.98</v>
      </c>
      <c r="BN18" s="102">
        <f>IF($A18="","",IFERROR(SUMPRODUCT(('Raw Data'!$B$2:$B$9999="Variant")*('Raw Data'!$A$2:$A$9999=$A18)*('Raw Data'!$C$2:$C$9999=$C$3)*'Raw Data'!$D$2:$D$9999*'Raw Data'!$X$2:$X$9999)/SUMIFS('Raw Data'!$D:$D, 'Raw Data'!$B:$B, "Variant", 'Raw Data'!$A:$A, $A18, 'Raw Data'!$C:$C, $C$3),""))</f>
        <v>32.6</v>
      </c>
      <c r="BO18" s="105">
        <f t="shared" si="22"/>
        <v>0.0873915944</v>
      </c>
      <c r="BP18" s="94">
        <f>IF($A18="","",IFERROR(SUMPRODUCT(('Raw Data'!$B$2:$B$9999="Control")*('Raw Data'!$A$2:$A$9999=$A18)*('Raw Data'!$C$2:$C$9999=$C$3)*'Raw Data'!$D$2:$D$9999*'Raw Data'!$Y$2:$Y$9999)/SUMIFS('Raw Data'!$D:$D, 'Raw Data'!$B:$B, "Control", 'Raw Data'!$A:$A, $A18, 'Raw Data'!$C:$C, $C$3),""))</f>
        <v>392</v>
      </c>
      <c r="BQ18" s="94">
        <f>IF($A18="","",IFERROR(SUMPRODUCT(('Raw Data'!$B$2:$B$9999="Variant")*('Raw Data'!$A$2:$A$9999=$A18)*('Raw Data'!$C$2:$C$9999=$C$3)*'Raw Data'!$D$2:$D$9999*'Raw Data'!$Y$2:$Y$9999)/SUMIFS('Raw Data'!$D:$D, 'Raw Data'!$B:$B, "Variant", 'Raw Data'!$A:$A, $A18, 'Raw Data'!$C:$C, $C$3),""))</f>
        <v>391</v>
      </c>
      <c r="BR18" s="95">
        <f t="shared" si="23"/>
        <v>-0.002551020408</v>
      </c>
      <c r="BS18" s="94">
        <f>IF($A18="","",IFERROR(SUMPRODUCT(('Raw Data'!$B$2:$B$9999="Control")*('Raw Data'!$A$2:$A$9999=$A18)*('Raw Data'!$C$2:$C$9999=$C$3)*'Raw Data'!$D$2:$D$9999*'Raw Data'!$Z$2:$Z$9999)/SUMIFS('Raw Data'!$D:$D, 'Raw Data'!$B:$B, "Control", 'Raw Data'!$A:$A, $A18, 'Raw Data'!$C:$C, $C$3),""))</f>
        <v>2782</v>
      </c>
      <c r="BT18" s="94">
        <f>IF($A18="","",IFERROR(SUMPRODUCT(('Raw Data'!$B$2:$B$9999="Variant")*('Raw Data'!$A$2:$A$9999=$A18)*('Raw Data'!$C$2:$C$9999=$C$3)*'Raw Data'!$D$2:$D$9999*'Raw Data'!$Z$2:$Z$9999)/SUMIFS('Raw Data'!$D:$D, 'Raw Data'!$B:$B, "Variant", 'Raw Data'!$A:$A, $A18, 'Raw Data'!$C:$C, $C$3),""))</f>
        <v>2321</v>
      </c>
      <c r="BU18" s="95">
        <f t="shared" si="24"/>
        <v>-0.1657081237</v>
      </c>
      <c r="BV18" s="94">
        <f>IF($A18="","",IFERROR(SUMPRODUCT(('Raw Data'!$B$2:$B$9999="Control")*('Raw Data'!$A$2:$A$9999=$A18)*('Raw Data'!$C$2:$C$9999=$C$3)*'Raw Data'!$D$2:$D$9999*'Raw Data'!$AA$2:$AA$9999)/SUMIFS('Raw Data'!$D:$D, 'Raw Data'!$B:$B, "Control", 'Raw Data'!$A:$A, $A18, 'Raw Data'!$C:$C, $C$3),""))</f>
        <v>10143</v>
      </c>
      <c r="BW18" s="94">
        <f>IF($A18="","",IFERROR(SUMPRODUCT(('Raw Data'!$B$2:$B$9999="Variant")*('Raw Data'!$A$2:$A$9999=$A18)*('Raw Data'!$C$2:$C$9999=$C$3)*'Raw Data'!$D$2:$D$9999*'Raw Data'!$AA$2:$AA$9999)/SUMIFS('Raw Data'!$D:$D, 'Raw Data'!$B:$B, "Variant", 'Raw Data'!$A:$A, $A18, 'Raw Data'!$C:$C, $C$3),""))</f>
        <v>8514</v>
      </c>
      <c r="BX18" s="95">
        <f t="shared" si="25"/>
        <v>-0.1606033718</v>
      </c>
      <c r="BY18" s="101">
        <f>IF($A18="","",IFERROR(SUMPRODUCT(('Raw Data'!$B$2:$B$9999="Control")*('Raw Data'!$A$2:$A$9999=$A18)*('Raw Data'!$C$2:$C$9999=$C$3)*'Raw Data'!$D$2:$D$9999*'Raw Data'!$AB$2:$AB$9999)/SUMIFS('Raw Data'!$D:$D, 'Raw Data'!$B:$B, "Control", 'Raw Data'!$A:$A, $A18, 'Raw Data'!$C:$C, $C$3),""))</f>
        <v>62.6311</v>
      </c>
      <c r="BZ18" s="101">
        <f>IF($A18="","",IFERROR(SUMPRODUCT(('Raw Data'!$B$2:$B$9999="Variant")*('Raw Data'!$A$2:$A$9999=$A18)*('Raw Data'!$C$2:$C$9999=$C$3)*'Raw Data'!$D$2:$D$9999*'Raw Data'!$AB$2:$AB$9999)/SUMIFS('Raw Data'!$D:$D, 'Raw Data'!$B:$B, "Variant", 'Raw Data'!$A:$A, $A18, 'Raw Data'!$C:$C, $C$3),""))</f>
        <v>62.7147</v>
      </c>
      <c r="CA18" s="105">
        <f t="shared" si="26"/>
        <v>0.001334800123</v>
      </c>
      <c r="CB18" s="101">
        <f>IF($A18="","",IFERROR(SUMPRODUCT(('Raw Data'!$B$2:$B$9999="Control")*('Raw Data'!$A$2:$A$9999=$A18)*('Raw Data'!$C$2:$C$9999=$C$3)*'Raw Data'!$D$2:$D$9999*'Raw Data'!$AC$2:$AC$9999)/SUMIFS('Raw Data'!$D:$D, 'Raw Data'!$B:$B, "Control", 'Raw Data'!$A:$A, $A18, 'Raw Data'!$C:$C, $C$3),""))</f>
        <v>0.878</v>
      </c>
      <c r="CC18" s="101">
        <f>IF($A18="","",IFERROR(SUMPRODUCT(('Raw Data'!$B$2:$B$9999="Variant")*('Raw Data'!$A$2:$A$9999=$A18)*('Raw Data'!$C$2:$C$9999=$C$3)*'Raw Data'!$D$2:$D$9999*'Raw Data'!$AC$2:$AC$9999)/SUMIFS('Raw Data'!$D:$D, 'Raw Data'!$B:$B, "Variant", 'Raw Data'!$A:$A, $A18, 'Raw Data'!$C:$C, $C$3),""))</f>
        <v>0.8859</v>
      </c>
      <c r="CD18" s="105">
        <f t="shared" si="27"/>
        <v>0.008997722096</v>
      </c>
      <c r="CE18" s="101">
        <f>IF($A18="","",IFERROR(SUMPRODUCT(('Raw Data'!$B$2:$B$9999="Control")*('Raw Data'!$A$2:$A$9999=$A18)*('Raw Data'!$C$2:$C$9999=$C$3)*'Raw Data'!$D$2:$D$9999*'Raw Data'!$AD$2:$AD$9999)/SUMIFS('Raw Data'!$D:$D, 'Raw Data'!$B:$B, "Control", 'Raw Data'!$A:$A, $A18, 'Raw Data'!$C:$C, $C$3),""))</f>
        <v>87.84</v>
      </c>
      <c r="CF18" s="101">
        <f>IF($A18="","",IFERROR(SUMPRODUCT(('Raw Data'!$B$2:$B$9999="Variant")*('Raw Data'!$A$2:$A$9999=$A18)*('Raw Data'!$C$2:$C$9999=$C$3)*'Raw Data'!$D$2:$D$9999*'Raw Data'!$AD$2:$AD$9999)/SUMIFS('Raw Data'!$D:$D, 'Raw Data'!$B:$B, "Variant", 'Raw Data'!$A:$A, $A18, 'Raw Data'!$C:$C, $C$3),""))</f>
        <v>84.37</v>
      </c>
      <c r="CG18" s="105">
        <f t="shared" si="28"/>
        <v>-0.03950364299</v>
      </c>
      <c r="CH18" s="101">
        <f>IF($A18="","",IFERROR(SUMPRODUCT(('Raw Data'!$B$2:$B$9999="Control")*('Raw Data'!$A$2:$A$9999=$A18)*('Raw Data'!$C$2:$C$9999=$C$3)*'Raw Data'!$D$2:$D$9999*'Raw Data'!$AE$2:$AE$9999)/SUMIFS('Raw Data'!$D:$D, 'Raw Data'!$B:$B, "Control", 'Raw Data'!$A:$A, $A18, 'Raw Data'!$C:$C, $C$3),""))</f>
        <v>35</v>
      </c>
      <c r="CI18" s="101">
        <f>IF($A18="","",IFERROR(SUMPRODUCT(('Raw Data'!$B$2:$B$9999="Variant")*('Raw Data'!$A$2:$A$9999=$A18)*('Raw Data'!$C$2:$C$9999=$C$3)*'Raw Data'!$D$2:$D$9999*'Raw Data'!$AE$2:$AE$9999)/SUMIFS('Raw Data'!$D:$D, 'Raw Data'!$B:$B, "Variant", 'Raw Data'!$A:$A, $A18, 'Raw Data'!$C:$C, $C$3),""))</f>
        <v>32</v>
      </c>
      <c r="CJ18" s="105">
        <f t="shared" si="29"/>
        <v>-0.08571428571</v>
      </c>
      <c r="CK18" s="101">
        <f>IF($A18="","",IFERROR(SUMPRODUCT(('Raw Data'!$B$2:$B$9999="Control")*('Raw Data'!$A$2:$A$9999=$A18)*('Raw Data'!$C$2:$C$9999=$C$3)*'Raw Data'!$D$2:$D$9999*'Raw Data'!$AF$2:$AF$9999)/SUMIFS('Raw Data'!$D:$D, 'Raw Data'!$B:$B, "Control", 'Raw Data'!$A:$A, $A18, 'Raw Data'!$C:$C, $C$3),""))</f>
        <v>77</v>
      </c>
      <c r="CL18" s="101">
        <f>IF($A18="","",IFERROR(SUMPRODUCT(('Raw Data'!$B$2:$B$9999="Variant")*('Raw Data'!$A$2:$A$9999=$A18)*('Raw Data'!$C$2:$C$9999=$C$3)*'Raw Data'!$D$2:$D$9999*'Raw Data'!$AF$2:$AF$9999)/SUMIFS('Raw Data'!$D:$D, 'Raw Data'!$B:$B, "Variant", 'Raw Data'!$A:$A, $A18, 'Raw Data'!$C:$C, $C$3),""))</f>
        <v>70</v>
      </c>
      <c r="CM18" s="105">
        <f t="shared" si="30"/>
        <v>-0.09090909091</v>
      </c>
      <c r="CN18" s="101">
        <f>IF($A18="","",IFERROR(SUMPRODUCT(('Raw Data'!$B$2:$B$9999="Control")*('Raw Data'!$A$2:$A$9999=$A18)*('Raw Data'!$C$2:$C$9999=$C$3)*'Raw Data'!$D$2:$D$9999*'Raw Data'!$AG$2:$AG$9999)/SUMIFS('Raw Data'!$D:$D, 'Raw Data'!$B:$B, "Control", 'Raw Data'!$A:$A, $A18, 'Raw Data'!$C:$C, $C$3),""))</f>
        <v>125</v>
      </c>
      <c r="CO18" s="101">
        <f>IF($A18="","",IFERROR(SUMPRODUCT(('Raw Data'!$B$2:$B$9999="Variant")*('Raw Data'!$A$2:$A$9999=$A18)*('Raw Data'!$C$2:$C$9999=$C$3)*'Raw Data'!$D$2:$D$9999*'Raw Data'!$AG$2:$AG$9999)/SUMIFS('Raw Data'!$D:$D, 'Raw Data'!$B:$B, "Variant", 'Raw Data'!$A:$A, $A18, 'Raw Data'!$C:$C, $C$3),""))</f>
        <v>117</v>
      </c>
      <c r="CP18" s="105">
        <f t="shared" si="31"/>
        <v>-0.064</v>
      </c>
      <c r="CQ18" s="101">
        <f>IF($A18="","",IFERROR(SUMPRODUCT(('Raw Data'!$B$2:$B$9999="Control")*('Raw Data'!$A$2:$A$9999=$A18)*('Raw Data'!$C$2:$C$9999=$C$3)*'Raw Data'!$D$2:$D$9999*'Raw Data'!$AH$2:$AH$9999)/SUMIFS('Raw Data'!$D:$D, 'Raw Data'!$B:$B, "Control", 'Raw Data'!$A:$A, $A18, 'Raw Data'!$C:$C, $C$3),""))</f>
        <v>171</v>
      </c>
      <c r="CR18" s="101">
        <f>IF($A18="","",IFERROR(SUMPRODUCT(('Raw Data'!$B$2:$B$9999="Variant")*('Raw Data'!$A$2:$A$9999=$A18)*('Raw Data'!$C$2:$C$9999=$C$3)*'Raw Data'!$D$2:$D$9999*'Raw Data'!$AH$2:$AH$9999)/SUMIFS('Raw Data'!$D:$D, 'Raw Data'!$B:$B, "Variant", 'Raw Data'!$A:$A, $A18, 'Raw Data'!$C:$C, $C$3),""))</f>
        <v>179</v>
      </c>
      <c r="CS18" s="105">
        <f t="shared" si="32"/>
        <v>0.04678362573</v>
      </c>
      <c r="CT18" s="96">
        <f>IF($A18="","",IFERROR(SUMPRODUCT(('Raw Data'!$B$2:$B$9999="Control")*('Raw Data'!$A$2:$A$9999=$A18)*('Raw Data'!$C$2:$C$9999=$C$3)*'Raw Data'!$D$2:$D$9999*'Raw Data'!$AI$2:$AI$9999)/SUMIFS('Raw Data'!$D:$D, 'Raw Data'!$B:$B, "Control", 'Raw Data'!$A:$A, $A18, 'Raw Data'!$C:$C, $C$3),""))</f>
        <v>49.89</v>
      </c>
      <c r="CU18" s="96">
        <f>IF($A18="","",IFERROR(SUMPRODUCT(('Raw Data'!$B$2:$B$9999="Variant")*('Raw Data'!$A$2:$A$9999=$A18)*('Raw Data'!$C$2:$C$9999=$C$3)*'Raw Data'!$D$2:$D$9999*'Raw Data'!$AI$2:$AI$9999)/SUMIFS('Raw Data'!$D:$D, 'Raw Data'!$B:$B, "Variant", 'Raw Data'!$A:$A, $A18, 'Raw Data'!$C:$C, $C$3),""))</f>
        <v>46.53</v>
      </c>
      <c r="CV18" s="106">
        <f t="shared" si="33"/>
        <v>-0.06734816597</v>
      </c>
      <c r="CW18" s="96">
        <f>IF($A18="","",IFERROR(SUMPRODUCT(('Raw Data'!$B$2:$B$9999="Control")*('Raw Data'!$A$2:$A$9999=$A18)*('Raw Data'!$C$2:$C$9999=$C$3)*'Raw Data'!$D$2:$D$9999*'Raw Data'!$AJ$2:$AJ$9999)/SUMIFS('Raw Data'!$D:$D, 'Raw Data'!$B:$B, "Control", 'Raw Data'!$A:$A, $A18, 'Raw Data'!$C:$C, $C$3),""))</f>
        <v>9.38</v>
      </c>
      <c r="CX18" s="96">
        <f>IF($A18="","",IFERROR(SUMPRODUCT(('Raw Data'!$B$2:$B$9999="Variant")*('Raw Data'!$A$2:$A$9999=$A18)*('Raw Data'!$C$2:$C$9999=$C$3)*'Raw Data'!$D$2:$D$9999*'Raw Data'!$AJ$2:$AJ$9999)/SUMIFS('Raw Data'!$D:$D, 'Raw Data'!$B:$B, "Variant", 'Raw Data'!$A:$A, $A18, 'Raw Data'!$C:$C, $C$3),""))</f>
        <v>11.02</v>
      </c>
      <c r="CY18" s="106">
        <f t="shared" si="34"/>
        <v>0.1748400853</v>
      </c>
      <c r="CZ18" s="96">
        <f>IF($A18="","",IFERROR(SUMPRODUCT(('Raw Data'!$B$2:$B$9999="Control")*('Raw Data'!$A$2:$A$9999=$A18)*('Raw Data'!$C$2:$C$9999=$C$3)*'Raw Data'!$D$2:$D$9999*'Raw Data'!$AK$2:$AK$9999)/SUMIFS('Raw Data'!$D:$D, 'Raw Data'!$B:$B, "Control", 'Raw Data'!$A:$A, $A18, 'Raw Data'!$C:$C, $C$3),""))</f>
        <v>1.14</v>
      </c>
      <c r="DA18" s="96">
        <f>IF($A18="","",IFERROR(SUMPRODUCT(('Raw Data'!$B$2:$B$9999="Variant")*('Raw Data'!$A$2:$A$9999=$A18)*('Raw Data'!$C$2:$C$9999=$C$3)*'Raw Data'!$D$2:$D$9999*'Raw Data'!$AK$2:$AK$9999)/SUMIFS('Raw Data'!$D:$D, 'Raw Data'!$B:$B, "Variant", 'Raw Data'!$A:$A, $A18, 'Raw Data'!$C:$C, $C$3),""))</f>
        <v>1.22</v>
      </c>
      <c r="DB18" s="105">
        <f t="shared" si="35"/>
        <v>0.0701754386</v>
      </c>
      <c r="DC18" s="102">
        <f>IF($A18="","",IFERROR(SUMPRODUCT(('Raw Data'!$B$2:$B$9999="Control")*('Raw Data'!$A$2:$A$9999=$A18)*('Raw Data'!$C$2:$C$9999=$C$3)*'Raw Data'!$D$2:$D$9999*'Raw Data'!$AL$2:$AL$9999)/SUMIFS('Raw Data'!$D:$D, 'Raw Data'!$B:$B, "Control", 'Raw Data'!$A:$A, $A18, 'Raw Data'!$C:$C, $C$3),""))</f>
        <v>0.1373</v>
      </c>
      <c r="DD18" s="102">
        <f>IF($A18="","",IFERROR(SUMPRODUCT(('Raw Data'!$B$2:$B$9999="Variant")*('Raw Data'!$A$2:$A$9999=$A18)*('Raw Data'!$C$2:$C$9999=$C$3)*'Raw Data'!$D$2:$D$9999*'Raw Data'!$AL$2:$AL$9999)/SUMIFS('Raw Data'!$D:$D, 'Raw Data'!$B:$B, "Variant", 'Raw Data'!$A:$A, $A18, 'Raw Data'!$C:$C, $C$3),""))</f>
        <v>0.1122</v>
      </c>
      <c r="DE18" s="106">
        <f t="shared" si="36"/>
        <v>-0.182811362</v>
      </c>
      <c r="DF18" s="103"/>
      <c r="DG18" s="96">
        <f>IF($A18="","",IFERROR(SUMPRODUCT(('Raw Data'!$B$2:$B$9999="Variant")*('Raw Data'!$A$2:$A$9999=$A18)*('Raw Data'!$C$2:$C$9999=$C$3)*'Raw Data'!$D$2:$D$9999*'Raw Data'!$AM$2:$AM$9999)/SUMIFS('Raw Data'!$D:$D, 'Raw Data'!$B:$B, "Variant", 'Raw Data'!$A:$A, $A18, 'Raw Data'!$C:$C, $C$3),""))</f>
        <v>66.53</v>
      </c>
      <c r="DH18" s="104"/>
      <c r="DI18" s="103"/>
      <c r="DJ18" s="96">
        <f>IF($A18="","",IFERROR(SUMPRODUCT(('Raw Data'!$B$2:$B$9999="Variant")*('Raw Data'!$A$2:$A$9999=$A18)*('Raw Data'!$C$2:$C$9999=$C$3)*'Raw Data'!$D$2:$D$9999*'Raw Data'!$AN$2:$AN$9999)/SUMIFS('Raw Data'!$D:$D, 'Raw Data'!$B:$B, "Variant", 'Raw Data'!$A:$A, $A18, 'Raw Data'!$C:$C, $C$3),""))</f>
        <v>66.53</v>
      </c>
      <c r="DK18" s="104"/>
      <c r="DL18" s="103"/>
      <c r="DM18" s="96">
        <f>IF($A18="","",IFERROR(SUMPRODUCT(('Raw Data'!$B$2:$B$9999="Variant")*('Raw Data'!$A$2:$A$9999=$A18)*('Raw Data'!$C$2:$C$9999=$C$3)*'Raw Data'!$D$2:$D$9999*'Raw Data'!$AO$2:$AO$9999)/SUMIFS('Raw Data'!$D:$D, 'Raw Data'!$B:$B, "Variant", 'Raw Data'!$A:$A, $A18, 'Raw Data'!$C:$C, $C$3),""))</f>
        <v>45.1</v>
      </c>
      <c r="DN18" s="104"/>
      <c r="DO18" s="103"/>
      <c r="DP18" s="96">
        <f>IF($A18="","",IFERROR(SUMPRODUCT(('Raw Data'!$B$2:$B$9999="Variant")*('Raw Data'!$A$2:$A$9999=$A18)*('Raw Data'!$C$2:$C$9999=$C$3)*'Raw Data'!$D$2:$D$9999*'Raw Data'!$AP$2:$AP$9999)/SUMIFS('Raw Data'!$D:$D, 'Raw Data'!$B:$B, "Variant", 'Raw Data'!$A:$A, $A18, 'Raw Data'!$C:$C, $C$3),""))</f>
        <v>31.02</v>
      </c>
      <c r="DQ18" s="104"/>
      <c r="DR18" s="102">
        <f>IF($A18="","",IFERROR(SUMPRODUCT(('Raw Data'!$B$2:$B$9999="Control")*('Raw Data'!$A$2:$A$9999=$A18)*('Raw Data'!$C$2:$C$9999=$C$3)*'Raw Data'!$D$2:$D$9999*'Raw Data'!$AQ$2:$AQ$9999)/SUMIFS('Raw Data'!$D:$D, 'Raw Data'!$B:$B, "Control", 'Raw Data'!$A:$A, $A18, 'Raw Data'!$C:$C, $C$3),""))</f>
        <v>31.5378</v>
      </c>
      <c r="DS18" s="102">
        <f>IF($A18="","",IFERROR(SUMPRODUCT(('Raw Data'!$B$2:$B$9999="Variant")*('Raw Data'!$A$2:$A$9999=$A18)*('Raw Data'!$C$2:$C$9999=$C$3)*'Raw Data'!$D$2:$D$9999*'Raw Data'!$AQ$2:$AQ$9999)/SUMIFS('Raw Data'!$D:$D, 'Raw Data'!$B:$B, "Variant", 'Raw Data'!$A:$A, $A18, 'Raw Data'!$C:$C, $C$3),""))</f>
        <v>31.1449</v>
      </c>
      <c r="DT18" s="107">
        <f t="shared" si="37"/>
        <v>-0.01245806619</v>
      </c>
      <c r="DU18" s="102">
        <f>IF($A18="","",IFERROR(SUMPRODUCT(('Raw Data'!$B$2:$B$9999="Control")*('Raw Data'!$A$2:$A$9999=$A18)*('Raw Data'!$C$2:$C$9999=$C$3)*'Raw Data'!$D$2:$D$9999*'Raw Data'!$AR$2:$AR$9999)/SUMIFS('Raw Data'!$D:$D, 'Raw Data'!$B:$B, "Control", 'Raw Data'!$A:$A, $A18, 'Raw Data'!$C:$C, $C$3),""))</f>
        <v>3.3135</v>
      </c>
      <c r="DV18" s="102">
        <f>IF($A18="","",IFERROR(SUMPRODUCT(('Raw Data'!$B$2:$B$9999="Variant")*('Raw Data'!$A$2:$A$9999=$A18)*('Raw Data'!$C$2:$C$9999=$C$3)*'Raw Data'!$D$2:$D$9999*'Raw Data'!$AR$2:$AR$9999)/SUMIFS('Raw Data'!$D:$D, 'Raw Data'!$B:$B, "Variant", 'Raw Data'!$A:$A, $A18, 'Raw Data'!$C:$C, $C$3),""))</f>
        <v>3.0714</v>
      </c>
      <c r="DW18" s="107">
        <f t="shared" si="38"/>
        <v>-0.07306473517</v>
      </c>
      <c r="DX18" s="102">
        <f>IF($A18="","",IFERROR(SUMPRODUCT(('Raw Data'!$B$2:$B$9999="Control")*('Raw Data'!$A$2:$A$9999=$A18)*('Raw Data'!$C$2:$C$9999=$C$3)*'Raw Data'!$D$2:$D$9999*'Raw Data'!$AS$2:$AS$9999)/SUMIFS('Raw Data'!$D:$D, 'Raw Data'!$B:$B, "Control", 'Raw Data'!$A:$A, $A18, 'Raw Data'!$C:$C, $C$3),""))</f>
        <v>28.2243</v>
      </c>
      <c r="DY18" s="102">
        <f>IF($A18="","",IFERROR(SUMPRODUCT(('Raw Data'!$B$2:$B$9999="Variant")*('Raw Data'!$A$2:$A$9999=$A18)*('Raw Data'!$C$2:$C$9999=$C$3)*'Raw Data'!$D$2:$D$9999*'Raw Data'!$AS$2:$AS$9999)/SUMIFS('Raw Data'!$D:$D, 'Raw Data'!$B:$B, "Variant", 'Raw Data'!$A:$A, $A18, 'Raw Data'!$C:$C, $C$3),""))</f>
        <v>28.0735</v>
      </c>
      <c r="DZ18" s="107">
        <f t="shared" si="39"/>
        <v>-0.00534291373</v>
      </c>
      <c r="EA18" s="102">
        <f>IF($A18="","",IFERROR(SUMPRODUCT(('Raw Data'!$B$2:$B$9999="Control")*('Raw Data'!$A$2:$A$9999=$A18)*('Raw Data'!$C$2:$C$9999=$C$3)*'Raw Data'!$D$2:$D$9999*'Raw Data'!$AT$2:$AT$9999)/SUMIFS('Raw Data'!$D:$D, 'Raw Data'!$B:$B, "Control", 'Raw Data'!$A:$A, $A18, 'Raw Data'!$C:$C, $C$3),""))</f>
        <v>30.762</v>
      </c>
      <c r="EB18" s="102">
        <f>IF($A18="","",IFERROR(SUMPRODUCT(('Raw Data'!$B$2:$B$9999="Variant")*('Raw Data'!$A$2:$A$9999=$A18)*('Raw Data'!$C$2:$C$9999=$C$3)*'Raw Data'!$D$2:$D$9999*'Raw Data'!$AT$2:$AT$9999)/SUMIFS('Raw Data'!$D:$D, 'Raw Data'!$B:$B, "Variant", 'Raw Data'!$A:$A, $A18, 'Raw Data'!$C:$C, $C$3),""))</f>
        <v>31.7347</v>
      </c>
      <c r="EC18" s="107">
        <f t="shared" si="40"/>
        <v>0.03162018074</v>
      </c>
      <c r="ED18" s="102">
        <f>IF($A18="","",IFERROR(SUMPRODUCT(('Raw Data'!$B$2:$B$9999="Control")*('Raw Data'!$A$2:$A$9999=$A18)*('Raw Data'!$C$2:$C$9999=$C$3)*'Raw Data'!$D$2:$D$9999*('Raw Data'!$AQ$2:$AQ$9999-'Raw Data'!$AT$2:$AT$9999))/SUMIFS('Raw Data'!$D:$D, 'Raw Data'!$B:$B, "Control", 'Raw Data'!$A:$A, $A18, 'Raw Data'!$C:$C, $C$3),""))</f>
        <v>0.7758</v>
      </c>
      <c r="EE18" s="102">
        <f>IF($A18="","",IFERROR(SUMPRODUCT(('Raw Data'!$B$2:$B$9999="Variant")*('Raw Data'!$A$2:$A$9999=$A18)*('Raw Data'!$C$2:$C$9999=$C$3)*'Raw Data'!$D$2:$D$9999*('Raw Data'!$AQ$2:$AQ$9999-'Raw Data'!$AT$2:$AT$9999))/SUMIFS('Raw Data'!$D:$D, 'Raw Data'!$B:$B, "Variant", 'Raw Data'!$A:$A, $A18, 'Raw Data'!$C:$C, $C$3),""))</f>
        <v>-0.5898</v>
      </c>
      <c r="EF18" s="107">
        <f t="shared" si="41"/>
        <v>-1.760247486</v>
      </c>
      <c r="EG18" s="102">
        <f>IF($A18="","",IFERROR(SUMPRODUCT(('Raw Data'!$B$2:$B$9999="Control")*('Raw Data'!$A$2:$A$9999=$A18)*('Raw Data'!$C$2:$C$9999=$C$3)*'Raw Data'!$D$2:$D$9999*'Raw Data'!$AU$2:$AU$9999)/SUMIFS('Raw Data'!$D:$D, 'Raw Data'!$B:$B, "Control", 'Raw Data'!$A:$A, $A18, 'Raw Data'!$C:$C, $C$3),""))</f>
        <v>0.2199</v>
      </c>
      <c r="EH18" s="102">
        <f>IF($A18="","",IFERROR(SUMPRODUCT(('Raw Data'!$B$2:$B$9999="Variant")*('Raw Data'!$A$2:$A$9999=$A18)*('Raw Data'!$C$2:$C$9999=$C$3)*'Raw Data'!$D$2:$D$9999*'Raw Data'!$AU$2:$AU$9999)/SUMIFS('Raw Data'!$D:$D, 'Raw Data'!$B:$B, "Variant", 'Raw Data'!$A:$A, $A18, 'Raw Data'!$C:$C, $C$3),""))</f>
        <v>0.2281</v>
      </c>
      <c r="EI18" s="107">
        <f t="shared" si="42"/>
        <v>0.03728967713</v>
      </c>
    </row>
    <row r="19">
      <c r="A19" s="93">
        <v>46187.0</v>
      </c>
      <c r="B19" s="94">
        <f>IF($A19="","",SUMIFS('Raw Data'!$D:$D, 'Raw Data'!$B:$B, "Control", 'Raw Data'!$A:$A, $A19, 'Raw Data'!$C:$C, $C$3))</f>
        <v>468</v>
      </c>
      <c r="C19" s="94">
        <f>IF($A19="","",SUMIFS('Raw Data'!$D:$D, 'Raw Data'!$B:$B, "Variant", 'Raw Data'!$A:$A, $A19, 'Raw Data'!$C:$C, $C$3))</f>
        <v>490</v>
      </c>
      <c r="D19" s="95">
        <f t="shared" si="1"/>
        <v>0.04700854701</v>
      </c>
      <c r="E19" s="96">
        <f>IF($A19="","",IFERROR(SUMPRODUCT(('Raw Data'!$B$2:$B$9999="Control")*('Raw Data'!$A$2:$A$9999=$A19)*('Raw Data'!$C$2:$C$9999=$C$3)*'Raw Data'!$D$2:$D$9999*'Raw Data'!$E$2:$E$9999)/SUMIFS('Raw Data'!$D:$D, 'Raw Data'!$B:$B, "Control", 'Raw Data'!$A:$A, $A19, 'Raw Data'!$C:$C, $C$3),""))</f>
        <v>0.58</v>
      </c>
      <c r="F19" s="96">
        <f>IF($A19="","",IFERROR(SUMPRODUCT(('Raw Data'!$B$2:$B$9999="Variant")*('Raw Data'!$A$2:$A$9999=$A19)*('Raw Data'!$C$2:$C$9999=$C$3)*'Raw Data'!$D$2:$D$9999*'Raw Data'!$E$2:$E$9999)/SUMIFS('Raw Data'!$D:$D, 'Raw Data'!$B:$B, "Variant", 'Raw Data'!$A:$A, $A19, 'Raw Data'!$C:$C, $C$3),""))</f>
        <v>0.61</v>
      </c>
      <c r="G19" s="95">
        <f t="shared" si="2"/>
        <v>0.05172413793</v>
      </c>
      <c r="H19" s="97">
        <f>IF($A19="","",SUMIFS('Raw Data'!$F:$F, 'Raw Data'!$B:$B, "Control", 'Raw Data'!$A:$A, $A19, 'Raw Data'!$C:$C, $C$3))</f>
        <v>1439.64</v>
      </c>
      <c r="I19" s="97">
        <f>IF($A19="","",SUMIFS('Raw Data'!$F:$F, 'Raw Data'!$B:$B, "Variant", 'Raw Data'!$A:$A, $A19, 'Raw Data'!$C:$C, $C$3))</f>
        <v>2247.32</v>
      </c>
      <c r="J19" s="100">
        <f t="shared" si="3"/>
        <v>0.5610291462</v>
      </c>
      <c r="K19" s="99">
        <f>IF($A19="","",IFERROR(SUMIFS('Raw Data'!$F:$F, 'Raw Data'!$B:$B, "Control", 'Raw Data'!$A:$A, $A19, 'Raw Data'!$C:$C, $C$3)/SUMIFS('Raw Data'!$D:$D, 'Raw Data'!$B:$B, "Control", 'Raw Data'!$A:$A, $A19, 'Raw Data'!$C:$C, $C$3),""))</f>
        <v>3.076153846</v>
      </c>
      <c r="L19" s="99">
        <f>IF($A19="","",IFERROR(SUMIFS('Raw Data'!$F:$F, 'Raw Data'!$B:$B, "Variant", 'Raw Data'!$A:$A, $A19, 'Raw Data'!$C:$C, $C$3)/SUMIFS('Raw Data'!$D:$D, 'Raw Data'!$B:$B, "Variant", 'Raw Data'!$A:$A, $A19, 'Raw Data'!$C:$C, $C$3),""))</f>
        <v>4.586367347</v>
      </c>
      <c r="M19" s="100">
        <f t="shared" si="4"/>
        <v>0.4909421233</v>
      </c>
      <c r="N19" s="96">
        <f>IF($A19="","",IFERROR(SUMPRODUCT(('Raw Data'!$B$2:$B$9999="Control")*('Raw Data'!$A$2:$A$9999=$A19)*('Raw Data'!$C$2:$C$9999=$C$3)*'Raw Data'!$D$2:$D$9999*'Raw Data'!$H$2:$H$9999/100)/SUMIFS('Raw Data'!$D:$D, 'Raw Data'!$B:$B, "Control", 'Raw Data'!$A:$A, $A19, 'Raw Data'!$C:$C, $C$3)*100,""))</f>
        <v>17.52</v>
      </c>
      <c r="O19" s="96">
        <f>IF($A19="","",IFERROR(SUMPRODUCT(('Raw Data'!$B$2:$B$9999="Variant")*('Raw Data'!$A$2:$A$9999=$A19)*('Raw Data'!$C$2:$C$9999=$C$3)*'Raw Data'!$D$2:$D$9999*'Raw Data'!$H$2:$H$9999/100)/SUMIFS('Raw Data'!$D:$D, 'Raw Data'!$B:$B, "Variant", 'Raw Data'!$A:$A, $A19, 'Raw Data'!$C:$C, $C$3)*100,""))</f>
        <v>17.14</v>
      </c>
      <c r="P19" s="105">
        <f t="shared" si="5"/>
        <v>-0.02168949772</v>
      </c>
      <c r="Q19" s="99">
        <f>IF($A19="","",IFERROR(SUMIFS('Raw Data'!$F:$F, 'Raw Data'!$B:$B, "Control", 'Raw Data'!$A:$A, $A19, 'Raw Data'!$C:$C, $C$3)/SUMPRODUCT(('Raw Data'!$B$2:$B$9999="Control")*('Raw Data'!$A$2:$A$9999=$A19)*('Raw Data'!$C$2:$C$9999=$C$3)*'Raw Data'!$D$2:$D$9999*'Raw Data'!$H$2:$H$9999/100),""))</f>
        <v>17.55795574</v>
      </c>
      <c r="R19" s="99">
        <f>IF($A19="","",IFERROR(SUMIFS('Raw Data'!$F:$F, 'Raw Data'!$B:$B, "Variant", 'Raw Data'!$A:$A, $A19, 'Raw Data'!$C:$C, $C$3)/SUMPRODUCT(('Raw Data'!$B$2:$B$9999="Variant")*('Raw Data'!$A$2:$A$9999=$A19)*('Raw Data'!$C$2:$C$9999=$C$3)*'Raw Data'!$D$2:$D$9999*'Raw Data'!$H$2:$H$9999/100),""))</f>
        <v>26.75826924</v>
      </c>
      <c r="S19" s="105">
        <f t="shared" si="6"/>
        <v>0.5239968495</v>
      </c>
      <c r="T19" s="101">
        <f>IF($A19="","",IFERROR(SUMPRODUCT(('Raw Data'!$B$2:$B$9999="Control")*('Raw Data'!$A$2:$A$9999=$A19)*('Raw Data'!$C$2:$C$9999=$C$3)*'Raw Data'!$D$2:$D$9999*'Raw Data'!$J$2:$J$9999)/SUMIFS('Raw Data'!$D:$D, 'Raw Data'!$B:$B, "Control", 'Raw Data'!$A:$A, $A19, 'Raw Data'!$C:$C, $C$3),""))</f>
        <v>248.68</v>
      </c>
      <c r="U19" s="101">
        <f>IF($A19="","",IFERROR(SUMPRODUCT(('Raw Data'!$B$2:$B$9999="Variant")*('Raw Data'!$A$2:$A$9999=$A19)*('Raw Data'!$C$2:$C$9999=$C$3)*'Raw Data'!$D$2:$D$9999*'Raw Data'!$J$2:$J$9999)/SUMIFS('Raw Data'!$D:$D, 'Raw Data'!$B:$B, "Variant", 'Raw Data'!$A:$A, $A19, 'Raw Data'!$C:$C, $C$3),""))</f>
        <v>262.79</v>
      </c>
      <c r="V19" s="105">
        <f t="shared" si="7"/>
        <v>0.05673958501</v>
      </c>
      <c r="W19" s="101">
        <f>IF($A19="","",IFERROR(SUMPRODUCT(('Raw Data'!$B$2:$B$9999="Control")*('Raw Data'!$A$2:$A$9999=$A19)*('Raw Data'!$C$2:$C$9999=$C$3)*'Raw Data'!$D$2:$D$9999*'Raw Data'!$K$2:$K$9999)/SUMIFS('Raw Data'!$D:$D, 'Raw Data'!$B:$B, "Control", 'Raw Data'!$A:$A, $A19, 'Raw Data'!$C:$C, $C$3),""))</f>
        <v>154.35</v>
      </c>
      <c r="X19" s="101">
        <f>IF($A19="","",IFERROR(SUMPRODUCT(('Raw Data'!$B$2:$B$9999="Variant")*('Raw Data'!$A$2:$A$9999=$A19)*('Raw Data'!$C$2:$C$9999=$C$3)*'Raw Data'!$D$2:$D$9999*'Raw Data'!$K$2:$K$9999)/SUMIFS('Raw Data'!$D:$D, 'Raw Data'!$B:$B, "Variant", 'Raw Data'!$A:$A, $A19, 'Raw Data'!$C:$C, $C$3),""))</f>
        <v>157.58</v>
      </c>
      <c r="Y19" s="105">
        <f t="shared" si="8"/>
        <v>0.02092646582</v>
      </c>
      <c r="Z19" s="101">
        <f>IF($A19="","",IFERROR(SUMPRODUCT(('Raw Data'!$B$2:$B$9999="Control")*('Raw Data'!$A$2:$A$9999=$A19)*('Raw Data'!$C$2:$C$9999=$C$3)*'Raw Data'!$D$2:$D$9999*'Raw Data'!$L$2:$L$9999)/SUMIFS('Raw Data'!$D:$D, 'Raw Data'!$B:$B, "Control", 'Raw Data'!$A:$A, $A19, 'Raw Data'!$C:$C, $C$3),""))</f>
        <v>130.4</v>
      </c>
      <c r="AA19" s="101">
        <f>IF($A19="","",IFERROR(SUMPRODUCT(('Raw Data'!$B$2:$B$9999="Variant")*('Raw Data'!$A$2:$A$9999=$A19)*('Raw Data'!$C$2:$C$9999=$C$3)*'Raw Data'!$D$2:$D$9999*'Raw Data'!$L$2:$L$9999)/SUMIFS('Raw Data'!$D:$D, 'Raw Data'!$B:$B, "Variant", 'Raw Data'!$A:$A, $A19, 'Raw Data'!$C:$C, $C$3),""))</f>
        <v>129.41</v>
      </c>
      <c r="AB19" s="105">
        <f t="shared" si="9"/>
        <v>-0.00759202454</v>
      </c>
      <c r="AC19" s="102">
        <f>IF($A19="","",IFERROR(SUMPRODUCT(('Raw Data'!$B$2:$B$9999="Control")*('Raw Data'!$A$2:$A$9999=$A19)*('Raw Data'!$C$2:$C$9999=$C$3)*'Raw Data'!$D$2:$D$9999*'Raw Data'!$M$2:$M$9999)/SUMIFS('Raw Data'!$D:$D, 'Raw Data'!$B:$B, "Control", 'Raw Data'!$A:$A, $A19, 'Raw Data'!$C:$C, $C$3),""))</f>
        <v>0.8448</v>
      </c>
      <c r="AD19" s="102">
        <f>IF($A19="","",IFERROR(SUMPRODUCT(('Raw Data'!$B$2:$B$9999="Variant")*('Raw Data'!$A$2:$A$9999=$A19)*('Raw Data'!$C$2:$C$9999=$C$3)*'Raw Data'!$D$2:$D$9999*'Raw Data'!$M$2:$M$9999)/SUMIFS('Raw Data'!$D:$D, 'Raw Data'!$B:$B, "Variant", 'Raw Data'!$A:$A, $A19, 'Raw Data'!$C:$C, $C$3),""))</f>
        <v>0.8213</v>
      </c>
      <c r="AE19" s="106">
        <f t="shared" si="10"/>
        <v>-0.02781723485</v>
      </c>
      <c r="AF19" s="102">
        <f>IF($A19="","",IFERROR(SUMPRODUCT(('Raw Data'!$B$2:$B$9999="Control")*('Raw Data'!$A$2:$A$9999=$A19)*('Raw Data'!$C$2:$C$9999=$C$3)*'Raw Data'!$D$2:$D$9999*'Raw Data'!$N$2:$N$9999)/SUMIFS('Raw Data'!$D:$D, 'Raw Data'!$B:$B, "Control", 'Raw Data'!$A:$A, $A19, 'Raw Data'!$C:$C, $C$3),""))</f>
        <v>0.2833</v>
      </c>
      <c r="AG19" s="102">
        <f>IF($A19="","",IFERROR(SUMPRODUCT(('Raw Data'!$B$2:$B$9999="Variant")*('Raw Data'!$A$2:$A$9999=$A19)*('Raw Data'!$C$2:$C$9999=$C$3)*'Raw Data'!$D$2:$D$9999*'Raw Data'!$N$2:$N$9999)/SUMIFS('Raw Data'!$D:$D, 'Raw Data'!$B:$B, "Variant", 'Raw Data'!$A:$A, $A19, 'Raw Data'!$C:$C, $C$3),""))</f>
        <v>0.3084</v>
      </c>
      <c r="AH19" s="106">
        <f t="shared" si="11"/>
        <v>0.08859865867</v>
      </c>
      <c r="AI19" s="102">
        <f>IF($A19="","",IFERROR(SUMPRODUCT(('Raw Data'!$B$2:$B$9999="Control")*('Raw Data'!$A$2:$A$9999=$A19)*('Raw Data'!$C$2:$C$9999=$C$3)*'Raw Data'!$D$2:$D$9999*'Raw Data'!$O$2:$O$9999)/SUMIFS('Raw Data'!$D:$D, 'Raw Data'!$B:$B, "Control", 'Raw Data'!$A:$A, $A19, 'Raw Data'!$C:$C, $C$3),""))</f>
        <v>0.1974</v>
      </c>
      <c r="AJ19" s="102">
        <f>IF($A19="","",IFERROR(SUMPRODUCT(('Raw Data'!$B$2:$B$9999="Variant")*('Raw Data'!$A$2:$A$9999=$A19)*('Raw Data'!$C$2:$C$9999=$C$3)*'Raw Data'!$D$2:$D$9999*'Raw Data'!$O$2:$O$9999)/SUMIFS('Raw Data'!$D:$D, 'Raw Data'!$B:$B, "Variant", 'Raw Data'!$A:$A, $A19, 'Raw Data'!$C:$C, $C$3),""))</f>
        <v>0.2096</v>
      </c>
      <c r="AK19" s="105">
        <f t="shared" si="12"/>
        <v>0.06180344478</v>
      </c>
      <c r="AL19" s="101">
        <f>IF($A19="","",IFERROR(SUMPRODUCT(('Raw Data'!$B$2:$B$9999="Control")*('Raw Data'!$A$2:$A$9999=$A19)*('Raw Data'!$C$2:$C$9999=$C$3)*'Raw Data'!$D$2:$D$9999*'Raw Data'!$P$2:$P$9999)/SUMIFS('Raw Data'!$D:$D, 'Raw Data'!$B:$B, "Control", 'Raw Data'!$A:$A, $A19, 'Raw Data'!$C:$C, $C$3),""))</f>
        <v>1.1837</v>
      </c>
      <c r="AM19" s="101">
        <f>IF($A19="","",IFERROR(SUMPRODUCT(('Raw Data'!$B$2:$B$9999="Variant")*('Raw Data'!$A$2:$A$9999=$A19)*('Raw Data'!$C$2:$C$9999=$C$3)*'Raw Data'!$D$2:$D$9999*'Raw Data'!$P$2:$P$9999)/SUMIFS('Raw Data'!$D:$D, 'Raw Data'!$B:$B, "Variant", 'Raw Data'!$A:$A, $A19, 'Raw Data'!$C:$C, $C$3),""))</f>
        <v>1.2176</v>
      </c>
      <c r="AN19" s="106">
        <f t="shared" si="13"/>
        <v>0.02863901326</v>
      </c>
      <c r="AO19" s="101">
        <f>IF($A19="","",IFERROR(SUMPRODUCT(('Raw Data'!$B$2:$B$9999="Control")*('Raw Data'!$A$2:$A$9999=$A19)*('Raw Data'!$C$2:$C$9999=$C$3)*'Raw Data'!$D$2:$D$9999*'Raw Data'!$Q$2:$Q$9999)/SUMIFS('Raw Data'!$D:$D, 'Raw Data'!$B:$B, "Control", 'Raw Data'!$A:$A, $A19, 'Raw Data'!$C:$C, $C$3),""))</f>
        <v>666.4</v>
      </c>
      <c r="AP19" s="101">
        <f>IF($A19="","",IFERROR(SUMPRODUCT(('Raw Data'!$B$2:$B$9999="Variant")*('Raw Data'!$A$2:$A$9999=$A19)*('Raw Data'!$C$2:$C$9999=$C$3)*'Raw Data'!$D$2:$D$9999*'Raw Data'!$Q$2:$Q$9999)/SUMIFS('Raw Data'!$D:$D, 'Raw Data'!$B:$B, "Variant", 'Raw Data'!$A:$A, $A19, 'Raw Data'!$C:$C, $C$3),""))</f>
        <v>707.79</v>
      </c>
      <c r="AQ19" s="95">
        <f t="shared" si="14"/>
        <v>0.06210984394</v>
      </c>
      <c r="AR19" s="101">
        <f>IF($A19="","",IFERROR(SUMPRODUCT(('Raw Data'!$B$2:$B$9999="Control")*('Raw Data'!$A$2:$A$9999=$A19)*('Raw Data'!$C$2:$C$9999=$C$3)*'Raw Data'!$D$2:$D$9999*'Raw Data'!$R$2:$R$9999)/SUMIFS('Raw Data'!$D:$D, 'Raw Data'!$B:$B, "Control", 'Raw Data'!$A:$A, $A19, 'Raw Data'!$C:$C, $C$3),""))</f>
        <v>390.45</v>
      </c>
      <c r="AS19" s="101">
        <f>IF($A19="","",IFERROR(SUMPRODUCT(('Raw Data'!$B$2:$B$9999="Variant")*('Raw Data'!$A$2:$A$9999=$A19)*('Raw Data'!$C$2:$C$9999=$C$3)*'Raw Data'!$D$2:$D$9999*'Raw Data'!$R$2:$R$9999)/SUMIFS('Raw Data'!$D:$D, 'Raw Data'!$B:$B, "Variant", 'Raw Data'!$A:$A, $A19, 'Raw Data'!$C:$C, $C$3),""))</f>
        <v>609.22</v>
      </c>
      <c r="AT19" s="95">
        <f t="shared" si="15"/>
        <v>0.5603022154</v>
      </c>
      <c r="AU19" s="101">
        <f>IF($A19="","",IFERROR(SUMPRODUCT(('Raw Data'!$B$2:$B$9999="Control")*('Raw Data'!$A$2:$A$9999=$A19)*('Raw Data'!$C$2:$C$9999=$C$3)*'Raw Data'!$D$2:$D$9999*'Raw Data'!$S$2:$S$9999)/SUMIFS('Raw Data'!$D:$D, 'Raw Data'!$B:$B, "Control", 'Raw Data'!$A:$A, $A19, 'Raw Data'!$C:$C, $C$3),""))</f>
        <v>275.95</v>
      </c>
      <c r="AV19" s="101">
        <f>IF($A19="","",IFERROR(SUMPRODUCT(('Raw Data'!$B$2:$B$9999="Variant")*('Raw Data'!$A$2:$A$9999=$A19)*('Raw Data'!$C$2:$C$9999=$C$3)*'Raw Data'!$D$2:$D$9999*'Raw Data'!$S$2:$S$9999)/SUMIFS('Raw Data'!$D:$D, 'Raw Data'!$B:$B, "Variant", 'Raw Data'!$A:$A, $A19, 'Raw Data'!$C:$C, $C$3),""))</f>
        <v>98.57</v>
      </c>
      <c r="AW19" s="95">
        <f t="shared" si="16"/>
        <v>-0.6427976083</v>
      </c>
      <c r="AX19" s="101">
        <f>IF($A19="","",IFERROR(SUMPRODUCT(('Raw Data'!$B$2:$B$9999="Control")*('Raw Data'!$A$2:$A$9999=$A19)*('Raw Data'!$C$2:$C$9999=$C$3)*'Raw Data'!$D$2:$D$9999*'Raw Data'!$T$2:$T$9999)/SUMIFS('Raw Data'!$D:$D, 'Raw Data'!$B:$B, "Control", 'Raw Data'!$A:$A, $A19, 'Raw Data'!$C:$C, $C$3),""))</f>
        <v>199.47</v>
      </c>
      <c r="AY19" s="101">
        <f>IF($A19="","",IFERROR(SUMPRODUCT(('Raw Data'!$B$2:$B$9999="Variant")*('Raw Data'!$A$2:$A$9999=$A19)*('Raw Data'!$C$2:$C$9999=$C$3)*'Raw Data'!$D$2:$D$9999*'Raw Data'!$T$2:$T$9999)/SUMIFS('Raw Data'!$D:$D, 'Raw Data'!$B:$B, "Variant", 'Raw Data'!$A:$A, $A19, 'Raw Data'!$C:$C, $C$3),""))</f>
        <v>280.2</v>
      </c>
      <c r="AZ19" s="105">
        <f t="shared" si="17"/>
        <v>0.4047225147</v>
      </c>
      <c r="BA19" s="101">
        <f>IF($A19="","",IFERROR(SUMPRODUCT(('Raw Data'!$B$2:$B$9999="Control")*('Raw Data'!$A$2:$A$9999=$A19)*('Raw Data'!$C$2:$C$9999=$C$3)*'Raw Data'!$D$2:$D$9999*'Raw Data'!$U$2:$U$9999)/SUMIFS('Raw Data'!$D:$D, 'Raw Data'!$B:$B, "Control", 'Raw Data'!$A:$A, $A19, 'Raw Data'!$C:$C, $C$3),""))</f>
        <v>466.93</v>
      </c>
      <c r="BB19" s="101">
        <f>IF($A19="","",IFERROR(SUMPRODUCT(('Raw Data'!$B$2:$B$9999="Variant")*('Raw Data'!$A$2:$A$9999=$A19)*('Raw Data'!$C$2:$C$9999=$C$3)*'Raw Data'!$D$2:$D$9999*'Raw Data'!$U$2:$U$9999)/SUMIFS('Raw Data'!$D:$D, 'Raw Data'!$B:$B, "Variant", 'Raw Data'!$A:$A, $A19, 'Raw Data'!$C:$C, $C$3),""))</f>
        <v>427.59</v>
      </c>
      <c r="BC19" s="95">
        <f t="shared" si="18"/>
        <v>-0.08425245754</v>
      </c>
      <c r="BD19" s="101">
        <f>IF($A19="","",IFERROR(SUMPRODUCT(('Raw Data'!$B$2:$B$9999="Control")*('Raw Data'!$A$2:$A$9999=$A19)*('Raw Data'!$C$2:$C$9999=$C$3)*'Raw Data'!$D$2:$D$9999*'Raw Data'!$V$2:$V$9999)/SUMIFS('Raw Data'!$D:$D, 'Raw Data'!$B:$B, "Control", 'Raw Data'!$A:$A, $A19, 'Raw Data'!$C:$C, $C$3),""))</f>
        <v>851.71</v>
      </c>
      <c r="BE19" s="101">
        <f>IF($A19="","",IFERROR(SUMPRODUCT(('Raw Data'!$B$2:$B$9999="Variant")*('Raw Data'!$A$2:$A$9999=$A19)*('Raw Data'!$C$2:$C$9999=$C$3)*'Raw Data'!$D$2:$D$9999*'Raw Data'!$V$2:$V$9999)/SUMIFS('Raw Data'!$D:$D, 'Raw Data'!$B:$B, "Variant", 'Raw Data'!$A:$A, $A19, 'Raw Data'!$C:$C, $C$3),""))</f>
        <v>858.88</v>
      </c>
      <c r="BF19" s="95">
        <f t="shared" si="19"/>
        <v>0.008418358361</v>
      </c>
      <c r="BG19" s="101">
        <f>IF($A19="","",IFERROR(SUMPRODUCT(('Raw Data'!$B$2:$B$9999="Control")*('Raw Data'!$A$2:$A$9999=$A19)*('Raw Data'!$C$2:$C$9999=$C$3)*'Raw Data'!$D$2:$D$9999*('Raw Data'!$Q$2:$Q$9999-'Raw Data'!$V$2:$V$9999))/SUMIFS('Raw Data'!$D:$D, 'Raw Data'!$B:$B, "Control", 'Raw Data'!$A:$A, $A19, 'Raw Data'!$C:$C, $C$3),""))</f>
        <v>-185.31</v>
      </c>
      <c r="BH19" s="101">
        <f>IF($A19="","",IFERROR(SUMPRODUCT(('Raw Data'!$B$2:$B$9999="Variant")*('Raw Data'!$A$2:$A$9999=$A19)*('Raw Data'!$C$2:$C$9999=$C$3)*'Raw Data'!$D$2:$D$9999*('Raw Data'!$Q$2:$Q$9999-'Raw Data'!$V$2:$V$9999))/SUMIFS('Raw Data'!$D:$D, 'Raw Data'!$B:$B, "Variant", 'Raw Data'!$A:$A, $A19, 'Raw Data'!$C:$C, $C$3),""))</f>
        <v>-151.09</v>
      </c>
      <c r="BI19" s="95">
        <f t="shared" si="20"/>
        <v>0.1846635368</v>
      </c>
      <c r="BJ19" s="101">
        <f>IF($A19="","",IFERROR(SUMPRODUCT(('Raw Data'!$B$2:$B$9999="Control")*('Raw Data'!$A$2:$A$9999=$A19)*('Raw Data'!$C$2:$C$9999=$C$3)*'Raw Data'!$D$2:$D$9999*'Raw Data'!$W$2:$W$9999)/SUMIFS('Raw Data'!$D:$D, 'Raw Data'!$B:$B, "Control", 'Raw Data'!$A:$A, $A19, 'Raw Data'!$C:$C, $C$3),""))</f>
        <v>5.5181</v>
      </c>
      <c r="BK19" s="101">
        <f>IF($A19="","",IFERROR(SUMPRODUCT(('Raw Data'!$B$2:$B$9999="Variant")*('Raw Data'!$A$2:$A$9999=$A19)*('Raw Data'!$C$2:$C$9999=$C$3)*'Raw Data'!$D$2:$D$9999*'Raw Data'!$W$2:$W$9999)/SUMIFS('Raw Data'!$D:$D, 'Raw Data'!$B:$B, "Variant", 'Raw Data'!$A:$A, $A19, 'Raw Data'!$C:$C, $C$3),""))</f>
        <v>5.4505</v>
      </c>
      <c r="BL19" s="95">
        <f t="shared" si="21"/>
        <v>-0.0122505935</v>
      </c>
      <c r="BM19" s="102">
        <f>IF($A19="","",IFERROR(SUMPRODUCT(('Raw Data'!$B$2:$B$9999="Control")*('Raw Data'!$A$2:$A$9999=$A19)*('Raw Data'!$C$2:$C$9999=$C$3)*'Raw Data'!$D$2:$D$9999*'Raw Data'!$X$2:$X$9999)/SUMIFS('Raw Data'!$D:$D, 'Raw Data'!$B:$B, "Control", 'Raw Data'!$A:$A, $A19, 'Raw Data'!$C:$C, $C$3),""))</f>
        <v>29.93</v>
      </c>
      <c r="BN19" s="102">
        <f>IF($A19="","",IFERROR(SUMPRODUCT(('Raw Data'!$B$2:$B$9999="Variant")*('Raw Data'!$A$2:$A$9999=$A19)*('Raw Data'!$C$2:$C$9999=$C$3)*'Raw Data'!$D$2:$D$9999*'Raw Data'!$X$2:$X$9999)/SUMIFS('Raw Data'!$D:$D, 'Raw Data'!$B:$B, "Variant", 'Raw Data'!$A:$A, $A19, 'Raw Data'!$C:$C, $C$3),""))</f>
        <v>39.59</v>
      </c>
      <c r="BO19" s="105">
        <f t="shared" si="22"/>
        <v>0.3227530905</v>
      </c>
      <c r="BP19" s="94">
        <f>IF($A19="","",IFERROR(SUMPRODUCT(('Raw Data'!$B$2:$B$9999="Control")*('Raw Data'!$A$2:$A$9999=$A19)*('Raw Data'!$C$2:$C$9999=$C$3)*'Raw Data'!$D$2:$D$9999*'Raw Data'!$Y$2:$Y$9999)/SUMIFS('Raw Data'!$D:$D, 'Raw Data'!$B:$B, "Control", 'Raw Data'!$A:$A, $A19, 'Raw Data'!$C:$C, $C$3),""))</f>
        <v>261</v>
      </c>
      <c r="BQ19" s="94">
        <f>IF($A19="","",IFERROR(SUMPRODUCT(('Raw Data'!$B$2:$B$9999="Variant")*('Raw Data'!$A$2:$A$9999=$A19)*('Raw Data'!$C$2:$C$9999=$C$3)*'Raw Data'!$D$2:$D$9999*'Raw Data'!$Y$2:$Y$9999)/SUMIFS('Raw Data'!$D:$D, 'Raw Data'!$B:$B, "Variant", 'Raw Data'!$A:$A, $A19, 'Raw Data'!$C:$C, $C$3),""))</f>
        <v>324</v>
      </c>
      <c r="BR19" s="95">
        <f t="shared" si="23"/>
        <v>0.2413793103</v>
      </c>
      <c r="BS19" s="94">
        <f>IF($A19="","",IFERROR(SUMPRODUCT(('Raw Data'!$B$2:$B$9999="Control")*('Raw Data'!$A$2:$A$9999=$A19)*('Raw Data'!$C$2:$C$9999=$C$3)*'Raw Data'!$D$2:$D$9999*'Raw Data'!$Z$2:$Z$9999)/SUMIFS('Raw Data'!$D:$D, 'Raw Data'!$B:$B, "Control", 'Raw Data'!$A:$A, $A19, 'Raw Data'!$C:$C, $C$3),""))</f>
        <v>2150</v>
      </c>
      <c r="BT19" s="94">
        <f>IF($A19="","",IFERROR(SUMPRODUCT(('Raw Data'!$B$2:$B$9999="Variant")*('Raw Data'!$A$2:$A$9999=$A19)*('Raw Data'!$C$2:$C$9999=$C$3)*'Raw Data'!$D$2:$D$9999*'Raw Data'!$Z$2:$Z$9999)/SUMIFS('Raw Data'!$D:$D, 'Raw Data'!$B:$B, "Variant", 'Raw Data'!$A:$A, $A19, 'Raw Data'!$C:$C, $C$3),""))</f>
        <v>2389</v>
      </c>
      <c r="BU19" s="95">
        <f t="shared" si="24"/>
        <v>0.1111627907</v>
      </c>
      <c r="BV19" s="94">
        <f>IF($A19="","",IFERROR(SUMPRODUCT(('Raw Data'!$B$2:$B$9999="Control")*('Raw Data'!$A$2:$A$9999=$A19)*('Raw Data'!$C$2:$C$9999=$C$3)*'Raw Data'!$D$2:$D$9999*'Raw Data'!$AA$2:$AA$9999)/SUMIFS('Raw Data'!$D:$D, 'Raw Data'!$B:$B, "Control", 'Raw Data'!$A:$A, $A19, 'Raw Data'!$C:$C, $C$3),""))</f>
        <v>9414</v>
      </c>
      <c r="BW19" s="94">
        <f>IF($A19="","",IFERROR(SUMPRODUCT(('Raw Data'!$B$2:$B$9999="Variant")*('Raw Data'!$A$2:$A$9999=$A19)*('Raw Data'!$C$2:$C$9999=$C$3)*'Raw Data'!$D$2:$D$9999*'Raw Data'!$AA$2:$AA$9999)/SUMIFS('Raw Data'!$D:$D, 'Raw Data'!$B:$B, "Variant", 'Raw Data'!$A:$A, $A19, 'Raw Data'!$C:$C, $C$3),""))</f>
        <v>9501</v>
      </c>
      <c r="BX19" s="95">
        <f t="shared" si="25"/>
        <v>0.009241555131</v>
      </c>
      <c r="BY19" s="101">
        <f>IF($A19="","",IFERROR(SUMPRODUCT(('Raw Data'!$B$2:$B$9999="Control")*('Raw Data'!$A$2:$A$9999=$A19)*('Raw Data'!$C$2:$C$9999=$C$3)*'Raw Data'!$D$2:$D$9999*'Raw Data'!$AB$2:$AB$9999)/SUMIFS('Raw Data'!$D:$D, 'Raw Data'!$B:$B, "Control", 'Raw Data'!$A:$A, $A19, 'Raw Data'!$C:$C, $C$3),""))</f>
        <v>62.1668</v>
      </c>
      <c r="BZ19" s="101">
        <f>IF($A19="","",IFERROR(SUMPRODUCT(('Raw Data'!$B$2:$B$9999="Variant")*('Raw Data'!$A$2:$A$9999=$A19)*('Raw Data'!$C$2:$C$9999=$C$3)*'Raw Data'!$D$2:$D$9999*'Raw Data'!$AB$2:$AB$9999)/SUMIFS('Raw Data'!$D:$D, 'Raw Data'!$B:$B, "Variant", 'Raw Data'!$A:$A, $A19, 'Raw Data'!$C:$C, $C$3),""))</f>
        <v>62.7286</v>
      </c>
      <c r="CA19" s="105">
        <f t="shared" si="26"/>
        <v>0.009036977937</v>
      </c>
      <c r="CB19" s="101">
        <f>IF($A19="","",IFERROR(SUMPRODUCT(('Raw Data'!$B$2:$B$9999="Control")*('Raw Data'!$A$2:$A$9999=$A19)*('Raw Data'!$C$2:$C$9999=$C$3)*'Raw Data'!$D$2:$D$9999*'Raw Data'!$AC$2:$AC$9999)/SUMIFS('Raw Data'!$D:$D, 'Raw Data'!$B:$B, "Control", 'Raw Data'!$A:$A, $A19, 'Raw Data'!$C:$C, $C$3),""))</f>
        <v>0.8761</v>
      </c>
      <c r="CC19" s="101">
        <f>IF($A19="","",IFERROR(SUMPRODUCT(('Raw Data'!$B$2:$B$9999="Variant")*('Raw Data'!$A$2:$A$9999=$A19)*('Raw Data'!$C$2:$C$9999=$C$3)*'Raw Data'!$D$2:$D$9999*'Raw Data'!$AC$2:$AC$9999)/SUMIFS('Raw Data'!$D:$D, 'Raw Data'!$B:$B, "Variant", 'Raw Data'!$A:$A, $A19, 'Raw Data'!$C:$C, $C$3),""))</f>
        <v>0.8737</v>
      </c>
      <c r="CD19" s="105">
        <f t="shared" si="27"/>
        <v>-0.002739413309</v>
      </c>
      <c r="CE19" s="101">
        <f>IF($A19="","",IFERROR(SUMPRODUCT(('Raw Data'!$B$2:$B$9999="Control")*('Raw Data'!$A$2:$A$9999=$A19)*('Raw Data'!$C$2:$C$9999=$C$3)*'Raw Data'!$D$2:$D$9999*'Raw Data'!$AD$2:$AD$9999)/SUMIFS('Raw Data'!$D:$D, 'Raw Data'!$B:$B, "Control", 'Raw Data'!$A:$A, $A19, 'Raw Data'!$C:$C, $C$3),""))</f>
        <v>88.3</v>
      </c>
      <c r="CF19" s="101">
        <f>IF($A19="","",IFERROR(SUMPRODUCT(('Raw Data'!$B$2:$B$9999="Variant")*('Raw Data'!$A$2:$A$9999=$A19)*('Raw Data'!$C$2:$C$9999=$C$3)*'Raw Data'!$D$2:$D$9999*'Raw Data'!$AD$2:$AD$9999)/SUMIFS('Raw Data'!$D:$D, 'Raw Data'!$B:$B, "Variant", 'Raw Data'!$A:$A, $A19, 'Raw Data'!$C:$C, $C$3),""))</f>
        <v>84.93</v>
      </c>
      <c r="CG19" s="105">
        <f t="shared" si="28"/>
        <v>-0.03816534541</v>
      </c>
      <c r="CH19" s="101">
        <f>IF($A19="","",IFERROR(SUMPRODUCT(('Raw Data'!$B$2:$B$9999="Control")*('Raw Data'!$A$2:$A$9999=$A19)*('Raw Data'!$C$2:$C$9999=$C$3)*'Raw Data'!$D$2:$D$9999*'Raw Data'!$AE$2:$AE$9999)/SUMIFS('Raw Data'!$D:$D, 'Raw Data'!$B:$B, "Control", 'Raw Data'!$A:$A, $A19, 'Raw Data'!$C:$C, $C$3),""))</f>
        <v>33</v>
      </c>
      <c r="CI19" s="101">
        <f>IF($A19="","",IFERROR(SUMPRODUCT(('Raw Data'!$B$2:$B$9999="Variant")*('Raw Data'!$A$2:$A$9999=$A19)*('Raw Data'!$C$2:$C$9999=$C$3)*'Raw Data'!$D$2:$D$9999*'Raw Data'!$AE$2:$AE$9999)/SUMIFS('Raw Data'!$D:$D, 'Raw Data'!$B:$B, "Variant", 'Raw Data'!$A:$A, $A19, 'Raw Data'!$C:$C, $C$3),""))</f>
        <v>32</v>
      </c>
      <c r="CJ19" s="105">
        <f t="shared" si="29"/>
        <v>-0.0303030303</v>
      </c>
      <c r="CK19" s="101">
        <f>IF($A19="","",IFERROR(SUMPRODUCT(('Raw Data'!$B$2:$B$9999="Control")*('Raw Data'!$A$2:$A$9999=$A19)*('Raw Data'!$C$2:$C$9999=$C$3)*'Raw Data'!$D$2:$D$9999*'Raw Data'!$AF$2:$AF$9999)/SUMIFS('Raw Data'!$D:$D, 'Raw Data'!$B:$B, "Control", 'Raw Data'!$A:$A, $A19, 'Raw Data'!$C:$C, $C$3),""))</f>
        <v>74</v>
      </c>
      <c r="CL19" s="101">
        <f>IF($A19="","",IFERROR(SUMPRODUCT(('Raw Data'!$B$2:$B$9999="Variant")*('Raw Data'!$A$2:$A$9999=$A19)*('Raw Data'!$C$2:$C$9999=$C$3)*'Raw Data'!$D$2:$D$9999*'Raw Data'!$AF$2:$AF$9999)/SUMIFS('Raw Data'!$D:$D, 'Raw Data'!$B:$B, "Variant", 'Raw Data'!$A:$A, $A19, 'Raw Data'!$C:$C, $C$3),""))</f>
        <v>74</v>
      </c>
      <c r="CM19" s="105">
        <f t="shared" si="30"/>
        <v>0</v>
      </c>
      <c r="CN19" s="101">
        <f>IF($A19="","",IFERROR(SUMPRODUCT(('Raw Data'!$B$2:$B$9999="Control")*('Raw Data'!$A$2:$A$9999=$A19)*('Raw Data'!$C$2:$C$9999=$C$3)*'Raw Data'!$D$2:$D$9999*'Raw Data'!$AG$2:$AG$9999)/SUMIFS('Raw Data'!$D:$D, 'Raw Data'!$B:$B, "Control", 'Raw Data'!$A:$A, $A19, 'Raw Data'!$C:$C, $C$3),""))</f>
        <v>128</v>
      </c>
      <c r="CO19" s="101">
        <f>IF($A19="","",IFERROR(SUMPRODUCT(('Raw Data'!$B$2:$B$9999="Variant")*('Raw Data'!$A$2:$A$9999=$A19)*('Raw Data'!$C$2:$C$9999=$C$3)*'Raw Data'!$D$2:$D$9999*'Raw Data'!$AG$2:$AG$9999)/SUMIFS('Raw Data'!$D:$D, 'Raw Data'!$B:$B, "Variant", 'Raw Data'!$A:$A, $A19, 'Raw Data'!$C:$C, $C$3),""))</f>
        <v>118</v>
      </c>
      <c r="CP19" s="105">
        <f t="shared" si="31"/>
        <v>-0.078125</v>
      </c>
      <c r="CQ19" s="101">
        <f>IF($A19="","",IFERROR(SUMPRODUCT(('Raw Data'!$B$2:$B$9999="Control")*('Raw Data'!$A$2:$A$9999=$A19)*('Raw Data'!$C$2:$C$9999=$C$3)*'Raw Data'!$D$2:$D$9999*'Raw Data'!$AH$2:$AH$9999)/SUMIFS('Raw Data'!$D:$D, 'Raw Data'!$B:$B, "Control", 'Raw Data'!$A:$A, $A19, 'Raw Data'!$C:$C, $C$3),""))</f>
        <v>184</v>
      </c>
      <c r="CR19" s="101">
        <f>IF($A19="","",IFERROR(SUMPRODUCT(('Raw Data'!$B$2:$B$9999="Variant")*('Raw Data'!$A$2:$A$9999=$A19)*('Raw Data'!$C$2:$C$9999=$C$3)*'Raw Data'!$D$2:$D$9999*'Raw Data'!$AH$2:$AH$9999)/SUMIFS('Raw Data'!$D:$D, 'Raw Data'!$B:$B, "Variant", 'Raw Data'!$A:$A, $A19, 'Raw Data'!$C:$C, $C$3),""))</f>
        <v>178</v>
      </c>
      <c r="CS19" s="105">
        <f t="shared" si="32"/>
        <v>-0.03260869565</v>
      </c>
      <c r="CT19" s="96">
        <f>IF($A19="","",IFERROR(SUMPRODUCT(('Raw Data'!$B$2:$B$9999="Control")*('Raw Data'!$A$2:$A$9999=$A19)*('Raw Data'!$C$2:$C$9999=$C$3)*'Raw Data'!$D$2:$D$9999*'Raw Data'!$AI$2:$AI$9999)/SUMIFS('Raw Data'!$D:$D, 'Raw Data'!$B:$B, "Control", 'Raw Data'!$A:$A, $A19, 'Raw Data'!$C:$C, $C$3),""))</f>
        <v>47.22</v>
      </c>
      <c r="CU19" s="96">
        <f>IF($A19="","",IFERROR(SUMPRODUCT(('Raw Data'!$B$2:$B$9999="Variant")*('Raw Data'!$A$2:$A$9999=$A19)*('Raw Data'!$C$2:$C$9999=$C$3)*'Raw Data'!$D$2:$D$9999*'Raw Data'!$AI$2:$AI$9999)/SUMIFS('Raw Data'!$D:$D, 'Raw Data'!$B:$B, "Variant", 'Raw Data'!$A:$A, $A19, 'Raw Data'!$C:$C, $C$3),""))</f>
        <v>47.55</v>
      </c>
      <c r="CV19" s="106">
        <f t="shared" si="33"/>
        <v>0.006988564168</v>
      </c>
      <c r="CW19" s="96">
        <f>IF($A19="","",IFERROR(SUMPRODUCT(('Raw Data'!$B$2:$B$9999="Control")*('Raw Data'!$A$2:$A$9999=$A19)*('Raw Data'!$C$2:$C$9999=$C$3)*'Raw Data'!$D$2:$D$9999*'Raw Data'!$AJ$2:$AJ$9999)/SUMIFS('Raw Data'!$D:$D, 'Raw Data'!$B:$B, "Control", 'Raw Data'!$A:$A, $A19, 'Raw Data'!$C:$C, $C$3),""))</f>
        <v>13.03</v>
      </c>
      <c r="CX19" s="96">
        <f>IF($A19="","",IFERROR(SUMPRODUCT(('Raw Data'!$B$2:$B$9999="Variant")*('Raw Data'!$A$2:$A$9999=$A19)*('Raw Data'!$C$2:$C$9999=$C$3)*'Raw Data'!$D$2:$D$9999*'Raw Data'!$AJ$2:$AJ$9999)/SUMIFS('Raw Data'!$D:$D, 'Raw Data'!$B:$B, "Variant", 'Raw Data'!$A:$A, $A19, 'Raw Data'!$C:$C, $C$3),""))</f>
        <v>10.61</v>
      </c>
      <c r="CY19" s="106">
        <f t="shared" si="34"/>
        <v>-0.1857252494</v>
      </c>
      <c r="CZ19" s="96">
        <f>IF($A19="","",IFERROR(SUMPRODUCT(('Raw Data'!$B$2:$B$9999="Control")*('Raw Data'!$A$2:$A$9999=$A19)*('Raw Data'!$C$2:$C$9999=$C$3)*'Raw Data'!$D$2:$D$9999*'Raw Data'!$AK$2:$AK$9999)/SUMIFS('Raw Data'!$D:$D, 'Raw Data'!$B:$B, "Control", 'Raw Data'!$A:$A, $A19, 'Raw Data'!$C:$C, $C$3),""))</f>
        <v>0.85</v>
      </c>
      <c r="DA19" s="96">
        <f>IF($A19="","",IFERROR(SUMPRODUCT(('Raw Data'!$B$2:$B$9999="Variant")*('Raw Data'!$A$2:$A$9999=$A19)*('Raw Data'!$C$2:$C$9999=$C$3)*'Raw Data'!$D$2:$D$9999*'Raw Data'!$AK$2:$AK$9999)/SUMIFS('Raw Data'!$D:$D, 'Raw Data'!$B:$B, "Variant", 'Raw Data'!$A:$A, $A19, 'Raw Data'!$C:$C, $C$3),""))</f>
        <v>1.02</v>
      </c>
      <c r="DB19" s="105">
        <f t="shared" si="35"/>
        <v>0.2</v>
      </c>
      <c r="DC19" s="102">
        <f>IF($A19="","",IFERROR(SUMPRODUCT(('Raw Data'!$B$2:$B$9999="Control")*('Raw Data'!$A$2:$A$9999=$A19)*('Raw Data'!$C$2:$C$9999=$C$3)*'Raw Data'!$D$2:$D$9999*'Raw Data'!$AL$2:$AL$9999)/SUMIFS('Raw Data'!$D:$D, 'Raw Data'!$B:$B, "Control", 'Raw Data'!$A:$A, $A19, 'Raw Data'!$C:$C, $C$3),""))</f>
        <v>0.156</v>
      </c>
      <c r="DD19" s="102">
        <f>IF($A19="","",IFERROR(SUMPRODUCT(('Raw Data'!$B$2:$B$9999="Variant")*('Raw Data'!$A$2:$A$9999=$A19)*('Raw Data'!$C$2:$C$9999=$C$3)*'Raw Data'!$D$2:$D$9999*'Raw Data'!$AL$2:$AL$9999)/SUMIFS('Raw Data'!$D:$D, 'Raw Data'!$B:$B, "Variant", 'Raw Data'!$A:$A, $A19, 'Raw Data'!$C:$C, $C$3),""))</f>
        <v>0.1306</v>
      </c>
      <c r="DE19" s="106">
        <f t="shared" si="36"/>
        <v>-0.1628205128</v>
      </c>
      <c r="DF19" s="103"/>
      <c r="DG19" s="96">
        <f>IF($A19="","",IFERROR(SUMPRODUCT(('Raw Data'!$B$2:$B$9999="Variant")*('Raw Data'!$A$2:$A$9999=$A19)*('Raw Data'!$C$2:$C$9999=$C$3)*'Raw Data'!$D$2:$D$9999*'Raw Data'!$AM$2:$AM$9999)/SUMIFS('Raw Data'!$D:$D, 'Raw Data'!$B:$B, "Variant", 'Raw Data'!$A:$A, $A19, 'Raw Data'!$C:$C, $C$3),""))</f>
        <v>71.22</v>
      </c>
      <c r="DH19" s="104"/>
      <c r="DI19" s="103"/>
      <c r="DJ19" s="96">
        <f>IF($A19="","",IFERROR(SUMPRODUCT(('Raw Data'!$B$2:$B$9999="Variant")*('Raw Data'!$A$2:$A$9999=$A19)*('Raw Data'!$C$2:$C$9999=$C$3)*'Raw Data'!$D$2:$D$9999*'Raw Data'!$AN$2:$AN$9999)/SUMIFS('Raw Data'!$D:$D, 'Raw Data'!$B:$B, "Variant", 'Raw Data'!$A:$A, $A19, 'Raw Data'!$C:$C, $C$3),""))</f>
        <v>71.22</v>
      </c>
      <c r="DK19" s="104"/>
      <c r="DL19" s="103"/>
      <c r="DM19" s="96">
        <f>IF($A19="","",IFERROR(SUMPRODUCT(('Raw Data'!$B$2:$B$9999="Variant")*('Raw Data'!$A$2:$A$9999=$A19)*('Raw Data'!$C$2:$C$9999=$C$3)*'Raw Data'!$D$2:$D$9999*'Raw Data'!$AO$2:$AO$9999)/SUMIFS('Raw Data'!$D:$D, 'Raw Data'!$B:$B, "Variant", 'Raw Data'!$A:$A, $A19, 'Raw Data'!$C:$C, $C$3),""))</f>
        <v>50.2</v>
      </c>
      <c r="DN19" s="104"/>
      <c r="DO19" s="103"/>
      <c r="DP19" s="96">
        <f>IF($A19="","",IFERROR(SUMPRODUCT(('Raw Data'!$B$2:$B$9999="Variant")*('Raw Data'!$A$2:$A$9999=$A19)*('Raw Data'!$C$2:$C$9999=$C$3)*'Raw Data'!$D$2:$D$9999*'Raw Data'!$AP$2:$AP$9999)/SUMIFS('Raw Data'!$D:$D, 'Raw Data'!$B:$B, "Variant", 'Raw Data'!$A:$A, $A19, 'Raw Data'!$C:$C, $C$3),""))</f>
        <v>37.96</v>
      </c>
      <c r="DQ19" s="104"/>
      <c r="DR19" s="102">
        <f>IF($A19="","",IFERROR(SUMPRODUCT(('Raw Data'!$B$2:$B$9999="Control")*('Raw Data'!$A$2:$A$9999=$A19)*('Raw Data'!$C$2:$C$9999=$C$3)*'Raw Data'!$D$2:$D$9999*'Raw Data'!$AQ$2:$AQ$9999)/SUMIFS('Raw Data'!$D:$D, 'Raw Data'!$B:$B, "Control", 'Raw Data'!$A:$A, $A19, 'Raw Data'!$C:$C, $C$3),""))</f>
        <v>32.9274</v>
      </c>
      <c r="DS19" s="102">
        <f>IF($A19="","",IFERROR(SUMPRODUCT(('Raw Data'!$B$2:$B$9999="Variant")*('Raw Data'!$A$2:$A$9999=$A19)*('Raw Data'!$C$2:$C$9999=$C$3)*'Raw Data'!$D$2:$D$9999*'Raw Data'!$AQ$2:$AQ$9999)/SUMIFS('Raw Data'!$D:$D, 'Raw Data'!$B:$B, "Variant", 'Raw Data'!$A:$A, $A19, 'Raw Data'!$C:$C, $C$3),""))</f>
        <v>33.8857</v>
      </c>
      <c r="DT19" s="107">
        <f t="shared" si="37"/>
        <v>0.02910342147</v>
      </c>
      <c r="DU19" s="102">
        <f>IF($A19="","",IFERROR(SUMPRODUCT(('Raw Data'!$B$2:$B$9999="Control")*('Raw Data'!$A$2:$A$9999=$A19)*('Raw Data'!$C$2:$C$9999=$C$3)*'Raw Data'!$D$2:$D$9999*'Raw Data'!$AR$2:$AR$9999)/SUMIFS('Raw Data'!$D:$D, 'Raw Data'!$B:$B, "Control", 'Raw Data'!$A:$A, $A19, 'Raw Data'!$C:$C, $C$3),""))</f>
        <v>3.1239</v>
      </c>
      <c r="DV19" s="102">
        <f>IF($A19="","",IFERROR(SUMPRODUCT(('Raw Data'!$B$2:$B$9999="Variant")*('Raw Data'!$A$2:$A$9999=$A19)*('Raw Data'!$C$2:$C$9999=$C$3)*'Raw Data'!$D$2:$D$9999*'Raw Data'!$AR$2:$AR$9999)/SUMIFS('Raw Data'!$D:$D, 'Raw Data'!$B:$B, "Variant", 'Raw Data'!$A:$A, $A19, 'Raw Data'!$C:$C, $C$3),""))</f>
        <v>3.5755</v>
      </c>
      <c r="DW19" s="107">
        <f t="shared" si="38"/>
        <v>0.1445628861</v>
      </c>
      <c r="DX19" s="102">
        <f>IF($A19="","",IFERROR(SUMPRODUCT(('Raw Data'!$B$2:$B$9999="Control")*('Raw Data'!$A$2:$A$9999=$A19)*('Raw Data'!$C$2:$C$9999=$C$3)*'Raw Data'!$D$2:$D$9999*'Raw Data'!$AS$2:$AS$9999)/SUMIFS('Raw Data'!$D:$D, 'Raw Data'!$B:$B, "Control", 'Raw Data'!$A:$A, $A19, 'Raw Data'!$C:$C, $C$3),""))</f>
        <v>29.8034</v>
      </c>
      <c r="DY19" s="102">
        <f>IF($A19="","",IFERROR(SUMPRODUCT(('Raw Data'!$B$2:$B$9999="Variant")*('Raw Data'!$A$2:$A$9999=$A19)*('Raw Data'!$C$2:$C$9999=$C$3)*'Raw Data'!$D$2:$D$9999*'Raw Data'!$AS$2:$AS$9999)/SUMIFS('Raw Data'!$D:$D, 'Raw Data'!$B:$B, "Variant", 'Raw Data'!$A:$A, $A19, 'Raw Data'!$C:$C, $C$3),""))</f>
        <v>30.3102</v>
      </c>
      <c r="DZ19" s="107">
        <f t="shared" si="39"/>
        <v>0.01700477127</v>
      </c>
      <c r="EA19" s="102">
        <f>IF($A19="","",IFERROR(SUMPRODUCT(('Raw Data'!$B$2:$B$9999="Control")*('Raw Data'!$A$2:$A$9999=$A19)*('Raw Data'!$C$2:$C$9999=$C$3)*'Raw Data'!$D$2:$D$9999*'Raw Data'!$AT$2:$AT$9999)/SUMIFS('Raw Data'!$D:$D, 'Raw Data'!$B:$B, "Control", 'Raw Data'!$A:$A, $A19, 'Raw Data'!$C:$C, $C$3),""))</f>
        <v>33.985</v>
      </c>
      <c r="EB19" s="102">
        <f>IF($A19="","",IFERROR(SUMPRODUCT(('Raw Data'!$B$2:$B$9999="Variant")*('Raw Data'!$A$2:$A$9999=$A19)*('Raw Data'!$C$2:$C$9999=$C$3)*'Raw Data'!$D$2:$D$9999*'Raw Data'!$AT$2:$AT$9999)/SUMIFS('Raw Data'!$D:$D, 'Raw Data'!$B:$B, "Variant", 'Raw Data'!$A:$A, $A19, 'Raw Data'!$C:$C, $C$3),""))</f>
        <v>37.1429</v>
      </c>
      <c r="EC19" s="107">
        <f t="shared" si="40"/>
        <v>0.09292040606</v>
      </c>
      <c r="ED19" s="102">
        <f>IF($A19="","",IFERROR(SUMPRODUCT(('Raw Data'!$B$2:$B$9999="Control")*('Raw Data'!$A$2:$A$9999=$A19)*('Raw Data'!$C$2:$C$9999=$C$3)*'Raw Data'!$D$2:$D$9999*('Raw Data'!$AQ$2:$AQ$9999-'Raw Data'!$AT$2:$AT$9999))/SUMIFS('Raw Data'!$D:$D, 'Raw Data'!$B:$B, "Control", 'Raw Data'!$A:$A, $A19, 'Raw Data'!$C:$C, $C$3),""))</f>
        <v>-1.0576</v>
      </c>
      <c r="EE19" s="102">
        <f>IF($A19="","",IFERROR(SUMPRODUCT(('Raw Data'!$B$2:$B$9999="Variant")*('Raw Data'!$A$2:$A$9999=$A19)*('Raw Data'!$C$2:$C$9999=$C$3)*'Raw Data'!$D$2:$D$9999*('Raw Data'!$AQ$2:$AQ$9999-'Raw Data'!$AT$2:$AT$9999))/SUMIFS('Raw Data'!$D:$D, 'Raw Data'!$B:$B, "Variant", 'Raw Data'!$A:$A, $A19, 'Raw Data'!$C:$C, $C$3),""))</f>
        <v>-3.2572</v>
      </c>
      <c r="EF19" s="107">
        <f t="shared" si="41"/>
        <v>-2.079803328</v>
      </c>
      <c r="EG19" s="102">
        <f>IF($A19="","",IFERROR(SUMPRODUCT(('Raw Data'!$B$2:$B$9999="Control")*('Raw Data'!$A$2:$A$9999=$A19)*('Raw Data'!$C$2:$C$9999=$C$3)*'Raw Data'!$D$2:$D$9999*'Raw Data'!$AU$2:$AU$9999)/SUMIFS('Raw Data'!$D:$D, 'Raw Data'!$B:$B, "Control", 'Raw Data'!$A:$A, $A19, 'Raw Data'!$C:$C, $C$3),""))</f>
        <v>0.2202</v>
      </c>
      <c r="EH19" s="102">
        <f>IF($A19="","",IFERROR(SUMPRODUCT(('Raw Data'!$B$2:$B$9999="Variant")*('Raw Data'!$A$2:$A$9999=$A19)*('Raw Data'!$C$2:$C$9999=$C$3)*'Raw Data'!$D$2:$D$9999*'Raw Data'!$AU$2:$AU$9999)/SUMIFS('Raw Data'!$D:$D, 'Raw Data'!$B:$B, "Variant", 'Raw Data'!$A:$A, $A19, 'Raw Data'!$C:$C, $C$3),""))</f>
        <v>0.2357</v>
      </c>
      <c r="EI19" s="107">
        <f t="shared" si="42"/>
        <v>0.07039055404</v>
      </c>
    </row>
    <row r="20">
      <c r="A20" s="93">
        <v>46188.0</v>
      </c>
      <c r="B20" s="94">
        <f>IF($A20="","",SUMIFS('Raw Data'!$D:$D, 'Raw Data'!$B:$B, "Control", 'Raw Data'!$A:$A, $A20, 'Raw Data'!$C:$C, $C$3))</f>
        <v>437</v>
      </c>
      <c r="C20" s="94">
        <f>IF($A20="","",SUMIFS('Raw Data'!$D:$D, 'Raw Data'!$B:$B, "Variant", 'Raw Data'!$A:$A, $A20, 'Raw Data'!$C:$C, $C$3))</f>
        <v>478</v>
      </c>
      <c r="D20" s="95">
        <f t="shared" si="1"/>
        <v>0.0938215103</v>
      </c>
      <c r="E20" s="96">
        <f>IF($A20="","",IFERROR(SUMPRODUCT(('Raw Data'!$B$2:$B$9999="Control")*('Raw Data'!$A$2:$A$9999=$A20)*('Raw Data'!$C$2:$C$9999=$C$3)*'Raw Data'!$D$2:$D$9999*'Raw Data'!$E$2:$E$9999)/SUMIFS('Raw Data'!$D:$D, 'Raw Data'!$B:$B, "Control", 'Raw Data'!$A:$A, $A20, 'Raw Data'!$C:$C, $C$3),""))</f>
        <v>0.51</v>
      </c>
      <c r="F20" s="96">
        <f>IF($A20="","",IFERROR(SUMPRODUCT(('Raw Data'!$B$2:$B$9999="Variant")*('Raw Data'!$A$2:$A$9999=$A20)*('Raw Data'!$C$2:$C$9999=$C$3)*'Raw Data'!$D$2:$D$9999*'Raw Data'!$E$2:$E$9999)/SUMIFS('Raw Data'!$D:$D, 'Raw Data'!$B:$B, "Variant", 'Raw Data'!$A:$A, $A20, 'Raw Data'!$C:$C, $C$3),""))</f>
        <v>0.56</v>
      </c>
      <c r="G20" s="95">
        <f t="shared" si="2"/>
        <v>0.09803921569</v>
      </c>
      <c r="H20" s="97">
        <f>IF($A20="","",SUMIFS('Raw Data'!$F:$F, 'Raw Data'!$B:$B, "Control", 'Raw Data'!$A:$A, $A20, 'Raw Data'!$C:$C, $C$3))</f>
        <v>1253.1</v>
      </c>
      <c r="I20" s="97">
        <f>IF($A20="","",SUMIFS('Raw Data'!$F:$F, 'Raw Data'!$B:$B, "Variant", 'Raw Data'!$A:$A, $A20, 'Raw Data'!$C:$C, $C$3))</f>
        <v>2229.31</v>
      </c>
      <c r="J20" s="100">
        <f t="shared" si="3"/>
        <v>0.7790359907</v>
      </c>
      <c r="K20" s="99">
        <f>IF($A20="","",IFERROR(SUMIFS('Raw Data'!$F:$F, 'Raw Data'!$B:$B, "Control", 'Raw Data'!$A:$A, $A20, 'Raw Data'!$C:$C, $C$3)/SUMIFS('Raw Data'!$D:$D, 'Raw Data'!$B:$B, "Control", 'Raw Data'!$A:$A, $A20, 'Raw Data'!$C:$C, $C$3),""))</f>
        <v>2.867505721</v>
      </c>
      <c r="L20" s="99">
        <f>IF($A20="","",IFERROR(SUMIFS('Raw Data'!$F:$F, 'Raw Data'!$B:$B, "Variant", 'Raw Data'!$A:$A, $A20, 'Raw Data'!$C:$C, $C$3)/SUMIFS('Raw Data'!$D:$D, 'Raw Data'!$B:$B, "Variant", 'Raw Data'!$A:$A, $A20, 'Raw Data'!$C:$C, $C$3),""))</f>
        <v>4.663828452</v>
      </c>
      <c r="M20" s="100">
        <f t="shared" si="4"/>
        <v>0.6264408535</v>
      </c>
      <c r="N20" s="96">
        <f>IF($A20="","",IFERROR(SUMPRODUCT(('Raw Data'!$B$2:$B$9999="Control")*('Raw Data'!$A$2:$A$9999=$A20)*('Raw Data'!$C$2:$C$9999=$C$3)*'Raw Data'!$D$2:$D$9999*'Raw Data'!$H$2:$H$9999/100)/SUMIFS('Raw Data'!$D:$D, 'Raw Data'!$B:$B, "Control", 'Raw Data'!$A:$A, $A20, 'Raw Data'!$C:$C, $C$3)*100,""))</f>
        <v>14.65</v>
      </c>
      <c r="O20" s="96">
        <f>IF($A20="","",IFERROR(SUMPRODUCT(('Raw Data'!$B$2:$B$9999="Variant")*('Raw Data'!$A$2:$A$9999=$A20)*('Raw Data'!$C$2:$C$9999=$C$3)*'Raw Data'!$D$2:$D$9999*'Raw Data'!$H$2:$H$9999/100)/SUMIFS('Raw Data'!$D:$D, 'Raw Data'!$B:$B, "Variant", 'Raw Data'!$A:$A, $A20, 'Raw Data'!$C:$C, $C$3)*100,""))</f>
        <v>16.11</v>
      </c>
      <c r="P20" s="105">
        <f t="shared" si="5"/>
        <v>0.09965870307</v>
      </c>
      <c r="Q20" s="99">
        <f>IF($A20="","",IFERROR(SUMIFS('Raw Data'!$F:$F, 'Raw Data'!$B:$B, "Control", 'Raw Data'!$A:$A, $A20, 'Raw Data'!$C:$C, $C$3)/SUMPRODUCT(('Raw Data'!$B$2:$B$9999="Control")*('Raw Data'!$A$2:$A$9999=$A20)*('Raw Data'!$C$2:$C$9999=$C$3)*'Raw Data'!$D$2:$D$9999*'Raw Data'!$H$2:$H$9999/100),""))</f>
        <v>19.57341789</v>
      </c>
      <c r="R20" s="99">
        <f>IF($A20="","",IFERROR(SUMIFS('Raw Data'!$F:$F, 'Raw Data'!$B:$B, "Variant", 'Raw Data'!$A:$A, $A20, 'Raw Data'!$C:$C, $C$3)/SUMPRODUCT(('Raw Data'!$B$2:$B$9999="Variant")*('Raw Data'!$A$2:$A$9999=$A20)*('Raw Data'!$C$2:$C$9999=$C$3)*'Raw Data'!$D$2:$D$9999*'Raw Data'!$H$2:$H$9999/100),""))</f>
        <v>28.94989728</v>
      </c>
      <c r="S20" s="106">
        <f t="shared" si="6"/>
        <v>0.4790414962</v>
      </c>
      <c r="T20" s="101">
        <f>IF($A20="","",IFERROR(SUMPRODUCT(('Raw Data'!$B$2:$B$9999="Control")*('Raw Data'!$A$2:$A$9999=$A20)*('Raw Data'!$C$2:$C$9999=$C$3)*'Raw Data'!$D$2:$D$9999*'Raw Data'!$J$2:$J$9999)/SUMIFS('Raw Data'!$D:$D, 'Raw Data'!$B:$B, "Control", 'Raw Data'!$A:$A, $A20, 'Raw Data'!$C:$C, $C$3),""))</f>
        <v>250.3</v>
      </c>
      <c r="U20" s="101">
        <f>IF($A20="","",IFERROR(SUMPRODUCT(('Raw Data'!$B$2:$B$9999="Variant")*('Raw Data'!$A$2:$A$9999=$A20)*('Raw Data'!$C$2:$C$9999=$C$3)*'Raw Data'!$D$2:$D$9999*'Raw Data'!$J$2:$J$9999)/SUMIFS('Raw Data'!$D:$D, 'Raw Data'!$B:$B, "Variant", 'Raw Data'!$A:$A, $A20, 'Raw Data'!$C:$C, $C$3),""))</f>
        <v>262.01</v>
      </c>
      <c r="V20" s="105">
        <f t="shared" si="7"/>
        <v>0.04678385937</v>
      </c>
      <c r="W20" s="101">
        <f>IF($A20="","",IFERROR(SUMPRODUCT(('Raw Data'!$B$2:$B$9999="Control")*('Raw Data'!$A$2:$A$9999=$A20)*('Raw Data'!$C$2:$C$9999=$C$3)*'Raw Data'!$D$2:$D$9999*'Raw Data'!$K$2:$K$9999)/SUMIFS('Raw Data'!$D:$D, 'Raw Data'!$B:$B, "Control", 'Raw Data'!$A:$A, $A20, 'Raw Data'!$C:$C, $C$3),""))</f>
        <v>151.71</v>
      </c>
      <c r="X20" s="101">
        <f>IF($A20="","",IFERROR(SUMPRODUCT(('Raw Data'!$B$2:$B$9999="Variant")*('Raw Data'!$A$2:$A$9999=$A20)*('Raw Data'!$C$2:$C$9999=$C$3)*'Raw Data'!$D$2:$D$9999*'Raw Data'!$K$2:$K$9999)/SUMIFS('Raw Data'!$D:$D, 'Raw Data'!$B:$B, "Variant", 'Raw Data'!$A:$A, $A20, 'Raw Data'!$C:$C, $C$3),""))</f>
        <v>155.86</v>
      </c>
      <c r="Y20" s="105">
        <f t="shared" si="8"/>
        <v>0.0273548217</v>
      </c>
      <c r="Z20" s="101">
        <f>IF($A20="","",IFERROR(SUMPRODUCT(('Raw Data'!$B$2:$B$9999="Control")*('Raw Data'!$A$2:$A$9999=$A20)*('Raw Data'!$C$2:$C$9999=$C$3)*'Raw Data'!$D$2:$D$9999*'Raw Data'!$L$2:$L$9999)/SUMIFS('Raw Data'!$D:$D, 'Raw Data'!$B:$B, "Control", 'Raw Data'!$A:$A, $A20, 'Raw Data'!$C:$C, $C$3),""))</f>
        <v>128.49</v>
      </c>
      <c r="AA20" s="101">
        <f>IF($A20="","",IFERROR(SUMPRODUCT(('Raw Data'!$B$2:$B$9999="Variant")*('Raw Data'!$A$2:$A$9999=$A20)*('Raw Data'!$C$2:$C$9999=$C$3)*'Raw Data'!$D$2:$D$9999*'Raw Data'!$L$2:$L$9999)/SUMIFS('Raw Data'!$D:$D, 'Raw Data'!$B:$B, "Variant", 'Raw Data'!$A:$A, $A20, 'Raw Data'!$C:$C, $C$3),""))</f>
        <v>131.49</v>
      </c>
      <c r="AB20" s="105">
        <f t="shared" si="9"/>
        <v>0.02334812048</v>
      </c>
      <c r="AC20" s="102">
        <f>IF($A20="","",IFERROR(SUMPRODUCT(('Raw Data'!$B$2:$B$9999="Control")*('Raw Data'!$A$2:$A$9999=$A20)*('Raw Data'!$C$2:$C$9999=$C$3)*'Raw Data'!$D$2:$D$9999*'Raw Data'!$M$2:$M$9999)/SUMIFS('Raw Data'!$D:$D, 'Raw Data'!$B:$B, "Control", 'Raw Data'!$A:$A, $A20, 'Raw Data'!$C:$C, $C$3),""))</f>
        <v>0.847</v>
      </c>
      <c r="AD20" s="102">
        <f>IF($A20="","",IFERROR(SUMPRODUCT(('Raw Data'!$B$2:$B$9999="Variant")*('Raw Data'!$A$2:$A$9999=$A20)*('Raw Data'!$C$2:$C$9999=$C$3)*'Raw Data'!$D$2:$D$9999*'Raw Data'!$M$2:$M$9999)/SUMIFS('Raw Data'!$D:$D, 'Raw Data'!$B:$B, "Variant", 'Raw Data'!$A:$A, $A20, 'Raw Data'!$C:$C, $C$3),""))</f>
        <v>0.8437</v>
      </c>
      <c r="AE20" s="106">
        <f t="shared" si="10"/>
        <v>-0.003896103896</v>
      </c>
      <c r="AF20" s="102">
        <f>IF($A20="","",IFERROR(SUMPRODUCT(('Raw Data'!$B$2:$B$9999="Control")*('Raw Data'!$A$2:$A$9999=$A20)*('Raw Data'!$C$2:$C$9999=$C$3)*'Raw Data'!$D$2:$D$9999*'Raw Data'!$N$2:$N$9999)/SUMIFS('Raw Data'!$D:$D, 'Raw Data'!$B:$B, "Control", 'Raw Data'!$A:$A, $A20, 'Raw Data'!$C:$C, $C$3),""))</f>
        <v>0.2867</v>
      </c>
      <c r="AG20" s="102">
        <f>IF($A20="","",IFERROR(SUMPRODUCT(('Raw Data'!$B$2:$B$9999="Variant")*('Raw Data'!$A$2:$A$9999=$A20)*('Raw Data'!$C$2:$C$9999=$C$3)*'Raw Data'!$D$2:$D$9999*'Raw Data'!$N$2:$N$9999)/SUMIFS('Raw Data'!$D:$D, 'Raw Data'!$B:$B, "Variant", 'Raw Data'!$A:$A, $A20, 'Raw Data'!$C:$C, $C$3),""))</f>
        <v>0.2941</v>
      </c>
      <c r="AH20" s="105">
        <f t="shared" si="11"/>
        <v>0.02581095221</v>
      </c>
      <c r="AI20" s="102">
        <f>IF($A20="","",IFERROR(SUMPRODUCT(('Raw Data'!$B$2:$B$9999="Control")*('Raw Data'!$A$2:$A$9999=$A20)*('Raw Data'!$C$2:$C$9999=$C$3)*'Raw Data'!$D$2:$D$9999*'Raw Data'!$O$2:$O$9999)/SUMIFS('Raw Data'!$D:$D, 'Raw Data'!$B:$B, "Control", 'Raw Data'!$A:$A, $A20, 'Raw Data'!$C:$C, $C$3),""))</f>
        <v>0.2001</v>
      </c>
      <c r="AJ20" s="102">
        <f>IF($A20="","",IFERROR(SUMPRODUCT(('Raw Data'!$B$2:$B$9999="Variant")*('Raw Data'!$A$2:$A$9999=$A20)*('Raw Data'!$C$2:$C$9999=$C$3)*'Raw Data'!$D$2:$D$9999*'Raw Data'!$O$2:$O$9999)/SUMIFS('Raw Data'!$D:$D, 'Raw Data'!$B:$B, "Variant", 'Raw Data'!$A:$A, $A20, 'Raw Data'!$C:$C, $C$3),""))</f>
        <v>0.2091</v>
      </c>
      <c r="AK20" s="105">
        <f t="shared" si="12"/>
        <v>0.04497751124</v>
      </c>
      <c r="AL20" s="101">
        <f>IF($A20="","",IFERROR(SUMPRODUCT(('Raw Data'!$B$2:$B$9999="Control")*('Raw Data'!$A$2:$A$9999=$A20)*('Raw Data'!$C$2:$C$9999=$C$3)*'Raw Data'!$D$2:$D$9999*'Raw Data'!$P$2:$P$9999)/SUMIFS('Raw Data'!$D:$D, 'Raw Data'!$B:$B, "Control", 'Raw Data'!$A:$A, $A20, 'Raw Data'!$C:$C, $C$3),""))</f>
        <v>1.1807</v>
      </c>
      <c r="AM20" s="101">
        <f>IF($A20="","",IFERROR(SUMPRODUCT(('Raw Data'!$B$2:$B$9999="Variant")*('Raw Data'!$A$2:$A$9999=$A20)*('Raw Data'!$C$2:$C$9999=$C$3)*'Raw Data'!$D$2:$D$9999*'Raw Data'!$P$2:$P$9999)/SUMIFS('Raw Data'!$D:$D, 'Raw Data'!$B:$B, "Variant", 'Raw Data'!$A:$A, $A20, 'Raw Data'!$C:$C, $C$3),""))</f>
        <v>1.1853</v>
      </c>
      <c r="AN20" s="105">
        <f t="shared" si="13"/>
        <v>0.003895993902</v>
      </c>
      <c r="AO20" s="101">
        <f>IF($A20="","",IFERROR(SUMPRODUCT(('Raw Data'!$B$2:$B$9999="Control")*('Raw Data'!$A$2:$A$9999=$A20)*('Raw Data'!$C$2:$C$9999=$C$3)*'Raw Data'!$D$2:$D$9999*'Raw Data'!$Q$2:$Q$9999)/SUMIFS('Raw Data'!$D:$D, 'Raw Data'!$B:$B, "Control", 'Raw Data'!$A:$A, $A20, 'Raw Data'!$C:$C, $C$3),""))</f>
        <v>853.43</v>
      </c>
      <c r="AP20" s="101">
        <f>IF($A20="","",IFERROR(SUMPRODUCT(('Raw Data'!$B$2:$B$9999="Variant")*('Raw Data'!$A$2:$A$9999=$A20)*('Raw Data'!$C$2:$C$9999=$C$3)*'Raw Data'!$D$2:$D$9999*'Raw Data'!$Q$2:$Q$9999)/SUMIFS('Raw Data'!$D:$D, 'Raw Data'!$B:$B, "Variant", 'Raw Data'!$A:$A, $A20, 'Raw Data'!$C:$C, $C$3),""))</f>
        <v>939.64</v>
      </c>
      <c r="AQ20" s="95">
        <f t="shared" si="14"/>
        <v>0.1010159005</v>
      </c>
      <c r="AR20" s="101">
        <f>IF($A20="","",IFERROR(SUMPRODUCT(('Raw Data'!$B$2:$B$9999="Control")*('Raw Data'!$A$2:$A$9999=$A20)*('Raw Data'!$C$2:$C$9999=$C$3)*'Raw Data'!$D$2:$D$9999*'Raw Data'!$R$2:$R$9999)/SUMIFS('Raw Data'!$D:$D, 'Raw Data'!$B:$B, "Control", 'Raw Data'!$A:$A, $A20, 'Raw Data'!$C:$C, $C$3),""))</f>
        <v>580.93</v>
      </c>
      <c r="AS20" s="101">
        <f>IF($A20="","",IFERROR(SUMPRODUCT(('Raw Data'!$B$2:$B$9999="Variant")*('Raw Data'!$A$2:$A$9999=$A20)*('Raw Data'!$C$2:$C$9999=$C$3)*'Raw Data'!$D$2:$D$9999*'Raw Data'!$R$2:$R$9999)/SUMIFS('Raw Data'!$D:$D, 'Raw Data'!$B:$B, "Variant", 'Raw Data'!$A:$A, $A20, 'Raw Data'!$C:$C, $C$3),""))</f>
        <v>840.39</v>
      </c>
      <c r="AT20" s="95">
        <f t="shared" si="15"/>
        <v>0.4466286816</v>
      </c>
      <c r="AU20" s="101">
        <f>IF($A20="","",IFERROR(SUMPRODUCT(('Raw Data'!$B$2:$B$9999="Control")*('Raw Data'!$A$2:$A$9999=$A20)*('Raw Data'!$C$2:$C$9999=$C$3)*'Raw Data'!$D$2:$D$9999*'Raw Data'!$S$2:$S$9999)/SUMIFS('Raw Data'!$D:$D, 'Raw Data'!$B:$B, "Control", 'Raw Data'!$A:$A, $A20, 'Raw Data'!$C:$C, $C$3),""))</f>
        <v>272.49</v>
      </c>
      <c r="AV20" s="101">
        <f>IF($A20="","",IFERROR(SUMPRODUCT(('Raw Data'!$B$2:$B$9999="Variant")*('Raw Data'!$A$2:$A$9999=$A20)*('Raw Data'!$C$2:$C$9999=$C$3)*'Raw Data'!$D$2:$D$9999*'Raw Data'!$S$2:$S$9999)/SUMIFS('Raw Data'!$D:$D, 'Raw Data'!$B:$B, "Variant", 'Raw Data'!$A:$A, $A20, 'Raw Data'!$C:$C, $C$3),""))</f>
        <v>99.25</v>
      </c>
      <c r="AW20" s="95">
        <f t="shared" si="16"/>
        <v>-0.6357664501</v>
      </c>
      <c r="AX20" s="101">
        <f>IF($A20="","",IFERROR(SUMPRODUCT(('Raw Data'!$B$2:$B$9999="Control")*('Raw Data'!$A$2:$A$9999=$A20)*('Raw Data'!$C$2:$C$9999=$C$3)*'Raw Data'!$D$2:$D$9999*'Raw Data'!$T$2:$T$9999)/SUMIFS('Raw Data'!$D:$D, 'Raw Data'!$B:$B, "Control", 'Raw Data'!$A:$A, $A20, 'Raw Data'!$C:$C, $C$3),""))</f>
        <v>184.5</v>
      </c>
      <c r="AY20" s="101">
        <f>IF($A20="","",IFERROR(SUMPRODUCT(('Raw Data'!$B$2:$B$9999="Variant")*('Raw Data'!$A$2:$A$9999=$A20)*('Raw Data'!$C$2:$C$9999=$C$3)*'Raw Data'!$D$2:$D$9999*'Raw Data'!$T$2:$T$9999)/SUMIFS('Raw Data'!$D:$D, 'Raw Data'!$B:$B, "Variant", 'Raw Data'!$A:$A, $A20, 'Raw Data'!$C:$C, $C$3),""))</f>
        <v>300.42</v>
      </c>
      <c r="AZ20" s="105">
        <f t="shared" si="17"/>
        <v>0.6282926829</v>
      </c>
      <c r="BA20" s="101">
        <f>IF($A20="","",IFERROR(SUMPRODUCT(('Raw Data'!$B$2:$B$9999="Control")*('Raw Data'!$A$2:$A$9999=$A20)*('Raw Data'!$C$2:$C$9999=$C$3)*'Raw Data'!$D$2:$D$9999*'Raw Data'!$U$2:$U$9999)/SUMIFS('Raw Data'!$D:$D, 'Raw Data'!$B:$B, "Control", 'Raw Data'!$A:$A, $A20, 'Raw Data'!$C:$C, $C$3),""))</f>
        <v>668.93</v>
      </c>
      <c r="BB20" s="101">
        <f>IF($A20="","",IFERROR(SUMPRODUCT(('Raw Data'!$B$2:$B$9999="Variant")*('Raw Data'!$A$2:$A$9999=$A20)*('Raw Data'!$C$2:$C$9999=$C$3)*'Raw Data'!$D$2:$D$9999*'Raw Data'!$U$2:$U$9999)/SUMIFS('Raw Data'!$D:$D, 'Raw Data'!$B:$B, "Variant", 'Raw Data'!$A:$A, $A20, 'Raw Data'!$C:$C, $C$3),""))</f>
        <v>639.22</v>
      </c>
      <c r="BC20" s="95">
        <f t="shared" si="18"/>
        <v>-0.04441421374</v>
      </c>
      <c r="BD20" s="101">
        <f>IF($A20="","",IFERROR(SUMPRODUCT(('Raw Data'!$B$2:$B$9999="Control")*('Raw Data'!$A$2:$A$9999=$A20)*('Raw Data'!$C$2:$C$9999=$C$3)*'Raw Data'!$D$2:$D$9999*'Raw Data'!$V$2:$V$9999)/SUMIFS('Raw Data'!$D:$D, 'Raw Data'!$B:$B, "Control", 'Raw Data'!$A:$A, $A20, 'Raw Data'!$C:$C, $C$3),""))</f>
        <v>855.49</v>
      </c>
      <c r="BE20" s="101">
        <f>IF($A20="","",IFERROR(SUMPRODUCT(('Raw Data'!$B$2:$B$9999="Variant")*('Raw Data'!$A$2:$A$9999=$A20)*('Raw Data'!$C$2:$C$9999=$C$3)*'Raw Data'!$D$2:$D$9999*'Raw Data'!$V$2:$V$9999)/SUMIFS('Raw Data'!$D:$D, 'Raw Data'!$B:$B, "Variant", 'Raw Data'!$A:$A, $A20, 'Raw Data'!$C:$C, $C$3),""))</f>
        <v>936.4</v>
      </c>
      <c r="BF20" s="95">
        <f t="shared" si="19"/>
        <v>0.09457737671</v>
      </c>
      <c r="BG20" s="101">
        <f>IF($A20="","",IFERROR(SUMPRODUCT(('Raw Data'!$B$2:$B$9999="Control")*('Raw Data'!$A$2:$A$9999=$A20)*('Raw Data'!$C$2:$C$9999=$C$3)*'Raw Data'!$D$2:$D$9999*('Raw Data'!$Q$2:$Q$9999-'Raw Data'!$V$2:$V$9999))/SUMIFS('Raw Data'!$D:$D, 'Raw Data'!$B:$B, "Control", 'Raw Data'!$A:$A, $A20, 'Raw Data'!$C:$C, $C$3),""))</f>
        <v>-2.06</v>
      </c>
      <c r="BH20" s="101">
        <f>IF($A20="","",IFERROR(SUMPRODUCT(('Raw Data'!$B$2:$B$9999="Variant")*('Raw Data'!$A$2:$A$9999=$A20)*('Raw Data'!$C$2:$C$9999=$C$3)*'Raw Data'!$D$2:$D$9999*('Raw Data'!$Q$2:$Q$9999-'Raw Data'!$V$2:$V$9999))/SUMIFS('Raw Data'!$D:$D, 'Raw Data'!$B:$B, "Variant", 'Raw Data'!$A:$A, $A20, 'Raw Data'!$C:$C, $C$3),""))</f>
        <v>3.24</v>
      </c>
      <c r="BI20" s="95">
        <f t="shared" si="20"/>
        <v>2.572815534</v>
      </c>
      <c r="BJ20" s="101">
        <f>IF($A20="","",IFERROR(SUMPRODUCT(('Raw Data'!$B$2:$B$9999="Control")*('Raw Data'!$A$2:$A$9999=$A20)*('Raw Data'!$C$2:$C$9999=$C$3)*'Raw Data'!$D$2:$D$9999*'Raw Data'!$W$2:$W$9999)/SUMIFS('Raw Data'!$D:$D, 'Raw Data'!$B:$B, "Control", 'Raw Data'!$A:$A, $A20, 'Raw Data'!$C:$C, $C$3),""))</f>
        <v>5.6388</v>
      </c>
      <c r="BK20" s="101">
        <f>IF($A20="","",IFERROR(SUMPRODUCT(('Raw Data'!$B$2:$B$9999="Variant")*('Raw Data'!$A$2:$A$9999=$A20)*('Raw Data'!$C$2:$C$9999=$C$3)*'Raw Data'!$D$2:$D$9999*'Raw Data'!$W$2:$W$9999)/SUMIFS('Raw Data'!$D:$D, 'Raw Data'!$B:$B, "Variant", 'Raw Data'!$A:$A, $A20, 'Raw Data'!$C:$C, $C$3),""))</f>
        <v>6.008</v>
      </c>
      <c r="BL20" s="95">
        <f t="shared" si="21"/>
        <v>0.06547492374</v>
      </c>
      <c r="BM20" s="102">
        <f>IF($A20="","",IFERROR(SUMPRODUCT(('Raw Data'!$B$2:$B$9999="Control")*('Raw Data'!$A$2:$A$9999=$A20)*('Raw Data'!$C$2:$C$9999=$C$3)*'Raw Data'!$D$2:$D$9999*'Raw Data'!$X$2:$X$9999)/SUMIFS('Raw Data'!$D:$D, 'Raw Data'!$B:$B, "Control", 'Raw Data'!$A:$A, $A20, 'Raw Data'!$C:$C, $C$3),""))</f>
        <v>21.62</v>
      </c>
      <c r="BN20" s="102">
        <f>IF($A20="","",IFERROR(SUMPRODUCT(('Raw Data'!$B$2:$B$9999="Variant")*('Raw Data'!$A$2:$A$9999=$A20)*('Raw Data'!$C$2:$C$9999=$C$3)*'Raw Data'!$D$2:$D$9999*'Raw Data'!$X$2:$X$9999)/SUMIFS('Raw Data'!$D:$D, 'Raw Data'!$B:$B, "Variant", 'Raw Data'!$A:$A, $A20, 'Raw Data'!$C:$C, $C$3),""))</f>
        <v>31.97</v>
      </c>
      <c r="BO20" s="105">
        <f t="shared" si="22"/>
        <v>0.4787234043</v>
      </c>
      <c r="BP20" s="94">
        <f>IF($A20="","",IFERROR(SUMPRODUCT(('Raw Data'!$B$2:$B$9999="Control")*('Raw Data'!$A$2:$A$9999=$A20)*('Raw Data'!$C$2:$C$9999=$C$3)*'Raw Data'!$D$2:$D$9999*'Raw Data'!$Y$2:$Y$9999)/SUMIFS('Raw Data'!$D:$D, 'Raw Data'!$B:$B, "Control", 'Raw Data'!$A:$A, $A20, 'Raw Data'!$C:$C, $C$3),""))</f>
        <v>364</v>
      </c>
      <c r="BQ20" s="94">
        <f>IF($A20="","",IFERROR(SUMPRODUCT(('Raw Data'!$B$2:$B$9999="Variant")*('Raw Data'!$A$2:$A$9999=$A20)*('Raw Data'!$C$2:$C$9999=$C$3)*'Raw Data'!$D$2:$D$9999*'Raw Data'!$Y$2:$Y$9999)/SUMIFS('Raw Data'!$D:$D, 'Raw Data'!$B:$B, "Variant", 'Raw Data'!$A:$A, $A20, 'Raw Data'!$C:$C, $C$3),""))</f>
        <v>280</v>
      </c>
      <c r="BR20" s="95">
        <f t="shared" si="23"/>
        <v>-0.2307692308</v>
      </c>
      <c r="BS20" s="94">
        <f>IF($A20="","",IFERROR(SUMPRODUCT(('Raw Data'!$B$2:$B$9999="Control")*('Raw Data'!$A$2:$A$9999=$A20)*('Raw Data'!$C$2:$C$9999=$C$3)*'Raw Data'!$D$2:$D$9999*'Raw Data'!$Z$2:$Z$9999)/SUMIFS('Raw Data'!$D:$D, 'Raw Data'!$B:$B, "Control", 'Raw Data'!$A:$A, $A20, 'Raw Data'!$C:$C, $C$3),""))</f>
        <v>2388</v>
      </c>
      <c r="BT20" s="94">
        <f>IF($A20="","",IFERROR(SUMPRODUCT(('Raw Data'!$B$2:$B$9999="Variant")*('Raw Data'!$A$2:$A$9999=$A20)*('Raw Data'!$C$2:$C$9999=$C$3)*'Raw Data'!$D$2:$D$9999*'Raw Data'!$Z$2:$Z$9999)/SUMIFS('Raw Data'!$D:$D, 'Raw Data'!$B:$B, "Variant", 'Raw Data'!$A:$A, $A20, 'Raw Data'!$C:$C, $C$3),""))</f>
        <v>2466</v>
      </c>
      <c r="BU20" s="95">
        <f t="shared" si="24"/>
        <v>0.03266331658</v>
      </c>
      <c r="BV20" s="94">
        <f>IF($A20="","",IFERROR(SUMPRODUCT(('Raw Data'!$B$2:$B$9999="Control")*('Raw Data'!$A$2:$A$9999=$A20)*('Raw Data'!$C$2:$C$9999=$C$3)*'Raw Data'!$D$2:$D$9999*'Raw Data'!$AA$2:$AA$9999)/SUMIFS('Raw Data'!$D:$D, 'Raw Data'!$B:$B, "Control", 'Raw Data'!$A:$A, $A20, 'Raw Data'!$C:$C, $C$3),""))</f>
        <v>8604</v>
      </c>
      <c r="BW20" s="94">
        <f>IF($A20="","",IFERROR(SUMPRODUCT(('Raw Data'!$B$2:$B$9999="Variant")*('Raw Data'!$A$2:$A$9999=$A20)*('Raw Data'!$C$2:$C$9999=$C$3)*'Raw Data'!$D$2:$D$9999*'Raw Data'!$AA$2:$AA$9999)/SUMIFS('Raw Data'!$D:$D, 'Raw Data'!$B:$B, "Variant", 'Raw Data'!$A:$A, $A20, 'Raw Data'!$C:$C, $C$3),""))</f>
        <v>8893</v>
      </c>
      <c r="BX20" s="95">
        <f t="shared" si="25"/>
        <v>0.03358902836</v>
      </c>
      <c r="BY20" s="101">
        <f>IF($A20="","",IFERROR(SUMPRODUCT(('Raw Data'!$B$2:$B$9999="Control")*('Raw Data'!$A$2:$A$9999=$A20)*('Raw Data'!$C$2:$C$9999=$C$3)*'Raw Data'!$D$2:$D$9999*'Raw Data'!$AB$2:$AB$9999)/SUMIFS('Raw Data'!$D:$D, 'Raw Data'!$B:$B, "Control", 'Raw Data'!$A:$A, $A20, 'Raw Data'!$C:$C, $C$3),""))</f>
        <v>63.0742</v>
      </c>
      <c r="BZ20" s="101">
        <f>IF($A20="","",IFERROR(SUMPRODUCT(('Raw Data'!$B$2:$B$9999="Variant")*('Raw Data'!$A$2:$A$9999=$A20)*('Raw Data'!$C$2:$C$9999=$C$3)*'Raw Data'!$D$2:$D$9999*'Raw Data'!$AB$2:$AB$9999)/SUMIFS('Raw Data'!$D:$D, 'Raw Data'!$B:$B, "Variant", 'Raw Data'!$A:$A, $A20, 'Raw Data'!$C:$C, $C$3),""))</f>
        <v>62.4476</v>
      </c>
      <c r="CA20" s="105">
        <f t="shared" si="26"/>
        <v>-0.009934331311</v>
      </c>
      <c r="CB20" s="101">
        <f>IF($A20="","",IFERROR(SUMPRODUCT(('Raw Data'!$B$2:$B$9999="Control")*('Raw Data'!$A$2:$A$9999=$A20)*('Raw Data'!$C$2:$C$9999=$C$3)*'Raw Data'!$D$2:$D$9999*'Raw Data'!$AC$2:$AC$9999)/SUMIFS('Raw Data'!$D:$D, 'Raw Data'!$B:$B, "Control", 'Raw Data'!$A:$A, $A20, 'Raw Data'!$C:$C, $C$3),""))</f>
        <v>0.8633</v>
      </c>
      <c r="CC20" s="101">
        <f>IF($A20="","",IFERROR(SUMPRODUCT(('Raw Data'!$B$2:$B$9999="Variant")*('Raw Data'!$A$2:$A$9999=$A20)*('Raw Data'!$C$2:$C$9999=$C$3)*'Raw Data'!$D$2:$D$9999*'Raw Data'!$AC$2:$AC$9999)/SUMIFS('Raw Data'!$D:$D, 'Raw Data'!$B:$B, "Variant", 'Raw Data'!$A:$A, $A20, 'Raw Data'!$C:$C, $C$3),""))</f>
        <v>0.8553</v>
      </c>
      <c r="CD20" s="105">
        <f t="shared" si="27"/>
        <v>-0.009266767057</v>
      </c>
      <c r="CE20" s="101">
        <f>IF($A20="","",IFERROR(SUMPRODUCT(('Raw Data'!$B$2:$B$9999="Control")*('Raw Data'!$A$2:$A$9999=$A20)*('Raw Data'!$C$2:$C$9999=$C$3)*'Raw Data'!$D$2:$D$9999*'Raw Data'!$AD$2:$AD$9999)/SUMIFS('Raw Data'!$D:$D, 'Raw Data'!$B:$B, "Control", 'Raw Data'!$A:$A, $A20, 'Raw Data'!$C:$C, $C$3),""))</f>
        <v>89.8</v>
      </c>
      <c r="CF20" s="101">
        <f>IF($A20="","",IFERROR(SUMPRODUCT(('Raw Data'!$B$2:$B$9999="Variant")*('Raw Data'!$A$2:$A$9999=$A20)*('Raw Data'!$C$2:$C$9999=$C$3)*'Raw Data'!$D$2:$D$9999*'Raw Data'!$AD$2:$AD$9999)/SUMIFS('Raw Data'!$D:$D, 'Raw Data'!$B:$B, "Variant", 'Raw Data'!$A:$A, $A20, 'Raw Data'!$C:$C, $C$3),""))</f>
        <v>88.97</v>
      </c>
      <c r="CG20" s="105">
        <f t="shared" si="28"/>
        <v>-0.009242761693</v>
      </c>
      <c r="CH20" s="101">
        <f>IF($A20="","",IFERROR(SUMPRODUCT(('Raw Data'!$B$2:$B$9999="Control")*('Raw Data'!$A$2:$A$9999=$A20)*('Raw Data'!$C$2:$C$9999=$C$3)*'Raw Data'!$D$2:$D$9999*'Raw Data'!$AE$2:$AE$9999)/SUMIFS('Raw Data'!$D:$D, 'Raw Data'!$B:$B, "Control", 'Raw Data'!$A:$A, $A20, 'Raw Data'!$C:$C, $C$3),""))</f>
        <v>37</v>
      </c>
      <c r="CI20" s="101">
        <f>IF($A20="","",IFERROR(SUMPRODUCT(('Raw Data'!$B$2:$B$9999="Variant")*('Raw Data'!$A$2:$A$9999=$A20)*('Raw Data'!$C$2:$C$9999=$C$3)*'Raw Data'!$D$2:$D$9999*'Raw Data'!$AE$2:$AE$9999)/SUMIFS('Raw Data'!$D:$D, 'Raw Data'!$B:$B, "Variant", 'Raw Data'!$A:$A, $A20, 'Raw Data'!$C:$C, $C$3),""))</f>
        <v>38</v>
      </c>
      <c r="CJ20" s="105">
        <f t="shared" si="29"/>
        <v>0.02702702703</v>
      </c>
      <c r="CK20" s="101">
        <f>IF($A20="","",IFERROR(SUMPRODUCT(('Raw Data'!$B$2:$B$9999="Control")*('Raw Data'!$A$2:$A$9999=$A20)*('Raw Data'!$C$2:$C$9999=$C$3)*'Raw Data'!$D$2:$D$9999*'Raw Data'!$AF$2:$AF$9999)/SUMIFS('Raw Data'!$D:$D, 'Raw Data'!$B:$B, "Control", 'Raw Data'!$A:$A, $A20, 'Raw Data'!$C:$C, $C$3),""))</f>
        <v>75</v>
      </c>
      <c r="CL20" s="101">
        <f>IF($A20="","",IFERROR(SUMPRODUCT(('Raw Data'!$B$2:$B$9999="Variant")*('Raw Data'!$A$2:$A$9999=$A20)*('Raw Data'!$C$2:$C$9999=$C$3)*'Raw Data'!$D$2:$D$9999*'Raw Data'!$AF$2:$AF$9999)/SUMIFS('Raw Data'!$D:$D, 'Raw Data'!$B:$B, "Variant", 'Raw Data'!$A:$A, $A20, 'Raw Data'!$C:$C, $C$3),""))</f>
        <v>78</v>
      </c>
      <c r="CM20" s="105">
        <f t="shared" si="30"/>
        <v>0.04</v>
      </c>
      <c r="CN20" s="101">
        <f>IF($A20="","",IFERROR(SUMPRODUCT(('Raw Data'!$B$2:$B$9999="Control")*('Raw Data'!$A$2:$A$9999=$A20)*('Raw Data'!$C$2:$C$9999=$C$3)*'Raw Data'!$D$2:$D$9999*'Raw Data'!$AG$2:$AG$9999)/SUMIFS('Raw Data'!$D:$D, 'Raw Data'!$B:$B, "Control", 'Raw Data'!$A:$A, $A20, 'Raw Data'!$C:$C, $C$3),""))</f>
        <v>123</v>
      </c>
      <c r="CO20" s="101">
        <f>IF($A20="","",IFERROR(SUMPRODUCT(('Raw Data'!$B$2:$B$9999="Variant")*('Raw Data'!$A$2:$A$9999=$A20)*('Raw Data'!$C$2:$C$9999=$C$3)*'Raw Data'!$D$2:$D$9999*'Raw Data'!$AG$2:$AG$9999)/SUMIFS('Raw Data'!$D:$D, 'Raw Data'!$B:$B, "Variant", 'Raw Data'!$A:$A, $A20, 'Raw Data'!$C:$C, $C$3),""))</f>
        <v>123</v>
      </c>
      <c r="CP20" s="105">
        <f t="shared" si="31"/>
        <v>0</v>
      </c>
      <c r="CQ20" s="101">
        <f>IF($A20="","",IFERROR(SUMPRODUCT(('Raw Data'!$B$2:$B$9999="Control")*('Raw Data'!$A$2:$A$9999=$A20)*('Raw Data'!$C$2:$C$9999=$C$3)*'Raw Data'!$D$2:$D$9999*'Raw Data'!$AH$2:$AH$9999)/SUMIFS('Raw Data'!$D:$D, 'Raw Data'!$B:$B, "Control", 'Raw Data'!$A:$A, $A20, 'Raw Data'!$C:$C, $C$3),""))</f>
        <v>182</v>
      </c>
      <c r="CR20" s="101">
        <f>IF($A20="","",IFERROR(SUMPRODUCT(('Raw Data'!$B$2:$B$9999="Variant")*('Raw Data'!$A$2:$A$9999=$A20)*('Raw Data'!$C$2:$C$9999=$C$3)*'Raw Data'!$D$2:$D$9999*'Raw Data'!$AH$2:$AH$9999)/SUMIFS('Raw Data'!$D:$D, 'Raw Data'!$B:$B, "Variant", 'Raw Data'!$A:$A, $A20, 'Raw Data'!$C:$C, $C$3),""))</f>
        <v>173</v>
      </c>
      <c r="CS20" s="105">
        <f t="shared" si="32"/>
        <v>-0.04945054945</v>
      </c>
      <c r="CT20" s="96">
        <f>IF($A20="","",IFERROR(SUMPRODUCT(('Raw Data'!$B$2:$B$9999="Control")*('Raw Data'!$A$2:$A$9999=$A20)*('Raw Data'!$C$2:$C$9999=$C$3)*'Raw Data'!$D$2:$D$9999*'Raw Data'!$AI$2:$AI$9999)/SUMIFS('Raw Data'!$D:$D, 'Raw Data'!$B:$B, "Control", 'Raw Data'!$A:$A, $A20, 'Raw Data'!$C:$C, $C$3),""))</f>
        <v>47.37</v>
      </c>
      <c r="CU20" s="96">
        <f>IF($A20="","",IFERROR(SUMPRODUCT(('Raw Data'!$B$2:$B$9999="Variant")*('Raw Data'!$A$2:$A$9999=$A20)*('Raw Data'!$C$2:$C$9999=$C$3)*'Raw Data'!$D$2:$D$9999*'Raw Data'!$AI$2:$AI$9999)/SUMIFS('Raw Data'!$D:$D, 'Raw Data'!$B:$B, "Variant", 'Raw Data'!$A:$A, $A20, 'Raw Data'!$C:$C, $C$3),""))</f>
        <v>49.37</v>
      </c>
      <c r="CV20" s="106">
        <f t="shared" si="33"/>
        <v>0.04222081486</v>
      </c>
      <c r="CW20" s="96">
        <f>IF($A20="","",IFERROR(SUMPRODUCT(('Raw Data'!$B$2:$B$9999="Control")*('Raw Data'!$A$2:$A$9999=$A20)*('Raw Data'!$C$2:$C$9999=$C$3)*'Raw Data'!$D$2:$D$9999*'Raw Data'!$AJ$2:$AJ$9999)/SUMIFS('Raw Data'!$D:$D, 'Raw Data'!$B:$B, "Control", 'Raw Data'!$A:$A, $A20, 'Raw Data'!$C:$C, $C$3),""))</f>
        <v>11.67</v>
      </c>
      <c r="CX20" s="96">
        <f>IF($A20="","",IFERROR(SUMPRODUCT(('Raw Data'!$B$2:$B$9999="Variant")*('Raw Data'!$A$2:$A$9999=$A20)*('Raw Data'!$C$2:$C$9999=$C$3)*'Raw Data'!$D$2:$D$9999*'Raw Data'!$AJ$2:$AJ$9999)/SUMIFS('Raw Data'!$D:$D, 'Raw Data'!$B:$B, "Variant", 'Raw Data'!$A:$A, $A20, 'Raw Data'!$C:$C, $C$3),""))</f>
        <v>10.25</v>
      </c>
      <c r="CY20" s="106">
        <f t="shared" si="34"/>
        <v>-0.1216795201</v>
      </c>
      <c r="CZ20" s="96">
        <f>IF($A20="","",IFERROR(SUMPRODUCT(('Raw Data'!$B$2:$B$9999="Control")*('Raw Data'!$A$2:$A$9999=$A20)*('Raw Data'!$C$2:$C$9999=$C$3)*'Raw Data'!$D$2:$D$9999*'Raw Data'!$AK$2:$AK$9999)/SUMIFS('Raw Data'!$D:$D, 'Raw Data'!$B:$B, "Control", 'Raw Data'!$A:$A, $A20, 'Raw Data'!$C:$C, $C$3),""))</f>
        <v>1.37</v>
      </c>
      <c r="DA20" s="96">
        <f>IF($A20="","",IFERROR(SUMPRODUCT(('Raw Data'!$B$2:$B$9999="Variant")*('Raw Data'!$A$2:$A$9999=$A20)*('Raw Data'!$C$2:$C$9999=$C$3)*'Raw Data'!$D$2:$D$9999*'Raw Data'!$AK$2:$AK$9999)/SUMIFS('Raw Data'!$D:$D, 'Raw Data'!$B:$B, "Variant", 'Raw Data'!$A:$A, $A20, 'Raw Data'!$C:$C, $C$3),""))</f>
        <v>1.67</v>
      </c>
      <c r="DB20" s="105">
        <f t="shared" si="35"/>
        <v>0.2189781022</v>
      </c>
      <c r="DC20" s="102">
        <f>IF($A20="","",IFERROR(SUMPRODUCT(('Raw Data'!$B$2:$B$9999="Control")*('Raw Data'!$A$2:$A$9999=$A20)*('Raw Data'!$C$2:$C$9999=$C$3)*'Raw Data'!$D$2:$D$9999*'Raw Data'!$AL$2:$AL$9999)/SUMIFS('Raw Data'!$D:$D, 'Raw Data'!$B:$B, "Control", 'Raw Data'!$A:$A, $A20, 'Raw Data'!$C:$C, $C$3),""))</f>
        <v>0.0778</v>
      </c>
      <c r="DD20" s="102">
        <f>IF($A20="","",IFERROR(SUMPRODUCT(('Raw Data'!$B$2:$B$9999="Variant")*('Raw Data'!$A$2:$A$9999=$A20)*('Raw Data'!$C$2:$C$9999=$C$3)*'Raw Data'!$D$2:$D$9999*'Raw Data'!$AL$2:$AL$9999)/SUMIFS('Raw Data'!$D:$D, 'Raw Data'!$B:$B, "Variant", 'Raw Data'!$A:$A, $A20, 'Raw Data'!$C:$C, $C$3),""))</f>
        <v>0.1172</v>
      </c>
      <c r="DE20" s="108">
        <f t="shared" si="36"/>
        <v>0.5064267352</v>
      </c>
      <c r="DF20" s="103"/>
      <c r="DG20" s="96">
        <f>IF($A20="","",IFERROR(SUMPRODUCT(('Raw Data'!$B$2:$B$9999="Variant")*('Raw Data'!$A$2:$A$9999=$A20)*('Raw Data'!$C$2:$C$9999=$C$3)*'Raw Data'!$D$2:$D$9999*'Raw Data'!$AM$2:$AM$9999)/SUMIFS('Raw Data'!$D:$D, 'Raw Data'!$B:$B, "Variant", 'Raw Data'!$A:$A, $A20, 'Raw Data'!$C:$C, $C$3),""))</f>
        <v>74.69</v>
      </c>
      <c r="DH20" s="104"/>
      <c r="DI20" s="103"/>
      <c r="DJ20" s="96">
        <f>IF($A20="","",IFERROR(SUMPRODUCT(('Raw Data'!$B$2:$B$9999="Variant")*('Raw Data'!$A$2:$A$9999=$A20)*('Raw Data'!$C$2:$C$9999=$C$3)*'Raw Data'!$D$2:$D$9999*'Raw Data'!$AN$2:$AN$9999)/SUMIFS('Raw Data'!$D:$D, 'Raw Data'!$B:$B, "Variant", 'Raw Data'!$A:$A, $A20, 'Raw Data'!$C:$C, $C$3),""))</f>
        <v>74.69</v>
      </c>
      <c r="DK20" s="104"/>
      <c r="DL20" s="103"/>
      <c r="DM20" s="96">
        <f>IF($A20="","",IFERROR(SUMPRODUCT(('Raw Data'!$B$2:$B$9999="Variant")*('Raw Data'!$A$2:$A$9999=$A20)*('Raw Data'!$C$2:$C$9999=$C$3)*'Raw Data'!$D$2:$D$9999*'Raw Data'!$AO$2:$AO$9999)/SUMIFS('Raw Data'!$D:$D, 'Raw Data'!$B:$B, "Variant", 'Raw Data'!$A:$A, $A20, 'Raw Data'!$C:$C, $C$3),""))</f>
        <v>53.77</v>
      </c>
      <c r="DN20" s="104"/>
      <c r="DO20" s="103"/>
      <c r="DP20" s="96">
        <f>IF($A20="","",IFERROR(SUMPRODUCT(('Raw Data'!$B$2:$B$9999="Variant")*('Raw Data'!$A$2:$A$9999=$A20)*('Raw Data'!$C$2:$C$9999=$C$3)*'Raw Data'!$D$2:$D$9999*'Raw Data'!$AP$2:$AP$9999)/SUMIFS('Raw Data'!$D:$D, 'Raw Data'!$B:$B, "Variant", 'Raw Data'!$A:$A, $A20, 'Raw Data'!$C:$C, $C$3),""))</f>
        <v>40.59</v>
      </c>
      <c r="DQ20" s="104"/>
      <c r="DR20" s="102">
        <f>IF($A20="","",IFERROR(SUMPRODUCT(('Raw Data'!$B$2:$B$9999="Control")*('Raw Data'!$A$2:$A$9999=$A20)*('Raw Data'!$C$2:$C$9999=$C$3)*'Raw Data'!$D$2:$D$9999*'Raw Data'!$AQ$2:$AQ$9999)/SUMIFS('Raw Data'!$D:$D, 'Raw Data'!$B:$B, "Control", 'Raw Data'!$A:$A, $A20, 'Raw Data'!$C:$C, $C$3),""))</f>
        <v>34.7529</v>
      </c>
      <c r="DS20" s="102">
        <f>IF($A20="","",IFERROR(SUMPRODUCT(('Raw Data'!$B$2:$B$9999="Variant")*('Raw Data'!$A$2:$A$9999=$A20)*('Raw Data'!$C$2:$C$9999=$C$3)*'Raw Data'!$D$2:$D$9999*'Raw Data'!$AQ$2:$AQ$9999)/SUMIFS('Raw Data'!$D:$D, 'Raw Data'!$B:$B, "Variant", 'Raw Data'!$A:$A, $A20, 'Raw Data'!$C:$C, $C$3),""))</f>
        <v>38.1444</v>
      </c>
      <c r="DT20" s="107">
        <f t="shared" si="37"/>
        <v>0.09758897819</v>
      </c>
      <c r="DU20" s="102">
        <f>IF($A20="","",IFERROR(SUMPRODUCT(('Raw Data'!$B$2:$B$9999="Control")*('Raw Data'!$A$2:$A$9999=$A20)*('Raw Data'!$C$2:$C$9999=$C$3)*'Raw Data'!$D$2:$D$9999*'Raw Data'!$AR$2:$AR$9999)/SUMIFS('Raw Data'!$D:$D, 'Raw Data'!$B:$B, "Control", 'Raw Data'!$A:$A, $A20, 'Raw Data'!$C:$C, $C$3),""))</f>
        <v>2.5446</v>
      </c>
      <c r="DV20" s="102">
        <f>IF($A20="","",IFERROR(SUMPRODUCT(('Raw Data'!$B$2:$B$9999="Variant")*('Raw Data'!$A$2:$A$9999=$A20)*('Raw Data'!$C$2:$C$9999=$C$3)*'Raw Data'!$D$2:$D$9999*'Raw Data'!$AR$2:$AR$9999)/SUMIFS('Raw Data'!$D:$D, 'Raw Data'!$B:$B, "Variant", 'Raw Data'!$A:$A, $A20, 'Raw Data'!$C:$C, $C$3),""))</f>
        <v>4.1276</v>
      </c>
      <c r="DW20" s="107">
        <f t="shared" si="38"/>
        <v>0.6221017056</v>
      </c>
      <c r="DX20" s="102">
        <f>IF($A20="","",IFERROR(SUMPRODUCT(('Raw Data'!$B$2:$B$9999="Control")*('Raw Data'!$A$2:$A$9999=$A20)*('Raw Data'!$C$2:$C$9999=$C$3)*'Raw Data'!$D$2:$D$9999*'Raw Data'!$AS$2:$AS$9999)/SUMIFS('Raw Data'!$D:$D, 'Raw Data'!$B:$B, "Control", 'Raw Data'!$A:$A, $A20, 'Raw Data'!$C:$C, $C$3),""))</f>
        <v>32.2082</v>
      </c>
      <c r="DY20" s="102">
        <f>IF($A20="","",IFERROR(SUMPRODUCT(('Raw Data'!$B$2:$B$9999="Variant")*('Raw Data'!$A$2:$A$9999=$A20)*('Raw Data'!$C$2:$C$9999=$C$3)*'Raw Data'!$D$2:$D$9999*'Raw Data'!$AS$2:$AS$9999)/SUMIFS('Raw Data'!$D:$D, 'Raw Data'!$B:$B, "Variant", 'Raw Data'!$A:$A, $A20, 'Raw Data'!$C:$C, $C$3),""))</f>
        <v>34.0167</v>
      </c>
      <c r="DZ20" s="107">
        <f t="shared" si="39"/>
        <v>0.05615029713</v>
      </c>
      <c r="EA20" s="102">
        <f>IF($A20="","",IFERROR(SUMPRODUCT(('Raw Data'!$B$2:$B$9999="Control")*('Raw Data'!$A$2:$A$9999=$A20)*('Raw Data'!$C$2:$C$9999=$C$3)*'Raw Data'!$D$2:$D$9999*'Raw Data'!$AT$2:$AT$9999)/SUMIFS('Raw Data'!$D:$D, 'Raw Data'!$B:$B, "Control", 'Raw Data'!$A:$A, $A20, 'Raw Data'!$C:$C, $C$3),""))</f>
        <v>32.4439</v>
      </c>
      <c r="EB20" s="102">
        <f>IF($A20="","",IFERROR(SUMPRODUCT(('Raw Data'!$B$2:$B$9999="Variant")*('Raw Data'!$A$2:$A$9999=$A20)*('Raw Data'!$C$2:$C$9999=$C$3)*'Raw Data'!$D$2:$D$9999*'Raw Data'!$AT$2:$AT$9999)/SUMIFS('Raw Data'!$D:$D, 'Raw Data'!$B:$B, "Variant", 'Raw Data'!$A:$A, $A20, 'Raw Data'!$C:$C, $C$3),""))</f>
        <v>34.7155</v>
      </c>
      <c r="EC20" s="107">
        <f t="shared" si="40"/>
        <v>0.07001624342</v>
      </c>
      <c r="ED20" s="102">
        <f>IF($A20="","",IFERROR(SUMPRODUCT(('Raw Data'!$B$2:$B$9999="Control")*('Raw Data'!$A$2:$A$9999=$A20)*('Raw Data'!$C$2:$C$9999=$C$3)*'Raw Data'!$D$2:$D$9999*('Raw Data'!$AQ$2:$AQ$9999-'Raw Data'!$AT$2:$AT$9999))/SUMIFS('Raw Data'!$D:$D, 'Raw Data'!$B:$B, "Control", 'Raw Data'!$A:$A, $A20, 'Raw Data'!$C:$C, $C$3),""))</f>
        <v>2.309</v>
      </c>
      <c r="EE20" s="102">
        <f>IF($A20="","",IFERROR(SUMPRODUCT(('Raw Data'!$B$2:$B$9999="Variant")*('Raw Data'!$A$2:$A$9999=$A20)*('Raw Data'!$C$2:$C$9999=$C$3)*'Raw Data'!$D$2:$D$9999*('Raw Data'!$AQ$2:$AQ$9999-'Raw Data'!$AT$2:$AT$9999))/SUMIFS('Raw Data'!$D:$D, 'Raw Data'!$B:$B, "Variant", 'Raw Data'!$A:$A, $A20, 'Raw Data'!$C:$C, $C$3),""))</f>
        <v>3.4289</v>
      </c>
      <c r="EF20" s="107">
        <f t="shared" si="41"/>
        <v>0.4850151581</v>
      </c>
      <c r="EG20" s="102">
        <f>IF($A20="","",IFERROR(SUMPRODUCT(('Raw Data'!$B$2:$B$9999="Control")*('Raw Data'!$A$2:$A$9999=$A20)*('Raw Data'!$C$2:$C$9999=$C$3)*'Raw Data'!$D$2:$D$9999*'Raw Data'!$AU$2:$AU$9999)/SUMIFS('Raw Data'!$D:$D, 'Raw Data'!$B:$B, "Control", 'Raw Data'!$A:$A, $A20, 'Raw Data'!$C:$C, $C$3),""))</f>
        <v>0.2138</v>
      </c>
      <c r="EH20" s="102">
        <f>IF($A20="","",IFERROR(SUMPRODUCT(('Raw Data'!$B$2:$B$9999="Variant")*('Raw Data'!$A$2:$A$9999=$A20)*('Raw Data'!$C$2:$C$9999=$C$3)*'Raw Data'!$D$2:$D$9999*'Raw Data'!$AU$2:$AU$9999)/SUMIFS('Raw Data'!$D:$D, 'Raw Data'!$B:$B, "Variant", 'Raw Data'!$A:$A, $A20, 'Raw Data'!$C:$C, $C$3),""))</f>
        <v>0.2227</v>
      </c>
      <c r="EI20" s="107">
        <f t="shared" si="42"/>
        <v>0.04162768943</v>
      </c>
    </row>
    <row r="21" ht="15.75" customHeight="1">
      <c r="A21" s="93">
        <v>46189.0</v>
      </c>
      <c r="B21" s="94">
        <f>IF($A21="","",SUMIFS('Raw Data'!$D:$D, 'Raw Data'!$B:$B, "Control", 'Raw Data'!$A:$A, $A21, 'Raw Data'!$C:$C, $C$3))</f>
        <v>443</v>
      </c>
      <c r="C21" s="94">
        <f>IF($A21="","",SUMIFS('Raw Data'!$D:$D, 'Raw Data'!$B:$B, "Variant", 'Raw Data'!$A:$A, $A21, 'Raw Data'!$C:$C, $C$3))</f>
        <v>510</v>
      </c>
      <c r="D21" s="95">
        <f t="shared" si="1"/>
        <v>0.151241535</v>
      </c>
      <c r="E21" s="96">
        <f>IF($A21="","",IFERROR(SUMPRODUCT(('Raw Data'!$B$2:$B$9999="Control")*('Raw Data'!$A$2:$A$9999=$A21)*('Raw Data'!$C$2:$C$9999=$C$3)*'Raw Data'!$D$2:$D$9999*'Raw Data'!$E$2:$E$9999)/SUMIFS('Raw Data'!$D:$D, 'Raw Data'!$B:$B, "Control", 'Raw Data'!$A:$A, $A21, 'Raw Data'!$C:$C, $C$3),""))</f>
        <v>0.52</v>
      </c>
      <c r="F21" s="96">
        <f>IF($A21="","",IFERROR(SUMPRODUCT(('Raw Data'!$B$2:$B$9999="Variant")*('Raw Data'!$A$2:$A$9999=$A21)*('Raw Data'!$C$2:$C$9999=$C$3)*'Raw Data'!$D$2:$D$9999*'Raw Data'!$E$2:$E$9999)/SUMIFS('Raw Data'!$D:$D, 'Raw Data'!$B:$B, "Variant", 'Raw Data'!$A:$A, $A21, 'Raw Data'!$C:$C, $C$3),""))</f>
        <v>0.6</v>
      </c>
      <c r="G21" s="95">
        <f t="shared" si="2"/>
        <v>0.1538461538</v>
      </c>
      <c r="H21" s="97">
        <f>IF($A21="","",SUMIFS('Raw Data'!$F:$F, 'Raw Data'!$B:$B, "Control", 'Raw Data'!$A:$A, $A21, 'Raw Data'!$C:$C, $C$3))</f>
        <v>1359.57</v>
      </c>
      <c r="I21" s="97">
        <f>IF($A21="","",SUMIFS('Raw Data'!$F:$F, 'Raw Data'!$B:$B, "Variant", 'Raw Data'!$A:$A, $A21, 'Raw Data'!$C:$C, $C$3))</f>
        <v>1758.59</v>
      </c>
      <c r="J21" s="105">
        <f t="shared" si="3"/>
        <v>0.2934898534</v>
      </c>
      <c r="K21" s="99">
        <f>IF($A21="","",IFERROR(SUMIFS('Raw Data'!$F:$F, 'Raw Data'!$B:$B, "Control", 'Raw Data'!$A:$A, $A21, 'Raw Data'!$C:$C, $C$3)/SUMIFS('Raw Data'!$D:$D, 'Raw Data'!$B:$B, "Control", 'Raw Data'!$A:$A, $A21, 'Raw Data'!$C:$C, $C$3),""))</f>
        <v>3.069006772</v>
      </c>
      <c r="L21" s="99">
        <f>IF($A21="","",IFERROR(SUMIFS('Raw Data'!$F:$F, 'Raw Data'!$B:$B, "Variant", 'Raw Data'!$A:$A, $A21, 'Raw Data'!$C:$C, $C$3)/SUMIFS('Raw Data'!$D:$D, 'Raw Data'!$B:$B, "Variant", 'Raw Data'!$A:$A, $A21, 'Raw Data'!$C:$C, $C$3),""))</f>
        <v>3.448215686</v>
      </c>
      <c r="M21" s="105">
        <f t="shared" si="4"/>
        <v>0.1235607942</v>
      </c>
      <c r="N21" s="96">
        <f>IF($A21="","",IFERROR(SUMPRODUCT(('Raw Data'!$B$2:$B$9999="Control")*('Raw Data'!$A$2:$A$9999=$A21)*('Raw Data'!$C$2:$C$9999=$C$3)*'Raw Data'!$D$2:$D$9999*'Raw Data'!$H$2:$H$9999/100)/SUMIFS('Raw Data'!$D:$D, 'Raw Data'!$B:$B, "Control", 'Raw Data'!$A:$A, $A21, 'Raw Data'!$C:$C, $C$3)*100,""))</f>
        <v>14.67</v>
      </c>
      <c r="O21" s="96">
        <f>IF($A21="","",IFERROR(SUMPRODUCT(('Raw Data'!$B$2:$B$9999="Variant")*('Raw Data'!$A$2:$A$9999=$A21)*('Raw Data'!$C$2:$C$9999=$C$3)*'Raw Data'!$D$2:$D$9999*'Raw Data'!$H$2:$H$9999/100)/SUMIFS('Raw Data'!$D:$D, 'Raw Data'!$B:$B, "Variant", 'Raw Data'!$A:$A, $A21, 'Raw Data'!$C:$C, $C$3)*100,""))</f>
        <v>14.71</v>
      </c>
      <c r="P21" s="105">
        <f t="shared" si="5"/>
        <v>0.002726653033</v>
      </c>
      <c r="Q21" s="99">
        <f>IF($A21="","",IFERROR(SUMIFS('Raw Data'!$F:$F, 'Raw Data'!$B:$B, "Control", 'Raw Data'!$A:$A, $A21, 'Raw Data'!$C:$C, $C$3)/SUMPRODUCT(('Raw Data'!$B$2:$B$9999="Control")*('Raw Data'!$A$2:$A$9999=$A21)*('Raw Data'!$C$2:$C$9999=$C$3)*'Raw Data'!$D$2:$D$9999*'Raw Data'!$H$2:$H$9999/100),""))</f>
        <v>20.92029156</v>
      </c>
      <c r="R21" s="99">
        <f>IF($A21="","",IFERROR(SUMIFS('Raw Data'!$F:$F, 'Raw Data'!$B:$B, "Variant", 'Raw Data'!$A:$A, $A21, 'Raw Data'!$C:$C, $C$3)/SUMPRODUCT(('Raw Data'!$B$2:$B$9999="Variant")*('Raw Data'!$A$2:$A$9999=$A21)*('Raw Data'!$C$2:$C$9999=$C$3)*'Raw Data'!$D$2:$D$9999*'Raw Data'!$H$2:$H$9999/100),""))</f>
        <v>23.4413031</v>
      </c>
      <c r="S21" s="106">
        <f t="shared" si="6"/>
        <v>0.1205055643</v>
      </c>
      <c r="T21" s="101">
        <f>IF($A21="","",IFERROR(SUMPRODUCT(('Raw Data'!$B$2:$B$9999="Control")*('Raw Data'!$A$2:$A$9999=$A21)*('Raw Data'!$C$2:$C$9999=$C$3)*'Raw Data'!$D$2:$D$9999*'Raw Data'!$J$2:$J$9999)/SUMIFS('Raw Data'!$D:$D, 'Raw Data'!$B:$B, "Control", 'Raw Data'!$A:$A, $A21, 'Raw Data'!$C:$C, $C$3),""))</f>
        <v>238.39</v>
      </c>
      <c r="U21" s="101">
        <f>IF($A21="","",IFERROR(SUMPRODUCT(('Raw Data'!$B$2:$B$9999="Variant")*('Raw Data'!$A$2:$A$9999=$A21)*('Raw Data'!$C$2:$C$9999=$C$3)*'Raw Data'!$D$2:$D$9999*'Raw Data'!$J$2:$J$9999)/SUMIFS('Raw Data'!$D:$D, 'Raw Data'!$B:$B, "Variant", 'Raw Data'!$A:$A, $A21, 'Raw Data'!$C:$C, $C$3),""))</f>
        <v>248.6</v>
      </c>
      <c r="V21" s="105">
        <f t="shared" si="7"/>
        <v>0.04282897773</v>
      </c>
      <c r="W21" s="101">
        <f>IF($A21="","",IFERROR(SUMPRODUCT(('Raw Data'!$B$2:$B$9999="Control")*('Raw Data'!$A$2:$A$9999=$A21)*('Raw Data'!$C$2:$C$9999=$C$3)*'Raw Data'!$D$2:$D$9999*'Raw Data'!$K$2:$K$9999)/SUMIFS('Raw Data'!$D:$D, 'Raw Data'!$B:$B, "Control", 'Raw Data'!$A:$A, $A21, 'Raw Data'!$C:$C, $C$3),""))</f>
        <v>146.4</v>
      </c>
      <c r="X21" s="101">
        <f>IF($A21="","",IFERROR(SUMPRODUCT(('Raw Data'!$B$2:$B$9999="Variant")*('Raw Data'!$A$2:$A$9999=$A21)*('Raw Data'!$C$2:$C$9999=$C$3)*'Raw Data'!$D$2:$D$9999*'Raw Data'!$K$2:$K$9999)/SUMIFS('Raw Data'!$D:$D, 'Raw Data'!$B:$B, "Variant", 'Raw Data'!$A:$A, $A21, 'Raw Data'!$C:$C, $C$3),""))</f>
        <v>149.45</v>
      </c>
      <c r="Y21" s="105">
        <f t="shared" si="8"/>
        <v>0.02083333333</v>
      </c>
      <c r="Z21" s="101">
        <f>IF($A21="","",IFERROR(SUMPRODUCT(('Raw Data'!$B$2:$B$9999="Control")*('Raw Data'!$A$2:$A$9999=$A21)*('Raw Data'!$C$2:$C$9999=$C$3)*'Raw Data'!$D$2:$D$9999*'Raw Data'!$L$2:$L$9999)/SUMIFS('Raw Data'!$D:$D, 'Raw Data'!$B:$B, "Control", 'Raw Data'!$A:$A, $A21, 'Raw Data'!$C:$C, $C$3),""))</f>
        <v>122.79</v>
      </c>
      <c r="AA21" s="101">
        <f>IF($A21="","",IFERROR(SUMPRODUCT(('Raw Data'!$B$2:$B$9999="Variant")*('Raw Data'!$A$2:$A$9999=$A21)*('Raw Data'!$C$2:$C$9999=$C$3)*'Raw Data'!$D$2:$D$9999*'Raw Data'!$L$2:$L$9999)/SUMIFS('Raw Data'!$D:$D, 'Raw Data'!$B:$B, "Variant", 'Raw Data'!$A:$A, $A21, 'Raw Data'!$C:$C, $C$3),""))</f>
        <v>126.7</v>
      </c>
      <c r="AB21" s="105">
        <f t="shared" si="9"/>
        <v>0.03184298396</v>
      </c>
      <c r="AC21" s="102">
        <f>IF($A21="","",IFERROR(SUMPRODUCT(('Raw Data'!$B$2:$B$9999="Control")*('Raw Data'!$A$2:$A$9999=$A21)*('Raw Data'!$C$2:$C$9999=$C$3)*'Raw Data'!$D$2:$D$9999*'Raw Data'!$M$2:$M$9999)/SUMIFS('Raw Data'!$D:$D, 'Raw Data'!$B:$B, "Control", 'Raw Data'!$A:$A, $A21, 'Raw Data'!$C:$C, $C$3),""))</f>
        <v>0.8387</v>
      </c>
      <c r="AD21" s="102">
        <f>IF($A21="","",IFERROR(SUMPRODUCT(('Raw Data'!$B$2:$B$9999="Variant")*('Raw Data'!$A$2:$A$9999=$A21)*('Raw Data'!$C$2:$C$9999=$C$3)*'Raw Data'!$D$2:$D$9999*'Raw Data'!$M$2:$M$9999)/SUMIFS('Raw Data'!$D:$D, 'Raw Data'!$B:$B, "Variant", 'Raw Data'!$A:$A, $A21, 'Raw Data'!$C:$C, $C$3),""))</f>
        <v>0.8478</v>
      </c>
      <c r="AE21" s="106">
        <f t="shared" si="10"/>
        <v>0.01085012519</v>
      </c>
      <c r="AF21" s="102">
        <f>IF($A21="","",IFERROR(SUMPRODUCT(('Raw Data'!$B$2:$B$9999="Control")*('Raw Data'!$A$2:$A$9999=$A21)*('Raw Data'!$C$2:$C$9999=$C$3)*'Raw Data'!$D$2:$D$9999*'Raw Data'!$N$2:$N$9999)/SUMIFS('Raw Data'!$D:$D, 'Raw Data'!$B:$B, "Control", 'Raw Data'!$A:$A, $A21, 'Raw Data'!$C:$C, $C$3),""))</f>
        <v>0.2956</v>
      </c>
      <c r="AG21" s="102">
        <f>IF($A21="","",IFERROR(SUMPRODUCT(('Raw Data'!$B$2:$B$9999="Variant")*('Raw Data'!$A$2:$A$9999=$A21)*('Raw Data'!$C$2:$C$9999=$C$3)*'Raw Data'!$D$2:$D$9999*'Raw Data'!$N$2:$N$9999)/SUMIFS('Raw Data'!$D:$D, 'Raw Data'!$B:$B, "Variant", 'Raw Data'!$A:$A, $A21, 'Raw Data'!$C:$C, $C$3),""))</f>
        <v>0.2904</v>
      </c>
      <c r="AH21" s="106">
        <f t="shared" si="11"/>
        <v>-0.01759133965</v>
      </c>
      <c r="AI21" s="102">
        <f>IF($A21="","",IFERROR(SUMPRODUCT(('Raw Data'!$B$2:$B$9999="Control")*('Raw Data'!$A$2:$A$9999=$A21)*('Raw Data'!$C$2:$C$9999=$C$3)*'Raw Data'!$D$2:$D$9999*'Raw Data'!$O$2:$O$9999)/SUMIFS('Raw Data'!$D:$D, 'Raw Data'!$B:$B, "Control", 'Raw Data'!$A:$A, $A21, 'Raw Data'!$C:$C, $C$3),""))</f>
        <v>0.2047</v>
      </c>
      <c r="AJ21" s="102">
        <f>IF($A21="","",IFERROR(SUMPRODUCT(('Raw Data'!$B$2:$B$9999="Variant")*('Raw Data'!$A$2:$A$9999=$A21)*('Raw Data'!$C$2:$C$9999=$C$3)*'Raw Data'!$D$2:$D$9999*'Raw Data'!$O$2:$O$9999)/SUMIFS('Raw Data'!$D:$D, 'Raw Data'!$B:$B, "Variant", 'Raw Data'!$A:$A, $A21, 'Raw Data'!$C:$C, $C$3),""))</f>
        <v>0.205</v>
      </c>
      <c r="AK21" s="106">
        <f t="shared" si="12"/>
        <v>0.001465559355</v>
      </c>
      <c r="AL21" s="101">
        <f>IF($A21="","",IFERROR(SUMPRODUCT(('Raw Data'!$B$2:$B$9999="Control")*('Raw Data'!$A$2:$A$9999=$A21)*('Raw Data'!$C$2:$C$9999=$C$3)*'Raw Data'!$D$2:$D$9999*'Raw Data'!$P$2:$P$9999)/SUMIFS('Raw Data'!$D:$D, 'Raw Data'!$B:$B, "Control", 'Raw Data'!$A:$A, $A21, 'Raw Data'!$C:$C, $C$3),""))</f>
        <v>1.1923</v>
      </c>
      <c r="AM21" s="101">
        <f>IF($A21="","",IFERROR(SUMPRODUCT(('Raw Data'!$B$2:$B$9999="Variant")*('Raw Data'!$A$2:$A$9999=$A21)*('Raw Data'!$C$2:$C$9999=$C$3)*'Raw Data'!$D$2:$D$9999*'Raw Data'!$P$2:$P$9999)/SUMIFS('Raw Data'!$D:$D, 'Raw Data'!$B:$B, "Variant", 'Raw Data'!$A:$A, $A21, 'Raw Data'!$C:$C, $C$3),""))</f>
        <v>1.1795</v>
      </c>
      <c r="AN21" s="106">
        <f t="shared" si="13"/>
        <v>-0.01073555313</v>
      </c>
      <c r="AO21" s="101">
        <f>IF($A21="","",IFERROR(SUMPRODUCT(('Raw Data'!$B$2:$B$9999="Control")*('Raw Data'!$A$2:$A$9999=$A21)*('Raw Data'!$C$2:$C$9999=$C$3)*'Raw Data'!$D$2:$D$9999*'Raw Data'!$Q$2:$Q$9999)/SUMIFS('Raw Data'!$D:$D, 'Raw Data'!$B:$B, "Control", 'Raw Data'!$A:$A, $A21, 'Raw Data'!$C:$C, $C$3),""))</f>
        <v>826.19</v>
      </c>
      <c r="AP21" s="101">
        <f>IF($A21="","",IFERROR(SUMPRODUCT(('Raw Data'!$B$2:$B$9999="Variant")*('Raw Data'!$A$2:$A$9999=$A21)*('Raw Data'!$C$2:$C$9999=$C$3)*'Raw Data'!$D$2:$D$9999*'Raw Data'!$Q$2:$Q$9999)/SUMIFS('Raw Data'!$D:$D, 'Raw Data'!$B:$B, "Variant", 'Raw Data'!$A:$A, $A21, 'Raw Data'!$C:$C, $C$3),""))</f>
        <v>812.99</v>
      </c>
      <c r="AQ21" s="95">
        <f t="shared" si="14"/>
        <v>-0.01597695445</v>
      </c>
      <c r="AR21" s="101">
        <f>IF($A21="","",IFERROR(SUMPRODUCT(('Raw Data'!$B$2:$B$9999="Control")*('Raw Data'!$A$2:$A$9999=$A21)*('Raw Data'!$C$2:$C$9999=$C$3)*'Raw Data'!$D$2:$D$9999*'Raw Data'!$R$2:$R$9999)/SUMIFS('Raw Data'!$D:$D, 'Raw Data'!$B:$B, "Control", 'Raw Data'!$A:$A, $A21, 'Raw Data'!$C:$C, $C$3),""))</f>
        <v>564.13</v>
      </c>
      <c r="AS21" s="101">
        <f>IF($A21="","",IFERROR(SUMPRODUCT(('Raw Data'!$B$2:$B$9999="Variant")*('Raw Data'!$A$2:$A$9999=$A21)*('Raw Data'!$C$2:$C$9999=$C$3)*'Raw Data'!$D$2:$D$9999*'Raw Data'!$R$2:$R$9999)/SUMIFS('Raw Data'!$D:$D, 'Raw Data'!$B:$B, "Variant", 'Raw Data'!$A:$A, $A21, 'Raw Data'!$C:$C, $C$3),""))</f>
        <v>716.34</v>
      </c>
      <c r="AT21" s="95">
        <f t="shared" si="15"/>
        <v>0.2698136954</v>
      </c>
      <c r="AU21" s="101">
        <f>IF($A21="","",IFERROR(SUMPRODUCT(('Raw Data'!$B$2:$B$9999="Control")*('Raw Data'!$A$2:$A$9999=$A21)*('Raw Data'!$C$2:$C$9999=$C$3)*'Raw Data'!$D$2:$D$9999*'Raw Data'!$S$2:$S$9999)/SUMIFS('Raw Data'!$D:$D, 'Raw Data'!$B:$B, "Control", 'Raw Data'!$A:$A, $A21, 'Raw Data'!$C:$C, $C$3),""))</f>
        <v>262.07</v>
      </c>
      <c r="AV21" s="101">
        <f>IF($A21="","",IFERROR(SUMPRODUCT(('Raw Data'!$B$2:$B$9999="Variant")*('Raw Data'!$A$2:$A$9999=$A21)*('Raw Data'!$C$2:$C$9999=$C$3)*'Raw Data'!$D$2:$D$9999*'Raw Data'!$S$2:$S$9999)/SUMIFS('Raw Data'!$D:$D, 'Raw Data'!$B:$B, "Variant", 'Raw Data'!$A:$A, $A21, 'Raw Data'!$C:$C, $C$3),""))</f>
        <v>96.66</v>
      </c>
      <c r="AW21" s="95">
        <f t="shared" si="16"/>
        <v>-0.6311672454</v>
      </c>
      <c r="AX21" s="101">
        <f>IF($A21="","",IFERROR(SUMPRODUCT(('Raw Data'!$B$2:$B$9999="Control")*('Raw Data'!$A$2:$A$9999=$A21)*('Raw Data'!$C$2:$C$9999=$C$3)*'Raw Data'!$D$2:$D$9999*'Raw Data'!$T$2:$T$9999)/SUMIFS('Raw Data'!$D:$D, 'Raw Data'!$B:$B, "Control", 'Raw Data'!$A:$A, $A21, 'Raw Data'!$C:$C, $C$3),""))</f>
        <v>207.56</v>
      </c>
      <c r="AY21" s="101">
        <f>IF($A21="","",IFERROR(SUMPRODUCT(('Raw Data'!$B$2:$B$9999="Variant")*('Raw Data'!$A$2:$A$9999=$A21)*('Raw Data'!$C$2:$C$9999=$C$3)*'Raw Data'!$D$2:$D$9999*'Raw Data'!$T$2:$T$9999)/SUMIFS('Raw Data'!$D:$D, 'Raw Data'!$B:$B, "Variant", 'Raw Data'!$A:$A, $A21, 'Raw Data'!$C:$C, $C$3),""))</f>
        <v>202.55</v>
      </c>
      <c r="AZ21" s="105">
        <f t="shared" si="17"/>
        <v>-0.02413759877</v>
      </c>
      <c r="BA21" s="101">
        <f>IF($A21="","",IFERROR(SUMPRODUCT(('Raw Data'!$B$2:$B$9999="Control")*('Raw Data'!$A$2:$A$9999=$A21)*('Raw Data'!$C$2:$C$9999=$C$3)*'Raw Data'!$D$2:$D$9999*'Raw Data'!$U$2:$U$9999)/SUMIFS('Raw Data'!$D:$D, 'Raw Data'!$B:$B, "Control", 'Raw Data'!$A:$A, $A21, 'Raw Data'!$C:$C, $C$3),""))</f>
        <v>618.63</v>
      </c>
      <c r="BB21" s="101">
        <f>IF($A21="","",IFERROR(SUMPRODUCT(('Raw Data'!$B$2:$B$9999="Variant")*('Raw Data'!$A$2:$A$9999=$A21)*('Raw Data'!$C$2:$C$9999=$C$3)*'Raw Data'!$D$2:$D$9999*'Raw Data'!$U$2:$U$9999)/SUMIFS('Raw Data'!$D:$D, 'Raw Data'!$B:$B, "Variant", 'Raw Data'!$A:$A, $A21, 'Raw Data'!$C:$C, $C$3),""))</f>
        <v>610.45</v>
      </c>
      <c r="BC21" s="95">
        <f t="shared" si="18"/>
        <v>-0.01322276644</v>
      </c>
      <c r="BD21" s="101">
        <f>IF($A21="","",IFERROR(SUMPRODUCT(('Raw Data'!$B$2:$B$9999="Control")*('Raw Data'!$A$2:$A$9999=$A21)*('Raw Data'!$C$2:$C$9999=$C$3)*'Raw Data'!$D$2:$D$9999*'Raw Data'!$V$2:$V$9999)/SUMIFS('Raw Data'!$D:$D, 'Raw Data'!$B:$B, "Control", 'Raw Data'!$A:$A, $A21, 'Raw Data'!$C:$C, $C$3),""))</f>
        <v>881.6</v>
      </c>
      <c r="BE21" s="101">
        <f>IF($A21="","",IFERROR(SUMPRODUCT(('Raw Data'!$B$2:$B$9999="Variant")*('Raw Data'!$A$2:$A$9999=$A21)*('Raw Data'!$C$2:$C$9999=$C$3)*'Raw Data'!$D$2:$D$9999*'Raw Data'!$V$2:$V$9999)/SUMIFS('Raw Data'!$D:$D, 'Raw Data'!$B:$B, "Variant", 'Raw Data'!$A:$A, $A21, 'Raw Data'!$C:$C, $C$3),""))</f>
        <v>849.12</v>
      </c>
      <c r="BF21" s="95">
        <f t="shared" si="19"/>
        <v>-0.03684210526</v>
      </c>
      <c r="BG21" s="101">
        <f>IF($A21="","",IFERROR(SUMPRODUCT(('Raw Data'!$B$2:$B$9999="Control")*('Raw Data'!$A$2:$A$9999=$A21)*('Raw Data'!$C$2:$C$9999=$C$3)*'Raw Data'!$D$2:$D$9999*('Raw Data'!$Q$2:$Q$9999-'Raw Data'!$V$2:$V$9999))/SUMIFS('Raw Data'!$D:$D, 'Raw Data'!$B:$B, "Control", 'Raw Data'!$A:$A, $A21, 'Raw Data'!$C:$C, $C$3),""))</f>
        <v>-55.41</v>
      </c>
      <c r="BH21" s="101">
        <f>IF($A21="","",IFERROR(SUMPRODUCT(('Raw Data'!$B$2:$B$9999="Variant")*('Raw Data'!$A$2:$A$9999=$A21)*('Raw Data'!$C$2:$C$9999=$C$3)*'Raw Data'!$D$2:$D$9999*('Raw Data'!$Q$2:$Q$9999-'Raw Data'!$V$2:$V$9999))/SUMIFS('Raw Data'!$D:$D, 'Raw Data'!$B:$B, "Variant", 'Raw Data'!$A:$A, $A21, 'Raw Data'!$C:$C, $C$3),""))</f>
        <v>-36.13</v>
      </c>
      <c r="BI21" s="95">
        <f t="shared" si="20"/>
        <v>0.3479516333</v>
      </c>
      <c r="BJ21" s="101">
        <f>IF($A21="","",IFERROR(SUMPRODUCT(('Raw Data'!$B$2:$B$9999="Control")*('Raw Data'!$A$2:$A$9999=$A21)*('Raw Data'!$C$2:$C$9999=$C$3)*'Raw Data'!$D$2:$D$9999*'Raw Data'!$W$2:$W$9999)/SUMIFS('Raw Data'!$D:$D, 'Raw Data'!$B:$B, "Control", 'Raw Data'!$A:$A, $A21, 'Raw Data'!$C:$C, $C$3),""))</f>
        <v>6.0218</v>
      </c>
      <c r="BK21" s="101">
        <f>IF($A21="","",IFERROR(SUMPRODUCT(('Raw Data'!$B$2:$B$9999="Variant")*('Raw Data'!$A$2:$A$9999=$A21)*('Raw Data'!$C$2:$C$9999=$C$3)*'Raw Data'!$D$2:$D$9999*'Raw Data'!$W$2:$W$9999)/SUMIFS('Raw Data'!$D:$D, 'Raw Data'!$B:$B, "Variant", 'Raw Data'!$A:$A, $A21, 'Raw Data'!$C:$C, $C$3),""))</f>
        <v>5.6817</v>
      </c>
      <c r="BL21" s="95">
        <f t="shared" si="21"/>
        <v>-0.05647812946</v>
      </c>
      <c r="BM21" s="102">
        <f>IF($A21="","",IFERROR(SUMPRODUCT(('Raw Data'!$B$2:$B$9999="Control")*('Raw Data'!$A$2:$A$9999=$A21)*('Raw Data'!$C$2:$C$9999=$C$3)*'Raw Data'!$D$2:$D$9999*'Raw Data'!$X$2:$X$9999)/SUMIFS('Raw Data'!$D:$D, 'Raw Data'!$B:$B, "Control", 'Raw Data'!$A:$A, $A21, 'Raw Data'!$C:$C, $C$3),""))</f>
        <v>25.12</v>
      </c>
      <c r="BN21" s="102">
        <f>IF($A21="","",IFERROR(SUMPRODUCT(('Raw Data'!$B$2:$B$9999="Variant")*('Raw Data'!$A$2:$A$9999=$A21)*('Raw Data'!$C$2:$C$9999=$C$3)*'Raw Data'!$D$2:$D$9999*'Raw Data'!$X$2:$X$9999)/SUMIFS('Raw Data'!$D:$D, 'Raw Data'!$B:$B, "Variant", 'Raw Data'!$A:$A, $A21, 'Raw Data'!$C:$C, $C$3),""))</f>
        <v>24.91</v>
      </c>
      <c r="BO21" s="105">
        <f t="shared" si="22"/>
        <v>-0.008359872611</v>
      </c>
      <c r="BP21" s="94">
        <f>IF($A21="","",IFERROR(SUMPRODUCT(('Raw Data'!$B$2:$B$9999="Control")*('Raw Data'!$A$2:$A$9999=$A21)*('Raw Data'!$C$2:$C$9999=$C$3)*'Raw Data'!$D$2:$D$9999*'Raw Data'!$Y$2:$Y$9999)/SUMIFS('Raw Data'!$D:$D, 'Raw Data'!$B:$B, "Control", 'Raw Data'!$A:$A, $A21, 'Raw Data'!$C:$C, $C$3),""))</f>
        <v>319</v>
      </c>
      <c r="BQ21" s="94">
        <f>IF($A21="","",IFERROR(SUMPRODUCT(('Raw Data'!$B$2:$B$9999="Variant")*('Raw Data'!$A$2:$A$9999=$A21)*('Raw Data'!$C$2:$C$9999=$C$3)*'Raw Data'!$D$2:$D$9999*'Raw Data'!$Y$2:$Y$9999)/SUMIFS('Raw Data'!$D:$D, 'Raw Data'!$B:$B, "Variant", 'Raw Data'!$A:$A, $A21, 'Raw Data'!$C:$C, $C$3),""))</f>
        <v>368</v>
      </c>
      <c r="BR21" s="95">
        <f t="shared" si="23"/>
        <v>0.1536050157</v>
      </c>
      <c r="BS21" s="94">
        <f>IF($A21="","",IFERROR(SUMPRODUCT(('Raw Data'!$B$2:$B$9999="Control")*('Raw Data'!$A$2:$A$9999=$A21)*('Raw Data'!$C$2:$C$9999=$C$3)*'Raw Data'!$D$2:$D$9999*'Raw Data'!$Z$2:$Z$9999)/SUMIFS('Raw Data'!$D:$D, 'Raw Data'!$B:$B, "Control", 'Raw Data'!$A:$A, $A21, 'Raw Data'!$C:$C, $C$3),""))</f>
        <v>2250</v>
      </c>
      <c r="BT21" s="94">
        <f>IF($A21="","",IFERROR(SUMPRODUCT(('Raw Data'!$B$2:$B$9999="Variant")*('Raw Data'!$A$2:$A$9999=$A21)*('Raw Data'!$C$2:$C$9999=$C$3)*'Raw Data'!$D$2:$D$9999*'Raw Data'!$Z$2:$Z$9999)/SUMIFS('Raw Data'!$D:$D, 'Raw Data'!$B:$B, "Variant", 'Raw Data'!$A:$A, $A21, 'Raw Data'!$C:$C, $C$3),""))</f>
        <v>2850</v>
      </c>
      <c r="BU21" s="95">
        <f t="shared" si="24"/>
        <v>0.2666666667</v>
      </c>
      <c r="BV21" s="94">
        <f>IF($A21="","",IFERROR(SUMPRODUCT(('Raw Data'!$B$2:$B$9999="Control")*('Raw Data'!$A$2:$A$9999=$A21)*('Raw Data'!$C$2:$C$9999=$C$3)*'Raw Data'!$D$2:$D$9999*'Raw Data'!$AA$2:$AA$9999)/SUMIFS('Raw Data'!$D:$D, 'Raw Data'!$B:$B, "Control", 'Raw Data'!$A:$A, $A21, 'Raw Data'!$C:$C, $C$3),""))</f>
        <v>8765</v>
      </c>
      <c r="BW21" s="94">
        <f>IF($A21="","",IFERROR(SUMPRODUCT(('Raw Data'!$B$2:$B$9999="Variant")*('Raw Data'!$A$2:$A$9999=$A21)*('Raw Data'!$C$2:$C$9999=$C$3)*'Raw Data'!$D$2:$D$9999*'Raw Data'!$AA$2:$AA$9999)/SUMIFS('Raw Data'!$D:$D, 'Raw Data'!$B:$B, "Variant", 'Raw Data'!$A:$A, $A21, 'Raw Data'!$C:$C, $C$3),""))</f>
        <v>11613</v>
      </c>
      <c r="BX21" s="95">
        <f t="shared" si="25"/>
        <v>0.3249286937</v>
      </c>
      <c r="BY21" s="101">
        <f>IF($A21="","",IFERROR(SUMPRODUCT(('Raw Data'!$B$2:$B$9999="Control")*('Raw Data'!$A$2:$A$9999=$A21)*('Raw Data'!$C$2:$C$9999=$C$3)*'Raw Data'!$D$2:$D$9999*'Raw Data'!$AB$2:$AB$9999)/SUMIFS('Raw Data'!$D:$D, 'Raw Data'!$B:$B, "Control", 'Raw Data'!$A:$A, $A21, 'Raw Data'!$C:$C, $C$3),""))</f>
        <v>63.1243</v>
      </c>
      <c r="BZ21" s="101">
        <f>IF($A21="","",IFERROR(SUMPRODUCT(('Raw Data'!$B$2:$B$9999="Variant")*('Raw Data'!$A$2:$A$9999=$A21)*('Raw Data'!$C$2:$C$9999=$C$3)*'Raw Data'!$D$2:$D$9999*'Raw Data'!$AB$2:$AB$9999)/SUMIFS('Raw Data'!$D:$D, 'Raw Data'!$B:$B, "Variant", 'Raw Data'!$A:$A, $A21, 'Raw Data'!$C:$C, $C$3),""))</f>
        <v>63.3409</v>
      </c>
      <c r="CA21" s="105">
        <f t="shared" si="26"/>
        <v>0.003431325179</v>
      </c>
      <c r="CB21" s="101">
        <f>IF($A21="","",IFERROR(SUMPRODUCT(('Raw Data'!$B$2:$B$9999="Control")*('Raw Data'!$A$2:$A$9999=$A21)*('Raw Data'!$C$2:$C$9999=$C$3)*'Raw Data'!$D$2:$D$9999*'Raw Data'!$AC$2:$AC$9999)/SUMIFS('Raw Data'!$D:$D, 'Raw Data'!$B:$B, "Control", 'Raw Data'!$A:$A, $A21, 'Raw Data'!$C:$C, $C$3),""))</f>
        <v>0.878</v>
      </c>
      <c r="CC21" s="101">
        <f>IF($A21="","",IFERROR(SUMPRODUCT(('Raw Data'!$B$2:$B$9999="Variant")*('Raw Data'!$A$2:$A$9999=$A21)*('Raw Data'!$C$2:$C$9999=$C$3)*'Raw Data'!$D$2:$D$9999*'Raw Data'!$AC$2:$AC$9999)/SUMIFS('Raw Data'!$D:$D, 'Raw Data'!$B:$B, "Variant", 'Raw Data'!$A:$A, $A21, 'Raw Data'!$C:$C, $C$3),""))</f>
        <v>0.8803</v>
      </c>
      <c r="CD21" s="105">
        <f t="shared" si="27"/>
        <v>0.002619589977</v>
      </c>
      <c r="CE21" s="101">
        <f>IF($A21="","",IFERROR(SUMPRODUCT(('Raw Data'!$B$2:$B$9999="Control")*('Raw Data'!$A$2:$A$9999=$A21)*('Raw Data'!$C$2:$C$9999=$C$3)*'Raw Data'!$D$2:$D$9999*'Raw Data'!$AD$2:$AD$9999)/SUMIFS('Raw Data'!$D:$D, 'Raw Data'!$B:$B, "Control", 'Raw Data'!$A:$A, $A21, 'Raw Data'!$C:$C, $C$3),""))</f>
        <v>83.63</v>
      </c>
      <c r="CF21" s="101">
        <f>IF($A21="","",IFERROR(SUMPRODUCT(('Raw Data'!$B$2:$B$9999="Variant")*('Raw Data'!$A$2:$A$9999=$A21)*('Raw Data'!$C$2:$C$9999=$C$3)*'Raw Data'!$D$2:$D$9999*'Raw Data'!$AD$2:$AD$9999)/SUMIFS('Raw Data'!$D:$D, 'Raw Data'!$B:$B, "Variant", 'Raw Data'!$A:$A, $A21, 'Raw Data'!$C:$C, $C$3),""))</f>
        <v>88.98</v>
      </c>
      <c r="CG21" s="105">
        <f t="shared" si="28"/>
        <v>0.06397225876</v>
      </c>
      <c r="CH21" s="101">
        <f>IF($A21="","",IFERROR(SUMPRODUCT(('Raw Data'!$B$2:$B$9999="Control")*('Raw Data'!$A$2:$A$9999=$A21)*('Raw Data'!$C$2:$C$9999=$C$3)*'Raw Data'!$D$2:$D$9999*'Raw Data'!$AE$2:$AE$9999)/SUMIFS('Raw Data'!$D:$D, 'Raw Data'!$B:$B, "Control", 'Raw Data'!$A:$A, $A21, 'Raw Data'!$C:$C, $C$3),""))</f>
        <v>31</v>
      </c>
      <c r="CI21" s="101">
        <f>IF($A21="","",IFERROR(SUMPRODUCT(('Raw Data'!$B$2:$B$9999="Variant")*('Raw Data'!$A$2:$A$9999=$A21)*('Raw Data'!$C$2:$C$9999=$C$3)*'Raw Data'!$D$2:$D$9999*'Raw Data'!$AE$2:$AE$9999)/SUMIFS('Raw Data'!$D:$D, 'Raw Data'!$B:$B, "Variant", 'Raw Data'!$A:$A, $A21, 'Raw Data'!$C:$C, $C$3),""))</f>
        <v>35</v>
      </c>
      <c r="CJ21" s="105">
        <f t="shared" si="29"/>
        <v>0.1290322581</v>
      </c>
      <c r="CK21" s="101">
        <f>IF($A21="","",IFERROR(SUMPRODUCT(('Raw Data'!$B$2:$B$9999="Control")*('Raw Data'!$A$2:$A$9999=$A21)*('Raw Data'!$C$2:$C$9999=$C$3)*'Raw Data'!$D$2:$D$9999*'Raw Data'!$AF$2:$AF$9999)/SUMIFS('Raw Data'!$D:$D, 'Raw Data'!$B:$B, "Control", 'Raw Data'!$A:$A, $A21, 'Raw Data'!$C:$C, $C$3),""))</f>
        <v>70</v>
      </c>
      <c r="CL21" s="101">
        <f>IF($A21="","",IFERROR(SUMPRODUCT(('Raw Data'!$B$2:$B$9999="Variant")*('Raw Data'!$A$2:$A$9999=$A21)*('Raw Data'!$C$2:$C$9999=$C$3)*'Raw Data'!$D$2:$D$9999*'Raw Data'!$AF$2:$AF$9999)/SUMIFS('Raw Data'!$D:$D, 'Raw Data'!$B:$B, "Variant", 'Raw Data'!$A:$A, $A21, 'Raw Data'!$C:$C, $C$3),""))</f>
        <v>78</v>
      </c>
      <c r="CM21" s="105">
        <f t="shared" si="30"/>
        <v>0.1142857143</v>
      </c>
      <c r="CN21" s="101">
        <f>IF($A21="","",IFERROR(SUMPRODUCT(('Raw Data'!$B$2:$B$9999="Control")*('Raw Data'!$A$2:$A$9999=$A21)*('Raw Data'!$C$2:$C$9999=$C$3)*'Raw Data'!$D$2:$D$9999*'Raw Data'!$AG$2:$AG$9999)/SUMIFS('Raw Data'!$D:$D, 'Raw Data'!$B:$B, "Control", 'Raw Data'!$A:$A, $A21, 'Raw Data'!$C:$C, $C$3),""))</f>
        <v>113</v>
      </c>
      <c r="CO21" s="101">
        <f>IF($A21="","",IFERROR(SUMPRODUCT(('Raw Data'!$B$2:$B$9999="Variant")*('Raw Data'!$A$2:$A$9999=$A21)*('Raw Data'!$C$2:$C$9999=$C$3)*'Raw Data'!$D$2:$D$9999*'Raw Data'!$AG$2:$AG$9999)/SUMIFS('Raw Data'!$D:$D, 'Raw Data'!$B:$B, "Variant", 'Raw Data'!$A:$A, $A21, 'Raw Data'!$C:$C, $C$3),""))</f>
        <v>126</v>
      </c>
      <c r="CP21" s="105">
        <f t="shared" si="31"/>
        <v>0.1150442478</v>
      </c>
      <c r="CQ21" s="101">
        <f>IF($A21="","",IFERROR(SUMPRODUCT(('Raw Data'!$B$2:$B$9999="Control")*('Raw Data'!$A$2:$A$9999=$A21)*('Raw Data'!$C$2:$C$9999=$C$3)*'Raw Data'!$D$2:$D$9999*'Raw Data'!$AH$2:$AH$9999)/SUMIFS('Raw Data'!$D:$D, 'Raw Data'!$B:$B, "Control", 'Raw Data'!$A:$A, $A21, 'Raw Data'!$C:$C, $C$3),""))</f>
        <v>177</v>
      </c>
      <c r="CR21" s="101">
        <f>IF($A21="","",IFERROR(SUMPRODUCT(('Raw Data'!$B$2:$B$9999="Variant")*('Raw Data'!$A$2:$A$9999=$A21)*('Raw Data'!$C$2:$C$9999=$C$3)*'Raw Data'!$D$2:$D$9999*'Raw Data'!$AH$2:$AH$9999)/SUMIFS('Raw Data'!$D:$D, 'Raw Data'!$B:$B, "Variant", 'Raw Data'!$A:$A, $A21, 'Raw Data'!$C:$C, $C$3),""))</f>
        <v>177</v>
      </c>
      <c r="CS21" s="105">
        <f t="shared" si="32"/>
        <v>0</v>
      </c>
      <c r="CT21" s="96">
        <f>IF($A21="","",IFERROR(SUMPRODUCT(('Raw Data'!$B$2:$B$9999="Control")*('Raw Data'!$A$2:$A$9999=$A21)*('Raw Data'!$C$2:$C$9999=$C$3)*'Raw Data'!$D$2:$D$9999*'Raw Data'!$AI$2:$AI$9999)/SUMIFS('Raw Data'!$D:$D, 'Raw Data'!$B:$B, "Control", 'Raw Data'!$A:$A, $A21, 'Raw Data'!$C:$C, $C$3),""))</f>
        <v>44.92</v>
      </c>
      <c r="CU21" s="96">
        <f>IF($A21="","",IFERROR(SUMPRODUCT(('Raw Data'!$B$2:$B$9999="Variant")*('Raw Data'!$A$2:$A$9999=$A21)*('Raw Data'!$C$2:$C$9999=$C$3)*'Raw Data'!$D$2:$D$9999*'Raw Data'!$AI$2:$AI$9999)/SUMIFS('Raw Data'!$D:$D, 'Raw Data'!$B:$B, "Variant", 'Raw Data'!$A:$A, $A21, 'Raw Data'!$C:$C, $C$3),""))</f>
        <v>49.41</v>
      </c>
      <c r="CV21" s="106">
        <f t="shared" si="33"/>
        <v>0.0999554764</v>
      </c>
      <c r="CW21" s="96">
        <f>IF($A21="","",IFERROR(SUMPRODUCT(('Raw Data'!$B$2:$B$9999="Control")*('Raw Data'!$A$2:$A$9999=$A21)*('Raw Data'!$C$2:$C$9999=$C$3)*'Raw Data'!$D$2:$D$9999*'Raw Data'!$AJ$2:$AJ$9999)/SUMIFS('Raw Data'!$D:$D, 'Raw Data'!$B:$B, "Control", 'Raw Data'!$A:$A, $A21, 'Raw Data'!$C:$C, $C$3),""))</f>
        <v>9.93</v>
      </c>
      <c r="CX21" s="96">
        <f>IF($A21="","",IFERROR(SUMPRODUCT(('Raw Data'!$B$2:$B$9999="Variant")*('Raw Data'!$A$2:$A$9999=$A21)*('Raw Data'!$C$2:$C$9999=$C$3)*'Raw Data'!$D$2:$D$9999*'Raw Data'!$AJ$2:$AJ$9999)/SUMIFS('Raw Data'!$D:$D, 'Raw Data'!$B:$B, "Variant", 'Raw Data'!$A:$A, $A21, 'Raw Data'!$C:$C, $C$3),""))</f>
        <v>11.57</v>
      </c>
      <c r="CY21" s="106">
        <f t="shared" si="34"/>
        <v>0.1651560926</v>
      </c>
      <c r="CZ21" s="96">
        <f>IF($A21="","",IFERROR(SUMPRODUCT(('Raw Data'!$B$2:$B$9999="Control")*('Raw Data'!$A$2:$A$9999=$A21)*('Raw Data'!$C$2:$C$9999=$C$3)*'Raw Data'!$D$2:$D$9999*'Raw Data'!$AK$2:$AK$9999)/SUMIFS('Raw Data'!$D:$D, 'Raw Data'!$B:$B, "Control", 'Raw Data'!$A:$A, $A21, 'Raw Data'!$C:$C, $C$3),""))</f>
        <v>1.13</v>
      </c>
      <c r="DA21" s="96">
        <f>IF($A21="","",IFERROR(SUMPRODUCT(('Raw Data'!$B$2:$B$9999="Variant")*('Raw Data'!$A$2:$A$9999=$A21)*('Raw Data'!$C$2:$C$9999=$C$3)*'Raw Data'!$D$2:$D$9999*'Raw Data'!$AK$2:$AK$9999)/SUMIFS('Raw Data'!$D:$D, 'Raw Data'!$B:$B, "Variant", 'Raw Data'!$A:$A, $A21, 'Raw Data'!$C:$C, $C$3),""))</f>
        <v>1.18</v>
      </c>
      <c r="DB21" s="105">
        <f t="shared" si="35"/>
        <v>0.04424778761</v>
      </c>
      <c r="DC21" s="102">
        <f>IF($A21="","",IFERROR(SUMPRODUCT(('Raw Data'!$B$2:$B$9999="Control")*('Raw Data'!$A$2:$A$9999=$A21)*('Raw Data'!$C$2:$C$9999=$C$3)*'Raw Data'!$D$2:$D$9999*'Raw Data'!$AL$2:$AL$9999)/SUMIFS('Raw Data'!$D:$D, 'Raw Data'!$B:$B, "Control", 'Raw Data'!$A:$A, $A21, 'Raw Data'!$C:$C, $C$3),""))</f>
        <v>0.0926</v>
      </c>
      <c r="DD21" s="102">
        <f>IF($A21="","",IFERROR(SUMPRODUCT(('Raw Data'!$B$2:$B$9999="Variant")*('Raw Data'!$A$2:$A$9999=$A21)*('Raw Data'!$C$2:$C$9999=$C$3)*'Raw Data'!$D$2:$D$9999*'Raw Data'!$AL$2:$AL$9999)/SUMIFS('Raw Data'!$D:$D, 'Raw Data'!$B:$B, "Variant", 'Raw Data'!$A:$A, $A21, 'Raw Data'!$C:$C, $C$3),""))</f>
        <v>0.0902</v>
      </c>
      <c r="DE21" s="106">
        <f t="shared" si="36"/>
        <v>-0.02591792657</v>
      </c>
      <c r="DF21" s="103"/>
      <c r="DG21" s="96">
        <f>IF($A21="","",IFERROR(SUMPRODUCT(('Raw Data'!$B$2:$B$9999="Variant")*('Raw Data'!$A$2:$A$9999=$A21)*('Raw Data'!$C$2:$C$9999=$C$3)*'Raw Data'!$D$2:$D$9999*'Raw Data'!$AM$2:$AM$9999)/SUMIFS('Raw Data'!$D:$D, 'Raw Data'!$B:$B, "Variant", 'Raw Data'!$A:$A, $A21, 'Raw Data'!$C:$C, $C$3),""))</f>
        <v>75.69</v>
      </c>
      <c r="DH21" s="104"/>
      <c r="DI21" s="103"/>
      <c r="DJ21" s="96">
        <f>IF($A21="","",IFERROR(SUMPRODUCT(('Raw Data'!$B$2:$B$9999="Variant")*('Raw Data'!$A$2:$A$9999=$A21)*('Raw Data'!$C$2:$C$9999=$C$3)*'Raw Data'!$D$2:$D$9999*'Raw Data'!$AN$2:$AN$9999)/SUMIFS('Raw Data'!$D:$D, 'Raw Data'!$B:$B, "Variant", 'Raw Data'!$A:$A, $A21, 'Raw Data'!$C:$C, $C$3),""))</f>
        <v>75.69</v>
      </c>
      <c r="DK21" s="104"/>
      <c r="DL21" s="103"/>
      <c r="DM21" s="96">
        <f>IF($A21="","",IFERROR(SUMPRODUCT(('Raw Data'!$B$2:$B$9999="Variant")*('Raw Data'!$A$2:$A$9999=$A21)*('Raw Data'!$C$2:$C$9999=$C$3)*'Raw Data'!$D$2:$D$9999*'Raw Data'!$AO$2:$AO$9999)/SUMIFS('Raw Data'!$D:$D, 'Raw Data'!$B:$B, "Variant", 'Raw Data'!$A:$A, $A21, 'Raw Data'!$C:$C, $C$3),""))</f>
        <v>56.47</v>
      </c>
      <c r="DN21" s="104"/>
      <c r="DO21" s="103"/>
      <c r="DP21" s="96">
        <f>IF($A21="","",IFERROR(SUMPRODUCT(('Raw Data'!$B$2:$B$9999="Variant")*('Raw Data'!$A$2:$A$9999=$A21)*('Raw Data'!$C$2:$C$9999=$C$3)*'Raw Data'!$D$2:$D$9999*'Raw Data'!$AP$2:$AP$9999)/SUMIFS('Raw Data'!$D:$D, 'Raw Data'!$B:$B, "Variant", 'Raw Data'!$A:$A, $A21, 'Raw Data'!$C:$C, $C$3),""))</f>
        <v>44.51</v>
      </c>
      <c r="DQ21" s="104"/>
      <c r="DR21" s="102">
        <f>IF($A21="","",IFERROR(SUMPRODUCT(('Raw Data'!$B$2:$B$9999="Control")*('Raw Data'!$A$2:$A$9999=$A21)*('Raw Data'!$C$2:$C$9999=$C$3)*'Raw Data'!$D$2:$D$9999*'Raw Data'!$AQ$2:$AQ$9999)/SUMIFS('Raw Data'!$D:$D, 'Raw Data'!$B:$B, "Control", 'Raw Data'!$A:$A, $A21, 'Raw Data'!$C:$C, $C$3),""))</f>
        <v>30.8014</v>
      </c>
      <c r="DS21" s="102">
        <f>IF($A21="","",IFERROR(SUMPRODUCT(('Raw Data'!$B$2:$B$9999="Variant")*('Raw Data'!$A$2:$A$9999=$A21)*('Raw Data'!$C$2:$C$9999=$C$3)*'Raw Data'!$D$2:$D$9999*'Raw Data'!$AQ$2:$AQ$9999)/SUMIFS('Raw Data'!$D:$D, 'Raw Data'!$B:$B, "Variant", 'Raw Data'!$A:$A, $A21, 'Raw Data'!$C:$C, $C$3),""))</f>
        <v>31.9431</v>
      </c>
      <c r="DT21" s="109">
        <f t="shared" si="37"/>
        <v>0.03706649698</v>
      </c>
      <c r="DU21" s="102">
        <f>IF($A21="","",IFERROR(SUMPRODUCT(('Raw Data'!$B$2:$B$9999="Control")*('Raw Data'!$A$2:$A$9999=$A21)*('Raw Data'!$C$2:$C$9999=$C$3)*'Raw Data'!$D$2:$D$9999*'Raw Data'!$AR$2:$AR$9999)/SUMIFS('Raw Data'!$D:$D, 'Raw Data'!$B:$B, "Control", 'Raw Data'!$A:$A, $A21, 'Raw Data'!$C:$C, $C$3),""))</f>
        <v>3.535</v>
      </c>
      <c r="DV21" s="102">
        <f>IF($A21="","",IFERROR(SUMPRODUCT(('Raw Data'!$B$2:$B$9999="Variant")*('Raw Data'!$A$2:$A$9999=$A21)*('Raw Data'!$C$2:$C$9999=$C$3)*'Raw Data'!$D$2:$D$9999*'Raw Data'!$AR$2:$AR$9999)/SUMIFS('Raw Data'!$D:$D, 'Raw Data'!$B:$B, "Variant", 'Raw Data'!$A:$A, $A21, 'Raw Data'!$C:$C, $C$3),""))</f>
        <v>2.3098</v>
      </c>
      <c r="DW21" s="109">
        <f t="shared" si="38"/>
        <v>-0.3465912306</v>
      </c>
      <c r="DX21" s="102">
        <f>IF($A21="","",IFERROR(SUMPRODUCT(('Raw Data'!$B$2:$B$9999="Control")*('Raw Data'!$A$2:$A$9999=$A21)*('Raw Data'!$C$2:$C$9999=$C$3)*'Raw Data'!$D$2:$D$9999*'Raw Data'!$AS$2:$AS$9999)/SUMIFS('Raw Data'!$D:$D, 'Raw Data'!$B:$B, "Control", 'Raw Data'!$A:$A, $A21, 'Raw Data'!$C:$C, $C$3),""))</f>
        <v>27.2664</v>
      </c>
      <c r="DY21" s="102">
        <f>IF($A21="","",IFERROR(SUMPRODUCT(('Raw Data'!$B$2:$B$9999="Variant")*('Raw Data'!$A$2:$A$9999=$A21)*('Raw Data'!$C$2:$C$9999=$C$3)*'Raw Data'!$D$2:$D$9999*'Raw Data'!$AS$2:$AS$9999)/SUMIFS('Raw Data'!$D:$D, 'Raw Data'!$B:$B, "Variant", 'Raw Data'!$A:$A, $A21, 'Raw Data'!$C:$C, $C$3),""))</f>
        <v>29.6333</v>
      </c>
      <c r="DZ21" s="110">
        <f t="shared" si="39"/>
        <v>0.08680647243</v>
      </c>
      <c r="EA21" s="102">
        <f>IF($A21="","",IFERROR(SUMPRODUCT(('Raw Data'!$B$2:$B$9999="Control")*('Raw Data'!$A$2:$A$9999=$A21)*('Raw Data'!$C$2:$C$9999=$C$3)*'Raw Data'!$D$2:$D$9999*'Raw Data'!$AT$2:$AT$9999)/SUMIFS('Raw Data'!$D:$D, 'Raw Data'!$B:$B, "Control", 'Raw Data'!$A:$A, $A21, 'Raw Data'!$C:$C, $C$3),""))</f>
        <v>34.5214</v>
      </c>
      <c r="EB21" s="102">
        <f>IF($A21="","",IFERROR(SUMPRODUCT(('Raw Data'!$B$2:$B$9999="Variant")*('Raw Data'!$A$2:$A$9999=$A21)*('Raw Data'!$C$2:$C$9999=$C$3)*'Raw Data'!$D$2:$D$9999*'Raw Data'!$AT$2:$AT$9999)/SUMIFS('Raw Data'!$D:$D, 'Raw Data'!$B:$B, "Variant", 'Raw Data'!$A:$A, $A21, 'Raw Data'!$C:$C, $C$3),""))</f>
        <v>34.6745</v>
      </c>
      <c r="EC21" s="109">
        <f t="shared" si="40"/>
        <v>0.004434930217</v>
      </c>
      <c r="ED21" s="102">
        <f>IF($A21="","",IFERROR(SUMPRODUCT(('Raw Data'!$B$2:$B$9999="Control")*('Raw Data'!$A$2:$A$9999=$A21)*('Raw Data'!$C$2:$C$9999=$C$3)*'Raw Data'!$D$2:$D$9999*('Raw Data'!$AQ$2:$AQ$9999-'Raw Data'!$AT$2:$AT$9999))/SUMIFS('Raw Data'!$D:$D, 'Raw Data'!$B:$B, "Control", 'Raw Data'!$A:$A, $A21, 'Raw Data'!$C:$C, $C$3),""))</f>
        <v>-3.72</v>
      </c>
      <c r="EE21" s="102">
        <f>IF($A21="","",IFERROR(SUMPRODUCT(('Raw Data'!$B$2:$B$9999="Variant")*('Raw Data'!$A$2:$A$9999=$A21)*('Raw Data'!$C$2:$C$9999=$C$3)*'Raw Data'!$D$2:$D$9999*('Raw Data'!$AQ$2:$AQ$9999-'Raw Data'!$AT$2:$AT$9999))/SUMIFS('Raw Data'!$D:$D, 'Raw Data'!$B:$B, "Variant", 'Raw Data'!$A:$A, $A21, 'Raw Data'!$C:$C, $C$3),""))</f>
        <v>-2.7314</v>
      </c>
      <c r="EF21" s="110">
        <f t="shared" si="41"/>
        <v>0.2657526882</v>
      </c>
      <c r="EG21" s="102">
        <f>IF($A21="","",IFERROR(SUMPRODUCT(('Raw Data'!$B$2:$B$9999="Control")*('Raw Data'!$A$2:$A$9999=$A21)*('Raw Data'!$C$2:$C$9999=$C$3)*'Raw Data'!$D$2:$D$9999*'Raw Data'!$AU$2:$AU$9999)/SUMIFS('Raw Data'!$D:$D, 'Raw Data'!$B:$B, "Control", 'Raw Data'!$A:$A, $A21, 'Raw Data'!$C:$C, $C$3),""))</f>
        <v>0.2358</v>
      </c>
      <c r="EH21" s="102">
        <f>IF($A21="","",IFERROR(SUMPRODUCT(('Raw Data'!$B$2:$B$9999="Variant")*('Raw Data'!$A$2:$A$9999=$A21)*('Raw Data'!$C$2:$C$9999=$C$3)*'Raw Data'!$D$2:$D$9999*'Raw Data'!$AU$2:$AU$9999)/SUMIFS('Raw Data'!$D:$D, 'Raw Data'!$B:$B, "Variant", 'Raw Data'!$A:$A, $A21, 'Raw Data'!$C:$C, $C$3),""))</f>
        <v>0.232</v>
      </c>
      <c r="EI21" s="109">
        <f t="shared" si="42"/>
        <v>-0.01611535199</v>
      </c>
    </row>
    <row r="22" ht="15.75" customHeight="1">
      <c r="A22" s="93">
        <v>46190.0</v>
      </c>
      <c r="B22" s="94">
        <f>IF($A22="","",SUMIFS('Raw Data'!$D:$D, 'Raw Data'!$B:$B, "Control", 'Raw Data'!$A:$A, $A22, 'Raw Data'!$C:$C, $C$3))</f>
        <v>449</v>
      </c>
      <c r="C22" s="94">
        <f>IF($A22="","",SUMIFS('Raw Data'!$D:$D, 'Raw Data'!$B:$B, "Variant", 'Raw Data'!$A:$A, $A22, 'Raw Data'!$C:$C, $C$3))</f>
        <v>484</v>
      </c>
      <c r="D22" s="95">
        <f t="shared" si="1"/>
        <v>0.07795100223</v>
      </c>
      <c r="E22" s="96">
        <f>IF($A22="","",IFERROR(SUMPRODUCT(('Raw Data'!$B$2:$B$9999="Control")*('Raw Data'!$A$2:$A$9999=$A22)*('Raw Data'!$C$2:$C$9999=$C$3)*'Raw Data'!$D$2:$D$9999*'Raw Data'!$E$2:$E$9999)/SUMIFS('Raw Data'!$D:$D, 'Raw Data'!$B:$B, "Control", 'Raw Data'!$A:$A, $A22, 'Raw Data'!$C:$C, $C$3),""))</f>
        <v>0.54</v>
      </c>
      <c r="F22" s="96">
        <f>IF($A22="","",IFERROR(SUMPRODUCT(('Raw Data'!$B$2:$B$9999="Variant")*('Raw Data'!$A$2:$A$9999=$A22)*('Raw Data'!$C$2:$C$9999=$C$3)*'Raw Data'!$D$2:$D$9999*'Raw Data'!$E$2:$E$9999)/SUMIFS('Raw Data'!$D:$D, 'Raw Data'!$B:$B, "Variant", 'Raw Data'!$A:$A, $A22, 'Raw Data'!$C:$C, $C$3),""))</f>
        <v>0.58</v>
      </c>
      <c r="G22" s="95">
        <f t="shared" si="2"/>
        <v>0.07407407407</v>
      </c>
      <c r="H22" s="97">
        <f>IF($A22="","",SUMIFS('Raw Data'!$F:$F, 'Raw Data'!$B:$B, "Control", 'Raw Data'!$A:$A, $A22, 'Raw Data'!$C:$C, $C$3))</f>
        <v>1636.02</v>
      </c>
      <c r="I22" s="97">
        <f>IF($A22="","",SUMIFS('Raw Data'!$F:$F, 'Raw Data'!$B:$B, "Variant", 'Raw Data'!$A:$A, $A22, 'Raw Data'!$C:$C, $C$3))</f>
        <v>2285.35</v>
      </c>
      <c r="J22" s="105">
        <f t="shared" si="3"/>
        <v>0.396896126</v>
      </c>
      <c r="K22" s="99">
        <f>IF($A22="","",IFERROR(SUMIFS('Raw Data'!$F:$F, 'Raw Data'!$B:$B, "Control", 'Raw Data'!$A:$A, $A22, 'Raw Data'!$C:$C, $C$3)/SUMIFS('Raw Data'!$D:$D, 'Raw Data'!$B:$B, "Control", 'Raw Data'!$A:$A, $A22, 'Raw Data'!$C:$C, $C$3),""))</f>
        <v>3.643697105</v>
      </c>
      <c r="L22" s="99">
        <f>IF($A22="","",IFERROR(SUMIFS('Raw Data'!$F:$F, 'Raw Data'!$B:$B, "Variant", 'Raw Data'!$A:$A, $A22, 'Raw Data'!$C:$C, $C$3)/SUMIFS('Raw Data'!$D:$D, 'Raw Data'!$B:$B, "Variant", 'Raw Data'!$A:$A, $A22, 'Raw Data'!$C:$C, $C$3),""))</f>
        <v>4.721797521</v>
      </c>
      <c r="M22" s="105">
        <f t="shared" si="4"/>
        <v>0.2958809102</v>
      </c>
      <c r="N22" s="96">
        <f>IF($A22="","",IFERROR(SUMPRODUCT(('Raw Data'!$B$2:$B$9999="Control")*('Raw Data'!$A$2:$A$9999=$A22)*('Raw Data'!$C$2:$C$9999=$C$3)*'Raw Data'!$D$2:$D$9999*'Raw Data'!$H$2:$H$9999/100)/SUMIFS('Raw Data'!$D:$D, 'Raw Data'!$B:$B, "Control", 'Raw Data'!$A:$A, $A22, 'Raw Data'!$C:$C, $C$3)*100,""))</f>
        <v>14.92</v>
      </c>
      <c r="O22" s="96">
        <f>IF($A22="","",IFERROR(SUMPRODUCT(('Raw Data'!$B$2:$B$9999="Variant")*('Raw Data'!$A$2:$A$9999=$A22)*('Raw Data'!$C$2:$C$9999=$C$3)*'Raw Data'!$D$2:$D$9999*'Raw Data'!$H$2:$H$9999/100)/SUMIFS('Raw Data'!$D:$D, 'Raw Data'!$B:$B, "Variant", 'Raw Data'!$A:$A, $A22, 'Raw Data'!$C:$C, $C$3)*100,""))</f>
        <v>18.18</v>
      </c>
      <c r="P22" s="105">
        <f t="shared" si="5"/>
        <v>0.2184986595</v>
      </c>
      <c r="Q22" s="99">
        <f>IF($A22="","",IFERROR(SUMIFS('Raw Data'!$F:$F, 'Raw Data'!$B:$B, "Control", 'Raw Data'!$A:$A, $A22, 'Raw Data'!$C:$C, $C$3)/SUMPRODUCT(('Raw Data'!$B$2:$B$9999="Control")*('Raw Data'!$A$2:$A$9999=$A22)*('Raw Data'!$C$2:$C$9999=$C$3)*'Raw Data'!$D$2:$D$9999*'Raw Data'!$H$2:$H$9999/100),""))</f>
        <v>24.42156236</v>
      </c>
      <c r="R22" s="99">
        <f>IF($A22="","",IFERROR(SUMIFS('Raw Data'!$F:$F, 'Raw Data'!$B:$B, "Variant", 'Raw Data'!$A:$A, $A22, 'Raw Data'!$C:$C, $C$3)/SUMPRODUCT(('Raw Data'!$B$2:$B$9999="Variant")*('Raw Data'!$A$2:$A$9999=$A22)*('Raw Data'!$C$2:$C$9999=$C$3)*'Raw Data'!$D$2:$D$9999*'Raw Data'!$H$2:$H$9999/100),""))</f>
        <v>25.97248361</v>
      </c>
      <c r="S22" s="105">
        <f t="shared" si="6"/>
        <v>0.06350622557</v>
      </c>
      <c r="T22" s="101">
        <f>IF($A22="","",IFERROR(SUMPRODUCT(('Raw Data'!$B$2:$B$9999="Control")*('Raw Data'!$A$2:$A$9999=$A22)*('Raw Data'!$C$2:$C$9999=$C$3)*'Raw Data'!$D$2:$D$9999*'Raw Data'!$J$2:$J$9999)/SUMIFS('Raw Data'!$D:$D, 'Raw Data'!$B:$B, "Control", 'Raw Data'!$A:$A, $A22, 'Raw Data'!$C:$C, $C$3),""))</f>
        <v>249.62</v>
      </c>
      <c r="U22" s="101">
        <f>IF($A22="","",IFERROR(SUMPRODUCT(('Raw Data'!$B$2:$B$9999="Variant")*('Raw Data'!$A$2:$A$9999=$A22)*('Raw Data'!$C$2:$C$9999=$C$3)*'Raw Data'!$D$2:$D$9999*'Raw Data'!$J$2:$J$9999)/SUMIFS('Raw Data'!$D:$D, 'Raw Data'!$B:$B, "Variant", 'Raw Data'!$A:$A, $A22, 'Raw Data'!$C:$C, $C$3),""))</f>
        <v>253.51</v>
      </c>
      <c r="V22" s="105">
        <f t="shared" si="7"/>
        <v>0.0155836872</v>
      </c>
      <c r="W22" s="101">
        <f>IF($A22="","",IFERROR(SUMPRODUCT(('Raw Data'!$B$2:$B$9999="Control")*('Raw Data'!$A$2:$A$9999=$A22)*('Raw Data'!$C$2:$C$9999=$C$3)*'Raw Data'!$D$2:$D$9999*'Raw Data'!$K$2:$K$9999)/SUMIFS('Raw Data'!$D:$D, 'Raw Data'!$B:$B, "Control", 'Raw Data'!$A:$A, $A22, 'Raw Data'!$C:$C, $C$3),""))</f>
        <v>151.19</v>
      </c>
      <c r="X22" s="101">
        <f>IF($A22="","",IFERROR(SUMPRODUCT(('Raw Data'!$B$2:$B$9999="Variant")*('Raw Data'!$A$2:$A$9999=$A22)*('Raw Data'!$C$2:$C$9999=$C$3)*'Raw Data'!$D$2:$D$9999*'Raw Data'!$K$2:$K$9999)/SUMIFS('Raw Data'!$D:$D, 'Raw Data'!$B:$B, "Variant", 'Raw Data'!$A:$A, $A22, 'Raw Data'!$C:$C, $C$3),""))</f>
        <v>148.94</v>
      </c>
      <c r="Y22" s="105">
        <f t="shared" si="8"/>
        <v>-0.01488193664</v>
      </c>
      <c r="Z22" s="101">
        <f>IF($A22="","",IFERROR(SUMPRODUCT(('Raw Data'!$B$2:$B$9999="Control")*('Raw Data'!$A$2:$A$9999=$A22)*('Raw Data'!$C$2:$C$9999=$C$3)*'Raw Data'!$D$2:$D$9999*'Raw Data'!$L$2:$L$9999)/SUMIFS('Raw Data'!$D:$D, 'Raw Data'!$B:$B, "Control", 'Raw Data'!$A:$A, $A22, 'Raw Data'!$C:$C, $C$3),""))</f>
        <v>125.71</v>
      </c>
      <c r="AA22" s="101">
        <f>IF($A22="","",IFERROR(SUMPRODUCT(('Raw Data'!$B$2:$B$9999="Variant")*('Raw Data'!$A$2:$A$9999=$A22)*('Raw Data'!$C$2:$C$9999=$C$3)*'Raw Data'!$D$2:$D$9999*'Raw Data'!$L$2:$L$9999)/SUMIFS('Raw Data'!$D:$D, 'Raw Data'!$B:$B, "Variant", 'Raw Data'!$A:$A, $A22, 'Raw Data'!$C:$C, $C$3),""))</f>
        <v>123.52</v>
      </c>
      <c r="AB22" s="105">
        <f t="shared" si="9"/>
        <v>-0.01742104844</v>
      </c>
      <c r="AC22" s="102">
        <f>IF($A22="","",IFERROR(SUMPRODUCT(('Raw Data'!$B$2:$B$9999="Control")*('Raw Data'!$A$2:$A$9999=$A22)*('Raw Data'!$C$2:$C$9999=$C$3)*'Raw Data'!$D$2:$D$9999*'Raw Data'!$M$2:$M$9999)/SUMIFS('Raw Data'!$D:$D, 'Raw Data'!$B:$B, "Control", 'Raw Data'!$A:$A, $A22, 'Raw Data'!$C:$C, $C$3),""))</f>
        <v>0.8315</v>
      </c>
      <c r="AD22" s="102">
        <f>IF($A22="","",IFERROR(SUMPRODUCT(('Raw Data'!$B$2:$B$9999="Variant")*('Raw Data'!$A$2:$A$9999=$A22)*('Raw Data'!$C$2:$C$9999=$C$3)*'Raw Data'!$D$2:$D$9999*'Raw Data'!$M$2:$M$9999)/SUMIFS('Raw Data'!$D:$D, 'Raw Data'!$B:$B, "Variant", 'Raw Data'!$A:$A, $A22, 'Raw Data'!$C:$C, $C$3),""))</f>
        <v>0.8293</v>
      </c>
      <c r="AE22" s="106">
        <f t="shared" si="10"/>
        <v>-0.002645820806</v>
      </c>
      <c r="AF22" s="102">
        <f>IF($A22="","",IFERROR(SUMPRODUCT(('Raw Data'!$B$2:$B$9999="Control")*('Raw Data'!$A$2:$A$9999=$A22)*('Raw Data'!$C$2:$C$9999=$C$3)*'Raw Data'!$D$2:$D$9999*'Raw Data'!$N$2:$N$9999)/SUMIFS('Raw Data'!$D:$D, 'Raw Data'!$B:$B, "Control", 'Raw Data'!$A:$A, $A22, 'Raw Data'!$C:$C, $C$3),""))</f>
        <v>0.3018</v>
      </c>
      <c r="AG22" s="102">
        <f>IF($A22="","",IFERROR(SUMPRODUCT(('Raw Data'!$B$2:$B$9999="Variant")*('Raw Data'!$A$2:$A$9999=$A22)*('Raw Data'!$C$2:$C$9999=$C$3)*'Raw Data'!$D$2:$D$9999*'Raw Data'!$N$2:$N$9999)/SUMIFS('Raw Data'!$D:$D, 'Raw Data'!$B:$B, "Variant", 'Raw Data'!$A:$A, $A22, 'Raw Data'!$C:$C, $C$3),""))</f>
        <v>0.3053</v>
      </c>
      <c r="AH22" s="106">
        <f t="shared" si="11"/>
        <v>0.01159708416</v>
      </c>
      <c r="AI22" s="102">
        <f>IF($A22="","",IFERROR(SUMPRODUCT(('Raw Data'!$B$2:$B$9999="Control")*('Raw Data'!$A$2:$A$9999=$A22)*('Raw Data'!$C$2:$C$9999=$C$3)*'Raw Data'!$D$2:$D$9999*'Raw Data'!$O$2:$O$9999)/SUMIFS('Raw Data'!$D:$D, 'Raw Data'!$B:$B, "Control", 'Raw Data'!$A:$A, $A22, 'Raw Data'!$C:$C, $C$3),""))</f>
        <v>0.2047</v>
      </c>
      <c r="AJ22" s="102">
        <f>IF($A22="","",IFERROR(SUMPRODUCT(('Raw Data'!$B$2:$B$9999="Variant")*('Raw Data'!$A$2:$A$9999=$A22)*('Raw Data'!$C$2:$C$9999=$C$3)*'Raw Data'!$D$2:$D$9999*'Raw Data'!$O$2:$O$9999)/SUMIFS('Raw Data'!$D:$D, 'Raw Data'!$B:$B, "Variant", 'Raw Data'!$A:$A, $A22, 'Raw Data'!$C:$C, $C$3),""))</f>
        <v>0.2103</v>
      </c>
      <c r="AK22" s="105">
        <f t="shared" si="12"/>
        <v>0.02735710796</v>
      </c>
      <c r="AL22" s="101">
        <f>IF($A22="","",IFERROR(SUMPRODUCT(('Raw Data'!$B$2:$B$9999="Control")*('Raw Data'!$A$2:$A$9999=$A22)*('Raw Data'!$C$2:$C$9999=$C$3)*'Raw Data'!$D$2:$D$9999*'Raw Data'!$P$2:$P$9999)/SUMIFS('Raw Data'!$D:$D, 'Raw Data'!$B:$B, "Control", 'Raw Data'!$A:$A, $A22, 'Raw Data'!$C:$C, $C$3),""))</f>
        <v>1.2027</v>
      </c>
      <c r="AM22" s="101">
        <f>IF($A22="","",IFERROR(SUMPRODUCT(('Raw Data'!$B$2:$B$9999="Variant")*('Raw Data'!$A$2:$A$9999=$A22)*('Raw Data'!$C$2:$C$9999=$C$3)*'Raw Data'!$D$2:$D$9999*'Raw Data'!$P$2:$P$9999)/SUMIFS('Raw Data'!$D:$D, 'Raw Data'!$B:$B, "Variant", 'Raw Data'!$A:$A, $A22, 'Raw Data'!$C:$C, $C$3),""))</f>
        <v>1.2058</v>
      </c>
      <c r="AN22" s="105">
        <f t="shared" si="13"/>
        <v>0.002577533882</v>
      </c>
      <c r="AO22" s="101">
        <f>IF($A22="","",IFERROR(SUMPRODUCT(('Raw Data'!$B$2:$B$9999="Control")*('Raw Data'!$A$2:$A$9999=$A22)*('Raw Data'!$C$2:$C$9999=$C$3)*'Raw Data'!$D$2:$D$9999*'Raw Data'!$Q$2:$Q$9999)/SUMIFS('Raw Data'!$D:$D, 'Raw Data'!$B:$B, "Control", 'Raw Data'!$A:$A, $A22, 'Raw Data'!$C:$C, $C$3),""))</f>
        <v>670.85</v>
      </c>
      <c r="AP22" s="101">
        <f>IF($A22="","",IFERROR(SUMPRODUCT(('Raw Data'!$B$2:$B$9999="Variant")*('Raw Data'!$A$2:$A$9999=$A22)*('Raw Data'!$C$2:$C$9999=$C$3)*'Raw Data'!$D$2:$D$9999*'Raw Data'!$Q$2:$Q$9999)/SUMIFS('Raw Data'!$D:$D, 'Raw Data'!$B:$B, "Variant", 'Raw Data'!$A:$A, $A22, 'Raw Data'!$C:$C, $C$3),""))</f>
        <v>703.24</v>
      </c>
      <c r="AQ22" s="95">
        <f t="shared" si="14"/>
        <v>0.04828203026</v>
      </c>
      <c r="AR22" s="101">
        <f>IF($A22="","",IFERROR(SUMPRODUCT(('Raw Data'!$B$2:$B$9999="Control")*('Raw Data'!$A$2:$A$9999=$A22)*('Raw Data'!$C$2:$C$9999=$C$3)*'Raw Data'!$D$2:$D$9999*'Raw Data'!$R$2:$R$9999)/SUMIFS('Raw Data'!$D:$D, 'Raw Data'!$B:$B, "Control", 'Raw Data'!$A:$A, $A22, 'Raw Data'!$C:$C, $C$3),""))</f>
        <v>404.94</v>
      </c>
      <c r="AS22" s="101">
        <f>IF($A22="","",IFERROR(SUMPRODUCT(('Raw Data'!$B$2:$B$9999="Variant")*('Raw Data'!$A$2:$A$9999=$A22)*('Raw Data'!$C$2:$C$9999=$C$3)*'Raw Data'!$D$2:$D$9999*'Raw Data'!$R$2:$R$9999)/SUMIFS('Raw Data'!$D:$D, 'Raw Data'!$B:$B, "Variant", 'Raw Data'!$A:$A, $A22, 'Raw Data'!$C:$C, $C$3),""))</f>
        <v>608.14</v>
      </c>
      <c r="AT22" s="95">
        <f t="shared" si="15"/>
        <v>0.5018027362</v>
      </c>
      <c r="AU22" s="101">
        <f>IF($A22="","",IFERROR(SUMPRODUCT(('Raw Data'!$B$2:$B$9999="Control")*('Raw Data'!$A$2:$A$9999=$A22)*('Raw Data'!$C$2:$C$9999=$C$3)*'Raw Data'!$D$2:$D$9999*'Raw Data'!$S$2:$S$9999)/SUMIFS('Raw Data'!$D:$D, 'Raw Data'!$B:$B, "Control", 'Raw Data'!$A:$A, $A22, 'Raw Data'!$C:$C, $C$3),""))</f>
        <v>265.91</v>
      </c>
      <c r="AV22" s="101">
        <f>IF($A22="","",IFERROR(SUMPRODUCT(('Raw Data'!$B$2:$B$9999="Variant")*('Raw Data'!$A$2:$A$9999=$A22)*('Raw Data'!$C$2:$C$9999=$C$3)*'Raw Data'!$D$2:$D$9999*'Raw Data'!$S$2:$S$9999)/SUMIFS('Raw Data'!$D:$D, 'Raw Data'!$B:$B, "Variant", 'Raw Data'!$A:$A, $A22, 'Raw Data'!$C:$C, $C$3),""))</f>
        <v>95.1</v>
      </c>
      <c r="AW22" s="95">
        <f t="shared" si="16"/>
        <v>-0.6423601971</v>
      </c>
      <c r="AX22" s="101">
        <f>IF($A22="","",IFERROR(SUMPRODUCT(('Raw Data'!$B$2:$B$9999="Control")*('Raw Data'!$A$2:$A$9999=$A22)*('Raw Data'!$C$2:$C$9999=$C$3)*'Raw Data'!$D$2:$D$9999*'Raw Data'!$T$2:$T$9999)/SUMIFS('Raw Data'!$D:$D, 'Raw Data'!$B:$B, "Control", 'Raw Data'!$A:$A, $A22, 'Raw Data'!$C:$C, $C$3),""))</f>
        <v>226.06</v>
      </c>
      <c r="AY22" s="101">
        <f>IF($A22="","",IFERROR(SUMPRODUCT(('Raw Data'!$B$2:$B$9999="Variant")*('Raw Data'!$A$2:$A$9999=$A22)*('Raw Data'!$C$2:$C$9999=$C$3)*'Raw Data'!$D$2:$D$9999*'Raw Data'!$T$2:$T$9999)/SUMIFS('Raw Data'!$D:$D, 'Raw Data'!$B:$B, "Variant", 'Raw Data'!$A:$A, $A22, 'Raw Data'!$C:$C, $C$3),""))</f>
        <v>299.57</v>
      </c>
      <c r="AZ22" s="105">
        <f t="shared" si="17"/>
        <v>0.325179156</v>
      </c>
      <c r="BA22" s="101">
        <f>IF($A22="","",IFERROR(SUMPRODUCT(('Raw Data'!$B$2:$B$9999="Control")*('Raw Data'!$A$2:$A$9999=$A22)*('Raw Data'!$C$2:$C$9999=$C$3)*'Raw Data'!$D$2:$D$9999*'Raw Data'!$U$2:$U$9999)/SUMIFS('Raw Data'!$D:$D, 'Raw Data'!$B:$B, "Control", 'Raw Data'!$A:$A, $A22, 'Raw Data'!$C:$C, $C$3),""))</f>
        <v>444.79</v>
      </c>
      <c r="BB22" s="101">
        <f>IF($A22="","",IFERROR(SUMPRODUCT(('Raw Data'!$B$2:$B$9999="Variant")*('Raw Data'!$A$2:$A$9999=$A22)*('Raw Data'!$C$2:$C$9999=$C$3)*'Raw Data'!$D$2:$D$9999*'Raw Data'!$U$2:$U$9999)/SUMIFS('Raw Data'!$D:$D, 'Raw Data'!$B:$B, "Variant", 'Raw Data'!$A:$A, $A22, 'Raw Data'!$C:$C, $C$3),""))</f>
        <v>403.68</v>
      </c>
      <c r="BC22" s="95">
        <f t="shared" si="18"/>
        <v>-0.09242563907</v>
      </c>
      <c r="BD22" s="101">
        <f>IF($A22="","",IFERROR(SUMPRODUCT(('Raw Data'!$B$2:$B$9999="Control")*('Raw Data'!$A$2:$A$9999=$A22)*('Raw Data'!$C$2:$C$9999=$C$3)*'Raw Data'!$D$2:$D$9999*'Raw Data'!$V$2:$V$9999)/SUMIFS('Raw Data'!$D:$D, 'Raw Data'!$B:$B, "Control", 'Raw Data'!$A:$A, $A22, 'Raw Data'!$C:$C, $C$3),""))</f>
        <v>838.98</v>
      </c>
      <c r="BE22" s="101">
        <f>IF($A22="","",IFERROR(SUMPRODUCT(('Raw Data'!$B$2:$B$9999="Variant")*('Raw Data'!$A$2:$A$9999=$A22)*('Raw Data'!$C$2:$C$9999=$C$3)*'Raw Data'!$D$2:$D$9999*'Raw Data'!$V$2:$V$9999)/SUMIFS('Raw Data'!$D:$D, 'Raw Data'!$B:$B, "Variant", 'Raw Data'!$A:$A, $A22, 'Raw Data'!$C:$C, $C$3),""))</f>
        <v>821.49</v>
      </c>
      <c r="BF22" s="95">
        <f t="shared" si="19"/>
        <v>-0.02084674247</v>
      </c>
      <c r="BG22" s="101">
        <f>IF($A22="","",IFERROR(SUMPRODUCT(('Raw Data'!$B$2:$B$9999="Control")*('Raw Data'!$A$2:$A$9999=$A22)*('Raw Data'!$C$2:$C$9999=$C$3)*'Raw Data'!$D$2:$D$9999*('Raw Data'!$Q$2:$Q$9999-'Raw Data'!$V$2:$V$9999))/SUMIFS('Raw Data'!$D:$D, 'Raw Data'!$B:$B, "Control", 'Raw Data'!$A:$A, $A22, 'Raw Data'!$C:$C, $C$3),""))</f>
        <v>-168.13</v>
      </c>
      <c r="BH22" s="101">
        <f>IF($A22="","",IFERROR(SUMPRODUCT(('Raw Data'!$B$2:$B$9999="Variant")*('Raw Data'!$A$2:$A$9999=$A22)*('Raw Data'!$C$2:$C$9999=$C$3)*'Raw Data'!$D$2:$D$9999*('Raw Data'!$Q$2:$Q$9999-'Raw Data'!$V$2:$V$9999))/SUMIFS('Raw Data'!$D:$D, 'Raw Data'!$B:$B, "Variant", 'Raw Data'!$A:$A, $A22, 'Raw Data'!$C:$C, $C$3),""))</f>
        <v>-118.25</v>
      </c>
      <c r="BI22" s="95">
        <f t="shared" si="20"/>
        <v>0.2966751918</v>
      </c>
      <c r="BJ22" s="101">
        <f>IF($A22="","",IFERROR(SUMPRODUCT(('Raw Data'!$B$2:$B$9999="Control")*('Raw Data'!$A$2:$A$9999=$A22)*('Raw Data'!$C$2:$C$9999=$C$3)*'Raw Data'!$D$2:$D$9999*'Raw Data'!$W$2:$W$9999)/SUMIFS('Raw Data'!$D:$D, 'Raw Data'!$B:$B, "Control", 'Raw Data'!$A:$A, $A22, 'Raw Data'!$C:$C, $C$3),""))</f>
        <v>5.5493</v>
      </c>
      <c r="BK22" s="101">
        <f>IF($A22="","",IFERROR(SUMPRODUCT(('Raw Data'!$B$2:$B$9999="Variant")*('Raw Data'!$A$2:$A$9999=$A22)*('Raw Data'!$C$2:$C$9999=$C$3)*'Raw Data'!$D$2:$D$9999*'Raw Data'!$W$2:$W$9999)/SUMIFS('Raw Data'!$D:$D, 'Raw Data'!$B:$B, "Variant", 'Raw Data'!$A:$A, $A22, 'Raw Data'!$C:$C, $C$3),""))</f>
        <v>5.5154</v>
      </c>
      <c r="BL22" s="95">
        <f t="shared" si="21"/>
        <v>-0.006108878597</v>
      </c>
      <c r="BM22" s="102">
        <f>IF($A22="","",IFERROR(SUMPRODUCT(('Raw Data'!$B$2:$B$9999="Control")*('Raw Data'!$A$2:$A$9999=$A22)*('Raw Data'!$C$2:$C$9999=$C$3)*'Raw Data'!$D$2:$D$9999*'Raw Data'!$X$2:$X$9999)/SUMIFS('Raw Data'!$D:$D, 'Raw Data'!$B:$B, "Control", 'Raw Data'!$A:$A, $A22, 'Raw Data'!$C:$C, $C$3),""))</f>
        <v>33.7</v>
      </c>
      <c r="BN22" s="102">
        <f>IF($A22="","",IFERROR(SUMPRODUCT(('Raw Data'!$B$2:$B$9999="Variant")*('Raw Data'!$A$2:$A$9999=$A22)*('Raw Data'!$C$2:$C$9999=$C$3)*'Raw Data'!$D$2:$D$9999*'Raw Data'!$X$2:$X$9999)/SUMIFS('Raw Data'!$D:$D, 'Raw Data'!$B:$B, "Variant", 'Raw Data'!$A:$A, $A22, 'Raw Data'!$C:$C, $C$3),""))</f>
        <v>42.6</v>
      </c>
      <c r="BO22" s="105">
        <f t="shared" si="22"/>
        <v>0.2640949555</v>
      </c>
      <c r="BP22" s="94">
        <f>IF($A22="","",IFERROR(SUMPRODUCT(('Raw Data'!$B$2:$B$9999="Control")*('Raw Data'!$A$2:$A$9999=$A22)*('Raw Data'!$C$2:$C$9999=$C$3)*'Raw Data'!$D$2:$D$9999*'Raw Data'!$Y$2:$Y$9999)/SUMIFS('Raw Data'!$D:$D, 'Raw Data'!$B:$B, "Control", 'Raw Data'!$A:$A, $A22, 'Raw Data'!$C:$C, $C$3),""))</f>
        <v>273</v>
      </c>
      <c r="BQ22" s="94">
        <f>IF($A22="","",IFERROR(SUMPRODUCT(('Raw Data'!$B$2:$B$9999="Variant")*('Raw Data'!$A$2:$A$9999=$A22)*('Raw Data'!$C$2:$C$9999=$C$3)*'Raw Data'!$D$2:$D$9999*'Raw Data'!$Y$2:$Y$9999)/SUMIFS('Raw Data'!$D:$D, 'Raw Data'!$B:$B, "Variant", 'Raw Data'!$A:$A, $A22, 'Raw Data'!$C:$C, $C$3),""))</f>
        <v>281</v>
      </c>
      <c r="BR22" s="95">
        <f t="shared" si="23"/>
        <v>0.0293040293</v>
      </c>
      <c r="BS22" s="94">
        <f>IF($A22="","",IFERROR(SUMPRODUCT(('Raw Data'!$B$2:$B$9999="Control")*('Raw Data'!$A$2:$A$9999=$A22)*('Raw Data'!$C$2:$C$9999=$C$3)*'Raw Data'!$D$2:$D$9999*'Raw Data'!$Z$2:$Z$9999)/SUMIFS('Raw Data'!$D:$D, 'Raw Data'!$B:$B, "Control", 'Raw Data'!$A:$A, $A22, 'Raw Data'!$C:$C, $C$3),""))</f>
        <v>1973</v>
      </c>
      <c r="BT22" s="94">
        <f>IF($A22="","",IFERROR(SUMPRODUCT(('Raw Data'!$B$2:$B$9999="Variant")*('Raw Data'!$A$2:$A$9999=$A22)*('Raw Data'!$C$2:$C$9999=$C$3)*'Raw Data'!$D$2:$D$9999*'Raw Data'!$Z$2:$Z$9999)/SUMIFS('Raw Data'!$D:$D, 'Raw Data'!$B:$B, "Variant", 'Raw Data'!$A:$A, $A22, 'Raw Data'!$C:$C, $C$3),""))</f>
        <v>3066</v>
      </c>
      <c r="BU22" s="95">
        <f t="shared" si="24"/>
        <v>0.5539787126</v>
      </c>
      <c r="BV22" s="94">
        <f>IF($A22="","",IFERROR(SUMPRODUCT(('Raw Data'!$B$2:$B$9999="Control")*('Raw Data'!$A$2:$A$9999=$A22)*('Raw Data'!$C$2:$C$9999=$C$3)*'Raw Data'!$D$2:$D$9999*'Raw Data'!$AA$2:$AA$9999)/SUMIFS('Raw Data'!$D:$D, 'Raw Data'!$B:$B, "Control", 'Raw Data'!$A:$A, $A22, 'Raw Data'!$C:$C, $C$3),""))</f>
        <v>7806</v>
      </c>
      <c r="BW22" s="94">
        <f>IF($A22="","",IFERROR(SUMPRODUCT(('Raw Data'!$B$2:$B$9999="Variant")*('Raw Data'!$A$2:$A$9999=$A22)*('Raw Data'!$C$2:$C$9999=$C$3)*'Raw Data'!$D$2:$D$9999*'Raw Data'!$AA$2:$AA$9999)/SUMIFS('Raw Data'!$D:$D, 'Raw Data'!$B:$B, "Variant", 'Raw Data'!$A:$A, $A22, 'Raw Data'!$C:$C, $C$3),""))</f>
        <v>11645</v>
      </c>
      <c r="BX22" s="95">
        <f t="shared" si="25"/>
        <v>0.4918011786</v>
      </c>
      <c r="BY22" s="101">
        <f>IF($A22="","",IFERROR(SUMPRODUCT(('Raw Data'!$B$2:$B$9999="Control")*('Raw Data'!$A$2:$A$9999=$A22)*('Raw Data'!$C$2:$C$9999=$C$3)*'Raw Data'!$D$2:$D$9999*'Raw Data'!$AB$2:$AB$9999)/SUMIFS('Raw Data'!$D:$D, 'Raw Data'!$B:$B, "Control", 'Raw Data'!$A:$A, $A22, 'Raw Data'!$C:$C, $C$3),""))</f>
        <v>62.7079</v>
      </c>
      <c r="BZ22" s="101">
        <f>IF($A22="","",IFERROR(SUMPRODUCT(('Raw Data'!$B$2:$B$9999="Variant")*('Raw Data'!$A$2:$A$9999=$A22)*('Raw Data'!$C$2:$C$9999=$C$3)*'Raw Data'!$D$2:$D$9999*'Raw Data'!$AB$2:$AB$9999)/SUMIFS('Raw Data'!$D:$D, 'Raw Data'!$B:$B, "Variant", 'Raw Data'!$A:$A, $A22, 'Raw Data'!$C:$C, $C$3),""))</f>
        <v>62.8332</v>
      </c>
      <c r="CA22" s="105">
        <f t="shared" si="26"/>
        <v>0.001998153343</v>
      </c>
      <c r="CB22" s="101">
        <f>IF($A22="","",IFERROR(SUMPRODUCT(('Raw Data'!$B$2:$B$9999="Control")*('Raw Data'!$A$2:$A$9999=$A22)*('Raw Data'!$C$2:$C$9999=$C$3)*'Raw Data'!$D$2:$D$9999*'Raw Data'!$AC$2:$AC$9999)/SUMIFS('Raw Data'!$D:$D, 'Raw Data'!$B:$B, "Control", 'Raw Data'!$A:$A, $A22, 'Raw Data'!$C:$C, $C$3),""))</f>
        <v>0.8706</v>
      </c>
      <c r="CC22" s="101">
        <f>IF($A22="","",IFERROR(SUMPRODUCT(('Raw Data'!$B$2:$B$9999="Variant")*('Raw Data'!$A$2:$A$9999=$A22)*('Raw Data'!$C$2:$C$9999=$C$3)*'Raw Data'!$D$2:$D$9999*'Raw Data'!$AC$2:$AC$9999)/SUMIFS('Raw Data'!$D:$D, 'Raw Data'!$B:$B, "Variant", 'Raw Data'!$A:$A, $A22, 'Raw Data'!$C:$C, $C$3),""))</f>
        <v>0.8842</v>
      </c>
      <c r="CD22" s="105">
        <f t="shared" si="27"/>
        <v>0.01562141052</v>
      </c>
      <c r="CE22" s="101">
        <f>IF($A22="","",IFERROR(SUMPRODUCT(('Raw Data'!$B$2:$B$9999="Control")*('Raw Data'!$A$2:$A$9999=$A22)*('Raw Data'!$C$2:$C$9999=$C$3)*'Raw Data'!$D$2:$D$9999*'Raw Data'!$AD$2:$AD$9999)/SUMIFS('Raw Data'!$D:$D, 'Raw Data'!$B:$B, "Control", 'Raw Data'!$A:$A, $A22, 'Raw Data'!$C:$C, $C$3),""))</f>
        <v>83.06</v>
      </c>
      <c r="CF22" s="101">
        <f>IF($A22="","",IFERROR(SUMPRODUCT(('Raw Data'!$B$2:$B$9999="Variant")*('Raw Data'!$A$2:$A$9999=$A22)*('Raw Data'!$C$2:$C$9999=$C$3)*'Raw Data'!$D$2:$D$9999*'Raw Data'!$AD$2:$AD$9999)/SUMIFS('Raw Data'!$D:$D, 'Raw Data'!$B:$B, "Variant", 'Raw Data'!$A:$A, $A22, 'Raw Data'!$C:$C, $C$3),""))</f>
        <v>82.53</v>
      </c>
      <c r="CG22" s="105">
        <f t="shared" si="28"/>
        <v>-0.006380929449</v>
      </c>
      <c r="CH22" s="101">
        <f>IF($A22="","",IFERROR(SUMPRODUCT(('Raw Data'!$B$2:$B$9999="Control")*('Raw Data'!$A$2:$A$9999=$A22)*('Raw Data'!$C$2:$C$9999=$C$3)*'Raw Data'!$D$2:$D$9999*'Raw Data'!$AE$2:$AE$9999)/SUMIFS('Raw Data'!$D:$D, 'Raw Data'!$B:$B, "Control", 'Raw Data'!$A:$A, $A22, 'Raw Data'!$C:$C, $C$3),""))</f>
        <v>30</v>
      </c>
      <c r="CI22" s="101">
        <f>IF($A22="","",IFERROR(SUMPRODUCT(('Raw Data'!$B$2:$B$9999="Variant")*('Raw Data'!$A$2:$A$9999=$A22)*('Raw Data'!$C$2:$C$9999=$C$3)*'Raw Data'!$D$2:$D$9999*'Raw Data'!$AE$2:$AE$9999)/SUMIFS('Raw Data'!$D:$D, 'Raw Data'!$B:$B, "Variant", 'Raw Data'!$A:$A, $A22, 'Raw Data'!$C:$C, $C$3),""))</f>
        <v>31</v>
      </c>
      <c r="CJ22" s="106">
        <f t="shared" si="29"/>
        <v>0.03333333333</v>
      </c>
      <c r="CK22" s="101">
        <f>IF($A22="","",IFERROR(SUMPRODUCT(('Raw Data'!$B$2:$B$9999="Control")*('Raw Data'!$A$2:$A$9999=$A22)*('Raw Data'!$C$2:$C$9999=$C$3)*'Raw Data'!$D$2:$D$9999*'Raw Data'!$AF$2:$AF$9999)/SUMIFS('Raw Data'!$D:$D, 'Raw Data'!$B:$B, "Control", 'Raw Data'!$A:$A, $A22, 'Raw Data'!$C:$C, $C$3),""))</f>
        <v>72</v>
      </c>
      <c r="CL22" s="101">
        <f>IF($A22="","",IFERROR(SUMPRODUCT(('Raw Data'!$B$2:$B$9999="Variant")*('Raw Data'!$A$2:$A$9999=$A22)*('Raw Data'!$C$2:$C$9999=$C$3)*'Raw Data'!$D$2:$D$9999*'Raw Data'!$AF$2:$AF$9999)/SUMIFS('Raw Data'!$D:$D, 'Raw Data'!$B:$B, "Variant", 'Raw Data'!$A:$A, $A22, 'Raw Data'!$C:$C, $C$3),""))</f>
        <v>78</v>
      </c>
      <c r="CM22" s="105">
        <f t="shared" si="30"/>
        <v>0.08333333333</v>
      </c>
      <c r="CN22" s="101">
        <f>IF($A22="","",IFERROR(SUMPRODUCT(('Raw Data'!$B$2:$B$9999="Control")*('Raw Data'!$A$2:$A$9999=$A22)*('Raw Data'!$C$2:$C$9999=$C$3)*'Raw Data'!$D$2:$D$9999*'Raw Data'!$AG$2:$AG$9999)/SUMIFS('Raw Data'!$D:$D, 'Raw Data'!$B:$B, "Control", 'Raw Data'!$A:$A, $A22, 'Raw Data'!$C:$C, $C$3),""))</f>
        <v>121</v>
      </c>
      <c r="CO22" s="101">
        <f>IF($A22="","",IFERROR(SUMPRODUCT(('Raw Data'!$B$2:$B$9999="Variant")*('Raw Data'!$A$2:$A$9999=$A22)*('Raw Data'!$C$2:$C$9999=$C$3)*'Raw Data'!$D$2:$D$9999*'Raw Data'!$AG$2:$AG$9999)/SUMIFS('Raw Data'!$D:$D, 'Raw Data'!$B:$B, "Variant", 'Raw Data'!$A:$A, $A22, 'Raw Data'!$C:$C, $C$3),""))</f>
        <v>118</v>
      </c>
      <c r="CP22" s="105">
        <f t="shared" si="31"/>
        <v>-0.02479338843</v>
      </c>
      <c r="CQ22" s="101">
        <f>IF($A22="","",IFERROR(SUMPRODUCT(('Raw Data'!$B$2:$B$9999="Control")*('Raw Data'!$A$2:$A$9999=$A22)*('Raw Data'!$C$2:$C$9999=$C$3)*'Raw Data'!$D$2:$D$9999*'Raw Data'!$AH$2:$AH$9999)/SUMIFS('Raw Data'!$D:$D, 'Raw Data'!$B:$B, "Control", 'Raw Data'!$A:$A, $A22, 'Raw Data'!$C:$C, $C$3),""))</f>
        <v>163</v>
      </c>
      <c r="CR22" s="101">
        <f>IF($A22="","",IFERROR(SUMPRODUCT(('Raw Data'!$B$2:$B$9999="Variant")*('Raw Data'!$A$2:$A$9999=$A22)*('Raw Data'!$C$2:$C$9999=$C$3)*'Raw Data'!$D$2:$D$9999*'Raw Data'!$AH$2:$AH$9999)/SUMIFS('Raw Data'!$D:$D, 'Raw Data'!$B:$B, "Variant", 'Raw Data'!$A:$A, $A22, 'Raw Data'!$C:$C, $C$3),""))</f>
        <v>163</v>
      </c>
      <c r="CS22" s="105">
        <f t="shared" si="32"/>
        <v>0</v>
      </c>
      <c r="CT22" s="96">
        <f>IF($A22="","",IFERROR(SUMPRODUCT(('Raw Data'!$B$2:$B$9999="Control")*('Raw Data'!$A$2:$A$9999=$A22)*('Raw Data'!$C$2:$C$9999=$C$3)*'Raw Data'!$D$2:$D$9999*'Raw Data'!$AI$2:$AI$9999)/SUMIFS('Raw Data'!$D:$D, 'Raw Data'!$B:$B, "Control", 'Raw Data'!$A:$A, $A22, 'Raw Data'!$C:$C, $C$3),""))</f>
        <v>46.1</v>
      </c>
      <c r="CU22" s="96">
        <f>IF($A22="","",IFERROR(SUMPRODUCT(('Raw Data'!$B$2:$B$9999="Variant")*('Raw Data'!$A$2:$A$9999=$A22)*('Raw Data'!$C$2:$C$9999=$C$3)*'Raw Data'!$D$2:$D$9999*'Raw Data'!$AI$2:$AI$9999)/SUMIFS('Raw Data'!$D:$D, 'Raw Data'!$B:$B, "Variant", 'Raw Data'!$A:$A, $A22, 'Raw Data'!$C:$C, $C$3),""))</f>
        <v>48.76</v>
      </c>
      <c r="CV22" s="106">
        <f t="shared" si="33"/>
        <v>0.05770065076</v>
      </c>
      <c r="CW22" s="96">
        <f>IF($A22="","",IFERROR(SUMPRODUCT(('Raw Data'!$B$2:$B$9999="Control")*('Raw Data'!$A$2:$A$9999=$A22)*('Raw Data'!$C$2:$C$9999=$C$3)*'Raw Data'!$D$2:$D$9999*'Raw Data'!$AJ$2:$AJ$9999)/SUMIFS('Raw Data'!$D:$D, 'Raw Data'!$B:$B, "Control", 'Raw Data'!$A:$A, $A22, 'Raw Data'!$C:$C, $C$3),""))</f>
        <v>7.13</v>
      </c>
      <c r="CX22" s="96">
        <f>IF($A22="","",IFERROR(SUMPRODUCT(('Raw Data'!$B$2:$B$9999="Variant")*('Raw Data'!$A$2:$A$9999=$A22)*('Raw Data'!$C$2:$C$9999=$C$3)*'Raw Data'!$D$2:$D$9999*'Raw Data'!$AJ$2:$AJ$9999)/SUMIFS('Raw Data'!$D:$D, 'Raw Data'!$B:$B, "Variant", 'Raw Data'!$A:$A, $A22, 'Raw Data'!$C:$C, $C$3),""))</f>
        <v>8.06</v>
      </c>
      <c r="CY22" s="106">
        <f t="shared" si="34"/>
        <v>0.1304347826</v>
      </c>
      <c r="CZ22" s="96">
        <f>IF($A22="","",IFERROR(SUMPRODUCT(('Raw Data'!$B$2:$B$9999="Control")*('Raw Data'!$A$2:$A$9999=$A22)*('Raw Data'!$C$2:$C$9999=$C$3)*'Raw Data'!$D$2:$D$9999*'Raw Data'!$AK$2:$AK$9999)/SUMIFS('Raw Data'!$D:$D, 'Raw Data'!$B:$B, "Control", 'Raw Data'!$A:$A, $A22, 'Raw Data'!$C:$C, $C$3),""))</f>
        <v>0.89</v>
      </c>
      <c r="DA22" s="96">
        <f>IF($A22="","",IFERROR(SUMPRODUCT(('Raw Data'!$B$2:$B$9999="Variant")*('Raw Data'!$A$2:$A$9999=$A22)*('Raw Data'!$C$2:$C$9999=$C$3)*'Raw Data'!$D$2:$D$9999*'Raw Data'!$AK$2:$AK$9999)/SUMIFS('Raw Data'!$D:$D, 'Raw Data'!$B:$B, "Variant", 'Raw Data'!$A:$A, $A22, 'Raw Data'!$C:$C, $C$3),""))</f>
        <v>1.03</v>
      </c>
      <c r="DB22" s="105">
        <f t="shared" si="35"/>
        <v>0.1573033708</v>
      </c>
      <c r="DC22" s="102">
        <f>IF($A22="","",IFERROR(SUMPRODUCT(('Raw Data'!$B$2:$B$9999="Control")*('Raw Data'!$A$2:$A$9999=$A22)*('Raw Data'!$C$2:$C$9999=$C$3)*'Raw Data'!$D$2:$D$9999*'Raw Data'!$AL$2:$AL$9999)/SUMIFS('Raw Data'!$D:$D, 'Raw Data'!$B:$B, "Control", 'Raw Data'!$A:$A, $A22, 'Raw Data'!$C:$C, $C$3),""))</f>
        <v>0.0913</v>
      </c>
      <c r="DD22" s="102">
        <f>IF($A22="","",IFERROR(SUMPRODUCT(('Raw Data'!$B$2:$B$9999="Variant")*('Raw Data'!$A$2:$A$9999=$A22)*('Raw Data'!$C$2:$C$9999=$C$3)*'Raw Data'!$D$2:$D$9999*'Raw Data'!$AL$2:$AL$9999)/SUMIFS('Raw Data'!$D:$D, 'Raw Data'!$B:$B, "Variant", 'Raw Data'!$A:$A, $A22, 'Raw Data'!$C:$C, $C$3),""))</f>
        <v>0.1281</v>
      </c>
      <c r="DE22" s="106">
        <f t="shared" si="36"/>
        <v>0.4030668127</v>
      </c>
      <c r="DF22" s="103"/>
      <c r="DG22" s="96">
        <f>IF($A22="","",IFERROR(SUMPRODUCT(('Raw Data'!$B$2:$B$9999="Variant")*('Raw Data'!$A$2:$A$9999=$A22)*('Raw Data'!$C$2:$C$9999=$C$3)*'Raw Data'!$D$2:$D$9999*'Raw Data'!$AM$2:$AM$9999)/SUMIFS('Raw Data'!$D:$D, 'Raw Data'!$B:$B, "Variant", 'Raw Data'!$A:$A, $A22, 'Raw Data'!$C:$C, $C$3),""))</f>
        <v>73.97</v>
      </c>
      <c r="DH22" s="104"/>
      <c r="DI22" s="103"/>
      <c r="DJ22" s="96">
        <f>IF($A22="","",IFERROR(SUMPRODUCT(('Raw Data'!$B$2:$B$9999="Variant")*('Raw Data'!$A$2:$A$9999=$A22)*('Raw Data'!$C$2:$C$9999=$C$3)*'Raw Data'!$D$2:$D$9999*'Raw Data'!$AN$2:$AN$9999)/SUMIFS('Raw Data'!$D:$D, 'Raw Data'!$B:$B, "Variant", 'Raw Data'!$A:$A, $A22, 'Raw Data'!$C:$C, $C$3),""))</f>
        <v>73.97</v>
      </c>
      <c r="DK22" s="104"/>
      <c r="DL22" s="103"/>
      <c r="DM22" s="96">
        <f>IF($A22="","",IFERROR(SUMPRODUCT(('Raw Data'!$B$2:$B$9999="Variant")*('Raw Data'!$A$2:$A$9999=$A22)*('Raw Data'!$C$2:$C$9999=$C$3)*'Raw Data'!$D$2:$D$9999*'Raw Data'!$AO$2:$AO$9999)/SUMIFS('Raw Data'!$D:$D, 'Raw Data'!$B:$B, "Variant", 'Raw Data'!$A:$A, $A22, 'Raw Data'!$C:$C, $C$3),""))</f>
        <v>56.2</v>
      </c>
      <c r="DN22" s="104"/>
      <c r="DO22" s="103"/>
      <c r="DP22" s="96">
        <f>IF($A22="","",IFERROR(SUMPRODUCT(('Raw Data'!$B$2:$B$9999="Variant")*('Raw Data'!$A$2:$A$9999=$A22)*('Raw Data'!$C$2:$C$9999=$C$3)*'Raw Data'!$D$2:$D$9999*'Raw Data'!$AP$2:$AP$9999)/SUMIFS('Raw Data'!$D:$D, 'Raw Data'!$B:$B, "Variant", 'Raw Data'!$A:$A, $A22, 'Raw Data'!$C:$C, $C$3),""))</f>
        <v>46.28</v>
      </c>
      <c r="DQ22" s="104"/>
      <c r="DR22" s="102">
        <f>IF($A22="","",IFERROR(SUMPRODUCT(('Raw Data'!$B$2:$B$9999="Control")*('Raw Data'!$A$2:$A$9999=$A22)*('Raw Data'!$C$2:$C$9999=$C$3)*'Raw Data'!$D$2:$D$9999*'Raw Data'!$AQ$2:$AQ$9999)/SUMIFS('Raw Data'!$D:$D, 'Raw Data'!$B:$B, "Control", 'Raw Data'!$A:$A, $A22, 'Raw Data'!$C:$C, $C$3),""))</f>
        <v>31.2071</v>
      </c>
      <c r="DS22" s="102">
        <f>IF($A22="","",IFERROR(SUMPRODUCT(('Raw Data'!$B$2:$B$9999="Variant")*('Raw Data'!$A$2:$A$9999=$A22)*('Raw Data'!$C$2:$C$9999=$C$3)*'Raw Data'!$D$2:$D$9999*'Raw Data'!$AQ$2:$AQ$9999)/SUMIFS('Raw Data'!$D:$D, 'Raw Data'!$B:$B, "Variant", 'Raw Data'!$A:$A, $A22, 'Raw Data'!$C:$C, $C$3),""))</f>
        <v>32.4194</v>
      </c>
      <c r="DT22" s="109">
        <f t="shared" si="37"/>
        <v>0.03884692906</v>
      </c>
      <c r="DU22" s="102">
        <f>IF($A22="","",IFERROR(SUMPRODUCT(('Raw Data'!$B$2:$B$9999="Control")*('Raw Data'!$A$2:$A$9999=$A22)*('Raw Data'!$C$2:$C$9999=$C$3)*'Raw Data'!$D$2:$D$9999*'Raw Data'!$AR$2:$AR$9999)/SUMIFS('Raw Data'!$D:$D, 'Raw Data'!$B:$B, "Control", 'Raw Data'!$A:$A, $A22, 'Raw Data'!$C:$C, $C$3),""))</f>
        <v>3.5479</v>
      </c>
      <c r="DV22" s="102">
        <f>IF($A22="","",IFERROR(SUMPRODUCT(('Raw Data'!$B$2:$B$9999="Variant")*('Raw Data'!$A$2:$A$9999=$A22)*('Raw Data'!$C$2:$C$9999=$C$3)*'Raw Data'!$D$2:$D$9999*'Raw Data'!$AR$2:$AR$9999)/SUMIFS('Raw Data'!$D:$D, 'Raw Data'!$B:$B, "Variant", 'Raw Data'!$A:$A, $A22, 'Raw Data'!$C:$C, $C$3),""))</f>
        <v>4.1963</v>
      </c>
      <c r="DW22" s="109">
        <f t="shared" si="38"/>
        <v>0.1827559965</v>
      </c>
      <c r="DX22" s="102">
        <f>IF($A22="","",IFERROR(SUMPRODUCT(('Raw Data'!$B$2:$B$9999="Control")*('Raw Data'!$A$2:$A$9999=$A22)*('Raw Data'!$C$2:$C$9999=$C$3)*'Raw Data'!$D$2:$D$9999*'Raw Data'!$AS$2:$AS$9999)/SUMIFS('Raw Data'!$D:$D, 'Raw Data'!$B:$B, "Control", 'Raw Data'!$A:$A, $A22, 'Raw Data'!$C:$C, $C$3),""))</f>
        <v>27.6592</v>
      </c>
      <c r="DY22" s="102">
        <f>IF($A22="","",IFERROR(SUMPRODUCT(('Raw Data'!$B$2:$B$9999="Variant")*('Raw Data'!$A$2:$A$9999=$A22)*('Raw Data'!$C$2:$C$9999=$C$3)*'Raw Data'!$D$2:$D$9999*'Raw Data'!$AS$2:$AS$9999)/SUMIFS('Raw Data'!$D:$D, 'Raw Data'!$B:$B, "Variant", 'Raw Data'!$A:$A, $A22, 'Raw Data'!$C:$C, $C$3),""))</f>
        <v>28.2231</v>
      </c>
      <c r="DZ22" s="110">
        <f t="shared" si="39"/>
        <v>0.02038742986</v>
      </c>
      <c r="EA22" s="102">
        <f>IF($A22="","",IFERROR(SUMPRODUCT(('Raw Data'!$B$2:$B$9999="Control")*('Raw Data'!$A$2:$A$9999=$A22)*('Raw Data'!$C$2:$C$9999=$C$3)*'Raw Data'!$D$2:$D$9999*'Raw Data'!$AT$2:$AT$9999)/SUMIFS('Raw Data'!$D:$D, 'Raw Data'!$B:$B, "Control", 'Raw Data'!$A:$A, $A22, 'Raw Data'!$C:$C, $C$3),""))</f>
        <v>35.4967</v>
      </c>
      <c r="EB22" s="102">
        <f>IF($A22="","",IFERROR(SUMPRODUCT(('Raw Data'!$B$2:$B$9999="Variant")*('Raw Data'!$A$2:$A$9999=$A22)*('Raw Data'!$C$2:$C$9999=$C$3)*'Raw Data'!$D$2:$D$9999*'Raw Data'!$AT$2:$AT$9999)/SUMIFS('Raw Data'!$D:$D, 'Raw Data'!$B:$B, "Variant", 'Raw Data'!$A:$A, $A22, 'Raw Data'!$C:$C, $C$3),""))</f>
        <v>35.1777</v>
      </c>
      <c r="EC22" s="109">
        <f t="shared" si="40"/>
        <v>-0.008986750881</v>
      </c>
      <c r="ED22" s="102">
        <f>IF($A22="","",IFERROR(SUMPRODUCT(('Raw Data'!$B$2:$B$9999="Control")*('Raw Data'!$A$2:$A$9999=$A22)*('Raw Data'!$C$2:$C$9999=$C$3)*'Raw Data'!$D$2:$D$9999*('Raw Data'!$AQ$2:$AQ$9999-'Raw Data'!$AT$2:$AT$9999))/SUMIFS('Raw Data'!$D:$D, 'Raw Data'!$B:$B, "Control", 'Raw Data'!$A:$A, $A22, 'Raw Data'!$C:$C, $C$3),""))</f>
        <v>-4.2896</v>
      </c>
      <c r="EE22" s="102">
        <f>IF($A22="","",IFERROR(SUMPRODUCT(('Raw Data'!$B$2:$B$9999="Variant")*('Raw Data'!$A$2:$A$9999=$A22)*('Raw Data'!$C$2:$C$9999=$C$3)*'Raw Data'!$D$2:$D$9999*('Raw Data'!$AQ$2:$AQ$9999-'Raw Data'!$AT$2:$AT$9999))/SUMIFS('Raw Data'!$D:$D, 'Raw Data'!$B:$B, "Variant", 'Raw Data'!$A:$A, $A22, 'Raw Data'!$C:$C, $C$3),""))</f>
        <v>-2.7583</v>
      </c>
      <c r="EF22" s="110">
        <f t="shared" si="41"/>
        <v>0.3569796718</v>
      </c>
      <c r="EG22" s="102">
        <f>IF($A22="","",IFERROR(SUMPRODUCT(('Raw Data'!$B$2:$B$9999="Control")*('Raw Data'!$A$2:$A$9999=$A22)*('Raw Data'!$C$2:$C$9999=$C$3)*'Raw Data'!$D$2:$D$9999*'Raw Data'!$AU$2:$AU$9999)/SUMIFS('Raw Data'!$D:$D, 'Raw Data'!$B:$B, "Control", 'Raw Data'!$A:$A, $A22, 'Raw Data'!$C:$C, $C$3),""))</f>
        <v>0.2348</v>
      </c>
      <c r="EH22" s="102">
        <f>IF($A22="","",IFERROR(SUMPRODUCT(('Raw Data'!$B$2:$B$9999="Variant")*('Raw Data'!$A$2:$A$9999=$A22)*('Raw Data'!$C$2:$C$9999=$C$3)*'Raw Data'!$D$2:$D$9999*'Raw Data'!$AU$2:$AU$9999)/SUMIFS('Raw Data'!$D:$D, 'Raw Data'!$B:$B, "Variant", 'Raw Data'!$A:$A, $A22, 'Raw Data'!$C:$C, $C$3),""))</f>
        <v>0.2362</v>
      </c>
      <c r="EI22" s="109">
        <f t="shared" si="42"/>
        <v>0.005962521295</v>
      </c>
    </row>
    <row r="23" ht="15.75" customHeight="1">
      <c r="A23" s="93">
        <v>46191.0</v>
      </c>
      <c r="B23" s="94">
        <f>IF($A23="","",SUMIFS('Raw Data'!$D:$D, 'Raw Data'!$B:$B, "Control", 'Raw Data'!$A:$A, $A23, 'Raw Data'!$C:$C, $C$3))</f>
        <v>453</v>
      </c>
      <c r="C23" s="94">
        <f>IF($A23="","",SUMIFS('Raw Data'!$D:$D, 'Raw Data'!$B:$B, "Variant", 'Raw Data'!$A:$A, $A23, 'Raw Data'!$C:$C, $C$3))</f>
        <v>479</v>
      </c>
      <c r="D23" s="95">
        <f t="shared" si="1"/>
        <v>0.05739514349</v>
      </c>
      <c r="E23" s="96">
        <f>IF($A23="","",IFERROR(SUMPRODUCT(('Raw Data'!$B$2:$B$9999="Control")*('Raw Data'!$A$2:$A$9999=$A23)*('Raw Data'!$C$2:$C$9999=$C$3)*'Raw Data'!$D$2:$D$9999*'Raw Data'!$E$2:$E$9999)/SUMIFS('Raw Data'!$D:$D, 'Raw Data'!$B:$B, "Control", 'Raw Data'!$A:$A, $A23, 'Raw Data'!$C:$C, $C$3),""))</f>
        <v>0.55</v>
      </c>
      <c r="F23" s="96">
        <f>IF($A23="","",IFERROR(SUMPRODUCT(('Raw Data'!$B$2:$B$9999="Variant")*('Raw Data'!$A$2:$A$9999=$A23)*('Raw Data'!$C$2:$C$9999=$C$3)*'Raw Data'!$D$2:$D$9999*'Raw Data'!$E$2:$E$9999)/SUMIFS('Raw Data'!$D:$D, 'Raw Data'!$B:$B, "Variant", 'Raw Data'!$A:$A, $A23, 'Raw Data'!$C:$C, $C$3),""))</f>
        <v>0.58</v>
      </c>
      <c r="G23" s="95">
        <f t="shared" si="2"/>
        <v>0.05454545455</v>
      </c>
      <c r="H23" s="97">
        <f>IF($A23="","",SUMIFS('Raw Data'!$F:$F, 'Raw Data'!$B:$B, "Control", 'Raw Data'!$A:$A, $A23, 'Raw Data'!$C:$C, $C$3))</f>
        <v>1409.75</v>
      </c>
      <c r="I23" s="97">
        <f>IF($A23="","",SUMIFS('Raw Data'!$F:$F, 'Raw Data'!$B:$B, "Variant", 'Raw Data'!$A:$A, $A23, 'Raw Data'!$C:$C, $C$3))</f>
        <v>1126.2</v>
      </c>
      <c r="J23" s="105">
        <f t="shared" si="3"/>
        <v>-0.201134953</v>
      </c>
      <c r="K23" s="99">
        <f>IF($A23="","",IFERROR(SUMIFS('Raw Data'!$F:$F, 'Raw Data'!$B:$B, "Control", 'Raw Data'!$A:$A, $A23, 'Raw Data'!$C:$C, $C$3)/SUMIFS('Raw Data'!$D:$D, 'Raw Data'!$B:$B, "Control", 'Raw Data'!$A:$A, $A23, 'Raw Data'!$C:$C, $C$3),""))</f>
        <v>3.112030905</v>
      </c>
      <c r="L23" s="99">
        <f>IF($A23="","",IFERROR(SUMIFS('Raw Data'!$F:$F, 'Raw Data'!$B:$B, "Variant", 'Raw Data'!$A:$A, $A23, 'Raw Data'!$C:$C, $C$3)/SUMIFS('Raw Data'!$D:$D, 'Raw Data'!$B:$B, "Variant", 'Raw Data'!$A:$A, $A23, 'Raw Data'!$C:$C, $C$3),""))</f>
        <v>2.351148225</v>
      </c>
      <c r="M23" s="105">
        <f t="shared" si="4"/>
        <v>-0.2444971476</v>
      </c>
      <c r="N23" s="96">
        <f>IF($A23="","",IFERROR(SUMPRODUCT(('Raw Data'!$B$2:$B$9999="Control")*('Raw Data'!$A$2:$A$9999=$A23)*('Raw Data'!$C$2:$C$9999=$C$3)*'Raw Data'!$D$2:$D$9999*'Raw Data'!$H$2:$H$9999/100)/SUMIFS('Raw Data'!$D:$D, 'Raw Data'!$B:$B, "Control", 'Raw Data'!$A:$A, $A23, 'Raw Data'!$C:$C, $C$3)*100,""))</f>
        <v>13.25</v>
      </c>
      <c r="O23" s="96">
        <f>IF($A23="","",IFERROR(SUMPRODUCT(('Raw Data'!$B$2:$B$9999="Variant")*('Raw Data'!$A$2:$A$9999=$A23)*('Raw Data'!$C$2:$C$9999=$C$3)*'Raw Data'!$D$2:$D$9999*'Raw Data'!$H$2:$H$9999/100)/SUMIFS('Raw Data'!$D:$D, 'Raw Data'!$B:$B, "Variant", 'Raw Data'!$A:$A, $A23, 'Raw Data'!$C:$C, $C$3)*100,""))</f>
        <v>14.61</v>
      </c>
      <c r="P23" s="105">
        <f t="shared" si="5"/>
        <v>0.1026415094</v>
      </c>
      <c r="Q23" s="99">
        <f>IF($A23="","",IFERROR(SUMIFS('Raw Data'!$F:$F, 'Raw Data'!$B:$B, "Control", 'Raw Data'!$A:$A, $A23, 'Raw Data'!$C:$C, $C$3)/SUMPRODUCT(('Raw Data'!$B$2:$B$9999="Control")*('Raw Data'!$A$2:$A$9999=$A23)*('Raw Data'!$C$2:$C$9999=$C$3)*'Raw Data'!$D$2:$D$9999*'Raw Data'!$H$2:$H$9999/100),""))</f>
        <v>23.4870257</v>
      </c>
      <c r="R23" s="99">
        <f>IF($A23="","",IFERROR(SUMIFS('Raw Data'!$F:$F, 'Raw Data'!$B:$B, "Variant", 'Raw Data'!$A:$A, $A23, 'Raw Data'!$C:$C, $C$3)/SUMPRODUCT(('Raw Data'!$B$2:$B$9999="Variant")*('Raw Data'!$A$2:$A$9999=$A23)*('Raw Data'!$C$2:$C$9999=$C$3)*'Raw Data'!$D$2:$D$9999*'Raw Data'!$H$2:$H$9999/100),""))</f>
        <v>16.09273255</v>
      </c>
      <c r="S23" s="105">
        <f t="shared" si="6"/>
        <v>-0.3148245863</v>
      </c>
      <c r="T23" s="101">
        <f>IF($A23="","",IFERROR(SUMPRODUCT(('Raw Data'!$B$2:$B$9999="Control")*('Raw Data'!$A$2:$A$9999=$A23)*('Raw Data'!$C$2:$C$9999=$C$3)*'Raw Data'!$D$2:$D$9999*'Raw Data'!$J$2:$J$9999)/SUMIFS('Raw Data'!$D:$D, 'Raw Data'!$B:$B, "Control", 'Raw Data'!$A:$A, $A23, 'Raw Data'!$C:$C, $C$3),""))</f>
        <v>234.35</v>
      </c>
      <c r="U23" s="101">
        <f>IF($A23="","",IFERROR(SUMPRODUCT(('Raw Data'!$B$2:$B$9999="Variant")*('Raw Data'!$A$2:$A$9999=$A23)*('Raw Data'!$C$2:$C$9999=$C$3)*'Raw Data'!$D$2:$D$9999*'Raw Data'!$J$2:$J$9999)/SUMIFS('Raw Data'!$D:$D, 'Raw Data'!$B:$B, "Variant", 'Raw Data'!$A:$A, $A23, 'Raw Data'!$C:$C, $C$3),""))</f>
        <v>234.03</v>
      </c>
      <c r="V23" s="105">
        <f t="shared" si="7"/>
        <v>-0.001365478984</v>
      </c>
      <c r="W23" s="101">
        <f>IF($A23="","",IFERROR(SUMPRODUCT(('Raw Data'!$B$2:$B$9999="Control")*('Raw Data'!$A$2:$A$9999=$A23)*('Raw Data'!$C$2:$C$9999=$C$3)*'Raw Data'!$D$2:$D$9999*'Raw Data'!$K$2:$K$9999)/SUMIFS('Raw Data'!$D:$D, 'Raw Data'!$B:$B, "Control", 'Raw Data'!$A:$A, $A23, 'Raw Data'!$C:$C, $C$3),""))</f>
        <v>144.91</v>
      </c>
      <c r="X23" s="101">
        <f>IF($A23="","",IFERROR(SUMPRODUCT(('Raw Data'!$B$2:$B$9999="Variant")*('Raw Data'!$A$2:$A$9999=$A23)*('Raw Data'!$C$2:$C$9999=$C$3)*'Raw Data'!$D$2:$D$9999*'Raw Data'!$K$2:$K$9999)/SUMIFS('Raw Data'!$D:$D, 'Raw Data'!$B:$B, "Variant", 'Raw Data'!$A:$A, $A23, 'Raw Data'!$C:$C, $C$3),""))</f>
        <v>138.63</v>
      </c>
      <c r="Y23" s="105">
        <f t="shared" si="8"/>
        <v>-0.04333724381</v>
      </c>
      <c r="Z23" s="101">
        <f>IF($A23="","",IFERROR(SUMPRODUCT(('Raw Data'!$B$2:$B$9999="Control")*('Raw Data'!$A$2:$A$9999=$A23)*('Raw Data'!$C$2:$C$9999=$C$3)*'Raw Data'!$D$2:$D$9999*'Raw Data'!$L$2:$L$9999)/SUMIFS('Raw Data'!$D:$D, 'Raw Data'!$B:$B, "Control", 'Raw Data'!$A:$A, $A23, 'Raw Data'!$C:$C, $C$3),""))</f>
        <v>123.96</v>
      </c>
      <c r="AA23" s="101">
        <f>IF($A23="","",IFERROR(SUMPRODUCT(('Raw Data'!$B$2:$B$9999="Variant")*('Raw Data'!$A$2:$A$9999=$A23)*('Raw Data'!$C$2:$C$9999=$C$3)*'Raw Data'!$D$2:$D$9999*'Raw Data'!$L$2:$L$9999)/SUMIFS('Raw Data'!$D:$D, 'Raw Data'!$B:$B, "Variant", 'Raw Data'!$A:$A, $A23, 'Raw Data'!$C:$C, $C$3),""))</f>
        <v>118.45</v>
      </c>
      <c r="AB23" s="105">
        <f t="shared" si="9"/>
        <v>-0.04444982252</v>
      </c>
      <c r="AC23" s="102">
        <f>IF($A23="","",IFERROR(SUMPRODUCT(('Raw Data'!$B$2:$B$9999="Control")*('Raw Data'!$A$2:$A$9999=$A23)*('Raw Data'!$C$2:$C$9999=$C$3)*'Raw Data'!$D$2:$D$9999*'Raw Data'!$M$2:$M$9999)/SUMIFS('Raw Data'!$D:$D, 'Raw Data'!$B:$B, "Control", 'Raw Data'!$A:$A, $A23, 'Raw Data'!$C:$C, $C$3),""))</f>
        <v>0.8555</v>
      </c>
      <c r="AD23" s="102">
        <f>IF($A23="","",IFERROR(SUMPRODUCT(('Raw Data'!$B$2:$B$9999="Variant")*('Raw Data'!$A$2:$A$9999=$A23)*('Raw Data'!$C$2:$C$9999=$C$3)*'Raw Data'!$D$2:$D$9999*'Raw Data'!$M$2:$M$9999)/SUMIFS('Raw Data'!$D:$D, 'Raw Data'!$B:$B, "Variant", 'Raw Data'!$A:$A, $A23, 'Raw Data'!$C:$C, $C$3),""))</f>
        <v>0.8544</v>
      </c>
      <c r="AE23" s="106">
        <f t="shared" si="10"/>
        <v>-0.001285797779</v>
      </c>
      <c r="AF23" s="102">
        <f>IF($A23="","",IFERROR(SUMPRODUCT(('Raw Data'!$B$2:$B$9999="Control")*('Raw Data'!$A$2:$A$9999=$A23)*('Raw Data'!$C$2:$C$9999=$C$3)*'Raw Data'!$D$2:$D$9999*'Raw Data'!$N$2:$N$9999)/SUMIFS('Raw Data'!$D:$D, 'Raw Data'!$B:$B, "Control", 'Raw Data'!$A:$A, $A23, 'Raw Data'!$C:$C, $C$3),""))</f>
        <v>0.2799</v>
      </c>
      <c r="AG23" s="102">
        <f>IF($A23="","",IFERROR(SUMPRODUCT(('Raw Data'!$B$2:$B$9999="Variant")*('Raw Data'!$A$2:$A$9999=$A23)*('Raw Data'!$C$2:$C$9999=$C$3)*'Raw Data'!$D$2:$D$9999*'Raw Data'!$N$2:$N$9999)/SUMIFS('Raw Data'!$D:$D, 'Raw Data'!$B:$B, "Variant", 'Raw Data'!$A:$A, $A23, 'Raw Data'!$C:$C, $C$3),""))</f>
        <v>0.2873</v>
      </c>
      <c r="AH23" s="106">
        <f t="shared" si="11"/>
        <v>0.02643801358</v>
      </c>
      <c r="AI23" s="102">
        <f>IF($A23="","",IFERROR(SUMPRODUCT(('Raw Data'!$B$2:$B$9999="Control")*('Raw Data'!$A$2:$A$9999=$A23)*('Raw Data'!$C$2:$C$9999=$C$3)*'Raw Data'!$D$2:$D$9999*'Raw Data'!$O$2:$O$9999)/SUMIFS('Raw Data'!$D:$D, 'Raw Data'!$B:$B, "Control", 'Raw Data'!$A:$A, $A23, 'Raw Data'!$C:$C, $C$3),""))</f>
        <v>0.1969</v>
      </c>
      <c r="AJ23" s="102">
        <f>IF($A23="","",IFERROR(SUMPRODUCT(('Raw Data'!$B$2:$B$9999="Variant")*('Raw Data'!$A$2:$A$9999=$A23)*('Raw Data'!$C$2:$C$9999=$C$3)*'Raw Data'!$D$2:$D$9999*'Raw Data'!$O$2:$O$9999)/SUMIFS('Raw Data'!$D:$D, 'Raw Data'!$B:$B, "Variant", 'Raw Data'!$A:$A, $A23, 'Raw Data'!$C:$C, $C$3),""))</f>
        <v>0.2075</v>
      </c>
      <c r="AK23" s="105">
        <f t="shared" si="12"/>
        <v>0.05383443372</v>
      </c>
      <c r="AL23" s="101">
        <f>IF($A23="","",IFERROR(SUMPRODUCT(('Raw Data'!$B$2:$B$9999="Control")*('Raw Data'!$A$2:$A$9999=$A23)*('Raw Data'!$C$2:$C$9999=$C$3)*'Raw Data'!$D$2:$D$9999*'Raw Data'!$P$2:$P$9999)/SUMIFS('Raw Data'!$D:$D, 'Raw Data'!$B:$B, "Control", 'Raw Data'!$A:$A, $A23, 'Raw Data'!$C:$C, $C$3),""))</f>
        <v>1.169</v>
      </c>
      <c r="AM23" s="101">
        <f>IF($A23="","",IFERROR(SUMPRODUCT(('Raw Data'!$B$2:$B$9999="Variant")*('Raw Data'!$A$2:$A$9999=$A23)*('Raw Data'!$C$2:$C$9999=$C$3)*'Raw Data'!$D$2:$D$9999*'Raw Data'!$P$2:$P$9999)/SUMIFS('Raw Data'!$D:$D, 'Raw Data'!$B:$B, "Variant", 'Raw Data'!$A:$A, $A23, 'Raw Data'!$C:$C, $C$3),""))</f>
        <v>1.1704</v>
      </c>
      <c r="AN23" s="106">
        <f t="shared" si="13"/>
        <v>0.00119760479</v>
      </c>
      <c r="AO23" s="101">
        <f>IF($A23="","",IFERROR(SUMPRODUCT(('Raw Data'!$B$2:$B$9999="Control")*('Raw Data'!$A$2:$A$9999=$A23)*('Raw Data'!$C$2:$C$9999=$C$3)*'Raw Data'!$D$2:$D$9999*'Raw Data'!$Q$2:$Q$9999)/SUMIFS('Raw Data'!$D:$D, 'Raw Data'!$B:$B, "Control", 'Raw Data'!$A:$A, $A23, 'Raw Data'!$C:$C, $C$3),""))</f>
        <v>962.61</v>
      </c>
      <c r="AP23" s="101">
        <f>IF($A23="","",IFERROR(SUMPRODUCT(('Raw Data'!$B$2:$B$9999="Variant")*('Raw Data'!$A$2:$A$9999=$A23)*('Raw Data'!$C$2:$C$9999=$C$3)*'Raw Data'!$D$2:$D$9999*'Raw Data'!$Q$2:$Q$9999)/SUMIFS('Raw Data'!$D:$D, 'Raw Data'!$B:$B, "Variant", 'Raw Data'!$A:$A, $A23, 'Raw Data'!$C:$C, $C$3),""))</f>
        <v>863.38</v>
      </c>
      <c r="AQ23" s="95">
        <f t="shared" si="14"/>
        <v>-0.1030843228</v>
      </c>
      <c r="AR23" s="101">
        <f>IF($A23="","",IFERROR(SUMPRODUCT(('Raw Data'!$B$2:$B$9999="Control")*('Raw Data'!$A$2:$A$9999=$A23)*('Raw Data'!$C$2:$C$9999=$C$3)*'Raw Data'!$D$2:$D$9999*'Raw Data'!$R$2:$R$9999)/SUMIFS('Raw Data'!$D:$D, 'Raw Data'!$B:$B, "Control", 'Raw Data'!$A:$A, $A23, 'Raw Data'!$C:$C, $C$3),""))</f>
        <v>699.66</v>
      </c>
      <c r="AS23" s="101">
        <f>IF($A23="","",IFERROR(SUMPRODUCT(('Raw Data'!$B$2:$B$9999="Variant")*('Raw Data'!$A$2:$A$9999=$A23)*('Raw Data'!$C$2:$C$9999=$C$3)*'Raw Data'!$D$2:$D$9999*'Raw Data'!$R$2:$R$9999)/SUMIFS('Raw Data'!$D:$D, 'Raw Data'!$B:$B, "Variant", 'Raw Data'!$A:$A, $A23, 'Raw Data'!$C:$C, $C$3),""))</f>
        <v>772.92</v>
      </c>
      <c r="AT23" s="95">
        <f t="shared" si="15"/>
        <v>0.104708001</v>
      </c>
      <c r="AU23" s="101">
        <f>IF($A23="","",IFERROR(SUMPRODUCT(('Raw Data'!$B$2:$B$9999="Control")*('Raw Data'!$A$2:$A$9999=$A23)*('Raw Data'!$C$2:$C$9999=$C$3)*'Raw Data'!$D$2:$D$9999*'Raw Data'!$S$2:$S$9999)/SUMIFS('Raw Data'!$D:$D, 'Raw Data'!$B:$B, "Control", 'Raw Data'!$A:$A, $A23, 'Raw Data'!$C:$C, $C$3),""))</f>
        <v>262.95</v>
      </c>
      <c r="AV23" s="101">
        <f>IF($A23="","",IFERROR(SUMPRODUCT(('Raw Data'!$B$2:$B$9999="Variant")*('Raw Data'!$A$2:$A$9999=$A23)*('Raw Data'!$C$2:$C$9999=$C$3)*'Raw Data'!$D$2:$D$9999*'Raw Data'!$S$2:$S$9999)/SUMIFS('Raw Data'!$D:$D, 'Raw Data'!$B:$B, "Variant", 'Raw Data'!$A:$A, $A23, 'Raw Data'!$C:$C, $C$3),""))</f>
        <v>90.46</v>
      </c>
      <c r="AW23" s="95">
        <f t="shared" si="16"/>
        <v>-0.6559802244</v>
      </c>
      <c r="AX23" s="101">
        <f>IF($A23="","",IFERROR(SUMPRODUCT(('Raw Data'!$B$2:$B$9999="Control")*('Raw Data'!$A$2:$A$9999=$A23)*('Raw Data'!$C$2:$C$9999=$C$3)*'Raw Data'!$D$2:$D$9999*'Raw Data'!$T$2:$T$9999)/SUMIFS('Raw Data'!$D:$D, 'Raw Data'!$B:$B, "Control", 'Raw Data'!$A:$A, $A23, 'Raw Data'!$C:$C, $C$3),""))</f>
        <v>190.07</v>
      </c>
      <c r="AY23" s="101">
        <f>IF($A23="","",IFERROR(SUMPRODUCT(('Raw Data'!$B$2:$B$9999="Variant")*('Raw Data'!$A$2:$A$9999=$A23)*('Raw Data'!$C$2:$C$9999=$C$3)*'Raw Data'!$D$2:$D$9999*'Raw Data'!$T$2:$T$9999)/SUMIFS('Raw Data'!$D:$D, 'Raw Data'!$B:$B, "Variant", 'Raw Data'!$A:$A, $A23, 'Raw Data'!$C:$C, $C$3),""))</f>
        <v>137.68</v>
      </c>
      <c r="AZ23" s="105">
        <f t="shared" si="17"/>
        <v>-0.2756352923</v>
      </c>
      <c r="BA23" s="101">
        <f>IF($A23="","",IFERROR(SUMPRODUCT(('Raw Data'!$B$2:$B$9999="Control")*('Raw Data'!$A$2:$A$9999=$A23)*('Raw Data'!$C$2:$C$9999=$C$3)*'Raw Data'!$D$2:$D$9999*'Raw Data'!$U$2:$U$9999)/SUMIFS('Raw Data'!$D:$D, 'Raw Data'!$B:$B, "Control", 'Raw Data'!$A:$A, $A23, 'Raw Data'!$C:$C, $C$3),""))</f>
        <v>772.54</v>
      </c>
      <c r="BB23" s="101">
        <f>IF($A23="","",IFERROR(SUMPRODUCT(('Raw Data'!$B$2:$B$9999="Variant")*('Raw Data'!$A$2:$A$9999=$A23)*('Raw Data'!$C$2:$C$9999=$C$3)*'Raw Data'!$D$2:$D$9999*'Raw Data'!$U$2:$U$9999)/SUMIFS('Raw Data'!$D:$D, 'Raw Data'!$B:$B, "Variant", 'Raw Data'!$A:$A, $A23, 'Raw Data'!$C:$C, $C$3),""))</f>
        <v>725.7</v>
      </c>
      <c r="BC23" s="95">
        <f t="shared" si="18"/>
        <v>-0.06063116473</v>
      </c>
      <c r="BD23" s="101">
        <f>IF($A23="","",IFERROR(SUMPRODUCT(('Raw Data'!$B$2:$B$9999="Control")*('Raw Data'!$A$2:$A$9999=$A23)*('Raw Data'!$C$2:$C$9999=$C$3)*'Raw Data'!$D$2:$D$9999*'Raw Data'!$V$2:$V$9999)/SUMIFS('Raw Data'!$D:$D, 'Raw Data'!$B:$B, "Control", 'Raw Data'!$A:$A, $A23, 'Raw Data'!$C:$C, $C$3),""))</f>
        <v>853.75</v>
      </c>
      <c r="BE23" s="101">
        <f>IF($A23="","",IFERROR(SUMPRODUCT(('Raw Data'!$B$2:$B$9999="Variant")*('Raw Data'!$A$2:$A$9999=$A23)*('Raw Data'!$C$2:$C$9999=$C$3)*'Raw Data'!$D$2:$D$9999*'Raw Data'!$V$2:$V$9999)/SUMIFS('Raw Data'!$D:$D, 'Raw Data'!$B:$B, "Variant", 'Raw Data'!$A:$A, $A23, 'Raw Data'!$C:$C, $C$3),""))</f>
        <v>939.25</v>
      </c>
      <c r="BF23" s="95">
        <f t="shared" si="19"/>
        <v>0.1001464129</v>
      </c>
      <c r="BG23" s="101">
        <f>IF($A23="","",IFERROR(SUMPRODUCT(('Raw Data'!$B$2:$B$9999="Control")*('Raw Data'!$A$2:$A$9999=$A23)*('Raw Data'!$C$2:$C$9999=$C$3)*'Raw Data'!$D$2:$D$9999*('Raw Data'!$Q$2:$Q$9999-'Raw Data'!$V$2:$V$9999))/SUMIFS('Raw Data'!$D:$D, 'Raw Data'!$B:$B, "Control", 'Raw Data'!$A:$A, $A23, 'Raw Data'!$C:$C, $C$3),""))</f>
        <v>108.86</v>
      </c>
      <c r="BH23" s="101">
        <f>IF($A23="","",IFERROR(SUMPRODUCT(('Raw Data'!$B$2:$B$9999="Variant")*('Raw Data'!$A$2:$A$9999=$A23)*('Raw Data'!$C$2:$C$9999=$C$3)*'Raw Data'!$D$2:$D$9999*('Raw Data'!$Q$2:$Q$9999-'Raw Data'!$V$2:$V$9999))/SUMIFS('Raw Data'!$D:$D, 'Raw Data'!$B:$B, "Variant", 'Raw Data'!$A:$A, $A23, 'Raw Data'!$C:$C, $C$3),""))</f>
        <v>-75.87</v>
      </c>
      <c r="BI23" s="95">
        <f t="shared" si="20"/>
        <v>-1.696950211</v>
      </c>
      <c r="BJ23" s="101">
        <f>IF($A23="","",IFERROR(SUMPRODUCT(('Raw Data'!$B$2:$B$9999="Control")*('Raw Data'!$A$2:$A$9999=$A23)*('Raw Data'!$C$2:$C$9999=$C$3)*'Raw Data'!$D$2:$D$9999*'Raw Data'!$W$2:$W$9999)/SUMIFS('Raw Data'!$D:$D, 'Raw Data'!$B:$B, "Control", 'Raw Data'!$A:$A, $A23, 'Raw Data'!$C:$C, $C$3),""))</f>
        <v>5.8916</v>
      </c>
      <c r="BK23" s="101">
        <f>IF($A23="","",IFERROR(SUMPRODUCT(('Raw Data'!$B$2:$B$9999="Variant")*('Raw Data'!$A$2:$A$9999=$A23)*('Raw Data'!$C$2:$C$9999=$C$3)*'Raw Data'!$D$2:$D$9999*'Raw Data'!$W$2:$W$9999)/SUMIFS('Raw Data'!$D:$D, 'Raw Data'!$B:$B, "Variant", 'Raw Data'!$A:$A, $A23, 'Raw Data'!$C:$C, $C$3),""))</f>
        <v>6.7751</v>
      </c>
      <c r="BL23" s="95">
        <f t="shared" si="21"/>
        <v>0.149959264</v>
      </c>
      <c r="BM23" s="102">
        <f>IF($A23="","",IFERROR(SUMPRODUCT(('Raw Data'!$B$2:$B$9999="Control")*('Raw Data'!$A$2:$A$9999=$A23)*('Raw Data'!$C$2:$C$9999=$C$3)*'Raw Data'!$D$2:$D$9999*'Raw Data'!$X$2:$X$9999)/SUMIFS('Raw Data'!$D:$D, 'Raw Data'!$B:$B, "Control", 'Raw Data'!$A:$A, $A23, 'Raw Data'!$C:$C, $C$3),""))</f>
        <v>19.74</v>
      </c>
      <c r="BN23" s="102">
        <f>IF($A23="","",IFERROR(SUMPRODUCT(('Raw Data'!$B$2:$B$9999="Variant")*('Raw Data'!$A$2:$A$9999=$A23)*('Raw Data'!$C$2:$C$9999=$C$3)*'Raw Data'!$D$2:$D$9999*'Raw Data'!$X$2:$X$9999)/SUMIFS('Raw Data'!$D:$D, 'Raw Data'!$B:$B, "Variant", 'Raw Data'!$A:$A, $A23, 'Raw Data'!$C:$C, $C$3),""))</f>
        <v>15.95</v>
      </c>
      <c r="BO23" s="105">
        <f t="shared" si="22"/>
        <v>-0.1919959473</v>
      </c>
      <c r="BP23" s="94">
        <f>IF($A23="","",IFERROR(SUMPRODUCT(('Raw Data'!$B$2:$B$9999="Control")*('Raw Data'!$A$2:$A$9999=$A23)*('Raw Data'!$C$2:$C$9999=$C$3)*'Raw Data'!$D$2:$D$9999*'Raw Data'!$Y$2:$Y$9999)/SUMIFS('Raw Data'!$D:$D, 'Raw Data'!$B:$B, "Control", 'Raw Data'!$A:$A, $A23, 'Raw Data'!$C:$C, $C$3),""))</f>
        <v>434</v>
      </c>
      <c r="BQ23" s="94">
        <f>IF($A23="","",IFERROR(SUMPRODUCT(('Raw Data'!$B$2:$B$9999="Variant")*('Raw Data'!$A$2:$A$9999=$A23)*('Raw Data'!$C$2:$C$9999=$C$3)*'Raw Data'!$D$2:$D$9999*'Raw Data'!$Y$2:$Y$9999)/SUMIFS('Raw Data'!$D:$D, 'Raw Data'!$B:$B, "Variant", 'Raw Data'!$A:$A, $A23, 'Raw Data'!$C:$C, $C$3),""))</f>
        <v>486</v>
      </c>
      <c r="BR23" s="95">
        <f t="shared" si="23"/>
        <v>0.1198156682</v>
      </c>
      <c r="BS23" s="94">
        <f>IF($A23="","",IFERROR(SUMPRODUCT(('Raw Data'!$B$2:$B$9999="Control")*('Raw Data'!$A$2:$A$9999=$A23)*('Raw Data'!$C$2:$C$9999=$C$3)*'Raw Data'!$D$2:$D$9999*'Raw Data'!$Z$2:$Z$9999)/SUMIFS('Raw Data'!$D:$D, 'Raw Data'!$B:$B, "Control", 'Raw Data'!$A:$A, $A23, 'Raw Data'!$C:$C, $C$3),""))</f>
        <v>2050</v>
      </c>
      <c r="BT23" s="94">
        <f>IF($A23="","",IFERROR(SUMPRODUCT(('Raw Data'!$B$2:$B$9999="Variant")*('Raw Data'!$A$2:$A$9999=$A23)*('Raw Data'!$C$2:$C$9999=$C$3)*'Raw Data'!$D$2:$D$9999*'Raw Data'!$Z$2:$Z$9999)/SUMIFS('Raw Data'!$D:$D, 'Raw Data'!$B:$B, "Variant", 'Raw Data'!$A:$A, $A23, 'Raw Data'!$C:$C, $C$3),""))</f>
        <v>2503</v>
      </c>
      <c r="BU23" s="95">
        <f t="shared" si="24"/>
        <v>0.2209756098</v>
      </c>
      <c r="BV23" s="94">
        <f>IF($A23="","",IFERROR(SUMPRODUCT(('Raw Data'!$B$2:$B$9999="Control")*('Raw Data'!$A$2:$A$9999=$A23)*('Raw Data'!$C$2:$C$9999=$C$3)*'Raw Data'!$D$2:$D$9999*'Raw Data'!$AA$2:$AA$9999)/SUMIFS('Raw Data'!$D:$D, 'Raw Data'!$B:$B, "Control", 'Raw Data'!$A:$A, $A23, 'Raw Data'!$C:$C, $C$3),""))</f>
        <v>9683</v>
      </c>
      <c r="BW23" s="94">
        <f>IF($A23="","",IFERROR(SUMPRODUCT(('Raw Data'!$B$2:$B$9999="Variant")*('Raw Data'!$A$2:$A$9999=$A23)*('Raw Data'!$C$2:$C$9999=$C$3)*'Raw Data'!$D$2:$D$9999*'Raw Data'!$AA$2:$AA$9999)/SUMIFS('Raw Data'!$D:$D, 'Raw Data'!$B:$B, "Variant", 'Raw Data'!$A:$A, $A23, 'Raw Data'!$C:$C, $C$3),""))</f>
        <v>13122</v>
      </c>
      <c r="BX23" s="95">
        <f t="shared" si="25"/>
        <v>0.3551585253</v>
      </c>
      <c r="BY23" s="101">
        <f>IF($A23="","",IFERROR(SUMPRODUCT(('Raw Data'!$B$2:$B$9999="Control")*('Raw Data'!$A$2:$A$9999=$A23)*('Raw Data'!$C$2:$C$9999=$C$3)*'Raw Data'!$D$2:$D$9999*'Raw Data'!$AB$2:$AB$9999)/SUMIFS('Raw Data'!$D:$D, 'Raw Data'!$B:$B, "Control", 'Raw Data'!$A:$A, $A23, 'Raw Data'!$C:$C, $C$3),""))</f>
        <v>62.5742</v>
      </c>
      <c r="BZ23" s="101">
        <f>IF($A23="","",IFERROR(SUMPRODUCT(('Raw Data'!$B$2:$B$9999="Variant")*('Raw Data'!$A$2:$A$9999=$A23)*('Raw Data'!$C$2:$C$9999=$C$3)*'Raw Data'!$D$2:$D$9999*'Raw Data'!$AB$2:$AB$9999)/SUMIFS('Raw Data'!$D:$D, 'Raw Data'!$B:$B, "Variant", 'Raw Data'!$A:$A, $A23, 'Raw Data'!$C:$C, $C$3),""))</f>
        <v>62.5782</v>
      </c>
      <c r="CA23" s="105">
        <f t="shared" si="26"/>
        <v>0.0000639241093</v>
      </c>
      <c r="CB23" s="101">
        <f>IF($A23="","",IFERROR(SUMPRODUCT(('Raw Data'!$B$2:$B$9999="Control")*('Raw Data'!$A$2:$A$9999=$A23)*('Raw Data'!$C$2:$C$9999=$C$3)*'Raw Data'!$D$2:$D$9999*'Raw Data'!$AC$2:$AC$9999)/SUMIFS('Raw Data'!$D:$D, 'Raw Data'!$B:$B, "Control", 'Raw Data'!$A:$A, $A23, 'Raw Data'!$C:$C, $C$3),""))</f>
        <v>0.8757</v>
      </c>
      <c r="CC23" s="101">
        <f>IF($A23="","",IFERROR(SUMPRODUCT(('Raw Data'!$B$2:$B$9999="Variant")*('Raw Data'!$A$2:$A$9999=$A23)*('Raw Data'!$C$2:$C$9999=$C$3)*'Raw Data'!$D$2:$D$9999*'Raw Data'!$AC$2:$AC$9999)/SUMIFS('Raw Data'!$D:$D, 'Raw Data'!$B:$B, "Variant", 'Raw Data'!$A:$A, $A23, 'Raw Data'!$C:$C, $C$3),""))</f>
        <v>0.8682</v>
      </c>
      <c r="CD23" s="105">
        <f t="shared" si="27"/>
        <v>-0.00856457691</v>
      </c>
      <c r="CE23" s="101">
        <f>IF($A23="","",IFERROR(SUMPRODUCT(('Raw Data'!$B$2:$B$9999="Control")*('Raw Data'!$A$2:$A$9999=$A23)*('Raw Data'!$C$2:$C$9999=$C$3)*'Raw Data'!$D$2:$D$9999*'Raw Data'!$AD$2:$AD$9999)/SUMIFS('Raw Data'!$D:$D, 'Raw Data'!$B:$B, "Control", 'Raw Data'!$A:$A, $A23, 'Raw Data'!$C:$C, $C$3),""))</f>
        <v>86.44</v>
      </c>
      <c r="CF23" s="101">
        <f>IF($A23="","",IFERROR(SUMPRODUCT(('Raw Data'!$B$2:$B$9999="Variant")*('Raw Data'!$A$2:$A$9999=$A23)*('Raw Data'!$C$2:$C$9999=$C$3)*'Raw Data'!$D$2:$D$9999*'Raw Data'!$AD$2:$AD$9999)/SUMIFS('Raw Data'!$D:$D, 'Raw Data'!$B:$B, "Variant", 'Raw Data'!$A:$A, $A23, 'Raw Data'!$C:$C, $C$3),""))</f>
        <v>84.45</v>
      </c>
      <c r="CG23" s="105">
        <f t="shared" si="28"/>
        <v>-0.02302174919</v>
      </c>
      <c r="CH23" s="101">
        <f>IF($A23="","",IFERROR(SUMPRODUCT(('Raw Data'!$B$2:$B$9999="Control")*('Raw Data'!$A$2:$A$9999=$A23)*('Raw Data'!$C$2:$C$9999=$C$3)*'Raw Data'!$D$2:$D$9999*'Raw Data'!$AE$2:$AE$9999)/SUMIFS('Raw Data'!$D:$D, 'Raw Data'!$B:$B, "Control", 'Raw Data'!$A:$A, $A23, 'Raw Data'!$C:$C, $C$3),""))</f>
        <v>34</v>
      </c>
      <c r="CI23" s="101">
        <f>IF($A23="","",IFERROR(SUMPRODUCT(('Raw Data'!$B$2:$B$9999="Variant")*('Raw Data'!$A$2:$A$9999=$A23)*('Raw Data'!$C$2:$C$9999=$C$3)*'Raw Data'!$D$2:$D$9999*'Raw Data'!$AE$2:$AE$9999)/SUMIFS('Raw Data'!$D:$D, 'Raw Data'!$B:$B, "Variant", 'Raw Data'!$A:$A, $A23, 'Raw Data'!$C:$C, $C$3),""))</f>
        <v>35</v>
      </c>
      <c r="CJ23" s="105">
        <f t="shared" si="29"/>
        <v>0.02941176471</v>
      </c>
      <c r="CK23" s="101">
        <f>IF($A23="","",IFERROR(SUMPRODUCT(('Raw Data'!$B$2:$B$9999="Control")*('Raw Data'!$A$2:$A$9999=$A23)*('Raw Data'!$C$2:$C$9999=$C$3)*'Raw Data'!$D$2:$D$9999*'Raw Data'!$AF$2:$AF$9999)/SUMIFS('Raw Data'!$D:$D, 'Raw Data'!$B:$B, "Control", 'Raw Data'!$A:$A, $A23, 'Raw Data'!$C:$C, $C$3),""))</f>
        <v>77</v>
      </c>
      <c r="CL23" s="101">
        <f>IF($A23="","",IFERROR(SUMPRODUCT(('Raw Data'!$B$2:$B$9999="Variant")*('Raw Data'!$A$2:$A$9999=$A23)*('Raw Data'!$C$2:$C$9999=$C$3)*'Raw Data'!$D$2:$D$9999*'Raw Data'!$AF$2:$AF$9999)/SUMIFS('Raw Data'!$D:$D, 'Raw Data'!$B:$B, "Variant", 'Raw Data'!$A:$A, $A23, 'Raw Data'!$C:$C, $C$3),""))</f>
        <v>74</v>
      </c>
      <c r="CM23" s="105">
        <f t="shared" si="30"/>
        <v>-0.03896103896</v>
      </c>
      <c r="CN23" s="101">
        <f>IF($A23="","",IFERROR(SUMPRODUCT(('Raw Data'!$B$2:$B$9999="Control")*('Raw Data'!$A$2:$A$9999=$A23)*('Raw Data'!$C$2:$C$9999=$C$3)*'Raw Data'!$D$2:$D$9999*'Raw Data'!$AG$2:$AG$9999)/SUMIFS('Raw Data'!$D:$D, 'Raw Data'!$B:$B, "Control", 'Raw Data'!$A:$A, $A23, 'Raw Data'!$C:$C, $C$3),""))</f>
        <v>121</v>
      </c>
      <c r="CO23" s="101">
        <f>IF($A23="","",IFERROR(SUMPRODUCT(('Raw Data'!$B$2:$B$9999="Variant")*('Raw Data'!$A$2:$A$9999=$A23)*('Raw Data'!$C$2:$C$9999=$C$3)*'Raw Data'!$D$2:$D$9999*'Raw Data'!$AG$2:$AG$9999)/SUMIFS('Raw Data'!$D:$D, 'Raw Data'!$B:$B, "Variant", 'Raw Data'!$A:$A, $A23, 'Raw Data'!$C:$C, $C$3),""))</f>
        <v>115</v>
      </c>
      <c r="CP23" s="105">
        <f t="shared" si="31"/>
        <v>-0.04958677686</v>
      </c>
      <c r="CQ23" s="101">
        <f>IF($A23="","",IFERROR(SUMPRODUCT(('Raw Data'!$B$2:$B$9999="Control")*('Raw Data'!$A$2:$A$9999=$A23)*('Raw Data'!$C$2:$C$9999=$C$3)*'Raw Data'!$D$2:$D$9999*'Raw Data'!$AH$2:$AH$9999)/SUMIFS('Raw Data'!$D:$D, 'Raw Data'!$B:$B, "Control", 'Raw Data'!$A:$A, $A23, 'Raw Data'!$C:$C, $C$3),""))</f>
        <v>177</v>
      </c>
      <c r="CR23" s="101">
        <f>IF($A23="","",IFERROR(SUMPRODUCT(('Raw Data'!$B$2:$B$9999="Variant")*('Raw Data'!$A$2:$A$9999=$A23)*('Raw Data'!$C$2:$C$9999=$C$3)*'Raw Data'!$D$2:$D$9999*'Raw Data'!$AH$2:$AH$9999)/SUMIFS('Raw Data'!$D:$D, 'Raw Data'!$B:$B, "Variant", 'Raw Data'!$A:$A, $A23, 'Raw Data'!$C:$C, $C$3),""))</f>
        <v>163</v>
      </c>
      <c r="CS23" s="105">
        <f t="shared" si="32"/>
        <v>-0.0790960452</v>
      </c>
      <c r="CT23" s="96">
        <f>IF($A23="","",IFERROR(SUMPRODUCT(('Raw Data'!$B$2:$B$9999="Control")*('Raw Data'!$A$2:$A$9999=$A23)*('Raw Data'!$C$2:$C$9999=$C$3)*'Raw Data'!$D$2:$D$9999*'Raw Data'!$AI$2:$AI$9999)/SUMIFS('Raw Data'!$D:$D, 'Raw Data'!$B:$B, "Control", 'Raw Data'!$A:$A, $A23, 'Raw Data'!$C:$C, $C$3),""))</f>
        <v>48.12</v>
      </c>
      <c r="CU23" s="96">
        <f>IF($A23="","",IFERROR(SUMPRODUCT(('Raw Data'!$B$2:$B$9999="Variant")*('Raw Data'!$A$2:$A$9999=$A23)*('Raw Data'!$C$2:$C$9999=$C$3)*'Raw Data'!$D$2:$D$9999*'Raw Data'!$AI$2:$AI$9999)/SUMIFS('Raw Data'!$D:$D, 'Raw Data'!$B:$B, "Variant", 'Raw Data'!$A:$A, $A23, 'Raw Data'!$C:$C, $C$3),""))</f>
        <v>47.6</v>
      </c>
      <c r="CV23" s="106">
        <f t="shared" si="33"/>
        <v>-0.01080631754</v>
      </c>
      <c r="CW23" s="96">
        <f>IF($A23="","",IFERROR(SUMPRODUCT(('Raw Data'!$B$2:$B$9999="Control")*('Raw Data'!$A$2:$A$9999=$A23)*('Raw Data'!$C$2:$C$9999=$C$3)*'Raw Data'!$D$2:$D$9999*'Raw Data'!$AJ$2:$AJ$9999)/SUMIFS('Raw Data'!$D:$D, 'Raw Data'!$B:$B, "Control", 'Raw Data'!$A:$A, $A23, 'Raw Data'!$C:$C, $C$3),""))</f>
        <v>10.82</v>
      </c>
      <c r="CX23" s="96">
        <f>IF($A23="","",IFERROR(SUMPRODUCT(('Raw Data'!$B$2:$B$9999="Variant")*('Raw Data'!$A$2:$A$9999=$A23)*('Raw Data'!$C$2:$C$9999=$C$3)*'Raw Data'!$D$2:$D$9999*'Raw Data'!$AJ$2:$AJ$9999)/SUMIFS('Raw Data'!$D:$D, 'Raw Data'!$B:$B, "Variant", 'Raw Data'!$A:$A, $A23, 'Raw Data'!$C:$C, $C$3),""))</f>
        <v>8.77</v>
      </c>
      <c r="CY23" s="106">
        <f t="shared" si="34"/>
        <v>-0.1894639556</v>
      </c>
      <c r="CZ23" s="96">
        <f>IF($A23="","",IFERROR(SUMPRODUCT(('Raw Data'!$B$2:$B$9999="Control")*('Raw Data'!$A$2:$A$9999=$A23)*('Raw Data'!$C$2:$C$9999=$C$3)*'Raw Data'!$D$2:$D$9999*'Raw Data'!$AK$2:$AK$9999)/SUMIFS('Raw Data'!$D:$D, 'Raw Data'!$B:$B, "Control", 'Raw Data'!$A:$A, $A23, 'Raw Data'!$C:$C, $C$3),""))</f>
        <v>1.32</v>
      </c>
      <c r="DA23" s="96">
        <f>IF($A23="","",IFERROR(SUMPRODUCT(('Raw Data'!$B$2:$B$9999="Variant")*('Raw Data'!$A$2:$A$9999=$A23)*('Raw Data'!$C$2:$C$9999=$C$3)*'Raw Data'!$D$2:$D$9999*'Raw Data'!$AK$2:$AK$9999)/SUMIFS('Raw Data'!$D:$D, 'Raw Data'!$B:$B, "Variant", 'Raw Data'!$A:$A, $A23, 'Raw Data'!$C:$C, $C$3),""))</f>
        <v>1.46</v>
      </c>
      <c r="DB23" s="105">
        <f t="shared" si="35"/>
        <v>0.1060606061</v>
      </c>
      <c r="DC23" s="102">
        <f>IF($A23="","",IFERROR(SUMPRODUCT(('Raw Data'!$B$2:$B$9999="Control")*('Raw Data'!$A$2:$A$9999=$A23)*('Raw Data'!$C$2:$C$9999=$C$3)*'Raw Data'!$D$2:$D$9999*'Raw Data'!$AL$2:$AL$9999)/SUMIFS('Raw Data'!$D:$D, 'Raw Data'!$B:$B, "Control", 'Raw Data'!$A:$A, $A23, 'Raw Data'!$C:$C, $C$3),""))</f>
        <v>0.1236</v>
      </c>
      <c r="DD23" s="102">
        <f>IF($A23="","",IFERROR(SUMPRODUCT(('Raw Data'!$B$2:$B$9999="Variant")*('Raw Data'!$A$2:$A$9999=$A23)*('Raw Data'!$C$2:$C$9999=$C$3)*'Raw Data'!$D$2:$D$9999*'Raw Data'!$AL$2:$AL$9999)/SUMIFS('Raw Data'!$D:$D, 'Raw Data'!$B:$B, "Variant", 'Raw Data'!$A:$A, $A23, 'Raw Data'!$C:$C, $C$3),""))</f>
        <v>0.1232</v>
      </c>
      <c r="DE23" s="105">
        <f t="shared" si="36"/>
        <v>-0.003236245955</v>
      </c>
      <c r="DF23" s="103"/>
      <c r="DG23" s="96">
        <f>IF($A23="","",IFERROR(SUMPRODUCT(('Raw Data'!$B$2:$B$9999="Variant")*('Raw Data'!$A$2:$A$9999=$A23)*('Raw Data'!$C$2:$C$9999=$C$3)*'Raw Data'!$D$2:$D$9999*'Raw Data'!$AM$2:$AM$9999)/SUMIFS('Raw Data'!$D:$D, 'Raw Data'!$B:$B, "Variant", 'Raw Data'!$A:$A, $A23, 'Raw Data'!$C:$C, $C$3),""))</f>
        <v>77.87</v>
      </c>
      <c r="DH23" s="104"/>
      <c r="DI23" s="103"/>
      <c r="DJ23" s="96">
        <f>IF($A23="","",IFERROR(SUMPRODUCT(('Raw Data'!$B$2:$B$9999="Variant")*('Raw Data'!$A$2:$A$9999=$A23)*('Raw Data'!$C$2:$C$9999=$C$3)*'Raw Data'!$D$2:$D$9999*'Raw Data'!$AN$2:$AN$9999)/SUMIFS('Raw Data'!$D:$D, 'Raw Data'!$B:$B, "Variant", 'Raw Data'!$A:$A, $A23, 'Raw Data'!$C:$C, $C$3),""))</f>
        <v>77.87</v>
      </c>
      <c r="DK23" s="104"/>
      <c r="DL23" s="103"/>
      <c r="DM23" s="96">
        <f>IF($A23="","",IFERROR(SUMPRODUCT(('Raw Data'!$B$2:$B$9999="Variant")*('Raw Data'!$A$2:$A$9999=$A23)*('Raw Data'!$C$2:$C$9999=$C$3)*'Raw Data'!$D$2:$D$9999*'Raw Data'!$AO$2:$AO$9999)/SUMIFS('Raw Data'!$D:$D, 'Raw Data'!$B:$B, "Variant", 'Raw Data'!$A:$A, $A23, 'Raw Data'!$C:$C, $C$3),""))</f>
        <v>59.08</v>
      </c>
      <c r="DN23" s="104"/>
      <c r="DO23" s="103"/>
      <c r="DP23" s="96">
        <f>IF($A23="","",IFERROR(SUMPRODUCT(('Raw Data'!$B$2:$B$9999="Variant")*('Raw Data'!$A$2:$A$9999=$A23)*('Raw Data'!$C$2:$C$9999=$C$3)*'Raw Data'!$D$2:$D$9999*'Raw Data'!$AP$2:$AP$9999)/SUMIFS('Raw Data'!$D:$D, 'Raw Data'!$B:$B, "Variant", 'Raw Data'!$A:$A, $A23, 'Raw Data'!$C:$C, $C$3),""))</f>
        <v>44.05</v>
      </c>
      <c r="DQ23" s="104"/>
      <c r="DR23" s="102">
        <f>IF($A23="","",IFERROR(SUMPRODUCT(('Raw Data'!$B$2:$B$9999="Control")*('Raw Data'!$A$2:$A$9999=$A23)*('Raw Data'!$C$2:$C$9999=$C$3)*'Raw Data'!$D$2:$D$9999*'Raw Data'!$AQ$2:$AQ$9999)/SUMIFS('Raw Data'!$D:$D, 'Raw Data'!$B:$B, "Control", 'Raw Data'!$A:$A, $A23, 'Raw Data'!$C:$C, $C$3),""))</f>
        <v>32.5453</v>
      </c>
      <c r="DS23" s="102">
        <f>IF($A23="","",IFERROR(SUMPRODUCT(('Raw Data'!$B$2:$B$9999="Variant")*('Raw Data'!$A$2:$A$9999=$A23)*('Raw Data'!$C$2:$C$9999=$C$3)*'Raw Data'!$D$2:$D$9999*'Raw Data'!$AQ$2:$AQ$9999)/SUMIFS('Raw Data'!$D:$D, 'Raw Data'!$B:$B, "Variant", 'Raw Data'!$A:$A, $A23, 'Raw Data'!$C:$C, $C$3),""))</f>
        <v>35.2797</v>
      </c>
      <c r="DT23" s="109">
        <f t="shared" si="37"/>
        <v>0.08401827606</v>
      </c>
      <c r="DU23" s="102">
        <f>IF($A23="","",IFERROR(SUMPRODUCT(('Raw Data'!$B$2:$B$9999="Control")*('Raw Data'!$A$2:$A$9999=$A23)*('Raw Data'!$C$2:$C$9999=$C$3)*'Raw Data'!$D$2:$D$9999*'Raw Data'!$AR$2:$AR$9999)/SUMIFS('Raw Data'!$D:$D, 'Raw Data'!$B:$B, "Control", 'Raw Data'!$A:$A, $A23, 'Raw Data'!$C:$C, $C$3),""))</f>
        <v>2.8631</v>
      </c>
      <c r="DV23" s="102">
        <f>IF($A23="","",IFERROR(SUMPRODUCT(('Raw Data'!$B$2:$B$9999="Variant")*('Raw Data'!$A$2:$A$9999=$A23)*('Raw Data'!$C$2:$C$9999=$C$3)*'Raw Data'!$D$2:$D$9999*'Raw Data'!$AR$2:$AR$9999)/SUMIFS('Raw Data'!$D:$D, 'Raw Data'!$B:$B, "Variant", 'Raw Data'!$A:$A, $A23, 'Raw Data'!$C:$C, $C$3),""))</f>
        <v>5.7787</v>
      </c>
      <c r="DW23" s="109">
        <f t="shared" si="38"/>
        <v>1.018336768</v>
      </c>
      <c r="DX23" s="102">
        <f>IF($A23="","",IFERROR(SUMPRODUCT(('Raw Data'!$B$2:$B$9999="Control")*('Raw Data'!$A$2:$A$9999=$A23)*('Raw Data'!$C$2:$C$9999=$C$3)*'Raw Data'!$D$2:$D$9999*'Raw Data'!$AS$2:$AS$9999)/SUMIFS('Raw Data'!$D:$D, 'Raw Data'!$B:$B, "Control", 'Raw Data'!$A:$A, $A23, 'Raw Data'!$C:$C, $C$3),""))</f>
        <v>29.6821</v>
      </c>
      <c r="DY23" s="102">
        <f>IF($A23="","",IFERROR(SUMPRODUCT(('Raw Data'!$B$2:$B$9999="Variant")*('Raw Data'!$A$2:$A$9999=$A23)*('Raw Data'!$C$2:$C$9999=$C$3)*'Raw Data'!$D$2:$D$9999*'Raw Data'!$AS$2:$AS$9999)/SUMIFS('Raw Data'!$D:$D, 'Raw Data'!$B:$B, "Variant", 'Raw Data'!$A:$A, $A23, 'Raw Data'!$C:$C, $C$3),""))</f>
        <v>29.501</v>
      </c>
      <c r="DZ23" s="110">
        <f t="shared" si="39"/>
        <v>-0.006101320324</v>
      </c>
      <c r="EA23" s="102">
        <f>IF($A23="","",IFERROR(SUMPRODUCT(('Raw Data'!$B$2:$B$9999="Control")*('Raw Data'!$A$2:$A$9999=$A23)*('Raw Data'!$C$2:$C$9999=$C$3)*'Raw Data'!$D$2:$D$9999*'Raw Data'!$AT$2:$AT$9999)/SUMIFS('Raw Data'!$D:$D, 'Raw Data'!$B:$B, "Control", 'Raw Data'!$A:$A, $A23, 'Raw Data'!$C:$C, $C$3),""))</f>
        <v>31.2759</v>
      </c>
      <c r="EB23" s="102">
        <f>IF($A23="","",IFERROR(SUMPRODUCT(('Raw Data'!$B$2:$B$9999="Variant")*('Raw Data'!$A$2:$A$9999=$A23)*('Raw Data'!$C$2:$C$9999=$C$3)*'Raw Data'!$D$2:$D$9999*'Raw Data'!$AT$2:$AT$9999)/SUMIFS('Raw Data'!$D:$D, 'Raw Data'!$B:$B, "Variant", 'Raw Data'!$A:$A, $A23, 'Raw Data'!$C:$C, $C$3),""))</f>
        <v>29.8706</v>
      </c>
      <c r="EC23" s="109">
        <f t="shared" si="40"/>
        <v>-0.04493236006</v>
      </c>
      <c r="ED23" s="102">
        <f>IF($A23="","",IFERROR(SUMPRODUCT(('Raw Data'!$B$2:$B$9999="Control")*('Raw Data'!$A$2:$A$9999=$A23)*('Raw Data'!$C$2:$C$9999=$C$3)*'Raw Data'!$D$2:$D$9999*('Raw Data'!$AQ$2:$AQ$9999-'Raw Data'!$AT$2:$AT$9999))/SUMIFS('Raw Data'!$D:$D, 'Raw Data'!$B:$B, "Control", 'Raw Data'!$A:$A, $A23, 'Raw Data'!$C:$C, $C$3),""))</f>
        <v>1.2694</v>
      </c>
      <c r="EE23" s="102">
        <f>IF($A23="","",IFERROR(SUMPRODUCT(('Raw Data'!$B$2:$B$9999="Variant")*('Raw Data'!$A$2:$A$9999=$A23)*('Raw Data'!$C$2:$C$9999=$C$3)*'Raw Data'!$D$2:$D$9999*('Raw Data'!$AQ$2:$AQ$9999-'Raw Data'!$AT$2:$AT$9999))/SUMIFS('Raw Data'!$D:$D, 'Raw Data'!$B:$B, "Variant", 'Raw Data'!$A:$A, $A23, 'Raw Data'!$C:$C, $C$3),""))</f>
        <v>5.4091</v>
      </c>
      <c r="EF23" s="110">
        <f t="shared" si="41"/>
        <v>3.261146999</v>
      </c>
      <c r="EG23" s="102">
        <f>IF($A23="","",IFERROR(SUMPRODUCT(('Raw Data'!$B$2:$B$9999="Control")*('Raw Data'!$A$2:$A$9999=$A23)*('Raw Data'!$C$2:$C$9999=$C$3)*'Raw Data'!$D$2:$D$9999*'Raw Data'!$AU$2:$AU$9999)/SUMIFS('Raw Data'!$D:$D, 'Raw Data'!$B:$B, "Control", 'Raw Data'!$A:$A, $A23, 'Raw Data'!$C:$C, $C$3),""))</f>
        <v>0.2158</v>
      </c>
      <c r="EH23" s="102">
        <f>IF($A23="","",IFERROR(SUMPRODUCT(('Raw Data'!$B$2:$B$9999="Variant")*('Raw Data'!$A$2:$A$9999=$A23)*('Raw Data'!$C$2:$C$9999=$C$3)*'Raw Data'!$D$2:$D$9999*'Raw Data'!$AU$2:$AU$9999)/SUMIFS('Raw Data'!$D:$D, 'Raw Data'!$B:$B, "Variant", 'Raw Data'!$A:$A, $A23, 'Raw Data'!$C:$C, $C$3),""))</f>
        <v>0.2155</v>
      </c>
      <c r="EI23" s="109">
        <f t="shared" si="42"/>
        <v>-0.001390176089</v>
      </c>
    </row>
    <row r="24" ht="15.75" customHeight="1">
      <c r="A24" s="93">
        <v>46192.0</v>
      </c>
      <c r="B24" s="94">
        <f>IF($A24="","",SUMIFS('Raw Data'!$D:$D, 'Raw Data'!$B:$B, "Control", 'Raw Data'!$A:$A, $A24, 'Raw Data'!$C:$C, $C$3))</f>
        <v>417</v>
      </c>
      <c r="C24" s="94">
        <f>IF($A24="","",SUMIFS('Raw Data'!$D:$D, 'Raw Data'!$B:$B, "Variant", 'Raw Data'!$A:$A, $A24, 'Raw Data'!$C:$C, $C$3))</f>
        <v>469</v>
      </c>
      <c r="D24" s="95">
        <f t="shared" si="1"/>
        <v>0.1247002398</v>
      </c>
      <c r="E24" s="96">
        <f>IF($A24="","",IFERROR(SUMPRODUCT(('Raw Data'!$B$2:$B$9999="Control")*('Raw Data'!$A$2:$A$9999=$A24)*('Raw Data'!$C$2:$C$9999=$C$3)*'Raw Data'!$D$2:$D$9999*'Raw Data'!$E$2:$E$9999)/SUMIFS('Raw Data'!$D:$D, 'Raw Data'!$B:$B, "Control", 'Raw Data'!$A:$A, $A24, 'Raw Data'!$C:$C, $C$3),""))</f>
        <v>0.52</v>
      </c>
      <c r="F24" s="96">
        <f>IF($A24="","",IFERROR(SUMPRODUCT(('Raw Data'!$B$2:$B$9999="Variant")*('Raw Data'!$A$2:$A$9999=$A24)*('Raw Data'!$C$2:$C$9999=$C$3)*'Raw Data'!$D$2:$D$9999*'Raw Data'!$E$2:$E$9999)/SUMIFS('Raw Data'!$D:$D, 'Raw Data'!$B:$B, "Variant", 'Raw Data'!$A:$A, $A24, 'Raw Data'!$C:$C, $C$3),""))</f>
        <v>0.59</v>
      </c>
      <c r="G24" s="95">
        <f t="shared" si="2"/>
        <v>0.1346153846</v>
      </c>
      <c r="H24" s="97">
        <f>IF($A24="","",SUMIFS('Raw Data'!$F:$F, 'Raw Data'!$B:$B, "Control", 'Raw Data'!$A:$A, $A24, 'Raw Data'!$C:$C, $C$3))</f>
        <v>1122.85</v>
      </c>
      <c r="I24" s="97">
        <f>IF($A24="","",SUMIFS('Raw Data'!$F:$F, 'Raw Data'!$B:$B, "Variant", 'Raw Data'!$A:$A, $A24, 'Raw Data'!$C:$C, $C$3))</f>
        <v>1731.62</v>
      </c>
      <c r="J24" s="105">
        <f t="shared" si="3"/>
        <v>0.5421650265</v>
      </c>
      <c r="K24" s="99">
        <f>IF($A24="","",IFERROR(SUMIFS('Raw Data'!$F:$F, 'Raw Data'!$B:$B, "Control", 'Raw Data'!$A:$A, $A24, 'Raw Data'!$C:$C, $C$3)/SUMIFS('Raw Data'!$D:$D, 'Raw Data'!$B:$B, "Control", 'Raw Data'!$A:$A, $A24, 'Raw Data'!$C:$C, $C$3),""))</f>
        <v>2.692685851</v>
      </c>
      <c r="L24" s="99">
        <f>IF($A24="","",IFERROR(SUMIFS('Raw Data'!$F:$F, 'Raw Data'!$B:$B, "Variant", 'Raw Data'!$A:$A, $A24, 'Raw Data'!$C:$C, $C$3)/SUMIFS('Raw Data'!$D:$D, 'Raw Data'!$B:$B, "Variant", 'Raw Data'!$A:$A, $A24, 'Raw Data'!$C:$C, $C$3),""))</f>
        <v>3.692153518</v>
      </c>
      <c r="M24" s="105">
        <f t="shared" si="4"/>
        <v>0.3711787123</v>
      </c>
      <c r="N24" s="96">
        <f>IF($A24="","",IFERROR(SUMPRODUCT(('Raw Data'!$B$2:$B$9999="Control")*('Raw Data'!$A$2:$A$9999=$A24)*('Raw Data'!$C$2:$C$9999=$C$3)*'Raw Data'!$D$2:$D$9999*'Raw Data'!$H$2:$H$9999/100)/SUMIFS('Raw Data'!$D:$D, 'Raw Data'!$B:$B, "Control", 'Raw Data'!$A:$A, $A24, 'Raw Data'!$C:$C, $C$3)*100,""))</f>
        <v>15.11</v>
      </c>
      <c r="O24" s="96">
        <f>IF($A24="","",IFERROR(SUMPRODUCT(('Raw Data'!$B$2:$B$9999="Variant")*('Raw Data'!$A$2:$A$9999=$A24)*('Raw Data'!$C$2:$C$9999=$C$3)*'Raw Data'!$D$2:$D$9999*'Raw Data'!$H$2:$H$9999/100)/SUMIFS('Raw Data'!$D:$D, 'Raw Data'!$B:$B, "Variant", 'Raw Data'!$A:$A, $A24, 'Raw Data'!$C:$C, $C$3)*100,""))</f>
        <v>18.76</v>
      </c>
      <c r="P24" s="105">
        <f t="shared" si="5"/>
        <v>0.2415618795</v>
      </c>
      <c r="Q24" s="99">
        <f>IF($A24="","",IFERROR(SUMIFS('Raw Data'!$F:$F, 'Raw Data'!$B:$B, "Control", 'Raw Data'!$A:$A, $A24, 'Raw Data'!$C:$C, $C$3)/SUMPRODUCT(('Raw Data'!$B$2:$B$9999="Control")*('Raw Data'!$A$2:$A$9999=$A24)*('Raw Data'!$C$2:$C$9999=$C$3)*'Raw Data'!$D$2:$D$9999*'Raw Data'!$H$2:$H$9999/100),""))</f>
        <v>17.82055494</v>
      </c>
      <c r="R24" s="99">
        <f>IF($A24="","",IFERROR(SUMIFS('Raw Data'!$F:$F, 'Raw Data'!$B:$B, "Variant", 'Raw Data'!$A:$A, $A24, 'Raw Data'!$C:$C, $C$3)/SUMPRODUCT(('Raw Data'!$B$2:$B$9999="Variant")*('Raw Data'!$A$2:$A$9999=$A24)*('Raw Data'!$C$2:$C$9999=$C$3)*'Raw Data'!$D$2:$D$9999*'Raw Data'!$H$2:$H$9999/100),""))</f>
        <v>19.6809889</v>
      </c>
      <c r="S24" s="105">
        <f t="shared" si="6"/>
        <v>0.1043982059</v>
      </c>
      <c r="T24" s="101">
        <f>IF($A24="","",IFERROR(SUMPRODUCT(('Raw Data'!$B$2:$B$9999="Control")*('Raw Data'!$A$2:$A$9999=$A24)*('Raw Data'!$C$2:$C$9999=$C$3)*'Raw Data'!$D$2:$D$9999*'Raw Data'!$J$2:$J$9999)/SUMIFS('Raw Data'!$D:$D, 'Raw Data'!$B:$B, "Control", 'Raw Data'!$A:$A, $A24, 'Raw Data'!$C:$C, $C$3),""))</f>
        <v>258.04</v>
      </c>
      <c r="U24" s="101">
        <f>IF($A24="","",IFERROR(SUMPRODUCT(('Raw Data'!$B$2:$B$9999="Variant")*('Raw Data'!$A$2:$A$9999=$A24)*('Raw Data'!$C$2:$C$9999=$C$3)*'Raw Data'!$D$2:$D$9999*'Raw Data'!$J$2:$J$9999)/SUMIFS('Raw Data'!$D:$D, 'Raw Data'!$B:$B, "Variant", 'Raw Data'!$A:$A, $A24, 'Raw Data'!$C:$C, $C$3),""))</f>
        <v>255.88</v>
      </c>
      <c r="V24" s="105">
        <f t="shared" si="7"/>
        <v>-0.008370795226</v>
      </c>
      <c r="W24" s="101">
        <f>IF($A24="","",IFERROR(SUMPRODUCT(('Raw Data'!$B$2:$B$9999="Control")*('Raw Data'!$A$2:$A$9999=$A24)*('Raw Data'!$C$2:$C$9999=$C$3)*'Raw Data'!$D$2:$D$9999*'Raw Data'!$K$2:$K$9999)/SUMIFS('Raw Data'!$D:$D, 'Raw Data'!$B:$B, "Control", 'Raw Data'!$A:$A, $A24, 'Raw Data'!$C:$C, $C$3),""))</f>
        <v>156.72</v>
      </c>
      <c r="X24" s="101">
        <f>IF($A24="","",IFERROR(SUMPRODUCT(('Raw Data'!$B$2:$B$9999="Variant")*('Raw Data'!$A$2:$A$9999=$A24)*('Raw Data'!$C$2:$C$9999=$C$3)*'Raw Data'!$D$2:$D$9999*'Raw Data'!$K$2:$K$9999)/SUMIFS('Raw Data'!$D:$D, 'Raw Data'!$B:$B, "Variant", 'Raw Data'!$A:$A, $A24, 'Raw Data'!$C:$C, $C$3),""))</f>
        <v>149.72</v>
      </c>
      <c r="Y24" s="105">
        <f t="shared" si="8"/>
        <v>-0.04466564574</v>
      </c>
      <c r="Z24" s="101">
        <f>IF($A24="","",IFERROR(SUMPRODUCT(('Raw Data'!$B$2:$B$9999="Control")*('Raw Data'!$A$2:$A$9999=$A24)*('Raw Data'!$C$2:$C$9999=$C$3)*'Raw Data'!$D$2:$D$9999*'Raw Data'!$L$2:$L$9999)/SUMIFS('Raw Data'!$D:$D, 'Raw Data'!$B:$B, "Control", 'Raw Data'!$A:$A, $A24, 'Raw Data'!$C:$C, $C$3),""))</f>
        <v>131.35</v>
      </c>
      <c r="AA24" s="101">
        <f>IF($A24="","",IFERROR(SUMPRODUCT(('Raw Data'!$B$2:$B$9999="Variant")*('Raw Data'!$A$2:$A$9999=$A24)*('Raw Data'!$C$2:$C$9999=$C$3)*'Raw Data'!$D$2:$D$9999*'Raw Data'!$L$2:$L$9999)/SUMIFS('Raw Data'!$D:$D, 'Raw Data'!$B:$B, "Variant", 'Raw Data'!$A:$A, $A24, 'Raw Data'!$C:$C, $C$3),""))</f>
        <v>125.72</v>
      </c>
      <c r="AB24" s="105">
        <f t="shared" si="9"/>
        <v>-0.04286258089</v>
      </c>
      <c r="AC24" s="102">
        <f>IF($A24="","",IFERROR(SUMPRODUCT(('Raw Data'!$B$2:$B$9999="Control")*('Raw Data'!$A$2:$A$9999=$A24)*('Raw Data'!$C$2:$C$9999=$C$3)*'Raw Data'!$D$2:$D$9999*'Raw Data'!$M$2:$M$9999)/SUMIFS('Raw Data'!$D:$D, 'Raw Data'!$B:$B, "Control", 'Raw Data'!$A:$A, $A24, 'Raw Data'!$C:$C, $C$3),""))</f>
        <v>0.8381</v>
      </c>
      <c r="AD24" s="102">
        <f>IF($A24="","",IFERROR(SUMPRODUCT(('Raw Data'!$B$2:$B$9999="Variant")*('Raw Data'!$A$2:$A$9999=$A24)*('Raw Data'!$C$2:$C$9999=$C$3)*'Raw Data'!$D$2:$D$9999*'Raw Data'!$M$2:$M$9999)/SUMIFS('Raw Data'!$D:$D, 'Raw Data'!$B:$B, "Variant", 'Raw Data'!$A:$A, $A24, 'Raw Data'!$C:$C, $C$3),""))</f>
        <v>0.8397</v>
      </c>
      <c r="AE24" s="106">
        <f t="shared" si="10"/>
        <v>0.001909080062</v>
      </c>
      <c r="AF24" s="102">
        <f>IF($A24="","",IFERROR(SUMPRODUCT(('Raw Data'!$B$2:$B$9999="Control")*('Raw Data'!$A$2:$A$9999=$A24)*('Raw Data'!$C$2:$C$9999=$C$3)*'Raw Data'!$D$2:$D$9999*'Raw Data'!$N$2:$N$9999)/SUMIFS('Raw Data'!$D:$D, 'Raw Data'!$B:$B, "Control", 'Raw Data'!$A:$A, $A24, 'Raw Data'!$C:$C, $C$3),""))</f>
        <v>0.2854</v>
      </c>
      <c r="AG24" s="102">
        <f>IF($A24="","",IFERROR(SUMPRODUCT(('Raw Data'!$B$2:$B$9999="Variant")*('Raw Data'!$A$2:$A$9999=$A24)*('Raw Data'!$C$2:$C$9999=$C$3)*'Raw Data'!$D$2:$D$9999*'Raw Data'!$N$2:$N$9999)/SUMIFS('Raw Data'!$D:$D, 'Raw Data'!$B:$B, "Variant", 'Raw Data'!$A:$A, $A24, 'Raw Data'!$C:$C, $C$3),""))</f>
        <v>0.2947</v>
      </c>
      <c r="AH24" s="106">
        <f t="shared" si="11"/>
        <v>0.03258584443</v>
      </c>
      <c r="AI24" s="102">
        <f>IF($A24="","",IFERROR(SUMPRODUCT(('Raw Data'!$B$2:$B$9999="Control")*('Raw Data'!$A$2:$A$9999=$A24)*('Raw Data'!$C$2:$C$9999=$C$3)*'Raw Data'!$D$2:$D$9999*'Raw Data'!$O$2:$O$9999)/SUMIFS('Raw Data'!$D:$D, 'Raw Data'!$B:$B, "Control", 'Raw Data'!$A:$A, $A24, 'Raw Data'!$C:$C, $C$3),""))</f>
        <v>0.1894</v>
      </c>
      <c r="AJ24" s="102">
        <f>IF($A24="","",IFERROR(SUMPRODUCT(('Raw Data'!$B$2:$B$9999="Variant")*('Raw Data'!$A$2:$A$9999=$A24)*('Raw Data'!$C$2:$C$9999=$C$3)*'Raw Data'!$D$2:$D$9999*'Raw Data'!$O$2:$O$9999)/SUMIFS('Raw Data'!$D:$D, 'Raw Data'!$B:$B, "Variant", 'Raw Data'!$A:$A, $A24, 'Raw Data'!$C:$C, $C$3),""))</f>
        <v>0.2047</v>
      </c>
      <c r="AK24" s="105">
        <f t="shared" si="12"/>
        <v>0.08078141499</v>
      </c>
      <c r="AL24" s="101">
        <f>IF($A24="","",IFERROR(SUMPRODUCT(('Raw Data'!$B$2:$B$9999="Control")*('Raw Data'!$A$2:$A$9999=$A24)*('Raw Data'!$C$2:$C$9999=$C$3)*'Raw Data'!$D$2:$D$9999*'Raw Data'!$P$2:$P$9999)/SUMIFS('Raw Data'!$D:$D, 'Raw Data'!$B:$B, "Control", 'Raw Data'!$A:$A, $A24, 'Raw Data'!$C:$C, $C$3),""))</f>
        <v>1.1932</v>
      </c>
      <c r="AM24" s="101">
        <f>IF($A24="","",IFERROR(SUMPRODUCT(('Raw Data'!$B$2:$B$9999="Variant")*('Raw Data'!$A$2:$A$9999=$A24)*('Raw Data'!$C$2:$C$9999=$C$3)*'Raw Data'!$D$2:$D$9999*'Raw Data'!$P$2:$P$9999)/SUMIFS('Raw Data'!$D:$D, 'Raw Data'!$B:$B, "Variant", 'Raw Data'!$A:$A, $A24, 'Raw Data'!$C:$C, $C$3),""))</f>
        <v>1.1909</v>
      </c>
      <c r="AN24" s="105">
        <f t="shared" si="13"/>
        <v>-0.001927589675</v>
      </c>
      <c r="AO24" s="101">
        <f>IF($A24="","",IFERROR(SUMPRODUCT(('Raw Data'!$B$2:$B$9999="Control")*('Raw Data'!$A$2:$A$9999=$A24)*('Raw Data'!$C$2:$C$9999=$C$3)*'Raw Data'!$D$2:$D$9999*'Raw Data'!$Q$2:$Q$9999)/SUMIFS('Raw Data'!$D:$D, 'Raw Data'!$B:$B, "Control", 'Raw Data'!$A:$A, $A24, 'Raw Data'!$C:$C, $C$3),""))</f>
        <v>780.04</v>
      </c>
      <c r="AP24" s="101">
        <f>IF($A24="","",IFERROR(SUMPRODUCT(('Raw Data'!$B$2:$B$9999="Variant")*('Raw Data'!$A$2:$A$9999=$A24)*('Raw Data'!$C$2:$C$9999=$C$3)*'Raw Data'!$D$2:$D$9999*'Raw Data'!$Q$2:$Q$9999)/SUMIFS('Raw Data'!$D:$D, 'Raw Data'!$B:$B, "Variant", 'Raw Data'!$A:$A, $A24, 'Raw Data'!$C:$C, $C$3),""))</f>
        <v>821.62</v>
      </c>
      <c r="AQ24" s="95">
        <f t="shared" si="14"/>
        <v>0.05330495872</v>
      </c>
      <c r="AR24" s="101">
        <f>IF($A24="","",IFERROR(SUMPRODUCT(('Raw Data'!$B$2:$B$9999="Control")*('Raw Data'!$A$2:$A$9999=$A24)*('Raw Data'!$C$2:$C$9999=$C$3)*'Raw Data'!$D$2:$D$9999*'Raw Data'!$R$2:$R$9999)/SUMIFS('Raw Data'!$D:$D, 'Raw Data'!$B:$B, "Control", 'Raw Data'!$A:$A, $A24, 'Raw Data'!$C:$C, $C$3),""))</f>
        <v>500.94</v>
      </c>
      <c r="AS24" s="101">
        <f>IF($A24="","",IFERROR(SUMPRODUCT(('Raw Data'!$B$2:$B$9999="Variant")*('Raw Data'!$A$2:$A$9999=$A24)*('Raw Data'!$C$2:$C$9999=$C$3)*'Raw Data'!$D$2:$D$9999*'Raw Data'!$R$2:$R$9999)/SUMIFS('Raw Data'!$D:$D, 'Raw Data'!$B:$B, "Variant", 'Raw Data'!$A:$A, $A24, 'Raw Data'!$C:$C, $C$3),""))</f>
        <v>724.96</v>
      </c>
      <c r="AT24" s="95">
        <f t="shared" si="15"/>
        <v>0.4471992654</v>
      </c>
      <c r="AU24" s="101">
        <f>IF($A24="","",IFERROR(SUMPRODUCT(('Raw Data'!$B$2:$B$9999="Control")*('Raw Data'!$A$2:$A$9999=$A24)*('Raw Data'!$C$2:$C$9999=$C$3)*'Raw Data'!$D$2:$D$9999*'Raw Data'!$S$2:$S$9999)/SUMIFS('Raw Data'!$D:$D, 'Raw Data'!$B:$B, "Control", 'Raw Data'!$A:$A, $A24, 'Raw Data'!$C:$C, $C$3),""))</f>
        <v>279.1</v>
      </c>
      <c r="AV24" s="101">
        <f>IF($A24="","",IFERROR(SUMPRODUCT(('Raw Data'!$B$2:$B$9999="Variant")*('Raw Data'!$A$2:$A$9999=$A24)*('Raw Data'!$C$2:$C$9999=$C$3)*'Raw Data'!$D$2:$D$9999*'Raw Data'!$S$2:$S$9999)/SUMIFS('Raw Data'!$D:$D, 'Raw Data'!$B:$B, "Variant", 'Raw Data'!$A:$A, $A24, 'Raw Data'!$C:$C, $C$3),""))</f>
        <v>96.65</v>
      </c>
      <c r="AW24" s="95">
        <f t="shared" si="16"/>
        <v>-0.6537083483</v>
      </c>
      <c r="AX24" s="101">
        <f>IF($A24="","",IFERROR(SUMPRODUCT(('Raw Data'!$B$2:$B$9999="Control")*('Raw Data'!$A$2:$A$9999=$A24)*('Raw Data'!$C$2:$C$9999=$C$3)*'Raw Data'!$D$2:$D$9999*'Raw Data'!$T$2:$T$9999)/SUMIFS('Raw Data'!$D:$D, 'Raw Data'!$B:$B, "Control", 'Raw Data'!$A:$A, $A24, 'Raw Data'!$C:$C, $C$3),""))</f>
        <v>164.63</v>
      </c>
      <c r="AY24" s="101">
        <f>IF($A24="","",IFERROR(SUMPRODUCT(('Raw Data'!$B$2:$B$9999="Variant")*('Raw Data'!$A$2:$A$9999=$A24)*('Raw Data'!$C$2:$C$9999=$C$3)*'Raw Data'!$D$2:$D$9999*'Raw Data'!$T$2:$T$9999)/SUMIFS('Raw Data'!$D:$D, 'Raw Data'!$B:$B, "Variant", 'Raw Data'!$A:$A, $A24, 'Raw Data'!$C:$C, $C$3),""))</f>
        <v>247.55</v>
      </c>
      <c r="AZ24" s="105">
        <f t="shared" si="17"/>
        <v>0.5036749074</v>
      </c>
      <c r="BA24" s="101">
        <f>IF($A24="","",IFERROR(SUMPRODUCT(('Raw Data'!$B$2:$B$9999="Control")*('Raw Data'!$A$2:$A$9999=$A24)*('Raw Data'!$C$2:$C$9999=$C$3)*'Raw Data'!$D$2:$D$9999*'Raw Data'!$U$2:$U$9999)/SUMIFS('Raw Data'!$D:$D, 'Raw Data'!$B:$B, "Control", 'Raw Data'!$A:$A, $A24, 'Raw Data'!$C:$C, $C$3),""))</f>
        <v>615.41</v>
      </c>
      <c r="BB24" s="101">
        <f>IF($A24="","",IFERROR(SUMPRODUCT(('Raw Data'!$B$2:$B$9999="Variant")*('Raw Data'!$A$2:$A$9999=$A24)*('Raw Data'!$C$2:$C$9999=$C$3)*'Raw Data'!$D$2:$D$9999*'Raw Data'!$U$2:$U$9999)/SUMIFS('Raw Data'!$D:$D, 'Raw Data'!$B:$B, "Variant", 'Raw Data'!$A:$A, $A24, 'Raw Data'!$C:$C, $C$3),""))</f>
        <v>574.07</v>
      </c>
      <c r="BC24" s="95">
        <f t="shared" si="18"/>
        <v>-0.06717472904</v>
      </c>
      <c r="BD24" s="101">
        <f>IF($A24="","",IFERROR(SUMPRODUCT(('Raw Data'!$B$2:$B$9999="Control")*('Raw Data'!$A$2:$A$9999=$A24)*('Raw Data'!$C$2:$C$9999=$C$3)*'Raw Data'!$D$2:$D$9999*'Raw Data'!$V$2:$V$9999)/SUMIFS('Raw Data'!$D:$D, 'Raw Data'!$B:$B, "Control", 'Raw Data'!$A:$A, $A24, 'Raw Data'!$C:$C, $C$3),""))</f>
        <v>816.55</v>
      </c>
      <c r="BE24" s="101">
        <f>IF($A24="","",IFERROR(SUMPRODUCT(('Raw Data'!$B$2:$B$9999="Variant")*('Raw Data'!$A$2:$A$9999=$A24)*('Raw Data'!$C$2:$C$9999=$C$3)*'Raw Data'!$D$2:$D$9999*'Raw Data'!$V$2:$V$9999)/SUMIFS('Raw Data'!$D:$D, 'Raw Data'!$B:$B, "Variant", 'Raw Data'!$A:$A, $A24, 'Raw Data'!$C:$C, $C$3),""))</f>
        <v>999.89</v>
      </c>
      <c r="BF24" s="95">
        <f t="shared" si="19"/>
        <v>0.2245300349</v>
      </c>
      <c r="BG24" s="101">
        <f>IF($A24="","",IFERROR(SUMPRODUCT(('Raw Data'!$B$2:$B$9999="Control")*('Raw Data'!$A$2:$A$9999=$A24)*('Raw Data'!$C$2:$C$9999=$C$3)*'Raw Data'!$D$2:$D$9999*('Raw Data'!$Q$2:$Q$9999-'Raw Data'!$V$2:$V$9999))/SUMIFS('Raw Data'!$D:$D, 'Raw Data'!$B:$B, "Control", 'Raw Data'!$A:$A, $A24, 'Raw Data'!$C:$C, $C$3),""))</f>
        <v>-36.51</v>
      </c>
      <c r="BH24" s="101">
        <f>IF($A24="","",IFERROR(SUMPRODUCT(('Raw Data'!$B$2:$B$9999="Variant")*('Raw Data'!$A$2:$A$9999=$A24)*('Raw Data'!$C$2:$C$9999=$C$3)*'Raw Data'!$D$2:$D$9999*('Raw Data'!$Q$2:$Q$9999-'Raw Data'!$V$2:$V$9999))/SUMIFS('Raw Data'!$D:$D, 'Raw Data'!$B:$B, "Variant", 'Raw Data'!$A:$A, $A24, 'Raw Data'!$C:$C, $C$3),""))</f>
        <v>-178.27</v>
      </c>
      <c r="BI24" s="95">
        <f t="shared" si="20"/>
        <v>-3.882771843</v>
      </c>
      <c r="BJ24" s="101">
        <f>IF($A24="","",IFERROR(SUMPRODUCT(('Raw Data'!$B$2:$B$9999="Control")*('Raw Data'!$A$2:$A$9999=$A24)*('Raw Data'!$C$2:$C$9999=$C$3)*'Raw Data'!$D$2:$D$9999*'Raw Data'!$W$2:$W$9999)/SUMIFS('Raw Data'!$D:$D, 'Raw Data'!$B:$B, "Control", 'Raw Data'!$A:$A, $A24, 'Raw Data'!$C:$C, $C$3),""))</f>
        <v>5.2101</v>
      </c>
      <c r="BK24" s="101">
        <f>IF($A24="","",IFERROR(SUMPRODUCT(('Raw Data'!$B$2:$B$9999="Variant")*('Raw Data'!$A$2:$A$9999=$A24)*('Raw Data'!$C$2:$C$9999=$C$3)*'Raw Data'!$D$2:$D$9999*'Raw Data'!$W$2:$W$9999)/SUMIFS('Raw Data'!$D:$D, 'Raw Data'!$B:$B, "Variant", 'Raw Data'!$A:$A, $A24, 'Raw Data'!$C:$C, $C$3),""))</f>
        <v>6.6785</v>
      </c>
      <c r="BL24" s="95">
        <f t="shared" si="21"/>
        <v>0.2818372008</v>
      </c>
      <c r="BM24" s="102">
        <f>IF($A24="","",IFERROR(SUMPRODUCT(('Raw Data'!$B$2:$B$9999="Control")*('Raw Data'!$A$2:$A$9999=$A24)*('Raw Data'!$C$2:$C$9999=$C$3)*'Raw Data'!$D$2:$D$9999*'Raw Data'!$X$2:$X$9999)/SUMIFS('Raw Data'!$D:$D, 'Raw Data'!$B:$B, "Control", 'Raw Data'!$A:$A, $A24, 'Raw Data'!$C:$C, $C$3),""))</f>
        <v>21.11</v>
      </c>
      <c r="BN24" s="102">
        <f>IF($A24="","",IFERROR(SUMPRODUCT(('Raw Data'!$B$2:$B$9999="Variant")*('Raw Data'!$A$2:$A$9999=$A24)*('Raw Data'!$C$2:$C$9999=$C$3)*'Raw Data'!$D$2:$D$9999*'Raw Data'!$X$2:$X$9999)/SUMIFS('Raw Data'!$D:$D, 'Raw Data'!$B:$B, "Variant", 'Raw Data'!$A:$A, $A24, 'Raw Data'!$C:$C, $C$3),""))</f>
        <v>30.13</v>
      </c>
      <c r="BO24" s="105">
        <f t="shared" si="22"/>
        <v>0.4272856466</v>
      </c>
      <c r="BP24" s="94">
        <f>IF($A24="","",IFERROR(SUMPRODUCT(('Raw Data'!$B$2:$B$9999="Control")*('Raw Data'!$A$2:$A$9999=$A24)*('Raw Data'!$C$2:$C$9999=$C$3)*'Raw Data'!$D$2:$D$9999*'Raw Data'!$Y$2:$Y$9999)/SUMIFS('Raw Data'!$D:$D, 'Raw Data'!$B:$B, "Control", 'Raw Data'!$A:$A, $A24, 'Raw Data'!$C:$C, $C$3),""))</f>
        <v>365</v>
      </c>
      <c r="BQ24" s="94">
        <f>IF($A24="","",IFERROR(SUMPRODUCT(('Raw Data'!$B$2:$B$9999="Variant")*('Raw Data'!$A$2:$A$9999=$A24)*('Raw Data'!$C$2:$C$9999=$C$3)*'Raw Data'!$D$2:$D$9999*'Raw Data'!$Y$2:$Y$9999)/SUMIFS('Raw Data'!$D:$D, 'Raw Data'!$B:$B, "Variant", 'Raw Data'!$A:$A, $A24, 'Raw Data'!$C:$C, $C$3),""))</f>
        <v>341</v>
      </c>
      <c r="BR24" s="95">
        <f t="shared" si="23"/>
        <v>-0.06575342466</v>
      </c>
      <c r="BS24" s="94">
        <f>IF($A24="","",IFERROR(SUMPRODUCT(('Raw Data'!$B$2:$B$9999="Control")*('Raw Data'!$A$2:$A$9999=$A24)*('Raw Data'!$C$2:$C$9999=$C$3)*'Raw Data'!$D$2:$D$9999*'Raw Data'!$Z$2:$Z$9999)/SUMIFS('Raw Data'!$D:$D, 'Raw Data'!$B:$B, "Control", 'Raw Data'!$A:$A, $A24, 'Raw Data'!$C:$C, $C$3),""))</f>
        <v>1857</v>
      </c>
      <c r="BT24" s="94">
        <f>IF($A24="","",IFERROR(SUMPRODUCT(('Raw Data'!$B$2:$B$9999="Variant")*('Raw Data'!$A$2:$A$9999=$A24)*('Raw Data'!$C$2:$C$9999=$C$3)*'Raw Data'!$D$2:$D$9999*'Raw Data'!$Z$2:$Z$9999)/SUMIFS('Raw Data'!$D:$D, 'Raw Data'!$B:$B, "Variant", 'Raw Data'!$A:$A, $A24, 'Raw Data'!$C:$C, $C$3),""))</f>
        <v>2639</v>
      </c>
      <c r="BU24" s="95">
        <f t="shared" si="24"/>
        <v>0.4211093161</v>
      </c>
      <c r="BV24" s="94">
        <f>IF($A24="","",IFERROR(SUMPRODUCT(('Raw Data'!$B$2:$B$9999="Control")*('Raw Data'!$A$2:$A$9999=$A24)*('Raw Data'!$C$2:$C$9999=$C$3)*'Raw Data'!$D$2:$D$9999*'Raw Data'!$AA$2:$AA$9999)/SUMIFS('Raw Data'!$D:$D, 'Raw Data'!$B:$B, "Control", 'Raw Data'!$A:$A, $A24, 'Raw Data'!$C:$C, $C$3),""))</f>
        <v>8633</v>
      </c>
      <c r="BW24" s="94">
        <f>IF($A24="","",IFERROR(SUMPRODUCT(('Raw Data'!$B$2:$B$9999="Variant")*('Raw Data'!$A$2:$A$9999=$A24)*('Raw Data'!$C$2:$C$9999=$C$3)*'Raw Data'!$D$2:$D$9999*'Raw Data'!$AA$2:$AA$9999)/SUMIFS('Raw Data'!$D:$D, 'Raw Data'!$B:$B, "Variant", 'Raw Data'!$A:$A, $A24, 'Raw Data'!$C:$C, $C$3),""))</f>
        <v>13239</v>
      </c>
      <c r="BX24" s="95">
        <f t="shared" si="25"/>
        <v>0.5335341133</v>
      </c>
      <c r="BY24" s="101">
        <f>IF($A24="","",IFERROR(SUMPRODUCT(('Raw Data'!$B$2:$B$9999="Control")*('Raw Data'!$A$2:$A$9999=$A24)*('Raw Data'!$C$2:$C$9999=$C$3)*'Raw Data'!$D$2:$D$9999*'Raw Data'!$AB$2:$AB$9999)/SUMIFS('Raw Data'!$D:$D, 'Raw Data'!$B:$B, "Control", 'Raw Data'!$A:$A, $A24, 'Raw Data'!$C:$C, $C$3),""))</f>
        <v>61.9239</v>
      </c>
      <c r="BZ24" s="101">
        <f>IF($A24="","",IFERROR(SUMPRODUCT(('Raw Data'!$B$2:$B$9999="Variant")*('Raw Data'!$A$2:$A$9999=$A24)*('Raw Data'!$C$2:$C$9999=$C$3)*'Raw Data'!$D$2:$D$9999*'Raw Data'!$AB$2:$AB$9999)/SUMIFS('Raw Data'!$D:$D, 'Raw Data'!$B:$B, "Variant", 'Raw Data'!$A:$A, $A24, 'Raw Data'!$C:$C, $C$3),""))</f>
        <v>62.6829</v>
      </c>
      <c r="CA24" s="105">
        <f t="shared" si="26"/>
        <v>0.01225697994</v>
      </c>
      <c r="CB24" s="101">
        <f>IF($A24="","",IFERROR(SUMPRODUCT(('Raw Data'!$B$2:$B$9999="Control")*('Raw Data'!$A$2:$A$9999=$A24)*('Raw Data'!$C$2:$C$9999=$C$3)*'Raw Data'!$D$2:$D$9999*'Raw Data'!$AC$2:$AC$9999)/SUMIFS('Raw Data'!$D:$D, 'Raw Data'!$B:$B, "Control", 'Raw Data'!$A:$A, $A24, 'Raw Data'!$C:$C, $C$3),""))</f>
        <v>0.8744</v>
      </c>
      <c r="CC24" s="101">
        <f>IF($A24="","",IFERROR(SUMPRODUCT(('Raw Data'!$B$2:$B$9999="Variant")*('Raw Data'!$A$2:$A$9999=$A24)*('Raw Data'!$C$2:$C$9999=$C$3)*'Raw Data'!$D$2:$D$9999*'Raw Data'!$AC$2:$AC$9999)/SUMIFS('Raw Data'!$D:$D, 'Raw Data'!$B:$B, "Variant", 'Raw Data'!$A:$A, $A24, 'Raw Data'!$C:$C, $C$3),""))</f>
        <v>0.8844</v>
      </c>
      <c r="CD24" s="105">
        <f t="shared" si="27"/>
        <v>0.01143641354</v>
      </c>
      <c r="CE24" s="101">
        <f>IF($A24="","",IFERROR(SUMPRODUCT(('Raw Data'!$B$2:$B$9999="Control")*('Raw Data'!$A$2:$A$9999=$A24)*('Raw Data'!$C$2:$C$9999=$C$3)*'Raw Data'!$D$2:$D$9999*'Raw Data'!$AD$2:$AD$9999)/SUMIFS('Raw Data'!$D:$D, 'Raw Data'!$B:$B, "Control", 'Raw Data'!$A:$A, $A24, 'Raw Data'!$C:$C, $C$3),""))</f>
        <v>90.4</v>
      </c>
      <c r="CF24" s="101">
        <f>IF($A24="","",IFERROR(SUMPRODUCT(('Raw Data'!$B$2:$B$9999="Variant")*('Raw Data'!$A$2:$A$9999=$A24)*('Raw Data'!$C$2:$C$9999=$C$3)*'Raw Data'!$D$2:$D$9999*'Raw Data'!$AD$2:$AD$9999)/SUMIFS('Raw Data'!$D:$D, 'Raw Data'!$B:$B, "Variant", 'Raw Data'!$A:$A, $A24, 'Raw Data'!$C:$C, $C$3),""))</f>
        <v>88.48</v>
      </c>
      <c r="CG24" s="105">
        <f t="shared" si="28"/>
        <v>-0.02123893805</v>
      </c>
      <c r="CH24" s="101">
        <f>IF($A24="","",IFERROR(SUMPRODUCT(('Raw Data'!$B$2:$B$9999="Control")*('Raw Data'!$A$2:$A$9999=$A24)*('Raw Data'!$C$2:$C$9999=$C$3)*'Raw Data'!$D$2:$D$9999*'Raw Data'!$AE$2:$AE$9999)/SUMIFS('Raw Data'!$D:$D, 'Raw Data'!$B:$B, "Control", 'Raw Data'!$A:$A, $A24, 'Raw Data'!$C:$C, $C$3),""))</f>
        <v>34</v>
      </c>
      <c r="CI24" s="101">
        <f>IF($A24="","",IFERROR(SUMPRODUCT(('Raw Data'!$B$2:$B$9999="Variant")*('Raw Data'!$A$2:$A$9999=$A24)*('Raw Data'!$C$2:$C$9999=$C$3)*'Raw Data'!$D$2:$D$9999*'Raw Data'!$AE$2:$AE$9999)/SUMIFS('Raw Data'!$D:$D, 'Raw Data'!$B:$B, "Variant", 'Raw Data'!$A:$A, $A24, 'Raw Data'!$C:$C, $C$3),""))</f>
        <v>35</v>
      </c>
      <c r="CJ24" s="105">
        <f t="shared" si="29"/>
        <v>0.02941176471</v>
      </c>
      <c r="CK24" s="101">
        <f>IF($A24="","",IFERROR(SUMPRODUCT(('Raw Data'!$B$2:$B$9999="Control")*('Raw Data'!$A$2:$A$9999=$A24)*('Raw Data'!$C$2:$C$9999=$C$3)*'Raw Data'!$D$2:$D$9999*'Raw Data'!$AF$2:$AF$9999)/SUMIFS('Raw Data'!$D:$D, 'Raw Data'!$B:$B, "Control", 'Raw Data'!$A:$A, $A24, 'Raw Data'!$C:$C, $C$3),""))</f>
        <v>80</v>
      </c>
      <c r="CL24" s="101">
        <f>IF($A24="","",IFERROR(SUMPRODUCT(('Raw Data'!$B$2:$B$9999="Variant")*('Raw Data'!$A$2:$A$9999=$A24)*('Raw Data'!$C$2:$C$9999=$C$3)*'Raw Data'!$D$2:$D$9999*'Raw Data'!$AF$2:$AF$9999)/SUMIFS('Raw Data'!$D:$D, 'Raw Data'!$B:$B, "Variant", 'Raw Data'!$A:$A, $A24, 'Raw Data'!$C:$C, $C$3),""))</f>
        <v>73</v>
      </c>
      <c r="CM24" s="105">
        <f t="shared" si="30"/>
        <v>-0.0875</v>
      </c>
      <c r="CN24" s="101">
        <f>IF($A24="","",IFERROR(SUMPRODUCT(('Raw Data'!$B$2:$B$9999="Control")*('Raw Data'!$A$2:$A$9999=$A24)*('Raw Data'!$C$2:$C$9999=$C$3)*'Raw Data'!$D$2:$D$9999*'Raw Data'!$AG$2:$AG$9999)/SUMIFS('Raw Data'!$D:$D, 'Raw Data'!$B:$B, "Control", 'Raw Data'!$A:$A, $A24, 'Raw Data'!$C:$C, $C$3),""))</f>
        <v>131</v>
      </c>
      <c r="CO24" s="101">
        <f>IF($A24="","",IFERROR(SUMPRODUCT(('Raw Data'!$B$2:$B$9999="Variant")*('Raw Data'!$A$2:$A$9999=$A24)*('Raw Data'!$C$2:$C$9999=$C$3)*'Raw Data'!$D$2:$D$9999*'Raw Data'!$AG$2:$AG$9999)/SUMIFS('Raw Data'!$D:$D, 'Raw Data'!$B:$B, "Variant", 'Raw Data'!$A:$A, $A24, 'Raw Data'!$C:$C, $C$3),""))</f>
        <v>128</v>
      </c>
      <c r="CP24" s="105">
        <f t="shared" si="31"/>
        <v>-0.02290076336</v>
      </c>
      <c r="CQ24" s="101">
        <f>IF($A24="","",IFERROR(SUMPRODUCT(('Raw Data'!$B$2:$B$9999="Control")*('Raw Data'!$A$2:$A$9999=$A24)*('Raw Data'!$C$2:$C$9999=$C$3)*'Raw Data'!$D$2:$D$9999*'Raw Data'!$AH$2:$AH$9999)/SUMIFS('Raw Data'!$D:$D, 'Raw Data'!$B:$B, "Control", 'Raw Data'!$A:$A, $A24, 'Raw Data'!$C:$C, $C$3),""))</f>
        <v>185</v>
      </c>
      <c r="CR24" s="101">
        <f>IF($A24="","",IFERROR(SUMPRODUCT(('Raw Data'!$B$2:$B$9999="Variant")*('Raw Data'!$A$2:$A$9999=$A24)*('Raw Data'!$C$2:$C$9999=$C$3)*'Raw Data'!$D$2:$D$9999*'Raw Data'!$AH$2:$AH$9999)/SUMIFS('Raw Data'!$D:$D, 'Raw Data'!$B:$B, "Variant", 'Raw Data'!$A:$A, $A24, 'Raw Data'!$C:$C, $C$3),""))</f>
        <v>185</v>
      </c>
      <c r="CS24" s="105">
        <f t="shared" si="32"/>
        <v>0</v>
      </c>
      <c r="CT24" s="96">
        <f>IF($A24="","",IFERROR(SUMPRODUCT(('Raw Data'!$B$2:$B$9999="Control")*('Raw Data'!$A$2:$A$9999=$A24)*('Raw Data'!$C$2:$C$9999=$C$3)*'Raw Data'!$D$2:$D$9999*'Raw Data'!$AI$2:$AI$9999)/SUMIFS('Raw Data'!$D:$D, 'Raw Data'!$B:$B, "Control", 'Raw Data'!$A:$A, $A24, 'Raw Data'!$C:$C, $C$3),""))</f>
        <v>50.84</v>
      </c>
      <c r="CU24" s="96">
        <f>IF($A24="","",IFERROR(SUMPRODUCT(('Raw Data'!$B$2:$B$9999="Variant")*('Raw Data'!$A$2:$A$9999=$A24)*('Raw Data'!$C$2:$C$9999=$C$3)*'Raw Data'!$D$2:$D$9999*'Raw Data'!$AI$2:$AI$9999)/SUMIFS('Raw Data'!$D:$D, 'Raw Data'!$B:$B, "Variant", 'Raw Data'!$A:$A, $A24, 'Raw Data'!$C:$C, $C$3),""))</f>
        <v>46.7</v>
      </c>
      <c r="CV24" s="106">
        <f t="shared" si="33"/>
        <v>-0.08143194335</v>
      </c>
      <c r="CW24" s="96">
        <f>IF($A24="","",IFERROR(SUMPRODUCT(('Raw Data'!$B$2:$B$9999="Control")*('Raw Data'!$A$2:$A$9999=$A24)*('Raw Data'!$C$2:$C$9999=$C$3)*'Raw Data'!$D$2:$D$9999*'Raw Data'!$AJ$2:$AJ$9999)/SUMIFS('Raw Data'!$D:$D, 'Raw Data'!$B:$B, "Control", 'Raw Data'!$A:$A, $A24, 'Raw Data'!$C:$C, $C$3),""))</f>
        <v>12.23</v>
      </c>
      <c r="CX24" s="96">
        <f>IF($A24="","",IFERROR(SUMPRODUCT(('Raw Data'!$B$2:$B$9999="Variant")*('Raw Data'!$A$2:$A$9999=$A24)*('Raw Data'!$C$2:$C$9999=$C$3)*'Raw Data'!$D$2:$D$9999*'Raw Data'!$AJ$2:$AJ$9999)/SUMIFS('Raw Data'!$D:$D, 'Raw Data'!$B:$B, "Variant", 'Raw Data'!$A:$A, $A24, 'Raw Data'!$C:$C, $C$3),""))</f>
        <v>11.94</v>
      </c>
      <c r="CY24" s="106">
        <f t="shared" si="34"/>
        <v>-0.02371218316</v>
      </c>
      <c r="CZ24" s="96">
        <f>IF($A24="","",IFERROR(SUMPRODUCT(('Raw Data'!$B$2:$B$9999="Control")*('Raw Data'!$A$2:$A$9999=$A24)*('Raw Data'!$C$2:$C$9999=$C$3)*'Raw Data'!$D$2:$D$9999*'Raw Data'!$AK$2:$AK$9999)/SUMIFS('Raw Data'!$D:$D, 'Raw Data'!$B:$B, "Control", 'Raw Data'!$A:$A, $A24, 'Raw Data'!$C:$C, $C$3),""))</f>
        <v>1.44</v>
      </c>
      <c r="DA24" s="96">
        <f>IF($A24="","",IFERROR(SUMPRODUCT(('Raw Data'!$B$2:$B$9999="Variant")*('Raw Data'!$A$2:$A$9999=$A24)*('Raw Data'!$C$2:$C$9999=$C$3)*'Raw Data'!$D$2:$D$9999*'Raw Data'!$AK$2:$AK$9999)/SUMIFS('Raw Data'!$D:$D, 'Raw Data'!$B:$B, "Variant", 'Raw Data'!$A:$A, $A24, 'Raw Data'!$C:$C, $C$3),""))</f>
        <v>1.07</v>
      </c>
      <c r="DB24" s="105">
        <f t="shared" si="35"/>
        <v>-0.2569444444</v>
      </c>
      <c r="DC24" s="102">
        <f>IF($A24="","",IFERROR(SUMPRODUCT(('Raw Data'!$B$2:$B$9999="Control")*('Raw Data'!$A$2:$A$9999=$A24)*('Raw Data'!$C$2:$C$9999=$C$3)*'Raw Data'!$D$2:$D$9999*'Raw Data'!$AL$2:$AL$9999)/SUMIFS('Raw Data'!$D:$D, 'Raw Data'!$B:$B, "Control", 'Raw Data'!$A:$A, $A24, 'Raw Data'!$C:$C, $C$3),""))</f>
        <v>0.1007</v>
      </c>
      <c r="DD24" s="102">
        <f>IF($A24="","",IFERROR(SUMPRODUCT(('Raw Data'!$B$2:$B$9999="Variant")*('Raw Data'!$A$2:$A$9999=$A24)*('Raw Data'!$C$2:$C$9999=$C$3)*'Raw Data'!$D$2:$D$9999*'Raw Data'!$AL$2:$AL$9999)/SUMIFS('Raw Data'!$D:$D, 'Raw Data'!$B:$B, "Variant", 'Raw Data'!$A:$A, $A24, 'Raw Data'!$C:$C, $C$3),""))</f>
        <v>0.1173</v>
      </c>
      <c r="DE24" s="106">
        <f t="shared" si="36"/>
        <v>0.1648460775</v>
      </c>
      <c r="DF24" s="103"/>
      <c r="DG24" s="96">
        <f>IF($A24="","",IFERROR(SUMPRODUCT(('Raw Data'!$B$2:$B$9999="Variant")*('Raw Data'!$A$2:$A$9999=$A24)*('Raw Data'!$C$2:$C$9999=$C$3)*'Raw Data'!$D$2:$D$9999*'Raw Data'!$AM$2:$AM$9999)/SUMIFS('Raw Data'!$D:$D, 'Raw Data'!$B:$B, "Variant", 'Raw Data'!$A:$A, $A24, 'Raw Data'!$C:$C, $C$3),""))</f>
        <v>76.97</v>
      </c>
      <c r="DH24" s="104"/>
      <c r="DI24" s="103"/>
      <c r="DJ24" s="96">
        <f>IF($A24="","",IFERROR(SUMPRODUCT(('Raw Data'!$B$2:$B$9999="Variant")*('Raw Data'!$A$2:$A$9999=$A24)*('Raw Data'!$C$2:$C$9999=$C$3)*'Raw Data'!$D$2:$D$9999*'Raw Data'!$AN$2:$AN$9999)/SUMIFS('Raw Data'!$D:$D, 'Raw Data'!$B:$B, "Variant", 'Raw Data'!$A:$A, $A24, 'Raw Data'!$C:$C, $C$3),""))</f>
        <v>76.97</v>
      </c>
      <c r="DK24" s="104"/>
      <c r="DL24" s="103"/>
      <c r="DM24" s="96">
        <f>IF($A24="","",IFERROR(SUMPRODUCT(('Raw Data'!$B$2:$B$9999="Variant")*('Raw Data'!$A$2:$A$9999=$A24)*('Raw Data'!$C$2:$C$9999=$C$3)*'Raw Data'!$D$2:$D$9999*'Raw Data'!$AO$2:$AO$9999)/SUMIFS('Raw Data'!$D:$D, 'Raw Data'!$B:$B, "Variant", 'Raw Data'!$A:$A, $A24, 'Raw Data'!$C:$C, $C$3),""))</f>
        <v>62.05</v>
      </c>
      <c r="DN24" s="104"/>
      <c r="DO24" s="103"/>
      <c r="DP24" s="96">
        <f>IF($A24="","",IFERROR(SUMPRODUCT(('Raw Data'!$B$2:$B$9999="Variant")*('Raw Data'!$A$2:$A$9999=$A24)*('Raw Data'!$C$2:$C$9999=$C$3)*'Raw Data'!$D$2:$D$9999*'Raw Data'!$AP$2:$AP$9999)/SUMIFS('Raw Data'!$D:$D, 'Raw Data'!$B:$B, "Variant", 'Raw Data'!$A:$A, $A24, 'Raw Data'!$C:$C, $C$3),""))</f>
        <v>48.61</v>
      </c>
      <c r="DQ24" s="104"/>
      <c r="DR24" s="102">
        <f>IF($A24="","",IFERROR(SUMPRODUCT(('Raw Data'!$B$2:$B$9999="Control")*('Raw Data'!$A$2:$A$9999=$A24)*('Raw Data'!$C$2:$C$9999=$C$3)*'Raw Data'!$D$2:$D$9999*'Raw Data'!$AQ$2:$AQ$9999)/SUMIFS('Raw Data'!$D:$D, 'Raw Data'!$B:$B, "Control", 'Raw Data'!$A:$A, $A24, 'Raw Data'!$C:$C, $C$3),""))</f>
        <v>40.6235</v>
      </c>
      <c r="DS24" s="102">
        <f>IF($A24="","",IFERROR(SUMPRODUCT(('Raw Data'!$B$2:$B$9999="Variant")*('Raw Data'!$A$2:$A$9999=$A24)*('Raw Data'!$C$2:$C$9999=$C$3)*'Raw Data'!$D$2:$D$9999*'Raw Data'!$AQ$2:$AQ$9999)/SUMIFS('Raw Data'!$D:$D, 'Raw Data'!$B:$B, "Variant", 'Raw Data'!$A:$A, $A24, 'Raw Data'!$C:$C, $C$3),""))</f>
        <v>43.4243</v>
      </c>
      <c r="DT24" s="109">
        <f t="shared" si="37"/>
        <v>0.0689453149</v>
      </c>
      <c r="DU24" s="102">
        <f>IF($A24="","",IFERROR(SUMPRODUCT(('Raw Data'!$B$2:$B$9999="Control")*('Raw Data'!$A$2:$A$9999=$A24)*('Raw Data'!$C$2:$C$9999=$C$3)*'Raw Data'!$D$2:$D$9999*'Raw Data'!$AR$2:$AR$9999)/SUMIFS('Raw Data'!$D:$D, 'Raw Data'!$B:$B, "Control", 'Raw Data'!$A:$A, $A24, 'Raw Data'!$C:$C, $C$3),""))</f>
        <v>2.8801</v>
      </c>
      <c r="DV24" s="102">
        <f>IF($A24="","",IFERROR(SUMPRODUCT(('Raw Data'!$B$2:$B$9999="Variant")*('Raw Data'!$A$2:$A$9999=$A24)*('Raw Data'!$C$2:$C$9999=$C$3)*'Raw Data'!$D$2:$D$9999*'Raw Data'!$AR$2:$AR$9999)/SUMIFS('Raw Data'!$D:$D, 'Raw Data'!$B:$B, "Variant", 'Raw Data'!$A:$A, $A24, 'Raw Data'!$C:$C, $C$3),""))</f>
        <v>5.145</v>
      </c>
      <c r="DW24" s="109">
        <f t="shared" si="38"/>
        <v>0.7863963057</v>
      </c>
      <c r="DX24" s="102">
        <f>IF($A24="","",IFERROR(SUMPRODUCT(('Raw Data'!$B$2:$B$9999="Control")*('Raw Data'!$A$2:$A$9999=$A24)*('Raw Data'!$C$2:$C$9999=$C$3)*'Raw Data'!$D$2:$D$9999*'Raw Data'!$AS$2:$AS$9999)/SUMIFS('Raw Data'!$D:$D, 'Raw Data'!$B:$B, "Control", 'Raw Data'!$A:$A, $A24, 'Raw Data'!$C:$C, $C$3),""))</f>
        <v>37.7434</v>
      </c>
      <c r="DY24" s="102">
        <f>IF($A24="","",IFERROR(SUMPRODUCT(('Raw Data'!$B$2:$B$9999="Variant")*('Raw Data'!$A$2:$A$9999=$A24)*('Raw Data'!$C$2:$C$9999=$C$3)*'Raw Data'!$D$2:$D$9999*'Raw Data'!$AS$2:$AS$9999)/SUMIFS('Raw Data'!$D:$D, 'Raw Data'!$B:$B, "Variant", 'Raw Data'!$A:$A, $A24, 'Raw Data'!$C:$C, $C$3),""))</f>
        <v>38.2793</v>
      </c>
      <c r="DZ24" s="110">
        <f t="shared" si="39"/>
        <v>0.01419850888</v>
      </c>
      <c r="EA24" s="102">
        <f>IF($A24="","",IFERROR(SUMPRODUCT(('Raw Data'!$B$2:$B$9999="Control")*('Raw Data'!$A$2:$A$9999=$A24)*('Raw Data'!$C$2:$C$9999=$C$3)*'Raw Data'!$D$2:$D$9999*'Raw Data'!$AT$2:$AT$9999)/SUMIFS('Raw Data'!$D:$D, 'Raw Data'!$B:$B, "Control", 'Raw Data'!$A:$A, $A24, 'Raw Data'!$C:$C, $C$3),""))</f>
        <v>37.6523</v>
      </c>
      <c r="EB24" s="102">
        <f>IF($A24="","",IFERROR(SUMPRODUCT(('Raw Data'!$B$2:$B$9999="Variant")*('Raw Data'!$A$2:$A$9999=$A24)*('Raw Data'!$C$2:$C$9999=$C$3)*'Raw Data'!$D$2:$D$9999*'Raw Data'!$AT$2:$AT$9999)/SUMIFS('Raw Data'!$D:$D, 'Raw Data'!$B:$B, "Variant", 'Raw Data'!$A:$A, $A24, 'Raw Data'!$C:$C, $C$3),""))</f>
        <v>36.8422</v>
      </c>
      <c r="EC24" s="109">
        <f t="shared" si="40"/>
        <v>-0.02151528592</v>
      </c>
      <c r="ED24" s="102">
        <f>IF($A24="","",IFERROR(SUMPRODUCT(('Raw Data'!$B$2:$B$9999="Control")*('Raw Data'!$A$2:$A$9999=$A24)*('Raw Data'!$C$2:$C$9999=$C$3)*'Raw Data'!$D$2:$D$9999*('Raw Data'!$AQ$2:$AQ$9999-'Raw Data'!$AT$2:$AT$9999))/SUMIFS('Raw Data'!$D:$D, 'Raw Data'!$B:$B, "Control", 'Raw Data'!$A:$A, $A24, 'Raw Data'!$C:$C, $C$3),""))</f>
        <v>2.9712</v>
      </c>
      <c r="EE24" s="102">
        <f>IF($A24="","",IFERROR(SUMPRODUCT(('Raw Data'!$B$2:$B$9999="Variant")*('Raw Data'!$A$2:$A$9999=$A24)*('Raw Data'!$C$2:$C$9999=$C$3)*'Raw Data'!$D$2:$D$9999*('Raw Data'!$AQ$2:$AQ$9999-'Raw Data'!$AT$2:$AT$9999))/SUMIFS('Raw Data'!$D:$D, 'Raw Data'!$B:$B, "Variant", 'Raw Data'!$A:$A, $A24, 'Raw Data'!$C:$C, $C$3),""))</f>
        <v>6.5821</v>
      </c>
      <c r="EF24" s="110">
        <f t="shared" si="41"/>
        <v>1.215300215</v>
      </c>
      <c r="EG24" s="102">
        <f>IF($A24="","",IFERROR(SUMPRODUCT(('Raw Data'!$B$2:$B$9999="Control")*('Raw Data'!$A$2:$A$9999=$A24)*('Raw Data'!$C$2:$C$9999=$C$3)*'Raw Data'!$D$2:$D$9999*'Raw Data'!$AU$2:$AU$9999)/SUMIFS('Raw Data'!$D:$D, 'Raw Data'!$B:$B, "Control", 'Raw Data'!$A:$A, $A24, 'Raw Data'!$C:$C, $C$3),""))</f>
        <v>0.2402</v>
      </c>
      <c r="EH24" s="102">
        <f>IF($A24="","",IFERROR(SUMPRODUCT(('Raw Data'!$B$2:$B$9999="Variant")*('Raw Data'!$A$2:$A$9999=$A24)*('Raw Data'!$C$2:$C$9999=$C$3)*'Raw Data'!$D$2:$D$9999*'Raw Data'!$AU$2:$AU$9999)/SUMIFS('Raw Data'!$D:$D, 'Raw Data'!$B:$B, "Variant", 'Raw Data'!$A:$A, $A24, 'Raw Data'!$C:$C, $C$3),""))</f>
        <v>0.2461</v>
      </c>
      <c r="EI24" s="109">
        <f t="shared" si="42"/>
        <v>0.02456286428</v>
      </c>
    </row>
    <row r="25" ht="15.75" customHeight="1">
      <c r="A25" s="93">
        <v>46193.0</v>
      </c>
      <c r="B25" s="94">
        <f>IF($A25="","",SUMIFS('Raw Data'!$D:$D, 'Raw Data'!$B:$B, "Control", 'Raw Data'!$A:$A, $A25, 'Raw Data'!$C:$C, $C$3))</f>
        <v>457</v>
      </c>
      <c r="C25" s="94">
        <f>IF($A25="","",SUMIFS('Raw Data'!$D:$D, 'Raw Data'!$B:$B, "Variant", 'Raw Data'!$A:$A, $A25, 'Raw Data'!$C:$C, $C$3))</f>
        <v>494</v>
      </c>
      <c r="D25" s="95">
        <f t="shared" si="1"/>
        <v>0.08096280088</v>
      </c>
      <c r="E25" s="96">
        <f>IF($A25="","",IFERROR(SUMPRODUCT(('Raw Data'!$B$2:$B$9999="Control")*('Raw Data'!$A$2:$A$9999=$A25)*('Raw Data'!$C$2:$C$9999=$C$3)*'Raw Data'!$D$2:$D$9999*'Raw Data'!$E$2:$E$9999)/SUMIFS('Raw Data'!$D:$D, 'Raw Data'!$B:$B, "Control", 'Raw Data'!$A:$A, $A25, 'Raw Data'!$C:$C, $C$3),""))</f>
        <v>0.58</v>
      </c>
      <c r="F25" s="96">
        <f>IF($A25="","",IFERROR(SUMPRODUCT(('Raw Data'!$B$2:$B$9999="Variant")*('Raw Data'!$A$2:$A$9999=$A25)*('Raw Data'!$C$2:$C$9999=$C$3)*'Raw Data'!$D$2:$D$9999*'Raw Data'!$E$2:$E$9999)/SUMIFS('Raw Data'!$D:$D, 'Raw Data'!$B:$B, "Variant", 'Raw Data'!$A:$A, $A25, 'Raw Data'!$C:$C, $C$3),""))</f>
        <v>0.63</v>
      </c>
      <c r="G25" s="95">
        <f t="shared" si="2"/>
        <v>0.08620689655</v>
      </c>
      <c r="H25" s="97">
        <f>IF($A25="","",SUMIFS('Raw Data'!$F:$F, 'Raw Data'!$B:$B, "Control", 'Raw Data'!$A:$A, $A25, 'Raw Data'!$C:$C, $C$3))</f>
        <v>1196.3</v>
      </c>
      <c r="I25" s="97">
        <f>IF($A25="","",SUMIFS('Raw Data'!$F:$F, 'Raw Data'!$B:$B, "Variant", 'Raw Data'!$A:$A, $A25, 'Raw Data'!$C:$C, $C$3))</f>
        <v>1309.68</v>
      </c>
      <c r="J25" s="106">
        <f t="shared" si="3"/>
        <v>0.09477555797</v>
      </c>
      <c r="K25" s="99">
        <f>IF($A25="","",IFERROR(SUMIFS('Raw Data'!$F:$F, 'Raw Data'!$B:$B, "Control", 'Raw Data'!$A:$A, $A25, 'Raw Data'!$C:$C, $C$3)/SUMIFS('Raw Data'!$D:$D, 'Raw Data'!$B:$B, "Control", 'Raw Data'!$A:$A, $A25, 'Raw Data'!$C:$C, $C$3),""))</f>
        <v>2.617724289</v>
      </c>
      <c r="L25" s="99">
        <f>IF($A25="","",IFERROR(SUMIFS('Raw Data'!$F:$F, 'Raw Data'!$B:$B, "Variant", 'Raw Data'!$A:$A, $A25, 'Raw Data'!$C:$C, $C$3)/SUMIFS('Raw Data'!$D:$D, 'Raw Data'!$B:$B, "Variant", 'Raw Data'!$A:$A, $A25, 'Raw Data'!$C:$C, $C$3),""))</f>
        <v>2.651174089</v>
      </c>
      <c r="M25" s="106">
        <f t="shared" si="4"/>
        <v>0.01277819837</v>
      </c>
      <c r="N25" s="96">
        <f>IF($A25="","",IFERROR(SUMPRODUCT(('Raw Data'!$B$2:$B$9999="Control")*('Raw Data'!$A$2:$A$9999=$A25)*('Raw Data'!$C$2:$C$9999=$C$3)*'Raw Data'!$D$2:$D$9999*'Raw Data'!$H$2:$H$9999/100)/SUMIFS('Raw Data'!$D:$D, 'Raw Data'!$B:$B, "Control", 'Raw Data'!$A:$A, $A25, 'Raw Data'!$C:$C, $C$3)*100,""))</f>
        <v>12.25</v>
      </c>
      <c r="O25" s="96">
        <f>IF($A25="","",IFERROR(SUMPRODUCT(('Raw Data'!$B$2:$B$9999="Variant")*('Raw Data'!$A$2:$A$9999=$A25)*('Raw Data'!$C$2:$C$9999=$C$3)*'Raw Data'!$D$2:$D$9999*'Raw Data'!$H$2:$H$9999/100)/SUMIFS('Raw Data'!$D:$D, 'Raw Data'!$B:$B, "Variant", 'Raw Data'!$A:$A, $A25, 'Raw Data'!$C:$C, $C$3)*100,""))</f>
        <v>15.59</v>
      </c>
      <c r="P25" s="105">
        <f t="shared" si="5"/>
        <v>0.2726530612</v>
      </c>
      <c r="Q25" s="99">
        <f>IF($A25="","",IFERROR(SUMIFS('Raw Data'!$F:$F, 'Raw Data'!$B:$B, "Control", 'Raw Data'!$A:$A, $A25, 'Raw Data'!$C:$C, $C$3)/SUMPRODUCT(('Raw Data'!$B$2:$B$9999="Control")*('Raw Data'!$A$2:$A$9999=$A25)*('Raw Data'!$C$2:$C$9999=$C$3)*'Raw Data'!$D$2:$D$9999*'Raw Data'!$H$2:$H$9999/100),""))</f>
        <v>21.36917787</v>
      </c>
      <c r="R25" s="99">
        <f>IF($A25="","",IFERROR(SUMIFS('Raw Data'!$F:$F, 'Raw Data'!$B:$B, "Variant", 'Raw Data'!$A:$A, $A25, 'Raw Data'!$C:$C, $C$3)/SUMPRODUCT(('Raw Data'!$B$2:$B$9999="Variant")*('Raw Data'!$A$2:$A$9999=$A25)*('Raw Data'!$C$2:$C$9999=$C$3)*'Raw Data'!$D$2:$D$9999*'Raw Data'!$H$2:$H$9999/100),""))</f>
        <v>17.00560673</v>
      </c>
      <c r="S25" s="106">
        <f t="shared" si="6"/>
        <v>-0.2041992989</v>
      </c>
      <c r="T25" s="101">
        <f>IF($A25="","",IFERROR(SUMPRODUCT(('Raw Data'!$B$2:$B$9999="Control")*('Raw Data'!$A$2:$A$9999=$A25)*('Raw Data'!$C$2:$C$9999=$C$3)*'Raw Data'!$D$2:$D$9999*'Raw Data'!$J$2:$J$9999)/SUMIFS('Raw Data'!$D:$D, 'Raw Data'!$B:$B, "Control", 'Raw Data'!$A:$A, $A25, 'Raw Data'!$C:$C, $C$3),""))</f>
        <v>238.68</v>
      </c>
      <c r="U25" s="101">
        <f>IF($A25="","",IFERROR(SUMPRODUCT(('Raw Data'!$B$2:$B$9999="Variant")*('Raw Data'!$A$2:$A$9999=$A25)*('Raw Data'!$C$2:$C$9999=$C$3)*'Raw Data'!$D$2:$D$9999*'Raw Data'!$J$2:$J$9999)/SUMIFS('Raw Data'!$D:$D, 'Raw Data'!$B:$B, "Variant", 'Raw Data'!$A:$A, $A25, 'Raw Data'!$C:$C, $C$3),""))</f>
        <v>236.99</v>
      </c>
      <c r="V25" s="105">
        <f t="shared" si="7"/>
        <v>-0.007080610022</v>
      </c>
      <c r="W25" s="101">
        <f>IF($A25="","",IFERROR(SUMPRODUCT(('Raw Data'!$B$2:$B$9999="Control")*('Raw Data'!$A$2:$A$9999=$A25)*('Raw Data'!$C$2:$C$9999=$C$3)*'Raw Data'!$D$2:$D$9999*'Raw Data'!$K$2:$K$9999)/SUMIFS('Raw Data'!$D:$D, 'Raw Data'!$B:$B, "Control", 'Raw Data'!$A:$A, $A25, 'Raw Data'!$C:$C, $C$3),""))</f>
        <v>145.41</v>
      </c>
      <c r="X25" s="101">
        <f>IF($A25="","",IFERROR(SUMPRODUCT(('Raw Data'!$B$2:$B$9999="Variant")*('Raw Data'!$A$2:$A$9999=$A25)*('Raw Data'!$C$2:$C$9999=$C$3)*'Raw Data'!$D$2:$D$9999*'Raw Data'!$K$2:$K$9999)/SUMIFS('Raw Data'!$D:$D, 'Raw Data'!$B:$B, "Variant", 'Raw Data'!$A:$A, $A25, 'Raw Data'!$C:$C, $C$3),""))</f>
        <v>143.05</v>
      </c>
      <c r="Y25" s="105">
        <f t="shared" si="8"/>
        <v>-0.01622997043</v>
      </c>
      <c r="Z25" s="101">
        <f>IF($A25="","",IFERROR(SUMPRODUCT(('Raw Data'!$B$2:$B$9999="Control")*('Raw Data'!$A$2:$A$9999=$A25)*('Raw Data'!$C$2:$C$9999=$C$3)*'Raw Data'!$D$2:$D$9999*'Raw Data'!$L$2:$L$9999)/SUMIFS('Raw Data'!$D:$D, 'Raw Data'!$B:$B, "Control", 'Raw Data'!$A:$A, $A25, 'Raw Data'!$C:$C, $C$3),""))</f>
        <v>124.07</v>
      </c>
      <c r="AA25" s="101">
        <f>IF($A25="","",IFERROR(SUMPRODUCT(('Raw Data'!$B$2:$B$9999="Variant")*('Raw Data'!$A$2:$A$9999=$A25)*('Raw Data'!$C$2:$C$9999=$C$3)*'Raw Data'!$D$2:$D$9999*'Raw Data'!$L$2:$L$9999)/SUMIFS('Raw Data'!$D:$D, 'Raw Data'!$B:$B, "Variant", 'Raw Data'!$A:$A, $A25, 'Raw Data'!$C:$C, $C$3),""))</f>
        <v>121.47</v>
      </c>
      <c r="AB25" s="105">
        <f t="shared" si="9"/>
        <v>-0.02095591199</v>
      </c>
      <c r="AC25" s="102">
        <f>IF($A25="","",IFERROR(SUMPRODUCT(('Raw Data'!$B$2:$B$9999="Control")*('Raw Data'!$A$2:$A$9999=$A25)*('Raw Data'!$C$2:$C$9999=$C$3)*'Raw Data'!$D$2:$D$9999*'Raw Data'!$M$2:$M$9999)/SUMIFS('Raw Data'!$D:$D, 'Raw Data'!$B:$B, "Control", 'Raw Data'!$A:$A, $A25, 'Raw Data'!$C:$C, $C$3),""))</f>
        <v>0.8533</v>
      </c>
      <c r="AD25" s="102">
        <f>IF($A25="","",IFERROR(SUMPRODUCT(('Raw Data'!$B$2:$B$9999="Variant")*('Raw Data'!$A$2:$A$9999=$A25)*('Raw Data'!$C$2:$C$9999=$C$3)*'Raw Data'!$D$2:$D$9999*'Raw Data'!$M$2:$M$9999)/SUMIFS('Raw Data'!$D:$D, 'Raw Data'!$B:$B, "Variant", 'Raw Data'!$A:$A, $A25, 'Raw Data'!$C:$C, $C$3),""))</f>
        <v>0.8491</v>
      </c>
      <c r="AE25" s="106">
        <f t="shared" si="10"/>
        <v>-0.004922067268</v>
      </c>
      <c r="AF25" s="102">
        <f>IF($A25="","",IFERROR(SUMPRODUCT(('Raw Data'!$B$2:$B$9999="Control")*('Raw Data'!$A$2:$A$9999=$A25)*('Raw Data'!$C$2:$C$9999=$C$3)*'Raw Data'!$D$2:$D$9999*'Raw Data'!$N$2:$N$9999)/SUMIFS('Raw Data'!$D:$D, 'Raw Data'!$B:$B, "Control", 'Raw Data'!$A:$A, $A25, 'Raw Data'!$C:$C, $C$3),""))</f>
        <v>0.2762</v>
      </c>
      <c r="AG25" s="102">
        <f>IF($A25="","",IFERROR(SUMPRODUCT(('Raw Data'!$B$2:$B$9999="Variant")*('Raw Data'!$A$2:$A$9999=$A25)*('Raw Data'!$C$2:$C$9999=$C$3)*'Raw Data'!$D$2:$D$9999*'Raw Data'!$N$2:$N$9999)/SUMIFS('Raw Data'!$D:$D, 'Raw Data'!$B:$B, "Variant", 'Raw Data'!$A:$A, $A25, 'Raw Data'!$C:$C, $C$3),""))</f>
        <v>0.2854</v>
      </c>
      <c r="AH25" s="106">
        <f t="shared" si="11"/>
        <v>0.03330919623</v>
      </c>
      <c r="AI25" s="102">
        <f>IF($A25="","",IFERROR(SUMPRODUCT(('Raw Data'!$B$2:$B$9999="Control")*('Raw Data'!$A$2:$A$9999=$A25)*('Raw Data'!$C$2:$C$9999=$C$3)*'Raw Data'!$D$2:$D$9999*'Raw Data'!$O$2:$O$9999)/SUMIFS('Raw Data'!$D:$D, 'Raw Data'!$B:$B, "Control", 'Raw Data'!$A:$A, $A25, 'Raw Data'!$C:$C, $C$3),""))</f>
        <v>0.1901</v>
      </c>
      <c r="AJ25" s="102">
        <f>IF($A25="","",IFERROR(SUMPRODUCT(('Raw Data'!$B$2:$B$9999="Variant")*('Raw Data'!$A$2:$A$9999=$A25)*('Raw Data'!$C$2:$C$9999=$C$3)*'Raw Data'!$D$2:$D$9999*'Raw Data'!$O$2:$O$9999)/SUMIFS('Raw Data'!$D:$D, 'Raw Data'!$B:$B, "Variant", 'Raw Data'!$A:$A, $A25, 'Raw Data'!$C:$C, $C$3),""))</f>
        <v>0.1989</v>
      </c>
      <c r="AK25" s="105">
        <f t="shared" si="12"/>
        <v>0.04629142557</v>
      </c>
      <c r="AL25" s="101">
        <f>IF($A25="","",IFERROR(SUMPRODUCT(('Raw Data'!$B$2:$B$9999="Control")*('Raw Data'!$A$2:$A$9999=$A25)*('Raw Data'!$C$2:$C$9999=$C$3)*'Raw Data'!$D$2:$D$9999*'Raw Data'!$P$2:$P$9999)/SUMIFS('Raw Data'!$D:$D, 'Raw Data'!$B:$B, "Control", 'Raw Data'!$A:$A, $A25, 'Raw Data'!$C:$C, $C$3),""))</f>
        <v>1.172</v>
      </c>
      <c r="AM25" s="101">
        <f>IF($A25="","",IFERROR(SUMPRODUCT(('Raw Data'!$B$2:$B$9999="Variant")*('Raw Data'!$A$2:$A$9999=$A25)*('Raw Data'!$C$2:$C$9999=$C$3)*'Raw Data'!$D$2:$D$9999*'Raw Data'!$P$2:$P$9999)/SUMIFS('Raw Data'!$D:$D, 'Raw Data'!$B:$B, "Variant", 'Raw Data'!$A:$A, $A25, 'Raw Data'!$C:$C, $C$3),""))</f>
        <v>1.1777</v>
      </c>
      <c r="AN25" s="105">
        <f t="shared" si="13"/>
        <v>0.004863481229</v>
      </c>
      <c r="AO25" s="101">
        <f>IF($A25="","",IFERROR(SUMPRODUCT(('Raw Data'!$B$2:$B$9999="Control")*('Raw Data'!$A$2:$A$9999=$A25)*('Raw Data'!$C$2:$C$9999=$C$3)*'Raw Data'!$D$2:$D$9999*'Raw Data'!$Q$2:$Q$9999)/SUMIFS('Raw Data'!$D:$D, 'Raw Data'!$B:$B, "Control", 'Raw Data'!$A:$A, $A25, 'Raw Data'!$C:$C, $C$3),""))</f>
        <v>817.32</v>
      </c>
      <c r="AP25" s="101">
        <f>IF($A25="","",IFERROR(SUMPRODUCT(('Raw Data'!$B$2:$B$9999="Variant")*('Raw Data'!$A$2:$A$9999=$A25)*('Raw Data'!$C$2:$C$9999=$C$3)*'Raw Data'!$D$2:$D$9999*'Raw Data'!$Q$2:$Q$9999)/SUMIFS('Raw Data'!$D:$D, 'Raw Data'!$B:$B, "Variant", 'Raw Data'!$A:$A, $A25, 'Raw Data'!$C:$C, $C$3),""))</f>
        <v>787.31</v>
      </c>
      <c r="AQ25" s="95">
        <f t="shared" si="14"/>
        <v>-0.03671756472</v>
      </c>
      <c r="AR25" s="101">
        <f>IF($A25="","",IFERROR(SUMPRODUCT(('Raw Data'!$B$2:$B$9999="Control")*('Raw Data'!$A$2:$A$9999=$A25)*('Raw Data'!$C$2:$C$9999=$C$3)*'Raw Data'!$D$2:$D$9999*'Raw Data'!$R$2:$R$9999)/SUMIFS('Raw Data'!$D:$D, 'Raw Data'!$B:$B, "Control", 'Raw Data'!$A:$A, $A25, 'Raw Data'!$C:$C, $C$3),""))</f>
        <v>553.87</v>
      </c>
      <c r="AS25" s="101">
        <f>IF($A25="","",IFERROR(SUMPRODUCT(('Raw Data'!$B$2:$B$9999="Variant")*('Raw Data'!$A$2:$A$9999=$A25)*('Raw Data'!$C$2:$C$9999=$C$3)*'Raw Data'!$D$2:$D$9999*'Raw Data'!$R$2:$R$9999)/SUMIFS('Raw Data'!$D:$D, 'Raw Data'!$B:$B, "Variant", 'Raw Data'!$A:$A, $A25, 'Raw Data'!$C:$C, $C$3),""))</f>
        <v>695.54</v>
      </c>
      <c r="AT25" s="95">
        <f t="shared" si="15"/>
        <v>0.2557820427</v>
      </c>
      <c r="AU25" s="101">
        <f>IF($A25="","",IFERROR(SUMPRODUCT(('Raw Data'!$B$2:$B$9999="Control")*('Raw Data'!$A$2:$A$9999=$A25)*('Raw Data'!$C$2:$C$9999=$C$3)*'Raw Data'!$D$2:$D$9999*'Raw Data'!$S$2:$S$9999)/SUMIFS('Raw Data'!$D:$D, 'Raw Data'!$B:$B, "Control", 'Raw Data'!$A:$A, $A25, 'Raw Data'!$C:$C, $C$3),""))</f>
        <v>263.45</v>
      </c>
      <c r="AV25" s="101">
        <f>IF($A25="","",IFERROR(SUMPRODUCT(('Raw Data'!$B$2:$B$9999="Variant")*('Raw Data'!$A$2:$A$9999=$A25)*('Raw Data'!$C$2:$C$9999=$C$3)*'Raw Data'!$D$2:$D$9999*'Raw Data'!$S$2:$S$9999)/SUMIFS('Raw Data'!$D:$D, 'Raw Data'!$B:$B, "Variant", 'Raw Data'!$A:$A, $A25, 'Raw Data'!$C:$C, $C$3),""))</f>
        <v>91.77</v>
      </c>
      <c r="AW25" s="95">
        <f t="shared" si="16"/>
        <v>-0.6516606567</v>
      </c>
      <c r="AX25" s="101">
        <f>IF($A25="","",IFERROR(SUMPRODUCT(('Raw Data'!$B$2:$B$9999="Control")*('Raw Data'!$A$2:$A$9999=$A25)*('Raw Data'!$C$2:$C$9999=$C$3)*'Raw Data'!$D$2:$D$9999*'Raw Data'!$T$2:$T$9999)/SUMIFS('Raw Data'!$D:$D, 'Raw Data'!$B:$B, "Control", 'Raw Data'!$A:$A, $A25, 'Raw Data'!$C:$C, $C$3),""))</f>
        <v>169.69</v>
      </c>
      <c r="AY25" s="101">
        <f>IF($A25="","",IFERROR(SUMPRODUCT(('Raw Data'!$B$2:$B$9999="Variant")*('Raw Data'!$A$2:$A$9999=$A25)*('Raw Data'!$C$2:$C$9999=$C$3)*'Raw Data'!$D$2:$D$9999*'Raw Data'!$T$2:$T$9999)/SUMIFS('Raw Data'!$D:$D, 'Raw Data'!$B:$B, "Variant", 'Raw Data'!$A:$A, $A25, 'Raw Data'!$C:$C, $C$3),""))</f>
        <v>165.18</v>
      </c>
      <c r="AZ25" s="106">
        <f t="shared" si="17"/>
        <v>-0.02657787731</v>
      </c>
      <c r="BA25" s="101">
        <f>IF($A25="","",IFERROR(SUMPRODUCT(('Raw Data'!$B$2:$B$9999="Control")*('Raw Data'!$A$2:$A$9999=$A25)*('Raw Data'!$C$2:$C$9999=$C$3)*'Raw Data'!$D$2:$D$9999*'Raw Data'!$U$2:$U$9999)/SUMIFS('Raw Data'!$D:$D, 'Raw Data'!$B:$B, "Control", 'Raw Data'!$A:$A, $A25, 'Raw Data'!$C:$C, $C$3),""))</f>
        <v>647.63</v>
      </c>
      <c r="BB25" s="101">
        <f>IF($A25="","",IFERROR(SUMPRODUCT(('Raw Data'!$B$2:$B$9999="Variant")*('Raw Data'!$A$2:$A$9999=$A25)*('Raw Data'!$C$2:$C$9999=$C$3)*'Raw Data'!$D$2:$D$9999*'Raw Data'!$U$2:$U$9999)/SUMIFS('Raw Data'!$D:$D, 'Raw Data'!$B:$B, "Variant", 'Raw Data'!$A:$A, $A25, 'Raw Data'!$C:$C, $C$3),""))</f>
        <v>622.13</v>
      </c>
      <c r="BC25" s="95">
        <f t="shared" si="18"/>
        <v>-0.03937433411</v>
      </c>
      <c r="BD25" s="101">
        <f>IF($A25="","",IFERROR(SUMPRODUCT(('Raw Data'!$B$2:$B$9999="Control")*('Raw Data'!$A$2:$A$9999=$A25)*('Raw Data'!$C$2:$C$9999=$C$3)*'Raw Data'!$D$2:$D$9999*'Raw Data'!$V$2:$V$9999)/SUMIFS('Raw Data'!$D:$D, 'Raw Data'!$B:$B, "Control", 'Raw Data'!$A:$A, $A25, 'Raw Data'!$C:$C, $C$3),""))</f>
        <v>793.44</v>
      </c>
      <c r="BE25" s="101">
        <f>IF($A25="","",IFERROR(SUMPRODUCT(('Raw Data'!$B$2:$B$9999="Variant")*('Raw Data'!$A$2:$A$9999=$A25)*('Raw Data'!$C$2:$C$9999=$C$3)*'Raw Data'!$D$2:$D$9999*'Raw Data'!$V$2:$V$9999)/SUMIFS('Raw Data'!$D:$D, 'Raw Data'!$B:$B, "Variant", 'Raw Data'!$A:$A, $A25, 'Raw Data'!$C:$C, $C$3),""))</f>
        <v>972.87</v>
      </c>
      <c r="BF25" s="95">
        <f t="shared" si="19"/>
        <v>0.2261418633</v>
      </c>
      <c r="BG25" s="101">
        <f>IF($A25="","",IFERROR(SUMPRODUCT(('Raw Data'!$B$2:$B$9999="Control")*('Raw Data'!$A$2:$A$9999=$A25)*('Raw Data'!$C$2:$C$9999=$C$3)*'Raw Data'!$D$2:$D$9999*('Raw Data'!$Q$2:$Q$9999-'Raw Data'!$V$2:$V$9999))/SUMIFS('Raw Data'!$D:$D, 'Raw Data'!$B:$B, "Control", 'Raw Data'!$A:$A, $A25, 'Raw Data'!$C:$C, $C$3),""))</f>
        <v>23.88</v>
      </c>
      <c r="BH25" s="101">
        <f>IF($A25="","",IFERROR(SUMPRODUCT(('Raw Data'!$B$2:$B$9999="Variant")*('Raw Data'!$A$2:$A$9999=$A25)*('Raw Data'!$C$2:$C$9999=$C$3)*'Raw Data'!$D$2:$D$9999*('Raw Data'!$Q$2:$Q$9999-'Raw Data'!$V$2:$V$9999))/SUMIFS('Raw Data'!$D:$D, 'Raw Data'!$B:$B, "Variant", 'Raw Data'!$A:$A, $A25, 'Raw Data'!$C:$C, $C$3),""))</f>
        <v>-185.56</v>
      </c>
      <c r="BI25" s="95">
        <f t="shared" si="20"/>
        <v>-8.770519263</v>
      </c>
      <c r="BJ25" s="101">
        <f>IF($A25="","",IFERROR(SUMPRODUCT(('Raw Data'!$B$2:$B$9999="Control")*('Raw Data'!$A$2:$A$9999=$A25)*('Raw Data'!$C$2:$C$9999=$C$3)*'Raw Data'!$D$2:$D$9999*'Raw Data'!$W$2:$W$9999)/SUMIFS('Raw Data'!$D:$D, 'Raw Data'!$B:$B, "Control", 'Raw Data'!$A:$A, $A25, 'Raw Data'!$C:$C, $C$3),""))</f>
        <v>5.4566</v>
      </c>
      <c r="BK25" s="101">
        <f>IF($A25="","",IFERROR(SUMPRODUCT(('Raw Data'!$B$2:$B$9999="Variant")*('Raw Data'!$A$2:$A$9999=$A25)*('Raw Data'!$C$2:$C$9999=$C$3)*'Raw Data'!$D$2:$D$9999*'Raw Data'!$W$2:$W$9999)/SUMIFS('Raw Data'!$D:$D, 'Raw Data'!$B:$B, "Variant", 'Raw Data'!$A:$A, $A25, 'Raw Data'!$C:$C, $C$3),""))</f>
        <v>6.801</v>
      </c>
      <c r="BL25" s="95">
        <f t="shared" si="21"/>
        <v>0.24638053</v>
      </c>
      <c r="BM25" s="102">
        <f>IF($A25="","",IFERROR(SUMPRODUCT(('Raw Data'!$B$2:$B$9999="Control")*('Raw Data'!$A$2:$A$9999=$A25)*('Raw Data'!$C$2:$C$9999=$C$3)*'Raw Data'!$D$2:$D$9999*'Raw Data'!$X$2:$X$9999)/SUMIFS('Raw Data'!$D:$D, 'Raw Data'!$B:$B, "Control", 'Raw Data'!$A:$A, $A25, 'Raw Data'!$C:$C, $C$3),""))</f>
        <v>20.76</v>
      </c>
      <c r="BN25" s="102">
        <f>IF($A25="","",IFERROR(SUMPRODUCT(('Raw Data'!$B$2:$B$9999="Variant")*('Raw Data'!$A$2:$A$9999=$A25)*('Raw Data'!$C$2:$C$9999=$C$3)*'Raw Data'!$D$2:$D$9999*'Raw Data'!$X$2:$X$9999)/SUMIFS('Raw Data'!$D:$D, 'Raw Data'!$B:$B, "Variant", 'Raw Data'!$A:$A, $A25, 'Raw Data'!$C:$C, $C$3),""))</f>
        <v>20.98</v>
      </c>
      <c r="BO25" s="105">
        <f t="shared" si="22"/>
        <v>0.0105973025</v>
      </c>
      <c r="BP25" s="94">
        <f>IF($A25="","",IFERROR(SUMPRODUCT(('Raw Data'!$B$2:$B$9999="Control")*('Raw Data'!$A$2:$A$9999=$A25)*('Raw Data'!$C$2:$C$9999=$C$3)*'Raw Data'!$D$2:$D$9999*'Raw Data'!$Y$2:$Y$9999)/SUMIFS('Raw Data'!$D:$D, 'Raw Data'!$B:$B, "Control", 'Raw Data'!$A:$A, $A25, 'Raw Data'!$C:$C, $C$3),""))</f>
        <v>387</v>
      </c>
      <c r="BQ25" s="94">
        <f>IF($A25="","",IFERROR(SUMPRODUCT(('Raw Data'!$B$2:$B$9999="Variant")*('Raw Data'!$A$2:$A$9999=$A25)*('Raw Data'!$C$2:$C$9999=$C$3)*'Raw Data'!$D$2:$D$9999*'Raw Data'!$Y$2:$Y$9999)/SUMIFS('Raw Data'!$D:$D, 'Raw Data'!$B:$B, "Variant", 'Raw Data'!$A:$A, $A25, 'Raw Data'!$C:$C, $C$3),""))</f>
        <v>395</v>
      </c>
      <c r="BR25" s="95">
        <f t="shared" si="23"/>
        <v>0.02067183463</v>
      </c>
      <c r="BS25" s="94">
        <f>IF($A25="","",IFERROR(SUMPRODUCT(('Raw Data'!$B$2:$B$9999="Control")*('Raw Data'!$A$2:$A$9999=$A25)*('Raw Data'!$C$2:$C$9999=$C$3)*'Raw Data'!$D$2:$D$9999*'Raw Data'!$Z$2:$Z$9999)/SUMIFS('Raw Data'!$D:$D, 'Raw Data'!$B:$B, "Control", 'Raw Data'!$A:$A, $A25, 'Raw Data'!$C:$C, $C$3),""))</f>
        <v>1842</v>
      </c>
      <c r="BT25" s="94">
        <f>IF($A25="","",IFERROR(SUMPRODUCT(('Raw Data'!$B$2:$B$9999="Variant")*('Raw Data'!$A$2:$A$9999=$A25)*('Raw Data'!$C$2:$C$9999=$C$3)*'Raw Data'!$D$2:$D$9999*'Raw Data'!$Z$2:$Z$9999)/SUMIFS('Raw Data'!$D:$D, 'Raw Data'!$B:$B, "Variant", 'Raw Data'!$A:$A, $A25, 'Raw Data'!$C:$C, $C$3),""))</f>
        <v>2216</v>
      </c>
      <c r="BU25" s="95">
        <f t="shared" si="24"/>
        <v>0.2030401737</v>
      </c>
      <c r="BV25" s="94">
        <f>IF($A25="","",IFERROR(SUMPRODUCT(('Raw Data'!$B$2:$B$9999="Control")*('Raw Data'!$A$2:$A$9999=$A25)*('Raw Data'!$C$2:$C$9999=$C$3)*'Raw Data'!$D$2:$D$9999*'Raw Data'!$AA$2:$AA$9999)/SUMIFS('Raw Data'!$D:$D, 'Raw Data'!$B:$B, "Control", 'Raw Data'!$A:$A, $A25, 'Raw Data'!$C:$C, $C$3),""))</f>
        <v>8297</v>
      </c>
      <c r="BW25" s="94">
        <f>IF($A25="","",IFERROR(SUMPRODUCT(('Raw Data'!$B$2:$B$9999="Variant")*('Raw Data'!$A$2:$A$9999=$A25)*('Raw Data'!$C$2:$C$9999=$C$3)*'Raw Data'!$D$2:$D$9999*'Raw Data'!$AA$2:$AA$9999)/SUMIFS('Raw Data'!$D:$D, 'Raw Data'!$B:$B, "Variant", 'Raw Data'!$A:$A, $A25, 'Raw Data'!$C:$C, $C$3),""))</f>
        <v>11303</v>
      </c>
      <c r="BX25" s="95">
        <f t="shared" si="25"/>
        <v>0.3622996264</v>
      </c>
      <c r="BY25" s="101">
        <f>IF($A25="","",IFERROR(SUMPRODUCT(('Raw Data'!$B$2:$B$9999="Control")*('Raw Data'!$A$2:$A$9999=$A25)*('Raw Data'!$C$2:$C$9999=$C$3)*'Raw Data'!$D$2:$D$9999*'Raw Data'!$AB$2:$AB$9999)/SUMIFS('Raw Data'!$D:$D, 'Raw Data'!$B:$B, "Control", 'Raw Data'!$A:$A, $A25, 'Raw Data'!$C:$C, $C$3),""))</f>
        <v>62.753</v>
      </c>
      <c r="BZ25" s="101">
        <f>IF($A25="","",IFERROR(SUMPRODUCT(('Raw Data'!$B$2:$B$9999="Variant")*('Raw Data'!$A$2:$A$9999=$A25)*('Raw Data'!$C$2:$C$9999=$C$3)*'Raw Data'!$D$2:$D$9999*'Raw Data'!$AB$2:$AB$9999)/SUMIFS('Raw Data'!$D:$D, 'Raw Data'!$B:$B, "Variant", 'Raw Data'!$A:$A, $A25, 'Raw Data'!$C:$C, $C$3),""))</f>
        <v>62.2212</v>
      </c>
      <c r="CA25" s="105">
        <f t="shared" si="26"/>
        <v>-0.008474495243</v>
      </c>
      <c r="CB25" s="101">
        <f>IF($A25="","",IFERROR(SUMPRODUCT(('Raw Data'!$B$2:$B$9999="Control")*('Raw Data'!$A$2:$A$9999=$A25)*('Raw Data'!$C$2:$C$9999=$C$3)*'Raw Data'!$D$2:$D$9999*'Raw Data'!$AC$2:$AC$9999)/SUMIFS('Raw Data'!$D:$D, 'Raw Data'!$B:$B, "Control", 'Raw Data'!$A:$A, $A25, 'Raw Data'!$C:$C, $C$3),""))</f>
        <v>0.8789</v>
      </c>
      <c r="CC25" s="101">
        <f>IF($A25="","",IFERROR(SUMPRODUCT(('Raw Data'!$B$2:$B$9999="Variant")*('Raw Data'!$A$2:$A$9999=$A25)*('Raw Data'!$C$2:$C$9999=$C$3)*'Raw Data'!$D$2:$D$9999*'Raw Data'!$AC$2:$AC$9999)/SUMIFS('Raw Data'!$D:$D, 'Raw Data'!$B:$B, "Variant", 'Raw Data'!$A:$A, $A25, 'Raw Data'!$C:$C, $C$3),""))</f>
        <v>0.8723</v>
      </c>
      <c r="CD25" s="106">
        <f t="shared" si="27"/>
        <v>-0.007509386733</v>
      </c>
      <c r="CE25" s="101">
        <f>IF($A25="","",IFERROR(SUMPRODUCT(('Raw Data'!$B$2:$B$9999="Control")*('Raw Data'!$A$2:$A$9999=$A25)*('Raw Data'!$C$2:$C$9999=$C$3)*'Raw Data'!$D$2:$D$9999*'Raw Data'!$AD$2:$AD$9999)/SUMIFS('Raw Data'!$D:$D, 'Raw Data'!$B:$B, "Control", 'Raw Data'!$A:$A, $A25, 'Raw Data'!$C:$C, $C$3),""))</f>
        <v>89.95</v>
      </c>
      <c r="CF25" s="101">
        <f>IF($A25="","",IFERROR(SUMPRODUCT(('Raw Data'!$B$2:$B$9999="Variant")*('Raw Data'!$A$2:$A$9999=$A25)*('Raw Data'!$C$2:$C$9999=$C$3)*'Raw Data'!$D$2:$D$9999*'Raw Data'!$AD$2:$AD$9999)/SUMIFS('Raw Data'!$D:$D, 'Raw Data'!$B:$B, "Variant", 'Raw Data'!$A:$A, $A25, 'Raw Data'!$C:$C, $C$3),""))</f>
        <v>83.89</v>
      </c>
      <c r="CG25" s="105">
        <f t="shared" si="28"/>
        <v>-0.06737076153</v>
      </c>
      <c r="CH25" s="101">
        <f>IF($A25="","",IFERROR(SUMPRODUCT(('Raw Data'!$B$2:$B$9999="Control")*('Raw Data'!$A$2:$A$9999=$A25)*('Raw Data'!$C$2:$C$9999=$C$3)*'Raw Data'!$D$2:$D$9999*'Raw Data'!$AE$2:$AE$9999)/SUMIFS('Raw Data'!$D:$D, 'Raw Data'!$B:$B, "Control", 'Raw Data'!$A:$A, $A25, 'Raw Data'!$C:$C, $C$3),""))</f>
        <v>35</v>
      </c>
      <c r="CI25" s="101">
        <f>IF($A25="","",IFERROR(SUMPRODUCT(('Raw Data'!$B$2:$B$9999="Variant")*('Raw Data'!$A$2:$A$9999=$A25)*('Raw Data'!$C$2:$C$9999=$C$3)*'Raw Data'!$D$2:$D$9999*'Raw Data'!$AE$2:$AE$9999)/SUMIFS('Raw Data'!$D:$D, 'Raw Data'!$B:$B, "Variant", 'Raw Data'!$A:$A, $A25, 'Raw Data'!$C:$C, $C$3),""))</f>
        <v>32</v>
      </c>
      <c r="CJ25" s="105">
        <f t="shared" si="29"/>
        <v>-0.08571428571</v>
      </c>
      <c r="CK25" s="101">
        <f>IF($A25="","",IFERROR(SUMPRODUCT(('Raw Data'!$B$2:$B$9999="Control")*('Raw Data'!$A$2:$A$9999=$A25)*('Raw Data'!$C$2:$C$9999=$C$3)*'Raw Data'!$D$2:$D$9999*'Raw Data'!$AF$2:$AF$9999)/SUMIFS('Raw Data'!$D:$D, 'Raw Data'!$B:$B, "Control", 'Raw Data'!$A:$A, $A25, 'Raw Data'!$C:$C, $C$3),""))</f>
        <v>79</v>
      </c>
      <c r="CL25" s="101">
        <f>IF($A25="","",IFERROR(SUMPRODUCT(('Raw Data'!$B$2:$B$9999="Variant")*('Raw Data'!$A$2:$A$9999=$A25)*('Raw Data'!$C$2:$C$9999=$C$3)*'Raw Data'!$D$2:$D$9999*'Raw Data'!$AF$2:$AF$9999)/SUMIFS('Raw Data'!$D:$D, 'Raw Data'!$B:$B, "Variant", 'Raw Data'!$A:$A, $A25, 'Raw Data'!$C:$C, $C$3),""))</f>
        <v>74</v>
      </c>
      <c r="CM25" s="105">
        <f t="shared" si="30"/>
        <v>-0.06329113924</v>
      </c>
      <c r="CN25" s="101">
        <f>IF($A25="","",IFERROR(SUMPRODUCT(('Raw Data'!$B$2:$B$9999="Control")*('Raw Data'!$A$2:$A$9999=$A25)*('Raw Data'!$C$2:$C$9999=$C$3)*'Raw Data'!$D$2:$D$9999*'Raw Data'!$AG$2:$AG$9999)/SUMIFS('Raw Data'!$D:$D, 'Raw Data'!$B:$B, "Control", 'Raw Data'!$A:$A, $A25, 'Raw Data'!$C:$C, $C$3),""))</f>
        <v>131</v>
      </c>
      <c r="CO25" s="101">
        <f>IF($A25="","",IFERROR(SUMPRODUCT(('Raw Data'!$B$2:$B$9999="Variant")*('Raw Data'!$A$2:$A$9999=$A25)*('Raw Data'!$C$2:$C$9999=$C$3)*'Raw Data'!$D$2:$D$9999*'Raw Data'!$AG$2:$AG$9999)/SUMIFS('Raw Data'!$D:$D, 'Raw Data'!$B:$B, "Variant", 'Raw Data'!$A:$A, $A25, 'Raw Data'!$C:$C, $C$3),""))</f>
        <v>117</v>
      </c>
      <c r="CP25" s="105">
        <f t="shared" si="31"/>
        <v>-0.106870229</v>
      </c>
      <c r="CQ25" s="101">
        <f>IF($A25="","",IFERROR(SUMPRODUCT(('Raw Data'!$B$2:$B$9999="Control")*('Raw Data'!$A$2:$A$9999=$A25)*('Raw Data'!$C$2:$C$9999=$C$3)*'Raw Data'!$D$2:$D$9999*'Raw Data'!$AH$2:$AH$9999)/SUMIFS('Raw Data'!$D:$D, 'Raw Data'!$B:$B, "Control", 'Raw Data'!$A:$A, $A25, 'Raw Data'!$C:$C, $C$3),""))</f>
        <v>184</v>
      </c>
      <c r="CR25" s="101">
        <f>IF($A25="","",IFERROR(SUMPRODUCT(('Raw Data'!$B$2:$B$9999="Variant")*('Raw Data'!$A$2:$A$9999=$A25)*('Raw Data'!$C$2:$C$9999=$C$3)*'Raw Data'!$D$2:$D$9999*'Raw Data'!$AH$2:$AH$9999)/SUMIFS('Raw Data'!$D:$D, 'Raw Data'!$B:$B, "Variant", 'Raw Data'!$A:$A, $A25, 'Raw Data'!$C:$C, $C$3),""))</f>
        <v>173</v>
      </c>
      <c r="CS25" s="105">
        <f t="shared" si="32"/>
        <v>-0.0597826087</v>
      </c>
      <c r="CT25" s="96">
        <f>IF($A25="","",IFERROR(SUMPRODUCT(('Raw Data'!$B$2:$B$9999="Control")*('Raw Data'!$A$2:$A$9999=$A25)*('Raw Data'!$C$2:$C$9999=$C$3)*'Raw Data'!$D$2:$D$9999*'Raw Data'!$AI$2:$AI$9999)/SUMIFS('Raw Data'!$D:$D, 'Raw Data'!$B:$B, "Control", 'Raw Data'!$A:$A, $A25, 'Raw Data'!$C:$C, $C$3),""))</f>
        <v>49.02</v>
      </c>
      <c r="CU25" s="96">
        <f>IF($A25="","",IFERROR(SUMPRODUCT(('Raw Data'!$B$2:$B$9999="Variant")*('Raw Data'!$A$2:$A$9999=$A25)*('Raw Data'!$C$2:$C$9999=$C$3)*'Raw Data'!$D$2:$D$9999*'Raw Data'!$AI$2:$AI$9999)/SUMIFS('Raw Data'!$D:$D, 'Raw Data'!$B:$B, "Variant", 'Raw Data'!$A:$A, $A25, 'Raw Data'!$C:$C, $C$3),""))</f>
        <v>47.77</v>
      </c>
      <c r="CV25" s="106">
        <f t="shared" si="33"/>
        <v>-0.025499796</v>
      </c>
      <c r="CW25" s="96">
        <f>IF($A25="","",IFERROR(SUMPRODUCT(('Raw Data'!$B$2:$B$9999="Control")*('Raw Data'!$A$2:$A$9999=$A25)*('Raw Data'!$C$2:$C$9999=$C$3)*'Raw Data'!$D$2:$D$9999*'Raw Data'!$AJ$2:$AJ$9999)/SUMIFS('Raw Data'!$D:$D, 'Raw Data'!$B:$B, "Control", 'Raw Data'!$A:$A, $A25, 'Raw Data'!$C:$C, $C$3),""))</f>
        <v>12.25</v>
      </c>
      <c r="CX25" s="96">
        <f>IF($A25="","",IFERROR(SUMPRODUCT(('Raw Data'!$B$2:$B$9999="Variant")*('Raw Data'!$A$2:$A$9999=$A25)*('Raw Data'!$C$2:$C$9999=$C$3)*'Raw Data'!$D$2:$D$9999*'Raw Data'!$AJ$2:$AJ$9999)/SUMIFS('Raw Data'!$D:$D, 'Raw Data'!$B:$B, "Variant", 'Raw Data'!$A:$A, $A25, 'Raw Data'!$C:$C, $C$3),""))</f>
        <v>9.72</v>
      </c>
      <c r="CY25" s="105">
        <f t="shared" si="34"/>
        <v>-0.2065306122</v>
      </c>
      <c r="CZ25" s="96">
        <f>IF($A25="","",IFERROR(SUMPRODUCT(('Raw Data'!$B$2:$B$9999="Control")*('Raw Data'!$A$2:$A$9999=$A25)*('Raw Data'!$C$2:$C$9999=$C$3)*'Raw Data'!$D$2:$D$9999*'Raw Data'!$AK$2:$AK$9999)/SUMIFS('Raw Data'!$D:$D, 'Raw Data'!$B:$B, "Control", 'Raw Data'!$A:$A, $A25, 'Raw Data'!$C:$C, $C$3),""))</f>
        <v>0.88</v>
      </c>
      <c r="DA25" s="96">
        <f>IF($A25="","",IFERROR(SUMPRODUCT(('Raw Data'!$B$2:$B$9999="Variant")*('Raw Data'!$A$2:$A$9999=$A25)*('Raw Data'!$C$2:$C$9999=$C$3)*'Raw Data'!$D$2:$D$9999*'Raw Data'!$AK$2:$AK$9999)/SUMIFS('Raw Data'!$D:$D, 'Raw Data'!$B:$B, "Variant", 'Raw Data'!$A:$A, $A25, 'Raw Data'!$C:$C, $C$3),""))</f>
        <v>1.01</v>
      </c>
      <c r="DB25" s="105">
        <f t="shared" si="35"/>
        <v>0.1477272727</v>
      </c>
      <c r="DC25" s="102">
        <f>IF($A25="","",IFERROR(SUMPRODUCT(('Raw Data'!$B$2:$B$9999="Control")*('Raw Data'!$A$2:$A$9999=$A25)*('Raw Data'!$C$2:$C$9999=$C$3)*'Raw Data'!$D$2:$D$9999*'Raw Data'!$AL$2:$AL$9999)/SUMIFS('Raw Data'!$D:$D, 'Raw Data'!$B:$B, "Control", 'Raw Data'!$A:$A, $A25, 'Raw Data'!$C:$C, $C$3),""))</f>
        <v>0.1116</v>
      </c>
      <c r="DD25" s="102">
        <f>IF($A25="","",IFERROR(SUMPRODUCT(('Raw Data'!$B$2:$B$9999="Variant")*('Raw Data'!$A$2:$A$9999=$A25)*('Raw Data'!$C$2:$C$9999=$C$3)*'Raw Data'!$D$2:$D$9999*'Raw Data'!$AL$2:$AL$9999)/SUMIFS('Raw Data'!$D:$D, 'Raw Data'!$B:$B, "Variant", 'Raw Data'!$A:$A, $A25, 'Raw Data'!$C:$C, $C$3),""))</f>
        <v>0.1356</v>
      </c>
      <c r="DE25" s="106">
        <f t="shared" si="36"/>
        <v>0.2150537634</v>
      </c>
      <c r="DF25" s="103"/>
      <c r="DG25" s="96">
        <f>IF($A25="","",IFERROR(SUMPRODUCT(('Raw Data'!$B$2:$B$9999="Variant")*('Raw Data'!$A$2:$A$9999=$A25)*('Raw Data'!$C$2:$C$9999=$C$3)*'Raw Data'!$D$2:$D$9999*'Raw Data'!$AM$2:$AM$9999)/SUMIFS('Raw Data'!$D:$D, 'Raw Data'!$B:$B, "Variant", 'Raw Data'!$A:$A, $A25, 'Raw Data'!$C:$C, $C$3),""))</f>
        <v>76.92</v>
      </c>
      <c r="DH25" s="104"/>
      <c r="DI25" s="103"/>
      <c r="DJ25" s="96">
        <f>IF($A25="","",IFERROR(SUMPRODUCT(('Raw Data'!$B$2:$B$9999="Variant")*('Raw Data'!$A$2:$A$9999=$A25)*('Raw Data'!$C$2:$C$9999=$C$3)*'Raw Data'!$D$2:$D$9999*'Raw Data'!$AN$2:$AN$9999)/SUMIFS('Raw Data'!$D:$D, 'Raw Data'!$B:$B, "Variant", 'Raw Data'!$A:$A, $A25, 'Raw Data'!$C:$C, $C$3),""))</f>
        <v>76.92</v>
      </c>
      <c r="DK25" s="104"/>
      <c r="DL25" s="103"/>
      <c r="DM25" s="96">
        <f>IF($A25="","",IFERROR(SUMPRODUCT(('Raw Data'!$B$2:$B$9999="Variant")*('Raw Data'!$A$2:$A$9999=$A25)*('Raw Data'!$C$2:$C$9999=$C$3)*'Raw Data'!$D$2:$D$9999*'Raw Data'!$AO$2:$AO$9999)/SUMIFS('Raw Data'!$D:$D, 'Raw Data'!$B:$B, "Variant", 'Raw Data'!$A:$A, $A25, 'Raw Data'!$C:$C, $C$3),""))</f>
        <v>61.74</v>
      </c>
      <c r="DN25" s="104"/>
      <c r="DO25" s="103"/>
      <c r="DP25" s="96">
        <f>IF($A25="","",IFERROR(SUMPRODUCT(('Raw Data'!$B$2:$B$9999="Variant")*('Raw Data'!$A$2:$A$9999=$A25)*('Raw Data'!$C$2:$C$9999=$C$3)*'Raw Data'!$D$2:$D$9999*'Raw Data'!$AP$2:$AP$9999)/SUMIFS('Raw Data'!$D:$D, 'Raw Data'!$B:$B, "Variant", 'Raw Data'!$A:$A, $A25, 'Raw Data'!$C:$C, $C$3),""))</f>
        <v>50</v>
      </c>
      <c r="DQ25" s="104"/>
      <c r="DR25" s="102">
        <f>IF($A25="","",IFERROR(SUMPRODUCT(('Raw Data'!$B$2:$B$9999="Control")*('Raw Data'!$A$2:$A$9999=$A25)*('Raw Data'!$C$2:$C$9999=$C$3)*'Raw Data'!$D$2:$D$9999*'Raw Data'!$AQ$2:$AQ$9999)/SUMIFS('Raw Data'!$D:$D, 'Raw Data'!$B:$B, "Control", 'Raw Data'!$A:$A, $A25, 'Raw Data'!$C:$C, $C$3),""))</f>
        <v>32.7002</v>
      </c>
      <c r="DS25" s="102">
        <f>IF($A25="","",IFERROR(SUMPRODUCT(('Raw Data'!$B$2:$B$9999="Variant")*('Raw Data'!$A$2:$A$9999=$A25)*('Raw Data'!$C$2:$C$9999=$C$3)*'Raw Data'!$D$2:$D$9999*'Raw Data'!$AQ$2:$AQ$9999)/SUMIFS('Raw Data'!$D:$D, 'Raw Data'!$B:$B, "Variant", 'Raw Data'!$A:$A, $A25, 'Raw Data'!$C:$C, $C$3),""))</f>
        <v>38.0992</v>
      </c>
      <c r="DT25" s="109">
        <f t="shared" si="37"/>
        <v>0.1651060238</v>
      </c>
      <c r="DU25" s="102">
        <f>IF($A25="","",IFERROR(SUMPRODUCT(('Raw Data'!$B$2:$B$9999="Control")*('Raw Data'!$A$2:$A$9999=$A25)*('Raw Data'!$C$2:$C$9999=$C$3)*'Raw Data'!$D$2:$D$9999*'Raw Data'!$AR$2:$AR$9999)/SUMIFS('Raw Data'!$D:$D, 'Raw Data'!$B:$B, "Control", 'Raw Data'!$A:$A, $A25, 'Raw Data'!$C:$C, $C$3),""))</f>
        <v>2.5624</v>
      </c>
      <c r="DV25" s="102">
        <f>IF($A25="","",IFERROR(SUMPRODUCT(('Raw Data'!$B$2:$B$9999="Variant")*('Raw Data'!$A$2:$A$9999=$A25)*('Raw Data'!$C$2:$C$9999=$C$3)*'Raw Data'!$D$2:$D$9999*'Raw Data'!$AR$2:$AR$9999)/SUMIFS('Raw Data'!$D:$D, 'Raw Data'!$B:$B, "Variant", 'Raw Data'!$A:$A, $A25, 'Raw Data'!$C:$C, $C$3),""))</f>
        <v>6.2753</v>
      </c>
      <c r="DW25" s="109">
        <f t="shared" si="38"/>
        <v>1.448993131</v>
      </c>
      <c r="DX25" s="102">
        <f>IF($A25="","",IFERROR(SUMPRODUCT(('Raw Data'!$B$2:$B$9999="Control")*('Raw Data'!$A$2:$A$9999=$A25)*('Raw Data'!$C$2:$C$9999=$C$3)*'Raw Data'!$D$2:$D$9999*'Raw Data'!$AS$2:$AS$9999)/SUMIFS('Raw Data'!$D:$D, 'Raw Data'!$B:$B, "Control", 'Raw Data'!$A:$A, $A25, 'Raw Data'!$C:$C, $C$3),""))</f>
        <v>30.1379</v>
      </c>
      <c r="DY25" s="102">
        <f>IF($A25="","",IFERROR(SUMPRODUCT(('Raw Data'!$B$2:$B$9999="Variant")*('Raw Data'!$A$2:$A$9999=$A25)*('Raw Data'!$C$2:$C$9999=$C$3)*'Raw Data'!$D$2:$D$9999*'Raw Data'!$AS$2:$AS$9999)/SUMIFS('Raw Data'!$D:$D, 'Raw Data'!$B:$B, "Variant", 'Raw Data'!$A:$A, $A25, 'Raw Data'!$C:$C, $C$3),""))</f>
        <v>31.8239</v>
      </c>
      <c r="DZ25" s="110">
        <f t="shared" si="39"/>
        <v>0.05594284937</v>
      </c>
      <c r="EA25" s="102">
        <f>IF($A25="","",IFERROR(SUMPRODUCT(('Raw Data'!$B$2:$B$9999="Control")*('Raw Data'!$A$2:$A$9999=$A25)*('Raw Data'!$C$2:$C$9999=$C$3)*'Raw Data'!$D$2:$D$9999*'Raw Data'!$AT$2:$AT$9999)/SUMIFS('Raw Data'!$D:$D, 'Raw Data'!$B:$B, "Control", 'Raw Data'!$A:$A, $A25, 'Raw Data'!$C:$C, $C$3),""))</f>
        <v>33.5602</v>
      </c>
      <c r="EB25" s="102">
        <f>IF($A25="","",IFERROR(SUMPRODUCT(('Raw Data'!$B$2:$B$9999="Variant")*('Raw Data'!$A$2:$A$9999=$A25)*('Raw Data'!$C$2:$C$9999=$C$3)*'Raw Data'!$D$2:$D$9999*'Raw Data'!$AT$2:$AT$9999)/SUMIFS('Raw Data'!$D:$D, 'Raw Data'!$B:$B, "Variant", 'Raw Data'!$A:$A, $A25, 'Raw Data'!$C:$C, $C$3),""))</f>
        <v>34.7874</v>
      </c>
      <c r="EC25" s="109">
        <f t="shared" si="40"/>
        <v>0.03656712415</v>
      </c>
      <c r="ED25" s="102">
        <f>IF($A25="","",IFERROR(SUMPRODUCT(('Raw Data'!$B$2:$B$9999="Control")*('Raw Data'!$A$2:$A$9999=$A25)*('Raw Data'!$C$2:$C$9999=$C$3)*'Raw Data'!$D$2:$D$9999*('Raw Data'!$AQ$2:$AQ$9999-'Raw Data'!$AT$2:$AT$9999))/SUMIFS('Raw Data'!$D:$D, 'Raw Data'!$B:$B, "Control", 'Raw Data'!$A:$A, $A25, 'Raw Data'!$C:$C, $C$3),""))</f>
        <v>-0.86</v>
      </c>
      <c r="EE25" s="102">
        <f>IF($A25="","",IFERROR(SUMPRODUCT(('Raw Data'!$B$2:$B$9999="Variant")*('Raw Data'!$A$2:$A$9999=$A25)*('Raw Data'!$C$2:$C$9999=$C$3)*'Raw Data'!$D$2:$D$9999*('Raw Data'!$AQ$2:$AQ$9999-'Raw Data'!$AT$2:$AT$9999))/SUMIFS('Raw Data'!$D:$D, 'Raw Data'!$B:$B, "Variant", 'Raw Data'!$A:$A, $A25, 'Raw Data'!$C:$C, $C$3),""))</f>
        <v>3.3118</v>
      </c>
      <c r="EF25" s="110">
        <f t="shared" si="41"/>
        <v>4.850930233</v>
      </c>
      <c r="EG25" s="102">
        <f>IF($A25="","",IFERROR(SUMPRODUCT(('Raw Data'!$B$2:$B$9999="Control")*('Raw Data'!$A$2:$A$9999=$A25)*('Raw Data'!$C$2:$C$9999=$C$3)*'Raw Data'!$D$2:$D$9999*'Raw Data'!$AU$2:$AU$9999)/SUMIFS('Raw Data'!$D:$D, 'Raw Data'!$B:$B, "Control", 'Raw Data'!$A:$A, $A25, 'Raw Data'!$C:$C, $C$3),""))</f>
        <v>0.2308</v>
      </c>
      <c r="EH25" s="102">
        <f>IF($A25="","",IFERROR(SUMPRODUCT(('Raw Data'!$B$2:$B$9999="Variant")*('Raw Data'!$A$2:$A$9999=$A25)*('Raw Data'!$C$2:$C$9999=$C$3)*'Raw Data'!$D$2:$D$9999*'Raw Data'!$AU$2:$AU$9999)/SUMIFS('Raw Data'!$D:$D, 'Raw Data'!$B:$B, "Variant", 'Raw Data'!$A:$A, $A25, 'Raw Data'!$C:$C, $C$3),""))</f>
        <v>0.2432</v>
      </c>
      <c r="EI25" s="109">
        <f t="shared" si="42"/>
        <v>0.05372616984</v>
      </c>
    </row>
    <row r="26" ht="15.75" customHeight="1">
      <c r="A26" s="93">
        <v>46194.0</v>
      </c>
      <c r="B26" s="94">
        <f>IF($A26="","",SUMIFS('Raw Data'!$D:$D, 'Raw Data'!$B:$B, "Control", 'Raw Data'!$A:$A, $A26, 'Raw Data'!$C:$C, $C$3))</f>
        <v>454</v>
      </c>
      <c r="C26" s="94">
        <f>IF($A26="","",SUMIFS('Raw Data'!$D:$D, 'Raw Data'!$B:$B, "Variant", 'Raw Data'!$A:$A, $A26, 'Raw Data'!$C:$C, $C$3))</f>
        <v>484</v>
      </c>
      <c r="D26" s="95">
        <f t="shared" si="1"/>
        <v>0.06607929515</v>
      </c>
      <c r="E26" s="96">
        <f>IF($A26="","",IFERROR(SUMPRODUCT(('Raw Data'!$B$2:$B$9999="Control")*('Raw Data'!$A$2:$A$9999=$A26)*('Raw Data'!$C$2:$C$9999=$C$3)*'Raw Data'!$D$2:$D$9999*'Raw Data'!$E$2:$E$9999)/SUMIFS('Raw Data'!$D:$D, 'Raw Data'!$B:$B, "Control", 'Raw Data'!$A:$A, $A26, 'Raw Data'!$C:$C, $C$3),""))</f>
        <v>0.57</v>
      </c>
      <c r="F26" s="96">
        <f>IF($A26="","",IFERROR(SUMPRODUCT(('Raw Data'!$B$2:$B$9999="Variant")*('Raw Data'!$A$2:$A$9999=$A26)*('Raw Data'!$C$2:$C$9999=$C$3)*'Raw Data'!$D$2:$D$9999*'Raw Data'!$E$2:$E$9999)/SUMIFS('Raw Data'!$D:$D, 'Raw Data'!$B:$B, "Variant", 'Raw Data'!$A:$A, $A26, 'Raw Data'!$C:$C, $C$3),""))</f>
        <v>0.61</v>
      </c>
      <c r="G26" s="95">
        <f t="shared" si="2"/>
        <v>0.0701754386</v>
      </c>
      <c r="H26" s="97">
        <f>IF($A26="","",SUMIFS('Raw Data'!$F:$F, 'Raw Data'!$B:$B, "Control", 'Raw Data'!$A:$A, $A26, 'Raw Data'!$C:$C, $C$3))</f>
        <v>1818.62</v>
      </c>
      <c r="I26" s="97">
        <f>IF($A26="","",SUMIFS('Raw Data'!$F:$F, 'Raw Data'!$B:$B, "Variant", 'Raw Data'!$A:$A, $A26, 'Raw Data'!$C:$C, $C$3))</f>
        <v>1775.68</v>
      </c>
      <c r="J26" s="105">
        <f t="shared" si="3"/>
        <v>-0.02361130967</v>
      </c>
      <c r="K26" s="99">
        <f>IF($A26="","",IFERROR(SUMIFS('Raw Data'!$F:$F, 'Raw Data'!$B:$B, "Control", 'Raw Data'!$A:$A, $A26, 'Raw Data'!$C:$C, $C$3)/SUMIFS('Raw Data'!$D:$D, 'Raw Data'!$B:$B, "Control", 'Raw Data'!$A:$A, $A26, 'Raw Data'!$C:$C, $C$3),""))</f>
        <v>4.005770925</v>
      </c>
      <c r="L26" s="99">
        <f>IF($A26="","",IFERROR(SUMIFS('Raw Data'!$F:$F, 'Raw Data'!$B:$B, "Variant", 'Raw Data'!$A:$A, $A26, 'Raw Data'!$C:$C, $C$3)/SUMIFS('Raw Data'!$D:$D, 'Raw Data'!$B:$B, "Variant", 'Raw Data'!$A:$A, $A26, 'Raw Data'!$C:$C, $C$3),""))</f>
        <v>3.668760331</v>
      </c>
      <c r="M26" s="105">
        <f t="shared" si="4"/>
        <v>-0.08413126982</v>
      </c>
      <c r="N26" s="96">
        <f>IF($A26="","",IFERROR(SUMPRODUCT(('Raw Data'!$B$2:$B$9999="Control")*('Raw Data'!$A$2:$A$9999=$A26)*('Raw Data'!$C$2:$C$9999=$C$3)*'Raw Data'!$D$2:$D$9999*'Raw Data'!$H$2:$H$9999/100)/SUMIFS('Raw Data'!$D:$D, 'Raw Data'!$B:$B, "Control", 'Raw Data'!$A:$A, $A26, 'Raw Data'!$C:$C, $C$3)*100,""))</f>
        <v>16.3</v>
      </c>
      <c r="O26" s="96">
        <f>IF($A26="","",IFERROR(SUMPRODUCT(('Raw Data'!$B$2:$B$9999="Variant")*('Raw Data'!$A$2:$A$9999=$A26)*('Raw Data'!$C$2:$C$9999=$C$3)*'Raw Data'!$D$2:$D$9999*'Raw Data'!$H$2:$H$9999/100)/SUMIFS('Raw Data'!$D:$D, 'Raw Data'!$B:$B, "Variant", 'Raw Data'!$A:$A, $A26, 'Raw Data'!$C:$C, $C$3)*100,""))</f>
        <v>18.8</v>
      </c>
      <c r="P26" s="105">
        <f t="shared" si="5"/>
        <v>0.1533742331</v>
      </c>
      <c r="Q26" s="99">
        <f>IF($A26="","",IFERROR(SUMIFS('Raw Data'!$F:$F, 'Raw Data'!$B:$B, "Control", 'Raw Data'!$A:$A, $A26, 'Raw Data'!$C:$C, $C$3)/SUMPRODUCT(('Raw Data'!$B$2:$B$9999="Control")*('Raw Data'!$A$2:$A$9999=$A26)*('Raw Data'!$C$2:$C$9999=$C$3)*'Raw Data'!$D$2:$D$9999*'Raw Data'!$H$2:$H$9999/100),""))</f>
        <v>24.57528175</v>
      </c>
      <c r="R26" s="99">
        <f>IF($A26="","",IFERROR(SUMIFS('Raw Data'!$F:$F, 'Raw Data'!$B:$B, "Variant", 'Raw Data'!$A:$A, $A26, 'Raw Data'!$C:$C, $C$3)/SUMPRODUCT(('Raw Data'!$B$2:$B$9999="Variant")*('Raw Data'!$A$2:$A$9999=$A26)*('Raw Data'!$C$2:$C$9999=$C$3)*'Raw Data'!$D$2:$D$9999*'Raw Data'!$H$2:$H$9999/100),""))</f>
        <v>19.51468261</v>
      </c>
      <c r="S26" s="105">
        <f t="shared" si="6"/>
        <v>-0.2059223244</v>
      </c>
      <c r="T26" s="101">
        <f>IF($A26="","",IFERROR(SUMPRODUCT(('Raw Data'!$B$2:$B$9999="Control")*('Raw Data'!$A$2:$A$9999=$A26)*('Raw Data'!$C$2:$C$9999=$C$3)*'Raw Data'!$D$2:$D$9999*'Raw Data'!$J$2:$J$9999)/SUMIFS('Raw Data'!$D:$D, 'Raw Data'!$B:$B, "Control", 'Raw Data'!$A:$A, $A26, 'Raw Data'!$C:$C, $C$3),""))</f>
        <v>242.9</v>
      </c>
      <c r="U26" s="101">
        <f>IF($A26="","",IFERROR(SUMPRODUCT(('Raw Data'!$B$2:$B$9999="Variant")*('Raw Data'!$A$2:$A$9999=$A26)*('Raw Data'!$C$2:$C$9999=$C$3)*'Raw Data'!$D$2:$D$9999*'Raw Data'!$J$2:$J$9999)/SUMIFS('Raw Data'!$D:$D, 'Raw Data'!$B:$B, "Variant", 'Raw Data'!$A:$A, $A26, 'Raw Data'!$C:$C, $C$3),""))</f>
        <v>237.9</v>
      </c>
      <c r="V26" s="105">
        <f t="shared" si="7"/>
        <v>-0.02058460272</v>
      </c>
      <c r="W26" s="101">
        <f>IF($A26="","",IFERROR(SUMPRODUCT(('Raw Data'!$B$2:$B$9999="Control")*('Raw Data'!$A$2:$A$9999=$A26)*('Raw Data'!$C$2:$C$9999=$C$3)*'Raw Data'!$D$2:$D$9999*'Raw Data'!$K$2:$K$9999)/SUMIFS('Raw Data'!$D:$D, 'Raw Data'!$B:$B, "Control", 'Raw Data'!$A:$A, $A26, 'Raw Data'!$C:$C, $C$3),""))</f>
        <v>149.9</v>
      </c>
      <c r="X26" s="101">
        <f>IF($A26="","",IFERROR(SUMPRODUCT(('Raw Data'!$B$2:$B$9999="Variant")*('Raw Data'!$A$2:$A$9999=$A26)*('Raw Data'!$C$2:$C$9999=$C$3)*'Raw Data'!$D$2:$D$9999*'Raw Data'!$K$2:$K$9999)/SUMIFS('Raw Data'!$D:$D, 'Raw Data'!$B:$B, "Variant", 'Raw Data'!$A:$A, $A26, 'Raw Data'!$C:$C, $C$3),""))</f>
        <v>142.58</v>
      </c>
      <c r="Y26" s="105">
        <f t="shared" si="8"/>
        <v>-0.04883255504</v>
      </c>
      <c r="Z26" s="101">
        <f>IF($A26="","",IFERROR(SUMPRODUCT(('Raw Data'!$B$2:$B$9999="Control")*('Raw Data'!$A$2:$A$9999=$A26)*('Raw Data'!$C$2:$C$9999=$C$3)*'Raw Data'!$D$2:$D$9999*'Raw Data'!$L$2:$L$9999)/SUMIFS('Raw Data'!$D:$D, 'Raw Data'!$B:$B, "Control", 'Raw Data'!$A:$A, $A26, 'Raw Data'!$C:$C, $C$3),""))</f>
        <v>126.97</v>
      </c>
      <c r="AA26" s="101">
        <f>IF($A26="","",IFERROR(SUMPRODUCT(('Raw Data'!$B$2:$B$9999="Variant")*('Raw Data'!$A$2:$A$9999=$A26)*('Raw Data'!$C$2:$C$9999=$C$3)*'Raw Data'!$D$2:$D$9999*'Raw Data'!$L$2:$L$9999)/SUMIFS('Raw Data'!$D:$D, 'Raw Data'!$B:$B, "Variant", 'Raw Data'!$A:$A, $A26, 'Raw Data'!$C:$C, $C$3),""))</f>
        <v>120.05</v>
      </c>
      <c r="AB26" s="105">
        <f t="shared" si="9"/>
        <v>-0.05450106324</v>
      </c>
      <c r="AC26" s="102">
        <f>IF($A26="","",IFERROR(SUMPRODUCT(('Raw Data'!$B$2:$B$9999="Control")*('Raw Data'!$A$2:$A$9999=$A26)*('Raw Data'!$C$2:$C$9999=$C$3)*'Raw Data'!$D$2:$D$9999*'Raw Data'!$M$2:$M$9999)/SUMIFS('Raw Data'!$D:$D, 'Raw Data'!$B:$B, "Control", 'Raw Data'!$A:$A, $A26, 'Raw Data'!$C:$C, $C$3),""))</f>
        <v>0.847</v>
      </c>
      <c r="AD26" s="102">
        <f>IF($A26="","",IFERROR(SUMPRODUCT(('Raw Data'!$B$2:$B$9999="Variant")*('Raw Data'!$A$2:$A$9999=$A26)*('Raw Data'!$C$2:$C$9999=$C$3)*'Raw Data'!$D$2:$D$9999*'Raw Data'!$M$2:$M$9999)/SUMIFS('Raw Data'!$D:$D, 'Raw Data'!$B:$B, "Variant", 'Raw Data'!$A:$A, $A26, 'Raw Data'!$C:$C, $C$3),""))</f>
        <v>0.842</v>
      </c>
      <c r="AE26" s="106">
        <f t="shared" si="10"/>
        <v>-0.005903187721</v>
      </c>
      <c r="AF26" s="102">
        <f>IF($A26="","",IFERROR(SUMPRODUCT(('Raw Data'!$B$2:$B$9999="Control")*('Raw Data'!$A$2:$A$9999=$A26)*('Raw Data'!$C$2:$C$9999=$C$3)*'Raw Data'!$D$2:$D$9999*'Raw Data'!$N$2:$N$9999)/SUMIFS('Raw Data'!$D:$D, 'Raw Data'!$B:$B, "Control", 'Raw Data'!$A:$A, $A26, 'Raw Data'!$C:$C, $C$3),""))</f>
        <v>0.2824</v>
      </c>
      <c r="AG26" s="102">
        <f>IF($A26="","",IFERROR(SUMPRODUCT(('Raw Data'!$B$2:$B$9999="Variant")*('Raw Data'!$A$2:$A$9999=$A26)*('Raw Data'!$C$2:$C$9999=$C$3)*'Raw Data'!$D$2:$D$9999*'Raw Data'!$N$2:$N$9999)/SUMIFS('Raw Data'!$D:$D, 'Raw Data'!$B:$B, "Variant", 'Raw Data'!$A:$A, $A26, 'Raw Data'!$C:$C, $C$3),""))</f>
        <v>0.2897</v>
      </c>
      <c r="AH26" s="106">
        <f t="shared" si="11"/>
        <v>0.02584985836</v>
      </c>
      <c r="AI26" s="102">
        <f>IF($A26="","",IFERROR(SUMPRODUCT(('Raw Data'!$B$2:$B$9999="Control")*('Raw Data'!$A$2:$A$9999=$A26)*('Raw Data'!$C$2:$C$9999=$C$3)*'Raw Data'!$D$2:$D$9999*'Raw Data'!$O$2:$O$9999)/SUMIFS('Raw Data'!$D:$D, 'Raw Data'!$B:$B, "Control", 'Raw Data'!$A:$A, $A26, 'Raw Data'!$C:$C, $C$3),""))</f>
        <v>0.1945</v>
      </c>
      <c r="AJ26" s="102">
        <f>IF($A26="","",IFERROR(SUMPRODUCT(('Raw Data'!$B$2:$B$9999="Variant")*('Raw Data'!$A$2:$A$9999=$A26)*('Raw Data'!$C$2:$C$9999=$C$3)*'Raw Data'!$D$2:$D$9999*'Raw Data'!$O$2:$O$9999)/SUMIFS('Raw Data'!$D:$D, 'Raw Data'!$B:$B, "Variant", 'Raw Data'!$A:$A, $A26, 'Raw Data'!$C:$C, $C$3),""))</f>
        <v>0.1978</v>
      </c>
      <c r="AK26" s="105">
        <f t="shared" si="12"/>
        <v>0.01696658098</v>
      </c>
      <c r="AL26" s="101">
        <f>IF($A26="","",IFERROR(SUMPRODUCT(('Raw Data'!$B$2:$B$9999="Control")*('Raw Data'!$A$2:$A$9999=$A26)*('Raw Data'!$C$2:$C$9999=$C$3)*'Raw Data'!$D$2:$D$9999*'Raw Data'!$P$2:$P$9999)/SUMIFS('Raw Data'!$D:$D, 'Raw Data'!$B:$B, "Control", 'Raw Data'!$A:$A, $A26, 'Raw Data'!$C:$C, $C$3),""))</f>
        <v>1.1806</v>
      </c>
      <c r="AM26" s="101">
        <f>IF($A26="","",IFERROR(SUMPRODUCT(('Raw Data'!$B$2:$B$9999="Variant")*('Raw Data'!$A$2:$A$9999=$A26)*('Raw Data'!$C$2:$C$9999=$C$3)*'Raw Data'!$D$2:$D$9999*'Raw Data'!$P$2:$P$9999)/SUMIFS('Raw Data'!$D:$D, 'Raw Data'!$B:$B, "Variant", 'Raw Data'!$A:$A, $A26, 'Raw Data'!$C:$C, $C$3),""))</f>
        <v>1.1876</v>
      </c>
      <c r="AN26" s="105">
        <f t="shared" si="13"/>
        <v>0.005929188548</v>
      </c>
      <c r="AO26" s="101">
        <f>IF($A26="","",IFERROR(SUMPRODUCT(('Raw Data'!$B$2:$B$9999="Control")*('Raw Data'!$A$2:$A$9999=$A26)*('Raw Data'!$C$2:$C$9999=$C$3)*'Raw Data'!$D$2:$D$9999*'Raw Data'!$Q$2:$Q$9999)/SUMIFS('Raw Data'!$D:$D, 'Raw Data'!$B:$B, "Control", 'Raw Data'!$A:$A, $A26, 'Raw Data'!$C:$C, $C$3),""))</f>
        <v>754.8</v>
      </c>
      <c r="AP26" s="101">
        <f>IF($A26="","",IFERROR(SUMPRODUCT(('Raw Data'!$B$2:$B$9999="Variant")*('Raw Data'!$A$2:$A$9999=$A26)*('Raw Data'!$C$2:$C$9999=$C$3)*'Raw Data'!$D$2:$D$9999*'Raw Data'!$Q$2:$Q$9999)/SUMIFS('Raw Data'!$D:$D, 'Raw Data'!$B:$B, "Variant", 'Raw Data'!$A:$A, $A26, 'Raw Data'!$C:$C, $C$3),""))</f>
        <v>679.1</v>
      </c>
      <c r="AQ26" s="95">
        <f t="shared" si="14"/>
        <v>-0.1002914679</v>
      </c>
      <c r="AR26" s="101">
        <f>IF($A26="","",IFERROR(SUMPRODUCT(('Raw Data'!$B$2:$B$9999="Control")*('Raw Data'!$A$2:$A$9999=$A26)*('Raw Data'!$C$2:$C$9999=$C$3)*'Raw Data'!$D$2:$D$9999*'Raw Data'!$R$2:$R$9999)/SUMIFS('Raw Data'!$D:$D, 'Raw Data'!$B:$B, "Control", 'Raw Data'!$A:$A, $A26, 'Raw Data'!$C:$C, $C$3),""))</f>
        <v>484.59</v>
      </c>
      <c r="AS26" s="101">
        <f>IF($A26="","",IFERROR(SUMPRODUCT(('Raw Data'!$B$2:$B$9999="Variant")*('Raw Data'!$A$2:$A$9999=$A26)*('Raw Data'!$C$2:$C$9999=$C$3)*'Raw Data'!$D$2:$D$9999*'Raw Data'!$R$2:$R$9999)/SUMIFS('Raw Data'!$D:$D, 'Raw Data'!$B:$B, "Variant", 'Raw Data'!$A:$A, $A26, 'Raw Data'!$C:$C, $C$3),""))</f>
        <v>586.89</v>
      </c>
      <c r="AT26" s="95">
        <f t="shared" si="15"/>
        <v>0.211106296</v>
      </c>
      <c r="AU26" s="101">
        <f>IF($A26="","",IFERROR(SUMPRODUCT(('Raw Data'!$B$2:$B$9999="Control")*('Raw Data'!$A$2:$A$9999=$A26)*('Raw Data'!$C$2:$C$9999=$C$3)*'Raw Data'!$D$2:$D$9999*'Raw Data'!$S$2:$S$9999)/SUMIFS('Raw Data'!$D:$D, 'Raw Data'!$B:$B, "Control", 'Raw Data'!$A:$A, $A26, 'Raw Data'!$C:$C, $C$3),""))</f>
        <v>270.21</v>
      </c>
      <c r="AV26" s="101">
        <f>IF($A26="","",IFERROR(SUMPRODUCT(('Raw Data'!$B$2:$B$9999="Variant")*('Raw Data'!$A$2:$A$9999=$A26)*('Raw Data'!$C$2:$C$9999=$C$3)*'Raw Data'!$D$2:$D$9999*'Raw Data'!$S$2:$S$9999)/SUMIFS('Raw Data'!$D:$D, 'Raw Data'!$B:$B, "Variant", 'Raw Data'!$A:$A, $A26, 'Raw Data'!$C:$C, $C$3),""))</f>
        <v>92.2</v>
      </c>
      <c r="AW26" s="95">
        <f t="shared" si="16"/>
        <v>-0.6587839088</v>
      </c>
      <c r="AX26" s="101">
        <f>IF($A26="","",IFERROR(SUMPRODUCT(('Raw Data'!$B$2:$B$9999="Control")*('Raw Data'!$A$2:$A$9999=$A26)*('Raw Data'!$C$2:$C$9999=$C$3)*'Raw Data'!$D$2:$D$9999*'Raw Data'!$T$2:$T$9999)/SUMIFS('Raw Data'!$D:$D, 'Raw Data'!$B:$B, "Control", 'Raw Data'!$A:$A, $A26, 'Raw Data'!$C:$C, $C$3),""))</f>
        <v>247.36</v>
      </c>
      <c r="AY26" s="101">
        <f>IF($A26="","",IFERROR(SUMPRODUCT(('Raw Data'!$B$2:$B$9999="Variant")*('Raw Data'!$A$2:$A$9999=$A26)*('Raw Data'!$C$2:$C$9999=$C$3)*'Raw Data'!$D$2:$D$9999*'Raw Data'!$T$2:$T$9999)/SUMIFS('Raw Data'!$D:$D, 'Raw Data'!$B:$B, "Variant", 'Raw Data'!$A:$A, $A26, 'Raw Data'!$C:$C, $C$3),""))</f>
        <v>234.32</v>
      </c>
      <c r="AZ26" s="105">
        <f t="shared" si="17"/>
        <v>-0.05271668823</v>
      </c>
      <c r="BA26" s="101">
        <f>IF($A26="","",IFERROR(SUMPRODUCT(('Raw Data'!$B$2:$B$9999="Control")*('Raw Data'!$A$2:$A$9999=$A26)*('Raw Data'!$C$2:$C$9999=$C$3)*'Raw Data'!$D$2:$D$9999*'Raw Data'!$U$2:$U$9999)/SUMIFS('Raw Data'!$D:$D, 'Raw Data'!$B:$B, "Control", 'Raw Data'!$A:$A, $A26, 'Raw Data'!$C:$C, $C$3),""))</f>
        <v>507.44</v>
      </c>
      <c r="BB26" s="101">
        <f>IF($A26="","",IFERROR(SUMPRODUCT(('Raw Data'!$B$2:$B$9999="Variant")*('Raw Data'!$A$2:$A$9999=$A26)*('Raw Data'!$C$2:$C$9999=$C$3)*'Raw Data'!$D$2:$D$9999*'Raw Data'!$U$2:$U$9999)/SUMIFS('Raw Data'!$D:$D, 'Raw Data'!$B:$B, "Variant", 'Raw Data'!$A:$A, $A26, 'Raw Data'!$C:$C, $C$3),""))</f>
        <v>444.78</v>
      </c>
      <c r="BC26" s="95">
        <f t="shared" si="18"/>
        <v>-0.1234825792</v>
      </c>
      <c r="BD26" s="101">
        <f>IF($A26="","",IFERROR(SUMPRODUCT(('Raw Data'!$B$2:$B$9999="Control")*('Raw Data'!$A$2:$A$9999=$A26)*('Raw Data'!$C$2:$C$9999=$C$3)*'Raw Data'!$D$2:$D$9999*'Raw Data'!$V$2:$V$9999)/SUMIFS('Raw Data'!$D:$D, 'Raw Data'!$B:$B, "Control", 'Raw Data'!$A:$A, $A26, 'Raw Data'!$C:$C, $C$3),""))</f>
        <v>942.07</v>
      </c>
      <c r="BE26" s="101">
        <f>IF($A26="","",IFERROR(SUMPRODUCT(('Raw Data'!$B$2:$B$9999="Variant")*('Raw Data'!$A$2:$A$9999=$A26)*('Raw Data'!$C$2:$C$9999=$C$3)*'Raw Data'!$D$2:$D$9999*'Raw Data'!$V$2:$V$9999)/SUMIFS('Raw Data'!$D:$D, 'Raw Data'!$B:$B, "Variant", 'Raw Data'!$A:$A, $A26, 'Raw Data'!$C:$C, $C$3),""))</f>
        <v>967.36</v>
      </c>
      <c r="BF26" s="95">
        <f t="shared" si="19"/>
        <v>0.0268451389</v>
      </c>
      <c r="BG26" s="101">
        <f>IF($A26="","",IFERROR(SUMPRODUCT(('Raw Data'!$B$2:$B$9999="Control")*('Raw Data'!$A$2:$A$9999=$A26)*('Raw Data'!$C$2:$C$9999=$C$3)*'Raw Data'!$D$2:$D$9999*('Raw Data'!$Q$2:$Q$9999-'Raw Data'!$V$2:$V$9999))/SUMIFS('Raw Data'!$D:$D, 'Raw Data'!$B:$B, "Control", 'Raw Data'!$A:$A, $A26, 'Raw Data'!$C:$C, $C$3),""))</f>
        <v>-187.27</v>
      </c>
      <c r="BH26" s="101">
        <f>IF($A26="","",IFERROR(SUMPRODUCT(('Raw Data'!$B$2:$B$9999="Variant")*('Raw Data'!$A$2:$A$9999=$A26)*('Raw Data'!$C$2:$C$9999=$C$3)*'Raw Data'!$D$2:$D$9999*('Raw Data'!$Q$2:$Q$9999-'Raw Data'!$V$2:$V$9999))/SUMIFS('Raw Data'!$D:$D, 'Raw Data'!$B:$B, "Variant", 'Raw Data'!$A:$A, $A26, 'Raw Data'!$C:$C, $C$3),""))</f>
        <v>-288.26</v>
      </c>
      <c r="BI26" s="95">
        <f t="shared" si="20"/>
        <v>-0.5392748438</v>
      </c>
      <c r="BJ26" s="101">
        <f>IF($A26="","",IFERROR(SUMPRODUCT(('Raw Data'!$B$2:$B$9999="Control")*('Raw Data'!$A$2:$A$9999=$A26)*('Raw Data'!$C$2:$C$9999=$C$3)*'Raw Data'!$D$2:$D$9999*'Raw Data'!$W$2:$W$9999)/SUMIFS('Raw Data'!$D:$D, 'Raw Data'!$B:$B, "Control", 'Raw Data'!$A:$A, $A26, 'Raw Data'!$C:$C, $C$3),""))</f>
        <v>6.2847</v>
      </c>
      <c r="BK26" s="101">
        <f>IF($A26="","",IFERROR(SUMPRODUCT(('Raw Data'!$B$2:$B$9999="Variant")*('Raw Data'!$A$2:$A$9999=$A26)*('Raw Data'!$C$2:$C$9999=$C$3)*'Raw Data'!$D$2:$D$9999*'Raw Data'!$W$2:$W$9999)/SUMIFS('Raw Data'!$D:$D, 'Raw Data'!$B:$B, "Variant", 'Raw Data'!$A:$A, $A26, 'Raw Data'!$C:$C, $C$3),""))</f>
        <v>6.7846</v>
      </c>
      <c r="BL26" s="95">
        <f t="shared" si="21"/>
        <v>0.0795423807</v>
      </c>
      <c r="BM26" s="102">
        <f>IF($A26="","",IFERROR(SUMPRODUCT(('Raw Data'!$B$2:$B$9999="Control")*('Raw Data'!$A$2:$A$9999=$A26)*('Raw Data'!$C$2:$C$9999=$C$3)*'Raw Data'!$D$2:$D$9999*'Raw Data'!$X$2:$X$9999)/SUMIFS('Raw Data'!$D:$D, 'Raw Data'!$B:$B, "Control", 'Raw Data'!$A:$A, $A26, 'Raw Data'!$C:$C, $C$3),""))</f>
        <v>32.77</v>
      </c>
      <c r="BN26" s="102">
        <f>IF($A26="","",IFERROR(SUMPRODUCT(('Raw Data'!$B$2:$B$9999="Variant")*('Raw Data'!$A$2:$A$9999=$A26)*('Raw Data'!$C$2:$C$9999=$C$3)*'Raw Data'!$D$2:$D$9999*'Raw Data'!$X$2:$X$9999)/SUMIFS('Raw Data'!$D:$D, 'Raw Data'!$B:$B, "Variant", 'Raw Data'!$A:$A, $A26, 'Raw Data'!$C:$C, $C$3),""))</f>
        <v>34.5</v>
      </c>
      <c r="BO26" s="105">
        <f t="shared" si="22"/>
        <v>0.05279218798</v>
      </c>
      <c r="BP26" s="94">
        <f>IF($A26="","",IFERROR(SUMPRODUCT(('Raw Data'!$B$2:$B$9999="Control")*('Raw Data'!$A$2:$A$9999=$A26)*('Raw Data'!$C$2:$C$9999=$C$3)*'Raw Data'!$D$2:$D$9999*'Raw Data'!$Y$2:$Y$9999)/SUMIFS('Raw Data'!$D:$D, 'Raw Data'!$B:$B, "Control", 'Raw Data'!$A:$A, $A26, 'Raw Data'!$C:$C, $C$3),""))</f>
        <v>374</v>
      </c>
      <c r="BQ26" s="94">
        <f>IF($A26="","",IFERROR(SUMPRODUCT(('Raw Data'!$B$2:$B$9999="Variant")*('Raw Data'!$A$2:$A$9999=$A26)*('Raw Data'!$C$2:$C$9999=$C$3)*'Raw Data'!$D$2:$D$9999*'Raw Data'!$Y$2:$Y$9999)/SUMIFS('Raw Data'!$D:$D, 'Raw Data'!$B:$B, "Variant", 'Raw Data'!$A:$A, $A26, 'Raw Data'!$C:$C, $C$3),""))</f>
        <v>326</v>
      </c>
      <c r="BR26" s="95">
        <f t="shared" si="23"/>
        <v>-0.128342246</v>
      </c>
      <c r="BS26" s="94">
        <f>IF($A26="","",IFERROR(SUMPRODUCT(('Raw Data'!$B$2:$B$9999="Control")*('Raw Data'!$A$2:$A$9999=$A26)*('Raw Data'!$C$2:$C$9999=$C$3)*'Raw Data'!$D$2:$D$9999*'Raw Data'!$Z$2:$Z$9999)/SUMIFS('Raw Data'!$D:$D, 'Raw Data'!$B:$B, "Control", 'Raw Data'!$A:$A, $A26, 'Raw Data'!$C:$C, $C$3),""))</f>
        <v>1895</v>
      </c>
      <c r="BT26" s="94">
        <f>IF($A26="","",IFERROR(SUMPRODUCT(('Raw Data'!$B$2:$B$9999="Variant")*('Raw Data'!$A$2:$A$9999=$A26)*('Raw Data'!$C$2:$C$9999=$C$3)*'Raw Data'!$D$2:$D$9999*'Raw Data'!$Z$2:$Z$9999)/SUMIFS('Raw Data'!$D:$D, 'Raw Data'!$B:$B, "Variant", 'Raw Data'!$A:$A, $A26, 'Raw Data'!$C:$C, $C$3),""))</f>
        <v>2041</v>
      </c>
      <c r="BU26" s="95">
        <f t="shared" si="24"/>
        <v>0.07704485488</v>
      </c>
      <c r="BV26" s="94">
        <f>IF($A26="","",IFERROR(SUMPRODUCT(('Raw Data'!$B$2:$B$9999="Control")*('Raw Data'!$A$2:$A$9999=$A26)*('Raw Data'!$C$2:$C$9999=$C$3)*'Raw Data'!$D$2:$D$9999*'Raw Data'!$AA$2:$AA$9999)/SUMIFS('Raw Data'!$D:$D, 'Raw Data'!$B:$B, "Control", 'Raw Data'!$A:$A, $A26, 'Raw Data'!$C:$C, $C$3),""))</f>
        <v>9162</v>
      </c>
      <c r="BW26" s="94">
        <f>IF($A26="","",IFERROR(SUMPRODUCT(('Raw Data'!$B$2:$B$9999="Variant")*('Raw Data'!$A$2:$A$9999=$A26)*('Raw Data'!$C$2:$C$9999=$C$3)*'Raw Data'!$D$2:$D$9999*'Raw Data'!$AA$2:$AA$9999)/SUMIFS('Raw Data'!$D:$D, 'Raw Data'!$B:$B, "Variant", 'Raw Data'!$A:$A, $A26, 'Raw Data'!$C:$C, $C$3),""))</f>
        <v>10037</v>
      </c>
      <c r="BX26" s="95">
        <f t="shared" si="25"/>
        <v>0.09550316525</v>
      </c>
      <c r="BY26" s="101">
        <f>IF($A26="","",IFERROR(SUMPRODUCT(('Raw Data'!$B$2:$B$9999="Control")*('Raw Data'!$A$2:$A$9999=$A26)*('Raw Data'!$C$2:$C$9999=$C$3)*'Raw Data'!$D$2:$D$9999*'Raw Data'!$AB$2:$AB$9999)/SUMIFS('Raw Data'!$D:$D, 'Raw Data'!$B:$B, "Control", 'Raw Data'!$A:$A, $A26, 'Raw Data'!$C:$C, $C$3),""))</f>
        <v>62.9021</v>
      </c>
      <c r="BZ26" s="101">
        <f>IF($A26="","",IFERROR(SUMPRODUCT(('Raw Data'!$B$2:$B$9999="Variant")*('Raw Data'!$A$2:$A$9999=$A26)*('Raw Data'!$C$2:$C$9999=$C$3)*'Raw Data'!$D$2:$D$9999*'Raw Data'!$AB$2:$AB$9999)/SUMIFS('Raw Data'!$D:$D, 'Raw Data'!$B:$B, "Variant", 'Raw Data'!$A:$A, $A26, 'Raw Data'!$C:$C, $C$3),""))</f>
        <v>62.0844</v>
      </c>
      <c r="CA26" s="105">
        <f t="shared" si="26"/>
        <v>-0.01299956599</v>
      </c>
      <c r="CB26" s="101">
        <f>IF($A26="","",IFERROR(SUMPRODUCT(('Raw Data'!$B$2:$B$9999="Control")*('Raw Data'!$A$2:$A$9999=$A26)*('Raw Data'!$C$2:$C$9999=$C$3)*'Raw Data'!$D$2:$D$9999*'Raw Data'!$AC$2:$AC$9999)/SUMIFS('Raw Data'!$D:$D, 'Raw Data'!$B:$B, "Control", 'Raw Data'!$A:$A, $A26, 'Raw Data'!$C:$C, $C$3),""))</f>
        <v>0.8733</v>
      </c>
      <c r="CC26" s="101">
        <f>IF($A26="","",IFERROR(SUMPRODUCT(('Raw Data'!$B$2:$B$9999="Variant")*('Raw Data'!$A$2:$A$9999=$A26)*('Raw Data'!$C$2:$C$9999=$C$3)*'Raw Data'!$D$2:$D$9999*'Raw Data'!$AC$2:$AC$9999)/SUMIFS('Raw Data'!$D:$D, 'Raw Data'!$B:$B, "Variant", 'Raw Data'!$A:$A, $A26, 'Raw Data'!$C:$C, $C$3),""))</f>
        <v>0.8643</v>
      </c>
      <c r="CD26" s="105">
        <f t="shared" si="27"/>
        <v>-0.01030573686</v>
      </c>
      <c r="CE26" s="101">
        <f>IF($A26="","",IFERROR(SUMPRODUCT(('Raw Data'!$B$2:$B$9999="Control")*('Raw Data'!$A$2:$A$9999=$A26)*('Raw Data'!$C$2:$C$9999=$C$3)*'Raw Data'!$D$2:$D$9999*'Raw Data'!$AD$2:$AD$9999)/SUMIFS('Raw Data'!$D:$D, 'Raw Data'!$B:$B, "Control", 'Raw Data'!$A:$A, $A26, 'Raw Data'!$C:$C, $C$3),""))</f>
        <v>89.66</v>
      </c>
      <c r="CF26" s="101">
        <f>IF($A26="","",IFERROR(SUMPRODUCT(('Raw Data'!$B$2:$B$9999="Variant")*('Raw Data'!$A$2:$A$9999=$A26)*('Raw Data'!$C$2:$C$9999=$C$3)*'Raw Data'!$D$2:$D$9999*'Raw Data'!$AD$2:$AD$9999)/SUMIFS('Raw Data'!$D:$D, 'Raw Data'!$B:$B, "Variant", 'Raw Data'!$A:$A, $A26, 'Raw Data'!$C:$C, $C$3),""))</f>
        <v>87.81</v>
      </c>
      <c r="CG26" s="105">
        <f t="shared" si="28"/>
        <v>-0.02063350435</v>
      </c>
      <c r="CH26" s="101">
        <f>IF($A26="","",IFERROR(SUMPRODUCT(('Raw Data'!$B$2:$B$9999="Control")*('Raw Data'!$A$2:$A$9999=$A26)*('Raw Data'!$C$2:$C$9999=$C$3)*'Raw Data'!$D$2:$D$9999*'Raw Data'!$AE$2:$AE$9999)/SUMIFS('Raw Data'!$D:$D, 'Raw Data'!$B:$B, "Control", 'Raw Data'!$A:$A, $A26, 'Raw Data'!$C:$C, $C$3),""))</f>
        <v>34</v>
      </c>
      <c r="CI26" s="101">
        <f>IF($A26="","",IFERROR(SUMPRODUCT(('Raw Data'!$B$2:$B$9999="Variant")*('Raw Data'!$A$2:$A$9999=$A26)*('Raw Data'!$C$2:$C$9999=$C$3)*'Raw Data'!$D$2:$D$9999*'Raw Data'!$AE$2:$AE$9999)/SUMIFS('Raw Data'!$D:$D, 'Raw Data'!$B:$B, "Variant", 'Raw Data'!$A:$A, $A26, 'Raw Data'!$C:$C, $C$3),""))</f>
        <v>32</v>
      </c>
      <c r="CJ26" s="105">
        <f t="shared" si="29"/>
        <v>-0.05882352941</v>
      </c>
      <c r="CK26" s="101">
        <f>IF($A26="","",IFERROR(SUMPRODUCT(('Raw Data'!$B$2:$B$9999="Control")*('Raw Data'!$A$2:$A$9999=$A26)*('Raw Data'!$C$2:$C$9999=$C$3)*'Raw Data'!$D$2:$D$9999*'Raw Data'!$AF$2:$AF$9999)/SUMIFS('Raw Data'!$D:$D, 'Raw Data'!$B:$B, "Control", 'Raw Data'!$A:$A, $A26, 'Raw Data'!$C:$C, $C$3),""))</f>
        <v>78</v>
      </c>
      <c r="CL26" s="101">
        <f>IF($A26="","",IFERROR(SUMPRODUCT(('Raw Data'!$B$2:$B$9999="Variant")*('Raw Data'!$A$2:$A$9999=$A26)*('Raw Data'!$C$2:$C$9999=$C$3)*'Raw Data'!$D$2:$D$9999*'Raw Data'!$AF$2:$AF$9999)/SUMIFS('Raw Data'!$D:$D, 'Raw Data'!$B:$B, "Variant", 'Raw Data'!$A:$A, $A26, 'Raw Data'!$C:$C, $C$3),""))</f>
        <v>77</v>
      </c>
      <c r="CM26" s="105">
        <f t="shared" si="30"/>
        <v>-0.01282051282</v>
      </c>
      <c r="CN26" s="101">
        <f>IF($A26="","",IFERROR(SUMPRODUCT(('Raw Data'!$B$2:$B$9999="Control")*('Raw Data'!$A$2:$A$9999=$A26)*('Raw Data'!$C$2:$C$9999=$C$3)*'Raw Data'!$D$2:$D$9999*'Raw Data'!$AG$2:$AG$9999)/SUMIFS('Raw Data'!$D:$D, 'Raw Data'!$B:$B, "Control", 'Raw Data'!$A:$A, $A26, 'Raw Data'!$C:$C, $C$3),""))</f>
        <v>125</v>
      </c>
      <c r="CO26" s="101">
        <f>IF($A26="","",IFERROR(SUMPRODUCT(('Raw Data'!$B$2:$B$9999="Variant")*('Raw Data'!$A$2:$A$9999=$A26)*('Raw Data'!$C$2:$C$9999=$C$3)*'Raw Data'!$D$2:$D$9999*'Raw Data'!$AG$2:$AG$9999)/SUMIFS('Raw Data'!$D:$D, 'Raw Data'!$B:$B, "Variant", 'Raw Data'!$A:$A, $A26, 'Raw Data'!$C:$C, $C$3),""))</f>
        <v>125</v>
      </c>
      <c r="CP26" s="105">
        <f t="shared" si="31"/>
        <v>0</v>
      </c>
      <c r="CQ26" s="101">
        <f>IF($A26="","",IFERROR(SUMPRODUCT(('Raw Data'!$B$2:$B$9999="Control")*('Raw Data'!$A$2:$A$9999=$A26)*('Raw Data'!$C$2:$C$9999=$C$3)*'Raw Data'!$D$2:$D$9999*'Raw Data'!$AH$2:$AH$9999)/SUMIFS('Raw Data'!$D:$D, 'Raw Data'!$B:$B, "Control", 'Raw Data'!$A:$A, $A26, 'Raw Data'!$C:$C, $C$3),""))</f>
        <v>176</v>
      </c>
      <c r="CR26" s="101">
        <f>IF($A26="","",IFERROR(SUMPRODUCT(('Raw Data'!$B$2:$B$9999="Variant")*('Raw Data'!$A$2:$A$9999=$A26)*('Raw Data'!$C$2:$C$9999=$C$3)*'Raw Data'!$D$2:$D$9999*'Raw Data'!$AH$2:$AH$9999)/SUMIFS('Raw Data'!$D:$D, 'Raw Data'!$B:$B, "Variant", 'Raw Data'!$A:$A, $A26, 'Raw Data'!$C:$C, $C$3),""))</f>
        <v>184</v>
      </c>
      <c r="CS26" s="105">
        <f t="shared" si="32"/>
        <v>0.04545454545</v>
      </c>
      <c r="CT26" s="96">
        <f>IF($A26="","",IFERROR(SUMPRODUCT(('Raw Data'!$B$2:$B$9999="Control")*('Raw Data'!$A$2:$A$9999=$A26)*('Raw Data'!$C$2:$C$9999=$C$3)*'Raw Data'!$D$2:$D$9999*'Raw Data'!$AI$2:$AI$9999)/SUMIFS('Raw Data'!$D:$D, 'Raw Data'!$B:$B, "Control", 'Raw Data'!$A:$A, $A26, 'Raw Data'!$C:$C, $C$3),""))</f>
        <v>48.68</v>
      </c>
      <c r="CU26" s="96">
        <f>IF($A26="","",IFERROR(SUMPRODUCT(('Raw Data'!$B$2:$B$9999="Variant")*('Raw Data'!$A$2:$A$9999=$A26)*('Raw Data'!$C$2:$C$9999=$C$3)*'Raw Data'!$D$2:$D$9999*'Raw Data'!$AI$2:$AI$9999)/SUMIFS('Raw Data'!$D:$D, 'Raw Data'!$B:$B, "Variant", 'Raw Data'!$A:$A, $A26, 'Raw Data'!$C:$C, $C$3),""))</f>
        <v>48.76</v>
      </c>
      <c r="CV26" s="106">
        <f t="shared" si="33"/>
        <v>0.001643385374</v>
      </c>
      <c r="CW26" s="96">
        <f>IF($A26="","",IFERROR(SUMPRODUCT(('Raw Data'!$B$2:$B$9999="Control")*('Raw Data'!$A$2:$A$9999=$A26)*('Raw Data'!$C$2:$C$9999=$C$3)*'Raw Data'!$D$2:$D$9999*'Raw Data'!$AJ$2:$AJ$9999)/SUMIFS('Raw Data'!$D:$D, 'Raw Data'!$B:$B, "Control", 'Raw Data'!$A:$A, $A26, 'Raw Data'!$C:$C, $C$3),""))</f>
        <v>10.57</v>
      </c>
      <c r="CX26" s="96">
        <f>IF($A26="","",IFERROR(SUMPRODUCT(('Raw Data'!$B$2:$B$9999="Variant")*('Raw Data'!$A$2:$A$9999=$A26)*('Raw Data'!$C$2:$C$9999=$C$3)*'Raw Data'!$D$2:$D$9999*'Raw Data'!$AJ$2:$AJ$9999)/SUMIFS('Raw Data'!$D:$D, 'Raw Data'!$B:$B, "Variant", 'Raw Data'!$A:$A, $A26, 'Raw Data'!$C:$C, $C$3),""))</f>
        <v>12.19</v>
      </c>
      <c r="CY26" s="106">
        <f t="shared" si="34"/>
        <v>0.1532639546</v>
      </c>
      <c r="CZ26" s="96">
        <f>IF($A26="","",IFERROR(SUMPRODUCT(('Raw Data'!$B$2:$B$9999="Control")*('Raw Data'!$A$2:$A$9999=$A26)*('Raw Data'!$C$2:$C$9999=$C$3)*'Raw Data'!$D$2:$D$9999*'Raw Data'!$AK$2:$AK$9999)/SUMIFS('Raw Data'!$D:$D, 'Raw Data'!$B:$B, "Control", 'Raw Data'!$A:$A, $A26, 'Raw Data'!$C:$C, $C$3),""))</f>
        <v>1.76</v>
      </c>
      <c r="DA26" s="96">
        <f>IF($A26="","",IFERROR(SUMPRODUCT(('Raw Data'!$B$2:$B$9999="Variant")*('Raw Data'!$A$2:$A$9999=$A26)*('Raw Data'!$C$2:$C$9999=$C$3)*'Raw Data'!$D$2:$D$9999*'Raw Data'!$AK$2:$AK$9999)/SUMIFS('Raw Data'!$D:$D, 'Raw Data'!$B:$B, "Variant", 'Raw Data'!$A:$A, $A26, 'Raw Data'!$C:$C, $C$3),""))</f>
        <v>1.45</v>
      </c>
      <c r="DB26" s="105">
        <f t="shared" si="35"/>
        <v>-0.1761363636</v>
      </c>
      <c r="DC26" s="102">
        <f>IF($A26="","",IFERROR(SUMPRODUCT(('Raw Data'!$B$2:$B$9999="Control")*('Raw Data'!$A$2:$A$9999=$A26)*('Raw Data'!$C$2:$C$9999=$C$3)*'Raw Data'!$D$2:$D$9999*'Raw Data'!$AL$2:$AL$9999)/SUMIFS('Raw Data'!$D:$D, 'Raw Data'!$B:$B, "Control", 'Raw Data'!$A:$A, $A26, 'Raw Data'!$C:$C, $C$3),""))</f>
        <v>0.1278</v>
      </c>
      <c r="DD26" s="102">
        <f>IF($A26="","",IFERROR(SUMPRODUCT(('Raw Data'!$B$2:$B$9999="Variant")*('Raw Data'!$A$2:$A$9999=$A26)*('Raw Data'!$C$2:$C$9999=$C$3)*'Raw Data'!$D$2:$D$9999*'Raw Data'!$AL$2:$AL$9999)/SUMIFS('Raw Data'!$D:$D, 'Raw Data'!$B:$B, "Variant", 'Raw Data'!$A:$A, $A26, 'Raw Data'!$C:$C, $C$3),""))</f>
        <v>0.1488</v>
      </c>
      <c r="DE26" s="106">
        <f t="shared" si="36"/>
        <v>0.1643192488</v>
      </c>
      <c r="DF26" s="103"/>
      <c r="DG26" s="96">
        <f>IF($A26="","",IFERROR(SUMPRODUCT(('Raw Data'!$B$2:$B$9999="Variant")*('Raw Data'!$A$2:$A$9999=$A26)*('Raw Data'!$C$2:$C$9999=$C$3)*'Raw Data'!$D$2:$D$9999*'Raw Data'!$AM$2:$AM$9999)/SUMIFS('Raw Data'!$D:$D, 'Raw Data'!$B:$B, "Variant", 'Raw Data'!$A:$A, $A26, 'Raw Data'!$C:$C, $C$3),""))</f>
        <v>79.96</v>
      </c>
      <c r="DH26" s="104"/>
      <c r="DI26" s="103"/>
      <c r="DJ26" s="96">
        <f>IF($A26="","",IFERROR(SUMPRODUCT(('Raw Data'!$B$2:$B$9999="Variant")*('Raw Data'!$A$2:$A$9999=$A26)*('Raw Data'!$C$2:$C$9999=$C$3)*'Raw Data'!$D$2:$D$9999*'Raw Data'!$AN$2:$AN$9999)/SUMIFS('Raw Data'!$D:$D, 'Raw Data'!$B:$B, "Variant", 'Raw Data'!$A:$A, $A26, 'Raw Data'!$C:$C, $C$3),""))</f>
        <v>79.96</v>
      </c>
      <c r="DK26" s="104"/>
      <c r="DL26" s="103"/>
      <c r="DM26" s="96">
        <f>IF($A26="","",IFERROR(SUMPRODUCT(('Raw Data'!$B$2:$B$9999="Variant")*('Raw Data'!$A$2:$A$9999=$A26)*('Raw Data'!$C$2:$C$9999=$C$3)*'Raw Data'!$D$2:$D$9999*'Raw Data'!$AO$2:$AO$9999)/SUMIFS('Raw Data'!$D:$D, 'Raw Data'!$B:$B, "Variant", 'Raw Data'!$A:$A, $A26, 'Raw Data'!$C:$C, $C$3),""))</f>
        <v>63.43</v>
      </c>
      <c r="DN26" s="104"/>
      <c r="DO26" s="103"/>
      <c r="DP26" s="96">
        <f>IF($A26="","",IFERROR(SUMPRODUCT(('Raw Data'!$B$2:$B$9999="Variant")*('Raw Data'!$A$2:$A$9999=$A26)*('Raw Data'!$C$2:$C$9999=$C$3)*'Raw Data'!$D$2:$D$9999*'Raw Data'!$AP$2:$AP$9999)/SUMIFS('Raw Data'!$D:$D, 'Raw Data'!$B:$B, "Variant", 'Raw Data'!$A:$A, $A26, 'Raw Data'!$C:$C, $C$3),""))</f>
        <v>51.45</v>
      </c>
      <c r="DQ26" s="104"/>
      <c r="DR26" s="102">
        <f>IF($A26="","",IFERROR(SUMPRODUCT(('Raw Data'!$B$2:$B$9999="Control")*('Raw Data'!$A$2:$A$9999=$A26)*('Raw Data'!$C$2:$C$9999=$C$3)*'Raw Data'!$D$2:$D$9999*'Raw Data'!$AQ$2:$AQ$9999)/SUMIFS('Raw Data'!$D:$D, 'Raw Data'!$B:$B, "Control", 'Raw Data'!$A:$A, $A26, 'Raw Data'!$C:$C, $C$3),""))</f>
        <v>36.7533</v>
      </c>
      <c r="DS26" s="102">
        <f>IF($A26="","",IFERROR(SUMPRODUCT(('Raw Data'!$B$2:$B$9999="Variant")*('Raw Data'!$A$2:$A$9999=$A26)*('Raw Data'!$C$2:$C$9999=$C$3)*'Raw Data'!$D$2:$D$9999*'Raw Data'!$AQ$2:$AQ$9999)/SUMIFS('Raw Data'!$D:$D, 'Raw Data'!$B:$B, "Variant", 'Raw Data'!$A:$A, $A26, 'Raw Data'!$C:$C, $C$3),""))</f>
        <v>37.3946</v>
      </c>
      <c r="DT26" s="109">
        <f t="shared" si="37"/>
        <v>0.01744877331</v>
      </c>
      <c r="DU26" s="102">
        <f>IF($A26="","",IFERROR(SUMPRODUCT(('Raw Data'!$B$2:$B$9999="Control")*('Raw Data'!$A$2:$A$9999=$A26)*('Raw Data'!$C$2:$C$9999=$C$3)*'Raw Data'!$D$2:$D$9999*'Raw Data'!$AR$2:$AR$9999)/SUMIFS('Raw Data'!$D:$D, 'Raw Data'!$B:$B, "Control", 'Raw Data'!$A:$A, $A26, 'Raw Data'!$C:$C, $C$3),""))</f>
        <v>5.5441</v>
      </c>
      <c r="DV26" s="102">
        <f>IF($A26="","",IFERROR(SUMPRODUCT(('Raw Data'!$B$2:$B$9999="Variant")*('Raw Data'!$A$2:$A$9999=$A26)*('Raw Data'!$C$2:$C$9999=$C$3)*'Raw Data'!$D$2:$D$9999*'Raw Data'!$AR$2:$AR$9999)/SUMIFS('Raw Data'!$D:$D, 'Raw Data'!$B:$B, "Variant", 'Raw Data'!$A:$A, $A26, 'Raw Data'!$C:$C, $C$3),""))</f>
        <v>6.4029</v>
      </c>
      <c r="DW26" s="109">
        <f t="shared" si="38"/>
        <v>0.1549034108</v>
      </c>
      <c r="DX26" s="102">
        <f>IF($A26="","",IFERROR(SUMPRODUCT(('Raw Data'!$B$2:$B$9999="Control")*('Raw Data'!$A$2:$A$9999=$A26)*('Raw Data'!$C$2:$C$9999=$C$3)*'Raw Data'!$D$2:$D$9999*'Raw Data'!$AS$2:$AS$9999)/SUMIFS('Raw Data'!$D:$D, 'Raw Data'!$B:$B, "Control", 'Raw Data'!$A:$A, $A26, 'Raw Data'!$C:$C, $C$3),""))</f>
        <v>31.2093</v>
      </c>
      <c r="DY26" s="102">
        <f>IF($A26="","",IFERROR(SUMPRODUCT(('Raw Data'!$B$2:$B$9999="Variant")*('Raw Data'!$A$2:$A$9999=$A26)*('Raw Data'!$C$2:$C$9999=$C$3)*'Raw Data'!$D$2:$D$9999*'Raw Data'!$AS$2:$AS$9999)/SUMIFS('Raw Data'!$D:$D, 'Raw Data'!$B:$B, "Variant", 'Raw Data'!$A:$A, $A26, 'Raw Data'!$C:$C, $C$3),""))</f>
        <v>30.9917</v>
      </c>
      <c r="DZ26" s="110">
        <f t="shared" si="39"/>
        <v>-0.006972280698</v>
      </c>
      <c r="EA26" s="102">
        <f>IF($A26="","",IFERROR(SUMPRODUCT(('Raw Data'!$B$2:$B$9999="Control")*('Raw Data'!$A$2:$A$9999=$A26)*('Raw Data'!$C$2:$C$9999=$C$3)*'Raw Data'!$D$2:$D$9999*'Raw Data'!$AT$2:$AT$9999)/SUMIFS('Raw Data'!$D:$D, 'Raw Data'!$B:$B, "Control", 'Raw Data'!$A:$A, $A26, 'Raw Data'!$C:$C, $C$3),""))</f>
        <v>36.0264</v>
      </c>
      <c r="EB26" s="102">
        <f>IF($A26="","",IFERROR(SUMPRODUCT(('Raw Data'!$B$2:$B$9999="Variant")*('Raw Data'!$A$2:$A$9999=$A26)*('Raw Data'!$C$2:$C$9999=$C$3)*'Raw Data'!$D$2:$D$9999*'Raw Data'!$AT$2:$AT$9999)/SUMIFS('Raw Data'!$D:$D, 'Raw Data'!$B:$B, "Variant", 'Raw Data'!$A:$A, $A26, 'Raw Data'!$C:$C, $C$3),""))</f>
        <v>41.2831</v>
      </c>
      <c r="EC26" s="109">
        <f t="shared" si="40"/>
        <v>0.145912442</v>
      </c>
      <c r="ED26" s="102">
        <f>IF($A26="","",IFERROR(SUMPRODUCT(('Raw Data'!$B$2:$B$9999="Control")*('Raw Data'!$A$2:$A$9999=$A26)*('Raw Data'!$C$2:$C$9999=$C$3)*'Raw Data'!$D$2:$D$9999*('Raw Data'!$AQ$2:$AQ$9999-'Raw Data'!$AT$2:$AT$9999))/SUMIFS('Raw Data'!$D:$D, 'Raw Data'!$B:$B, "Control", 'Raw Data'!$A:$A, $A26, 'Raw Data'!$C:$C, $C$3),""))</f>
        <v>0.7269</v>
      </c>
      <c r="EE26" s="102">
        <f>IF($A26="","",IFERROR(SUMPRODUCT(('Raw Data'!$B$2:$B$9999="Variant")*('Raw Data'!$A$2:$A$9999=$A26)*('Raw Data'!$C$2:$C$9999=$C$3)*'Raw Data'!$D$2:$D$9999*('Raw Data'!$AQ$2:$AQ$9999-'Raw Data'!$AT$2:$AT$9999))/SUMIFS('Raw Data'!$D:$D, 'Raw Data'!$B:$B, "Variant", 'Raw Data'!$A:$A, $A26, 'Raw Data'!$C:$C, $C$3),""))</f>
        <v>-3.8885</v>
      </c>
      <c r="EF26" s="110">
        <f t="shared" si="41"/>
        <v>-6.349429082</v>
      </c>
      <c r="EG26" s="102">
        <f>IF($A26="","",IFERROR(SUMPRODUCT(('Raw Data'!$B$2:$B$9999="Control")*('Raw Data'!$A$2:$A$9999=$A26)*('Raw Data'!$C$2:$C$9999=$C$3)*'Raw Data'!$D$2:$D$9999*'Raw Data'!$AU$2:$AU$9999)/SUMIFS('Raw Data'!$D:$D, 'Raw Data'!$B:$B, "Control", 'Raw Data'!$A:$A, $A26, 'Raw Data'!$C:$C, $C$3),""))</f>
        <v>0.2403</v>
      </c>
      <c r="EH26" s="102">
        <f>IF($A26="","",IFERROR(SUMPRODUCT(('Raw Data'!$B$2:$B$9999="Variant")*('Raw Data'!$A$2:$A$9999=$A26)*('Raw Data'!$C$2:$C$9999=$C$3)*'Raw Data'!$D$2:$D$9999*'Raw Data'!$AU$2:$AU$9999)/SUMIFS('Raw Data'!$D:$D, 'Raw Data'!$B:$B, "Variant", 'Raw Data'!$A:$A, $A26, 'Raw Data'!$C:$C, $C$3),""))</f>
        <v>0.2895</v>
      </c>
      <c r="EI26" s="109">
        <f t="shared" si="42"/>
        <v>0.2047440699</v>
      </c>
    </row>
    <row r="27" ht="15.75" customHeight="1">
      <c r="A27" s="93">
        <v>46195.0</v>
      </c>
      <c r="B27" s="94">
        <f>IF($A27="","",SUMIFS('Raw Data'!$D:$D, 'Raw Data'!$B:$B, "Control", 'Raw Data'!$A:$A, $A27, 'Raw Data'!$C:$C, $C$3))</f>
        <v>452</v>
      </c>
      <c r="C27" s="94">
        <f>IF($A27="","",SUMIFS('Raw Data'!$D:$D, 'Raw Data'!$B:$B, "Variant", 'Raw Data'!$A:$A, $A27, 'Raw Data'!$C:$C, $C$3))</f>
        <v>479</v>
      </c>
      <c r="D27" s="95">
        <f t="shared" si="1"/>
        <v>0.05973451327</v>
      </c>
      <c r="E27" s="96">
        <f>IF($A27="","",IFERROR(SUMPRODUCT(('Raw Data'!$B$2:$B$9999="Control")*('Raw Data'!$A$2:$A$9999=$A27)*('Raw Data'!$C$2:$C$9999=$C$3)*'Raw Data'!$D$2:$D$9999*'Raw Data'!$E$2:$E$9999)/SUMIFS('Raw Data'!$D:$D, 'Raw Data'!$B:$B, "Control", 'Raw Data'!$A:$A, $A27, 'Raw Data'!$C:$C, $C$3),""))</f>
        <v>0.53</v>
      </c>
      <c r="F27" s="96">
        <f>IF($A27="","",IFERROR(SUMPRODUCT(('Raw Data'!$B$2:$B$9999="Variant")*('Raw Data'!$A$2:$A$9999=$A27)*('Raw Data'!$C$2:$C$9999=$C$3)*'Raw Data'!$D$2:$D$9999*'Raw Data'!$E$2:$E$9999)/SUMIFS('Raw Data'!$D:$D, 'Raw Data'!$B:$B, "Variant", 'Raw Data'!$A:$A, $A27, 'Raw Data'!$C:$C, $C$3),""))</f>
        <v>0.57</v>
      </c>
      <c r="G27" s="95">
        <f t="shared" si="2"/>
        <v>0.07547169811</v>
      </c>
      <c r="H27" s="97">
        <f>IF($A27="","",SUMIFS('Raw Data'!$F:$F, 'Raw Data'!$B:$B, "Control", 'Raw Data'!$A:$A, $A27, 'Raw Data'!$C:$C, $C$3))</f>
        <v>1559.01</v>
      </c>
      <c r="I27" s="97">
        <f>IF($A27="","",SUMIFS('Raw Data'!$F:$F, 'Raw Data'!$B:$B, "Variant", 'Raw Data'!$A:$A, $A27, 'Raw Data'!$C:$C, $C$3))</f>
        <v>1719.31</v>
      </c>
      <c r="J27" s="105">
        <f t="shared" si="3"/>
        <v>0.1028216625</v>
      </c>
      <c r="K27" s="99">
        <f>IF($A27="","",IFERROR(SUMIFS('Raw Data'!$F:$F, 'Raw Data'!$B:$B, "Control", 'Raw Data'!$A:$A, $A27, 'Raw Data'!$C:$C, $C$3)/SUMIFS('Raw Data'!$D:$D, 'Raw Data'!$B:$B, "Control", 'Raw Data'!$A:$A, $A27, 'Raw Data'!$C:$C, $C$3),""))</f>
        <v>3.449137168</v>
      </c>
      <c r="L27" s="99">
        <f>IF($A27="","",IFERROR(SUMIFS('Raw Data'!$F:$F, 'Raw Data'!$B:$B, "Variant", 'Raw Data'!$A:$A, $A27, 'Raw Data'!$C:$C, $C$3)/SUMIFS('Raw Data'!$D:$D, 'Raw Data'!$B:$B, "Variant", 'Raw Data'!$A:$A, $A27, 'Raw Data'!$C:$C, $C$3),""))</f>
        <v>3.589373695</v>
      </c>
      <c r="M27" s="105">
        <f t="shared" si="4"/>
        <v>0.04065843723</v>
      </c>
      <c r="N27" s="96">
        <f>IF($A27="","",IFERROR(SUMPRODUCT(('Raw Data'!$B$2:$B$9999="Control")*('Raw Data'!$A$2:$A$9999=$A27)*('Raw Data'!$C$2:$C$9999=$C$3)*'Raw Data'!$D$2:$D$9999*'Raw Data'!$H$2:$H$9999/100)/SUMIFS('Raw Data'!$D:$D, 'Raw Data'!$B:$B, "Control", 'Raw Data'!$A:$A, $A27, 'Raw Data'!$C:$C, $C$3)*100,""))</f>
        <v>16.59</v>
      </c>
      <c r="O27" s="96">
        <f>IF($A27="","",IFERROR(SUMPRODUCT(('Raw Data'!$B$2:$B$9999="Variant")*('Raw Data'!$A$2:$A$9999=$A27)*('Raw Data'!$C$2:$C$9999=$C$3)*'Raw Data'!$D$2:$D$9999*'Raw Data'!$H$2:$H$9999/100)/SUMIFS('Raw Data'!$D:$D, 'Raw Data'!$B:$B, "Variant", 'Raw Data'!$A:$A, $A27, 'Raw Data'!$C:$C, $C$3)*100,""))</f>
        <v>15.66</v>
      </c>
      <c r="P27" s="105">
        <f t="shared" si="5"/>
        <v>-0.05605786618</v>
      </c>
      <c r="Q27" s="99">
        <f>IF($A27="","",IFERROR(SUMIFS('Raw Data'!$F:$F, 'Raw Data'!$B:$B, "Control", 'Raw Data'!$A:$A, $A27, 'Raw Data'!$C:$C, $C$3)/SUMPRODUCT(('Raw Data'!$B$2:$B$9999="Control")*('Raw Data'!$A$2:$A$9999=$A27)*('Raw Data'!$C$2:$C$9999=$C$3)*'Raw Data'!$D$2:$D$9999*'Raw Data'!$H$2:$H$9999/100),""))</f>
        <v>20.79045912</v>
      </c>
      <c r="R27" s="99">
        <f>IF($A27="","",IFERROR(SUMIFS('Raw Data'!$F:$F, 'Raw Data'!$B:$B, "Variant", 'Raw Data'!$A:$A, $A27, 'Raw Data'!$C:$C, $C$3)/SUMPRODUCT(('Raw Data'!$B$2:$B$9999="Variant")*('Raw Data'!$A$2:$A$9999=$A27)*('Raw Data'!$C$2:$C$9999=$C$3)*'Raw Data'!$D$2:$D$9999*'Raw Data'!$H$2:$H$9999/100),""))</f>
        <v>22.92064939</v>
      </c>
      <c r="S27" s="105">
        <f t="shared" si="6"/>
        <v>0.1024599919</v>
      </c>
      <c r="T27" s="101">
        <f>IF($A27="","",IFERROR(SUMPRODUCT(('Raw Data'!$B$2:$B$9999="Control")*('Raw Data'!$A$2:$A$9999=$A27)*('Raw Data'!$C$2:$C$9999=$C$3)*'Raw Data'!$D$2:$D$9999*'Raw Data'!$J$2:$J$9999)/SUMIFS('Raw Data'!$D:$D, 'Raw Data'!$B:$B, "Control", 'Raw Data'!$A:$A, $A27, 'Raw Data'!$C:$C, $C$3),""))</f>
        <v>254.22</v>
      </c>
      <c r="U27" s="101">
        <f>IF($A27="","",IFERROR(SUMPRODUCT(('Raw Data'!$B$2:$B$9999="Variant")*('Raw Data'!$A$2:$A$9999=$A27)*('Raw Data'!$C$2:$C$9999=$C$3)*'Raw Data'!$D$2:$D$9999*'Raw Data'!$J$2:$J$9999)/SUMIFS('Raw Data'!$D:$D, 'Raw Data'!$B:$B, "Variant", 'Raw Data'!$A:$A, $A27, 'Raw Data'!$C:$C, $C$3),""))</f>
        <v>262.72</v>
      </c>
      <c r="V27" s="105">
        <f t="shared" si="7"/>
        <v>0.03343560695</v>
      </c>
      <c r="W27" s="101">
        <f>IF($A27="","",IFERROR(SUMPRODUCT(('Raw Data'!$B$2:$B$9999="Control")*('Raw Data'!$A$2:$A$9999=$A27)*('Raw Data'!$C$2:$C$9999=$C$3)*'Raw Data'!$D$2:$D$9999*'Raw Data'!$K$2:$K$9999)/SUMIFS('Raw Data'!$D:$D, 'Raw Data'!$B:$B, "Control", 'Raw Data'!$A:$A, $A27, 'Raw Data'!$C:$C, $C$3),""))</f>
        <v>160.03</v>
      </c>
      <c r="X27" s="101">
        <f>IF($A27="","",IFERROR(SUMPRODUCT(('Raw Data'!$B$2:$B$9999="Variant")*('Raw Data'!$A$2:$A$9999=$A27)*('Raw Data'!$C$2:$C$9999=$C$3)*'Raw Data'!$D$2:$D$9999*'Raw Data'!$K$2:$K$9999)/SUMIFS('Raw Data'!$D:$D, 'Raw Data'!$B:$B, "Variant", 'Raw Data'!$A:$A, $A27, 'Raw Data'!$C:$C, $C$3),""))</f>
        <v>161.56</v>
      </c>
      <c r="Y27" s="105">
        <f t="shared" si="8"/>
        <v>0.009560707367</v>
      </c>
      <c r="Z27" s="101">
        <f>IF($A27="","",IFERROR(SUMPRODUCT(('Raw Data'!$B$2:$B$9999="Control")*('Raw Data'!$A$2:$A$9999=$A27)*('Raw Data'!$C$2:$C$9999=$C$3)*'Raw Data'!$D$2:$D$9999*'Raw Data'!$L$2:$L$9999)/SUMIFS('Raw Data'!$D:$D, 'Raw Data'!$B:$B, "Control", 'Raw Data'!$A:$A, $A27, 'Raw Data'!$C:$C, $C$3),""))</f>
        <v>132.26</v>
      </c>
      <c r="AA27" s="101">
        <f>IF($A27="","",IFERROR(SUMPRODUCT(('Raw Data'!$B$2:$B$9999="Variant")*('Raw Data'!$A$2:$A$9999=$A27)*('Raw Data'!$C$2:$C$9999=$C$3)*'Raw Data'!$D$2:$D$9999*'Raw Data'!$L$2:$L$9999)/SUMIFS('Raw Data'!$D:$D, 'Raw Data'!$B:$B, "Variant", 'Raw Data'!$A:$A, $A27, 'Raw Data'!$C:$C, $C$3),""))</f>
        <v>139.05</v>
      </c>
      <c r="AB27" s="105">
        <f t="shared" si="9"/>
        <v>0.0513382731</v>
      </c>
      <c r="AC27" s="102">
        <f>IF($A27="","",IFERROR(SUMPRODUCT(('Raw Data'!$B$2:$B$9999="Control")*('Raw Data'!$A$2:$A$9999=$A27)*('Raw Data'!$C$2:$C$9999=$C$3)*'Raw Data'!$D$2:$D$9999*'Raw Data'!$M$2:$M$9999)/SUMIFS('Raw Data'!$D:$D, 'Raw Data'!$B:$B, "Control", 'Raw Data'!$A:$A, $A27, 'Raw Data'!$C:$C, $C$3),""))</f>
        <v>0.8265</v>
      </c>
      <c r="AD27" s="102">
        <f>IF($A27="","",IFERROR(SUMPRODUCT(('Raw Data'!$B$2:$B$9999="Variant")*('Raw Data'!$A$2:$A$9999=$A27)*('Raw Data'!$C$2:$C$9999=$C$3)*'Raw Data'!$D$2:$D$9999*'Raw Data'!$M$2:$M$9999)/SUMIFS('Raw Data'!$D:$D, 'Raw Data'!$B:$B, "Variant", 'Raw Data'!$A:$A, $A27, 'Raw Data'!$C:$C, $C$3),""))</f>
        <v>0.8607</v>
      </c>
      <c r="AE27" s="106">
        <f t="shared" si="10"/>
        <v>0.04137931034</v>
      </c>
      <c r="AF27" s="102">
        <f>IF($A27="","",IFERROR(SUMPRODUCT(('Raw Data'!$B$2:$B$9999="Control")*('Raw Data'!$A$2:$A$9999=$A27)*('Raw Data'!$C$2:$C$9999=$C$3)*'Raw Data'!$D$2:$D$9999*'Raw Data'!$N$2:$N$9999)/SUMIFS('Raw Data'!$D:$D, 'Raw Data'!$B:$B, "Control", 'Raw Data'!$A:$A, $A27, 'Raw Data'!$C:$C, $C$3),""))</f>
        <v>0.3027</v>
      </c>
      <c r="AG27" s="102">
        <f>IF($A27="","",IFERROR(SUMPRODUCT(('Raw Data'!$B$2:$B$9999="Variant")*('Raw Data'!$A$2:$A$9999=$A27)*('Raw Data'!$C$2:$C$9999=$C$3)*'Raw Data'!$D$2:$D$9999*'Raw Data'!$N$2:$N$9999)/SUMIFS('Raw Data'!$D:$D, 'Raw Data'!$B:$B, "Variant", 'Raw Data'!$A:$A, $A27, 'Raw Data'!$C:$C, $C$3),""))</f>
        <v>0.2712</v>
      </c>
      <c r="AH27" s="106">
        <f t="shared" si="11"/>
        <v>-0.1040634291</v>
      </c>
      <c r="AI27" s="102">
        <f>IF($A27="","",IFERROR(SUMPRODUCT(('Raw Data'!$B$2:$B$9999="Control")*('Raw Data'!$A$2:$A$9999=$A27)*('Raw Data'!$C$2:$C$9999=$C$3)*'Raw Data'!$D$2:$D$9999*'Raw Data'!$O$2:$O$9999)/SUMIFS('Raw Data'!$D:$D, 'Raw Data'!$B:$B, "Control", 'Raw Data'!$A:$A, $A27, 'Raw Data'!$C:$C, $C$3),""))</f>
        <v>0.2027</v>
      </c>
      <c r="AJ27" s="102">
        <f>IF($A27="","",IFERROR(SUMPRODUCT(('Raw Data'!$B$2:$B$9999="Variant")*('Raw Data'!$A$2:$A$9999=$A27)*('Raw Data'!$C$2:$C$9999=$C$3)*'Raw Data'!$D$2:$D$9999*'Raw Data'!$O$2:$O$9999)/SUMIFS('Raw Data'!$D:$D, 'Raw Data'!$B:$B, "Variant", 'Raw Data'!$A:$A, $A27, 'Raw Data'!$C:$C, $C$3),""))</f>
        <v>0.1881</v>
      </c>
      <c r="AK27" s="105">
        <f t="shared" si="12"/>
        <v>-0.07202762704</v>
      </c>
      <c r="AL27" s="101">
        <f>IF($A27="","",IFERROR(SUMPRODUCT(('Raw Data'!$B$2:$B$9999="Control")*('Raw Data'!$A$2:$A$9999=$A27)*('Raw Data'!$C$2:$C$9999=$C$3)*'Raw Data'!$D$2:$D$9999*'Raw Data'!$P$2:$P$9999)/SUMIFS('Raw Data'!$D:$D, 'Raw Data'!$B:$B, "Control", 'Raw Data'!$A:$A, $A27, 'Raw Data'!$C:$C, $C$3),""))</f>
        <v>1.2099</v>
      </c>
      <c r="AM27" s="101">
        <f>IF($A27="","",IFERROR(SUMPRODUCT(('Raw Data'!$B$2:$B$9999="Variant")*('Raw Data'!$A$2:$A$9999=$A27)*('Raw Data'!$C$2:$C$9999=$C$3)*'Raw Data'!$D$2:$D$9999*'Raw Data'!$P$2:$P$9999)/SUMIFS('Raw Data'!$D:$D, 'Raw Data'!$B:$B, "Variant", 'Raw Data'!$A:$A, $A27, 'Raw Data'!$C:$C, $C$3),""))</f>
        <v>1.1618</v>
      </c>
      <c r="AN27" s="105">
        <f t="shared" si="13"/>
        <v>-0.03975535168</v>
      </c>
      <c r="AO27" s="101">
        <f>IF($A27="","",IFERROR(SUMPRODUCT(('Raw Data'!$B$2:$B$9999="Control")*('Raw Data'!$A$2:$A$9999=$A27)*('Raw Data'!$C$2:$C$9999=$C$3)*'Raw Data'!$D$2:$D$9999*'Raw Data'!$Q$2:$Q$9999)/SUMIFS('Raw Data'!$D:$D, 'Raw Data'!$B:$B, "Control", 'Raw Data'!$A:$A, $A27, 'Raw Data'!$C:$C, $C$3),""))</f>
        <v>961.32</v>
      </c>
      <c r="AP27" s="101">
        <f>IF($A27="","",IFERROR(SUMPRODUCT(('Raw Data'!$B$2:$B$9999="Variant")*('Raw Data'!$A$2:$A$9999=$A27)*('Raw Data'!$C$2:$C$9999=$C$3)*'Raw Data'!$D$2:$D$9999*'Raw Data'!$Q$2:$Q$9999)/SUMIFS('Raw Data'!$D:$D, 'Raw Data'!$B:$B, "Variant", 'Raw Data'!$A:$A, $A27, 'Raw Data'!$C:$C, $C$3),""))</f>
        <v>975.83</v>
      </c>
      <c r="AQ27" s="95">
        <f t="shared" si="14"/>
        <v>0.01509382932</v>
      </c>
      <c r="AR27" s="101">
        <f>IF($A27="","",IFERROR(SUMPRODUCT(('Raw Data'!$B$2:$B$9999="Control")*('Raw Data'!$A$2:$A$9999=$A27)*('Raw Data'!$C$2:$C$9999=$C$3)*'Raw Data'!$D$2:$D$9999*'Raw Data'!$R$2:$R$9999)/SUMIFS('Raw Data'!$D:$D, 'Raw Data'!$B:$B, "Control", 'Raw Data'!$A:$A, $A27, 'Raw Data'!$C:$C, $C$3),""))</f>
        <v>679.18</v>
      </c>
      <c r="AS27" s="101">
        <f>IF($A27="","",IFERROR(SUMPRODUCT(('Raw Data'!$B$2:$B$9999="Variant")*('Raw Data'!$A$2:$A$9999=$A27)*('Raw Data'!$C$2:$C$9999=$C$3)*'Raw Data'!$D$2:$D$9999*'Raw Data'!$R$2:$R$9999)/SUMIFS('Raw Data'!$D:$D, 'Raw Data'!$B:$B, "Variant", 'Raw Data'!$A:$A, $A27, 'Raw Data'!$C:$C, $C$3),""))</f>
        <v>872.18</v>
      </c>
      <c r="AT27" s="95">
        <f t="shared" si="15"/>
        <v>0.2841662004</v>
      </c>
      <c r="AU27" s="101">
        <f>IF($A27="","",IFERROR(SUMPRODUCT(('Raw Data'!$B$2:$B$9999="Control")*('Raw Data'!$A$2:$A$9999=$A27)*('Raw Data'!$C$2:$C$9999=$C$3)*'Raw Data'!$D$2:$D$9999*'Raw Data'!$S$2:$S$9999)/SUMIFS('Raw Data'!$D:$D, 'Raw Data'!$B:$B, "Control", 'Raw Data'!$A:$A, $A27, 'Raw Data'!$C:$C, $C$3),""))</f>
        <v>282.15</v>
      </c>
      <c r="AV27" s="101">
        <f>IF($A27="","",IFERROR(SUMPRODUCT(('Raw Data'!$B$2:$B$9999="Variant")*('Raw Data'!$A$2:$A$9999=$A27)*('Raw Data'!$C$2:$C$9999=$C$3)*'Raw Data'!$D$2:$D$9999*'Raw Data'!$S$2:$S$9999)/SUMIFS('Raw Data'!$D:$D, 'Raw Data'!$B:$B, "Variant", 'Raw Data'!$A:$A, $A27, 'Raw Data'!$C:$C, $C$3),""))</f>
        <v>103.65</v>
      </c>
      <c r="AW27" s="95">
        <f t="shared" si="16"/>
        <v>-0.6326422116</v>
      </c>
      <c r="AX27" s="101">
        <f>IF($A27="","",IFERROR(SUMPRODUCT(('Raw Data'!$B$2:$B$9999="Control")*('Raw Data'!$A$2:$A$9999=$A27)*('Raw Data'!$C$2:$C$9999=$C$3)*'Raw Data'!$D$2:$D$9999*'Raw Data'!$T$2:$T$9999)/SUMIFS('Raw Data'!$D:$D, 'Raw Data'!$B:$B, "Control", 'Raw Data'!$A:$A, $A27, 'Raw Data'!$C:$C, $C$3),""))</f>
        <v>214.87</v>
      </c>
      <c r="AY27" s="101">
        <f>IF($A27="","",IFERROR(SUMPRODUCT(('Raw Data'!$B$2:$B$9999="Variant")*('Raw Data'!$A$2:$A$9999=$A27)*('Raw Data'!$C$2:$C$9999=$C$3)*'Raw Data'!$D$2:$D$9999*'Raw Data'!$T$2:$T$9999)/SUMIFS('Raw Data'!$D:$D, 'Raw Data'!$B:$B, "Variant", 'Raw Data'!$A:$A, $A27, 'Raw Data'!$C:$C, $C$3),""))</f>
        <v>222.7</v>
      </c>
      <c r="AZ27" s="105">
        <f t="shared" si="17"/>
        <v>0.03644063853</v>
      </c>
      <c r="BA27" s="101">
        <f>IF($A27="","",IFERROR(SUMPRODUCT(('Raw Data'!$B$2:$B$9999="Control")*('Raw Data'!$A$2:$A$9999=$A27)*('Raw Data'!$C$2:$C$9999=$C$3)*'Raw Data'!$D$2:$D$9999*'Raw Data'!$U$2:$U$9999)/SUMIFS('Raw Data'!$D:$D, 'Raw Data'!$B:$B, "Control", 'Raw Data'!$A:$A, $A27, 'Raw Data'!$C:$C, $C$3),""))</f>
        <v>746.46</v>
      </c>
      <c r="BB27" s="101">
        <f>IF($A27="","",IFERROR(SUMPRODUCT(('Raw Data'!$B$2:$B$9999="Variant")*('Raw Data'!$A$2:$A$9999=$A27)*('Raw Data'!$C$2:$C$9999=$C$3)*'Raw Data'!$D$2:$D$9999*'Raw Data'!$U$2:$U$9999)/SUMIFS('Raw Data'!$D:$D, 'Raw Data'!$B:$B, "Variant", 'Raw Data'!$A:$A, $A27, 'Raw Data'!$C:$C, $C$3),""))</f>
        <v>753.13</v>
      </c>
      <c r="BC27" s="95">
        <f t="shared" si="18"/>
        <v>0.008935508936</v>
      </c>
      <c r="BD27" s="101">
        <f>IF($A27="","",IFERROR(SUMPRODUCT(('Raw Data'!$B$2:$B$9999="Control")*('Raw Data'!$A$2:$A$9999=$A27)*('Raw Data'!$C$2:$C$9999=$C$3)*'Raw Data'!$D$2:$D$9999*'Raw Data'!$V$2:$V$9999)/SUMIFS('Raw Data'!$D:$D, 'Raw Data'!$B:$B, "Control", 'Raw Data'!$A:$A, $A27, 'Raw Data'!$C:$C, $C$3),""))</f>
        <v>1123.23</v>
      </c>
      <c r="BE27" s="101">
        <f>IF($A27="","",IFERROR(SUMPRODUCT(('Raw Data'!$B$2:$B$9999="Variant")*('Raw Data'!$A$2:$A$9999=$A27)*('Raw Data'!$C$2:$C$9999=$C$3)*'Raw Data'!$D$2:$D$9999*'Raw Data'!$V$2:$V$9999)/SUMIFS('Raw Data'!$D:$D, 'Raw Data'!$B:$B, "Variant", 'Raw Data'!$A:$A, $A27, 'Raw Data'!$C:$C, $C$3),""))</f>
        <v>1063.05</v>
      </c>
      <c r="BF27" s="95">
        <f t="shared" si="19"/>
        <v>-0.0535776288</v>
      </c>
      <c r="BG27" s="101">
        <f>IF($A27="","",IFERROR(SUMPRODUCT(('Raw Data'!$B$2:$B$9999="Control")*('Raw Data'!$A$2:$A$9999=$A27)*('Raw Data'!$C$2:$C$9999=$C$3)*'Raw Data'!$D$2:$D$9999*('Raw Data'!$Q$2:$Q$9999-'Raw Data'!$V$2:$V$9999))/SUMIFS('Raw Data'!$D:$D, 'Raw Data'!$B:$B, "Control", 'Raw Data'!$A:$A, $A27, 'Raw Data'!$C:$C, $C$3),""))</f>
        <v>-161.91</v>
      </c>
      <c r="BH27" s="101">
        <f>IF($A27="","",IFERROR(SUMPRODUCT(('Raw Data'!$B$2:$B$9999="Variant")*('Raw Data'!$A$2:$A$9999=$A27)*('Raw Data'!$C$2:$C$9999=$C$3)*'Raw Data'!$D$2:$D$9999*('Raw Data'!$Q$2:$Q$9999-'Raw Data'!$V$2:$V$9999))/SUMIFS('Raw Data'!$D:$D, 'Raw Data'!$B:$B, "Variant", 'Raw Data'!$A:$A, $A27, 'Raw Data'!$C:$C, $C$3),""))</f>
        <v>-87.22</v>
      </c>
      <c r="BI27" s="95">
        <f t="shared" si="20"/>
        <v>0.4613056636</v>
      </c>
      <c r="BJ27" s="101">
        <f>IF($A27="","",IFERROR(SUMPRODUCT(('Raw Data'!$B$2:$B$9999="Control")*('Raw Data'!$A$2:$A$9999=$A27)*('Raw Data'!$C$2:$C$9999=$C$3)*'Raw Data'!$D$2:$D$9999*'Raw Data'!$W$2:$W$9999)/SUMIFS('Raw Data'!$D:$D, 'Raw Data'!$B:$B, "Control", 'Raw Data'!$A:$A, $A27, 'Raw Data'!$C:$C, $C$3),""))</f>
        <v>7.0189</v>
      </c>
      <c r="BK27" s="101">
        <f>IF($A27="","",IFERROR(SUMPRODUCT(('Raw Data'!$B$2:$B$9999="Variant")*('Raw Data'!$A$2:$A$9999=$A27)*('Raw Data'!$C$2:$C$9999=$C$3)*'Raw Data'!$D$2:$D$9999*'Raw Data'!$W$2:$W$9999)/SUMIFS('Raw Data'!$D:$D, 'Raw Data'!$B:$B, "Variant", 'Raw Data'!$A:$A, $A27, 'Raw Data'!$C:$C, $C$3),""))</f>
        <v>6.5799</v>
      </c>
      <c r="BL27" s="95">
        <f t="shared" si="21"/>
        <v>-0.0625454131</v>
      </c>
      <c r="BM27" s="102">
        <f>IF($A27="","",IFERROR(SUMPRODUCT(('Raw Data'!$B$2:$B$9999="Control")*('Raw Data'!$A$2:$A$9999=$A27)*('Raw Data'!$C$2:$C$9999=$C$3)*'Raw Data'!$D$2:$D$9999*'Raw Data'!$X$2:$X$9999)/SUMIFS('Raw Data'!$D:$D, 'Raw Data'!$B:$B, "Control", 'Raw Data'!$A:$A, $A27, 'Raw Data'!$C:$C, $C$3),""))</f>
        <v>22.35</v>
      </c>
      <c r="BN27" s="102">
        <f>IF($A27="","",IFERROR(SUMPRODUCT(('Raw Data'!$B$2:$B$9999="Variant")*('Raw Data'!$A$2:$A$9999=$A27)*('Raw Data'!$C$2:$C$9999=$C$3)*'Raw Data'!$D$2:$D$9999*'Raw Data'!$X$2:$X$9999)/SUMIFS('Raw Data'!$D:$D, 'Raw Data'!$B:$B, "Variant", 'Raw Data'!$A:$A, $A27, 'Raw Data'!$C:$C, $C$3),""))</f>
        <v>22.82</v>
      </c>
      <c r="BO27" s="105">
        <f t="shared" si="22"/>
        <v>0.02102908277</v>
      </c>
      <c r="BP27" s="94">
        <f>IF($A27="","",IFERROR(SUMPRODUCT(('Raw Data'!$B$2:$B$9999="Control")*('Raw Data'!$A$2:$A$9999=$A27)*('Raw Data'!$C$2:$C$9999=$C$3)*'Raw Data'!$D$2:$D$9999*'Raw Data'!$Y$2:$Y$9999)/SUMIFS('Raw Data'!$D:$D, 'Raw Data'!$B:$B, "Control", 'Raw Data'!$A:$A, $A27, 'Raw Data'!$C:$C, $C$3),""))</f>
        <v>385</v>
      </c>
      <c r="BQ27" s="94">
        <f>IF($A27="","",IFERROR(SUMPRODUCT(('Raw Data'!$B$2:$B$9999="Variant")*('Raw Data'!$A$2:$A$9999=$A27)*('Raw Data'!$C$2:$C$9999=$C$3)*'Raw Data'!$D$2:$D$9999*'Raw Data'!$Y$2:$Y$9999)/SUMIFS('Raw Data'!$D:$D, 'Raw Data'!$B:$B, "Variant", 'Raw Data'!$A:$A, $A27, 'Raw Data'!$C:$C, $C$3),""))</f>
        <v>424</v>
      </c>
      <c r="BR27" s="95">
        <f t="shared" si="23"/>
        <v>0.1012987013</v>
      </c>
      <c r="BS27" s="94">
        <f>IF($A27="","",IFERROR(SUMPRODUCT(('Raw Data'!$B$2:$B$9999="Control")*('Raw Data'!$A$2:$A$9999=$A27)*('Raw Data'!$C$2:$C$9999=$C$3)*'Raw Data'!$D$2:$D$9999*'Raw Data'!$Z$2:$Z$9999)/SUMIFS('Raw Data'!$D:$D, 'Raw Data'!$B:$B, "Control", 'Raw Data'!$A:$A, $A27, 'Raw Data'!$C:$C, $C$3),""))</f>
        <v>1904</v>
      </c>
      <c r="BT27" s="94">
        <f>IF($A27="","",IFERROR(SUMPRODUCT(('Raw Data'!$B$2:$B$9999="Variant")*('Raw Data'!$A$2:$A$9999=$A27)*('Raw Data'!$C$2:$C$9999=$C$3)*'Raw Data'!$D$2:$D$9999*'Raw Data'!$Z$2:$Z$9999)/SUMIFS('Raw Data'!$D:$D, 'Raw Data'!$B:$B, "Variant", 'Raw Data'!$A:$A, $A27, 'Raw Data'!$C:$C, $C$3),""))</f>
        <v>2120</v>
      </c>
      <c r="BU27" s="95">
        <f t="shared" si="24"/>
        <v>0.1134453782</v>
      </c>
      <c r="BV27" s="94">
        <f>IF($A27="","",IFERROR(SUMPRODUCT(('Raw Data'!$B$2:$B$9999="Control")*('Raw Data'!$A$2:$A$9999=$A27)*('Raw Data'!$C$2:$C$9999=$C$3)*'Raw Data'!$D$2:$D$9999*'Raw Data'!$AA$2:$AA$9999)/SUMIFS('Raw Data'!$D:$D, 'Raw Data'!$B:$B, "Control", 'Raw Data'!$A:$A, $A27, 'Raw Data'!$C:$C, $C$3),""))</f>
        <v>8547</v>
      </c>
      <c r="BW27" s="94">
        <f>IF($A27="","",IFERROR(SUMPRODUCT(('Raw Data'!$B$2:$B$9999="Variant")*('Raw Data'!$A$2:$A$9999=$A27)*('Raw Data'!$C$2:$C$9999=$C$3)*'Raw Data'!$D$2:$D$9999*'Raw Data'!$AA$2:$AA$9999)/SUMIFS('Raw Data'!$D:$D, 'Raw Data'!$B:$B, "Variant", 'Raw Data'!$A:$A, $A27, 'Raw Data'!$C:$C, $C$3),""))</f>
        <v>9914</v>
      </c>
      <c r="BX27" s="95">
        <f t="shared" si="25"/>
        <v>0.1599391599</v>
      </c>
      <c r="BY27" s="101">
        <f>IF($A27="","",IFERROR(SUMPRODUCT(('Raw Data'!$B$2:$B$9999="Control")*('Raw Data'!$A$2:$A$9999=$A27)*('Raw Data'!$C$2:$C$9999=$C$3)*'Raw Data'!$D$2:$D$9999*'Raw Data'!$AB$2:$AB$9999)/SUMIFS('Raw Data'!$D:$D, 'Raw Data'!$B:$B, "Control", 'Raw Data'!$A:$A, $A27, 'Raw Data'!$C:$C, $C$3),""))</f>
        <v>62.609</v>
      </c>
      <c r="BZ27" s="101">
        <f>IF($A27="","",IFERROR(SUMPRODUCT(('Raw Data'!$B$2:$B$9999="Variant")*('Raw Data'!$A$2:$A$9999=$A27)*('Raw Data'!$C$2:$C$9999=$C$3)*'Raw Data'!$D$2:$D$9999*'Raw Data'!$AB$2:$AB$9999)/SUMIFS('Raw Data'!$D:$D, 'Raw Data'!$B:$B, "Variant", 'Raw Data'!$A:$A, $A27, 'Raw Data'!$C:$C, $C$3),""))</f>
        <v>63.1785</v>
      </c>
      <c r="CA27" s="105">
        <f t="shared" si="26"/>
        <v>0.009096136338</v>
      </c>
      <c r="CB27" s="101">
        <f>IF($A27="","",IFERROR(SUMPRODUCT(('Raw Data'!$B$2:$B$9999="Control")*('Raw Data'!$A$2:$A$9999=$A27)*('Raw Data'!$C$2:$C$9999=$C$3)*'Raw Data'!$D$2:$D$9999*'Raw Data'!$AC$2:$AC$9999)/SUMIFS('Raw Data'!$D:$D, 'Raw Data'!$B:$B, "Control", 'Raw Data'!$A:$A, $A27, 'Raw Data'!$C:$C, $C$3),""))</f>
        <v>0.8535</v>
      </c>
      <c r="CC27" s="101">
        <f>IF($A27="","",IFERROR(SUMPRODUCT(('Raw Data'!$B$2:$B$9999="Variant")*('Raw Data'!$A$2:$A$9999=$A27)*('Raw Data'!$C$2:$C$9999=$C$3)*'Raw Data'!$D$2:$D$9999*'Raw Data'!$AC$2:$AC$9999)/SUMIFS('Raw Data'!$D:$D, 'Raw Data'!$B:$B, "Variant", 'Raw Data'!$A:$A, $A27, 'Raw Data'!$C:$C, $C$3),""))</f>
        <v>0.8727</v>
      </c>
      <c r="CD27" s="105">
        <f t="shared" si="27"/>
        <v>0.02249560633</v>
      </c>
      <c r="CE27" s="101">
        <f>IF($A27="","",IFERROR(SUMPRODUCT(('Raw Data'!$B$2:$B$9999="Control")*('Raw Data'!$A$2:$A$9999=$A27)*('Raw Data'!$C$2:$C$9999=$C$3)*'Raw Data'!$D$2:$D$9999*'Raw Data'!$AD$2:$AD$9999)/SUMIFS('Raw Data'!$D:$D, 'Raw Data'!$B:$B, "Control", 'Raw Data'!$A:$A, $A27, 'Raw Data'!$C:$C, $C$3),""))</f>
        <v>88.06</v>
      </c>
      <c r="CF27" s="101">
        <f>IF($A27="","",IFERROR(SUMPRODUCT(('Raw Data'!$B$2:$B$9999="Variant")*('Raw Data'!$A$2:$A$9999=$A27)*('Raw Data'!$C$2:$C$9999=$C$3)*'Raw Data'!$D$2:$D$9999*'Raw Data'!$AD$2:$AD$9999)/SUMIFS('Raw Data'!$D:$D, 'Raw Data'!$B:$B, "Variant", 'Raw Data'!$A:$A, $A27, 'Raw Data'!$C:$C, $C$3),""))</f>
        <v>98.03</v>
      </c>
      <c r="CG27" s="105">
        <f t="shared" si="28"/>
        <v>0.1132182603</v>
      </c>
      <c r="CH27" s="101">
        <f>IF($A27="","",IFERROR(SUMPRODUCT(('Raw Data'!$B$2:$B$9999="Control")*('Raw Data'!$A$2:$A$9999=$A27)*('Raw Data'!$C$2:$C$9999=$C$3)*'Raw Data'!$D$2:$D$9999*'Raw Data'!$AE$2:$AE$9999)/SUMIFS('Raw Data'!$D:$D, 'Raw Data'!$B:$B, "Control", 'Raw Data'!$A:$A, $A27, 'Raw Data'!$C:$C, $C$3),""))</f>
        <v>35</v>
      </c>
      <c r="CI27" s="101">
        <f>IF($A27="","",IFERROR(SUMPRODUCT(('Raw Data'!$B$2:$B$9999="Variant")*('Raw Data'!$A$2:$A$9999=$A27)*('Raw Data'!$C$2:$C$9999=$C$3)*'Raw Data'!$D$2:$D$9999*'Raw Data'!$AE$2:$AE$9999)/SUMIFS('Raw Data'!$D:$D, 'Raw Data'!$B:$B, "Variant", 'Raw Data'!$A:$A, $A27, 'Raw Data'!$C:$C, $C$3),""))</f>
        <v>41</v>
      </c>
      <c r="CJ27" s="105">
        <f t="shared" si="29"/>
        <v>0.1714285714</v>
      </c>
      <c r="CK27" s="101">
        <f>IF($A27="","",IFERROR(SUMPRODUCT(('Raw Data'!$B$2:$B$9999="Control")*('Raw Data'!$A$2:$A$9999=$A27)*('Raw Data'!$C$2:$C$9999=$C$3)*'Raw Data'!$D$2:$D$9999*'Raw Data'!$AF$2:$AF$9999)/SUMIFS('Raw Data'!$D:$D, 'Raw Data'!$B:$B, "Control", 'Raw Data'!$A:$A, $A27, 'Raw Data'!$C:$C, $C$3),""))</f>
        <v>69</v>
      </c>
      <c r="CL27" s="101">
        <f>IF($A27="","",IFERROR(SUMPRODUCT(('Raw Data'!$B$2:$B$9999="Variant")*('Raw Data'!$A$2:$A$9999=$A27)*('Raw Data'!$C$2:$C$9999=$C$3)*'Raw Data'!$D$2:$D$9999*'Raw Data'!$AF$2:$AF$9999)/SUMIFS('Raw Data'!$D:$D, 'Raw Data'!$B:$B, "Variant", 'Raw Data'!$A:$A, $A27, 'Raw Data'!$C:$C, $C$3),""))</f>
        <v>86</v>
      </c>
      <c r="CM27" s="105">
        <f t="shared" si="30"/>
        <v>0.2463768116</v>
      </c>
      <c r="CN27" s="101">
        <f>IF($A27="","",IFERROR(SUMPRODUCT(('Raw Data'!$B$2:$B$9999="Control")*('Raw Data'!$A$2:$A$9999=$A27)*('Raw Data'!$C$2:$C$9999=$C$3)*'Raw Data'!$D$2:$D$9999*'Raw Data'!$AG$2:$AG$9999)/SUMIFS('Raw Data'!$D:$D, 'Raw Data'!$B:$B, "Control", 'Raw Data'!$A:$A, $A27, 'Raw Data'!$C:$C, $C$3),""))</f>
        <v>123</v>
      </c>
      <c r="CO27" s="101">
        <f>IF($A27="","",IFERROR(SUMPRODUCT(('Raw Data'!$B$2:$B$9999="Variant")*('Raw Data'!$A$2:$A$9999=$A27)*('Raw Data'!$C$2:$C$9999=$C$3)*'Raw Data'!$D$2:$D$9999*'Raw Data'!$AG$2:$AG$9999)/SUMIFS('Raw Data'!$D:$D, 'Raw Data'!$B:$B, "Variant", 'Raw Data'!$A:$A, $A27, 'Raw Data'!$C:$C, $C$3),""))</f>
        <v>138</v>
      </c>
      <c r="CP27" s="105">
        <f t="shared" si="31"/>
        <v>0.1219512195</v>
      </c>
      <c r="CQ27" s="101">
        <f>IF($A27="","",IFERROR(SUMPRODUCT(('Raw Data'!$B$2:$B$9999="Control")*('Raw Data'!$A$2:$A$9999=$A27)*('Raw Data'!$C$2:$C$9999=$C$3)*'Raw Data'!$D$2:$D$9999*'Raw Data'!$AH$2:$AH$9999)/SUMIFS('Raw Data'!$D:$D, 'Raw Data'!$B:$B, "Control", 'Raw Data'!$A:$A, $A27, 'Raw Data'!$C:$C, $C$3),""))</f>
        <v>188</v>
      </c>
      <c r="CR27" s="101">
        <f>IF($A27="","",IFERROR(SUMPRODUCT(('Raw Data'!$B$2:$B$9999="Variant")*('Raw Data'!$A$2:$A$9999=$A27)*('Raw Data'!$C$2:$C$9999=$C$3)*'Raw Data'!$D$2:$D$9999*'Raw Data'!$AH$2:$AH$9999)/SUMIFS('Raw Data'!$D:$D, 'Raw Data'!$B:$B, "Variant", 'Raw Data'!$A:$A, $A27, 'Raw Data'!$C:$C, $C$3),""))</f>
        <v>193</v>
      </c>
      <c r="CS27" s="105">
        <f t="shared" si="32"/>
        <v>0.02659574468</v>
      </c>
      <c r="CT27" s="96">
        <f>IF($A27="","",IFERROR(SUMPRODUCT(('Raw Data'!$B$2:$B$9999="Control")*('Raw Data'!$A$2:$A$9999=$A27)*('Raw Data'!$C$2:$C$9999=$C$3)*'Raw Data'!$D$2:$D$9999*'Raw Data'!$AI$2:$AI$9999)/SUMIFS('Raw Data'!$D:$D, 'Raw Data'!$B:$B, "Control", 'Raw Data'!$A:$A, $A27, 'Raw Data'!$C:$C, $C$3),""))</f>
        <v>44.25</v>
      </c>
      <c r="CU27" s="96">
        <f>IF($A27="","",IFERROR(SUMPRODUCT(('Raw Data'!$B$2:$B$9999="Variant")*('Raw Data'!$A$2:$A$9999=$A27)*('Raw Data'!$C$2:$C$9999=$C$3)*'Raw Data'!$D$2:$D$9999*'Raw Data'!$AI$2:$AI$9999)/SUMIFS('Raw Data'!$D:$D, 'Raw Data'!$B:$B, "Variant", 'Raw Data'!$A:$A, $A27, 'Raw Data'!$C:$C, $C$3),""))</f>
        <v>53.44</v>
      </c>
      <c r="CV27" s="106">
        <f t="shared" si="33"/>
        <v>0.2076836158</v>
      </c>
      <c r="CW27" s="96">
        <f>IF($A27="","",IFERROR(SUMPRODUCT(('Raw Data'!$B$2:$B$9999="Control")*('Raw Data'!$A$2:$A$9999=$A27)*('Raw Data'!$C$2:$C$9999=$C$3)*'Raw Data'!$D$2:$D$9999*'Raw Data'!$AJ$2:$AJ$9999)/SUMIFS('Raw Data'!$D:$D, 'Raw Data'!$B:$B, "Control", 'Raw Data'!$A:$A, $A27, 'Raw Data'!$C:$C, $C$3),""))</f>
        <v>12.61</v>
      </c>
      <c r="CX27" s="96">
        <f>IF($A27="","",IFERROR(SUMPRODUCT(('Raw Data'!$B$2:$B$9999="Variant")*('Raw Data'!$A$2:$A$9999=$A27)*('Raw Data'!$C$2:$C$9999=$C$3)*'Raw Data'!$D$2:$D$9999*'Raw Data'!$AJ$2:$AJ$9999)/SUMIFS('Raw Data'!$D:$D, 'Raw Data'!$B:$B, "Variant", 'Raw Data'!$A:$A, $A27, 'Raw Data'!$C:$C, $C$3),""))</f>
        <v>16.08</v>
      </c>
      <c r="CY27" s="106">
        <f t="shared" si="34"/>
        <v>0.2751784298</v>
      </c>
      <c r="CZ27" s="96">
        <f>IF($A27="","",IFERROR(SUMPRODUCT(('Raw Data'!$B$2:$B$9999="Control")*('Raw Data'!$A$2:$A$9999=$A27)*('Raw Data'!$C$2:$C$9999=$C$3)*'Raw Data'!$D$2:$D$9999*'Raw Data'!$AK$2:$AK$9999)/SUMIFS('Raw Data'!$D:$D, 'Raw Data'!$B:$B, "Control", 'Raw Data'!$A:$A, $A27, 'Raw Data'!$C:$C, $C$3),""))</f>
        <v>1.11</v>
      </c>
      <c r="DA27" s="96">
        <f>IF($A27="","",IFERROR(SUMPRODUCT(('Raw Data'!$B$2:$B$9999="Variant")*('Raw Data'!$A$2:$A$9999=$A27)*('Raw Data'!$C$2:$C$9999=$C$3)*'Raw Data'!$D$2:$D$9999*'Raw Data'!$AK$2:$AK$9999)/SUMIFS('Raw Data'!$D:$D, 'Raw Data'!$B:$B, "Variant", 'Raw Data'!$A:$A, $A27, 'Raw Data'!$C:$C, $C$3),""))</f>
        <v>1.88</v>
      </c>
      <c r="DB27" s="105">
        <f t="shared" si="35"/>
        <v>0.6936936937</v>
      </c>
      <c r="DC27" s="102">
        <f>IF($A27="","",IFERROR(SUMPRODUCT(('Raw Data'!$B$2:$B$9999="Control")*('Raw Data'!$A$2:$A$9999=$A27)*('Raw Data'!$C$2:$C$9999=$C$3)*'Raw Data'!$D$2:$D$9999*'Raw Data'!$AL$2:$AL$9999)/SUMIFS('Raw Data'!$D:$D, 'Raw Data'!$B:$B, "Control", 'Raw Data'!$A:$A, $A27, 'Raw Data'!$C:$C, $C$3),""))</f>
        <v>0.1128</v>
      </c>
      <c r="DD27" s="102">
        <f>IF($A27="","",IFERROR(SUMPRODUCT(('Raw Data'!$B$2:$B$9999="Variant")*('Raw Data'!$A$2:$A$9999=$A27)*('Raw Data'!$C$2:$C$9999=$C$3)*'Raw Data'!$D$2:$D$9999*'Raw Data'!$AL$2:$AL$9999)/SUMIFS('Raw Data'!$D:$D, 'Raw Data'!$B:$B, "Variant", 'Raw Data'!$A:$A, $A27, 'Raw Data'!$C:$C, $C$3),""))</f>
        <v>0.1086</v>
      </c>
      <c r="DE27" s="106">
        <f t="shared" si="36"/>
        <v>-0.03723404255</v>
      </c>
      <c r="DF27" s="103"/>
      <c r="DG27" s="96">
        <f>IF($A27="","",IFERROR(SUMPRODUCT(('Raw Data'!$B$2:$B$9999="Variant")*('Raw Data'!$A$2:$A$9999=$A27)*('Raw Data'!$C$2:$C$9999=$C$3)*'Raw Data'!$D$2:$D$9999*'Raw Data'!$AM$2:$AM$9999)/SUMIFS('Raw Data'!$D:$D, 'Raw Data'!$B:$B, "Variant", 'Raw Data'!$A:$A, $A27, 'Raw Data'!$C:$C, $C$3),""))</f>
        <v>82.46</v>
      </c>
      <c r="DH27" s="104"/>
      <c r="DI27" s="103"/>
      <c r="DJ27" s="96">
        <f>IF($A27="","",IFERROR(SUMPRODUCT(('Raw Data'!$B$2:$B$9999="Variant")*('Raw Data'!$A$2:$A$9999=$A27)*('Raw Data'!$C$2:$C$9999=$C$3)*'Raw Data'!$D$2:$D$9999*'Raw Data'!$AN$2:$AN$9999)/SUMIFS('Raw Data'!$D:$D, 'Raw Data'!$B:$B, "Variant", 'Raw Data'!$A:$A, $A27, 'Raw Data'!$C:$C, $C$3),""))</f>
        <v>82.46</v>
      </c>
      <c r="DK27" s="104"/>
      <c r="DL27" s="103"/>
      <c r="DM27" s="96">
        <f>IF($A27="","",IFERROR(SUMPRODUCT(('Raw Data'!$B$2:$B$9999="Variant")*('Raw Data'!$A$2:$A$9999=$A27)*('Raw Data'!$C$2:$C$9999=$C$3)*'Raw Data'!$D$2:$D$9999*'Raw Data'!$AO$2:$AO$9999)/SUMIFS('Raw Data'!$D:$D, 'Raw Data'!$B:$B, "Variant", 'Raw Data'!$A:$A, $A27, 'Raw Data'!$C:$C, $C$3),""))</f>
        <v>69.73</v>
      </c>
      <c r="DN27" s="104"/>
      <c r="DO27" s="103"/>
      <c r="DP27" s="96">
        <f>IF($A27="","",IFERROR(SUMPRODUCT(('Raw Data'!$B$2:$B$9999="Variant")*('Raw Data'!$A$2:$A$9999=$A27)*('Raw Data'!$C$2:$C$9999=$C$3)*'Raw Data'!$D$2:$D$9999*'Raw Data'!$AP$2:$AP$9999)/SUMIFS('Raw Data'!$D:$D, 'Raw Data'!$B:$B, "Variant", 'Raw Data'!$A:$A, $A27, 'Raw Data'!$C:$C, $C$3),""))</f>
        <v>57.2</v>
      </c>
      <c r="DQ27" s="104"/>
      <c r="DR27" s="102">
        <f>IF($A27="","",IFERROR(SUMPRODUCT(('Raw Data'!$B$2:$B$9999="Control")*('Raw Data'!$A$2:$A$9999=$A27)*('Raw Data'!$C$2:$C$9999=$C$3)*'Raw Data'!$D$2:$D$9999*'Raw Data'!$AQ$2:$AQ$9999)/SUMIFS('Raw Data'!$D:$D, 'Raw Data'!$B:$B, "Control", 'Raw Data'!$A:$A, $A27, 'Raw Data'!$C:$C, $C$3),""))</f>
        <v>42.6438</v>
      </c>
      <c r="DS27" s="102">
        <f>IF($A27="","",IFERROR(SUMPRODUCT(('Raw Data'!$B$2:$B$9999="Variant")*('Raw Data'!$A$2:$A$9999=$A27)*('Raw Data'!$C$2:$C$9999=$C$3)*'Raw Data'!$D$2:$D$9999*'Raw Data'!$AQ$2:$AQ$9999)/SUMIFS('Raw Data'!$D:$D, 'Raw Data'!$B:$B, "Variant", 'Raw Data'!$A:$A, $A27, 'Raw Data'!$C:$C, $C$3),""))</f>
        <v>44.8351</v>
      </c>
      <c r="DT27" s="109">
        <f t="shared" si="37"/>
        <v>0.05138613351</v>
      </c>
      <c r="DU27" s="102">
        <f>IF($A27="","",IFERROR(SUMPRODUCT(('Raw Data'!$B$2:$B$9999="Control")*('Raw Data'!$A$2:$A$9999=$A27)*('Raw Data'!$C$2:$C$9999=$C$3)*'Raw Data'!$D$2:$D$9999*'Raw Data'!$AR$2:$AR$9999)/SUMIFS('Raw Data'!$D:$D, 'Raw Data'!$B:$B, "Control", 'Raw Data'!$A:$A, $A27, 'Raw Data'!$C:$C, $C$3),""))</f>
        <v>7.8252</v>
      </c>
      <c r="DV27" s="102">
        <f>IF($A27="","",IFERROR(SUMPRODUCT(('Raw Data'!$B$2:$B$9999="Variant")*('Raw Data'!$A$2:$A$9999=$A27)*('Raw Data'!$C$2:$C$9999=$C$3)*'Raw Data'!$D$2:$D$9999*'Raw Data'!$AR$2:$AR$9999)/SUMIFS('Raw Data'!$D:$D, 'Raw Data'!$B:$B, "Variant", 'Raw Data'!$A:$A, $A27, 'Raw Data'!$C:$C, $C$3),""))</f>
        <v>6.4823</v>
      </c>
      <c r="DW27" s="109">
        <f t="shared" si="38"/>
        <v>-0.1716122272</v>
      </c>
      <c r="DX27" s="102">
        <f>IF($A27="","",IFERROR(SUMPRODUCT(('Raw Data'!$B$2:$B$9999="Control")*('Raw Data'!$A$2:$A$9999=$A27)*('Raw Data'!$C$2:$C$9999=$C$3)*'Raw Data'!$D$2:$D$9999*'Raw Data'!$AS$2:$AS$9999)/SUMIFS('Raw Data'!$D:$D, 'Raw Data'!$B:$B, "Control", 'Raw Data'!$A:$A, $A27, 'Raw Data'!$C:$C, $C$3),""))</f>
        <v>34.8186</v>
      </c>
      <c r="DY27" s="102">
        <f>IF($A27="","",IFERROR(SUMPRODUCT(('Raw Data'!$B$2:$B$9999="Variant")*('Raw Data'!$A$2:$A$9999=$A27)*('Raw Data'!$C$2:$C$9999=$C$3)*'Raw Data'!$D$2:$D$9999*'Raw Data'!$AS$2:$AS$9999)/SUMIFS('Raw Data'!$D:$D, 'Raw Data'!$B:$B, "Variant", 'Raw Data'!$A:$A, $A27, 'Raw Data'!$C:$C, $C$3),""))</f>
        <v>38.3528</v>
      </c>
      <c r="DZ27" s="110">
        <f t="shared" si="39"/>
        <v>0.1015032195</v>
      </c>
      <c r="EA27" s="102">
        <f>IF($A27="","",IFERROR(SUMPRODUCT(('Raw Data'!$B$2:$B$9999="Control")*('Raw Data'!$A$2:$A$9999=$A27)*('Raw Data'!$C$2:$C$9999=$C$3)*'Raw Data'!$D$2:$D$9999*'Raw Data'!$AT$2:$AT$9999)/SUMIFS('Raw Data'!$D:$D, 'Raw Data'!$B:$B, "Control", 'Raw Data'!$A:$A, $A27, 'Raw Data'!$C:$C, $C$3),""))</f>
        <v>36.1239</v>
      </c>
      <c r="EB27" s="102">
        <f>IF($A27="","",IFERROR(SUMPRODUCT(('Raw Data'!$B$2:$B$9999="Variant")*('Raw Data'!$A$2:$A$9999=$A27)*('Raw Data'!$C$2:$C$9999=$C$3)*'Raw Data'!$D$2:$D$9999*'Raw Data'!$AT$2:$AT$9999)/SUMIFS('Raw Data'!$D:$D, 'Raw Data'!$B:$B, "Variant", 'Raw Data'!$A:$A, $A27, 'Raw Data'!$C:$C, $C$3),""))</f>
        <v>37.4509</v>
      </c>
      <c r="EC27" s="109">
        <f t="shared" si="40"/>
        <v>0.03673468258</v>
      </c>
      <c r="ED27" s="102">
        <f>IF($A27="","",IFERROR(SUMPRODUCT(('Raw Data'!$B$2:$B$9999="Control")*('Raw Data'!$A$2:$A$9999=$A27)*('Raw Data'!$C$2:$C$9999=$C$3)*'Raw Data'!$D$2:$D$9999*('Raw Data'!$AQ$2:$AQ$9999-'Raw Data'!$AT$2:$AT$9999))/SUMIFS('Raw Data'!$D:$D, 'Raw Data'!$B:$B, "Control", 'Raw Data'!$A:$A, $A27, 'Raw Data'!$C:$C, $C$3),""))</f>
        <v>6.5199</v>
      </c>
      <c r="EE27" s="102">
        <f>IF($A27="","",IFERROR(SUMPRODUCT(('Raw Data'!$B$2:$B$9999="Variant")*('Raw Data'!$A$2:$A$9999=$A27)*('Raw Data'!$C$2:$C$9999=$C$3)*'Raw Data'!$D$2:$D$9999*('Raw Data'!$AQ$2:$AQ$9999-'Raw Data'!$AT$2:$AT$9999))/SUMIFS('Raw Data'!$D:$D, 'Raw Data'!$B:$B, "Variant", 'Raw Data'!$A:$A, $A27, 'Raw Data'!$C:$C, $C$3),""))</f>
        <v>7.3842</v>
      </c>
      <c r="EF27" s="110">
        <f t="shared" si="41"/>
        <v>0.1325633829</v>
      </c>
      <c r="EG27" s="102">
        <f>IF($A27="","",IFERROR(SUMPRODUCT(('Raw Data'!$B$2:$B$9999="Control")*('Raw Data'!$A$2:$A$9999=$A27)*('Raw Data'!$C$2:$C$9999=$C$3)*'Raw Data'!$D$2:$D$9999*'Raw Data'!$AU$2:$AU$9999)/SUMIFS('Raw Data'!$D:$D, 'Raw Data'!$B:$B, "Control", 'Raw Data'!$A:$A, $A27, 'Raw Data'!$C:$C, $C$3),""))</f>
        <v>0.2257</v>
      </c>
      <c r="EH27" s="102">
        <f>IF($A27="","",IFERROR(SUMPRODUCT(('Raw Data'!$B$2:$B$9999="Variant")*('Raw Data'!$A$2:$A$9999=$A27)*('Raw Data'!$C$2:$C$9999=$C$3)*'Raw Data'!$D$2:$D$9999*'Raw Data'!$AU$2:$AU$9999)/SUMIFS('Raw Data'!$D:$D, 'Raw Data'!$B:$B, "Variant", 'Raw Data'!$A:$A, $A27, 'Raw Data'!$C:$C, $C$3),""))</f>
        <v>0.2318</v>
      </c>
      <c r="EI27" s="109">
        <f t="shared" si="42"/>
        <v>0.02702702703</v>
      </c>
    </row>
    <row r="28" ht="15.75" customHeight="1">
      <c r="A28" s="93">
        <v>46196.0</v>
      </c>
      <c r="B28" s="94">
        <f>IF($A28="","",SUMIFS('Raw Data'!$D:$D, 'Raw Data'!$B:$B, "Control", 'Raw Data'!$A:$A, $A28, 'Raw Data'!$C:$C, $C$3))</f>
        <v>477</v>
      </c>
      <c r="C28" s="94">
        <f>IF($A28="","",SUMIFS('Raw Data'!$D:$D, 'Raw Data'!$B:$B, "Variant", 'Raw Data'!$A:$A, $A28, 'Raw Data'!$C:$C, $C$3))</f>
        <v>529</v>
      </c>
      <c r="D28" s="95">
        <f t="shared" si="1"/>
        <v>0.1090146751</v>
      </c>
      <c r="E28" s="96">
        <f>IF($A28="","",IFERROR(SUMPRODUCT(('Raw Data'!$B$2:$B$9999="Control")*('Raw Data'!$A$2:$A$9999=$A28)*('Raw Data'!$C$2:$C$9999=$C$3)*'Raw Data'!$D$2:$D$9999*'Raw Data'!$E$2:$E$9999)/SUMIFS('Raw Data'!$D:$D, 'Raw Data'!$B:$B, "Control", 'Raw Data'!$A:$A, $A28, 'Raw Data'!$C:$C, $C$3),""))</f>
        <v>0.57</v>
      </c>
      <c r="F28" s="96">
        <f>IF($A28="","",IFERROR(SUMPRODUCT(('Raw Data'!$B$2:$B$9999="Variant")*('Raw Data'!$A$2:$A$9999=$A28)*('Raw Data'!$C$2:$C$9999=$C$3)*'Raw Data'!$D$2:$D$9999*'Raw Data'!$E$2:$E$9999)/SUMIFS('Raw Data'!$D:$D, 'Raw Data'!$B:$B, "Variant", 'Raw Data'!$A:$A, $A28, 'Raw Data'!$C:$C, $C$3),""))</f>
        <v>0.63</v>
      </c>
      <c r="G28" s="95">
        <f t="shared" si="2"/>
        <v>0.1052631579</v>
      </c>
      <c r="H28" s="97">
        <f>IF($A28="","",SUMIFS('Raw Data'!$F:$F, 'Raw Data'!$B:$B, "Control", 'Raw Data'!$A:$A, $A28, 'Raw Data'!$C:$C, $C$3))</f>
        <v>1106.34</v>
      </c>
      <c r="I28" s="97">
        <f>IF($A28="","",SUMIFS('Raw Data'!$F:$F, 'Raw Data'!$B:$B, "Variant", 'Raw Data'!$A:$A, $A28, 'Raw Data'!$C:$C, $C$3))</f>
        <v>1473.62</v>
      </c>
      <c r="J28" s="105">
        <f t="shared" si="3"/>
        <v>0.3319775114</v>
      </c>
      <c r="K28" s="99">
        <f>IF($A28="","",IFERROR(SUMIFS('Raw Data'!$F:$F, 'Raw Data'!$B:$B, "Control", 'Raw Data'!$A:$A, $A28, 'Raw Data'!$C:$C, $C$3)/SUMIFS('Raw Data'!$D:$D, 'Raw Data'!$B:$B, "Control", 'Raw Data'!$A:$A, $A28, 'Raw Data'!$C:$C, $C$3),""))</f>
        <v>2.319371069</v>
      </c>
      <c r="L28" s="99">
        <f>IF($A28="","",IFERROR(SUMIFS('Raw Data'!$F:$F, 'Raw Data'!$B:$B, "Variant", 'Raw Data'!$A:$A, $A28, 'Raw Data'!$C:$C, $C$3)/SUMIFS('Raw Data'!$D:$D, 'Raw Data'!$B:$B, "Variant", 'Raw Data'!$A:$A, $A28, 'Raw Data'!$C:$C, $C$3),""))</f>
        <v>2.785671078</v>
      </c>
      <c r="M28" s="105">
        <f t="shared" si="4"/>
        <v>0.2010458846</v>
      </c>
      <c r="N28" s="96">
        <f>IF($A28="","",IFERROR(SUMPRODUCT(('Raw Data'!$B$2:$B$9999="Control")*('Raw Data'!$A$2:$A$9999=$A28)*('Raw Data'!$C$2:$C$9999=$C$3)*'Raw Data'!$D$2:$D$9999*'Raw Data'!$H$2:$H$9999/100)/SUMIFS('Raw Data'!$D:$D, 'Raw Data'!$B:$B, "Control", 'Raw Data'!$A:$A, $A28, 'Raw Data'!$C:$C, $C$3)*100,""))</f>
        <v>13.84</v>
      </c>
      <c r="O28" s="96">
        <f>IF($A28="","",IFERROR(SUMPRODUCT(('Raw Data'!$B$2:$B$9999="Variant")*('Raw Data'!$A$2:$A$9999=$A28)*('Raw Data'!$C$2:$C$9999=$C$3)*'Raw Data'!$D$2:$D$9999*'Raw Data'!$H$2:$H$9999/100)/SUMIFS('Raw Data'!$D:$D, 'Raw Data'!$B:$B, "Variant", 'Raw Data'!$A:$A, $A28, 'Raw Data'!$C:$C, $C$3)*100,""))</f>
        <v>17.01</v>
      </c>
      <c r="P28" s="105">
        <f t="shared" si="5"/>
        <v>0.2290462428</v>
      </c>
      <c r="Q28" s="99">
        <f>IF($A28="","",IFERROR(SUMIFS('Raw Data'!$F:$F, 'Raw Data'!$B:$B, "Control", 'Raw Data'!$A:$A, $A28, 'Raw Data'!$C:$C, $C$3)/SUMPRODUCT(('Raw Data'!$B$2:$B$9999="Control")*('Raw Data'!$A$2:$A$9999=$A28)*('Raw Data'!$C$2:$C$9999=$C$3)*'Raw Data'!$D$2:$D$9999*'Raw Data'!$H$2:$H$9999/100),""))</f>
        <v>16.75846148</v>
      </c>
      <c r="R28" s="99">
        <f>IF($A28="","",IFERROR(SUMIFS('Raw Data'!$F:$F, 'Raw Data'!$B:$B, "Variant", 'Raw Data'!$A:$A, $A28, 'Raw Data'!$C:$C, $C$3)/SUMPRODUCT(('Raw Data'!$B$2:$B$9999="Variant")*('Raw Data'!$A$2:$A$9999=$A28)*('Raw Data'!$C$2:$C$9999=$C$3)*'Raw Data'!$D$2:$D$9999*'Raw Data'!$H$2:$H$9999/100),""))</f>
        <v>16.37666712</v>
      </c>
      <c r="S28" s="105">
        <f t="shared" si="6"/>
        <v>-0.02278218443</v>
      </c>
      <c r="T28" s="101">
        <f>IF($A28="","",IFERROR(SUMPRODUCT(('Raw Data'!$B$2:$B$9999="Control")*('Raw Data'!$A$2:$A$9999=$A28)*('Raw Data'!$C$2:$C$9999=$C$3)*'Raw Data'!$D$2:$D$9999*'Raw Data'!$J$2:$J$9999)/SUMIFS('Raw Data'!$D:$D, 'Raw Data'!$B:$B, "Control", 'Raw Data'!$A:$A, $A28, 'Raw Data'!$C:$C, $C$3),""))</f>
        <v>256.04</v>
      </c>
      <c r="U28" s="101">
        <f>IF($A28="","",IFERROR(SUMPRODUCT(('Raw Data'!$B$2:$B$9999="Variant")*('Raw Data'!$A$2:$A$9999=$A28)*('Raw Data'!$C$2:$C$9999=$C$3)*'Raw Data'!$D$2:$D$9999*'Raw Data'!$J$2:$J$9999)/SUMIFS('Raw Data'!$D:$D, 'Raw Data'!$B:$B, "Variant", 'Raw Data'!$A:$A, $A28, 'Raw Data'!$C:$C, $C$3),""))</f>
        <v>251.76</v>
      </c>
      <c r="V28" s="105">
        <f t="shared" si="7"/>
        <v>-0.0167161381</v>
      </c>
      <c r="W28" s="101">
        <f>IF($A28="","",IFERROR(SUMPRODUCT(('Raw Data'!$B$2:$B$9999="Control")*('Raw Data'!$A$2:$A$9999=$A28)*('Raw Data'!$C$2:$C$9999=$C$3)*'Raw Data'!$D$2:$D$9999*'Raw Data'!$K$2:$K$9999)/SUMIFS('Raw Data'!$D:$D, 'Raw Data'!$B:$B, "Control", 'Raw Data'!$A:$A, $A28, 'Raw Data'!$C:$C, $C$3),""))</f>
        <v>161.48</v>
      </c>
      <c r="X28" s="101">
        <f>IF($A28="","",IFERROR(SUMPRODUCT(('Raw Data'!$B$2:$B$9999="Variant")*('Raw Data'!$A$2:$A$9999=$A28)*('Raw Data'!$C$2:$C$9999=$C$3)*'Raw Data'!$D$2:$D$9999*'Raw Data'!$K$2:$K$9999)/SUMIFS('Raw Data'!$D:$D, 'Raw Data'!$B:$B, "Variant", 'Raw Data'!$A:$A, $A28, 'Raw Data'!$C:$C, $C$3),""))</f>
        <v>155.56</v>
      </c>
      <c r="Y28" s="105">
        <f t="shared" si="8"/>
        <v>-0.0366608868</v>
      </c>
      <c r="Z28" s="101">
        <f>IF($A28="","",IFERROR(SUMPRODUCT(('Raw Data'!$B$2:$B$9999="Control")*('Raw Data'!$A$2:$A$9999=$A28)*('Raw Data'!$C$2:$C$9999=$C$3)*'Raw Data'!$D$2:$D$9999*'Raw Data'!$L$2:$L$9999)/SUMIFS('Raw Data'!$D:$D, 'Raw Data'!$B:$B, "Control", 'Raw Data'!$A:$A, $A28, 'Raw Data'!$C:$C, $C$3),""))</f>
        <v>139.76</v>
      </c>
      <c r="AA28" s="101">
        <f>IF($A28="","",IFERROR(SUMPRODUCT(('Raw Data'!$B$2:$B$9999="Variant")*('Raw Data'!$A$2:$A$9999=$A28)*('Raw Data'!$C$2:$C$9999=$C$3)*'Raw Data'!$D$2:$D$9999*'Raw Data'!$L$2:$L$9999)/SUMIFS('Raw Data'!$D:$D, 'Raw Data'!$B:$B, "Variant", 'Raw Data'!$A:$A, $A28, 'Raw Data'!$C:$C, $C$3),""))</f>
        <v>135.75</v>
      </c>
      <c r="AB28" s="105">
        <f t="shared" si="9"/>
        <v>-0.0286920435</v>
      </c>
      <c r="AC28" s="102">
        <f>IF($A28="","",IFERROR(SUMPRODUCT(('Raw Data'!$B$2:$B$9999="Control")*('Raw Data'!$A$2:$A$9999=$A28)*('Raw Data'!$C$2:$C$9999=$C$3)*'Raw Data'!$D$2:$D$9999*'Raw Data'!$M$2:$M$9999)/SUMIFS('Raw Data'!$D:$D, 'Raw Data'!$B:$B, "Control", 'Raw Data'!$A:$A, $A28, 'Raw Data'!$C:$C, $C$3),""))</f>
        <v>0.8655</v>
      </c>
      <c r="AD28" s="102">
        <f>IF($A28="","",IFERROR(SUMPRODUCT(('Raw Data'!$B$2:$B$9999="Variant")*('Raw Data'!$A$2:$A$9999=$A28)*('Raw Data'!$C$2:$C$9999=$C$3)*'Raw Data'!$D$2:$D$9999*'Raw Data'!$M$2:$M$9999)/SUMIFS('Raw Data'!$D:$D, 'Raw Data'!$B:$B, "Variant", 'Raw Data'!$A:$A, $A28, 'Raw Data'!$C:$C, $C$3),""))</f>
        <v>0.8727</v>
      </c>
      <c r="AE28" s="106">
        <f t="shared" si="10"/>
        <v>0.008318890815</v>
      </c>
      <c r="AF28" s="102">
        <f>IF($A28="","",IFERROR(SUMPRODUCT(('Raw Data'!$B$2:$B$9999="Control")*('Raw Data'!$A$2:$A$9999=$A28)*('Raw Data'!$C$2:$C$9999=$C$3)*'Raw Data'!$D$2:$D$9999*'Raw Data'!$N$2:$N$9999)/SUMIFS('Raw Data'!$D:$D, 'Raw Data'!$B:$B, "Control", 'Raw Data'!$A:$A, $A28, 'Raw Data'!$C:$C, $C$3),""))</f>
        <v>0.2704</v>
      </c>
      <c r="AG28" s="102">
        <f>IF($A28="","",IFERROR(SUMPRODUCT(('Raw Data'!$B$2:$B$9999="Variant")*('Raw Data'!$A$2:$A$9999=$A28)*('Raw Data'!$C$2:$C$9999=$C$3)*'Raw Data'!$D$2:$D$9999*'Raw Data'!$N$2:$N$9999)/SUMIFS('Raw Data'!$D:$D, 'Raw Data'!$B:$B, "Variant", 'Raw Data'!$A:$A, $A28, 'Raw Data'!$C:$C, $C$3),""))</f>
        <v>0.2577</v>
      </c>
      <c r="AH28" s="106">
        <f t="shared" si="11"/>
        <v>-0.04696745562</v>
      </c>
      <c r="AI28" s="102">
        <f>IF($A28="","",IFERROR(SUMPRODUCT(('Raw Data'!$B$2:$B$9999="Control")*('Raw Data'!$A$2:$A$9999=$A28)*('Raw Data'!$C$2:$C$9999=$C$3)*'Raw Data'!$D$2:$D$9999*'Raw Data'!$O$2:$O$9999)/SUMIFS('Raw Data'!$D:$D, 'Raw Data'!$B:$B, "Control", 'Raw Data'!$A:$A, $A28, 'Raw Data'!$C:$C, $C$3),""))</f>
        <v>0.1918</v>
      </c>
      <c r="AJ28" s="102">
        <f>IF($A28="","",IFERROR(SUMPRODUCT(('Raw Data'!$B$2:$B$9999="Variant")*('Raw Data'!$A$2:$A$9999=$A28)*('Raw Data'!$C$2:$C$9999=$C$3)*'Raw Data'!$D$2:$D$9999*'Raw Data'!$O$2:$O$9999)/SUMIFS('Raw Data'!$D:$D, 'Raw Data'!$B:$B, "Variant", 'Raw Data'!$A:$A, $A28, 'Raw Data'!$C:$C, $C$3),""))</f>
        <v>0.1836</v>
      </c>
      <c r="AK28" s="105">
        <f t="shared" si="12"/>
        <v>-0.04275286757</v>
      </c>
      <c r="AL28" s="101">
        <f>IF($A28="","",IFERROR(SUMPRODUCT(('Raw Data'!$B$2:$B$9999="Control")*('Raw Data'!$A$2:$A$9999=$A28)*('Raw Data'!$C$2:$C$9999=$C$3)*'Raw Data'!$D$2:$D$9999*'Raw Data'!$P$2:$P$9999)/SUMIFS('Raw Data'!$D:$D, 'Raw Data'!$B:$B, "Control", 'Raw Data'!$A:$A, $A28, 'Raw Data'!$C:$C, $C$3),""))</f>
        <v>1.1554</v>
      </c>
      <c r="AM28" s="101">
        <f>IF($A28="","",IFERROR(SUMPRODUCT(('Raw Data'!$B$2:$B$9999="Variant")*('Raw Data'!$A$2:$A$9999=$A28)*('Raw Data'!$C$2:$C$9999=$C$3)*'Raw Data'!$D$2:$D$9999*'Raw Data'!$P$2:$P$9999)/SUMIFS('Raw Data'!$D:$D, 'Raw Data'!$B:$B, "Variant", 'Raw Data'!$A:$A, $A28, 'Raw Data'!$C:$C, $C$3),""))</f>
        <v>1.1459</v>
      </c>
      <c r="AN28" s="105">
        <f t="shared" si="13"/>
        <v>-0.008222260689</v>
      </c>
      <c r="AO28" s="101">
        <f>IF($A28="","",IFERROR(SUMPRODUCT(('Raw Data'!$B$2:$B$9999="Control")*('Raw Data'!$A$2:$A$9999=$A28)*('Raw Data'!$C$2:$C$9999=$C$3)*'Raw Data'!$D$2:$D$9999*'Raw Data'!$Q$2:$Q$9999)/SUMIFS('Raw Data'!$D:$D, 'Raw Data'!$B:$B, "Control", 'Raw Data'!$A:$A, $A28, 'Raw Data'!$C:$C, $C$3),""))</f>
        <v>1241.56</v>
      </c>
      <c r="AP28" s="101">
        <f>IF($A28="","",IFERROR(SUMPRODUCT(('Raw Data'!$B$2:$B$9999="Variant")*('Raw Data'!$A$2:$A$9999=$A28)*('Raw Data'!$C$2:$C$9999=$C$3)*'Raw Data'!$D$2:$D$9999*'Raw Data'!$Q$2:$Q$9999)/SUMIFS('Raw Data'!$D:$D, 'Raw Data'!$B:$B, "Variant", 'Raw Data'!$A:$A, $A28, 'Raw Data'!$C:$C, $C$3),""))</f>
        <v>1220.35</v>
      </c>
      <c r="AQ28" s="95">
        <f t="shared" si="14"/>
        <v>-0.01708334676</v>
      </c>
      <c r="AR28" s="101">
        <f>IF($A28="","",IFERROR(SUMPRODUCT(('Raw Data'!$B$2:$B$9999="Control")*('Raw Data'!$A$2:$A$9999=$A28)*('Raw Data'!$C$2:$C$9999=$C$3)*'Raw Data'!$D$2:$D$9999*'Raw Data'!$R$2:$R$9999)/SUMIFS('Raw Data'!$D:$D, 'Raw Data'!$B:$B, "Control", 'Raw Data'!$A:$A, $A28, 'Raw Data'!$C:$C, $C$3),""))</f>
        <v>945.5</v>
      </c>
      <c r="AS28" s="101">
        <f>IF($A28="","",IFERROR(SUMPRODUCT(('Raw Data'!$B$2:$B$9999="Variant")*('Raw Data'!$A$2:$A$9999=$A28)*('Raw Data'!$C$2:$C$9999=$C$3)*'Raw Data'!$D$2:$D$9999*'Raw Data'!$R$2:$R$9999)/SUMIFS('Raw Data'!$D:$D, 'Raw Data'!$B:$B, "Variant", 'Raw Data'!$A:$A, $A28, 'Raw Data'!$C:$C, $C$3),""))</f>
        <v>1116.34</v>
      </c>
      <c r="AT28" s="95">
        <f t="shared" si="15"/>
        <v>0.1806874669</v>
      </c>
      <c r="AU28" s="101">
        <f>IF($A28="","",IFERROR(SUMPRODUCT(('Raw Data'!$B$2:$B$9999="Control")*('Raw Data'!$A$2:$A$9999=$A28)*('Raw Data'!$C$2:$C$9999=$C$3)*'Raw Data'!$D$2:$D$9999*'Raw Data'!$S$2:$S$9999)/SUMIFS('Raw Data'!$D:$D, 'Raw Data'!$B:$B, "Control", 'Raw Data'!$A:$A, $A28, 'Raw Data'!$C:$C, $C$3),""))</f>
        <v>296.06</v>
      </c>
      <c r="AV28" s="101">
        <f>IF($A28="","",IFERROR(SUMPRODUCT(('Raw Data'!$B$2:$B$9999="Variant")*('Raw Data'!$A$2:$A$9999=$A28)*('Raw Data'!$C$2:$C$9999=$C$3)*'Raw Data'!$D$2:$D$9999*'Raw Data'!$S$2:$S$9999)/SUMIFS('Raw Data'!$D:$D, 'Raw Data'!$B:$B, "Variant", 'Raw Data'!$A:$A, $A28, 'Raw Data'!$C:$C, $C$3),""))</f>
        <v>104.01</v>
      </c>
      <c r="AW28" s="95">
        <f t="shared" si="16"/>
        <v>-0.6486860771</v>
      </c>
      <c r="AX28" s="101">
        <f>IF($A28="","",IFERROR(SUMPRODUCT(('Raw Data'!$B$2:$B$9999="Control")*('Raw Data'!$A$2:$A$9999=$A28)*('Raw Data'!$C$2:$C$9999=$C$3)*'Raw Data'!$D$2:$D$9999*'Raw Data'!$T$2:$T$9999)/SUMIFS('Raw Data'!$D:$D, 'Raw Data'!$B:$B, "Control", 'Raw Data'!$A:$A, $A28, 'Raw Data'!$C:$C, $C$3),""))</f>
        <v>136.79</v>
      </c>
      <c r="AY28" s="101">
        <f>IF($A28="","",IFERROR(SUMPRODUCT(('Raw Data'!$B$2:$B$9999="Variant")*('Raw Data'!$A$2:$A$9999=$A28)*('Raw Data'!$C$2:$C$9999=$C$3)*'Raw Data'!$D$2:$D$9999*'Raw Data'!$T$2:$T$9999)/SUMIFS('Raw Data'!$D:$D, 'Raw Data'!$B:$B, "Variant", 'Raw Data'!$A:$A, $A28, 'Raw Data'!$C:$C, $C$3),""))</f>
        <v>153.26</v>
      </c>
      <c r="AZ28" s="105">
        <f t="shared" si="17"/>
        <v>0.1204035383</v>
      </c>
      <c r="BA28" s="101">
        <f>IF($A28="","",IFERROR(SUMPRODUCT(('Raw Data'!$B$2:$B$9999="Control")*('Raw Data'!$A$2:$A$9999=$A28)*('Raw Data'!$C$2:$C$9999=$C$3)*'Raw Data'!$D$2:$D$9999*'Raw Data'!$U$2:$U$9999)/SUMIFS('Raw Data'!$D:$D, 'Raw Data'!$B:$B, "Control", 'Raw Data'!$A:$A, $A28, 'Raw Data'!$C:$C, $C$3),""))</f>
        <v>1104.77</v>
      </c>
      <c r="BB28" s="101">
        <f>IF($A28="","",IFERROR(SUMPRODUCT(('Raw Data'!$B$2:$B$9999="Variant")*('Raw Data'!$A$2:$A$9999=$A28)*('Raw Data'!$C$2:$C$9999=$C$3)*'Raw Data'!$D$2:$D$9999*'Raw Data'!$U$2:$U$9999)/SUMIFS('Raw Data'!$D:$D, 'Raw Data'!$B:$B, "Variant", 'Raw Data'!$A:$A, $A28, 'Raw Data'!$C:$C, $C$3),""))</f>
        <v>1067.09</v>
      </c>
      <c r="BC28" s="95">
        <f t="shared" si="18"/>
        <v>-0.03410664663</v>
      </c>
      <c r="BD28" s="101">
        <f>IF($A28="","",IFERROR(SUMPRODUCT(('Raw Data'!$B$2:$B$9999="Control")*('Raw Data'!$A$2:$A$9999=$A28)*('Raw Data'!$C$2:$C$9999=$C$3)*'Raw Data'!$D$2:$D$9999*'Raw Data'!$V$2:$V$9999)/SUMIFS('Raw Data'!$D:$D, 'Raw Data'!$B:$B, "Control", 'Raw Data'!$A:$A, $A28, 'Raw Data'!$C:$C, $C$3),""))</f>
        <v>1137.53</v>
      </c>
      <c r="BE28" s="101">
        <f>IF($A28="","",IFERROR(SUMPRODUCT(('Raw Data'!$B$2:$B$9999="Variant")*('Raw Data'!$A$2:$A$9999=$A28)*('Raw Data'!$C$2:$C$9999=$C$3)*'Raw Data'!$D$2:$D$9999*'Raw Data'!$V$2:$V$9999)/SUMIFS('Raw Data'!$D:$D, 'Raw Data'!$B:$B, "Variant", 'Raw Data'!$A:$A, $A28, 'Raw Data'!$C:$C, $C$3),""))</f>
        <v>1019</v>
      </c>
      <c r="BF28" s="95">
        <f t="shared" si="19"/>
        <v>-0.1041994497</v>
      </c>
      <c r="BG28" s="101">
        <f>IF($A28="","",IFERROR(SUMPRODUCT(('Raw Data'!$B$2:$B$9999="Control")*('Raw Data'!$A$2:$A$9999=$A28)*('Raw Data'!$C$2:$C$9999=$C$3)*'Raw Data'!$D$2:$D$9999*('Raw Data'!$Q$2:$Q$9999-'Raw Data'!$V$2:$V$9999))/SUMIFS('Raw Data'!$D:$D, 'Raw Data'!$B:$B, "Control", 'Raw Data'!$A:$A, $A28, 'Raw Data'!$C:$C, $C$3),""))</f>
        <v>104.03</v>
      </c>
      <c r="BH28" s="101">
        <f>IF($A28="","",IFERROR(SUMPRODUCT(('Raw Data'!$B$2:$B$9999="Variant")*('Raw Data'!$A$2:$A$9999=$A28)*('Raw Data'!$C$2:$C$9999=$C$3)*'Raw Data'!$D$2:$D$9999*('Raw Data'!$Q$2:$Q$9999-'Raw Data'!$V$2:$V$9999))/SUMIFS('Raw Data'!$D:$D, 'Raw Data'!$B:$B, "Variant", 'Raw Data'!$A:$A, $A28, 'Raw Data'!$C:$C, $C$3),""))</f>
        <v>201.35</v>
      </c>
      <c r="BI28" s="95">
        <f t="shared" si="20"/>
        <v>0.9354993752</v>
      </c>
      <c r="BJ28" s="101">
        <f>IF($A28="","",IFERROR(SUMPRODUCT(('Raw Data'!$B$2:$B$9999="Control")*('Raw Data'!$A$2:$A$9999=$A28)*('Raw Data'!$C$2:$C$9999=$C$3)*'Raw Data'!$D$2:$D$9999*'Raw Data'!$W$2:$W$9999)/SUMIFS('Raw Data'!$D:$D, 'Raw Data'!$B:$B, "Control", 'Raw Data'!$A:$A, $A28, 'Raw Data'!$C:$C, $C$3),""))</f>
        <v>7.0443</v>
      </c>
      <c r="BK28" s="101">
        <f>IF($A28="","",IFERROR(SUMPRODUCT(('Raw Data'!$B$2:$B$9999="Variant")*('Raw Data'!$A$2:$A$9999=$A28)*('Raw Data'!$C$2:$C$9999=$C$3)*'Raw Data'!$D$2:$D$9999*'Raw Data'!$W$2:$W$9999)/SUMIFS('Raw Data'!$D:$D, 'Raw Data'!$B:$B, "Variant", 'Raw Data'!$A:$A, $A28, 'Raw Data'!$C:$C, $C$3),""))</f>
        <v>6.5505</v>
      </c>
      <c r="BL28" s="95">
        <f t="shared" si="21"/>
        <v>-0.07009922916</v>
      </c>
      <c r="BM28" s="102">
        <f>IF($A28="","",IFERROR(SUMPRODUCT(('Raw Data'!$B$2:$B$9999="Control")*('Raw Data'!$A$2:$A$9999=$A28)*('Raw Data'!$C$2:$C$9999=$C$3)*'Raw Data'!$D$2:$D$9999*'Raw Data'!$X$2:$X$9999)/SUMIFS('Raw Data'!$D:$D, 'Raw Data'!$B:$B, "Control", 'Raw Data'!$A:$A, $A28, 'Raw Data'!$C:$C, $C$3),""))</f>
        <v>11.02</v>
      </c>
      <c r="BN28" s="102">
        <f>IF($A28="","",IFERROR(SUMPRODUCT(('Raw Data'!$B$2:$B$9999="Variant")*('Raw Data'!$A$2:$A$9999=$A28)*('Raw Data'!$C$2:$C$9999=$C$3)*'Raw Data'!$D$2:$D$9999*'Raw Data'!$X$2:$X$9999)/SUMIFS('Raw Data'!$D:$D, 'Raw Data'!$B:$B, "Variant", 'Raw Data'!$A:$A, $A28, 'Raw Data'!$C:$C, $C$3),""))</f>
        <v>12.56</v>
      </c>
      <c r="BO28" s="105">
        <f t="shared" si="22"/>
        <v>0.1397459165</v>
      </c>
      <c r="BP28" s="94">
        <f>IF($A28="","",IFERROR(SUMPRODUCT(('Raw Data'!$B$2:$B$9999="Control")*('Raw Data'!$A$2:$A$9999=$A28)*('Raw Data'!$C$2:$C$9999=$C$3)*'Raw Data'!$D$2:$D$9999*'Raw Data'!$Y$2:$Y$9999)/SUMIFS('Raw Data'!$D:$D, 'Raw Data'!$B:$B, "Control", 'Raw Data'!$A:$A, $A28, 'Raw Data'!$C:$C, $C$3),""))</f>
        <v>664</v>
      </c>
      <c r="BQ28" s="94">
        <f>IF($A28="","",IFERROR(SUMPRODUCT(('Raw Data'!$B$2:$B$9999="Variant")*('Raw Data'!$A$2:$A$9999=$A28)*('Raw Data'!$C$2:$C$9999=$C$3)*'Raw Data'!$D$2:$D$9999*'Raw Data'!$Y$2:$Y$9999)/SUMIFS('Raw Data'!$D:$D, 'Raw Data'!$B:$B, "Variant", 'Raw Data'!$A:$A, $A28, 'Raw Data'!$C:$C, $C$3),""))</f>
        <v>765</v>
      </c>
      <c r="BR28" s="95">
        <f t="shared" si="23"/>
        <v>0.1521084337</v>
      </c>
      <c r="BS28" s="94">
        <f>IF($A28="","",IFERROR(SUMPRODUCT(('Raw Data'!$B$2:$B$9999="Control")*('Raw Data'!$A$2:$A$9999=$A28)*('Raw Data'!$C$2:$C$9999=$C$3)*'Raw Data'!$D$2:$D$9999*'Raw Data'!$Z$2:$Z$9999)/SUMIFS('Raw Data'!$D:$D, 'Raw Data'!$B:$B, "Control", 'Raw Data'!$A:$A, $A28, 'Raw Data'!$C:$C, $C$3),""))</f>
        <v>2114</v>
      </c>
      <c r="BT28" s="94">
        <f>IF($A28="","",IFERROR(SUMPRODUCT(('Raw Data'!$B$2:$B$9999="Variant")*('Raw Data'!$A$2:$A$9999=$A28)*('Raw Data'!$C$2:$C$9999=$C$3)*'Raw Data'!$D$2:$D$9999*'Raw Data'!$Z$2:$Z$9999)/SUMIFS('Raw Data'!$D:$D, 'Raw Data'!$B:$B, "Variant", 'Raw Data'!$A:$A, $A28, 'Raw Data'!$C:$C, $C$3),""))</f>
        <v>2460</v>
      </c>
      <c r="BU28" s="95">
        <f t="shared" si="24"/>
        <v>0.1636707663</v>
      </c>
      <c r="BV28" s="94">
        <f>IF($A28="","",IFERROR(SUMPRODUCT(('Raw Data'!$B$2:$B$9999="Control")*('Raw Data'!$A$2:$A$9999=$A28)*('Raw Data'!$C$2:$C$9999=$C$3)*'Raw Data'!$D$2:$D$9999*'Raw Data'!$AA$2:$AA$9999)/SUMIFS('Raw Data'!$D:$D, 'Raw Data'!$B:$B, "Control", 'Raw Data'!$A:$A, $A28, 'Raw Data'!$C:$C, $C$3),""))</f>
        <v>8213</v>
      </c>
      <c r="BW28" s="94">
        <f>IF($A28="","",IFERROR(SUMPRODUCT(('Raw Data'!$B$2:$B$9999="Variant")*('Raw Data'!$A$2:$A$9999=$A28)*('Raw Data'!$C$2:$C$9999=$C$3)*'Raw Data'!$D$2:$D$9999*'Raw Data'!$AA$2:$AA$9999)/SUMIFS('Raw Data'!$D:$D, 'Raw Data'!$B:$B, "Variant", 'Raw Data'!$A:$A, $A28, 'Raw Data'!$C:$C, $C$3),""))</f>
        <v>9437</v>
      </c>
      <c r="BX28" s="95">
        <f t="shared" si="25"/>
        <v>0.1490320224</v>
      </c>
      <c r="BY28" s="101">
        <f>IF($A28="","",IFERROR(SUMPRODUCT(('Raw Data'!$B$2:$B$9999="Control")*('Raw Data'!$A$2:$A$9999=$A28)*('Raw Data'!$C$2:$C$9999=$C$3)*'Raw Data'!$D$2:$D$9999*'Raw Data'!$AB$2:$AB$9999)/SUMIFS('Raw Data'!$D:$D, 'Raw Data'!$B:$B, "Control", 'Raw Data'!$A:$A, $A28, 'Raw Data'!$C:$C, $C$3),""))</f>
        <v>62.4281</v>
      </c>
      <c r="BZ28" s="101">
        <f>IF($A28="","",IFERROR(SUMPRODUCT(('Raw Data'!$B$2:$B$9999="Variant")*('Raw Data'!$A$2:$A$9999=$A28)*('Raw Data'!$C$2:$C$9999=$C$3)*'Raw Data'!$D$2:$D$9999*'Raw Data'!$AB$2:$AB$9999)/SUMIFS('Raw Data'!$D:$D, 'Raw Data'!$B:$B, "Variant", 'Raw Data'!$A:$A, $A28, 'Raw Data'!$C:$C, $C$3),""))</f>
        <v>63.1066</v>
      </c>
      <c r="CA28" s="105">
        <f t="shared" si="26"/>
        <v>0.01086850313</v>
      </c>
      <c r="CB28" s="101">
        <f>IF($A28="","",IFERROR(SUMPRODUCT(('Raw Data'!$B$2:$B$9999="Control")*('Raw Data'!$A$2:$A$9999=$A28)*('Raw Data'!$C$2:$C$9999=$C$3)*'Raw Data'!$D$2:$D$9999*'Raw Data'!$AC$2:$AC$9999)/SUMIFS('Raw Data'!$D:$D, 'Raw Data'!$B:$B, "Control", 'Raw Data'!$A:$A, $A28, 'Raw Data'!$C:$C, $C$3),""))</f>
        <v>0.8682</v>
      </c>
      <c r="CC28" s="101">
        <f>IF($A28="","",IFERROR(SUMPRODUCT(('Raw Data'!$B$2:$B$9999="Variant")*('Raw Data'!$A$2:$A$9999=$A28)*('Raw Data'!$C$2:$C$9999=$C$3)*'Raw Data'!$D$2:$D$9999*'Raw Data'!$AC$2:$AC$9999)/SUMIFS('Raw Data'!$D:$D, 'Raw Data'!$B:$B, "Variant", 'Raw Data'!$A:$A, $A28, 'Raw Data'!$C:$C, $C$3),""))</f>
        <v>0.8864</v>
      </c>
      <c r="CD28" s="105">
        <f t="shared" si="27"/>
        <v>0.02096291177</v>
      </c>
      <c r="CE28" s="101">
        <f>IF($A28="","",IFERROR(SUMPRODUCT(('Raw Data'!$B$2:$B$9999="Control")*('Raw Data'!$A$2:$A$9999=$A28)*('Raw Data'!$C$2:$C$9999=$C$3)*'Raw Data'!$D$2:$D$9999*'Raw Data'!$AD$2:$AD$9999)/SUMIFS('Raw Data'!$D:$D, 'Raw Data'!$B:$B, "Control", 'Raw Data'!$A:$A, $A28, 'Raw Data'!$C:$C, $C$3),""))</f>
        <v>101.94</v>
      </c>
      <c r="CF28" s="101">
        <f>IF($A28="","",IFERROR(SUMPRODUCT(('Raw Data'!$B$2:$B$9999="Variant")*('Raw Data'!$A$2:$A$9999=$A28)*('Raw Data'!$C$2:$C$9999=$C$3)*'Raw Data'!$D$2:$D$9999*'Raw Data'!$AD$2:$AD$9999)/SUMIFS('Raw Data'!$D:$D, 'Raw Data'!$B:$B, "Variant", 'Raw Data'!$A:$A, $A28, 'Raw Data'!$C:$C, $C$3),""))</f>
        <v>99.47</v>
      </c>
      <c r="CG28" s="105">
        <f t="shared" si="28"/>
        <v>-0.02422993918</v>
      </c>
      <c r="CH28" s="101">
        <f>IF($A28="","",IFERROR(SUMPRODUCT(('Raw Data'!$B$2:$B$9999="Control")*('Raw Data'!$A$2:$A$9999=$A28)*('Raw Data'!$C$2:$C$9999=$C$3)*'Raw Data'!$D$2:$D$9999*'Raw Data'!$AE$2:$AE$9999)/SUMIFS('Raw Data'!$D:$D, 'Raw Data'!$B:$B, "Control", 'Raw Data'!$A:$A, $A28, 'Raw Data'!$C:$C, $C$3),""))</f>
        <v>49</v>
      </c>
      <c r="CI28" s="101">
        <f>IF($A28="","",IFERROR(SUMPRODUCT(('Raw Data'!$B$2:$B$9999="Variant")*('Raw Data'!$A$2:$A$9999=$A28)*('Raw Data'!$C$2:$C$9999=$C$3)*'Raw Data'!$D$2:$D$9999*'Raw Data'!$AE$2:$AE$9999)/SUMIFS('Raw Data'!$D:$D, 'Raw Data'!$B:$B, "Variant", 'Raw Data'!$A:$A, $A28, 'Raw Data'!$C:$C, $C$3),""))</f>
        <v>51</v>
      </c>
      <c r="CJ28" s="105">
        <f t="shared" si="29"/>
        <v>0.04081632653</v>
      </c>
      <c r="CK28" s="101">
        <f>IF($A28="","",IFERROR(SUMPRODUCT(('Raw Data'!$B$2:$B$9999="Control")*('Raw Data'!$A$2:$A$9999=$A28)*('Raw Data'!$C$2:$C$9999=$C$3)*'Raw Data'!$D$2:$D$9999*'Raw Data'!$AF$2:$AF$9999)/SUMIFS('Raw Data'!$D:$D, 'Raw Data'!$B:$B, "Control", 'Raw Data'!$A:$A, $A28, 'Raw Data'!$C:$C, $C$3),""))</f>
        <v>93</v>
      </c>
      <c r="CL28" s="101">
        <f>IF($A28="","",IFERROR(SUMPRODUCT(('Raw Data'!$B$2:$B$9999="Variant")*('Raw Data'!$A$2:$A$9999=$A28)*('Raw Data'!$C$2:$C$9999=$C$3)*'Raw Data'!$D$2:$D$9999*'Raw Data'!$AF$2:$AF$9999)/SUMIFS('Raw Data'!$D:$D, 'Raw Data'!$B:$B, "Variant", 'Raw Data'!$A:$A, $A28, 'Raw Data'!$C:$C, $C$3),""))</f>
        <v>90</v>
      </c>
      <c r="CM28" s="105">
        <f t="shared" si="30"/>
        <v>-0.03225806452</v>
      </c>
      <c r="CN28" s="101">
        <f>IF($A28="","",IFERROR(SUMPRODUCT(('Raw Data'!$B$2:$B$9999="Control")*('Raw Data'!$A$2:$A$9999=$A28)*('Raw Data'!$C$2:$C$9999=$C$3)*'Raw Data'!$D$2:$D$9999*'Raw Data'!$AG$2:$AG$9999)/SUMIFS('Raw Data'!$D:$D, 'Raw Data'!$B:$B, "Control", 'Raw Data'!$A:$A, $A28, 'Raw Data'!$C:$C, $C$3),""))</f>
        <v>142</v>
      </c>
      <c r="CO28" s="101">
        <f>IF($A28="","",IFERROR(SUMPRODUCT(('Raw Data'!$B$2:$B$9999="Variant")*('Raw Data'!$A$2:$A$9999=$A28)*('Raw Data'!$C$2:$C$9999=$C$3)*'Raw Data'!$D$2:$D$9999*'Raw Data'!$AG$2:$AG$9999)/SUMIFS('Raw Data'!$D:$D, 'Raw Data'!$B:$B, "Variant", 'Raw Data'!$A:$A, $A28, 'Raw Data'!$C:$C, $C$3),""))</f>
        <v>132</v>
      </c>
      <c r="CP28" s="105">
        <f t="shared" si="31"/>
        <v>-0.07042253521</v>
      </c>
      <c r="CQ28" s="101">
        <f>IF($A28="","",IFERROR(SUMPRODUCT(('Raw Data'!$B$2:$B$9999="Control")*('Raw Data'!$A$2:$A$9999=$A28)*('Raw Data'!$C$2:$C$9999=$C$3)*'Raw Data'!$D$2:$D$9999*'Raw Data'!$AH$2:$AH$9999)/SUMIFS('Raw Data'!$D:$D, 'Raw Data'!$B:$B, "Control", 'Raw Data'!$A:$A, $A28, 'Raw Data'!$C:$C, $C$3),""))</f>
        <v>191</v>
      </c>
      <c r="CR28" s="101">
        <f>IF($A28="","",IFERROR(SUMPRODUCT(('Raw Data'!$B$2:$B$9999="Variant")*('Raw Data'!$A$2:$A$9999=$A28)*('Raw Data'!$C$2:$C$9999=$C$3)*'Raw Data'!$D$2:$D$9999*'Raw Data'!$AH$2:$AH$9999)/SUMIFS('Raw Data'!$D:$D, 'Raw Data'!$B:$B, "Variant", 'Raw Data'!$A:$A, $A28, 'Raw Data'!$C:$C, $C$3),""))</f>
        <v>175</v>
      </c>
      <c r="CS28" s="105">
        <f t="shared" si="32"/>
        <v>-0.08376963351</v>
      </c>
      <c r="CT28" s="96">
        <f>IF($A28="","",IFERROR(SUMPRODUCT(('Raw Data'!$B$2:$B$9999="Control")*('Raw Data'!$A$2:$A$9999=$A28)*('Raw Data'!$C$2:$C$9999=$C$3)*'Raw Data'!$D$2:$D$9999*'Raw Data'!$AI$2:$AI$9999)/SUMIFS('Raw Data'!$D:$D, 'Raw Data'!$B:$B, "Control", 'Raw Data'!$A:$A, $A28, 'Raw Data'!$C:$C, $C$3),""))</f>
        <v>57.65</v>
      </c>
      <c r="CU28" s="96">
        <f>IF($A28="","",IFERROR(SUMPRODUCT(('Raw Data'!$B$2:$B$9999="Variant")*('Raw Data'!$A$2:$A$9999=$A28)*('Raw Data'!$C$2:$C$9999=$C$3)*'Raw Data'!$D$2:$D$9999*'Raw Data'!$AI$2:$AI$9999)/SUMIFS('Raw Data'!$D:$D, 'Raw Data'!$B:$B, "Variant", 'Raw Data'!$A:$A, $A28, 'Raw Data'!$C:$C, $C$3),""))</f>
        <v>57.47</v>
      </c>
      <c r="CV28" s="106">
        <f t="shared" si="33"/>
        <v>-0.003122289679</v>
      </c>
      <c r="CW28" s="96">
        <f>IF($A28="","",IFERROR(SUMPRODUCT(('Raw Data'!$B$2:$B$9999="Control")*('Raw Data'!$A$2:$A$9999=$A28)*('Raw Data'!$C$2:$C$9999=$C$3)*'Raw Data'!$D$2:$D$9999*'Raw Data'!$AJ$2:$AJ$9999)/SUMIFS('Raw Data'!$D:$D, 'Raw Data'!$B:$B, "Control", 'Raw Data'!$A:$A, $A28, 'Raw Data'!$C:$C, $C$3),""))</f>
        <v>13.84</v>
      </c>
      <c r="CX28" s="96">
        <f>IF($A28="","",IFERROR(SUMPRODUCT(('Raw Data'!$B$2:$B$9999="Variant")*('Raw Data'!$A$2:$A$9999=$A28)*('Raw Data'!$C$2:$C$9999=$C$3)*'Raw Data'!$D$2:$D$9999*'Raw Data'!$AJ$2:$AJ$9999)/SUMIFS('Raw Data'!$D:$D, 'Raw Data'!$B:$B, "Variant", 'Raw Data'!$A:$A, $A28, 'Raw Data'!$C:$C, $C$3),""))</f>
        <v>10.59</v>
      </c>
      <c r="CY28" s="106">
        <f t="shared" si="34"/>
        <v>-0.2348265896</v>
      </c>
      <c r="CZ28" s="96">
        <f>IF($A28="","",IFERROR(SUMPRODUCT(('Raw Data'!$B$2:$B$9999="Control")*('Raw Data'!$A$2:$A$9999=$A28)*('Raw Data'!$C$2:$C$9999=$C$3)*'Raw Data'!$D$2:$D$9999*'Raw Data'!$AK$2:$AK$9999)/SUMIFS('Raw Data'!$D:$D, 'Raw Data'!$B:$B, "Control", 'Raw Data'!$A:$A, $A28, 'Raw Data'!$C:$C, $C$3),""))</f>
        <v>1.47</v>
      </c>
      <c r="DA28" s="96">
        <f>IF($A28="","",IFERROR(SUMPRODUCT(('Raw Data'!$B$2:$B$9999="Variant")*('Raw Data'!$A$2:$A$9999=$A28)*('Raw Data'!$C$2:$C$9999=$C$3)*'Raw Data'!$D$2:$D$9999*'Raw Data'!$AK$2:$AK$9999)/SUMIFS('Raw Data'!$D:$D, 'Raw Data'!$B:$B, "Variant", 'Raw Data'!$A:$A, $A28, 'Raw Data'!$C:$C, $C$3),""))</f>
        <v>1.89</v>
      </c>
      <c r="DB28" s="105">
        <f t="shared" si="35"/>
        <v>0.2857142857</v>
      </c>
      <c r="DC28" s="102">
        <f>IF($A28="","",IFERROR(SUMPRODUCT(('Raw Data'!$B$2:$B$9999="Control")*('Raw Data'!$A$2:$A$9999=$A28)*('Raw Data'!$C$2:$C$9999=$C$3)*'Raw Data'!$D$2:$D$9999*'Raw Data'!$AL$2:$AL$9999)/SUMIFS('Raw Data'!$D:$D, 'Raw Data'!$B:$B, "Control", 'Raw Data'!$A:$A, $A28, 'Raw Data'!$C:$C, $C$3),""))</f>
        <v>0.1027</v>
      </c>
      <c r="DD28" s="102">
        <f>IF($A28="","",IFERROR(SUMPRODUCT(('Raw Data'!$B$2:$B$9999="Variant")*('Raw Data'!$A$2:$A$9999=$A28)*('Raw Data'!$C$2:$C$9999=$C$3)*'Raw Data'!$D$2:$D$9999*'Raw Data'!$AL$2:$AL$9999)/SUMIFS('Raw Data'!$D:$D, 'Raw Data'!$B:$B, "Variant", 'Raw Data'!$A:$A, $A28, 'Raw Data'!$C:$C, $C$3),""))</f>
        <v>0.0662</v>
      </c>
      <c r="DE28" s="106">
        <f t="shared" si="36"/>
        <v>-0.3554040896</v>
      </c>
      <c r="DF28" s="103"/>
      <c r="DG28" s="96">
        <f>IF($A28="","",IFERROR(SUMPRODUCT(('Raw Data'!$B$2:$B$9999="Variant")*('Raw Data'!$A$2:$A$9999=$A28)*('Raw Data'!$C$2:$C$9999=$C$3)*'Raw Data'!$D$2:$D$9999*'Raw Data'!$AM$2:$AM$9999)/SUMIFS('Raw Data'!$D:$D, 'Raw Data'!$B:$B, "Variant", 'Raw Data'!$A:$A, $A28, 'Raw Data'!$C:$C, $C$3),""))</f>
        <v>87.15</v>
      </c>
      <c r="DH28" s="104"/>
      <c r="DI28" s="103"/>
      <c r="DJ28" s="96">
        <f>IF($A28="","",IFERROR(SUMPRODUCT(('Raw Data'!$B$2:$B$9999="Variant")*('Raw Data'!$A$2:$A$9999=$A28)*('Raw Data'!$C$2:$C$9999=$C$3)*'Raw Data'!$D$2:$D$9999*'Raw Data'!$AN$2:$AN$9999)/SUMIFS('Raw Data'!$D:$D, 'Raw Data'!$B:$B, "Variant", 'Raw Data'!$A:$A, $A28, 'Raw Data'!$C:$C, $C$3),""))</f>
        <v>87.15</v>
      </c>
      <c r="DK28" s="104"/>
      <c r="DL28" s="103"/>
      <c r="DM28" s="96">
        <f>IF($A28="","",IFERROR(SUMPRODUCT(('Raw Data'!$B$2:$B$9999="Variant")*('Raw Data'!$A$2:$A$9999=$A28)*('Raw Data'!$C$2:$C$9999=$C$3)*'Raw Data'!$D$2:$D$9999*'Raw Data'!$AO$2:$AO$9999)/SUMIFS('Raw Data'!$D:$D, 'Raw Data'!$B:$B, "Variant", 'Raw Data'!$A:$A, $A28, 'Raw Data'!$C:$C, $C$3),""))</f>
        <v>73.72</v>
      </c>
      <c r="DN28" s="104"/>
      <c r="DO28" s="103"/>
      <c r="DP28" s="96">
        <f>IF($A28="","",IFERROR(SUMPRODUCT(('Raw Data'!$B$2:$B$9999="Variant")*('Raw Data'!$A$2:$A$9999=$A28)*('Raw Data'!$C$2:$C$9999=$C$3)*'Raw Data'!$D$2:$D$9999*'Raw Data'!$AP$2:$AP$9999)/SUMIFS('Raw Data'!$D:$D, 'Raw Data'!$B:$B, "Variant", 'Raw Data'!$A:$A, $A28, 'Raw Data'!$C:$C, $C$3),""))</f>
        <v>59.92</v>
      </c>
      <c r="DQ28" s="104"/>
      <c r="DR28" s="102">
        <f>IF($A28="","",IFERROR(SUMPRODUCT(('Raw Data'!$B$2:$B$9999="Control")*('Raw Data'!$A$2:$A$9999=$A28)*('Raw Data'!$C$2:$C$9999=$C$3)*'Raw Data'!$D$2:$D$9999*'Raw Data'!$AQ$2:$AQ$9999)/SUMIFS('Raw Data'!$D:$D, 'Raw Data'!$B:$B, "Control", 'Raw Data'!$A:$A, $A28, 'Raw Data'!$C:$C, $C$3),""))</f>
        <v>47.304</v>
      </c>
      <c r="DS28" s="102">
        <f>IF($A28="","",IFERROR(SUMPRODUCT(('Raw Data'!$B$2:$B$9999="Variant")*('Raw Data'!$A$2:$A$9999=$A28)*('Raw Data'!$C$2:$C$9999=$C$3)*'Raw Data'!$D$2:$D$9999*'Raw Data'!$AQ$2:$AQ$9999)/SUMIFS('Raw Data'!$D:$D, 'Raw Data'!$B:$B, "Variant", 'Raw Data'!$A:$A, $A28, 'Raw Data'!$C:$C, $C$3),""))</f>
        <v>47.5633</v>
      </c>
      <c r="DT28" s="109">
        <f t="shared" si="37"/>
        <v>0.005481566041</v>
      </c>
      <c r="DU28" s="102">
        <f>IF($A28="","",IFERROR(SUMPRODUCT(('Raw Data'!$B$2:$B$9999="Control")*('Raw Data'!$A$2:$A$9999=$A28)*('Raw Data'!$C$2:$C$9999=$C$3)*'Raw Data'!$D$2:$D$9999*'Raw Data'!$AR$2:$AR$9999)/SUMIFS('Raw Data'!$D:$D, 'Raw Data'!$B:$B, "Control", 'Raw Data'!$A:$A, $A28, 'Raw Data'!$C:$C, $C$3),""))</f>
        <v>5.1216</v>
      </c>
      <c r="DV28" s="102">
        <f>IF($A28="","",IFERROR(SUMPRODUCT(('Raw Data'!$B$2:$B$9999="Variant")*('Raw Data'!$A$2:$A$9999=$A28)*('Raw Data'!$C$2:$C$9999=$C$3)*'Raw Data'!$D$2:$D$9999*'Raw Data'!$AR$2:$AR$9999)/SUMIFS('Raw Data'!$D:$D, 'Raw Data'!$B:$B, "Variant", 'Raw Data'!$A:$A, $A28, 'Raw Data'!$C:$C, $C$3),""))</f>
        <v>3.8715</v>
      </c>
      <c r="DW28" s="109">
        <f t="shared" si="38"/>
        <v>-0.24408388</v>
      </c>
      <c r="DX28" s="102">
        <f>IF($A28="","",IFERROR(SUMPRODUCT(('Raw Data'!$B$2:$B$9999="Control")*('Raw Data'!$A$2:$A$9999=$A28)*('Raw Data'!$C$2:$C$9999=$C$3)*'Raw Data'!$D$2:$D$9999*'Raw Data'!$AS$2:$AS$9999)/SUMIFS('Raw Data'!$D:$D, 'Raw Data'!$B:$B, "Control", 'Raw Data'!$A:$A, $A28, 'Raw Data'!$C:$C, $C$3),""))</f>
        <v>42.1824</v>
      </c>
      <c r="DY28" s="102">
        <f>IF($A28="","",IFERROR(SUMPRODUCT(('Raw Data'!$B$2:$B$9999="Variant")*('Raw Data'!$A$2:$A$9999=$A28)*('Raw Data'!$C$2:$C$9999=$C$3)*'Raw Data'!$D$2:$D$9999*'Raw Data'!$AS$2:$AS$9999)/SUMIFS('Raw Data'!$D:$D, 'Raw Data'!$B:$B, "Variant", 'Raw Data'!$A:$A, $A28, 'Raw Data'!$C:$C, $C$3),""))</f>
        <v>43.6919</v>
      </c>
      <c r="DZ28" s="110">
        <f t="shared" si="39"/>
        <v>0.03578506676</v>
      </c>
      <c r="EA28" s="102">
        <f>IF($A28="","",IFERROR(SUMPRODUCT(('Raw Data'!$B$2:$B$9999="Control")*('Raw Data'!$A$2:$A$9999=$A28)*('Raw Data'!$C$2:$C$9999=$C$3)*'Raw Data'!$D$2:$D$9999*'Raw Data'!$AT$2:$AT$9999)/SUMIFS('Raw Data'!$D:$D, 'Raw Data'!$B:$B, "Control", 'Raw Data'!$A:$A, $A28, 'Raw Data'!$C:$C, $C$3),""))</f>
        <v>35.826</v>
      </c>
      <c r="EB28" s="102">
        <f>IF($A28="","",IFERROR(SUMPRODUCT(('Raw Data'!$B$2:$B$9999="Variant")*('Raw Data'!$A$2:$A$9999=$A28)*('Raw Data'!$C$2:$C$9999=$C$3)*'Raw Data'!$D$2:$D$9999*'Raw Data'!$AT$2:$AT$9999)/SUMIFS('Raw Data'!$D:$D, 'Raw Data'!$B:$B, "Variant", 'Raw Data'!$A:$A, $A28, 'Raw Data'!$C:$C, $C$3),""))</f>
        <v>33.8072</v>
      </c>
      <c r="EC28" s="109">
        <f t="shared" si="40"/>
        <v>-0.05635013677</v>
      </c>
      <c r="ED28" s="102">
        <f>IF($A28="","",IFERROR(SUMPRODUCT(('Raw Data'!$B$2:$B$9999="Control")*('Raw Data'!$A$2:$A$9999=$A28)*('Raw Data'!$C$2:$C$9999=$C$3)*'Raw Data'!$D$2:$D$9999*('Raw Data'!$AQ$2:$AQ$9999-'Raw Data'!$AT$2:$AT$9999))/SUMIFS('Raw Data'!$D:$D, 'Raw Data'!$B:$B, "Control", 'Raw Data'!$A:$A, $A28, 'Raw Data'!$C:$C, $C$3),""))</f>
        <v>11.478</v>
      </c>
      <c r="EE28" s="102">
        <f>IF($A28="","",IFERROR(SUMPRODUCT(('Raw Data'!$B$2:$B$9999="Variant")*('Raw Data'!$A$2:$A$9999=$A28)*('Raw Data'!$C$2:$C$9999=$C$3)*'Raw Data'!$D$2:$D$9999*('Raw Data'!$AQ$2:$AQ$9999-'Raw Data'!$AT$2:$AT$9999))/SUMIFS('Raw Data'!$D:$D, 'Raw Data'!$B:$B, "Variant", 'Raw Data'!$A:$A, $A28, 'Raw Data'!$C:$C, $C$3),""))</f>
        <v>13.7561</v>
      </c>
      <c r="EF28" s="110">
        <f t="shared" si="41"/>
        <v>0.1984753441</v>
      </c>
      <c r="EG28" s="102">
        <f>IF($A28="","",IFERROR(SUMPRODUCT(('Raw Data'!$B$2:$B$9999="Control")*('Raw Data'!$A$2:$A$9999=$A28)*('Raw Data'!$C$2:$C$9999=$C$3)*'Raw Data'!$D$2:$D$9999*'Raw Data'!$AU$2:$AU$9999)/SUMIFS('Raw Data'!$D:$D, 'Raw Data'!$B:$B, "Control", 'Raw Data'!$A:$A, $A28, 'Raw Data'!$C:$C, $C$3),""))</f>
        <v>0.2219</v>
      </c>
      <c r="EH28" s="102">
        <f>IF($A28="","",IFERROR(SUMPRODUCT(('Raw Data'!$B$2:$B$9999="Variant")*('Raw Data'!$A$2:$A$9999=$A28)*('Raw Data'!$C$2:$C$9999=$C$3)*'Raw Data'!$D$2:$D$9999*'Raw Data'!$AU$2:$AU$9999)/SUMIFS('Raw Data'!$D:$D, 'Raw Data'!$B:$B, "Variant", 'Raw Data'!$A:$A, $A28, 'Raw Data'!$C:$C, $C$3),""))</f>
        <v>0.2173</v>
      </c>
      <c r="EI28" s="109">
        <f t="shared" si="42"/>
        <v>-0.02073005858</v>
      </c>
    </row>
    <row r="29" ht="15.75" customHeight="1">
      <c r="A29" s="93">
        <v>46197.0</v>
      </c>
      <c r="B29" s="94">
        <f>IF($A29="","",SUMIFS('Raw Data'!$D:$D, 'Raw Data'!$B:$B, "Control", 'Raw Data'!$A:$A, $A29, 'Raw Data'!$C:$C, $C$3))</f>
        <v>478</v>
      </c>
      <c r="C29" s="94">
        <f>IF($A29="","",SUMIFS('Raw Data'!$D:$D, 'Raw Data'!$B:$B, "Variant", 'Raw Data'!$A:$A, $A29, 'Raw Data'!$C:$C, $C$3))</f>
        <v>554</v>
      </c>
      <c r="D29" s="95">
        <f t="shared" si="1"/>
        <v>0.1589958159</v>
      </c>
      <c r="E29" s="96">
        <f>IF($A29="","",IFERROR(SUMPRODUCT(('Raw Data'!$B$2:$B$9999="Control")*('Raw Data'!$A$2:$A$9999=$A29)*('Raw Data'!$C$2:$C$9999=$C$3)*'Raw Data'!$D$2:$D$9999*'Raw Data'!$E$2:$E$9999)/SUMIFS('Raw Data'!$D:$D, 'Raw Data'!$B:$B, "Control", 'Raw Data'!$A:$A, $A29, 'Raw Data'!$C:$C, $C$3),""))</f>
        <v>0.58</v>
      </c>
      <c r="F29" s="96">
        <f>IF($A29="","",IFERROR(SUMPRODUCT(('Raw Data'!$B$2:$B$9999="Variant")*('Raw Data'!$A$2:$A$9999=$A29)*('Raw Data'!$C$2:$C$9999=$C$3)*'Raw Data'!$D$2:$D$9999*'Raw Data'!$E$2:$E$9999)/SUMIFS('Raw Data'!$D:$D, 'Raw Data'!$B:$B, "Variant", 'Raw Data'!$A:$A, $A29, 'Raw Data'!$C:$C, $C$3),""))</f>
        <v>0.68</v>
      </c>
      <c r="G29" s="95">
        <f t="shared" si="2"/>
        <v>0.1724137931</v>
      </c>
      <c r="H29" s="97">
        <f>IF($A29="","",SUMIFS('Raw Data'!$F:$F, 'Raw Data'!$B:$B, "Control", 'Raw Data'!$A:$A, $A29, 'Raw Data'!$C:$C, $C$3))</f>
        <v>1292.31</v>
      </c>
      <c r="I29" s="97">
        <f>IF($A29="","",SUMIFS('Raw Data'!$F:$F, 'Raw Data'!$B:$B, "Variant", 'Raw Data'!$A:$A, $A29, 'Raw Data'!$C:$C, $C$3))</f>
        <v>1806.26</v>
      </c>
      <c r="J29" s="105">
        <f t="shared" si="3"/>
        <v>0.3976986946</v>
      </c>
      <c r="K29" s="99">
        <f>IF($A29="","",IFERROR(SUMIFS('Raw Data'!$F:$F, 'Raw Data'!$B:$B, "Control", 'Raw Data'!$A:$A, $A29, 'Raw Data'!$C:$C, $C$3)/SUMIFS('Raw Data'!$D:$D, 'Raw Data'!$B:$B, "Control", 'Raw Data'!$A:$A, $A29, 'Raw Data'!$C:$C, $C$3),""))</f>
        <v>2.703577406</v>
      </c>
      <c r="L29" s="99">
        <f>IF($A29="","",IFERROR(SUMIFS('Raw Data'!$F:$F, 'Raw Data'!$B:$B, "Variant", 'Raw Data'!$A:$A, $A29, 'Raw Data'!$C:$C, $C$3)/SUMIFS('Raw Data'!$D:$D, 'Raw Data'!$B:$B, "Variant", 'Raw Data'!$A:$A, $A29, 'Raw Data'!$C:$C, $C$3),""))</f>
        <v>3.260397112</v>
      </c>
      <c r="M29" s="105">
        <f t="shared" si="4"/>
        <v>0.2059566354</v>
      </c>
      <c r="N29" s="96">
        <f>IF($A29="","",IFERROR(SUMPRODUCT(('Raw Data'!$B$2:$B$9999="Control")*('Raw Data'!$A$2:$A$9999=$A29)*('Raw Data'!$C$2:$C$9999=$C$3)*'Raw Data'!$D$2:$D$9999*'Raw Data'!$H$2:$H$9999/100)/SUMIFS('Raw Data'!$D:$D, 'Raw Data'!$B:$B, "Control", 'Raw Data'!$A:$A, $A29, 'Raw Data'!$C:$C, $C$3)*100,""))</f>
        <v>15.48</v>
      </c>
      <c r="O29" s="96">
        <f>IF($A29="","",IFERROR(SUMPRODUCT(('Raw Data'!$B$2:$B$9999="Variant")*('Raw Data'!$A$2:$A$9999=$A29)*('Raw Data'!$C$2:$C$9999=$C$3)*'Raw Data'!$D$2:$D$9999*'Raw Data'!$H$2:$H$9999/100)/SUMIFS('Raw Data'!$D:$D, 'Raw Data'!$B:$B, "Variant", 'Raw Data'!$A:$A, $A29, 'Raw Data'!$C:$C, $C$3)*100,""))</f>
        <v>16.06</v>
      </c>
      <c r="P29" s="105">
        <f t="shared" si="5"/>
        <v>0.03746770026</v>
      </c>
      <c r="Q29" s="99">
        <f>IF($A29="","",IFERROR(SUMIFS('Raw Data'!$F:$F, 'Raw Data'!$B:$B, "Control", 'Raw Data'!$A:$A, $A29, 'Raw Data'!$C:$C, $C$3)/SUMPRODUCT(('Raw Data'!$B$2:$B$9999="Control")*('Raw Data'!$A$2:$A$9999=$A29)*('Raw Data'!$C$2:$C$9999=$C$3)*'Raw Data'!$D$2:$D$9999*'Raw Data'!$H$2:$H$9999/100),""))</f>
        <v>17.46497032</v>
      </c>
      <c r="R29" s="99">
        <f>IF($A29="","",IFERROR(SUMIFS('Raw Data'!$F:$F, 'Raw Data'!$B:$B, "Variant", 'Raw Data'!$A:$A, $A29, 'Raw Data'!$C:$C, $C$3)/SUMPRODUCT(('Raw Data'!$B$2:$B$9999="Variant")*('Raw Data'!$A$2:$A$9999=$A29)*('Raw Data'!$C$2:$C$9999=$C$3)*'Raw Data'!$D$2:$D$9999*'Raw Data'!$H$2:$H$9999/100),""))</f>
        <v>20.30135188</v>
      </c>
      <c r="S29" s="105">
        <f t="shared" si="6"/>
        <v>0.1624040296</v>
      </c>
      <c r="T29" s="101">
        <f>IF($A29="","",IFERROR(SUMPRODUCT(('Raw Data'!$B$2:$B$9999="Control")*('Raw Data'!$A$2:$A$9999=$A29)*('Raw Data'!$C$2:$C$9999=$C$3)*'Raw Data'!$D$2:$D$9999*'Raw Data'!$J$2:$J$9999)/SUMIFS('Raw Data'!$D:$D, 'Raw Data'!$B:$B, "Control", 'Raw Data'!$A:$A, $A29, 'Raw Data'!$C:$C, $C$3),""))</f>
        <v>238.16</v>
      </c>
      <c r="U29" s="101">
        <f>IF($A29="","",IFERROR(SUMPRODUCT(('Raw Data'!$B$2:$B$9999="Variant")*('Raw Data'!$A$2:$A$9999=$A29)*('Raw Data'!$C$2:$C$9999=$C$3)*'Raw Data'!$D$2:$D$9999*'Raw Data'!$J$2:$J$9999)/SUMIFS('Raw Data'!$D:$D, 'Raw Data'!$B:$B, "Variant", 'Raw Data'!$A:$A, $A29, 'Raw Data'!$C:$C, $C$3),""))</f>
        <v>242.07</v>
      </c>
      <c r="V29" s="105">
        <f t="shared" si="7"/>
        <v>0.01641753443</v>
      </c>
      <c r="W29" s="101">
        <f>IF($A29="","",IFERROR(SUMPRODUCT(('Raw Data'!$B$2:$B$9999="Control")*('Raw Data'!$A$2:$A$9999=$A29)*('Raw Data'!$C$2:$C$9999=$C$3)*'Raw Data'!$D$2:$D$9999*'Raw Data'!$K$2:$K$9999)/SUMIFS('Raw Data'!$D:$D, 'Raw Data'!$B:$B, "Control", 'Raw Data'!$A:$A, $A29, 'Raw Data'!$C:$C, $C$3),""))</f>
        <v>146.16</v>
      </c>
      <c r="X29" s="101">
        <f>IF($A29="","",IFERROR(SUMPRODUCT(('Raw Data'!$B$2:$B$9999="Variant")*('Raw Data'!$A$2:$A$9999=$A29)*('Raw Data'!$C$2:$C$9999=$C$3)*'Raw Data'!$D$2:$D$9999*'Raw Data'!$K$2:$K$9999)/SUMIFS('Raw Data'!$D:$D, 'Raw Data'!$B:$B, "Variant", 'Raw Data'!$A:$A, $A29, 'Raw Data'!$C:$C, $C$3),""))</f>
        <v>149.76</v>
      </c>
      <c r="Y29" s="105">
        <f t="shared" si="8"/>
        <v>0.02463054187</v>
      </c>
      <c r="Z29" s="101">
        <f>IF($A29="","",IFERROR(SUMPRODUCT(('Raw Data'!$B$2:$B$9999="Control")*('Raw Data'!$A$2:$A$9999=$A29)*('Raw Data'!$C$2:$C$9999=$C$3)*'Raw Data'!$D$2:$D$9999*'Raw Data'!$L$2:$L$9999)/SUMIFS('Raw Data'!$D:$D, 'Raw Data'!$B:$B, "Control", 'Raw Data'!$A:$A, $A29, 'Raw Data'!$C:$C, $C$3),""))</f>
        <v>122.86</v>
      </c>
      <c r="AA29" s="101">
        <f>IF($A29="","",IFERROR(SUMPRODUCT(('Raw Data'!$B$2:$B$9999="Variant")*('Raw Data'!$A$2:$A$9999=$A29)*('Raw Data'!$C$2:$C$9999=$C$3)*'Raw Data'!$D$2:$D$9999*'Raw Data'!$L$2:$L$9999)/SUMIFS('Raw Data'!$D:$D, 'Raw Data'!$B:$B, "Variant", 'Raw Data'!$A:$A, $A29, 'Raw Data'!$C:$C, $C$3),""))</f>
        <v>126.45</v>
      </c>
      <c r="AB29" s="105">
        <f t="shared" si="9"/>
        <v>0.02922025069</v>
      </c>
      <c r="AC29" s="102">
        <f>IF($A29="","",IFERROR(SUMPRODUCT(('Raw Data'!$B$2:$B$9999="Control")*('Raw Data'!$A$2:$A$9999=$A29)*('Raw Data'!$C$2:$C$9999=$C$3)*'Raw Data'!$D$2:$D$9999*'Raw Data'!$M$2:$M$9999)/SUMIFS('Raw Data'!$D:$D, 'Raw Data'!$B:$B, "Control", 'Raw Data'!$A:$A, $A29, 'Raw Data'!$C:$C, $C$3),""))</f>
        <v>0.8406</v>
      </c>
      <c r="AD29" s="102">
        <f>IF($A29="","",IFERROR(SUMPRODUCT(('Raw Data'!$B$2:$B$9999="Variant")*('Raw Data'!$A$2:$A$9999=$A29)*('Raw Data'!$C$2:$C$9999=$C$3)*'Raw Data'!$D$2:$D$9999*'Raw Data'!$M$2:$M$9999)/SUMIFS('Raw Data'!$D:$D, 'Raw Data'!$B:$B, "Variant", 'Raw Data'!$A:$A, $A29, 'Raw Data'!$C:$C, $C$3),""))</f>
        <v>0.8444</v>
      </c>
      <c r="AE29" s="106">
        <f t="shared" si="10"/>
        <v>0.004520580538</v>
      </c>
      <c r="AF29" s="102">
        <f>IF($A29="","",IFERROR(SUMPRODUCT(('Raw Data'!$B$2:$B$9999="Control")*('Raw Data'!$A$2:$A$9999=$A29)*('Raw Data'!$C$2:$C$9999=$C$3)*'Raw Data'!$D$2:$D$9999*'Raw Data'!$N$2:$N$9999)/SUMIFS('Raw Data'!$D:$D, 'Raw Data'!$B:$B, "Control", 'Raw Data'!$A:$A, $A29, 'Raw Data'!$C:$C, $C$3),""))</f>
        <v>0.2934</v>
      </c>
      <c r="AG29" s="102">
        <f>IF($A29="","",IFERROR(SUMPRODUCT(('Raw Data'!$B$2:$B$9999="Variant")*('Raw Data'!$A$2:$A$9999=$A29)*('Raw Data'!$C$2:$C$9999=$C$3)*'Raw Data'!$D$2:$D$9999*'Raw Data'!$N$2:$N$9999)/SUMIFS('Raw Data'!$D:$D, 'Raw Data'!$B:$B, "Variant", 'Raw Data'!$A:$A, $A29, 'Raw Data'!$C:$C, $C$3),""))</f>
        <v>0.2891</v>
      </c>
      <c r="AH29" s="106">
        <f t="shared" si="11"/>
        <v>-0.01465576005</v>
      </c>
      <c r="AI29" s="102">
        <f>IF($A29="","",IFERROR(SUMPRODUCT(('Raw Data'!$B$2:$B$9999="Control")*('Raw Data'!$A$2:$A$9999=$A29)*('Raw Data'!$C$2:$C$9999=$C$3)*'Raw Data'!$D$2:$D$9999*'Raw Data'!$O$2:$O$9999)/SUMIFS('Raw Data'!$D:$D, 'Raw Data'!$B:$B, "Control", 'Raw Data'!$A:$A, $A29, 'Raw Data'!$C:$C, $C$3),""))</f>
        <v>0.2034</v>
      </c>
      <c r="AJ29" s="102">
        <f>IF($A29="","",IFERROR(SUMPRODUCT(('Raw Data'!$B$2:$B$9999="Variant")*('Raw Data'!$A$2:$A$9999=$A29)*('Raw Data'!$C$2:$C$9999=$C$3)*'Raw Data'!$D$2:$D$9999*'Raw Data'!$O$2:$O$9999)/SUMIFS('Raw Data'!$D:$D, 'Raw Data'!$B:$B, "Variant", 'Raw Data'!$A:$A, $A29, 'Raw Data'!$C:$C, $C$3),""))</f>
        <v>0.1972</v>
      </c>
      <c r="AK29" s="105">
        <f t="shared" si="12"/>
        <v>-0.03048180924</v>
      </c>
      <c r="AL29" s="101">
        <f>IF($A29="","",IFERROR(SUMPRODUCT(('Raw Data'!$B$2:$B$9999="Control")*('Raw Data'!$A$2:$A$9999=$A29)*('Raw Data'!$C$2:$C$9999=$C$3)*'Raw Data'!$D$2:$D$9999*'Raw Data'!$P$2:$P$9999)/SUMIFS('Raw Data'!$D:$D, 'Raw Data'!$B:$B, "Control", 'Raw Data'!$A:$A, $A29, 'Raw Data'!$C:$C, $C$3),""))</f>
        <v>1.1897</v>
      </c>
      <c r="AM29" s="101">
        <f>IF($A29="","",IFERROR(SUMPRODUCT(('Raw Data'!$B$2:$B$9999="Variant")*('Raw Data'!$A$2:$A$9999=$A29)*('Raw Data'!$C$2:$C$9999=$C$3)*'Raw Data'!$D$2:$D$9999*'Raw Data'!$P$2:$P$9999)/SUMIFS('Raw Data'!$D:$D, 'Raw Data'!$B:$B, "Variant", 'Raw Data'!$A:$A, $A29, 'Raw Data'!$C:$C, $C$3),""))</f>
        <v>1.1843</v>
      </c>
      <c r="AN29" s="105">
        <f t="shared" si="13"/>
        <v>-0.004538959402</v>
      </c>
      <c r="AO29" s="101">
        <f>IF($A29="","",IFERROR(SUMPRODUCT(('Raw Data'!$B$2:$B$9999="Control")*('Raw Data'!$A$2:$A$9999=$A29)*('Raw Data'!$C$2:$C$9999=$C$3)*'Raw Data'!$D$2:$D$9999*'Raw Data'!$Q$2:$Q$9999)/SUMIFS('Raw Data'!$D:$D, 'Raw Data'!$B:$B, "Control", 'Raw Data'!$A:$A, $A29, 'Raw Data'!$C:$C, $C$3),""))</f>
        <v>728.73</v>
      </c>
      <c r="AP29" s="101">
        <f>IF($A29="","",IFERROR(SUMPRODUCT(('Raw Data'!$B$2:$B$9999="Variant")*('Raw Data'!$A$2:$A$9999=$A29)*('Raw Data'!$C$2:$C$9999=$C$3)*'Raw Data'!$D$2:$D$9999*'Raw Data'!$Q$2:$Q$9999)/SUMIFS('Raw Data'!$D:$D, 'Raw Data'!$B:$B, "Variant", 'Raw Data'!$A:$A, $A29, 'Raw Data'!$C:$C, $C$3),""))</f>
        <v>738.4</v>
      </c>
      <c r="AQ29" s="95">
        <f t="shared" si="14"/>
        <v>0.01326966092</v>
      </c>
      <c r="AR29" s="101">
        <f>IF($A29="","",IFERROR(SUMPRODUCT(('Raw Data'!$B$2:$B$9999="Control")*('Raw Data'!$A$2:$A$9999=$A29)*('Raw Data'!$C$2:$C$9999=$C$3)*'Raw Data'!$D$2:$D$9999*'Raw Data'!$R$2:$R$9999)/SUMIFS('Raw Data'!$D:$D, 'Raw Data'!$B:$B, "Control", 'Raw Data'!$A:$A, $A29, 'Raw Data'!$C:$C, $C$3),""))</f>
        <v>467.02</v>
      </c>
      <c r="AS29" s="101">
        <f>IF($A29="","",IFERROR(SUMPRODUCT(('Raw Data'!$B$2:$B$9999="Variant")*('Raw Data'!$A$2:$A$9999=$A29)*('Raw Data'!$C$2:$C$9999=$C$3)*'Raw Data'!$D$2:$D$9999*'Raw Data'!$R$2:$R$9999)/SUMIFS('Raw Data'!$D:$D, 'Raw Data'!$B:$B, "Variant", 'Raw Data'!$A:$A, $A29, 'Raw Data'!$C:$C, $C$3),""))</f>
        <v>642.24</v>
      </c>
      <c r="AT29" s="95">
        <f t="shared" si="15"/>
        <v>0.3751873581</v>
      </c>
      <c r="AU29" s="101">
        <f>IF($A29="","",IFERROR(SUMPRODUCT(('Raw Data'!$B$2:$B$9999="Control")*('Raw Data'!$A$2:$A$9999=$A29)*('Raw Data'!$C$2:$C$9999=$C$3)*'Raw Data'!$D$2:$D$9999*'Raw Data'!$S$2:$S$9999)/SUMIFS('Raw Data'!$D:$D, 'Raw Data'!$B:$B, "Control", 'Raw Data'!$A:$A, $A29, 'Raw Data'!$C:$C, $C$3),""))</f>
        <v>261.72</v>
      </c>
      <c r="AV29" s="101">
        <f>IF($A29="","",IFERROR(SUMPRODUCT(('Raw Data'!$B$2:$B$9999="Variant")*('Raw Data'!$A$2:$A$9999=$A29)*('Raw Data'!$C$2:$C$9999=$C$3)*'Raw Data'!$D$2:$D$9999*'Raw Data'!$S$2:$S$9999)/SUMIFS('Raw Data'!$D:$D, 'Raw Data'!$B:$B, "Variant", 'Raw Data'!$A:$A, $A29, 'Raw Data'!$C:$C, $C$3),""))</f>
        <v>96.16</v>
      </c>
      <c r="AW29" s="95">
        <f t="shared" si="16"/>
        <v>-0.6325844414</v>
      </c>
      <c r="AX29" s="101">
        <f>IF($A29="","",IFERROR(SUMPRODUCT(('Raw Data'!$B$2:$B$9999="Control")*('Raw Data'!$A$2:$A$9999=$A29)*('Raw Data'!$C$2:$C$9999=$C$3)*'Raw Data'!$D$2:$D$9999*'Raw Data'!$T$2:$T$9999)/SUMIFS('Raw Data'!$D:$D, 'Raw Data'!$B:$B, "Control", 'Raw Data'!$A:$A, $A29, 'Raw Data'!$C:$C, $C$3),""))</f>
        <v>169.15</v>
      </c>
      <c r="AY29" s="101">
        <f>IF($A29="","",IFERROR(SUMPRODUCT(('Raw Data'!$B$2:$B$9999="Variant")*('Raw Data'!$A$2:$A$9999=$A29)*('Raw Data'!$C$2:$C$9999=$C$3)*'Raw Data'!$D$2:$D$9999*'Raw Data'!$T$2:$T$9999)/SUMIFS('Raw Data'!$D:$D, 'Raw Data'!$B:$B, "Variant", 'Raw Data'!$A:$A, $A29, 'Raw Data'!$C:$C, $C$3),""))</f>
        <v>196.93</v>
      </c>
      <c r="AZ29" s="105">
        <f t="shared" si="17"/>
        <v>0.1642329294</v>
      </c>
      <c r="BA29" s="101">
        <f>IF($A29="","",IFERROR(SUMPRODUCT(('Raw Data'!$B$2:$B$9999="Control")*('Raw Data'!$A$2:$A$9999=$A29)*('Raw Data'!$C$2:$C$9999=$C$3)*'Raw Data'!$D$2:$D$9999*'Raw Data'!$U$2:$U$9999)/SUMIFS('Raw Data'!$D:$D, 'Raw Data'!$B:$B, "Control", 'Raw Data'!$A:$A, $A29, 'Raw Data'!$C:$C, $C$3),""))</f>
        <v>559.58</v>
      </c>
      <c r="BB29" s="101">
        <f>IF($A29="","",IFERROR(SUMPRODUCT(('Raw Data'!$B$2:$B$9999="Variant")*('Raw Data'!$A$2:$A$9999=$A29)*('Raw Data'!$C$2:$C$9999=$C$3)*'Raw Data'!$D$2:$D$9999*'Raw Data'!$U$2:$U$9999)/SUMIFS('Raw Data'!$D:$D, 'Raw Data'!$B:$B, "Variant", 'Raw Data'!$A:$A, $A29, 'Raw Data'!$C:$C, $C$3),""))</f>
        <v>541.47</v>
      </c>
      <c r="BC29" s="95">
        <f t="shared" si="18"/>
        <v>-0.03236355838</v>
      </c>
      <c r="BD29" s="101">
        <f>IF($A29="","",IFERROR(SUMPRODUCT(('Raw Data'!$B$2:$B$9999="Control")*('Raw Data'!$A$2:$A$9999=$A29)*('Raw Data'!$C$2:$C$9999=$C$3)*'Raw Data'!$D$2:$D$9999*'Raw Data'!$V$2:$V$9999)/SUMIFS('Raw Data'!$D:$D, 'Raw Data'!$B:$B, "Control", 'Raw Data'!$A:$A, $A29, 'Raw Data'!$C:$C, $C$3),""))</f>
        <v>966.32</v>
      </c>
      <c r="BE29" s="101">
        <f>IF($A29="","",IFERROR(SUMPRODUCT(('Raw Data'!$B$2:$B$9999="Variant")*('Raw Data'!$A$2:$A$9999=$A29)*('Raw Data'!$C$2:$C$9999=$C$3)*'Raw Data'!$D$2:$D$9999*'Raw Data'!$V$2:$V$9999)/SUMIFS('Raw Data'!$D:$D, 'Raw Data'!$B:$B, "Variant", 'Raw Data'!$A:$A, $A29, 'Raw Data'!$C:$C, $C$3),""))</f>
        <v>892.51</v>
      </c>
      <c r="BF29" s="95">
        <f t="shared" si="19"/>
        <v>-0.07638256478</v>
      </c>
      <c r="BG29" s="101">
        <f>IF($A29="","",IFERROR(SUMPRODUCT(('Raw Data'!$B$2:$B$9999="Control")*('Raw Data'!$A$2:$A$9999=$A29)*('Raw Data'!$C$2:$C$9999=$C$3)*'Raw Data'!$D$2:$D$9999*('Raw Data'!$Q$2:$Q$9999-'Raw Data'!$V$2:$V$9999))/SUMIFS('Raw Data'!$D:$D, 'Raw Data'!$B:$B, "Control", 'Raw Data'!$A:$A, $A29, 'Raw Data'!$C:$C, $C$3),""))</f>
        <v>-237.59</v>
      </c>
      <c r="BH29" s="101">
        <f>IF($A29="","",IFERROR(SUMPRODUCT(('Raw Data'!$B$2:$B$9999="Variant")*('Raw Data'!$A$2:$A$9999=$A29)*('Raw Data'!$C$2:$C$9999=$C$3)*'Raw Data'!$D$2:$D$9999*('Raw Data'!$Q$2:$Q$9999-'Raw Data'!$V$2:$V$9999))/SUMIFS('Raw Data'!$D:$D, 'Raw Data'!$B:$B, "Variant", 'Raw Data'!$A:$A, $A29, 'Raw Data'!$C:$C, $C$3),""))</f>
        <v>-154.11</v>
      </c>
      <c r="BI29" s="95">
        <f t="shared" si="20"/>
        <v>0.3513615893</v>
      </c>
      <c r="BJ29" s="101">
        <f>IF($A29="","",IFERROR(SUMPRODUCT(('Raw Data'!$B$2:$B$9999="Control")*('Raw Data'!$A$2:$A$9999=$A29)*('Raw Data'!$C$2:$C$9999=$C$3)*'Raw Data'!$D$2:$D$9999*'Raw Data'!$W$2:$W$9999)/SUMIFS('Raw Data'!$D:$D, 'Raw Data'!$B:$B, "Control", 'Raw Data'!$A:$A, $A29, 'Raw Data'!$C:$C, $C$3),""))</f>
        <v>6.6112</v>
      </c>
      <c r="BK29" s="101">
        <f>IF($A29="","",IFERROR(SUMPRODUCT(('Raw Data'!$B$2:$B$9999="Variant")*('Raw Data'!$A$2:$A$9999=$A29)*('Raw Data'!$C$2:$C$9999=$C$3)*'Raw Data'!$D$2:$D$9999*'Raw Data'!$W$2:$W$9999)/SUMIFS('Raw Data'!$D:$D, 'Raw Data'!$B:$B, "Variant", 'Raw Data'!$A:$A, $A29, 'Raw Data'!$C:$C, $C$3),""))</f>
        <v>5.9597</v>
      </c>
      <c r="BL29" s="95">
        <f t="shared" si="21"/>
        <v>-0.09854489351</v>
      </c>
      <c r="BM29" s="102">
        <f>IF($A29="","",IFERROR(SUMPRODUCT(('Raw Data'!$B$2:$B$9999="Control")*('Raw Data'!$A$2:$A$9999=$A29)*('Raw Data'!$C$2:$C$9999=$C$3)*'Raw Data'!$D$2:$D$9999*'Raw Data'!$X$2:$X$9999)/SUMIFS('Raw Data'!$D:$D, 'Raw Data'!$B:$B, "Control", 'Raw Data'!$A:$A, $A29, 'Raw Data'!$C:$C, $C$3),""))</f>
        <v>23.21</v>
      </c>
      <c r="BN29" s="102">
        <f>IF($A29="","",IFERROR(SUMPRODUCT(('Raw Data'!$B$2:$B$9999="Variant")*('Raw Data'!$A$2:$A$9999=$A29)*('Raw Data'!$C$2:$C$9999=$C$3)*'Raw Data'!$D$2:$D$9999*'Raw Data'!$X$2:$X$9999)/SUMIFS('Raw Data'!$D:$D, 'Raw Data'!$B:$B, "Variant", 'Raw Data'!$A:$A, $A29, 'Raw Data'!$C:$C, $C$3),""))</f>
        <v>26.67</v>
      </c>
      <c r="BO29" s="105">
        <f t="shared" si="22"/>
        <v>0.1490736751</v>
      </c>
      <c r="BP29" s="94">
        <f>IF($A29="","",IFERROR(SUMPRODUCT(('Raw Data'!$B$2:$B$9999="Control")*('Raw Data'!$A$2:$A$9999=$A29)*('Raw Data'!$C$2:$C$9999=$C$3)*'Raw Data'!$D$2:$D$9999*'Raw Data'!$Y$2:$Y$9999)/SUMIFS('Raw Data'!$D:$D, 'Raw Data'!$B:$B, "Control", 'Raw Data'!$A:$A, $A29, 'Raw Data'!$C:$C, $C$3),""))</f>
        <v>527</v>
      </c>
      <c r="BQ29" s="94">
        <f>IF($A29="","",IFERROR(SUMPRODUCT(('Raw Data'!$B$2:$B$9999="Variant")*('Raw Data'!$A$2:$A$9999=$A29)*('Raw Data'!$C$2:$C$9999=$C$3)*'Raw Data'!$D$2:$D$9999*'Raw Data'!$Y$2:$Y$9999)/SUMIFS('Raw Data'!$D:$D, 'Raw Data'!$B:$B, "Variant", 'Raw Data'!$A:$A, $A29, 'Raw Data'!$C:$C, $C$3),""))</f>
        <v>504</v>
      </c>
      <c r="BR29" s="95">
        <f t="shared" si="23"/>
        <v>-0.04364326376</v>
      </c>
      <c r="BS29" s="94">
        <f>IF($A29="","",IFERROR(SUMPRODUCT(('Raw Data'!$B$2:$B$9999="Control")*('Raw Data'!$A$2:$A$9999=$A29)*('Raw Data'!$C$2:$C$9999=$C$3)*'Raw Data'!$D$2:$D$9999*'Raw Data'!$Z$2:$Z$9999)/SUMIFS('Raw Data'!$D:$D, 'Raw Data'!$B:$B, "Control", 'Raw Data'!$A:$A, $A29, 'Raw Data'!$C:$C, $C$3),""))</f>
        <v>2137</v>
      </c>
      <c r="BT29" s="94">
        <f>IF($A29="","",IFERROR(SUMPRODUCT(('Raw Data'!$B$2:$B$9999="Variant")*('Raw Data'!$A$2:$A$9999=$A29)*('Raw Data'!$C$2:$C$9999=$C$3)*'Raw Data'!$D$2:$D$9999*'Raw Data'!$Z$2:$Z$9999)/SUMIFS('Raw Data'!$D:$D, 'Raw Data'!$B:$B, "Variant", 'Raw Data'!$A:$A, $A29, 'Raw Data'!$C:$C, $C$3),""))</f>
        <v>2047</v>
      </c>
      <c r="BU29" s="95">
        <f t="shared" si="24"/>
        <v>-0.04211511465</v>
      </c>
      <c r="BV29" s="94">
        <f>IF($A29="","",IFERROR(SUMPRODUCT(('Raw Data'!$B$2:$B$9999="Control")*('Raw Data'!$A$2:$A$9999=$A29)*('Raw Data'!$C$2:$C$9999=$C$3)*'Raw Data'!$D$2:$D$9999*'Raw Data'!$AA$2:$AA$9999)/SUMIFS('Raw Data'!$D:$D, 'Raw Data'!$B:$B, "Control", 'Raw Data'!$A:$A, $A29, 'Raw Data'!$C:$C, $C$3),""))</f>
        <v>7244</v>
      </c>
      <c r="BW29" s="94">
        <f>IF($A29="","",IFERROR(SUMPRODUCT(('Raw Data'!$B$2:$B$9999="Variant")*('Raw Data'!$A$2:$A$9999=$A29)*('Raw Data'!$C$2:$C$9999=$C$3)*'Raw Data'!$D$2:$D$9999*'Raw Data'!$AA$2:$AA$9999)/SUMIFS('Raw Data'!$D:$D, 'Raw Data'!$B:$B, "Variant", 'Raw Data'!$A:$A, $A29, 'Raw Data'!$C:$C, $C$3),""))</f>
        <v>9072</v>
      </c>
      <c r="BX29" s="95">
        <f t="shared" si="25"/>
        <v>0.2523467697</v>
      </c>
      <c r="BY29" s="101">
        <f>IF($A29="","",IFERROR(SUMPRODUCT(('Raw Data'!$B$2:$B$9999="Control")*('Raw Data'!$A$2:$A$9999=$A29)*('Raw Data'!$C$2:$C$9999=$C$3)*'Raw Data'!$D$2:$D$9999*'Raw Data'!$AB$2:$AB$9999)/SUMIFS('Raw Data'!$D:$D, 'Raw Data'!$B:$B, "Control", 'Raw Data'!$A:$A, $A29, 'Raw Data'!$C:$C, $C$3),""))</f>
        <v>62.5877</v>
      </c>
      <c r="BZ29" s="101">
        <f>IF($A29="","",IFERROR(SUMPRODUCT(('Raw Data'!$B$2:$B$9999="Variant")*('Raw Data'!$A$2:$A$9999=$A29)*('Raw Data'!$C$2:$C$9999=$C$3)*'Raw Data'!$D$2:$D$9999*'Raw Data'!$AB$2:$AB$9999)/SUMIFS('Raw Data'!$D:$D, 'Raw Data'!$B:$B, "Variant", 'Raw Data'!$A:$A, $A29, 'Raw Data'!$C:$C, $C$3),""))</f>
        <v>62.8493</v>
      </c>
      <c r="CA29" s="105">
        <f t="shared" si="26"/>
        <v>0.004179734996</v>
      </c>
      <c r="CB29" s="101">
        <f>IF($A29="","",IFERROR(SUMPRODUCT(('Raw Data'!$B$2:$B$9999="Control")*('Raw Data'!$A$2:$A$9999=$A29)*('Raw Data'!$C$2:$C$9999=$C$3)*'Raw Data'!$D$2:$D$9999*'Raw Data'!$AC$2:$AC$9999)/SUMIFS('Raw Data'!$D:$D, 'Raw Data'!$B:$B, "Control", 'Raw Data'!$A:$A, $A29, 'Raw Data'!$C:$C, $C$3),""))</f>
        <v>0.8887</v>
      </c>
      <c r="CC29" s="101">
        <f>IF($A29="","",IFERROR(SUMPRODUCT(('Raw Data'!$B$2:$B$9999="Variant")*('Raw Data'!$A$2:$A$9999=$A29)*('Raw Data'!$C$2:$C$9999=$C$3)*'Raw Data'!$D$2:$D$9999*'Raw Data'!$AC$2:$AC$9999)/SUMIFS('Raw Data'!$D:$D, 'Raw Data'!$B:$B, "Variant", 'Raw Data'!$A:$A, $A29, 'Raw Data'!$C:$C, $C$3),""))</f>
        <v>0.907</v>
      </c>
      <c r="CD29" s="105">
        <f t="shared" si="27"/>
        <v>0.02059187577</v>
      </c>
      <c r="CE29" s="101">
        <f>IF($A29="","",IFERROR(SUMPRODUCT(('Raw Data'!$B$2:$B$9999="Control")*('Raw Data'!$A$2:$A$9999=$A29)*('Raw Data'!$C$2:$C$9999=$C$3)*'Raw Data'!$D$2:$D$9999*'Raw Data'!$AD$2:$AD$9999)/SUMIFS('Raw Data'!$D:$D, 'Raw Data'!$B:$B, "Control", 'Raw Data'!$A:$A, $A29, 'Raw Data'!$C:$C, $C$3),""))</f>
        <v>86.07</v>
      </c>
      <c r="CF29" s="101">
        <f>IF($A29="","",IFERROR(SUMPRODUCT(('Raw Data'!$B$2:$B$9999="Variant")*('Raw Data'!$A$2:$A$9999=$A29)*('Raw Data'!$C$2:$C$9999=$C$3)*'Raw Data'!$D$2:$D$9999*'Raw Data'!$AD$2:$AD$9999)/SUMIFS('Raw Data'!$D:$D, 'Raw Data'!$B:$B, "Variant", 'Raw Data'!$A:$A, $A29, 'Raw Data'!$C:$C, $C$3),""))</f>
        <v>91.22</v>
      </c>
      <c r="CG29" s="105">
        <f t="shared" si="28"/>
        <v>0.05983501801</v>
      </c>
      <c r="CH29" s="101">
        <f>IF($A29="","",IFERROR(SUMPRODUCT(('Raw Data'!$B$2:$B$9999="Control")*('Raw Data'!$A$2:$A$9999=$A29)*('Raw Data'!$C$2:$C$9999=$C$3)*'Raw Data'!$D$2:$D$9999*'Raw Data'!$AE$2:$AE$9999)/SUMIFS('Raw Data'!$D:$D, 'Raw Data'!$B:$B, "Control", 'Raw Data'!$A:$A, $A29, 'Raw Data'!$C:$C, $C$3),""))</f>
        <v>34</v>
      </c>
      <c r="CI29" s="101">
        <f>IF($A29="","",IFERROR(SUMPRODUCT(('Raw Data'!$B$2:$B$9999="Variant")*('Raw Data'!$A$2:$A$9999=$A29)*('Raw Data'!$C$2:$C$9999=$C$3)*'Raw Data'!$D$2:$D$9999*'Raw Data'!$AE$2:$AE$9999)/SUMIFS('Raw Data'!$D:$D, 'Raw Data'!$B:$B, "Variant", 'Raw Data'!$A:$A, $A29, 'Raw Data'!$C:$C, $C$3),""))</f>
        <v>39</v>
      </c>
      <c r="CJ29" s="105">
        <f t="shared" si="29"/>
        <v>0.1470588235</v>
      </c>
      <c r="CK29" s="101">
        <f>IF($A29="","",IFERROR(SUMPRODUCT(('Raw Data'!$B$2:$B$9999="Control")*('Raw Data'!$A$2:$A$9999=$A29)*('Raw Data'!$C$2:$C$9999=$C$3)*'Raw Data'!$D$2:$D$9999*'Raw Data'!$AF$2:$AF$9999)/SUMIFS('Raw Data'!$D:$D, 'Raw Data'!$B:$B, "Control", 'Raw Data'!$A:$A, $A29, 'Raw Data'!$C:$C, $C$3),""))</f>
        <v>72</v>
      </c>
      <c r="CL29" s="101">
        <f>IF($A29="","",IFERROR(SUMPRODUCT(('Raw Data'!$B$2:$B$9999="Variant")*('Raw Data'!$A$2:$A$9999=$A29)*('Raw Data'!$C$2:$C$9999=$C$3)*'Raw Data'!$D$2:$D$9999*'Raw Data'!$AF$2:$AF$9999)/SUMIFS('Raw Data'!$D:$D, 'Raw Data'!$B:$B, "Variant", 'Raw Data'!$A:$A, $A29, 'Raw Data'!$C:$C, $C$3),""))</f>
        <v>82</v>
      </c>
      <c r="CM29" s="105">
        <f t="shared" si="30"/>
        <v>0.1388888889</v>
      </c>
      <c r="CN29" s="101">
        <f>IF($A29="","",IFERROR(SUMPRODUCT(('Raw Data'!$B$2:$B$9999="Control")*('Raw Data'!$A$2:$A$9999=$A29)*('Raw Data'!$C$2:$C$9999=$C$3)*'Raw Data'!$D$2:$D$9999*'Raw Data'!$AG$2:$AG$9999)/SUMIFS('Raw Data'!$D:$D, 'Raw Data'!$B:$B, "Control", 'Raw Data'!$A:$A, $A29, 'Raw Data'!$C:$C, $C$3),""))</f>
        <v>125</v>
      </c>
      <c r="CO29" s="101">
        <f>IF($A29="","",IFERROR(SUMPRODUCT(('Raw Data'!$B$2:$B$9999="Variant")*('Raw Data'!$A$2:$A$9999=$A29)*('Raw Data'!$C$2:$C$9999=$C$3)*'Raw Data'!$D$2:$D$9999*'Raw Data'!$AG$2:$AG$9999)/SUMIFS('Raw Data'!$D:$D, 'Raw Data'!$B:$B, "Variant", 'Raw Data'!$A:$A, $A29, 'Raw Data'!$C:$C, $C$3),""))</f>
        <v>129</v>
      </c>
      <c r="CP29" s="105">
        <f t="shared" si="31"/>
        <v>0.032</v>
      </c>
      <c r="CQ29" s="101">
        <f>IF($A29="","",IFERROR(SUMPRODUCT(('Raw Data'!$B$2:$B$9999="Control")*('Raw Data'!$A$2:$A$9999=$A29)*('Raw Data'!$C$2:$C$9999=$C$3)*'Raw Data'!$D$2:$D$9999*'Raw Data'!$AH$2:$AH$9999)/SUMIFS('Raw Data'!$D:$D, 'Raw Data'!$B:$B, "Control", 'Raw Data'!$A:$A, $A29, 'Raw Data'!$C:$C, $C$3),""))</f>
        <v>170</v>
      </c>
      <c r="CR29" s="101">
        <f>IF($A29="","",IFERROR(SUMPRODUCT(('Raw Data'!$B$2:$B$9999="Variant")*('Raw Data'!$A$2:$A$9999=$A29)*('Raw Data'!$C$2:$C$9999=$C$3)*'Raw Data'!$D$2:$D$9999*'Raw Data'!$AH$2:$AH$9999)/SUMIFS('Raw Data'!$D:$D, 'Raw Data'!$B:$B, "Variant", 'Raw Data'!$A:$A, $A29, 'Raw Data'!$C:$C, $C$3),""))</f>
        <v>180</v>
      </c>
      <c r="CS29" s="105">
        <f t="shared" si="32"/>
        <v>0.05882352941</v>
      </c>
      <c r="CT29" s="96">
        <f>IF($A29="","",IFERROR(SUMPRODUCT(('Raw Data'!$B$2:$B$9999="Control")*('Raw Data'!$A$2:$A$9999=$A29)*('Raw Data'!$C$2:$C$9999=$C$3)*'Raw Data'!$D$2:$D$9999*'Raw Data'!$AI$2:$AI$9999)/SUMIFS('Raw Data'!$D:$D, 'Raw Data'!$B:$B, "Control", 'Raw Data'!$A:$A, $A29, 'Raw Data'!$C:$C, $C$3),""))</f>
        <v>45.4</v>
      </c>
      <c r="CU29" s="96">
        <f>IF($A29="","",IFERROR(SUMPRODUCT(('Raw Data'!$B$2:$B$9999="Variant")*('Raw Data'!$A$2:$A$9999=$A29)*('Raw Data'!$C$2:$C$9999=$C$3)*'Raw Data'!$D$2:$D$9999*'Raw Data'!$AI$2:$AI$9999)/SUMIFS('Raw Data'!$D:$D, 'Raw Data'!$B:$B, "Variant", 'Raw Data'!$A:$A, $A29, 'Raw Data'!$C:$C, $C$3),""))</f>
        <v>51.26</v>
      </c>
      <c r="CV29" s="106">
        <f t="shared" si="33"/>
        <v>0.1290748899</v>
      </c>
      <c r="CW29" s="96">
        <f>IF($A29="","",IFERROR(SUMPRODUCT(('Raw Data'!$B$2:$B$9999="Control")*('Raw Data'!$A$2:$A$9999=$A29)*('Raw Data'!$C$2:$C$9999=$C$3)*'Raw Data'!$D$2:$D$9999*'Raw Data'!$AJ$2:$AJ$9999)/SUMIFS('Raw Data'!$D:$D, 'Raw Data'!$B:$B, "Control", 'Raw Data'!$A:$A, $A29, 'Raw Data'!$C:$C, $C$3),""))</f>
        <v>9.21</v>
      </c>
      <c r="CX29" s="96">
        <f>IF($A29="","",IFERROR(SUMPRODUCT(('Raw Data'!$B$2:$B$9999="Variant")*('Raw Data'!$A$2:$A$9999=$A29)*('Raw Data'!$C$2:$C$9999=$C$3)*'Raw Data'!$D$2:$D$9999*'Raw Data'!$AJ$2:$AJ$9999)/SUMIFS('Raw Data'!$D:$D, 'Raw Data'!$B:$B, "Variant", 'Raw Data'!$A:$A, $A29, 'Raw Data'!$C:$C, $C$3),""))</f>
        <v>11.55</v>
      </c>
      <c r="CY29" s="106">
        <f t="shared" si="34"/>
        <v>0.2540716612</v>
      </c>
      <c r="CZ29" s="96">
        <f>IF($A29="","",IFERROR(SUMPRODUCT(('Raw Data'!$B$2:$B$9999="Control")*('Raw Data'!$A$2:$A$9999=$A29)*('Raw Data'!$C$2:$C$9999=$C$3)*'Raw Data'!$D$2:$D$9999*'Raw Data'!$AK$2:$AK$9999)/SUMIFS('Raw Data'!$D:$D, 'Raw Data'!$B:$B, "Control", 'Raw Data'!$A:$A, $A29, 'Raw Data'!$C:$C, $C$3),""))</f>
        <v>1.46</v>
      </c>
      <c r="DA29" s="96">
        <f>IF($A29="","",IFERROR(SUMPRODUCT(('Raw Data'!$B$2:$B$9999="Variant")*('Raw Data'!$A$2:$A$9999=$A29)*('Raw Data'!$C$2:$C$9999=$C$3)*'Raw Data'!$D$2:$D$9999*'Raw Data'!$AK$2:$AK$9999)/SUMIFS('Raw Data'!$D:$D, 'Raw Data'!$B:$B, "Variant", 'Raw Data'!$A:$A, $A29, 'Raw Data'!$C:$C, $C$3),""))</f>
        <v>1.62</v>
      </c>
      <c r="DB29" s="105">
        <f t="shared" si="35"/>
        <v>0.1095890411</v>
      </c>
      <c r="DC29" s="102">
        <f>IF($A29="","",IFERROR(SUMPRODUCT(('Raw Data'!$B$2:$B$9999="Control")*('Raw Data'!$A$2:$A$9999=$A29)*('Raw Data'!$C$2:$C$9999=$C$3)*'Raw Data'!$D$2:$D$9999*'Raw Data'!$AL$2:$AL$9999)/SUMIFS('Raw Data'!$D:$D, 'Raw Data'!$B:$B, "Control", 'Raw Data'!$A:$A, $A29, 'Raw Data'!$C:$C, $C$3),""))</f>
        <v>0.0795</v>
      </c>
      <c r="DD29" s="102">
        <f>IF($A29="","",IFERROR(SUMPRODUCT(('Raw Data'!$B$2:$B$9999="Variant")*('Raw Data'!$A$2:$A$9999=$A29)*('Raw Data'!$C$2:$C$9999=$C$3)*'Raw Data'!$D$2:$D$9999*'Raw Data'!$AL$2:$AL$9999)/SUMIFS('Raw Data'!$D:$D, 'Raw Data'!$B:$B, "Variant", 'Raw Data'!$A:$A, $A29, 'Raw Data'!$C:$C, $C$3),""))</f>
        <v>0.0939</v>
      </c>
      <c r="DE29" s="106">
        <f t="shared" si="36"/>
        <v>0.1811320755</v>
      </c>
      <c r="DF29" s="103"/>
      <c r="DG29" s="96">
        <f>IF($A29="","",IFERROR(SUMPRODUCT(('Raw Data'!$B$2:$B$9999="Variant")*('Raw Data'!$A$2:$A$9999=$A29)*('Raw Data'!$C$2:$C$9999=$C$3)*'Raw Data'!$D$2:$D$9999*'Raw Data'!$AM$2:$AM$9999)/SUMIFS('Raw Data'!$D:$D, 'Raw Data'!$B:$B, "Variant", 'Raw Data'!$A:$A, $A29, 'Raw Data'!$C:$C, $C$3),""))</f>
        <v>84.84</v>
      </c>
      <c r="DH29" s="104"/>
      <c r="DI29" s="103"/>
      <c r="DJ29" s="96">
        <f>IF($A29="","",IFERROR(SUMPRODUCT(('Raw Data'!$B$2:$B$9999="Variant")*('Raw Data'!$A$2:$A$9999=$A29)*('Raw Data'!$C$2:$C$9999=$C$3)*'Raw Data'!$D$2:$D$9999*'Raw Data'!$AN$2:$AN$9999)/SUMIFS('Raw Data'!$D:$D, 'Raw Data'!$B:$B, "Variant", 'Raw Data'!$A:$A, $A29, 'Raw Data'!$C:$C, $C$3),""))</f>
        <v>84.84</v>
      </c>
      <c r="DK29" s="104"/>
      <c r="DL29" s="103"/>
      <c r="DM29" s="96">
        <f>IF($A29="","",IFERROR(SUMPRODUCT(('Raw Data'!$B$2:$B$9999="Variant")*('Raw Data'!$A$2:$A$9999=$A29)*('Raw Data'!$C$2:$C$9999=$C$3)*'Raw Data'!$D$2:$D$9999*'Raw Data'!$AO$2:$AO$9999)/SUMIFS('Raw Data'!$D:$D, 'Raw Data'!$B:$B, "Variant", 'Raw Data'!$A:$A, $A29, 'Raw Data'!$C:$C, $C$3),""))</f>
        <v>68.41</v>
      </c>
      <c r="DN29" s="104"/>
      <c r="DO29" s="103"/>
      <c r="DP29" s="96">
        <f>IF($A29="","",IFERROR(SUMPRODUCT(('Raw Data'!$B$2:$B$9999="Variant")*('Raw Data'!$A$2:$A$9999=$A29)*('Raw Data'!$C$2:$C$9999=$C$3)*'Raw Data'!$D$2:$D$9999*'Raw Data'!$AP$2:$AP$9999)/SUMIFS('Raw Data'!$D:$D, 'Raw Data'!$B:$B, "Variant", 'Raw Data'!$A:$A, $A29, 'Raw Data'!$C:$C, $C$3),""))</f>
        <v>57.04</v>
      </c>
      <c r="DQ29" s="104"/>
      <c r="DR29" s="102">
        <f>IF($A29="","",IFERROR(SUMPRODUCT(('Raw Data'!$B$2:$B$9999="Control")*('Raw Data'!$A$2:$A$9999=$A29)*('Raw Data'!$C$2:$C$9999=$C$3)*'Raw Data'!$D$2:$D$9999*'Raw Data'!$AQ$2:$AQ$9999)/SUMIFS('Raw Data'!$D:$D, 'Raw Data'!$B:$B, "Control", 'Raw Data'!$A:$A, $A29, 'Raw Data'!$C:$C, $C$3),""))</f>
        <v>39.2908</v>
      </c>
      <c r="DS29" s="102">
        <f>IF($A29="","",IFERROR(SUMPRODUCT(('Raw Data'!$B$2:$B$9999="Variant")*('Raw Data'!$A$2:$A$9999=$A29)*('Raw Data'!$C$2:$C$9999=$C$3)*'Raw Data'!$D$2:$D$9999*'Raw Data'!$AQ$2:$AQ$9999)/SUMIFS('Raw Data'!$D:$D, 'Raw Data'!$B:$B, "Variant", 'Raw Data'!$A:$A, $A29, 'Raw Data'!$C:$C, $C$3),""))</f>
        <v>41.5903</v>
      </c>
      <c r="DT29" s="109">
        <f t="shared" si="37"/>
        <v>0.05852515093</v>
      </c>
      <c r="DU29" s="102">
        <f>IF($A29="","",IFERROR(SUMPRODUCT(('Raw Data'!$B$2:$B$9999="Control")*('Raw Data'!$A$2:$A$9999=$A29)*('Raw Data'!$C$2:$C$9999=$C$3)*'Raw Data'!$D$2:$D$9999*'Raw Data'!$AR$2:$AR$9999)/SUMIFS('Raw Data'!$D:$D, 'Raw Data'!$B:$B, "Control", 'Raw Data'!$A:$A, $A29, 'Raw Data'!$C:$C, $C$3),""))</f>
        <v>5.5502</v>
      </c>
      <c r="DV29" s="102">
        <f>IF($A29="","",IFERROR(SUMPRODUCT(('Raw Data'!$B$2:$B$9999="Variant")*('Raw Data'!$A$2:$A$9999=$A29)*('Raw Data'!$C$2:$C$9999=$C$3)*'Raw Data'!$D$2:$D$9999*'Raw Data'!$AR$2:$AR$9999)/SUMIFS('Raw Data'!$D:$D, 'Raw Data'!$B:$B, "Variant", 'Raw Data'!$A:$A, $A29, 'Raw Data'!$C:$C, $C$3),""))</f>
        <v>4.9386</v>
      </c>
      <c r="DW29" s="109">
        <f t="shared" si="38"/>
        <v>-0.1101942272</v>
      </c>
      <c r="DX29" s="102">
        <f>IF($A29="","",IFERROR(SUMPRODUCT(('Raw Data'!$B$2:$B$9999="Control")*('Raw Data'!$A$2:$A$9999=$A29)*('Raw Data'!$C$2:$C$9999=$C$3)*'Raw Data'!$D$2:$D$9999*'Raw Data'!$AS$2:$AS$9999)/SUMIFS('Raw Data'!$D:$D, 'Raw Data'!$B:$B, "Control", 'Raw Data'!$A:$A, $A29, 'Raw Data'!$C:$C, $C$3),""))</f>
        <v>33.7406</v>
      </c>
      <c r="DY29" s="102">
        <f>IF($A29="","",IFERROR(SUMPRODUCT(('Raw Data'!$B$2:$B$9999="Variant")*('Raw Data'!$A$2:$A$9999=$A29)*('Raw Data'!$C$2:$C$9999=$C$3)*'Raw Data'!$D$2:$D$9999*'Raw Data'!$AS$2:$AS$9999)/SUMIFS('Raw Data'!$D:$D, 'Raw Data'!$B:$B, "Variant", 'Raw Data'!$A:$A, $A29, 'Raw Data'!$C:$C, $C$3),""))</f>
        <v>36.6516</v>
      </c>
      <c r="DZ29" s="110">
        <f t="shared" si="39"/>
        <v>0.08627588128</v>
      </c>
      <c r="EA29" s="102">
        <f>IF($A29="","",IFERROR(SUMPRODUCT(('Raw Data'!$B$2:$B$9999="Control")*('Raw Data'!$A$2:$A$9999=$A29)*('Raw Data'!$C$2:$C$9999=$C$3)*'Raw Data'!$D$2:$D$9999*'Raw Data'!$AT$2:$AT$9999)/SUMIFS('Raw Data'!$D:$D, 'Raw Data'!$B:$B, "Control", 'Raw Data'!$A:$A, $A29, 'Raw Data'!$C:$C, $C$3),""))</f>
        <v>35.6151</v>
      </c>
      <c r="EB29" s="102">
        <f>IF($A29="","",IFERROR(SUMPRODUCT(('Raw Data'!$B$2:$B$9999="Variant")*('Raw Data'!$A$2:$A$9999=$A29)*('Raw Data'!$C$2:$C$9999=$C$3)*'Raw Data'!$D$2:$D$9999*'Raw Data'!$AT$2:$AT$9999)/SUMIFS('Raw Data'!$D:$D, 'Raw Data'!$B:$B, "Variant", 'Raw Data'!$A:$A, $A29, 'Raw Data'!$C:$C, $C$3),""))</f>
        <v>36.861</v>
      </c>
      <c r="EC29" s="109">
        <f t="shared" si="40"/>
        <v>0.03498235299</v>
      </c>
      <c r="ED29" s="102">
        <f>IF($A29="","",IFERROR(SUMPRODUCT(('Raw Data'!$B$2:$B$9999="Control")*('Raw Data'!$A$2:$A$9999=$A29)*('Raw Data'!$C$2:$C$9999=$C$3)*'Raw Data'!$D$2:$D$9999*('Raw Data'!$AQ$2:$AQ$9999-'Raw Data'!$AT$2:$AT$9999))/SUMIFS('Raw Data'!$D:$D, 'Raw Data'!$B:$B, "Control", 'Raw Data'!$A:$A, $A29, 'Raw Data'!$C:$C, $C$3),""))</f>
        <v>3.6757</v>
      </c>
      <c r="EE29" s="102">
        <f>IF($A29="","",IFERROR(SUMPRODUCT(('Raw Data'!$B$2:$B$9999="Variant")*('Raw Data'!$A$2:$A$9999=$A29)*('Raw Data'!$C$2:$C$9999=$C$3)*'Raw Data'!$D$2:$D$9999*('Raw Data'!$AQ$2:$AQ$9999-'Raw Data'!$AT$2:$AT$9999))/SUMIFS('Raw Data'!$D:$D, 'Raw Data'!$B:$B, "Variant", 'Raw Data'!$A:$A, $A29, 'Raw Data'!$C:$C, $C$3),""))</f>
        <v>4.7293</v>
      </c>
      <c r="EF29" s="110">
        <f t="shared" si="41"/>
        <v>0.2866392796</v>
      </c>
      <c r="EG29" s="102">
        <f>IF($A29="","",IFERROR(SUMPRODUCT(('Raw Data'!$B$2:$B$9999="Control")*('Raw Data'!$A$2:$A$9999=$A29)*('Raw Data'!$C$2:$C$9999=$C$3)*'Raw Data'!$D$2:$D$9999*'Raw Data'!$AU$2:$AU$9999)/SUMIFS('Raw Data'!$D:$D, 'Raw Data'!$B:$B, "Control", 'Raw Data'!$A:$A, $A29, 'Raw Data'!$C:$C, $C$3),""))</f>
        <v>0.2437</v>
      </c>
      <c r="EH29" s="102">
        <f>IF($A29="","",IFERROR(SUMPRODUCT(('Raw Data'!$B$2:$B$9999="Variant")*('Raw Data'!$A$2:$A$9999=$A29)*('Raw Data'!$C$2:$C$9999=$C$3)*'Raw Data'!$D$2:$D$9999*'Raw Data'!$AU$2:$AU$9999)/SUMIFS('Raw Data'!$D:$D, 'Raw Data'!$B:$B, "Variant", 'Raw Data'!$A:$A, $A29, 'Raw Data'!$C:$C, $C$3),""))</f>
        <v>0.2461</v>
      </c>
      <c r="EI29" s="109">
        <f t="shared" si="42"/>
        <v>0.009848173984</v>
      </c>
    </row>
    <row r="30" ht="15.75" customHeight="1">
      <c r="A30" s="93">
        <v>46198.0</v>
      </c>
      <c r="B30" s="94">
        <f>IF($A30="","",SUMIFS('Raw Data'!$D:$D, 'Raw Data'!$B:$B, "Control", 'Raw Data'!$A:$A, $A30, 'Raw Data'!$C:$C, $C$3))</f>
        <v>481</v>
      </c>
      <c r="C30" s="94">
        <f>IF($A30="","",SUMIFS('Raw Data'!$D:$D, 'Raw Data'!$B:$B, "Variant", 'Raw Data'!$A:$A, $A30, 'Raw Data'!$C:$C, $C$3))</f>
        <v>546</v>
      </c>
      <c r="D30" s="95">
        <f t="shared" si="1"/>
        <v>0.1351351351</v>
      </c>
      <c r="E30" s="96">
        <f>IF($A30="","",IFERROR(SUMPRODUCT(('Raw Data'!$B$2:$B$9999="Control")*('Raw Data'!$A$2:$A$9999=$A30)*('Raw Data'!$C$2:$C$9999=$C$3)*'Raw Data'!$D$2:$D$9999*'Raw Data'!$E$2:$E$9999)/SUMIFS('Raw Data'!$D:$D, 'Raw Data'!$B:$B, "Control", 'Raw Data'!$A:$A, $A30, 'Raw Data'!$C:$C, $C$3),""))</f>
        <v>0.6</v>
      </c>
      <c r="F30" s="96">
        <f>IF($A30="","",IFERROR(SUMPRODUCT(('Raw Data'!$B$2:$B$9999="Variant")*('Raw Data'!$A$2:$A$9999=$A30)*('Raw Data'!$C$2:$C$9999=$C$3)*'Raw Data'!$D$2:$D$9999*'Raw Data'!$E$2:$E$9999)/SUMIFS('Raw Data'!$D:$D, 'Raw Data'!$B:$B, "Variant", 'Raw Data'!$A:$A, $A30, 'Raw Data'!$C:$C, $C$3),""))</f>
        <v>0.68</v>
      </c>
      <c r="G30" s="95">
        <f t="shared" si="2"/>
        <v>0.1333333333</v>
      </c>
      <c r="H30" s="97">
        <f>IF($A30="","",SUMIFS('Raw Data'!$F:$F, 'Raw Data'!$B:$B, "Control", 'Raw Data'!$A:$A, $A30, 'Raw Data'!$C:$C, $C$3))</f>
        <v>1466.13</v>
      </c>
      <c r="I30" s="97">
        <f>IF($A30="","",SUMIFS('Raw Data'!$F:$F, 'Raw Data'!$B:$B, "Variant", 'Raw Data'!$A:$A, $A30, 'Raw Data'!$C:$C, $C$3))</f>
        <v>1695.48</v>
      </c>
      <c r="J30" s="105">
        <f t="shared" si="3"/>
        <v>0.15643224</v>
      </c>
      <c r="K30" s="99">
        <f>IF($A30="","",IFERROR(SUMIFS('Raw Data'!$F:$F, 'Raw Data'!$B:$B, "Control", 'Raw Data'!$A:$A, $A30, 'Raw Data'!$C:$C, $C$3)/SUMIFS('Raw Data'!$D:$D, 'Raw Data'!$B:$B, "Control", 'Raw Data'!$A:$A, $A30, 'Raw Data'!$C:$C, $C$3),""))</f>
        <v>3.048087318</v>
      </c>
      <c r="L30" s="99">
        <f>IF($A30="","",IFERROR(SUMIFS('Raw Data'!$F:$F, 'Raw Data'!$B:$B, "Variant", 'Raw Data'!$A:$A, $A30, 'Raw Data'!$C:$C, $C$3)/SUMIFS('Raw Data'!$D:$D, 'Raw Data'!$B:$B, "Variant", 'Raw Data'!$A:$A, $A30, 'Raw Data'!$C:$C, $C$3),""))</f>
        <v>3.105274725</v>
      </c>
      <c r="M30" s="105">
        <f t="shared" si="4"/>
        <v>0.01876173522</v>
      </c>
      <c r="N30" s="96">
        <f>IF($A30="","",IFERROR(SUMPRODUCT(('Raw Data'!$B$2:$B$9999="Control")*('Raw Data'!$A$2:$A$9999=$A30)*('Raw Data'!$C$2:$C$9999=$C$3)*'Raw Data'!$D$2:$D$9999*'Raw Data'!$H$2:$H$9999/100)/SUMIFS('Raw Data'!$D:$D, 'Raw Data'!$B:$B, "Control", 'Raw Data'!$A:$A, $A30, 'Raw Data'!$C:$C, $C$3)*100,""))</f>
        <v>13.72</v>
      </c>
      <c r="O30" s="96">
        <f>IF($A30="","",IFERROR(SUMPRODUCT(('Raw Data'!$B$2:$B$9999="Variant")*('Raw Data'!$A$2:$A$9999=$A30)*('Raw Data'!$C$2:$C$9999=$C$3)*'Raw Data'!$D$2:$D$9999*'Raw Data'!$H$2:$H$9999/100)/SUMIFS('Raw Data'!$D:$D, 'Raw Data'!$B:$B, "Variant", 'Raw Data'!$A:$A, $A30, 'Raw Data'!$C:$C, $C$3)*100,""))</f>
        <v>17.22</v>
      </c>
      <c r="P30" s="105">
        <f t="shared" si="5"/>
        <v>0.2551020408</v>
      </c>
      <c r="Q30" s="99">
        <f>IF($A30="","",IFERROR(SUMIFS('Raw Data'!$F:$F, 'Raw Data'!$B:$B, "Control", 'Raw Data'!$A:$A, $A30, 'Raw Data'!$C:$C, $C$3)/SUMPRODUCT(('Raw Data'!$B$2:$B$9999="Control")*('Raw Data'!$A$2:$A$9999=$A30)*('Raw Data'!$C$2:$C$9999=$C$3)*'Raw Data'!$D$2:$D$9999*'Raw Data'!$H$2:$H$9999/100),""))</f>
        <v>22.21637987</v>
      </c>
      <c r="R30" s="99">
        <f>IF($A30="","",IFERROR(SUMIFS('Raw Data'!$F:$F, 'Raw Data'!$B:$B, "Variant", 'Raw Data'!$A:$A, $A30, 'Raw Data'!$C:$C, $C$3)/SUMPRODUCT(('Raw Data'!$B$2:$B$9999="Variant")*('Raw Data'!$A$2:$A$9999=$A30)*('Raw Data'!$C$2:$C$9999=$C$3)*'Raw Data'!$D$2:$D$9999*'Raw Data'!$H$2:$H$9999/100),""))</f>
        <v>18.03295427</v>
      </c>
      <c r="S30" s="105">
        <f t="shared" si="6"/>
        <v>-0.1883036581</v>
      </c>
      <c r="T30" s="101">
        <f>IF($A30="","",IFERROR(SUMPRODUCT(('Raw Data'!$B$2:$B$9999="Control")*('Raw Data'!$A$2:$A$9999=$A30)*('Raw Data'!$C$2:$C$9999=$C$3)*'Raw Data'!$D$2:$D$9999*'Raw Data'!$J$2:$J$9999)/SUMIFS('Raw Data'!$D:$D, 'Raw Data'!$B:$B, "Control", 'Raw Data'!$A:$A, $A30, 'Raw Data'!$C:$C, $C$3),""))</f>
        <v>235.25</v>
      </c>
      <c r="U30" s="101">
        <f>IF($A30="","",IFERROR(SUMPRODUCT(('Raw Data'!$B$2:$B$9999="Variant")*('Raw Data'!$A$2:$A$9999=$A30)*('Raw Data'!$C$2:$C$9999=$C$3)*'Raw Data'!$D$2:$D$9999*'Raw Data'!$J$2:$J$9999)/SUMIFS('Raw Data'!$D:$D, 'Raw Data'!$B:$B, "Variant", 'Raw Data'!$A:$A, $A30, 'Raw Data'!$C:$C, $C$3),""))</f>
        <v>226.31</v>
      </c>
      <c r="V30" s="105">
        <f t="shared" si="7"/>
        <v>-0.0380021254</v>
      </c>
      <c r="W30" s="101">
        <f>IF($A30="","",IFERROR(SUMPRODUCT(('Raw Data'!$B$2:$B$9999="Control")*('Raw Data'!$A$2:$A$9999=$A30)*('Raw Data'!$C$2:$C$9999=$C$3)*'Raw Data'!$D$2:$D$9999*'Raw Data'!$K$2:$K$9999)/SUMIFS('Raw Data'!$D:$D, 'Raw Data'!$B:$B, "Control", 'Raw Data'!$A:$A, $A30, 'Raw Data'!$C:$C, $C$3),""))</f>
        <v>142.99</v>
      </c>
      <c r="X30" s="101">
        <f>IF($A30="","",IFERROR(SUMPRODUCT(('Raw Data'!$B$2:$B$9999="Variant")*('Raw Data'!$A$2:$A$9999=$A30)*('Raw Data'!$C$2:$C$9999=$C$3)*'Raw Data'!$D$2:$D$9999*'Raw Data'!$K$2:$K$9999)/SUMIFS('Raw Data'!$D:$D, 'Raw Data'!$B:$B, "Variant", 'Raw Data'!$A:$A, $A30, 'Raw Data'!$C:$C, $C$3),""))</f>
        <v>141.11</v>
      </c>
      <c r="Y30" s="105">
        <f t="shared" si="8"/>
        <v>-0.01314777257</v>
      </c>
      <c r="Z30" s="101">
        <f>IF($A30="","",IFERROR(SUMPRODUCT(('Raw Data'!$B$2:$B$9999="Control")*('Raw Data'!$A$2:$A$9999=$A30)*('Raw Data'!$C$2:$C$9999=$C$3)*'Raw Data'!$D$2:$D$9999*'Raw Data'!$L$2:$L$9999)/SUMIFS('Raw Data'!$D:$D, 'Raw Data'!$B:$B, "Control", 'Raw Data'!$A:$A, $A30, 'Raw Data'!$C:$C, $C$3),""))</f>
        <v>120.84</v>
      </c>
      <c r="AA30" s="101">
        <f>IF($A30="","",IFERROR(SUMPRODUCT(('Raw Data'!$B$2:$B$9999="Variant")*('Raw Data'!$A$2:$A$9999=$A30)*('Raw Data'!$C$2:$C$9999=$C$3)*'Raw Data'!$D$2:$D$9999*'Raw Data'!$L$2:$L$9999)/SUMIFS('Raw Data'!$D:$D, 'Raw Data'!$B:$B, "Variant", 'Raw Data'!$A:$A, $A30, 'Raw Data'!$C:$C, $C$3),""))</f>
        <v>118.64</v>
      </c>
      <c r="AB30" s="105">
        <f t="shared" si="9"/>
        <v>-0.01820589209</v>
      </c>
      <c r="AC30" s="102">
        <f>IF($A30="","",IFERROR(SUMPRODUCT(('Raw Data'!$B$2:$B$9999="Control")*('Raw Data'!$A$2:$A$9999=$A30)*('Raw Data'!$C$2:$C$9999=$C$3)*'Raw Data'!$D$2:$D$9999*'Raw Data'!$M$2:$M$9999)/SUMIFS('Raw Data'!$D:$D, 'Raw Data'!$B:$B, "Control", 'Raw Data'!$A:$A, $A30, 'Raw Data'!$C:$C, $C$3),""))</f>
        <v>0.8451</v>
      </c>
      <c r="AD30" s="102">
        <f>IF($A30="","",IFERROR(SUMPRODUCT(('Raw Data'!$B$2:$B$9999="Variant")*('Raw Data'!$A$2:$A$9999=$A30)*('Raw Data'!$C$2:$C$9999=$C$3)*'Raw Data'!$D$2:$D$9999*'Raw Data'!$M$2:$M$9999)/SUMIFS('Raw Data'!$D:$D, 'Raw Data'!$B:$B, "Variant", 'Raw Data'!$A:$A, $A30, 'Raw Data'!$C:$C, $C$3),""))</f>
        <v>0.8407</v>
      </c>
      <c r="AE30" s="106">
        <f t="shared" si="10"/>
        <v>-0.00520648444</v>
      </c>
      <c r="AF30" s="102">
        <f>IF($A30="","",IFERROR(SUMPRODUCT(('Raw Data'!$B$2:$B$9999="Control")*('Raw Data'!$A$2:$A$9999=$A30)*('Raw Data'!$C$2:$C$9999=$C$3)*'Raw Data'!$D$2:$D$9999*'Raw Data'!$N$2:$N$9999)/SUMIFS('Raw Data'!$D:$D, 'Raw Data'!$B:$B, "Control", 'Raw Data'!$A:$A, $A30, 'Raw Data'!$C:$C, $C$3),""))</f>
        <v>0.2952</v>
      </c>
      <c r="AG30" s="102">
        <f>IF($A30="","",IFERROR(SUMPRODUCT(('Raw Data'!$B$2:$B$9999="Variant")*('Raw Data'!$A$2:$A$9999=$A30)*('Raw Data'!$C$2:$C$9999=$C$3)*'Raw Data'!$D$2:$D$9999*'Raw Data'!$N$2:$N$9999)/SUMIFS('Raw Data'!$D:$D, 'Raw Data'!$B:$B, "Variant", 'Raw Data'!$A:$A, $A30, 'Raw Data'!$C:$C, $C$3),""))</f>
        <v>0.2918</v>
      </c>
      <c r="AH30" s="106">
        <f t="shared" si="11"/>
        <v>-0.01151761518</v>
      </c>
      <c r="AI30" s="102">
        <f>IF($A30="","",IFERROR(SUMPRODUCT(('Raw Data'!$B$2:$B$9999="Control")*('Raw Data'!$A$2:$A$9999=$A30)*('Raw Data'!$C$2:$C$9999=$C$3)*'Raw Data'!$D$2:$D$9999*'Raw Data'!$O$2:$O$9999)/SUMIFS('Raw Data'!$D:$D, 'Raw Data'!$B:$B, "Control", 'Raw Data'!$A:$A, $A30, 'Raw Data'!$C:$C, $C$3),""))</f>
        <v>0.2074</v>
      </c>
      <c r="AJ30" s="102">
        <f>IF($A30="","",IFERROR(SUMPRODUCT(('Raw Data'!$B$2:$B$9999="Variant")*('Raw Data'!$A$2:$A$9999=$A30)*('Raw Data'!$C$2:$C$9999=$C$3)*'Raw Data'!$D$2:$D$9999*'Raw Data'!$O$2:$O$9999)/SUMIFS('Raw Data'!$D:$D, 'Raw Data'!$B:$B, "Variant", 'Raw Data'!$A:$A, $A30, 'Raw Data'!$C:$C, $C$3),""))</f>
        <v>0.2006</v>
      </c>
      <c r="AK30" s="105">
        <f t="shared" si="12"/>
        <v>-0.03278688525</v>
      </c>
      <c r="AL30" s="101">
        <f>IF($A30="","",IFERROR(SUMPRODUCT(('Raw Data'!$B$2:$B$9999="Control")*('Raw Data'!$A$2:$A$9999=$A30)*('Raw Data'!$C$2:$C$9999=$C$3)*'Raw Data'!$D$2:$D$9999*'Raw Data'!$P$2:$P$9999)/SUMIFS('Raw Data'!$D:$D, 'Raw Data'!$B:$B, "Control", 'Raw Data'!$A:$A, $A30, 'Raw Data'!$C:$C, $C$3),""))</f>
        <v>1.1833</v>
      </c>
      <c r="AM30" s="101">
        <f>IF($A30="","",IFERROR(SUMPRODUCT(('Raw Data'!$B$2:$B$9999="Variant")*('Raw Data'!$A$2:$A$9999=$A30)*('Raw Data'!$C$2:$C$9999=$C$3)*'Raw Data'!$D$2:$D$9999*'Raw Data'!$P$2:$P$9999)/SUMIFS('Raw Data'!$D:$D, 'Raw Data'!$B:$B, "Variant", 'Raw Data'!$A:$A, $A30, 'Raw Data'!$C:$C, $C$3),""))</f>
        <v>1.1894</v>
      </c>
      <c r="AN30" s="105">
        <f t="shared" si="13"/>
        <v>0.005155074791</v>
      </c>
      <c r="AO30" s="101">
        <f>IF($A30="","",IFERROR(SUMPRODUCT(('Raw Data'!$B$2:$B$9999="Control")*('Raw Data'!$A$2:$A$9999=$A30)*('Raw Data'!$C$2:$C$9999=$C$3)*'Raw Data'!$D$2:$D$9999*'Raw Data'!$Q$2:$Q$9999)/SUMIFS('Raw Data'!$D:$D, 'Raw Data'!$B:$B, "Control", 'Raw Data'!$A:$A, $A30, 'Raw Data'!$C:$C, $C$3),""))</f>
        <v>819.31</v>
      </c>
      <c r="AP30" s="101">
        <f>IF($A30="","",IFERROR(SUMPRODUCT(('Raw Data'!$B$2:$B$9999="Variant")*('Raw Data'!$A$2:$A$9999=$A30)*('Raw Data'!$C$2:$C$9999=$C$3)*'Raw Data'!$D$2:$D$9999*'Raw Data'!$Q$2:$Q$9999)/SUMIFS('Raw Data'!$D:$D, 'Raw Data'!$B:$B, "Variant", 'Raw Data'!$A:$A, $A30, 'Raw Data'!$C:$C, $C$3),""))</f>
        <v>771.42</v>
      </c>
      <c r="AQ30" s="95">
        <f t="shared" si="14"/>
        <v>-0.05845162393</v>
      </c>
      <c r="AR30" s="101">
        <f>IF($A30="","",IFERROR(SUMPRODUCT(('Raw Data'!$B$2:$B$9999="Control")*('Raw Data'!$A$2:$A$9999=$A30)*('Raw Data'!$C$2:$C$9999=$C$3)*'Raw Data'!$D$2:$D$9999*'Raw Data'!$R$2:$R$9999)/SUMIFS('Raw Data'!$D:$D, 'Raw Data'!$B:$B, "Control", 'Raw Data'!$A:$A, $A30, 'Raw Data'!$C:$C, $C$3),""))</f>
        <v>562.04</v>
      </c>
      <c r="AS30" s="101">
        <f>IF($A30="","",IFERROR(SUMPRODUCT(('Raw Data'!$B$2:$B$9999="Variant")*('Raw Data'!$A$2:$A$9999=$A30)*('Raw Data'!$C$2:$C$9999=$C$3)*'Raw Data'!$D$2:$D$9999*'Raw Data'!$R$2:$R$9999)/SUMIFS('Raw Data'!$D:$D, 'Raw Data'!$B:$B, "Variant", 'Raw Data'!$A:$A, $A30, 'Raw Data'!$C:$C, $C$3),""))</f>
        <v>680.78</v>
      </c>
      <c r="AT30" s="95">
        <f t="shared" si="15"/>
        <v>0.2112661021</v>
      </c>
      <c r="AU30" s="101">
        <f>IF($A30="","",IFERROR(SUMPRODUCT(('Raw Data'!$B$2:$B$9999="Control")*('Raw Data'!$A$2:$A$9999=$A30)*('Raw Data'!$C$2:$C$9999=$C$3)*'Raw Data'!$D$2:$D$9999*'Raw Data'!$S$2:$S$9999)/SUMIFS('Raw Data'!$D:$D, 'Raw Data'!$B:$B, "Control", 'Raw Data'!$A:$A, $A30, 'Raw Data'!$C:$C, $C$3),""))</f>
        <v>257.27</v>
      </c>
      <c r="AV30" s="101">
        <f>IF($A30="","",IFERROR(SUMPRODUCT(('Raw Data'!$B$2:$B$9999="Variant")*('Raw Data'!$A$2:$A$9999=$A30)*('Raw Data'!$C$2:$C$9999=$C$3)*'Raw Data'!$D$2:$D$9999*'Raw Data'!$S$2:$S$9999)/SUMIFS('Raw Data'!$D:$D, 'Raw Data'!$B:$B, "Variant", 'Raw Data'!$A:$A, $A30, 'Raw Data'!$C:$C, $C$3),""))</f>
        <v>90.63</v>
      </c>
      <c r="AW30" s="95">
        <f t="shared" si="16"/>
        <v>-0.6477241808</v>
      </c>
      <c r="AX30" s="101">
        <f>IF($A30="","",IFERROR(SUMPRODUCT(('Raw Data'!$B$2:$B$9999="Control")*('Raw Data'!$A$2:$A$9999=$A30)*('Raw Data'!$C$2:$C$9999=$C$3)*'Raw Data'!$D$2:$D$9999*'Raw Data'!$T$2:$T$9999)/SUMIFS('Raw Data'!$D:$D, 'Raw Data'!$B:$B, "Control", 'Raw Data'!$A:$A, $A30, 'Raw Data'!$C:$C, $C$3),""))</f>
        <v>193.35</v>
      </c>
      <c r="AY30" s="101">
        <f>IF($A30="","",IFERROR(SUMPRODUCT(('Raw Data'!$B$2:$B$9999="Variant")*('Raw Data'!$A$2:$A$9999=$A30)*('Raw Data'!$C$2:$C$9999=$C$3)*'Raw Data'!$D$2:$D$9999*'Raw Data'!$T$2:$T$9999)/SUMIFS('Raw Data'!$D:$D, 'Raw Data'!$B:$B, "Variant", 'Raw Data'!$A:$A, $A30, 'Raw Data'!$C:$C, $C$3),""))</f>
        <v>193.5</v>
      </c>
      <c r="AZ30" s="105">
        <f t="shared" si="17"/>
        <v>0.0007757951901</v>
      </c>
      <c r="BA30" s="101">
        <f>IF($A30="","",IFERROR(SUMPRODUCT(('Raw Data'!$B$2:$B$9999="Control")*('Raw Data'!$A$2:$A$9999=$A30)*('Raw Data'!$C$2:$C$9999=$C$3)*'Raw Data'!$D$2:$D$9999*'Raw Data'!$U$2:$U$9999)/SUMIFS('Raw Data'!$D:$D, 'Raw Data'!$B:$B, "Control", 'Raw Data'!$A:$A, $A30, 'Raw Data'!$C:$C, $C$3),""))</f>
        <v>625.96</v>
      </c>
      <c r="BB30" s="101">
        <f>IF($A30="","",IFERROR(SUMPRODUCT(('Raw Data'!$B$2:$B$9999="Variant")*('Raw Data'!$A$2:$A$9999=$A30)*('Raw Data'!$C$2:$C$9999=$C$3)*'Raw Data'!$D$2:$D$9999*'Raw Data'!$U$2:$U$9999)/SUMIFS('Raw Data'!$D:$D, 'Raw Data'!$B:$B, "Variant", 'Raw Data'!$A:$A, $A30, 'Raw Data'!$C:$C, $C$3),""))</f>
        <v>577.92</v>
      </c>
      <c r="BC30" s="95">
        <f t="shared" si="18"/>
        <v>-0.07674611796</v>
      </c>
      <c r="BD30" s="101">
        <f>IF($A30="","",IFERROR(SUMPRODUCT(('Raw Data'!$B$2:$B$9999="Control")*('Raw Data'!$A$2:$A$9999=$A30)*('Raw Data'!$C$2:$C$9999=$C$3)*'Raw Data'!$D$2:$D$9999*'Raw Data'!$V$2:$V$9999)/SUMIFS('Raw Data'!$D:$D, 'Raw Data'!$B:$B, "Control", 'Raw Data'!$A:$A, $A30, 'Raw Data'!$C:$C, $C$3),""))</f>
        <v>1029.52</v>
      </c>
      <c r="BE30" s="101">
        <f>IF($A30="","",IFERROR(SUMPRODUCT(('Raw Data'!$B$2:$B$9999="Variant")*('Raw Data'!$A$2:$A$9999=$A30)*('Raw Data'!$C$2:$C$9999=$C$3)*'Raw Data'!$D$2:$D$9999*'Raw Data'!$V$2:$V$9999)/SUMIFS('Raw Data'!$D:$D, 'Raw Data'!$B:$B, "Variant", 'Raw Data'!$A:$A, $A30, 'Raw Data'!$C:$C, $C$3),""))</f>
        <v>851.92</v>
      </c>
      <c r="BF30" s="95">
        <f t="shared" si="19"/>
        <v>-0.1725075763</v>
      </c>
      <c r="BG30" s="101">
        <f>IF($A30="","",IFERROR(SUMPRODUCT(('Raw Data'!$B$2:$B$9999="Control")*('Raw Data'!$A$2:$A$9999=$A30)*('Raw Data'!$C$2:$C$9999=$C$3)*'Raw Data'!$D$2:$D$9999*('Raw Data'!$Q$2:$Q$9999-'Raw Data'!$V$2:$V$9999))/SUMIFS('Raw Data'!$D:$D, 'Raw Data'!$B:$B, "Control", 'Raw Data'!$A:$A, $A30, 'Raw Data'!$C:$C, $C$3),""))</f>
        <v>-210.21</v>
      </c>
      <c r="BH30" s="101">
        <f>IF($A30="","",IFERROR(SUMPRODUCT(('Raw Data'!$B$2:$B$9999="Variant")*('Raw Data'!$A$2:$A$9999=$A30)*('Raw Data'!$C$2:$C$9999=$C$3)*'Raw Data'!$D$2:$D$9999*('Raw Data'!$Q$2:$Q$9999-'Raw Data'!$V$2:$V$9999))/SUMIFS('Raw Data'!$D:$D, 'Raw Data'!$B:$B, "Variant", 'Raw Data'!$A:$A, $A30, 'Raw Data'!$C:$C, $C$3),""))</f>
        <v>-80.5</v>
      </c>
      <c r="BI30" s="95">
        <f t="shared" si="20"/>
        <v>0.617049617</v>
      </c>
      <c r="BJ30" s="101">
        <f>IF($A30="","",IFERROR(SUMPRODUCT(('Raw Data'!$B$2:$B$9999="Control")*('Raw Data'!$A$2:$A$9999=$A30)*('Raw Data'!$C$2:$C$9999=$C$3)*'Raw Data'!$D$2:$D$9999*'Raw Data'!$W$2:$W$9999)/SUMIFS('Raw Data'!$D:$D, 'Raw Data'!$B:$B, "Control", 'Raw Data'!$A:$A, $A30, 'Raw Data'!$C:$C, $C$3),""))</f>
        <v>7.1998</v>
      </c>
      <c r="BK30" s="101">
        <f>IF($A30="","",IFERROR(SUMPRODUCT(('Raw Data'!$B$2:$B$9999="Variant")*('Raw Data'!$A$2:$A$9999=$A30)*('Raw Data'!$C$2:$C$9999=$C$3)*'Raw Data'!$D$2:$D$9999*'Raw Data'!$W$2:$W$9999)/SUMIFS('Raw Data'!$D:$D, 'Raw Data'!$B:$B, "Variant", 'Raw Data'!$A:$A, $A30, 'Raw Data'!$C:$C, $C$3),""))</f>
        <v>6.0372</v>
      </c>
      <c r="BL30" s="95">
        <f t="shared" si="21"/>
        <v>-0.1614767077</v>
      </c>
      <c r="BM30" s="102">
        <f>IF($A30="","",IFERROR(SUMPRODUCT(('Raw Data'!$B$2:$B$9999="Control")*('Raw Data'!$A$2:$A$9999=$A30)*('Raw Data'!$C$2:$C$9999=$C$3)*'Raw Data'!$D$2:$D$9999*'Raw Data'!$X$2:$X$9999)/SUMIFS('Raw Data'!$D:$D, 'Raw Data'!$B:$B, "Control", 'Raw Data'!$A:$A, $A30, 'Raw Data'!$C:$C, $C$3),""))</f>
        <v>23.6</v>
      </c>
      <c r="BN30" s="102">
        <f>IF($A30="","",IFERROR(SUMPRODUCT(('Raw Data'!$B$2:$B$9999="Variant")*('Raw Data'!$A$2:$A$9999=$A30)*('Raw Data'!$C$2:$C$9999=$C$3)*'Raw Data'!$D$2:$D$9999*'Raw Data'!$X$2:$X$9999)/SUMIFS('Raw Data'!$D:$D, 'Raw Data'!$B:$B, "Variant", 'Raw Data'!$A:$A, $A30, 'Raw Data'!$C:$C, $C$3),""))</f>
        <v>25.08</v>
      </c>
      <c r="BO30" s="105">
        <f t="shared" si="22"/>
        <v>0.06271186441</v>
      </c>
      <c r="BP30" s="94">
        <f>IF($A30="","",IFERROR(SUMPRODUCT(('Raw Data'!$B$2:$B$9999="Control")*('Raw Data'!$A$2:$A$9999=$A30)*('Raw Data'!$C$2:$C$9999=$C$3)*'Raw Data'!$D$2:$D$9999*'Raw Data'!$Y$2:$Y$9999)/SUMIFS('Raw Data'!$D:$D, 'Raw Data'!$B:$B, "Control", 'Raw Data'!$A:$A, $A30, 'Raw Data'!$C:$C, $C$3),""))</f>
        <v>373</v>
      </c>
      <c r="BQ30" s="94">
        <f>IF($A30="","",IFERROR(SUMPRODUCT(('Raw Data'!$B$2:$B$9999="Variant")*('Raw Data'!$A$2:$A$9999=$A30)*('Raw Data'!$C$2:$C$9999=$C$3)*'Raw Data'!$D$2:$D$9999*'Raw Data'!$Y$2:$Y$9999)/SUMIFS('Raw Data'!$D:$D, 'Raw Data'!$B:$B, "Variant", 'Raw Data'!$A:$A, $A30, 'Raw Data'!$C:$C, $C$3),""))</f>
        <v>360</v>
      </c>
      <c r="BR30" s="95">
        <f t="shared" si="23"/>
        <v>-0.03485254692</v>
      </c>
      <c r="BS30" s="94">
        <f>IF($A30="","",IFERROR(SUMPRODUCT(('Raw Data'!$B$2:$B$9999="Control")*('Raw Data'!$A$2:$A$9999=$A30)*('Raw Data'!$C$2:$C$9999=$C$3)*'Raw Data'!$D$2:$D$9999*'Raw Data'!$Z$2:$Z$9999)/SUMIFS('Raw Data'!$D:$D, 'Raw Data'!$B:$B, "Control", 'Raw Data'!$A:$A, $A30, 'Raw Data'!$C:$C, $C$3),""))</f>
        <v>1882</v>
      </c>
      <c r="BT30" s="94">
        <f>IF($A30="","",IFERROR(SUMPRODUCT(('Raw Data'!$B$2:$B$9999="Variant")*('Raw Data'!$A$2:$A$9999=$A30)*('Raw Data'!$C$2:$C$9999=$C$3)*'Raw Data'!$D$2:$D$9999*'Raw Data'!$Z$2:$Z$9999)/SUMIFS('Raw Data'!$D:$D, 'Raw Data'!$B:$B, "Variant", 'Raw Data'!$A:$A, $A30, 'Raw Data'!$C:$C, $C$3),""))</f>
        <v>1966</v>
      </c>
      <c r="BU30" s="95">
        <f t="shared" si="24"/>
        <v>0.04463336876</v>
      </c>
      <c r="BV30" s="94">
        <f>IF($A30="","",IFERROR(SUMPRODUCT(('Raw Data'!$B$2:$B$9999="Control")*('Raw Data'!$A$2:$A$9999=$A30)*('Raw Data'!$C$2:$C$9999=$C$3)*'Raw Data'!$D$2:$D$9999*'Raw Data'!$AA$2:$AA$9999)/SUMIFS('Raw Data'!$D:$D, 'Raw Data'!$B:$B, "Control", 'Raw Data'!$A:$A, $A30, 'Raw Data'!$C:$C, $C$3),""))</f>
        <v>7280</v>
      </c>
      <c r="BW30" s="94">
        <f>IF($A30="","",IFERROR(SUMPRODUCT(('Raw Data'!$B$2:$B$9999="Variant")*('Raw Data'!$A$2:$A$9999=$A30)*('Raw Data'!$C$2:$C$9999=$C$3)*'Raw Data'!$D$2:$D$9999*'Raw Data'!$AA$2:$AA$9999)/SUMIFS('Raw Data'!$D:$D, 'Raw Data'!$B:$B, "Variant", 'Raw Data'!$A:$A, $A30, 'Raw Data'!$C:$C, $C$3),""))</f>
        <v>9021</v>
      </c>
      <c r="BX30" s="95">
        <f t="shared" si="25"/>
        <v>0.2391483516</v>
      </c>
      <c r="BY30" s="101">
        <f>IF($A30="","",IFERROR(SUMPRODUCT(('Raw Data'!$B$2:$B$9999="Control")*('Raw Data'!$A$2:$A$9999=$A30)*('Raw Data'!$C$2:$C$9999=$C$3)*'Raw Data'!$D$2:$D$9999*'Raw Data'!$AB$2:$AB$9999)/SUMIFS('Raw Data'!$D:$D, 'Raw Data'!$B:$B, "Control", 'Raw Data'!$A:$A, $A30, 'Raw Data'!$C:$C, $C$3),""))</f>
        <v>62.8299</v>
      </c>
      <c r="BZ30" s="101">
        <f>IF($A30="","",IFERROR(SUMPRODUCT(('Raw Data'!$B$2:$B$9999="Variant")*('Raw Data'!$A$2:$A$9999=$A30)*('Raw Data'!$C$2:$C$9999=$C$3)*'Raw Data'!$D$2:$D$9999*'Raw Data'!$AB$2:$AB$9999)/SUMIFS('Raw Data'!$D:$D, 'Raw Data'!$B:$B, "Variant", 'Raw Data'!$A:$A, $A30, 'Raw Data'!$C:$C, $C$3),""))</f>
        <v>63.4384</v>
      </c>
      <c r="CA30" s="105">
        <f t="shared" si="26"/>
        <v>0.009684879333</v>
      </c>
      <c r="CB30" s="101">
        <f>IF($A30="","",IFERROR(SUMPRODUCT(('Raw Data'!$B$2:$B$9999="Control")*('Raw Data'!$A$2:$A$9999=$A30)*('Raw Data'!$C$2:$C$9999=$C$3)*'Raw Data'!$D$2:$D$9999*'Raw Data'!$AC$2:$AC$9999)/SUMIFS('Raw Data'!$D:$D, 'Raw Data'!$B:$B, "Control", 'Raw Data'!$A:$A, $A30, 'Raw Data'!$C:$C, $C$3),""))</f>
        <v>0.8675</v>
      </c>
      <c r="CC30" s="101">
        <f>IF($A30="","",IFERROR(SUMPRODUCT(('Raw Data'!$B$2:$B$9999="Variant")*('Raw Data'!$A$2:$A$9999=$A30)*('Raw Data'!$C$2:$C$9999=$C$3)*'Raw Data'!$D$2:$D$9999*'Raw Data'!$AC$2:$AC$9999)/SUMIFS('Raw Data'!$D:$D, 'Raw Data'!$B:$B, "Variant", 'Raw Data'!$A:$A, $A30, 'Raw Data'!$C:$C, $C$3),""))</f>
        <v>0.8862</v>
      </c>
      <c r="CD30" s="105">
        <f t="shared" si="27"/>
        <v>0.02155619597</v>
      </c>
      <c r="CE30" s="101">
        <f>IF($A30="","",IFERROR(SUMPRODUCT(('Raw Data'!$B$2:$B$9999="Control")*('Raw Data'!$A$2:$A$9999=$A30)*('Raw Data'!$C$2:$C$9999=$C$3)*'Raw Data'!$D$2:$D$9999*'Raw Data'!$AD$2:$AD$9999)/SUMIFS('Raw Data'!$D:$D, 'Raw Data'!$B:$B, "Control", 'Raw Data'!$A:$A, $A30, 'Raw Data'!$C:$C, $C$3),""))</f>
        <v>82.45</v>
      </c>
      <c r="CF30" s="101">
        <f>IF($A30="","",IFERROR(SUMPRODUCT(('Raw Data'!$B$2:$B$9999="Variant")*('Raw Data'!$A$2:$A$9999=$A30)*('Raw Data'!$C$2:$C$9999=$C$3)*'Raw Data'!$D$2:$D$9999*'Raw Data'!$AD$2:$AD$9999)/SUMIFS('Raw Data'!$D:$D, 'Raw Data'!$B:$B, "Variant", 'Raw Data'!$A:$A, $A30, 'Raw Data'!$C:$C, $C$3),""))</f>
        <v>83.2</v>
      </c>
      <c r="CG30" s="105">
        <f t="shared" si="28"/>
        <v>0.009096422074</v>
      </c>
      <c r="CH30" s="101">
        <f>IF($A30="","",IFERROR(SUMPRODUCT(('Raw Data'!$B$2:$B$9999="Control")*('Raw Data'!$A$2:$A$9999=$A30)*('Raw Data'!$C$2:$C$9999=$C$3)*'Raw Data'!$D$2:$D$9999*'Raw Data'!$AE$2:$AE$9999)/SUMIFS('Raw Data'!$D:$D, 'Raw Data'!$B:$B, "Control", 'Raw Data'!$A:$A, $A30, 'Raw Data'!$C:$C, $C$3),""))</f>
        <v>34</v>
      </c>
      <c r="CI30" s="101">
        <f>IF($A30="","",IFERROR(SUMPRODUCT(('Raw Data'!$B$2:$B$9999="Variant")*('Raw Data'!$A$2:$A$9999=$A30)*('Raw Data'!$C$2:$C$9999=$C$3)*'Raw Data'!$D$2:$D$9999*'Raw Data'!$AE$2:$AE$9999)/SUMIFS('Raw Data'!$D:$D, 'Raw Data'!$B:$B, "Variant", 'Raw Data'!$A:$A, $A30, 'Raw Data'!$C:$C, $C$3),""))</f>
        <v>34</v>
      </c>
      <c r="CJ30" s="105">
        <f t="shared" si="29"/>
        <v>0</v>
      </c>
      <c r="CK30" s="101">
        <f>IF($A30="","",IFERROR(SUMPRODUCT(('Raw Data'!$B$2:$B$9999="Control")*('Raw Data'!$A$2:$A$9999=$A30)*('Raw Data'!$C$2:$C$9999=$C$3)*'Raw Data'!$D$2:$D$9999*'Raw Data'!$AF$2:$AF$9999)/SUMIFS('Raw Data'!$D:$D, 'Raw Data'!$B:$B, "Control", 'Raw Data'!$A:$A, $A30, 'Raw Data'!$C:$C, $C$3),""))</f>
        <v>70</v>
      </c>
      <c r="CL30" s="101">
        <f>IF($A30="","",IFERROR(SUMPRODUCT(('Raw Data'!$B$2:$B$9999="Variant")*('Raw Data'!$A$2:$A$9999=$A30)*('Raw Data'!$C$2:$C$9999=$C$3)*'Raw Data'!$D$2:$D$9999*'Raw Data'!$AF$2:$AF$9999)/SUMIFS('Raw Data'!$D:$D, 'Raw Data'!$B:$B, "Variant", 'Raw Data'!$A:$A, $A30, 'Raw Data'!$C:$C, $C$3),""))</f>
        <v>72</v>
      </c>
      <c r="CM30" s="105">
        <f t="shared" si="30"/>
        <v>0.02857142857</v>
      </c>
      <c r="CN30" s="101">
        <f>IF($A30="","",IFERROR(SUMPRODUCT(('Raw Data'!$B$2:$B$9999="Control")*('Raw Data'!$A$2:$A$9999=$A30)*('Raw Data'!$C$2:$C$9999=$C$3)*'Raw Data'!$D$2:$D$9999*'Raw Data'!$AG$2:$AG$9999)/SUMIFS('Raw Data'!$D:$D, 'Raw Data'!$B:$B, "Control", 'Raw Data'!$A:$A, $A30, 'Raw Data'!$C:$C, $C$3),""))</f>
        <v>114</v>
      </c>
      <c r="CO30" s="101">
        <f>IF($A30="","",IFERROR(SUMPRODUCT(('Raw Data'!$B$2:$B$9999="Variant")*('Raw Data'!$A$2:$A$9999=$A30)*('Raw Data'!$C$2:$C$9999=$C$3)*'Raw Data'!$D$2:$D$9999*'Raw Data'!$AG$2:$AG$9999)/SUMIFS('Raw Data'!$D:$D, 'Raw Data'!$B:$B, "Variant", 'Raw Data'!$A:$A, $A30, 'Raw Data'!$C:$C, $C$3),""))</f>
        <v>112</v>
      </c>
      <c r="CP30" s="105">
        <f t="shared" si="31"/>
        <v>-0.01754385965</v>
      </c>
      <c r="CQ30" s="101">
        <f>IF($A30="","",IFERROR(SUMPRODUCT(('Raw Data'!$B$2:$B$9999="Control")*('Raw Data'!$A$2:$A$9999=$A30)*('Raw Data'!$C$2:$C$9999=$C$3)*'Raw Data'!$D$2:$D$9999*'Raw Data'!$AH$2:$AH$9999)/SUMIFS('Raw Data'!$D:$D, 'Raw Data'!$B:$B, "Control", 'Raw Data'!$A:$A, $A30, 'Raw Data'!$C:$C, $C$3),""))</f>
        <v>173</v>
      </c>
      <c r="CR30" s="101">
        <f>IF($A30="","",IFERROR(SUMPRODUCT(('Raw Data'!$B$2:$B$9999="Variant")*('Raw Data'!$A$2:$A$9999=$A30)*('Raw Data'!$C$2:$C$9999=$C$3)*'Raw Data'!$D$2:$D$9999*'Raw Data'!$AH$2:$AH$9999)/SUMIFS('Raw Data'!$D:$D, 'Raw Data'!$B:$B, "Variant", 'Raw Data'!$A:$A, $A30, 'Raw Data'!$C:$C, $C$3),""))</f>
        <v>165</v>
      </c>
      <c r="CS30" s="105">
        <f t="shared" si="32"/>
        <v>-0.04624277457</v>
      </c>
      <c r="CT30" s="96">
        <f>IF($A30="","",IFERROR(SUMPRODUCT(('Raw Data'!$B$2:$B$9999="Control")*('Raw Data'!$A$2:$A$9999=$A30)*('Raw Data'!$C$2:$C$9999=$C$3)*'Raw Data'!$D$2:$D$9999*'Raw Data'!$AI$2:$AI$9999)/SUMIFS('Raw Data'!$D:$D, 'Raw Data'!$B:$B, "Control", 'Raw Data'!$A:$A, $A30, 'Raw Data'!$C:$C, $C$3),""))</f>
        <v>44.91</v>
      </c>
      <c r="CU30" s="96">
        <f>IF($A30="","",IFERROR(SUMPRODUCT(('Raw Data'!$B$2:$B$9999="Variant")*('Raw Data'!$A$2:$A$9999=$A30)*('Raw Data'!$C$2:$C$9999=$C$3)*'Raw Data'!$D$2:$D$9999*'Raw Data'!$AI$2:$AI$9999)/SUMIFS('Raw Data'!$D:$D, 'Raw Data'!$B:$B, "Variant", 'Raw Data'!$A:$A, $A30, 'Raw Data'!$C:$C, $C$3),""))</f>
        <v>44.87</v>
      </c>
      <c r="CV30" s="106">
        <f t="shared" si="33"/>
        <v>-0.0008906702293</v>
      </c>
      <c r="CW30" s="96">
        <f>IF($A30="","",IFERROR(SUMPRODUCT(('Raw Data'!$B$2:$B$9999="Control")*('Raw Data'!$A$2:$A$9999=$A30)*('Raw Data'!$C$2:$C$9999=$C$3)*'Raw Data'!$D$2:$D$9999*'Raw Data'!$AJ$2:$AJ$9999)/SUMIFS('Raw Data'!$D:$D, 'Raw Data'!$B:$B, "Control", 'Raw Data'!$A:$A, $A30, 'Raw Data'!$C:$C, $C$3),""))</f>
        <v>9.98</v>
      </c>
      <c r="CX30" s="96">
        <f>IF($A30="","",IFERROR(SUMPRODUCT(('Raw Data'!$B$2:$B$9999="Variant")*('Raw Data'!$A$2:$A$9999=$A30)*('Raw Data'!$C$2:$C$9999=$C$3)*'Raw Data'!$D$2:$D$9999*'Raw Data'!$AJ$2:$AJ$9999)/SUMIFS('Raw Data'!$D:$D, 'Raw Data'!$B:$B, "Variant", 'Raw Data'!$A:$A, $A30, 'Raw Data'!$C:$C, $C$3),""))</f>
        <v>8.61</v>
      </c>
      <c r="CY30" s="106">
        <f t="shared" si="34"/>
        <v>-0.1372745491</v>
      </c>
      <c r="CZ30" s="96">
        <f>IF($A30="","",IFERROR(SUMPRODUCT(('Raw Data'!$B$2:$B$9999="Control")*('Raw Data'!$A$2:$A$9999=$A30)*('Raw Data'!$C$2:$C$9999=$C$3)*'Raw Data'!$D$2:$D$9999*'Raw Data'!$AK$2:$AK$9999)/SUMIFS('Raw Data'!$D:$D, 'Raw Data'!$B:$B, "Control", 'Raw Data'!$A:$A, $A30, 'Raw Data'!$C:$C, $C$3),""))</f>
        <v>0.42</v>
      </c>
      <c r="DA30" s="96">
        <f>IF($A30="","",IFERROR(SUMPRODUCT(('Raw Data'!$B$2:$B$9999="Variant")*('Raw Data'!$A$2:$A$9999=$A30)*('Raw Data'!$C$2:$C$9999=$C$3)*'Raw Data'!$D$2:$D$9999*'Raw Data'!$AK$2:$AK$9999)/SUMIFS('Raw Data'!$D:$D, 'Raw Data'!$B:$B, "Variant", 'Raw Data'!$A:$A, $A30, 'Raw Data'!$C:$C, $C$3),""))</f>
        <v>1.65</v>
      </c>
      <c r="DB30" s="105">
        <f t="shared" si="35"/>
        <v>2.928571429</v>
      </c>
      <c r="DC30" s="102">
        <f>IF($A30="","",IFERROR(SUMPRODUCT(('Raw Data'!$B$2:$B$9999="Control")*('Raw Data'!$A$2:$A$9999=$A30)*('Raw Data'!$C$2:$C$9999=$C$3)*'Raw Data'!$D$2:$D$9999*'Raw Data'!$AL$2:$AL$9999)/SUMIFS('Raw Data'!$D:$D, 'Raw Data'!$B:$B, "Control", 'Raw Data'!$A:$A, $A30, 'Raw Data'!$C:$C, $C$3),""))</f>
        <v>0.0998</v>
      </c>
      <c r="DD30" s="102">
        <f>IF($A30="","",IFERROR(SUMPRODUCT(('Raw Data'!$B$2:$B$9999="Variant")*('Raw Data'!$A$2:$A$9999=$A30)*('Raw Data'!$C$2:$C$9999=$C$3)*'Raw Data'!$D$2:$D$9999*'Raw Data'!$AL$2:$AL$9999)/SUMIFS('Raw Data'!$D:$D, 'Raw Data'!$B:$B, "Variant", 'Raw Data'!$A:$A, $A30, 'Raw Data'!$C:$C, $C$3),""))</f>
        <v>0.1099</v>
      </c>
      <c r="DE30" s="106">
        <f t="shared" si="36"/>
        <v>0.1012024048</v>
      </c>
      <c r="DF30" s="103"/>
      <c r="DG30" s="96">
        <f>IF($A30="","",IFERROR(SUMPRODUCT(('Raw Data'!$B$2:$B$9999="Variant")*('Raw Data'!$A$2:$A$9999=$A30)*('Raw Data'!$C$2:$C$9999=$C$3)*'Raw Data'!$D$2:$D$9999*'Raw Data'!$AM$2:$AM$9999)/SUMIFS('Raw Data'!$D:$D, 'Raw Data'!$B:$B, "Variant", 'Raw Data'!$A:$A, $A30, 'Raw Data'!$C:$C, $C$3),""))</f>
        <v>83.33</v>
      </c>
      <c r="DH30" s="104"/>
      <c r="DI30" s="103"/>
      <c r="DJ30" s="96">
        <f>IF($A30="","",IFERROR(SUMPRODUCT(('Raw Data'!$B$2:$B$9999="Variant")*('Raw Data'!$A$2:$A$9999=$A30)*('Raw Data'!$C$2:$C$9999=$C$3)*'Raw Data'!$D$2:$D$9999*'Raw Data'!$AN$2:$AN$9999)/SUMIFS('Raw Data'!$D:$D, 'Raw Data'!$B:$B, "Variant", 'Raw Data'!$A:$A, $A30, 'Raw Data'!$C:$C, $C$3),""))</f>
        <v>83.33</v>
      </c>
      <c r="DK30" s="104"/>
      <c r="DL30" s="103"/>
      <c r="DM30" s="96">
        <f>IF($A30="","",IFERROR(SUMPRODUCT(('Raw Data'!$B$2:$B$9999="Variant")*('Raw Data'!$A$2:$A$9999=$A30)*('Raw Data'!$C$2:$C$9999=$C$3)*'Raw Data'!$D$2:$D$9999*'Raw Data'!$AO$2:$AO$9999)/SUMIFS('Raw Data'!$D:$D, 'Raw Data'!$B:$B, "Variant", 'Raw Data'!$A:$A, $A30, 'Raw Data'!$C:$C, $C$3),""))</f>
        <v>68.5</v>
      </c>
      <c r="DN30" s="104"/>
      <c r="DO30" s="103"/>
      <c r="DP30" s="96">
        <f>IF($A30="","",IFERROR(SUMPRODUCT(('Raw Data'!$B$2:$B$9999="Variant")*('Raw Data'!$A$2:$A$9999=$A30)*('Raw Data'!$C$2:$C$9999=$C$3)*'Raw Data'!$D$2:$D$9999*'Raw Data'!$AP$2:$AP$9999)/SUMIFS('Raw Data'!$D:$D, 'Raw Data'!$B:$B, "Variant", 'Raw Data'!$A:$A, $A30, 'Raw Data'!$C:$C, $C$3),""))</f>
        <v>53.66</v>
      </c>
      <c r="DQ30" s="104"/>
      <c r="DR30" s="102">
        <f>IF($A30="","",IFERROR(SUMPRODUCT(('Raw Data'!$B$2:$B$9999="Control")*('Raw Data'!$A$2:$A$9999=$A30)*('Raw Data'!$C$2:$C$9999=$C$3)*'Raw Data'!$D$2:$D$9999*'Raw Data'!$AQ$2:$AQ$9999)/SUMIFS('Raw Data'!$D:$D, 'Raw Data'!$B:$B, "Control", 'Raw Data'!$A:$A, $A30, 'Raw Data'!$C:$C, $C$3),""))</f>
        <v>34.3098</v>
      </c>
      <c r="DS30" s="102">
        <f>IF($A30="","",IFERROR(SUMPRODUCT(('Raw Data'!$B$2:$B$9999="Variant")*('Raw Data'!$A$2:$A$9999=$A30)*('Raw Data'!$C$2:$C$9999=$C$3)*'Raw Data'!$D$2:$D$9999*'Raw Data'!$AQ$2:$AQ$9999)/SUMIFS('Raw Data'!$D:$D, 'Raw Data'!$B:$B, "Variant", 'Raw Data'!$A:$A, $A30, 'Raw Data'!$C:$C, $C$3),""))</f>
        <v>32.9341</v>
      </c>
      <c r="DT30" s="109">
        <f t="shared" si="37"/>
        <v>-0.0400964156</v>
      </c>
      <c r="DU30" s="102">
        <f>IF($A30="","",IFERROR(SUMPRODUCT(('Raw Data'!$B$2:$B$9999="Control")*('Raw Data'!$A$2:$A$9999=$A30)*('Raw Data'!$C$2:$C$9999=$C$3)*'Raw Data'!$D$2:$D$9999*'Raw Data'!$AR$2:$AR$9999)/SUMIFS('Raw Data'!$D:$D, 'Raw Data'!$B:$B, "Control", 'Raw Data'!$A:$A, $A30, 'Raw Data'!$C:$C, $C$3),""))</f>
        <v>5.9938</v>
      </c>
      <c r="DV30" s="102">
        <f>IF($A30="","",IFERROR(SUMPRODUCT(('Raw Data'!$B$2:$B$9999="Variant")*('Raw Data'!$A$2:$A$9999=$A30)*('Raw Data'!$C$2:$C$9999=$C$3)*'Raw Data'!$D$2:$D$9999*'Raw Data'!$AR$2:$AR$9999)/SUMIFS('Raw Data'!$D:$D, 'Raw Data'!$B:$B, "Variant", 'Raw Data'!$A:$A, $A30, 'Raw Data'!$C:$C, $C$3),""))</f>
        <v>3.652</v>
      </c>
      <c r="DW30" s="109">
        <f t="shared" si="38"/>
        <v>-0.3907037272</v>
      </c>
      <c r="DX30" s="102">
        <f>IF($A30="","",IFERROR(SUMPRODUCT(('Raw Data'!$B$2:$B$9999="Control")*('Raw Data'!$A$2:$A$9999=$A30)*('Raw Data'!$C$2:$C$9999=$C$3)*'Raw Data'!$D$2:$D$9999*'Raw Data'!$AS$2:$AS$9999)/SUMIFS('Raw Data'!$D:$D, 'Raw Data'!$B:$B, "Control", 'Raw Data'!$A:$A, $A30, 'Raw Data'!$C:$C, $C$3),""))</f>
        <v>28.316</v>
      </c>
      <c r="DY30" s="102">
        <f>IF($A30="","",IFERROR(SUMPRODUCT(('Raw Data'!$B$2:$B$9999="Variant")*('Raw Data'!$A$2:$A$9999=$A30)*('Raw Data'!$C$2:$C$9999=$C$3)*'Raw Data'!$D$2:$D$9999*'Raw Data'!$AS$2:$AS$9999)/SUMIFS('Raw Data'!$D:$D, 'Raw Data'!$B:$B, "Variant", 'Raw Data'!$A:$A, $A30, 'Raw Data'!$C:$C, $C$3),""))</f>
        <v>29.2821</v>
      </c>
      <c r="DZ30" s="110">
        <f t="shared" si="39"/>
        <v>0.03411851956</v>
      </c>
      <c r="EA30" s="102">
        <f>IF($A30="","",IFERROR(SUMPRODUCT(('Raw Data'!$B$2:$B$9999="Control")*('Raw Data'!$A$2:$A$9999=$A30)*('Raw Data'!$C$2:$C$9999=$C$3)*'Raw Data'!$D$2:$D$9999*'Raw Data'!$AT$2:$AT$9999)/SUMIFS('Raw Data'!$D:$D, 'Raw Data'!$B:$B, "Control", 'Raw Data'!$A:$A, $A30, 'Raw Data'!$C:$C, $C$3),""))</f>
        <v>35.6798</v>
      </c>
      <c r="EB30" s="102">
        <f>IF($A30="","",IFERROR(SUMPRODUCT(('Raw Data'!$B$2:$B$9999="Variant")*('Raw Data'!$A$2:$A$9999=$A30)*('Raw Data'!$C$2:$C$9999=$C$3)*'Raw Data'!$D$2:$D$9999*'Raw Data'!$AT$2:$AT$9999)/SUMIFS('Raw Data'!$D:$D, 'Raw Data'!$B:$B, "Variant", 'Raw Data'!$A:$A, $A30, 'Raw Data'!$C:$C, $C$3),""))</f>
        <v>33.0769</v>
      </c>
      <c r="EC30" s="109">
        <f t="shared" si="40"/>
        <v>-0.07295164211</v>
      </c>
      <c r="ED30" s="102">
        <f>IF($A30="","",IFERROR(SUMPRODUCT(('Raw Data'!$B$2:$B$9999="Control")*('Raw Data'!$A$2:$A$9999=$A30)*('Raw Data'!$C$2:$C$9999=$C$3)*'Raw Data'!$D$2:$D$9999*('Raw Data'!$AQ$2:$AQ$9999-'Raw Data'!$AT$2:$AT$9999))/SUMIFS('Raw Data'!$D:$D, 'Raw Data'!$B:$B, "Control", 'Raw Data'!$A:$A, $A30, 'Raw Data'!$C:$C, $C$3),""))</f>
        <v>-1.37</v>
      </c>
      <c r="EE30" s="102">
        <f>IF($A30="","",IFERROR(SUMPRODUCT(('Raw Data'!$B$2:$B$9999="Variant")*('Raw Data'!$A$2:$A$9999=$A30)*('Raw Data'!$C$2:$C$9999=$C$3)*'Raw Data'!$D$2:$D$9999*('Raw Data'!$AQ$2:$AQ$9999-'Raw Data'!$AT$2:$AT$9999))/SUMIFS('Raw Data'!$D:$D, 'Raw Data'!$B:$B, "Variant", 'Raw Data'!$A:$A, $A30, 'Raw Data'!$C:$C, $C$3),""))</f>
        <v>-0.1428</v>
      </c>
      <c r="EF30" s="110">
        <f t="shared" si="41"/>
        <v>0.8957664234</v>
      </c>
      <c r="EG30" s="102">
        <f>IF($A30="","",IFERROR(SUMPRODUCT(('Raw Data'!$B$2:$B$9999="Control")*('Raw Data'!$A$2:$A$9999=$A30)*('Raw Data'!$C$2:$C$9999=$C$3)*'Raw Data'!$D$2:$D$9999*'Raw Data'!$AU$2:$AU$9999)/SUMIFS('Raw Data'!$D:$D, 'Raw Data'!$B:$B, "Control", 'Raw Data'!$A:$A, $A30, 'Raw Data'!$C:$C, $C$3),""))</f>
        <v>0.2495</v>
      </c>
      <c r="EH30" s="102">
        <f>IF($A30="","",IFERROR(SUMPRODUCT(('Raw Data'!$B$2:$B$9999="Variant")*('Raw Data'!$A$2:$A$9999=$A30)*('Raw Data'!$C$2:$C$9999=$C$3)*'Raw Data'!$D$2:$D$9999*'Raw Data'!$AU$2:$AU$9999)/SUMIFS('Raw Data'!$D:$D, 'Raw Data'!$B:$B, "Variant", 'Raw Data'!$A:$A, $A30, 'Raw Data'!$C:$C, $C$3),""))</f>
        <v>0.2344</v>
      </c>
      <c r="EI30" s="109">
        <f t="shared" si="42"/>
        <v>-0.06052104208</v>
      </c>
    </row>
    <row r="31" ht="15.75" customHeight="1">
      <c r="A31" s="93">
        <v>46199.0</v>
      </c>
      <c r="B31" s="94">
        <f>IF($A31="","",SUMIFS('Raw Data'!$D:$D, 'Raw Data'!$B:$B, "Control", 'Raw Data'!$A:$A, $A31, 'Raw Data'!$C:$C, $C$3))</f>
        <v>492</v>
      </c>
      <c r="C31" s="94">
        <f>IF($A31="","",SUMIFS('Raw Data'!$D:$D, 'Raw Data'!$B:$B, "Variant", 'Raw Data'!$A:$A, $A31, 'Raw Data'!$C:$C, $C$3))</f>
        <v>527</v>
      </c>
      <c r="D31" s="95">
        <f t="shared" si="1"/>
        <v>0.07113821138</v>
      </c>
      <c r="E31" s="96">
        <f>IF($A31="","",IFERROR(SUMPRODUCT(('Raw Data'!$B$2:$B$9999="Control")*('Raw Data'!$A$2:$A$9999=$A31)*('Raw Data'!$C$2:$C$9999=$C$3)*'Raw Data'!$D$2:$D$9999*'Raw Data'!$E$2:$E$9999)/SUMIFS('Raw Data'!$D:$D, 'Raw Data'!$B:$B, "Control", 'Raw Data'!$A:$A, $A31, 'Raw Data'!$C:$C, $C$3),""))</f>
        <v>0.62</v>
      </c>
      <c r="F31" s="96">
        <f>IF($A31="","",IFERROR(SUMPRODUCT(('Raw Data'!$B$2:$B$9999="Variant")*('Raw Data'!$A$2:$A$9999=$A31)*('Raw Data'!$C$2:$C$9999=$C$3)*'Raw Data'!$D$2:$D$9999*'Raw Data'!$E$2:$E$9999)/SUMIFS('Raw Data'!$D:$D, 'Raw Data'!$B:$B, "Variant", 'Raw Data'!$A:$A, $A31, 'Raw Data'!$C:$C, $C$3),""))</f>
        <v>0.67</v>
      </c>
      <c r="G31" s="95">
        <f t="shared" si="2"/>
        <v>0.08064516129</v>
      </c>
      <c r="H31" s="97">
        <f>IF($A31="","",SUMIFS('Raw Data'!$F:$F, 'Raw Data'!$B:$B, "Control", 'Raw Data'!$A:$A, $A31, 'Raw Data'!$C:$C, $C$3))</f>
        <v>1968.08</v>
      </c>
      <c r="I31" s="97">
        <f>IF($A31="","",SUMIFS('Raw Data'!$F:$F, 'Raw Data'!$B:$B, "Variant", 'Raw Data'!$A:$A, $A31, 'Raw Data'!$C:$C, $C$3))</f>
        <v>1799.54</v>
      </c>
      <c r="J31" s="105">
        <f t="shared" si="3"/>
        <v>-0.08563676273</v>
      </c>
      <c r="K31" s="99">
        <f>IF($A31="","",IFERROR(SUMIFS('Raw Data'!$F:$F, 'Raw Data'!$B:$B, "Control", 'Raw Data'!$A:$A, $A31, 'Raw Data'!$C:$C, $C$3)/SUMIFS('Raw Data'!$D:$D, 'Raw Data'!$B:$B, "Control", 'Raw Data'!$A:$A, $A31, 'Raw Data'!$C:$C, $C$3),""))</f>
        <v>4.000162602</v>
      </c>
      <c r="L31" s="99">
        <f>IF($A31="","",IFERROR(SUMIFS('Raw Data'!$F:$F, 'Raw Data'!$B:$B, "Variant", 'Raw Data'!$A:$A, $A31, 'Raw Data'!$C:$C, $C$3)/SUMIFS('Raw Data'!$D:$D, 'Raw Data'!$B:$B, "Variant", 'Raw Data'!$A:$A, $A31, 'Raw Data'!$C:$C, $C$3),""))</f>
        <v>3.414686907</v>
      </c>
      <c r="M31" s="105">
        <f t="shared" si="4"/>
        <v>-0.1463629739</v>
      </c>
      <c r="N31" s="96">
        <f>IF($A31="","",IFERROR(SUMPRODUCT(('Raw Data'!$B$2:$B$9999="Control")*('Raw Data'!$A$2:$A$9999=$A31)*('Raw Data'!$C$2:$C$9999=$C$3)*'Raw Data'!$D$2:$D$9999*'Raw Data'!$H$2:$H$9999/100)/SUMIFS('Raw Data'!$D:$D, 'Raw Data'!$B:$B, "Control", 'Raw Data'!$A:$A, $A31, 'Raw Data'!$C:$C, $C$3)*100,""))</f>
        <v>17.68</v>
      </c>
      <c r="O31" s="96">
        <f>IF($A31="","",IFERROR(SUMPRODUCT(('Raw Data'!$B$2:$B$9999="Variant")*('Raw Data'!$A$2:$A$9999=$A31)*('Raw Data'!$C$2:$C$9999=$C$3)*'Raw Data'!$D$2:$D$9999*'Raw Data'!$H$2:$H$9999/100)/SUMIFS('Raw Data'!$D:$D, 'Raw Data'!$B:$B, "Variant", 'Raw Data'!$A:$A, $A31, 'Raw Data'!$C:$C, $C$3)*100,""))</f>
        <v>17.46</v>
      </c>
      <c r="P31" s="105">
        <f t="shared" si="5"/>
        <v>-0.01244343891</v>
      </c>
      <c r="Q31" s="99">
        <f>IF($A31="","",IFERROR(SUMIFS('Raw Data'!$F:$F, 'Raw Data'!$B:$B, "Control", 'Raw Data'!$A:$A, $A31, 'Raw Data'!$C:$C, $C$3)/SUMPRODUCT(('Raw Data'!$B$2:$B$9999="Control")*('Raw Data'!$A$2:$A$9999=$A31)*('Raw Data'!$C$2:$C$9999=$C$3)*'Raw Data'!$D$2:$D$9999*'Raw Data'!$H$2:$H$9999/100),""))</f>
        <v>22.62535408</v>
      </c>
      <c r="R31" s="99">
        <f>IF($A31="","",IFERROR(SUMIFS('Raw Data'!$F:$F, 'Raw Data'!$B:$B, "Variant", 'Raw Data'!$A:$A, $A31, 'Raw Data'!$C:$C, $C$3)/SUMPRODUCT(('Raw Data'!$B$2:$B$9999="Variant")*('Raw Data'!$A$2:$A$9999=$A31)*('Raw Data'!$C$2:$C$9999=$C$3)*'Raw Data'!$D$2:$D$9999*'Raw Data'!$H$2:$H$9999/100),""))</f>
        <v>19.55719878</v>
      </c>
      <c r="S31" s="105">
        <f t="shared" si="6"/>
        <v>-0.1356069518</v>
      </c>
      <c r="T31" s="101">
        <f>IF($A31="","",IFERROR(SUMPRODUCT(('Raw Data'!$B$2:$B$9999="Control")*('Raw Data'!$A$2:$A$9999=$A31)*('Raw Data'!$C$2:$C$9999=$C$3)*'Raw Data'!$D$2:$D$9999*'Raw Data'!$J$2:$J$9999)/SUMIFS('Raw Data'!$D:$D, 'Raw Data'!$B:$B, "Control", 'Raw Data'!$A:$A, $A31, 'Raw Data'!$C:$C, $C$3),""))</f>
        <v>258.13</v>
      </c>
      <c r="U31" s="101">
        <f>IF($A31="","",IFERROR(SUMPRODUCT(('Raw Data'!$B$2:$B$9999="Variant")*('Raw Data'!$A$2:$A$9999=$A31)*('Raw Data'!$C$2:$C$9999=$C$3)*'Raw Data'!$D$2:$D$9999*'Raw Data'!$J$2:$J$9999)/SUMIFS('Raw Data'!$D:$D, 'Raw Data'!$B:$B, "Variant", 'Raw Data'!$A:$A, $A31, 'Raw Data'!$C:$C, $C$3),""))</f>
        <v>251.43</v>
      </c>
      <c r="V31" s="105">
        <f t="shared" si="7"/>
        <v>-0.02595591369</v>
      </c>
      <c r="W31" s="101">
        <f>IF($A31="","",IFERROR(SUMPRODUCT(('Raw Data'!$B$2:$B$9999="Control")*('Raw Data'!$A$2:$A$9999=$A31)*('Raw Data'!$C$2:$C$9999=$C$3)*'Raw Data'!$D$2:$D$9999*'Raw Data'!$K$2:$K$9999)/SUMIFS('Raw Data'!$D:$D, 'Raw Data'!$B:$B, "Control", 'Raw Data'!$A:$A, $A31, 'Raw Data'!$C:$C, $C$3),""))</f>
        <v>156.14</v>
      </c>
      <c r="X31" s="101">
        <f>IF($A31="","",IFERROR(SUMPRODUCT(('Raw Data'!$B$2:$B$9999="Variant")*('Raw Data'!$A$2:$A$9999=$A31)*('Raw Data'!$C$2:$C$9999=$C$3)*'Raw Data'!$D$2:$D$9999*'Raw Data'!$K$2:$K$9999)/SUMIFS('Raw Data'!$D:$D, 'Raw Data'!$B:$B, "Variant", 'Raw Data'!$A:$A, $A31, 'Raw Data'!$C:$C, $C$3),""))</f>
        <v>151.38</v>
      </c>
      <c r="Y31" s="105">
        <f t="shared" si="8"/>
        <v>-0.03048546177</v>
      </c>
      <c r="Z31" s="101">
        <f>IF($A31="","",IFERROR(SUMPRODUCT(('Raw Data'!$B$2:$B$9999="Control")*('Raw Data'!$A$2:$A$9999=$A31)*('Raw Data'!$C$2:$C$9999=$C$3)*'Raw Data'!$D$2:$D$9999*'Raw Data'!$L$2:$L$9999)/SUMIFS('Raw Data'!$D:$D, 'Raw Data'!$B:$B, "Control", 'Raw Data'!$A:$A, $A31, 'Raw Data'!$C:$C, $C$3),""))</f>
        <v>129.34</v>
      </c>
      <c r="AA31" s="101">
        <f>IF($A31="","",IFERROR(SUMPRODUCT(('Raw Data'!$B$2:$B$9999="Variant")*('Raw Data'!$A$2:$A$9999=$A31)*('Raw Data'!$C$2:$C$9999=$C$3)*'Raw Data'!$D$2:$D$9999*'Raw Data'!$L$2:$L$9999)/SUMIFS('Raw Data'!$D:$D, 'Raw Data'!$B:$B, "Variant", 'Raw Data'!$A:$A, $A31, 'Raw Data'!$C:$C, $C$3),""))</f>
        <v>122.21</v>
      </c>
      <c r="AB31" s="105">
        <f t="shared" si="9"/>
        <v>-0.05512602443</v>
      </c>
      <c r="AC31" s="102">
        <f>IF($A31="","",IFERROR(SUMPRODUCT(('Raw Data'!$B$2:$B$9999="Control")*('Raw Data'!$A$2:$A$9999=$A31)*('Raw Data'!$C$2:$C$9999=$C$3)*'Raw Data'!$D$2:$D$9999*'Raw Data'!$M$2:$M$9999)/SUMIFS('Raw Data'!$D:$D, 'Raw Data'!$B:$B, "Control", 'Raw Data'!$A:$A, $A31, 'Raw Data'!$C:$C, $C$3),""))</f>
        <v>0.8284</v>
      </c>
      <c r="AD31" s="102">
        <f>IF($A31="","",IFERROR(SUMPRODUCT(('Raw Data'!$B$2:$B$9999="Variant")*('Raw Data'!$A$2:$A$9999=$A31)*('Raw Data'!$C$2:$C$9999=$C$3)*'Raw Data'!$D$2:$D$9999*'Raw Data'!$M$2:$M$9999)/SUMIFS('Raw Data'!$D:$D, 'Raw Data'!$B:$B, "Variant", 'Raw Data'!$A:$A, $A31, 'Raw Data'!$C:$C, $C$3),""))</f>
        <v>0.8073</v>
      </c>
      <c r="AE31" s="106">
        <f t="shared" si="10"/>
        <v>-0.02547078706</v>
      </c>
      <c r="AF31" s="102">
        <f>IF($A31="","",IFERROR(SUMPRODUCT(('Raw Data'!$B$2:$B$9999="Control")*('Raw Data'!$A$2:$A$9999=$A31)*('Raw Data'!$C$2:$C$9999=$C$3)*'Raw Data'!$D$2:$D$9999*'Raw Data'!$N$2:$N$9999)/SUMIFS('Raw Data'!$D:$D, 'Raw Data'!$B:$B, "Control", 'Raw Data'!$A:$A, $A31, 'Raw Data'!$C:$C, $C$3),""))</f>
        <v>0.3007</v>
      </c>
      <c r="AG31" s="102">
        <f>IF($A31="","",IFERROR(SUMPRODUCT(('Raw Data'!$B$2:$B$9999="Variant")*('Raw Data'!$A$2:$A$9999=$A31)*('Raw Data'!$C$2:$C$9999=$C$3)*'Raw Data'!$D$2:$D$9999*'Raw Data'!$N$2:$N$9999)/SUMIFS('Raw Data'!$D:$D, 'Raw Data'!$B:$B, "Variant", 'Raw Data'!$A:$A, $A31, 'Raw Data'!$C:$C, $C$3),""))</f>
        <v>0.3217</v>
      </c>
      <c r="AH31" s="106">
        <f t="shared" si="11"/>
        <v>0.06983704689</v>
      </c>
      <c r="AI31" s="102">
        <f>IF($A31="","",IFERROR(SUMPRODUCT(('Raw Data'!$B$2:$B$9999="Control")*('Raw Data'!$A$2:$A$9999=$A31)*('Raw Data'!$C$2:$C$9999=$C$3)*'Raw Data'!$D$2:$D$9999*'Raw Data'!$O$2:$O$9999)/SUMIFS('Raw Data'!$D:$D, 'Raw Data'!$B:$B, "Control", 'Raw Data'!$A:$A, $A31, 'Raw Data'!$C:$C, $C$3),""))</f>
        <v>0.203</v>
      </c>
      <c r="AJ31" s="102">
        <f>IF($A31="","",IFERROR(SUMPRODUCT(('Raw Data'!$B$2:$B$9999="Variant")*('Raw Data'!$A$2:$A$9999=$A31)*('Raw Data'!$C$2:$C$9999=$C$3)*'Raw Data'!$D$2:$D$9999*'Raw Data'!$O$2:$O$9999)/SUMIFS('Raw Data'!$D:$D, 'Raw Data'!$B:$B, "Variant", 'Raw Data'!$A:$A, $A31, 'Raw Data'!$C:$C, $C$3),""))</f>
        <v>0.2121</v>
      </c>
      <c r="AK31" s="105">
        <f t="shared" si="12"/>
        <v>0.04482758621</v>
      </c>
      <c r="AL31" s="101">
        <f>IF($A31="","",IFERROR(SUMPRODUCT(('Raw Data'!$B$2:$B$9999="Control")*('Raw Data'!$A$2:$A$9999=$A31)*('Raw Data'!$C$2:$C$9999=$C$3)*'Raw Data'!$D$2:$D$9999*'Raw Data'!$P$2:$P$9999)/SUMIFS('Raw Data'!$D:$D, 'Raw Data'!$B:$B, "Control", 'Raw Data'!$A:$A, $A31, 'Raw Data'!$C:$C, $C$3),""))</f>
        <v>1.2072</v>
      </c>
      <c r="AM31" s="101">
        <f>IF($A31="","",IFERROR(SUMPRODUCT(('Raw Data'!$B$2:$B$9999="Variant")*('Raw Data'!$A$2:$A$9999=$A31)*('Raw Data'!$C$2:$C$9999=$C$3)*'Raw Data'!$D$2:$D$9999*'Raw Data'!$P$2:$P$9999)/SUMIFS('Raw Data'!$D:$D, 'Raw Data'!$B:$B, "Variant", 'Raw Data'!$A:$A, $A31, 'Raw Data'!$C:$C, $C$3),""))</f>
        <v>1.2387</v>
      </c>
      <c r="AN31" s="105">
        <f t="shared" si="13"/>
        <v>0.02609343936</v>
      </c>
      <c r="AO31" s="101">
        <f>IF($A31="","",IFERROR(SUMPRODUCT(('Raw Data'!$B$2:$B$9999="Control")*('Raw Data'!$A$2:$A$9999=$A31)*('Raw Data'!$C$2:$C$9999=$C$3)*'Raw Data'!$D$2:$D$9999*'Raw Data'!$Q$2:$Q$9999)/SUMIFS('Raw Data'!$D:$D, 'Raw Data'!$B:$B, "Control", 'Raw Data'!$A:$A, $A31, 'Raw Data'!$C:$C, $C$3),""))</f>
        <v>800.02</v>
      </c>
      <c r="AP31" s="101">
        <f>IF($A31="","",IFERROR(SUMPRODUCT(('Raw Data'!$B$2:$B$9999="Variant")*('Raw Data'!$A$2:$A$9999=$A31)*('Raw Data'!$C$2:$C$9999=$C$3)*'Raw Data'!$D$2:$D$9999*'Raw Data'!$Q$2:$Q$9999)/SUMIFS('Raw Data'!$D:$D, 'Raw Data'!$B:$B, "Variant", 'Raw Data'!$A:$A, $A31, 'Raw Data'!$C:$C, $C$3),""))</f>
        <v>709.22</v>
      </c>
      <c r="AQ31" s="95">
        <f t="shared" si="14"/>
        <v>-0.1134971626</v>
      </c>
      <c r="AR31" s="101">
        <f>IF($A31="","",IFERROR(SUMPRODUCT(('Raw Data'!$B$2:$B$9999="Control")*('Raw Data'!$A$2:$A$9999=$A31)*('Raw Data'!$C$2:$C$9999=$C$3)*'Raw Data'!$D$2:$D$9999*'Raw Data'!$R$2:$R$9999)/SUMIFS('Raw Data'!$D:$D, 'Raw Data'!$B:$B, "Control", 'Raw Data'!$A:$A, $A31, 'Raw Data'!$C:$C, $C$3),""))</f>
        <v>526.54</v>
      </c>
      <c r="AS31" s="101">
        <f>IF($A31="","",IFERROR(SUMPRODUCT(('Raw Data'!$B$2:$B$9999="Variant")*('Raw Data'!$A$2:$A$9999=$A31)*('Raw Data'!$C$2:$C$9999=$C$3)*'Raw Data'!$D$2:$D$9999*'Raw Data'!$R$2:$R$9999)/SUMIFS('Raw Data'!$D:$D, 'Raw Data'!$B:$B, "Variant", 'Raw Data'!$A:$A, $A31, 'Raw Data'!$C:$C, $C$3),""))</f>
        <v>616.94</v>
      </c>
      <c r="AT31" s="95">
        <f t="shared" si="15"/>
        <v>0.1716868614</v>
      </c>
      <c r="AU31" s="101">
        <f>IF($A31="","",IFERROR(SUMPRODUCT(('Raw Data'!$B$2:$B$9999="Control")*('Raw Data'!$A$2:$A$9999=$A31)*('Raw Data'!$C$2:$C$9999=$C$3)*'Raw Data'!$D$2:$D$9999*'Raw Data'!$S$2:$S$9999)/SUMIFS('Raw Data'!$D:$D, 'Raw Data'!$B:$B, "Control", 'Raw Data'!$A:$A, $A31, 'Raw Data'!$C:$C, $C$3),""))</f>
        <v>273.49</v>
      </c>
      <c r="AV31" s="101">
        <f>IF($A31="","",IFERROR(SUMPRODUCT(('Raw Data'!$B$2:$B$9999="Variant")*('Raw Data'!$A$2:$A$9999=$A31)*('Raw Data'!$C$2:$C$9999=$C$3)*'Raw Data'!$D$2:$D$9999*'Raw Data'!$S$2:$S$9999)/SUMIFS('Raw Data'!$D:$D, 'Raw Data'!$B:$B, "Variant", 'Raw Data'!$A:$A, $A31, 'Raw Data'!$C:$C, $C$3),""))</f>
        <v>92.29</v>
      </c>
      <c r="AW31" s="95">
        <f t="shared" si="16"/>
        <v>-0.6625470767</v>
      </c>
      <c r="AX31" s="101">
        <f>IF($A31="","",IFERROR(SUMPRODUCT(('Raw Data'!$B$2:$B$9999="Control")*('Raw Data'!$A$2:$A$9999=$A31)*('Raw Data'!$C$2:$C$9999=$C$3)*'Raw Data'!$D$2:$D$9999*'Raw Data'!$T$2:$T$9999)/SUMIFS('Raw Data'!$D:$D, 'Raw Data'!$B:$B, "Control", 'Raw Data'!$A:$A, $A31, 'Raw Data'!$C:$C, $C$3),""))</f>
        <v>245.43</v>
      </c>
      <c r="AY31" s="101">
        <f>IF($A31="","",IFERROR(SUMPRODUCT(('Raw Data'!$B$2:$B$9999="Variant")*('Raw Data'!$A$2:$A$9999=$A31)*('Raw Data'!$C$2:$C$9999=$C$3)*'Raw Data'!$D$2:$D$9999*'Raw Data'!$T$2:$T$9999)/SUMIFS('Raw Data'!$D:$D, 'Raw Data'!$B:$B, "Variant", 'Raw Data'!$A:$A, $A31, 'Raw Data'!$C:$C, $C$3),""))</f>
        <v>206.21</v>
      </c>
      <c r="AZ31" s="105">
        <f t="shared" si="17"/>
        <v>-0.1598011653</v>
      </c>
      <c r="BA31" s="101">
        <f>IF($A31="","",IFERROR(SUMPRODUCT(('Raw Data'!$B$2:$B$9999="Control")*('Raw Data'!$A$2:$A$9999=$A31)*('Raw Data'!$C$2:$C$9999=$C$3)*'Raw Data'!$D$2:$D$9999*'Raw Data'!$U$2:$U$9999)/SUMIFS('Raw Data'!$D:$D, 'Raw Data'!$B:$B, "Control", 'Raw Data'!$A:$A, $A31, 'Raw Data'!$C:$C, $C$3),""))</f>
        <v>554.6</v>
      </c>
      <c r="BB31" s="101">
        <f>IF($A31="","",IFERROR(SUMPRODUCT(('Raw Data'!$B$2:$B$9999="Variant")*('Raw Data'!$A$2:$A$9999=$A31)*('Raw Data'!$C$2:$C$9999=$C$3)*'Raw Data'!$D$2:$D$9999*'Raw Data'!$U$2:$U$9999)/SUMIFS('Raw Data'!$D:$D, 'Raw Data'!$B:$B, "Variant", 'Raw Data'!$A:$A, $A31, 'Raw Data'!$C:$C, $C$3),""))</f>
        <v>503.01</v>
      </c>
      <c r="BC31" s="95">
        <f t="shared" si="18"/>
        <v>-0.09302199784</v>
      </c>
      <c r="BD31" s="101">
        <f>IF($A31="","",IFERROR(SUMPRODUCT(('Raw Data'!$B$2:$B$9999="Control")*('Raw Data'!$A$2:$A$9999=$A31)*('Raw Data'!$C$2:$C$9999=$C$3)*'Raw Data'!$D$2:$D$9999*'Raw Data'!$V$2:$V$9999)/SUMIFS('Raw Data'!$D:$D, 'Raw Data'!$B:$B, "Control", 'Raw Data'!$A:$A, $A31, 'Raw Data'!$C:$C, $C$3),""))</f>
        <v>1048.37</v>
      </c>
      <c r="BE31" s="101">
        <f>IF($A31="","",IFERROR(SUMPRODUCT(('Raw Data'!$B$2:$B$9999="Variant")*('Raw Data'!$A$2:$A$9999=$A31)*('Raw Data'!$C$2:$C$9999=$C$3)*'Raw Data'!$D$2:$D$9999*'Raw Data'!$V$2:$V$9999)/SUMIFS('Raw Data'!$D:$D, 'Raw Data'!$B:$B, "Variant", 'Raw Data'!$A:$A, $A31, 'Raw Data'!$C:$C, $C$3),""))</f>
        <v>832.73</v>
      </c>
      <c r="BF31" s="95">
        <f t="shared" si="19"/>
        <v>-0.205690739</v>
      </c>
      <c r="BG31" s="101">
        <f>IF($A31="","",IFERROR(SUMPRODUCT(('Raw Data'!$B$2:$B$9999="Control")*('Raw Data'!$A$2:$A$9999=$A31)*('Raw Data'!$C$2:$C$9999=$C$3)*'Raw Data'!$D$2:$D$9999*('Raw Data'!$Q$2:$Q$9999-'Raw Data'!$V$2:$V$9999))/SUMIFS('Raw Data'!$D:$D, 'Raw Data'!$B:$B, "Control", 'Raw Data'!$A:$A, $A31, 'Raw Data'!$C:$C, $C$3),""))</f>
        <v>-248.35</v>
      </c>
      <c r="BH31" s="101">
        <f>IF($A31="","",IFERROR(SUMPRODUCT(('Raw Data'!$B$2:$B$9999="Variant")*('Raw Data'!$A$2:$A$9999=$A31)*('Raw Data'!$C$2:$C$9999=$C$3)*'Raw Data'!$D$2:$D$9999*('Raw Data'!$Q$2:$Q$9999-'Raw Data'!$V$2:$V$9999))/SUMIFS('Raw Data'!$D:$D, 'Raw Data'!$B:$B, "Variant", 'Raw Data'!$A:$A, $A31, 'Raw Data'!$C:$C, $C$3),""))</f>
        <v>-123.51</v>
      </c>
      <c r="BI31" s="95">
        <f t="shared" si="20"/>
        <v>0.5026776726</v>
      </c>
      <c r="BJ31" s="101">
        <f>IF($A31="","",IFERROR(SUMPRODUCT(('Raw Data'!$B$2:$B$9999="Control")*('Raw Data'!$A$2:$A$9999=$A31)*('Raw Data'!$C$2:$C$9999=$C$3)*'Raw Data'!$D$2:$D$9999*'Raw Data'!$W$2:$W$9999)/SUMIFS('Raw Data'!$D:$D, 'Raw Data'!$B:$B, "Control", 'Raw Data'!$A:$A, $A31, 'Raw Data'!$C:$C, $C$3),""))</f>
        <v>6.7142</v>
      </c>
      <c r="BK31" s="101">
        <f>IF($A31="","",IFERROR(SUMPRODUCT(('Raw Data'!$B$2:$B$9999="Variant")*('Raw Data'!$A$2:$A$9999=$A31)*('Raw Data'!$C$2:$C$9999=$C$3)*'Raw Data'!$D$2:$D$9999*'Raw Data'!$W$2:$W$9999)/SUMIFS('Raw Data'!$D:$D, 'Raw Data'!$B:$B, "Variant", 'Raw Data'!$A:$A, $A31, 'Raw Data'!$C:$C, $C$3),""))</f>
        <v>5.5009</v>
      </c>
      <c r="BL31" s="95">
        <f t="shared" si="21"/>
        <v>-0.1807065622</v>
      </c>
      <c r="BM31" s="102">
        <f>IF($A31="","",IFERROR(SUMPRODUCT(('Raw Data'!$B$2:$B$9999="Control")*('Raw Data'!$A$2:$A$9999=$A31)*('Raw Data'!$C$2:$C$9999=$C$3)*'Raw Data'!$D$2:$D$9999*'Raw Data'!$X$2:$X$9999)/SUMIFS('Raw Data'!$D:$D, 'Raw Data'!$B:$B, "Control", 'Raw Data'!$A:$A, $A31, 'Raw Data'!$C:$C, $C$3),""))</f>
        <v>30.68</v>
      </c>
      <c r="BN31" s="102">
        <f>IF($A31="","",IFERROR(SUMPRODUCT(('Raw Data'!$B$2:$B$9999="Variant")*('Raw Data'!$A$2:$A$9999=$A31)*('Raw Data'!$C$2:$C$9999=$C$3)*'Raw Data'!$D$2:$D$9999*'Raw Data'!$X$2:$X$9999)/SUMIFS('Raw Data'!$D:$D, 'Raw Data'!$B:$B, "Variant", 'Raw Data'!$A:$A, $A31, 'Raw Data'!$C:$C, $C$3),""))</f>
        <v>29.08</v>
      </c>
      <c r="BO31" s="105">
        <f t="shared" si="22"/>
        <v>-0.05215123859</v>
      </c>
      <c r="BP31" s="94">
        <f>IF($A31="","",IFERROR(SUMPRODUCT(('Raw Data'!$B$2:$B$9999="Control")*('Raw Data'!$A$2:$A$9999=$A31)*('Raw Data'!$C$2:$C$9999=$C$3)*'Raw Data'!$D$2:$D$9999*'Raw Data'!$Y$2:$Y$9999)/SUMIFS('Raw Data'!$D:$D, 'Raw Data'!$B:$B, "Control", 'Raw Data'!$A:$A, $A31, 'Raw Data'!$C:$C, $C$3),""))</f>
        <v>278</v>
      </c>
      <c r="BQ31" s="94">
        <f>IF($A31="","",IFERROR(SUMPRODUCT(('Raw Data'!$B$2:$B$9999="Variant")*('Raw Data'!$A$2:$A$9999=$A31)*('Raw Data'!$C$2:$C$9999=$C$3)*'Raw Data'!$D$2:$D$9999*'Raw Data'!$Y$2:$Y$9999)/SUMIFS('Raw Data'!$D:$D, 'Raw Data'!$B:$B, "Variant", 'Raw Data'!$A:$A, $A31, 'Raw Data'!$C:$C, $C$3),""))</f>
        <v>329</v>
      </c>
      <c r="BR31" s="95">
        <f t="shared" si="23"/>
        <v>0.1834532374</v>
      </c>
      <c r="BS31" s="94">
        <f>IF($A31="","",IFERROR(SUMPRODUCT(('Raw Data'!$B$2:$B$9999="Control")*('Raw Data'!$A$2:$A$9999=$A31)*('Raw Data'!$C$2:$C$9999=$C$3)*'Raw Data'!$D$2:$D$9999*'Raw Data'!$Z$2:$Z$9999)/SUMIFS('Raw Data'!$D:$D, 'Raw Data'!$B:$B, "Control", 'Raw Data'!$A:$A, $A31, 'Raw Data'!$C:$C, $C$3),""))</f>
        <v>1589</v>
      </c>
      <c r="BT31" s="94">
        <f>IF($A31="","",IFERROR(SUMPRODUCT(('Raw Data'!$B$2:$B$9999="Variant")*('Raw Data'!$A$2:$A$9999=$A31)*('Raw Data'!$C$2:$C$9999=$C$3)*'Raw Data'!$D$2:$D$9999*'Raw Data'!$Z$2:$Z$9999)/SUMIFS('Raw Data'!$D:$D, 'Raw Data'!$B:$B, "Variant", 'Raw Data'!$A:$A, $A31, 'Raw Data'!$C:$C, $C$3),""))</f>
        <v>2114</v>
      </c>
      <c r="BU31" s="95">
        <f t="shared" si="24"/>
        <v>0.3303964758</v>
      </c>
      <c r="BV31" s="94">
        <f>IF($A31="","",IFERROR(SUMPRODUCT(('Raw Data'!$B$2:$B$9999="Control")*('Raw Data'!$A$2:$A$9999=$A31)*('Raw Data'!$C$2:$C$9999=$C$3)*'Raw Data'!$D$2:$D$9999*'Raw Data'!$AA$2:$AA$9999)/SUMIFS('Raw Data'!$D:$D, 'Raw Data'!$B:$B, "Control", 'Raw Data'!$A:$A, $A31, 'Raw Data'!$C:$C, $C$3),""))</f>
        <v>8283</v>
      </c>
      <c r="BW31" s="94">
        <f>IF($A31="","",IFERROR(SUMPRODUCT(('Raw Data'!$B$2:$B$9999="Variant")*('Raw Data'!$A$2:$A$9999=$A31)*('Raw Data'!$C$2:$C$9999=$C$3)*'Raw Data'!$D$2:$D$9999*'Raw Data'!$AA$2:$AA$9999)/SUMIFS('Raw Data'!$D:$D, 'Raw Data'!$B:$B, "Variant", 'Raw Data'!$A:$A, $A31, 'Raw Data'!$C:$C, $C$3),""))</f>
        <v>10188</v>
      </c>
      <c r="BX31" s="95">
        <f t="shared" si="25"/>
        <v>0.2299891344</v>
      </c>
      <c r="BY31" s="101">
        <f>IF($A31="","",IFERROR(SUMPRODUCT(('Raw Data'!$B$2:$B$9999="Control")*('Raw Data'!$A$2:$A$9999=$A31)*('Raw Data'!$C$2:$C$9999=$C$3)*'Raw Data'!$D$2:$D$9999*'Raw Data'!$AB$2:$AB$9999)/SUMIFS('Raw Data'!$D:$D, 'Raw Data'!$B:$B, "Control", 'Raw Data'!$A:$A, $A31, 'Raw Data'!$C:$C, $C$3),""))</f>
        <v>62.5863</v>
      </c>
      <c r="BZ31" s="101">
        <f>IF($A31="","",IFERROR(SUMPRODUCT(('Raw Data'!$B$2:$B$9999="Variant")*('Raw Data'!$A$2:$A$9999=$A31)*('Raw Data'!$C$2:$C$9999=$C$3)*'Raw Data'!$D$2:$D$9999*'Raw Data'!$AB$2:$AB$9999)/SUMIFS('Raw Data'!$D:$D, 'Raw Data'!$B:$B, "Variant", 'Raw Data'!$A:$A, $A31, 'Raw Data'!$C:$C, $C$3),""))</f>
        <v>62.7222</v>
      </c>
      <c r="CA31" s="105">
        <f t="shared" si="26"/>
        <v>0.002171401728</v>
      </c>
      <c r="CB31" s="101">
        <f>IF($A31="","",IFERROR(SUMPRODUCT(('Raw Data'!$B$2:$B$9999="Control")*('Raw Data'!$A$2:$A$9999=$A31)*('Raw Data'!$C$2:$C$9999=$C$3)*'Raw Data'!$D$2:$D$9999*'Raw Data'!$AC$2:$AC$9999)/SUMIFS('Raw Data'!$D:$D, 'Raw Data'!$B:$B, "Control", 'Raw Data'!$A:$A, $A31, 'Raw Data'!$C:$C, $C$3),""))</f>
        <v>0.8679</v>
      </c>
      <c r="CC31" s="101">
        <f>IF($A31="","",IFERROR(SUMPRODUCT(('Raw Data'!$B$2:$B$9999="Variant")*('Raw Data'!$A$2:$A$9999=$A31)*('Raw Data'!$C$2:$C$9999=$C$3)*'Raw Data'!$D$2:$D$9999*'Raw Data'!$AC$2:$AC$9999)/SUMIFS('Raw Data'!$D:$D, 'Raw Data'!$B:$B, "Variant", 'Raw Data'!$A:$A, $A31, 'Raw Data'!$C:$C, $C$3),""))</f>
        <v>0.8696</v>
      </c>
      <c r="CD31" s="105">
        <f t="shared" si="27"/>
        <v>0.001958751008</v>
      </c>
      <c r="CE31" s="101">
        <f>IF($A31="","",IFERROR(SUMPRODUCT(('Raw Data'!$B$2:$B$9999="Control")*('Raw Data'!$A$2:$A$9999=$A31)*('Raw Data'!$C$2:$C$9999=$C$3)*'Raw Data'!$D$2:$D$9999*'Raw Data'!$AD$2:$AD$9999)/SUMIFS('Raw Data'!$D:$D, 'Raw Data'!$B:$B, "Control", 'Raw Data'!$A:$A, $A31, 'Raw Data'!$C:$C, $C$3),""))</f>
        <v>86.28</v>
      </c>
      <c r="CF31" s="101">
        <f>IF($A31="","",IFERROR(SUMPRODUCT(('Raw Data'!$B$2:$B$9999="Variant")*('Raw Data'!$A$2:$A$9999=$A31)*('Raw Data'!$C$2:$C$9999=$C$3)*'Raw Data'!$D$2:$D$9999*'Raw Data'!$AD$2:$AD$9999)/SUMIFS('Raw Data'!$D:$D, 'Raw Data'!$B:$B, "Variant", 'Raw Data'!$A:$A, $A31, 'Raw Data'!$C:$C, $C$3),""))</f>
        <v>81.33</v>
      </c>
      <c r="CG31" s="105">
        <f t="shared" si="28"/>
        <v>-0.0573713491</v>
      </c>
      <c r="CH31" s="101">
        <f>IF($A31="","",IFERROR(SUMPRODUCT(('Raw Data'!$B$2:$B$9999="Control")*('Raw Data'!$A$2:$A$9999=$A31)*('Raw Data'!$C$2:$C$9999=$C$3)*'Raw Data'!$D$2:$D$9999*'Raw Data'!$AE$2:$AE$9999)/SUMIFS('Raw Data'!$D:$D, 'Raw Data'!$B:$B, "Control", 'Raw Data'!$A:$A, $A31, 'Raw Data'!$C:$C, $C$3),""))</f>
        <v>32</v>
      </c>
      <c r="CI31" s="101">
        <f>IF($A31="","",IFERROR(SUMPRODUCT(('Raw Data'!$B$2:$B$9999="Variant")*('Raw Data'!$A$2:$A$9999=$A31)*('Raw Data'!$C$2:$C$9999=$C$3)*'Raw Data'!$D$2:$D$9999*'Raw Data'!$AE$2:$AE$9999)/SUMIFS('Raw Data'!$D:$D, 'Raw Data'!$B:$B, "Variant", 'Raw Data'!$A:$A, $A31, 'Raw Data'!$C:$C, $C$3),""))</f>
        <v>31</v>
      </c>
      <c r="CJ31" s="105">
        <f t="shared" si="29"/>
        <v>-0.03125</v>
      </c>
      <c r="CK31" s="101">
        <f>IF($A31="","",IFERROR(SUMPRODUCT(('Raw Data'!$B$2:$B$9999="Control")*('Raw Data'!$A$2:$A$9999=$A31)*('Raw Data'!$C$2:$C$9999=$C$3)*'Raw Data'!$D$2:$D$9999*'Raw Data'!$AF$2:$AF$9999)/SUMIFS('Raw Data'!$D:$D, 'Raw Data'!$B:$B, "Control", 'Raw Data'!$A:$A, $A31, 'Raw Data'!$C:$C, $C$3),""))</f>
        <v>67</v>
      </c>
      <c r="CL31" s="101">
        <f>IF($A31="","",IFERROR(SUMPRODUCT(('Raw Data'!$B$2:$B$9999="Variant")*('Raw Data'!$A$2:$A$9999=$A31)*('Raw Data'!$C$2:$C$9999=$C$3)*'Raw Data'!$D$2:$D$9999*'Raw Data'!$AF$2:$AF$9999)/SUMIFS('Raw Data'!$D:$D, 'Raw Data'!$B:$B, "Variant", 'Raw Data'!$A:$A, $A31, 'Raw Data'!$C:$C, $C$3),""))</f>
        <v>69</v>
      </c>
      <c r="CM31" s="105">
        <f t="shared" si="30"/>
        <v>0.02985074627</v>
      </c>
      <c r="CN31" s="101">
        <f>IF($A31="","",IFERROR(SUMPRODUCT(('Raw Data'!$B$2:$B$9999="Control")*('Raw Data'!$A$2:$A$9999=$A31)*('Raw Data'!$C$2:$C$9999=$C$3)*'Raw Data'!$D$2:$D$9999*'Raw Data'!$AG$2:$AG$9999)/SUMIFS('Raw Data'!$D:$D, 'Raw Data'!$B:$B, "Control", 'Raw Data'!$A:$A, $A31, 'Raw Data'!$C:$C, $C$3),""))</f>
        <v>122</v>
      </c>
      <c r="CO31" s="101">
        <f>IF($A31="","",IFERROR(SUMPRODUCT(('Raw Data'!$B$2:$B$9999="Variant")*('Raw Data'!$A$2:$A$9999=$A31)*('Raw Data'!$C$2:$C$9999=$C$3)*'Raw Data'!$D$2:$D$9999*'Raw Data'!$AG$2:$AG$9999)/SUMIFS('Raw Data'!$D:$D, 'Raw Data'!$B:$B, "Variant", 'Raw Data'!$A:$A, $A31, 'Raw Data'!$C:$C, $C$3),""))</f>
        <v>113</v>
      </c>
      <c r="CP31" s="105">
        <f t="shared" si="31"/>
        <v>-0.0737704918</v>
      </c>
      <c r="CQ31" s="101">
        <f>IF($A31="","",IFERROR(SUMPRODUCT(('Raw Data'!$B$2:$B$9999="Control")*('Raw Data'!$A$2:$A$9999=$A31)*('Raw Data'!$C$2:$C$9999=$C$3)*'Raw Data'!$D$2:$D$9999*'Raw Data'!$AH$2:$AH$9999)/SUMIFS('Raw Data'!$D:$D, 'Raw Data'!$B:$B, "Control", 'Raw Data'!$A:$A, $A31, 'Raw Data'!$C:$C, $C$3),""))</f>
        <v>180</v>
      </c>
      <c r="CR31" s="101">
        <f>IF($A31="","",IFERROR(SUMPRODUCT(('Raw Data'!$B$2:$B$9999="Variant")*('Raw Data'!$A$2:$A$9999=$A31)*('Raw Data'!$C$2:$C$9999=$C$3)*'Raw Data'!$D$2:$D$9999*'Raw Data'!$AH$2:$AH$9999)/SUMIFS('Raw Data'!$D:$D, 'Raw Data'!$B:$B, "Variant", 'Raw Data'!$A:$A, $A31, 'Raw Data'!$C:$C, $C$3),""))</f>
        <v>171</v>
      </c>
      <c r="CS31" s="105">
        <f t="shared" si="32"/>
        <v>-0.05</v>
      </c>
      <c r="CT31" s="96">
        <f>IF($A31="","",IFERROR(SUMPRODUCT(('Raw Data'!$B$2:$B$9999="Control")*('Raw Data'!$A$2:$A$9999=$A31)*('Raw Data'!$C$2:$C$9999=$C$3)*'Raw Data'!$D$2:$D$9999*'Raw Data'!$AI$2:$AI$9999)/SUMIFS('Raw Data'!$D:$D, 'Raw Data'!$B:$B, "Control", 'Raw Data'!$A:$A, $A31, 'Raw Data'!$C:$C, $C$3),""))</f>
        <v>44.51</v>
      </c>
      <c r="CU31" s="96">
        <f>IF($A31="","",IFERROR(SUMPRODUCT(('Raw Data'!$B$2:$B$9999="Variant")*('Raw Data'!$A$2:$A$9999=$A31)*('Raw Data'!$C$2:$C$9999=$C$3)*'Raw Data'!$D$2:$D$9999*'Raw Data'!$AI$2:$AI$9999)/SUMIFS('Raw Data'!$D:$D, 'Raw Data'!$B:$B, "Variant", 'Raw Data'!$A:$A, $A31, 'Raw Data'!$C:$C, $C$3),""))</f>
        <v>44.4</v>
      </c>
      <c r="CV31" s="106">
        <f t="shared" si="33"/>
        <v>-0.002471354752</v>
      </c>
      <c r="CW31" s="96">
        <f>IF($A31="","",IFERROR(SUMPRODUCT(('Raw Data'!$B$2:$B$9999="Control")*('Raw Data'!$A$2:$A$9999=$A31)*('Raw Data'!$C$2:$C$9999=$C$3)*'Raw Data'!$D$2:$D$9999*'Raw Data'!$AJ$2:$AJ$9999)/SUMIFS('Raw Data'!$D:$D, 'Raw Data'!$B:$B, "Control", 'Raw Data'!$A:$A, $A31, 'Raw Data'!$C:$C, $C$3),""))</f>
        <v>11.18</v>
      </c>
      <c r="CX31" s="96">
        <f>IF($A31="","",IFERROR(SUMPRODUCT(('Raw Data'!$B$2:$B$9999="Variant")*('Raw Data'!$A$2:$A$9999=$A31)*('Raw Data'!$C$2:$C$9999=$C$3)*'Raw Data'!$D$2:$D$9999*'Raw Data'!$AJ$2:$AJ$9999)/SUMIFS('Raw Data'!$D:$D, 'Raw Data'!$B:$B, "Variant", 'Raw Data'!$A:$A, $A31, 'Raw Data'!$C:$C, $C$3),""))</f>
        <v>9.49</v>
      </c>
      <c r="CY31" s="106">
        <f t="shared" si="34"/>
        <v>-0.1511627907</v>
      </c>
      <c r="CZ31" s="96">
        <f>IF($A31="","",IFERROR(SUMPRODUCT(('Raw Data'!$B$2:$B$9999="Control")*('Raw Data'!$A$2:$A$9999=$A31)*('Raw Data'!$C$2:$C$9999=$C$3)*'Raw Data'!$D$2:$D$9999*'Raw Data'!$AK$2:$AK$9999)/SUMIFS('Raw Data'!$D:$D, 'Raw Data'!$B:$B, "Control", 'Raw Data'!$A:$A, $A31, 'Raw Data'!$C:$C, $C$3),""))</f>
        <v>1.42</v>
      </c>
      <c r="DA31" s="96">
        <f>IF($A31="","",IFERROR(SUMPRODUCT(('Raw Data'!$B$2:$B$9999="Variant")*('Raw Data'!$A$2:$A$9999=$A31)*('Raw Data'!$C$2:$C$9999=$C$3)*'Raw Data'!$D$2:$D$9999*'Raw Data'!$AK$2:$AK$9999)/SUMIFS('Raw Data'!$D:$D, 'Raw Data'!$B:$B, "Variant", 'Raw Data'!$A:$A, $A31, 'Raw Data'!$C:$C, $C$3),""))</f>
        <v>1.71</v>
      </c>
      <c r="DB31" s="105">
        <f t="shared" si="35"/>
        <v>0.2042253521</v>
      </c>
      <c r="DC31" s="102">
        <f>IF($A31="","",IFERROR(SUMPRODUCT(('Raw Data'!$B$2:$B$9999="Control")*('Raw Data'!$A$2:$A$9999=$A31)*('Raw Data'!$C$2:$C$9999=$C$3)*'Raw Data'!$D$2:$D$9999*'Raw Data'!$AL$2:$AL$9999)/SUMIFS('Raw Data'!$D:$D, 'Raw Data'!$B:$B, "Control", 'Raw Data'!$A:$A, $A31, 'Raw Data'!$C:$C, $C$3),""))</f>
        <v>0.0955</v>
      </c>
      <c r="DD31" s="102">
        <f>IF($A31="","",IFERROR(SUMPRODUCT(('Raw Data'!$B$2:$B$9999="Variant")*('Raw Data'!$A$2:$A$9999=$A31)*('Raw Data'!$C$2:$C$9999=$C$3)*'Raw Data'!$D$2:$D$9999*'Raw Data'!$AL$2:$AL$9999)/SUMIFS('Raw Data'!$D:$D, 'Raw Data'!$B:$B, "Variant", 'Raw Data'!$A:$A, $A31, 'Raw Data'!$C:$C, $C$3),""))</f>
        <v>0.1006</v>
      </c>
      <c r="DE31" s="106">
        <f t="shared" si="36"/>
        <v>0.05340314136</v>
      </c>
      <c r="DF31" s="103"/>
      <c r="DG31" s="96">
        <f>IF($A31="","",IFERROR(SUMPRODUCT(('Raw Data'!$B$2:$B$9999="Variant")*('Raw Data'!$A$2:$A$9999=$A31)*('Raw Data'!$C$2:$C$9999=$C$3)*'Raw Data'!$D$2:$D$9999*'Raw Data'!$AM$2:$AM$9999)/SUMIFS('Raw Data'!$D:$D, 'Raw Data'!$B:$B, "Variant", 'Raw Data'!$A:$A, $A31, 'Raw Data'!$C:$C, $C$3),""))</f>
        <v>83.87</v>
      </c>
      <c r="DH31" s="104"/>
      <c r="DI31" s="103"/>
      <c r="DJ31" s="96">
        <f>IF($A31="","",IFERROR(SUMPRODUCT(('Raw Data'!$B$2:$B$9999="Variant")*('Raw Data'!$A$2:$A$9999=$A31)*('Raw Data'!$C$2:$C$9999=$C$3)*'Raw Data'!$D$2:$D$9999*'Raw Data'!$AN$2:$AN$9999)/SUMIFS('Raw Data'!$D:$D, 'Raw Data'!$B:$B, "Variant", 'Raw Data'!$A:$A, $A31, 'Raw Data'!$C:$C, $C$3),""))</f>
        <v>83.87</v>
      </c>
      <c r="DK31" s="104"/>
      <c r="DL31" s="103"/>
      <c r="DM31" s="96">
        <f>IF($A31="","",IFERROR(SUMPRODUCT(('Raw Data'!$B$2:$B$9999="Variant")*('Raw Data'!$A$2:$A$9999=$A31)*('Raw Data'!$C$2:$C$9999=$C$3)*'Raw Data'!$D$2:$D$9999*'Raw Data'!$AO$2:$AO$9999)/SUMIFS('Raw Data'!$D:$D, 'Raw Data'!$B:$B, "Variant", 'Raw Data'!$A:$A, $A31, 'Raw Data'!$C:$C, $C$3),""))</f>
        <v>66.6</v>
      </c>
      <c r="DN31" s="104"/>
      <c r="DO31" s="103"/>
      <c r="DP31" s="96">
        <f>IF($A31="","",IFERROR(SUMPRODUCT(('Raw Data'!$B$2:$B$9999="Variant")*('Raw Data'!$A$2:$A$9999=$A31)*('Raw Data'!$C$2:$C$9999=$C$3)*'Raw Data'!$D$2:$D$9999*'Raw Data'!$AP$2:$AP$9999)/SUMIFS('Raw Data'!$D:$D, 'Raw Data'!$B:$B, "Variant", 'Raw Data'!$A:$A, $A31, 'Raw Data'!$C:$C, $C$3),""))</f>
        <v>55.98</v>
      </c>
      <c r="DQ31" s="104"/>
      <c r="DR31" s="102">
        <f>IF($A31="","",IFERROR(SUMPRODUCT(('Raw Data'!$B$2:$B$9999="Control")*('Raw Data'!$A$2:$A$9999=$A31)*('Raw Data'!$C$2:$C$9999=$C$3)*'Raw Data'!$D$2:$D$9999*'Raw Data'!$AQ$2:$AQ$9999)/SUMIFS('Raw Data'!$D:$D, 'Raw Data'!$B:$B, "Control", 'Raw Data'!$A:$A, $A31, 'Raw Data'!$C:$C, $C$3),""))</f>
        <v>43.0061</v>
      </c>
      <c r="DS31" s="102">
        <f>IF($A31="","",IFERROR(SUMPRODUCT(('Raw Data'!$B$2:$B$9999="Variant")*('Raw Data'!$A$2:$A$9999=$A31)*('Raw Data'!$C$2:$C$9999=$C$3)*'Raw Data'!$D$2:$D$9999*'Raw Data'!$AQ$2:$AQ$9999)/SUMIFS('Raw Data'!$D:$D, 'Raw Data'!$B:$B, "Variant", 'Raw Data'!$A:$A, $A31, 'Raw Data'!$C:$C, $C$3),""))</f>
        <v>39.2751</v>
      </c>
      <c r="DT31" s="109">
        <f t="shared" si="37"/>
        <v>-0.08675513474</v>
      </c>
      <c r="DU31" s="102">
        <f>IF($A31="","",IFERROR(SUMPRODUCT(('Raw Data'!$B$2:$B$9999="Control")*('Raw Data'!$A$2:$A$9999=$A31)*('Raw Data'!$C$2:$C$9999=$C$3)*'Raw Data'!$D$2:$D$9999*'Raw Data'!$AR$2:$AR$9999)/SUMIFS('Raw Data'!$D:$D, 'Raw Data'!$B:$B, "Control", 'Raw Data'!$A:$A, $A31, 'Raw Data'!$C:$C, $C$3),""))</f>
        <v>7.4126</v>
      </c>
      <c r="DV31" s="102">
        <f>IF($A31="","",IFERROR(SUMPRODUCT(('Raw Data'!$B$2:$B$9999="Variant")*('Raw Data'!$A$2:$A$9999=$A31)*('Raw Data'!$C$2:$C$9999=$C$3)*'Raw Data'!$D$2:$D$9999*'Raw Data'!$AR$2:$AR$9999)/SUMIFS('Raw Data'!$D:$D, 'Raw Data'!$B:$B, "Variant", 'Raw Data'!$A:$A, $A31, 'Raw Data'!$C:$C, $C$3),""))</f>
        <v>3.759</v>
      </c>
      <c r="DW31" s="109">
        <f t="shared" si="38"/>
        <v>-0.4928904838</v>
      </c>
      <c r="DX31" s="102">
        <f>IF($A31="","",IFERROR(SUMPRODUCT(('Raw Data'!$B$2:$B$9999="Control")*('Raw Data'!$A$2:$A$9999=$A31)*('Raw Data'!$C$2:$C$9999=$C$3)*'Raw Data'!$D$2:$D$9999*'Raw Data'!$AS$2:$AS$9999)/SUMIFS('Raw Data'!$D:$D, 'Raw Data'!$B:$B, "Control", 'Raw Data'!$A:$A, $A31, 'Raw Data'!$C:$C, $C$3),""))</f>
        <v>35.5935</v>
      </c>
      <c r="DY31" s="102">
        <f>IF($A31="","",IFERROR(SUMPRODUCT(('Raw Data'!$B$2:$B$9999="Variant")*('Raw Data'!$A$2:$A$9999=$A31)*('Raw Data'!$C$2:$C$9999=$C$3)*'Raw Data'!$D$2:$D$9999*'Raw Data'!$AS$2:$AS$9999)/SUMIFS('Raw Data'!$D:$D, 'Raw Data'!$B:$B, "Variant", 'Raw Data'!$A:$A, $A31, 'Raw Data'!$C:$C, $C$3),""))</f>
        <v>35.5161</v>
      </c>
      <c r="DZ31" s="110">
        <f t="shared" si="39"/>
        <v>-0.002174554343</v>
      </c>
      <c r="EA31" s="102">
        <f>IF($A31="","",IFERROR(SUMPRODUCT(('Raw Data'!$B$2:$B$9999="Control")*('Raw Data'!$A$2:$A$9999=$A31)*('Raw Data'!$C$2:$C$9999=$C$3)*'Raw Data'!$D$2:$D$9999*'Raw Data'!$AT$2:$AT$9999)/SUMIFS('Raw Data'!$D:$D, 'Raw Data'!$B:$B, "Control", 'Raw Data'!$A:$A, $A31, 'Raw Data'!$C:$C, $C$3),""))</f>
        <v>44.8476</v>
      </c>
      <c r="EB31" s="102">
        <f>IF($A31="","",IFERROR(SUMPRODUCT(('Raw Data'!$B$2:$B$9999="Variant")*('Raw Data'!$A$2:$A$9999=$A31)*('Raw Data'!$C$2:$C$9999=$C$3)*'Raw Data'!$D$2:$D$9999*'Raw Data'!$AT$2:$AT$9999)/SUMIFS('Raw Data'!$D:$D, 'Raw Data'!$B:$B, "Variant", 'Raw Data'!$A:$A, $A31, 'Raw Data'!$C:$C, $C$3),""))</f>
        <v>36.8254</v>
      </c>
      <c r="EC31" s="109">
        <f t="shared" si="40"/>
        <v>-0.1788769076</v>
      </c>
      <c r="ED31" s="102">
        <f>IF($A31="","",IFERROR(SUMPRODUCT(('Raw Data'!$B$2:$B$9999="Control")*('Raw Data'!$A$2:$A$9999=$A31)*('Raw Data'!$C$2:$C$9999=$C$3)*'Raw Data'!$D$2:$D$9999*('Raw Data'!$AQ$2:$AQ$9999-'Raw Data'!$AT$2:$AT$9999))/SUMIFS('Raw Data'!$D:$D, 'Raw Data'!$B:$B, "Control", 'Raw Data'!$A:$A, $A31, 'Raw Data'!$C:$C, $C$3),""))</f>
        <v>-1.8415</v>
      </c>
      <c r="EE31" s="102">
        <f>IF($A31="","",IFERROR(SUMPRODUCT(('Raw Data'!$B$2:$B$9999="Variant")*('Raw Data'!$A$2:$A$9999=$A31)*('Raw Data'!$C$2:$C$9999=$C$3)*'Raw Data'!$D$2:$D$9999*('Raw Data'!$AQ$2:$AQ$9999-'Raw Data'!$AT$2:$AT$9999))/SUMIFS('Raw Data'!$D:$D, 'Raw Data'!$B:$B, "Variant", 'Raw Data'!$A:$A, $A31, 'Raw Data'!$C:$C, $C$3),""))</f>
        <v>2.4497</v>
      </c>
      <c r="EF31" s="110">
        <f t="shared" si="41"/>
        <v>2.330274233</v>
      </c>
      <c r="EG31" s="102">
        <f>IF($A31="","",IFERROR(SUMPRODUCT(('Raw Data'!$B$2:$B$9999="Control")*('Raw Data'!$A$2:$A$9999=$A31)*('Raw Data'!$C$2:$C$9999=$C$3)*'Raw Data'!$D$2:$D$9999*'Raw Data'!$AU$2:$AU$9999)/SUMIFS('Raw Data'!$D:$D, 'Raw Data'!$B:$B, "Control", 'Raw Data'!$A:$A, $A31, 'Raw Data'!$C:$C, $C$3),""))</f>
        <v>0.2872</v>
      </c>
      <c r="EH31" s="102">
        <f>IF($A31="","",IFERROR(SUMPRODUCT(('Raw Data'!$B$2:$B$9999="Variant")*('Raw Data'!$A$2:$A$9999=$A31)*('Raw Data'!$C$2:$C$9999=$C$3)*'Raw Data'!$D$2:$D$9999*'Raw Data'!$AU$2:$AU$9999)/SUMIFS('Raw Data'!$D:$D, 'Raw Data'!$B:$B, "Variant", 'Raw Data'!$A:$A, $A31, 'Raw Data'!$C:$C, $C$3),""))</f>
        <v>0.2433</v>
      </c>
      <c r="EI31" s="109">
        <f t="shared" si="42"/>
        <v>-0.1528551532</v>
      </c>
    </row>
    <row r="32" ht="15.75" customHeight="1">
      <c r="A32" s="93">
        <v>46200.0</v>
      </c>
      <c r="B32" s="94">
        <f>IF($A32="","",SUMIFS('Raw Data'!$D:$D, 'Raw Data'!$B:$B, "Control", 'Raw Data'!$A:$A, $A32, 'Raw Data'!$C:$C, $C$3))</f>
        <v>485</v>
      </c>
      <c r="C32" s="94">
        <f>IF($A32="","",SUMIFS('Raw Data'!$D:$D, 'Raw Data'!$B:$B, "Variant", 'Raw Data'!$A:$A, $A32, 'Raw Data'!$C:$C, $C$3))</f>
        <v>529</v>
      </c>
      <c r="D32" s="95">
        <f t="shared" si="1"/>
        <v>0.09072164948</v>
      </c>
      <c r="E32" s="96">
        <f>IF($A32="","",IFERROR(SUMPRODUCT(('Raw Data'!$B$2:$B$9999="Control")*('Raw Data'!$A$2:$A$9999=$A32)*('Raw Data'!$C$2:$C$9999=$C$3)*'Raw Data'!$D$2:$D$9999*'Raw Data'!$E$2:$E$9999)/SUMIFS('Raw Data'!$D:$D, 'Raw Data'!$B:$B, "Control", 'Raw Data'!$A:$A, $A32, 'Raw Data'!$C:$C, $C$3),""))</f>
        <v>0.62</v>
      </c>
      <c r="F32" s="96">
        <f>IF($A32="","",IFERROR(SUMPRODUCT(('Raw Data'!$B$2:$B$9999="Variant")*('Raw Data'!$A$2:$A$9999=$A32)*('Raw Data'!$C$2:$C$9999=$C$3)*'Raw Data'!$D$2:$D$9999*'Raw Data'!$E$2:$E$9999)/SUMIFS('Raw Data'!$D:$D, 'Raw Data'!$B:$B, "Variant", 'Raw Data'!$A:$A, $A32, 'Raw Data'!$C:$C, $C$3),""))</f>
        <v>0.68</v>
      </c>
      <c r="G32" s="95">
        <f t="shared" si="2"/>
        <v>0.09677419355</v>
      </c>
      <c r="H32" s="97">
        <f>IF($A32="","",SUMIFS('Raw Data'!$F:$F, 'Raw Data'!$B:$B, "Control", 'Raw Data'!$A:$A, $A32, 'Raw Data'!$C:$C, $C$3))</f>
        <v>1442.41</v>
      </c>
      <c r="I32" s="97">
        <f>IF($A32="","",SUMIFS('Raw Data'!$F:$F, 'Raw Data'!$B:$B, "Variant", 'Raw Data'!$A:$A, $A32, 'Raw Data'!$C:$C, $C$3))</f>
        <v>1647.02</v>
      </c>
      <c r="J32" s="105">
        <f t="shared" si="3"/>
        <v>0.1418528712</v>
      </c>
      <c r="K32" s="99">
        <f>IF($A32="","",IFERROR(SUMIFS('Raw Data'!$F:$F, 'Raw Data'!$B:$B, "Control", 'Raw Data'!$A:$A, $A32, 'Raw Data'!$C:$C, $C$3)/SUMIFS('Raw Data'!$D:$D, 'Raw Data'!$B:$B, "Control", 'Raw Data'!$A:$A, $A32, 'Raw Data'!$C:$C, $C$3),""))</f>
        <v>2.974041237</v>
      </c>
      <c r="L32" s="99">
        <f>IF($A32="","",IFERROR(SUMIFS('Raw Data'!$F:$F, 'Raw Data'!$B:$B, "Variant", 'Raw Data'!$A:$A, $A32, 'Raw Data'!$C:$C, $C$3)/SUMIFS('Raw Data'!$D:$D, 'Raw Data'!$B:$B, "Variant", 'Raw Data'!$A:$A, $A32, 'Raw Data'!$C:$C, $C$3),""))</f>
        <v>3.113459357</v>
      </c>
      <c r="M32" s="105">
        <f t="shared" si="4"/>
        <v>0.0468783413</v>
      </c>
      <c r="N32" s="96">
        <f>IF($A32="","",IFERROR(SUMPRODUCT(('Raw Data'!$B$2:$B$9999="Control")*('Raw Data'!$A$2:$A$9999=$A32)*('Raw Data'!$C$2:$C$9999=$C$3)*'Raw Data'!$D$2:$D$9999*'Raw Data'!$H$2:$H$9999/100)/SUMIFS('Raw Data'!$D:$D, 'Raw Data'!$B:$B, "Control", 'Raw Data'!$A:$A, $A32, 'Raw Data'!$C:$C, $C$3)*100,""))</f>
        <v>14.43</v>
      </c>
      <c r="O32" s="96">
        <f>IF($A32="","",IFERROR(SUMPRODUCT(('Raw Data'!$B$2:$B$9999="Variant")*('Raw Data'!$A$2:$A$9999=$A32)*('Raw Data'!$C$2:$C$9999=$C$3)*'Raw Data'!$D$2:$D$9999*'Raw Data'!$H$2:$H$9999/100)/SUMIFS('Raw Data'!$D:$D, 'Raw Data'!$B:$B, "Variant", 'Raw Data'!$A:$A, $A32, 'Raw Data'!$C:$C, $C$3)*100,""))</f>
        <v>18.15</v>
      </c>
      <c r="P32" s="105">
        <f t="shared" si="5"/>
        <v>0.2577962578</v>
      </c>
      <c r="Q32" s="99">
        <f>IF($A32="","",IFERROR(SUMIFS('Raw Data'!$F:$F, 'Raw Data'!$B:$B, "Control", 'Raw Data'!$A:$A, $A32, 'Raw Data'!$C:$C, $C$3)/SUMPRODUCT(('Raw Data'!$B$2:$B$9999="Control")*('Raw Data'!$A$2:$A$9999=$A32)*('Raw Data'!$C$2:$C$9999=$C$3)*'Raw Data'!$D$2:$D$9999*'Raw Data'!$H$2:$H$9999/100),""))</f>
        <v>20.61012638</v>
      </c>
      <c r="R32" s="99">
        <f>IF($A32="","",IFERROR(SUMIFS('Raw Data'!$F:$F, 'Raw Data'!$B:$B, "Variant", 'Raw Data'!$A:$A, $A32, 'Raw Data'!$C:$C, $C$3)/SUMPRODUCT(('Raw Data'!$B$2:$B$9999="Variant")*('Raw Data'!$A$2:$A$9999=$A32)*('Raw Data'!$C$2:$C$9999=$C$3)*'Raw Data'!$D$2:$D$9999*'Raw Data'!$H$2:$H$9999/100),""))</f>
        <v>17.15404605</v>
      </c>
      <c r="S32" s="105">
        <f t="shared" si="6"/>
        <v>-0.1676884592</v>
      </c>
      <c r="T32" s="101">
        <f>IF($A32="","",IFERROR(SUMPRODUCT(('Raw Data'!$B$2:$B$9999="Control")*('Raw Data'!$A$2:$A$9999=$A32)*('Raw Data'!$C$2:$C$9999=$C$3)*'Raw Data'!$D$2:$D$9999*'Raw Data'!$J$2:$J$9999)/SUMIFS('Raw Data'!$D:$D, 'Raw Data'!$B:$B, "Control", 'Raw Data'!$A:$A, $A32, 'Raw Data'!$C:$C, $C$3),""))</f>
        <v>231.46</v>
      </c>
      <c r="U32" s="101">
        <f>IF($A32="","",IFERROR(SUMPRODUCT(('Raw Data'!$B$2:$B$9999="Variant")*('Raw Data'!$A$2:$A$9999=$A32)*('Raw Data'!$C$2:$C$9999=$C$3)*'Raw Data'!$D$2:$D$9999*'Raw Data'!$J$2:$J$9999)/SUMIFS('Raw Data'!$D:$D, 'Raw Data'!$B:$B, "Variant", 'Raw Data'!$A:$A, $A32, 'Raw Data'!$C:$C, $C$3),""))</f>
        <v>242.36</v>
      </c>
      <c r="V32" s="105">
        <f t="shared" si="7"/>
        <v>0.04709237017</v>
      </c>
      <c r="W32" s="101">
        <f>IF($A32="","",IFERROR(SUMPRODUCT(('Raw Data'!$B$2:$B$9999="Control")*('Raw Data'!$A$2:$A$9999=$A32)*('Raw Data'!$C$2:$C$9999=$C$3)*'Raw Data'!$D$2:$D$9999*'Raw Data'!$K$2:$K$9999)/SUMIFS('Raw Data'!$D:$D, 'Raw Data'!$B:$B, "Control", 'Raw Data'!$A:$A, $A32, 'Raw Data'!$C:$C, $C$3),""))</f>
        <v>143.42</v>
      </c>
      <c r="X32" s="101">
        <f>IF($A32="","",IFERROR(SUMPRODUCT(('Raw Data'!$B$2:$B$9999="Variant")*('Raw Data'!$A$2:$A$9999=$A32)*('Raw Data'!$C$2:$C$9999=$C$3)*'Raw Data'!$D$2:$D$9999*'Raw Data'!$K$2:$K$9999)/SUMIFS('Raw Data'!$D:$D, 'Raw Data'!$B:$B, "Variant", 'Raw Data'!$A:$A, $A32, 'Raw Data'!$C:$C, $C$3),""))</f>
        <v>148.23</v>
      </c>
      <c r="Y32" s="105">
        <f t="shared" si="8"/>
        <v>0.03353786083</v>
      </c>
      <c r="Z32" s="101">
        <f>IF($A32="","",IFERROR(SUMPRODUCT(('Raw Data'!$B$2:$B$9999="Control")*('Raw Data'!$A$2:$A$9999=$A32)*('Raw Data'!$C$2:$C$9999=$C$3)*'Raw Data'!$D$2:$D$9999*'Raw Data'!$L$2:$L$9999)/SUMIFS('Raw Data'!$D:$D, 'Raw Data'!$B:$B, "Control", 'Raw Data'!$A:$A, $A32, 'Raw Data'!$C:$C, $C$3),""))</f>
        <v>119.44</v>
      </c>
      <c r="AA32" s="101">
        <f>IF($A32="","",IFERROR(SUMPRODUCT(('Raw Data'!$B$2:$B$9999="Variant")*('Raw Data'!$A$2:$A$9999=$A32)*('Raw Data'!$C$2:$C$9999=$C$3)*'Raw Data'!$D$2:$D$9999*'Raw Data'!$L$2:$L$9999)/SUMIFS('Raw Data'!$D:$D, 'Raw Data'!$B:$B, "Variant", 'Raw Data'!$A:$A, $A32, 'Raw Data'!$C:$C, $C$3),""))</f>
        <v>123.02</v>
      </c>
      <c r="AB32" s="105">
        <f t="shared" si="9"/>
        <v>0.02997320831</v>
      </c>
      <c r="AC32" s="102">
        <f>IF($A32="","",IFERROR(SUMPRODUCT(('Raw Data'!$B$2:$B$9999="Control")*('Raw Data'!$A$2:$A$9999=$A32)*('Raw Data'!$C$2:$C$9999=$C$3)*'Raw Data'!$D$2:$D$9999*'Raw Data'!$M$2:$M$9999)/SUMIFS('Raw Data'!$D:$D, 'Raw Data'!$B:$B, "Control", 'Raw Data'!$A:$A, $A32, 'Raw Data'!$C:$C, $C$3),""))</f>
        <v>0.8328</v>
      </c>
      <c r="AD32" s="102">
        <f>IF($A32="","",IFERROR(SUMPRODUCT(('Raw Data'!$B$2:$B$9999="Variant")*('Raw Data'!$A$2:$A$9999=$A32)*('Raw Data'!$C$2:$C$9999=$C$3)*'Raw Data'!$D$2:$D$9999*'Raw Data'!$M$2:$M$9999)/SUMIFS('Raw Data'!$D:$D, 'Raw Data'!$B:$B, "Variant", 'Raw Data'!$A:$A, $A32, 'Raw Data'!$C:$C, $C$3),""))</f>
        <v>0.8299</v>
      </c>
      <c r="AE32" s="106">
        <f t="shared" si="10"/>
        <v>-0.003482228626</v>
      </c>
      <c r="AF32" s="102">
        <f>IF($A32="","",IFERROR(SUMPRODUCT(('Raw Data'!$B$2:$B$9999="Control")*('Raw Data'!$A$2:$A$9999=$A32)*('Raw Data'!$C$2:$C$9999=$C$3)*'Raw Data'!$D$2:$D$9999*'Raw Data'!$N$2:$N$9999)/SUMIFS('Raw Data'!$D:$D, 'Raw Data'!$B:$B, "Control", 'Raw Data'!$A:$A, $A32, 'Raw Data'!$C:$C, $C$3),""))</f>
        <v>0.2992</v>
      </c>
      <c r="AG32" s="102">
        <f>IF($A32="","",IFERROR(SUMPRODUCT(('Raw Data'!$B$2:$B$9999="Variant")*('Raw Data'!$A$2:$A$9999=$A32)*('Raw Data'!$C$2:$C$9999=$C$3)*'Raw Data'!$D$2:$D$9999*'Raw Data'!$N$2:$N$9999)/SUMIFS('Raw Data'!$D:$D, 'Raw Data'!$B:$B, "Variant", 'Raw Data'!$A:$A, $A32, 'Raw Data'!$C:$C, $C$3),""))</f>
        <v>0.2992</v>
      </c>
      <c r="AH32" s="106">
        <f t="shared" si="11"/>
        <v>0</v>
      </c>
      <c r="AI32" s="102">
        <f>IF($A32="","",IFERROR(SUMPRODUCT(('Raw Data'!$B$2:$B$9999="Control")*('Raw Data'!$A$2:$A$9999=$A32)*('Raw Data'!$C$2:$C$9999=$C$3)*'Raw Data'!$D$2:$D$9999*'Raw Data'!$O$2:$O$9999)/SUMIFS('Raw Data'!$D:$D, 'Raw Data'!$B:$B, "Control", 'Raw Data'!$A:$A, $A32, 'Raw Data'!$C:$C, $C$3),""))</f>
        <v>0.2033</v>
      </c>
      <c r="AJ32" s="102">
        <f>IF($A32="","",IFERROR(SUMPRODUCT(('Raw Data'!$B$2:$B$9999="Variant")*('Raw Data'!$A$2:$A$9999=$A32)*('Raw Data'!$C$2:$C$9999=$C$3)*'Raw Data'!$D$2:$D$9999*'Raw Data'!$O$2:$O$9999)/SUMIFS('Raw Data'!$D:$D, 'Raw Data'!$B:$B, "Variant", 'Raw Data'!$A:$A, $A32, 'Raw Data'!$C:$C, $C$3),""))</f>
        <v>0.2009</v>
      </c>
      <c r="AK32" s="105">
        <f t="shared" si="12"/>
        <v>-0.01180521397</v>
      </c>
      <c r="AL32" s="101">
        <f>IF($A32="","",IFERROR(SUMPRODUCT(('Raw Data'!$B$2:$B$9999="Control")*('Raw Data'!$A$2:$A$9999=$A32)*('Raw Data'!$C$2:$C$9999=$C$3)*'Raw Data'!$D$2:$D$9999*'Raw Data'!$P$2:$P$9999)/SUMIFS('Raw Data'!$D:$D, 'Raw Data'!$B:$B, "Control", 'Raw Data'!$A:$A, $A32, 'Raw Data'!$C:$C, $C$3),""))</f>
        <v>1.2008</v>
      </c>
      <c r="AM32" s="101">
        <f>IF($A32="","",IFERROR(SUMPRODUCT(('Raw Data'!$B$2:$B$9999="Variant")*('Raw Data'!$A$2:$A$9999=$A32)*('Raw Data'!$C$2:$C$9999=$C$3)*'Raw Data'!$D$2:$D$9999*'Raw Data'!$P$2:$P$9999)/SUMIFS('Raw Data'!$D:$D, 'Raw Data'!$B:$B, "Variant", 'Raw Data'!$A:$A, $A32, 'Raw Data'!$C:$C, $C$3),""))</f>
        <v>1.205</v>
      </c>
      <c r="AN32" s="105">
        <f t="shared" si="13"/>
        <v>0.003497668221</v>
      </c>
      <c r="AO32" s="101">
        <f>IF($A32="","",IFERROR(SUMPRODUCT(('Raw Data'!$B$2:$B$9999="Control")*('Raw Data'!$A$2:$A$9999=$A32)*('Raw Data'!$C$2:$C$9999=$C$3)*'Raw Data'!$D$2:$D$9999*'Raw Data'!$Q$2:$Q$9999)/SUMIFS('Raw Data'!$D:$D, 'Raw Data'!$B:$B, "Control", 'Raw Data'!$A:$A, $A32, 'Raw Data'!$C:$C, $C$3),""))</f>
        <v>800.51</v>
      </c>
      <c r="AP32" s="101">
        <f>IF($A32="","",IFERROR(SUMPRODUCT(('Raw Data'!$B$2:$B$9999="Variant")*('Raw Data'!$A$2:$A$9999=$A32)*('Raw Data'!$C$2:$C$9999=$C$3)*'Raw Data'!$D$2:$D$9999*'Raw Data'!$Q$2:$Q$9999)/SUMIFS('Raw Data'!$D:$D, 'Raw Data'!$B:$B, "Variant", 'Raw Data'!$A:$A, $A32, 'Raw Data'!$C:$C, $C$3),""))</f>
        <v>729.99</v>
      </c>
      <c r="AQ32" s="95">
        <f t="shared" si="14"/>
        <v>-0.08809384018</v>
      </c>
      <c r="AR32" s="101">
        <f>IF($A32="","",IFERROR(SUMPRODUCT(('Raw Data'!$B$2:$B$9999="Control")*('Raw Data'!$A$2:$A$9999=$A32)*('Raw Data'!$C$2:$C$9999=$C$3)*'Raw Data'!$D$2:$D$9999*'Raw Data'!$R$2:$R$9999)/SUMIFS('Raw Data'!$D:$D, 'Raw Data'!$B:$B, "Control", 'Raw Data'!$A:$A, $A32, 'Raw Data'!$C:$C, $C$3),""))</f>
        <v>546.19</v>
      </c>
      <c r="AS32" s="101">
        <f>IF($A32="","",IFERROR(SUMPRODUCT(('Raw Data'!$B$2:$B$9999="Variant")*('Raw Data'!$A$2:$A$9999=$A32)*('Raw Data'!$C$2:$C$9999=$C$3)*'Raw Data'!$D$2:$D$9999*'Raw Data'!$R$2:$R$9999)/SUMIFS('Raw Data'!$D:$D, 'Raw Data'!$B:$B, "Variant", 'Raw Data'!$A:$A, $A32, 'Raw Data'!$C:$C, $C$3),""))</f>
        <v>636.54</v>
      </c>
      <c r="AT32" s="95">
        <f t="shared" si="15"/>
        <v>0.1654186272</v>
      </c>
      <c r="AU32" s="101">
        <f>IF($A32="","",IFERROR(SUMPRODUCT(('Raw Data'!$B$2:$B$9999="Control")*('Raw Data'!$A$2:$A$9999=$A32)*('Raw Data'!$C$2:$C$9999=$C$3)*'Raw Data'!$D$2:$D$9999*'Raw Data'!$S$2:$S$9999)/SUMIFS('Raw Data'!$D:$D, 'Raw Data'!$B:$B, "Control", 'Raw Data'!$A:$A, $A32, 'Raw Data'!$C:$C, $C$3),""))</f>
        <v>254.32</v>
      </c>
      <c r="AV32" s="101">
        <f>IF($A32="","",IFERROR(SUMPRODUCT(('Raw Data'!$B$2:$B$9999="Variant")*('Raw Data'!$A$2:$A$9999=$A32)*('Raw Data'!$C$2:$C$9999=$C$3)*'Raw Data'!$D$2:$D$9999*'Raw Data'!$S$2:$S$9999)/SUMIFS('Raw Data'!$D:$D, 'Raw Data'!$B:$B, "Variant", 'Raw Data'!$A:$A, $A32, 'Raw Data'!$C:$C, $C$3),""))</f>
        <v>93.45</v>
      </c>
      <c r="AW32" s="95">
        <f t="shared" si="16"/>
        <v>-0.6325495439</v>
      </c>
      <c r="AX32" s="101">
        <f>IF($A32="","",IFERROR(SUMPRODUCT(('Raw Data'!$B$2:$B$9999="Control")*('Raw Data'!$A$2:$A$9999=$A32)*('Raw Data'!$C$2:$C$9999=$C$3)*'Raw Data'!$D$2:$D$9999*'Raw Data'!$T$2:$T$9999)/SUMIFS('Raw Data'!$D:$D, 'Raw Data'!$B:$B, "Control", 'Raw Data'!$A:$A, $A32, 'Raw Data'!$C:$C, $C$3),""))</f>
        <v>203.51</v>
      </c>
      <c r="AY32" s="101">
        <f>IF($A32="","",IFERROR(SUMPRODUCT(('Raw Data'!$B$2:$B$9999="Variant")*('Raw Data'!$A$2:$A$9999=$A32)*('Raw Data'!$C$2:$C$9999=$C$3)*'Raw Data'!$D$2:$D$9999*'Raw Data'!$T$2:$T$9999)/SUMIFS('Raw Data'!$D:$D, 'Raw Data'!$B:$B, "Variant", 'Raw Data'!$A:$A, $A32, 'Raw Data'!$C:$C, $C$3),""))</f>
        <v>184.4</v>
      </c>
      <c r="AZ32" s="105">
        <f t="shared" si="17"/>
        <v>-0.09390201956</v>
      </c>
      <c r="BA32" s="101">
        <f>IF($A32="","",IFERROR(SUMPRODUCT(('Raw Data'!$B$2:$B$9999="Control")*('Raw Data'!$A$2:$A$9999=$A32)*('Raw Data'!$C$2:$C$9999=$C$3)*'Raw Data'!$D$2:$D$9999*'Raw Data'!$U$2:$U$9999)/SUMIFS('Raw Data'!$D:$D, 'Raw Data'!$B:$B, "Control", 'Raw Data'!$A:$A, $A32, 'Raw Data'!$C:$C, $C$3),""))</f>
        <v>597</v>
      </c>
      <c r="BB32" s="101">
        <f>IF($A32="","",IFERROR(SUMPRODUCT(('Raw Data'!$B$2:$B$9999="Variant")*('Raw Data'!$A$2:$A$9999=$A32)*('Raw Data'!$C$2:$C$9999=$C$3)*'Raw Data'!$D$2:$D$9999*'Raw Data'!$U$2:$U$9999)/SUMIFS('Raw Data'!$D:$D, 'Raw Data'!$B:$B, "Variant", 'Raw Data'!$A:$A, $A32, 'Raw Data'!$C:$C, $C$3),""))</f>
        <v>545.59</v>
      </c>
      <c r="BC32" s="95">
        <f t="shared" si="18"/>
        <v>-0.08611390285</v>
      </c>
      <c r="BD32" s="101">
        <f>IF($A32="","",IFERROR(SUMPRODUCT(('Raw Data'!$B$2:$B$9999="Control")*('Raw Data'!$A$2:$A$9999=$A32)*('Raw Data'!$C$2:$C$9999=$C$3)*'Raw Data'!$D$2:$D$9999*'Raw Data'!$V$2:$V$9999)/SUMIFS('Raw Data'!$D:$D, 'Raw Data'!$B:$B, "Control", 'Raw Data'!$A:$A, $A32, 'Raw Data'!$C:$C, $C$3),""))</f>
        <v>905.26</v>
      </c>
      <c r="BE32" s="101">
        <f>IF($A32="","",IFERROR(SUMPRODUCT(('Raw Data'!$B$2:$B$9999="Variant")*('Raw Data'!$A$2:$A$9999=$A32)*('Raw Data'!$C$2:$C$9999=$C$3)*'Raw Data'!$D$2:$D$9999*'Raw Data'!$V$2:$V$9999)/SUMIFS('Raw Data'!$D:$D, 'Raw Data'!$B:$B, "Variant", 'Raw Data'!$A:$A, $A32, 'Raw Data'!$C:$C, $C$3),""))</f>
        <v>907.84</v>
      </c>
      <c r="BF32" s="95">
        <f t="shared" si="19"/>
        <v>0.002850009942</v>
      </c>
      <c r="BG32" s="101">
        <f>IF($A32="","",IFERROR(SUMPRODUCT(('Raw Data'!$B$2:$B$9999="Control")*('Raw Data'!$A$2:$A$9999=$A32)*('Raw Data'!$C$2:$C$9999=$C$3)*'Raw Data'!$D$2:$D$9999*('Raw Data'!$Q$2:$Q$9999-'Raw Data'!$V$2:$V$9999))/SUMIFS('Raw Data'!$D:$D, 'Raw Data'!$B:$B, "Control", 'Raw Data'!$A:$A, $A32, 'Raw Data'!$C:$C, $C$3),""))</f>
        <v>-104.75</v>
      </c>
      <c r="BH32" s="101">
        <f>IF($A32="","",IFERROR(SUMPRODUCT(('Raw Data'!$B$2:$B$9999="Variant")*('Raw Data'!$A$2:$A$9999=$A32)*('Raw Data'!$C$2:$C$9999=$C$3)*'Raw Data'!$D$2:$D$9999*('Raw Data'!$Q$2:$Q$9999-'Raw Data'!$V$2:$V$9999))/SUMIFS('Raw Data'!$D:$D, 'Raw Data'!$B:$B, "Variant", 'Raw Data'!$A:$A, $A32, 'Raw Data'!$C:$C, $C$3),""))</f>
        <v>-177.85</v>
      </c>
      <c r="BI32" s="95">
        <f t="shared" si="20"/>
        <v>-0.6978520286</v>
      </c>
      <c r="BJ32" s="101">
        <f>IF($A32="","",IFERROR(SUMPRODUCT(('Raw Data'!$B$2:$B$9999="Control")*('Raw Data'!$A$2:$A$9999=$A32)*('Raw Data'!$C$2:$C$9999=$C$3)*'Raw Data'!$D$2:$D$9999*'Raw Data'!$W$2:$W$9999)/SUMIFS('Raw Data'!$D:$D, 'Raw Data'!$B:$B, "Control", 'Raw Data'!$A:$A, $A32, 'Raw Data'!$C:$C, $C$3),""))</f>
        <v>6.3118</v>
      </c>
      <c r="BK32" s="101">
        <f>IF($A32="","",IFERROR(SUMPRODUCT(('Raw Data'!$B$2:$B$9999="Variant")*('Raw Data'!$A$2:$A$9999=$A32)*('Raw Data'!$C$2:$C$9999=$C$3)*'Raw Data'!$D$2:$D$9999*'Raw Data'!$W$2:$W$9999)/SUMIFS('Raw Data'!$D:$D, 'Raw Data'!$B:$B, "Variant", 'Raw Data'!$A:$A, $A32, 'Raw Data'!$C:$C, $C$3),""))</f>
        <v>6.1246</v>
      </c>
      <c r="BL32" s="95">
        <f t="shared" si="21"/>
        <v>-0.02965873443</v>
      </c>
      <c r="BM32" s="102">
        <f>IF($A32="","",IFERROR(SUMPRODUCT(('Raw Data'!$B$2:$B$9999="Control")*('Raw Data'!$A$2:$A$9999=$A32)*('Raw Data'!$C$2:$C$9999=$C$3)*'Raw Data'!$D$2:$D$9999*'Raw Data'!$X$2:$X$9999)/SUMIFS('Raw Data'!$D:$D, 'Raw Data'!$B:$B, "Control", 'Raw Data'!$A:$A, $A32, 'Raw Data'!$C:$C, $C$3),""))</f>
        <v>25.42</v>
      </c>
      <c r="BN32" s="102">
        <f>IF($A32="","",IFERROR(SUMPRODUCT(('Raw Data'!$B$2:$B$9999="Variant")*('Raw Data'!$A$2:$A$9999=$A32)*('Raw Data'!$C$2:$C$9999=$C$3)*'Raw Data'!$D$2:$D$9999*'Raw Data'!$X$2:$X$9999)/SUMIFS('Raw Data'!$D:$D, 'Raw Data'!$B:$B, "Variant", 'Raw Data'!$A:$A, $A32, 'Raw Data'!$C:$C, $C$3),""))</f>
        <v>25.26</v>
      </c>
      <c r="BO32" s="105">
        <f t="shared" si="22"/>
        <v>-0.006294256491</v>
      </c>
      <c r="BP32" s="94">
        <f>IF($A32="","",IFERROR(SUMPRODUCT(('Raw Data'!$B$2:$B$9999="Control")*('Raw Data'!$A$2:$A$9999=$A32)*('Raw Data'!$C$2:$C$9999=$C$3)*'Raw Data'!$D$2:$D$9999*'Raw Data'!$Y$2:$Y$9999)/SUMIFS('Raw Data'!$D:$D, 'Raw Data'!$B:$B, "Control", 'Raw Data'!$A:$A, $A32, 'Raw Data'!$C:$C, $C$3),""))</f>
        <v>295</v>
      </c>
      <c r="BQ32" s="94">
        <f>IF($A32="","",IFERROR(SUMPRODUCT(('Raw Data'!$B$2:$B$9999="Variant")*('Raw Data'!$A$2:$A$9999=$A32)*('Raw Data'!$C$2:$C$9999=$C$3)*'Raw Data'!$D$2:$D$9999*'Raw Data'!$Y$2:$Y$9999)/SUMIFS('Raw Data'!$D:$D, 'Raw Data'!$B:$B, "Variant", 'Raw Data'!$A:$A, $A32, 'Raw Data'!$C:$C, $C$3),""))</f>
        <v>290</v>
      </c>
      <c r="BR32" s="95">
        <f t="shared" si="23"/>
        <v>-0.01694915254</v>
      </c>
      <c r="BS32" s="94">
        <f>IF($A32="","",IFERROR(SUMPRODUCT(('Raw Data'!$B$2:$B$9999="Control")*('Raw Data'!$A$2:$A$9999=$A32)*('Raw Data'!$C$2:$C$9999=$C$3)*'Raw Data'!$D$2:$D$9999*'Raw Data'!$Z$2:$Z$9999)/SUMIFS('Raw Data'!$D:$D, 'Raw Data'!$B:$B, "Control", 'Raw Data'!$A:$A, $A32, 'Raw Data'!$C:$C, $C$3),""))</f>
        <v>1903</v>
      </c>
      <c r="BT32" s="94">
        <f>IF($A32="","",IFERROR(SUMPRODUCT(('Raw Data'!$B$2:$B$9999="Variant")*('Raw Data'!$A$2:$A$9999=$A32)*('Raw Data'!$C$2:$C$9999=$C$3)*'Raw Data'!$D$2:$D$9999*'Raw Data'!$Z$2:$Z$9999)/SUMIFS('Raw Data'!$D:$D, 'Raw Data'!$B:$B, "Variant", 'Raw Data'!$A:$A, $A32, 'Raw Data'!$C:$C, $C$3),""))</f>
        <v>1831</v>
      </c>
      <c r="BU32" s="95">
        <f t="shared" si="24"/>
        <v>-0.03783499737</v>
      </c>
      <c r="BV32" s="94">
        <f>IF($A32="","",IFERROR(SUMPRODUCT(('Raw Data'!$B$2:$B$9999="Control")*('Raw Data'!$A$2:$A$9999=$A32)*('Raw Data'!$C$2:$C$9999=$C$3)*'Raw Data'!$D$2:$D$9999*'Raw Data'!$AA$2:$AA$9999)/SUMIFS('Raw Data'!$D:$D, 'Raw Data'!$B:$B, "Control", 'Raw Data'!$A:$A, $A32, 'Raw Data'!$C:$C, $C$3),""))</f>
        <v>8751</v>
      </c>
      <c r="BW32" s="94">
        <f>IF($A32="","",IFERROR(SUMPRODUCT(('Raw Data'!$B$2:$B$9999="Variant")*('Raw Data'!$A$2:$A$9999=$A32)*('Raw Data'!$C$2:$C$9999=$C$3)*'Raw Data'!$D$2:$D$9999*'Raw Data'!$AA$2:$AA$9999)/SUMIFS('Raw Data'!$D:$D, 'Raw Data'!$B:$B, "Variant", 'Raw Data'!$A:$A, $A32, 'Raw Data'!$C:$C, $C$3),""))</f>
        <v>8360</v>
      </c>
      <c r="BX32" s="95">
        <f t="shared" si="25"/>
        <v>-0.04468060793</v>
      </c>
      <c r="BY32" s="101">
        <f>IF($A32="","",IFERROR(SUMPRODUCT(('Raw Data'!$B$2:$B$9999="Control")*('Raw Data'!$A$2:$A$9999=$A32)*('Raw Data'!$C$2:$C$9999=$C$3)*'Raw Data'!$D$2:$D$9999*'Raw Data'!$AB$2:$AB$9999)/SUMIFS('Raw Data'!$D:$D, 'Raw Data'!$B:$B, "Control", 'Raw Data'!$A:$A, $A32, 'Raw Data'!$C:$C, $C$3),""))</f>
        <v>62.598</v>
      </c>
      <c r="BZ32" s="101">
        <f>IF($A32="","",IFERROR(SUMPRODUCT(('Raw Data'!$B$2:$B$9999="Variant")*('Raw Data'!$A$2:$A$9999=$A32)*('Raw Data'!$C$2:$C$9999=$C$3)*'Raw Data'!$D$2:$D$9999*'Raw Data'!$AB$2:$AB$9999)/SUMIFS('Raw Data'!$D:$D, 'Raw Data'!$B:$B, "Variant", 'Raw Data'!$A:$A, $A32, 'Raw Data'!$C:$C, $C$3),""))</f>
        <v>62.9025</v>
      </c>
      <c r="CA32" s="105">
        <f t="shared" si="26"/>
        <v>0.004864372664</v>
      </c>
      <c r="CB32" s="101">
        <f>IF($A32="","",IFERROR(SUMPRODUCT(('Raw Data'!$B$2:$B$9999="Control")*('Raw Data'!$A$2:$A$9999=$A32)*('Raw Data'!$C$2:$C$9999=$C$3)*'Raw Data'!$D$2:$D$9999*'Raw Data'!$AC$2:$AC$9999)/SUMIFS('Raw Data'!$D:$D, 'Raw Data'!$B:$B, "Control", 'Raw Data'!$A:$A, $A32, 'Raw Data'!$C:$C, $C$3),""))</f>
        <v>0.8716</v>
      </c>
      <c r="CC32" s="101">
        <f>IF($A32="","",IFERROR(SUMPRODUCT(('Raw Data'!$B$2:$B$9999="Variant")*('Raw Data'!$A$2:$A$9999=$A32)*('Raw Data'!$C$2:$C$9999=$C$3)*'Raw Data'!$D$2:$D$9999*'Raw Data'!$AC$2:$AC$9999)/SUMIFS('Raw Data'!$D:$D, 'Raw Data'!$B:$B, "Variant", 'Raw Data'!$A:$A, $A32, 'Raw Data'!$C:$C, $C$3),""))</f>
        <v>0.8641</v>
      </c>
      <c r="CD32" s="105">
        <f t="shared" si="27"/>
        <v>-0.008604864617</v>
      </c>
      <c r="CE32" s="101">
        <f>IF($A32="","",IFERROR(SUMPRODUCT(('Raw Data'!$B$2:$B$9999="Control")*('Raw Data'!$A$2:$A$9999=$A32)*('Raw Data'!$C$2:$C$9999=$C$3)*'Raw Data'!$D$2:$D$9999*'Raw Data'!$AD$2:$AD$9999)/SUMIFS('Raw Data'!$D:$D, 'Raw Data'!$B:$B, "Control", 'Raw Data'!$A:$A, $A32, 'Raw Data'!$C:$C, $C$3),""))</f>
        <v>83.51</v>
      </c>
      <c r="CF32" s="101">
        <f>IF($A32="","",IFERROR(SUMPRODUCT(('Raw Data'!$B$2:$B$9999="Variant")*('Raw Data'!$A$2:$A$9999=$A32)*('Raw Data'!$C$2:$C$9999=$C$3)*'Raw Data'!$D$2:$D$9999*'Raw Data'!$AD$2:$AD$9999)/SUMIFS('Raw Data'!$D:$D, 'Raw Data'!$B:$B, "Variant", 'Raw Data'!$A:$A, $A32, 'Raw Data'!$C:$C, $C$3),""))</f>
        <v>84.85</v>
      </c>
      <c r="CG32" s="105">
        <f t="shared" si="28"/>
        <v>0.01604598252</v>
      </c>
      <c r="CH32" s="101">
        <f>IF($A32="","",IFERROR(SUMPRODUCT(('Raw Data'!$B$2:$B$9999="Control")*('Raw Data'!$A$2:$A$9999=$A32)*('Raw Data'!$C$2:$C$9999=$C$3)*'Raw Data'!$D$2:$D$9999*'Raw Data'!$AE$2:$AE$9999)/SUMIFS('Raw Data'!$D:$D, 'Raw Data'!$B:$B, "Control", 'Raw Data'!$A:$A, $A32, 'Raw Data'!$C:$C, $C$3),""))</f>
        <v>32</v>
      </c>
      <c r="CI32" s="101">
        <f>IF($A32="","",IFERROR(SUMPRODUCT(('Raw Data'!$B$2:$B$9999="Variant")*('Raw Data'!$A$2:$A$9999=$A32)*('Raw Data'!$C$2:$C$9999=$C$3)*'Raw Data'!$D$2:$D$9999*'Raw Data'!$AE$2:$AE$9999)/SUMIFS('Raw Data'!$D:$D, 'Raw Data'!$B:$B, "Variant", 'Raw Data'!$A:$A, $A32, 'Raw Data'!$C:$C, $C$3),""))</f>
        <v>32</v>
      </c>
      <c r="CJ32" s="105">
        <f t="shared" si="29"/>
        <v>0</v>
      </c>
      <c r="CK32" s="101">
        <f>IF($A32="","",IFERROR(SUMPRODUCT(('Raw Data'!$B$2:$B$9999="Control")*('Raw Data'!$A$2:$A$9999=$A32)*('Raw Data'!$C$2:$C$9999=$C$3)*'Raw Data'!$D$2:$D$9999*'Raw Data'!$AF$2:$AF$9999)/SUMIFS('Raw Data'!$D:$D, 'Raw Data'!$B:$B, "Control", 'Raw Data'!$A:$A, $A32, 'Raw Data'!$C:$C, $C$3),""))</f>
        <v>69</v>
      </c>
      <c r="CL32" s="101">
        <f>IF($A32="","",IFERROR(SUMPRODUCT(('Raw Data'!$B$2:$B$9999="Variant")*('Raw Data'!$A$2:$A$9999=$A32)*('Raw Data'!$C$2:$C$9999=$C$3)*'Raw Data'!$D$2:$D$9999*'Raw Data'!$AF$2:$AF$9999)/SUMIFS('Raw Data'!$D:$D, 'Raw Data'!$B:$B, "Variant", 'Raw Data'!$A:$A, $A32, 'Raw Data'!$C:$C, $C$3),""))</f>
        <v>72</v>
      </c>
      <c r="CM32" s="105">
        <f t="shared" si="30"/>
        <v>0.04347826087</v>
      </c>
      <c r="CN32" s="101">
        <f>IF($A32="","",IFERROR(SUMPRODUCT(('Raw Data'!$B$2:$B$9999="Control")*('Raw Data'!$A$2:$A$9999=$A32)*('Raw Data'!$C$2:$C$9999=$C$3)*'Raw Data'!$D$2:$D$9999*'Raw Data'!$AG$2:$AG$9999)/SUMIFS('Raw Data'!$D:$D, 'Raw Data'!$B:$B, "Control", 'Raw Data'!$A:$A, $A32, 'Raw Data'!$C:$C, $C$3),""))</f>
        <v>120</v>
      </c>
      <c r="CO32" s="101">
        <f>IF($A32="","",IFERROR(SUMPRODUCT(('Raw Data'!$B$2:$B$9999="Variant")*('Raw Data'!$A$2:$A$9999=$A32)*('Raw Data'!$C$2:$C$9999=$C$3)*'Raw Data'!$D$2:$D$9999*'Raw Data'!$AG$2:$AG$9999)/SUMIFS('Raw Data'!$D:$D, 'Raw Data'!$B:$B, "Variant", 'Raw Data'!$A:$A, $A32, 'Raw Data'!$C:$C, $C$3),""))</f>
        <v>121</v>
      </c>
      <c r="CP32" s="105">
        <f t="shared" si="31"/>
        <v>0.008333333333</v>
      </c>
      <c r="CQ32" s="101">
        <f>IF($A32="","",IFERROR(SUMPRODUCT(('Raw Data'!$B$2:$B$9999="Control")*('Raw Data'!$A$2:$A$9999=$A32)*('Raw Data'!$C$2:$C$9999=$C$3)*'Raw Data'!$D$2:$D$9999*'Raw Data'!$AH$2:$AH$9999)/SUMIFS('Raw Data'!$D:$D, 'Raw Data'!$B:$B, "Control", 'Raw Data'!$A:$A, $A32, 'Raw Data'!$C:$C, $C$3),""))</f>
        <v>168</v>
      </c>
      <c r="CR32" s="101">
        <f>IF($A32="","",IFERROR(SUMPRODUCT(('Raw Data'!$B$2:$B$9999="Variant")*('Raw Data'!$A$2:$A$9999=$A32)*('Raw Data'!$C$2:$C$9999=$C$3)*'Raw Data'!$D$2:$D$9999*'Raw Data'!$AH$2:$AH$9999)/SUMIFS('Raw Data'!$D:$D, 'Raw Data'!$B:$B, "Variant", 'Raw Data'!$A:$A, $A32, 'Raw Data'!$C:$C, $C$3),""))</f>
        <v>171</v>
      </c>
      <c r="CS32" s="105">
        <f t="shared" si="32"/>
        <v>0.01785714286</v>
      </c>
      <c r="CT32" s="96">
        <f>IF($A32="","",IFERROR(SUMPRODUCT(('Raw Data'!$B$2:$B$9999="Control")*('Raw Data'!$A$2:$A$9999=$A32)*('Raw Data'!$C$2:$C$9999=$C$3)*'Raw Data'!$D$2:$D$9999*'Raw Data'!$AI$2:$AI$9999)/SUMIFS('Raw Data'!$D:$D, 'Raw Data'!$B:$B, "Control", 'Raw Data'!$A:$A, $A32, 'Raw Data'!$C:$C, $C$3),""))</f>
        <v>45.36</v>
      </c>
      <c r="CU32" s="96">
        <f>IF($A32="","",IFERROR(SUMPRODUCT(('Raw Data'!$B$2:$B$9999="Variant")*('Raw Data'!$A$2:$A$9999=$A32)*('Raw Data'!$C$2:$C$9999=$C$3)*'Raw Data'!$D$2:$D$9999*'Raw Data'!$AI$2:$AI$9999)/SUMIFS('Raw Data'!$D:$D, 'Raw Data'!$B:$B, "Variant", 'Raw Data'!$A:$A, $A32, 'Raw Data'!$C:$C, $C$3),""))</f>
        <v>46.69</v>
      </c>
      <c r="CV32" s="106">
        <f t="shared" si="33"/>
        <v>0.02932098765</v>
      </c>
      <c r="CW32" s="96">
        <f>IF($A32="","",IFERROR(SUMPRODUCT(('Raw Data'!$B$2:$B$9999="Control")*('Raw Data'!$A$2:$A$9999=$A32)*('Raw Data'!$C$2:$C$9999=$C$3)*'Raw Data'!$D$2:$D$9999*'Raw Data'!$AJ$2:$AJ$9999)/SUMIFS('Raw Data'!$D:$D, 'Raw Data'!$B:$B, "Control", 'Raw Data'!$A:$A, $A32, 'Raw Data'!$C:$C, $C$3),""))</f>
        <v>8.87</v>
      </c>
      <c r="CX32" s="96">
        <f>IF($A32="","",IFERROR(SUMPRODUCT(('Raw Data'!$B$2:$B$9999="Variant")*('Raw Data'!$A$2:$A$9999=$A32)*('Raw Data'!$C$2:$C$9999=$C$3)*'Raw Data'!$D$2:$D$9999*'Raw Data'!$AJ$2:$AJ$9999)/SUMIFS('Raw Data'!$D:$D, 'Raw Data'!$B:$B, "Variant", 'Raw Data'!$A:$A, $A32, 'Raw Data'!$C:$C, $C$3),""))</f>
        <v>9.45</v>
      </c>
      <c r="CY32" s="106">
        <f t="shared" si="34"/>
        <v>0.06538895152</v>
      </c>
      <c r="CZ32" s="96">
        <f>IF($A32="","",IFERROR(SUMPRODUCT(('Raw Data'!$B$2:$B$9999="Control")*('Raw Data'!$A$2:$A$9999=$A32)*('Raw Data'!$C$2:$C$9999=$C$3)*'Raw Data'!$D$2:$D$9999*'Raw Data'!$AK$2:$AK$9999)/SUMIFS('Raw Data'!$D:$D, 'Raw Data'!$B:$B, "Control", 'Raw Data'!$A:$A, $A32, 'Raw Data'!$C:$C, $C$3),""))</f>
        <v>1.44</v>
      </c>
      <c r="DA32" s="96">
        <f>IF($A32="","",IFERROR(SUMPRODUCT(('Raw Data'!$B$2:$B$9999="Variant")*('Raw Data'!$A$2:$A$9999=$A32)*('Raw Data'!$C$2:$C$9999=$C$3)*'Raw Data'!$D$2:$D$9999*'Raw Data'!$AK$2:$AK$9999)/SUMIFS('Raw Data'!$D:$D, 'Raw Data'!$B:$B, "Variant", 'Raw Data'!$A:$A, $A32, 'Raw Data'!$C:$C, $C$3),""))</f>
        <v>1.32</v>
      </c>
      <c r="DB32" s="105">
        <f t="shared" si="35"/>
        <v>-0.08333333333</v>
      </c>
      <c r="DC32" s="102">
        <f>IF($A32="","",IFERROR(SUMPRODUCT(('Raw Data'!$B$2:$B$9999="Control")*('Raw Data'!$A$2:$A$9999=$A32)*('Raw Data'!$C$2:$C$9999=$C$3)*'Raw Data'!$D$2:$D$9999*'Raw Data'!$AL$2:$AL$9999)/SUMIFS('Raw Data'!$D:$D, 'Raw Data'!$B:$B, "Control", 'Raw Data'!$A:$A, $A32, 'Raw Data'!$C:$C, $C$3),""))</f>
        <v>0.1093</v>
      </c>
      <c r="DD32" s="102">
        <f>IF($A32="","",IFERROR(SUMPRODUCT(('Raw Data'!$B$2:$B$9999="Variant")*('Raw Data'!$A$2:$A$9999=$A32)*('Raw Data'!$C$2:$C$9999=$C$3)*'Raw Data'!$D$2:$D$9999*'Raw Data'!$AL$2:$AL$9999)/SUMIFS('Raw Data'!$D:$D, 'Raw Data'!$B:$B, "Variant", 'Raw Data'!$A:$A, $A32, 'Raw Data'!$C:$C, $C$3),""))</f>
        <v>0.0926</v>
      </c>
      <c r="DE32" s="106">
        <f t="shared" si="36"/>
        <v>-0.1527904849</v>
      </c>
      <c r="DF32" s="103"/>
      <c r="DG32" s="96">
        <f>IF($A32="","",IFERROR(SUMPRODUCT(('Raw Data'!$B$2:$B$9999="Variant")*('Raw Data'!$A$2:$A$9999=$A32)*('Raw Data'!$C$2:$C$9999=$C$3)*'Raw Data'!$D$2:$D$9999*'Raw Data'!$AM$2:$AM$9999)/SUMIFS('Raw Data'!$D:$D, 'Raw Data'!$B:$B, "Variant", 'Raw Data'!$A:$A, $A32, 'Raw Data'!$C:$C, $C$3),""))</f>
        <v>81.85</v>
      </c>
      <c r="DH32" s="104"/>
      <c r="DI32" s="103"/>
      <c r="DJ32" s="96">
        <f>IF($A32="","",IFERROR(SUMPRODUCT(('Raw Data'!$B$2:$B$9999="Variant")*('Raw Data'!$A$2:$A$9999=$A32)*('Raw Data'!$C$2:$C$9999=$C$3)*'Raw Data'!$D$2:$D$9999*'Raw Data'!$AN$2:$AN$9999)/SUMIFS('Raw Data'!$D:$D, 'Raw Data'!$B:$B, "Variant", 'Raw Data'!$A:$A, $A32, 'Raw Data'!$C:$C, $C$3),""))</f>
        <v>81.85</v>
      </c>
      <c r="DK32" s="104"/>
      <c r="DL32" s="103"/>
      <c r="DM32" s="96">
        <f>IF($A32="","",IFERROR(SUMPRODUCT(('Raw Data'!$B$2:$B$9999="Variant")*('Raw Data'!$A$2:$A$9999=$A32)*('Raw Data'!$C$2:$C$9999=$C$3)*'Raw Data'!$D$2:$D$9999*'Raw Data'!$AO$2:$AO$9999)/SUMIFS('Raw Data'!$D:$D, 'Raw Data'!$B:$B, "Variant", 'Raw Data'!$A:$A, $A32, 'Raw Data'!$C:$C, $C$3),""))</f>
        <v>66.73</v>
      </c>
      <c r="DN32" s="104"/>
      <c r="DO32" s="103"/>
      <c r="DP32" s="96">
        <f>IF($A32="","",IFERROR(SUMPRODUCT(('Raw Data'!$B$2:$B$9999="Variant")*('Raw Data'!$A$2:$A$9999=$A32)*('Raw Data'!$C$2:$C$9999=$C$3)*'Raw Data'!$D$2:$D$9999*'Raw Data'!$AP$2:$AP$9999)/SUMIFS('Raw Data'!$D:$D, 'Raw Data'!$B:$B, "Variant", 'Raw Data'!$A:$A, $A32, 'Raw Data'!$C:$C, $C$3),""))</f>
        <v>55.39</v>
      </c>
      <c r="DQ32" s="104"/>
      <c r="DR32" s="102">
        <f>IF($A32="","",IFERROR(SUMPRODUCT(('Raw Data'!$B$2:$B$9999="Control")*('Raw Data'!$A$2:$A$9999=$A32)*('Raw Data'!$C$2:$C$9999=$C$3)*'Raw Data'!$D$2:$D$9999*'Raw Data'!$AQ$2:$AQ$9999)/SUMIFS('Raw Data'!$D:$D, 'Raw Data'!$B:$B, "Control", 'Raw Data'!$A:$A, $A32, 'Raw Data'!$C:$C, $C$3),""))</f>
        <v>33.0825</v>
      </c>
      <c r="DS32" s="102">
        <f>IF($A32="","",IFERROR(SUMPRODUCT(('Raw Data'!$B$2:$B$9999="Variant")*('Raw Data'!$A$2:$A$9999=$A32)*('Raw Data'!$C$2:$C$9999=$C$3)*'Raw Data'!$D$2:$D$9999*'Raw Data'!$AQ$2:$AQ$9999)/SUMIFS('Raw Data'!$D:$D, 'Raw Data'!$B:$B, "Variant", 'Raw Data'!$A:$A, $A32, 'Raw Data'!$C:$C, $C$3),""))</f>
        <v>35.4234</v>
      </c>
      <c r="DT32" s="109">
        <f t="shared" si="37"/>
        <v>0.07075946497</v>
      </c>
      <c r="DU32" s="102">
        <f>IF($A32="","",IFERROR(SUMPRODUCT(('Raw Data'!$B$2:$B$9999="Control")*('Raw Data'!$A$2:$A$9999=$A32)*('Raw Data'!$C$2:$C$9999=$C$3)*'Raw Data'!$D$2:$D$9999*'Raw Data'!$AR$2:$AR$9999)/SUMIFS('Raw Data'!$D:$D, 'Raw Data'!$B:$B, "Control", 'Raw Data'!$A:$A, $A32, 'Raw Data'!$C:$C, $C$3),""))</f>
        <v>4.9134</v>
      </c>
      <c r="DV32" s="102">
        <f>IF($A32="","",IFERROR(SUMPRODUCT(('Raw Data'!$B$2:$B$9999="Variant")*('Raw Data'!$A$2:$A$9999=$A32)*('Raw Data'!$C$2:$C$9999=$C$3)*'Raw Data'!$D$2:$D$9999*'Raw Data'!$AR$2:$AR$9999)/SUMIFS('Raw Data'!$D:$D, 'Raw Data'!$B:$B, "Variant", 'Raw Data'!$A:$A, $A32, 'Raw Data'!$C:$C, $C$3),""))</f>
        <v>5.5142</v>
      </c>
      <c r="DW32" s="109">
        <f t="shared" si="38"/>
        <v>0.1222778524</v>
      </c>
      <c r="DX32" s="102">
        <f>IF($A32="","",IFERROR(SUMPRODUCT(('Raw Data'!$B$2:$B$9999="Control")*('Raw Data'!$A$2:$A$9999=$A32)*('Raw Data'!$C$2:$C$9999=$C$3)*'Raw Data'!$D$2:$D$9999*'Raw Data'!$AS$2:$AS$9999)/SUMIFS('Raw Data'!$D:$D, 'Raw Data'!$B:$B, "Control", 'Raw Data'!$A:$A, $A32, 'Raw Data'!$C:$C, $C$3),""))</f>
        <v>28.1691</v>
      </c>
      <c r="DY32" s="102">
        <f>IF($A32="","",IFERROR(SUMPRODUCT(('Raw Data'!$B$2:$B$9999="Variant")*('Raw Data'!$A$2:$A$9999=$A32)*('Raw Data'!$C$2:$C$9999=$C$3)*'Raw Data'!$D$2:$D$9999*'Raw Data'!$AS$2:$AS$9999)/SUMIFS('Raw Data'!$D:$D, 'Raw Data'!$B:$B, "Variant", 'Raw Data'!$A:$A, $A32, 'Raw Data'!$C:$C, $C$3),""))</f>
        <v>29.9093</v>
      </c>
      <c r="DZ32" s="110">
        <f t="shared" si="39"/>
        <v>0.06177691158</v>
      </c>
      <c r="EA32" s="102">
        <f>IF($A32="","",IFERROR(SUMPRODUCT(('Raw Data'!$B$2:$B$9999="Control")*('Raw Data'!$A$2:$A$9999=$A32)*('Raw Data'!$C$2:$C$9999=$C$3)*'Raw Data'!$D$2:$D$9999*'Raw Data'!$AT$2:$AT$9999)/SUMIFS('Raw Data'!$D:$D, 'Raw Data'!$B:$B, "Control", 'Raw Data'!$A:$A, $A32, 'Raw Data'!$C:$C, $C$3),""))</f>
        <v>36.1979</v>
      </c>
      <c r="EB32" s="102">
        <f>IF($A32="","",IFERROR(SUMPRODUCT(('Raw Data'!$B$2:$B$9999="Variant")*('Raw Data'!$A$2:$A$9999=$A32)*('Raw Data'!$C$2:$C$9999=$C$3)*'Raw Data'!$D$2:$D$9999*'Raw Data'!$AT$2:$AT$9999)/SUMIFS('Raw Data'!$D:$D, 'Raw Data'!$B:$B, "Variant", 'Raw Data'!$A:$A, $A32, 'Raw Data'!$C:$C, $C$3),""))</f>
        <v>31.9244</v>
      </c>
      <c r="EC32" s="109">
        <f t="shared" si="40"/>
        <v>-0.1180593349</v>
      </c>
      <c r="ED32" s="102">
        <f>IF($A32="","",IFERROR(SUMPRODUCT(('Raw Data'!$B$2:$B$9999="Control")*('Raw Data'!$A$2:$A$9999=$A32)*('Raw Data'!$C$2:$C$9999=$C$3)*'Raw Data'!$D$2:$D$9999*('Raw Data'!$AQ$2:$AQ$9999-'Raw Data'!$AT$2:$AT$9999))/SUMIFS('Raw Data'!$D:$D, 'Raw Data'!$B:$B, "Control", 'Raw Data'!$A:$A, $A32, 'Raw Data'!$C:$C, $C$3),""))</f>
        <v>-3.1154</v>
      </c>
      <c r="EE32" s="102">
        <f>IF($A32="","",IFERROR(SUMPRODUCT(('Raw Data'!$B$2:$B$9999="Variant")*('Raw Data'!$A$2:$A$9999=$A32)*('Raw Data'!$C$2:$C$9999=$C$3)*'Raw Data'!$D$2:$D$9999*('Raw Data'!$AQ$2:$AQ$9999-'Raw Data'!$AT$2:$AT$9999))/SUMIFS('Raw Data'!$D:$D, 'Raw Data'!$B:$B, "Variant", 'Raw Data'!$A:$A, $A32, 'Raw Data'!$C:$C, $C$3),""))</f>
        <v>3.499</v>
      </c>
      <c r="EF32" s="110">
        <f t="shared" si="41"/>
        <v>2.123130256</v>
      </c>
      <c r="EG32" s="102">
        <f>IF($A32="","",IFERROR(SUMPRODUCT(('Raw Data'!$B$2:$B$9999="Control")*('Raw Data'!$A$2:$A$9999=$A32)*('Raw Data'!$C$2:$C$9999=$C$3)*'Raw Data'!$D$2:$D$9999*'Raw Data'!$AU$2:$AU$9999)/SUMIFS('Raw Data'!$D:$D, 'Raw Data'!$B:$B, "Control", 'Raw Data'!$A:$A, $A32, 'Raw Data'!$C:$C, $C$3),""))</f>
        <v>0.2524</v>
      </c>
      <c r="EH32" s="102">
        <f>IF($A32="","",IFERROR(SUMPRODUCT(('Raw Data'!$B$2:$B$9999="Variant")*('Raw Data'!$A$2:$A$9999=$A32)*('Raw Data'!$C$2:$C$9999=$C$3)*'Raw Data'!$D$2:$D$9999*'Raw Data'!$AU$2:$AU$9999)/SUMIFS('Raw Data'!$D:$D, 'Raw Data'!$B:$B, "Variant", 'Raw Data'!$A:$A, $A32, 'Raw Data'!$C:$C, $C$3),""))</f>
        <v>0.2154</v>
      </c>
      <c r="EI32" s="109">
        <f t="shared" si="42"/>
        <v>-0.14659271</v>
      </c>
    </row>
    <row r="33" ht="15.75" customHeight="1">
      <c r="A33" s="93">
        <v>46201.0</v>
      </c>
      <c r="B33" s="94">
        <f>IF($A33="","",SUMIFS('Raw Data'!$D:$D, 'Raw Data'!$B:$B, "Control", 'Raw Data'!$A:$A, $A33, 'Raw Data'!$C:$C, $C$3))</f>
        <v>506</v>
      </c>
      <c r="C33" s="94">
        <f>IF($A33="","",SUMIFS('Raw Data'!$D:$D, 'Raw Data'!$B:$B, "Variant", 'Raw Data'!$A:$A, $A33, 'Raw Data'!$C:$C, $C$3))</f>
        <v>570</v>
      </c>
      <c r="D33" s="95">
        <f t="shared" si="1"/>
        <v>0.1264822134</v>
      </c>
      <c r="E33" s="96">
        <f>IF($A33="","",IFERROR(SUMPRODUCT(('Raw Data'!$B$2:$B$9999="Control")*('Raw Data'!$A$2:$A$9999=$A33)*('Raw Data'!$C$2:$C$9999=$C$3)*'Raw Data'!$D$2:$D$9999*'Raw Data'!$E$2:$E$9999)/SUMIFS('Raw Data'!$D:$D, 'Raw Data'!$B:$B, "Control", 'Raw Data'!$A:$A, $A33, 'Raw Data'!$C:$C, $C$3),""))</f>
        <v>0.64</v>
      </c>
      <c r="F33" s="96">
        <f>IF($A33="","",IFERROR(SUMPRODUCT(('Raw Data'!$B$2:$B$9999="Variant")*('Raw Data'!$A$2:$A$9999=$A33)*('Raw Data'!$C$2:$C$9999=$C$3)*'Raw Data'!$D$2:$D$9999*'Raw Data'!$E$2:$E$9999)/SUMIFS('Raw Data'!$D:$D, 'Raw Data'!$B:$B, "Variant", 'Raw Data'!$A:$A, $A33, 'Raw Data'!$C:$C, $C$3),""))</f>
        <v>0.72</v>
      </c>
      <c r="G33" s="95">
        <f t="shared" si="2"/>
        <v>0.125</v>
      </c>
      <c r="H33" s="97">
        <f>IF($A33="","",SUMIFS('Raw Data'!$F:$F, 'Raw Data'!$B:$B, "Control", 'Raw Data'!$A:$A, $A33, 'Raw Data'!$C:$C, $C$3))</f>
        <v>1916.74</v>
      </c>
      <c r="I33" s="97">
        <f>IF($A33="","",SUMIFS('Raw Data'!$F:$F, 'Raw Data'!$B:$B, "Variant", 'Raw Data'!$A:$A, $A33, 'Raw Data'!$C:$C, $C$3))</f>
        <v>2541.9</v>
      </c>
      <c r="J33" s="105">
        <f t="shared" si="3"/>
        <v>0.3261579557</v>
      </c>
      <c r="K33" s="99">
        <f>IF($A33="","",IFERROR(SUMIFS('Raw Data'!$F:$F, 'Raw Data'!$B:$B, "Control", 'Raw Data'!$A:$A, $A33, 'Raw Data'!$C:$C, $C$3)/SUMIFS('Raw Data'!$D:$D, 'Raw Data'!$B:$B, "Control", 'Raw Data'!$A:$A, $A33, 'Raw Data'!$C:$C, $C$3),""))</f>
        <v>3.788023715</v>
      </c>
      <c r="L33" s="99">
        <f>IF($A33="","",IFERROR(SUMIFS('Raw Data'!$F:$F, 'Raw Data'!$B:$B, "Variant", 'Raw Data'!$A:$A, $A33, 'Raw Data'!$C:$C, $C$3)/SUMIFS('Raw Data'!$D:$D, 'Raw Data'!$B:$B, "Variant", 'Raw Data'!$A:$A, $A33, 'Raw Data'!$C:$C, $C$3),""))</f>
        <v>4.459473684</v>
      </c>
      <c r="M33" s="105">
        <f t="shared" si="4"/>
        <v>0.1772560098</v>
      </c>
      <c r="N33" s="96">
        <f>IF($A33="","",IFERROR(SUMPRODUCT(('Raw Data'!$B$2:$B$9999="Control")*('Raw Data'!$A$2:$A$9999=$A33)*('Raw Data'!$C$2:$C$9999=$C$3)*'Raw Data'!$D$2:$D$9999*'Raw Data'!$H$2:$H$9999/100)/SUMIFS('Raw Data'!$D:$D, 'Raw Data'!$B:$B, "Control", 'Raw Data'!$A:$A, $A33, 'Raw Data'!$C:$C, $C$3)*100,""))</f>
        <v>16.21</v>
      </c>
      <c r="O33" s="96">
        <f>IF($A33="","",IFERROR(SUMPRODUCT(('Raw Data'!$B$2:$B$9999="Variant")*('Raw Data'!$A$2:$A$9999=$A33)*('Raw Data'!$C$2:$C$9999=$C$3)*'Raw Data'!$D$2:$D$9999*'Raw Data'!$H$2:$H$9999/100)/SUMIFS('Raw Data'!$D:$D, 'Raw Data'!$B:$B, "Variant", 'Raw Data'!$A:$A, $A33, 'Raw Data'!$C:$C, $C$3)*100,""))</f>
        <v>20.53</v>
      </c>
      <c r="P33" s="105">
        <f t="shared" si="5"/>
        <v>0.2665021592</v>
      </c>
      <c r="Q33" s="99">
        <f>IF($A33="","",IFERROR(SUMIFS('Raw Data'!$F:$F, 'Raw Data'!$B:$B, "Control", 'Raw Data'!$A:$A, $A33, 'Raw Data'!$C:$C, $C$3)/SUMPRODUCT(('Raw Data'!$B$2:$B$9999="Control")*('Raw Data'!$A$2:$A$9999=$A33)*('Raw Data'!$C$2:$C$9999=$C$3)*'Raw Data'!$D$2:$D$9999*'Raw Data'!$H$2:$H$9999/100),""))</f>
        <v>23.36843748</v>
      </c>
      <c r="R33" s="99">
        <f>IF($A33="","",IFERROR(SUMIFS('Raw Data'!$F:$F, 'Raw Data'!$B:$B, "Variant", 'Raw Data'!$A:$A, $A33, 'Raw Data'!$C:$C, $C$3)/SUMPRODUCT(('Raw Data'!$B$2:$B$9999="Variant")*('Raw Data'!$A$2:$A$9999=$A33)*('Raw Data'!$C$2:$C$9999=$C$3)*'Raw Data'!$D$2:$D$9999*'Raw Data'!$H$2:$H$9999/100),""))</f>
        <v>21.72174225</v>
      </c>
      <c r="S33" s="105">
        <f t="shared" si="6"/>
        <v>-0.07046663815</v>
      </c>
      <c r="T33" s="101">
        <f>IF($A33="","",IFERROR(SUMPRODUCT(('Raw Data'!$B$2:$B$9999="Control")*('Raw Data'!$A$2:$A$9999=$A33)*('Raw Data'!$C$2:$C$9999=$C$3)*'Raw Data'!$D$2:$D$9999*'Raw Data'!$J$2:$J$9999)/SUMIFS('Raw Data'!$D:$D, 'Raw Data'!$B:$B, "Control", 'Raw Data'!$A:$A, $A33, 'Raw Data'!$C:$C, $C$3),""))</f>
        <v>245.19</v>
      </c>
      <c r="U33" s="101">
        <f>IF($A33="","",IFERROR(SUMPRODUCT(('Raw Data'!$B$2:$B$9999="Variant")*('Raw Data'!$A$2:$A$9999=$A33)*('Raw Data'!$C$2:$C$9999=$C$3)*'Raw Data'!$D$2:$D$9999*'Raw Data'!$J$2:$J$9999)/SUMIFS('Raw Data'!$D:$D, 'Raw Data'!$B:$B, "Variant", 'Raw Data'!$A:$A, $A33, 'Raw Data'!$C:$C, $C$3),""))</f>
        <v>249.51</v>
      </c>
      <c r="V33" s="105">
        <f t="shared" si="7"/>
        <v>0.01761898936</v>
      </c>
      <c r="W33" s="101">
        <f>IF($A33="","",IFERROR(SUMPRODUCT(('Raw Data'!$B$2:$B$9999="Control")*('Raw Data'!$A$2:$A$9999=$A33)*('Raw Data'!$C$2:$C$9999=$C$3)*'Raw Data'!$D$2:$D$9999*'Raw Data'!$K$2:$K$9999)/SUMIFS('Raw Data'!$D:$D, 'Raw Data'!$B:$B, "Control", 'Raw Data'!$A:$A, $A33, 'Raw Data'!$C:$C, $C$3),""))</f>
        <v>151.68</v>
      </c>
      <c r="X33" s="101">
        <f>IF($A33="","",IFERROR(SUMPRODUCT(('Raw Data'!$B$2:$B$9999="Variant")*('Raw Data'!$A$2:$A$9999=$A33)*('Raw Data'!$C$2:$C$9999=$C$3)*'Raw Data'!$D$2:$D$9999*'Raw Data'!$K$2:$K$9999)/SUMIFS('Raw Data'!$D:$D, 'Raw Data'!$B:$B, "Variant", 'Raw Data'!$A:$A, $A33, 'Raw Data'!$C:$C, $C$3),""))</f>
        <v>153.57</v>
      </c>
      <c r="Y33" s="105">
        <f t="shared" si="8"/>
        <v>0.01246044304</v>
      </c>
      <c r="Z33" s="101">
        <f>IF($A33="","",IFERROR(SUMPRODUCT(('Raw Data'!$B$2:$B$9999="Control")*('Raw Data'!$A$2:$A$9999=$A33)*('Raw Data'!$C$2:$C$9999=$C$3)*'Raw Data'!$D$2:$D$9999*'Raw Data'!$L$2:$L$9999)/SUMIFS('Raw Data'!$D:$D, 'Raw Data'!$B:$B, "Control", 'Raw Data'!$A:$A, $A33, 'Raw Data'!$C:$C, $C$3),""))</f>
        <v>122.88</v>
      </c>
      <c r="AA33" s="101">
        <f>IF($A33="","",IFERROR(SUMPRODUCT(('Raw Data'!$B$2:$B$9999="Variant")*('Raw Data'!$A$2:$A$9999=$A33)*('Raw Data'!$C$2:$C$9999=$C$3)*'Raw Data'!$D$2:$D$9999*'Raw Data'!$L$2:$L$9999)/SUMIFS('Raw Data'!$D:$D, 'Raw Data'!$B:$B, "Variant", 'Raw Data'!$A:$A, $A33, 'Raw Data'!$C:$C, $C$3),""))</f>
        <v>125.27</v>
      </c>
      <c r="AB33" s="105">
        <f t="shared" si="9"/>
        <v>0.01944986979</v>
      </c>
      <c r="AC33" s="102">
        <f>IF($A33="","",IFERROR(SUMPRODUCT(('Raw Data'!$B$2:$B$9999="Control")*('Raw Data'!$A$2:$A$9999=$A33)*('Raw Data'!$C$2:$C$9999=$C$3)*'Raw Data'!$D$2:$D$9999*'Raw Data'!$M$2:$M$9999)/SUMIFS('Raw Data'!$D:$D, 'Raw Data'!$B:$B, "Control", 'Raw Data'!$A:$A, $A33, 'Raw Data'!$C:$C, $C$3),""))</f>
        <v>0.8101</v>
      </c>
      <c r="AD33" s="102">
        <f>IF($A33="","",IFERROR(SUMPRODUCT(('Raw Data'!$B$2:$B$9999="Variant")*('Raw Data'!$A$2:$A$9999=$A33)*('Raw Data'!$C$2:$C$9999=$C$3)*'Raw Data'!$D$2:$D$9999*'Raw Data'!$M$2:$M$9999)/SUMIFS('Raw Data'!$D:$D, 'Raw Data'!$B:$B, "Variant", 'Raw Data'!$A:$A, $A33, 'Raw Data'!$C:$C, $C$3),""))</f>
        <v>0.8157</v>
      </c>
      <c r="AE33" s="106">
        <f t="shared" si="10"/>
        <v>0.006912726824</v>
      </c>
      <c r="AF33" s="102">
        <f>IF($A33="","",IFERROR(SUMPRODUCT(('Raw Data'!$B$2:$B$9999="Control")*('Raw Data'!$A$2:$A$9999=$A33)*('Raw Data'!$C$2:$C$9999=$C$3)*'Raw Data'!$D$2:$D$9999*'Raw Data'!$N$2:$N$9999)/SUMIFS('Raw Data'!$D:$D, 'Raw Data'!$B:$B, "Control", 'Raw Data'!$A:$A, $A33, 'Raw Data'!$C:$C, $C$3),""))</f>
        <v>0.3175</v>
      </c>
      <c r="AG33" s="102">
        <f>IF($A33="","",IFERROR(SUMPRODUCT(('Raw Data'!$B$2:$B$9999="Variant")*('Raw Data'!$A$2:$A$9999=$A33)*('Raw Data'!$C$2:$C$9999=$C$3)*'Raw Data'!$D$2:$D$9999*'Raw Data'!$N$2:$N$9999)/SUMIFS('Raw Data'!$D:$D, 'Raw Data'!$B:$B, "Variant", 'Raw Data'!$A:$A, $A33, 'Raw Data'!$C:$C, $C$3),""))</f>
        <v>0.3086</v>
      </c>
      <c r="AH33" s="106">
        <f t="shared" si="11"/>
        <v>-0.02803149606</v>
      </c>
      <c r="AI33" s="102">
        <f>IF($A33="","",IFERROR(SUMPRODUCT(('Raw Data'!$B$2:$B$9999="Control")*('Raw Data'!$A$2:$A$9999=$A33)*('Raw Data'!$C$2:$C$9999=$C$3)*'Raw Data'!$D$2:$D$9999*'Raw Data'!$O$2:$O$9999)/SUMIFS('Raw Data'!$D:$D, 'Raw Data'!$B:$B, "Control", 'Raw Data'!$A:$A, $A33, 'Raw Data'!$C:$C, $C$3),""))</f>
        <v>0.2101</v>
      </c>
      <c r="AJ33" s="102">
        <f>IF($A33="","",IFERROR(SUMPRODUCT(('Raw Data'!$B$2:$B$9999="Variant")*('Raw Data'!$A$2:$A$9999=$A33)*('Raw Data'!$C$2:$C$9999=$C$3)*'Raw Data'!$D$2:$D$9999*'Raw Data'!$O$2:$O$9999)/SUMIFS('Raw Data'!$D:$D, 'Raw Data'!$B:$B, "Variant", 'Raw Data'!$A:$A, $A33, 'Raw Data'!$C:$C, $C$3),""))</f>
        <v>0.2033</v>
      </c>
      <c r="AK33" s="105">
        <f t="shared" si="12"/>
        <v>-0.03236554022</v>
      </c>
      <c r="AL33" s="101">
        <f>IF($A33="","",IFERROR(SUMPRODUCT(('Raw Data'!$B$2:$B$9999="Control")*('Raw Data'!$A$2:$A$9999=$A33)*('Raw Data'!$C$2:$C$9999=$C$3)*'Raw Data'!$D$2:$D$9999*'Raw Data'!$P$2:$P$9999)/SUMIFS('Raw Data'!$D:$D, 'Raw Data'!$B:$B, "Control", 'Raw Data'!$A:$A, $A33, 'Raw Data'!$C:$C, $C$3),""))</f>
        <v>1.2344</v>
      </c>
      <c r="AM33" s="101">
        <f>IF($A33="","",IFERROR(SUMPRODUCT(('Raw Data'!$B$2:$B$9999="Variant")*('Raw Data'!$A$2:$A$9999=$A33)*('Raw Data'!$C$2:$C$9999=$C$3)*'Raw Data'!$D$2:$D$9999*'Raw Data'!$P$2:$P$9999)/SUMIFS('Raw Data'!$D:$D, 'Raw Data'!$B:$B, "Variant", 'Raw Data'!$A:$A, $A33, 'Raw Data'!$C:$C, $C$3),""))</f>
        <v>1.2259</v>
      </c>
      <c r="AN33" s="105">
        <f t="shared" si="13"/>
        <v>-0.006885936487</v>
      </c>
      <c r="AO33" s="101">
        <f>IF($A33="","",IFERROR(SUMPRODUCT(('Raw Data'!$B$2:$B$9999="Control")*('Raw Data'!$A$2:$A$9999=$A33)*('Raw Data'!$C$2:$C$9999=$C$3)*'Raw Data'!$D$2:$D$9999*'Raw Data'!$Q$2:$Q$9999)/SUMIFS('Raw Data'!$D:$D, 'Raw Data'!$B:$B, "Control", 'Raw Data'!$A:$A, $A33, 'Raw Data'!$C:$C, $C$3),""))</f>
        <v>697.71</v>
      </c>
      <c r="AP33" s="101">
        <f>IF($A33="","",IFERROR(SUMPRODUCT(('Raw Data'!$B$2:$B$9999="Variant")*('Raw Data'!$A$2:$A$9999=$A33)*('Raw Data'!$C$2:$C$9999=$C$3)*'Raw Data'!$D$2:$D$9999*'Raw Data'!$Q$2:$Q$9999)/SUMIFS('Raw Data'!$D:$D, 'Raw Data'!$B:$B, "Variant", 'Raw Data'!$A:$A, $A33, 'Raw Data'!$C:$C, $C$3),""))</f>
        <v>663.7</v>
      </c>
      <c r="AQ33" s="95">
        <f t="shared" si="14"/>
        <v>-0.04874518066</v>
      </c>
      <c r="AR33" s="101">
        <f>IF($A33="","",IFERROR(SUMPRODUCT(('Raw Data'!$B$2:$B$9999="Control")*('Raw Data'!$A$2:$A$9999=$A33)*('Raw Data'!$C$2:$C$9999=$C$3)*'Raw Data'!$D$2:$D$9999*'Raw Data'!$R$2:$R$9999)/SUMIFS('Raw Data'!$D:$D, 'Raw Data'!$B:$B, "Control", 'Raw Data'!$A:$A, $A33, 'Raw Data'!$C:$C, $C$3),""))</f>
        <v>436.48</v>
      </c>
      <c r="AS33" s="101">
        <f>IF($A33="","",IFERROR(SUMPRODUCT(('Raw Data'!$B$2:$B$9999="Variant")*('Raw Data'!$A$2:$A$9999=$A33)*('Raw Data'!$C$2:$C$9999=$C$3)*'Raw Data'!$D$2:$D$9999*'Raw Data'!$R$2:$R$9999)/SUMIFS('Raw Data'!$D:$D, 'Raw Data'!$B:$B, "Variant", 'Raw Data'!$A:$A, $A33, 'Raw Data'!$C:$C, $C$3),""))</f>
        <v>570.23</v>
      </c>
      <c r="AT33" s="95">
        <f t="shared" si="15"/>
        <v>0.3064287023</v>
      </c>
      <c r="AU33" s="101">
        <f>IF($A33="","",IFERROR(SUMPRODUCT(('Raw Data'!$B$2:$B$9999="Control")*('Raw Data'!$A$2:$A$9999=$A33)*('Raw Data'!$C$2:$C$9999=$C$3)*'Raw Data'!$D$2:$D$9999*'Raw Data'!$S$2:$S$9999)/SUMIFS('Raw Data'!$D:$D, 'Raw Data'!$B:$B, "Control", 'Raw Data'!$A:$A, $A33, 'Raw Data'!$C:$C, $C$3),""))</f>
        <v>261.24</v>
      </c>
      <c r="AV33" s="101">
        <f>IF($A33="","",IFERROR(SUMPRODUCT(('Raw Data'!$B$2:$B$9999="Variant")*('Raw Data'!$A$2:$A$9999=$A33)*('Raw Data'!$C$2:$C$9999=$C$3)*'Raw Data'!$D$2:$D$9999*'Raw Data'!$S$2:$S$9999)/SUMIFS('Raw Data'!$D:$D, 'Raw Data'!$B:$B, "Variant", 'Raw Data'!$A:$A, $A33, 'Raw Data'!$C:$C, $C$3),""))</f>
        <v>93.46</v>
      </c>
      <c r="AW33" s="95">
        <f t="shared" si="16"/>
        <v>-0.6422446792</v>
      </c>
      <c r="AX33" s="101">
        <f>IF($A33="","",IFERROR(SUMPRODUCT(('Raw Data'!$B$2:$B$9999="Control")*('Raw Data'!$A$2:$A$9999=$A33)*('Raw Data'!$C$2:$C$9999=$C$3)*'Raw Data'!$D$2:$D$9999*'Raw Data'!$T$2:$T$9999)/SUMIFS('Raw Data'!$D:$D, 'Raw Data'!$B:$B, "Control", 'Raw Data'!$A:$A, $A33, 'Raw Data'!$C:$C, $C$3),""))</f>
        <v>254.05</v>
      </c>
      <c r="AY33" s="101">
        <f>IF($A33="","",IFERROR(SUMPRODUCT(('Raw Data'!$B$2:$B$9999="Variant")*('Raw Data'!$A$2:$A$9999=$A33)*('Raw Data'!$C$2:$C$9999=$C$3)*'Raw Data'!$D$2:$D$9999*'Raw Data'!$T$2:$T$9999)/SUMIFS('Raw Data'!$D:$D, 'Raw Data'!$B:$B, "Variant", 'Raw Data'!$A:$A, $A33, 'Raw Data'!$C:$C, $C$3),""))</f>
        <v>270.86</v>
      </c>
      <c r="AZ33" s="105">
        <f t="shared" si="17"/>
        <v>0.06616807715</v>
      </c>
      <c r="BA33" s="101">
        <f>IF($A33="","",IFERROR(SUMPRODUCT(('Raw Data'!$B$2:$B$9999="Control")*('Raw Data'!$A$2:$A$9999=$A33)*('Raw Data'!$C$2:$C$9999=$C$3)*'Raw Data'!$D$2:$D$9999*'Raw Data'!$U$2:$U$9999)/SUMIFS('Raw Data'!$D:$D, 'Raw Data'!$B:$B, "Control", 'Raw Data'!$A:$A, $A33, 'Raw Data'!$C:$C, $C$3),""))</f>
        <v>443.66</v>
      </c>
      <c r="BB33" s="101">
        <f>IF($A33="","",IFERROR(SUMPRODUCT(('Raw Data'!$B$2:$B$9999="Variant")*('Raw Data'!$A$2:$A$9999=$A33)*('Raw Data'!$C$2:$C$9999=$C$3)*'Raw Data'!$D$2:$D$9999*'Raw Data'!$U$2:$U$9999)/SUMIFS('Raw Data'!$D:$D, 'Raw Data'!$B:$B, "Variant", 'Raw Data'!$A:$A, $A33, 'Raw Data'!$C:$C, $C$3),""))</f>
        <v>392.84</v>
      </c>
      <c r="BC33" s="95">
        <f t="shared" si="18"/>
        <v>-0.1145471758</v>
      </c>
      <c r="BD33" s="101">
        <f>IF($A33="","",IFERROR(SUMPRODUCT(('Raw Data'!$B$2:$B$9999="Control")*('Raw Data'!$A$2:$A$9999=$A33)*('Raw Data'!$C$2:$C$9999=$C$3)*'Raw Data'!$D$2:$D$9999*'Raw Data'!$V$2:$V$9999)/SUMIFS('Raw Data'!$D:$D, 'Raw Data'!$B:$B, "Control", 'Raw Data'!$A:$A, $A33, 'Raw Data'!$C:$C, $C$3),""))</f>
        <v>869.86</v>
      </c>
      <c r="BE33" s="101">
        <f>IF($A33="","",IFERROR(SUMPRODUCT(('Raw Data'!$B$2:$B$9999="Variant")*('Raw Data'!$A$2:$A$9999=$A33)*('Raw Data'!$C$2:$C$9999=$C$3)*'Raw Data'!$D$2:$D$9999*'Raw Data'!$V$2:$V$9999)/SUMIFS('Raw Data'!$D:$D, 'Raw Data'!$B:$B, "Variant", 'Raw Data'!$A:$A, $A33, 'Raw Data'!$C:$C, $C$3),""))</f>
        <v>828.95</v>
      </c>
      <c r="BF33" s="95">
        <f t="shared" si="19"/>
        <v>-0.04703055664</v>
      </c>
      <c r="BG33" s="101">
        <f>IF($A33="","",IFERROR(SUMPRODUCT(('Raw Data'!$B$2:$B$9999="Control")*('Raw Data'!$A$2:$A$9999=$A33)*('Raw Data'!$C$2:$C$9999=$C$3)*'Raw Data'!$D$2:$D$9999*('Raw Data'!$Q$2:$Q$9999-'Raw Data'!$V$2:$V$9999))/SUMIFS('Raw Data'!$D:$D, 'Raw Data'!$B:$B, "Control", 'Raw Data'!$A:$A, $A33, 'Raw Data'!$C:$C, $C$3),""))</f>
        <v>-172.15</v>
      </c>
      <c r="BH33" s="101">
        <f>IF($A33="","",IFERROR(SUMPRODUCT(('Raw Data'!$B$2:$B$9999="Variant")*('Raw Data'!$A$2:$A$9999=$A33)*('Raw Data'!$C$2:$C$9999=$C$3)*'Raw Data'!$D$2:$D$9999*('Raw Data'!$Q$2:$Q$9999-'Raw Data'!$V$2:$V$9999))/SUMIFS('Raw Data'!$D:$D, 'Raw Data'!$B:$B, "Variant", 'Raw Data'!$A:$A, $A33, 'Raw Data'!$C:$C, $C$3),""))</f>
        <v>-165.25</v>
      </c>
      <c r="BI33" s="95">
        <f t="shared" si="20"/>
        <v>0.04008132443</v>
      </c>
      <c r="BJ33" s="101">
        <f>IF($A33="","",IFERROR(SUMPRODUCT(('Raw Data'!$B$2:$B$9999="Control")*('Raw Data'!$A$2:$A$9999=$A33)*('Raw Data'!$C$2:$C$9999=$C$3)*'Raw Data'!$D$2:$D$9999*'Raw Data'!$W$2:$W$9999)/SUMIFS('Raw Data'!$D:$D, 'Raw Data'!$B:$B, "Control", 'Raw Data'!$A:$A, $A33, 'Raw Data'!$C:$C, $C$3),""))</f>
        <v>5.7349</v>
      </c>
      <c r="BK33" s="101">
        <f>IF($A33="","",IFERROR(SUMPRODUCT(('Raw Data'!$B$2:$B$9999="Variant")*('Raw Data'!$A$2:$A$9999=$A33)*('Raw Data'!$C$2:$C$9999=$C$3)*'Raw Data'!$D$2:$D$9999*'Raw Data'!$W$2:$W$9999)/SUMIFS('Raw Data'!$D:$D, 'Raw Data'!$B:$B, "Variant", 'Raw Data'!$A:$A, $A33, 'Raw Data'!$C:$C, $C$3),""))</f>
        <v>5.3979</v>
      </c>
      <c r="BL33" s="95">
        <f t="shared" si="21"/>
        <v>-0.05876301243</v>
      </c>
      <c r="BM33" s="102">
        <f>IF($A33="","",IFERROR(SUMPRODUCT(('Raw Data'!$B$2:$B$9999="Control")*('Raw Data'!$A$2:$A$9999=$A33)*('Raw Data'!$C$2:$C$9999=$C$3)*'Raw Data'!$D$2:$D$9999*'Raw Data'!$X$2:$X$9999)/SUMIFS('Raw Data'!$D:$D, 'Raw Data'!$B:$B, "Control", 'Raw Data'!$A:$A, $A33, 'Raw Data'!$C:$C, $C$3),""))</f>
        <v>36.41</v>
      </c>
      <c r="BN33" s="102">
        <f>IF($A33="","",IFERROR(SUMPRODUCT(('Raw Data'!$B$2:$B$9999="Variant")*('Raw Data'!$A$2:$A$9999=$A33)*('Raw Data'!$C$2:$C$9999=$C$3)*'Raw Data'!$D$2:$D$9999*'Raw Data'!$X$2:$X$9999)/SUMIFS('Raw Data'!$D:$D, 'Raw Data'!$B:$B, "Variant", 'Raw Data'!$A:$A, $A33, 'Raw Data'!$C:$C, $C$3),""))</f>
        <v>40.81</v>
      </c>
      <c r="BO33" s="105">
        <f t="shared" si="22"/>
        <v>0.1208459215</v>
      </c>
      <c r="BP33" s="94">
        <f>IF($A33="","",IFERROR(SUMPRODUCT(('Raw Data'!$B$2:$B$9999="Control")*('Raw Data'!$A$2:$A$9999=$A33)*('Raw Data'!$C$2:$C$9999=$C$3)*'Raw Data'!$D$2:$D$9999*'Raw Data'!$Y$2:$Y$9999)/SUMIFS('Raw Data'!$D:$D, 'Raw Data'!$B:$B, "Control", 'Raw Data'!$A:$A, $A33, 'Raw Data'!$C:$C, $C$3),""))</f>
        <v>214</v>
      </c>
      <c r="BQ33" s="94">
        <f>IF($A33="","",IFERROR(SUMPRODUCT(('Raw Data'!$B$2:$B$9999="Variant")*('Raw Data'!$A$2:$A$9999=$A33)*('Raw Data'!$C$2:$C$9999=$C$3)*'Raw Data'!$D$2:$D$9999*'Raw Data'!$Y$2:$Y$9999)/SUMIFS('Raw Data'!$D:$D, 'Raw Data'!$B:$B, "Variant", 'Raw Data'!$A:$A, $A33, 'Raw Data'!$C:$C, $C$3),""))</f>
        <v>208</v>
      </c>
      <c r="BR33" s="95">
        <f t="shared" si="23"/>
        <v>-0.02803738318</v>
      </c>
      <c r="BS33" s="94">
        <f>IF($A33="","",IFERROR(SUMPRODUCT(('Raw Data'!$B$2:$B$9999="Control")*('Raw Data'!$A$2:$A$9999=$A33)*('Raw Data'!$C$2:$C$9999=$C$3)*'Raw Data'!$D$2:$D$9999*'Raw Data'!$Z$2:$Z$9999)/SUMIFS('Raw Data'!$D:$D, 'Raw Data'!$B:$B, "Control", 'Raw Data'!$A:$A, $A33, 'Raw Data'!$C:$C, $C$3),""))</f>
        <v>1519</v>
      </c>
      <c r="BT33" s="94">
        <f>IF($A33="","",IFERROR(SUMPRODUCT(('Raw Data'!$B$2:$B$9999="Variant")*('Raw Data'!$A$2:$A$9999=$A33)*('Raw Data'!$C$2:$C$9999=$C$3)*'Raw Data'!$D$2:$D$9999*'Raw Data'!$Z$2:$Z$9999)/SUMIFS('Raw Data'!$D:$D, 'Raw Data'!$B:$B, "Variant", 'Raw Data'!$A:$A, $A33, 'Raw Data'!$C:$C, $C$3),""))</f>
        <v>1747</v>
      </c>
      <c r="BU33" s="95">
        <f t="shared" si="24"/>
        <v>0.1500987492</v>
      </c>
      <c r="BV33" s="94">
        <f>IF($A33="","",IFERROR(SUMPRODUCT(('Raw Data'!$B$2:$B$9999="Control")*('Raw Data'!$A$2:$A$9999=$A33)*('Raw Data'!$C$2:$C$9999=$C$3)*'Raw Data'!$D$2:$D$9999*'Raw Data'!$AA$2:$AA$9999)/SUMIFS('Raw Data'!$D:$D, 'Raw Data'!$B:$B, "Control", 'Raw Data'!$A:$A, $A33, 'Raw Data'!$C:$C, $C$3),""))</f>
        <v>7189</v>
      </c>
      <c r="BW33" s="94">
        <f>IF($A33="","",IFERROR(SUMPRODUCT(('Raw Data'!$B$2:$B$9999="Variant")*('Raw Data'!$A$2:$A$9999=$A33)*('Raw Data'!$C$2:$C$9999=$C$3)*'Raw Data'!$D$2:$D$9999*'Raw Data'!$AA$2:$AA$9999)/SUMIFS('Raw Data'!$D:$D, 'Raw Data'!$B:$B, "Variant", 'Raw Data'!$A:$A, $A33, 'Raw Data'!$C:$C, $C$3),""))</f>
        <v>8907</v>
      </c>
      <c r="BX33" s="95">
        <f t="shared" si="25"/>
        <v>0.2389762137</v>
      </c>
      <c r="BY33" s="101">
        <f>IF($A33="","",IFERROR(SUMPRODUCT(('Raw Data'!$B$2:$B$9999="Control")*('Raw Data'!$A$2:$A$9999=$A33)*('Raw Data'!$C$2:$C$9999=$C$3)*'Raw Data'!$D$2:$D$9999*'Raw Data'!$AB$2:$AB$9999)/SUMIFS('Raw Data'!$D:$D, 'Raw Data'!$B:$B, "Control", 'Raw Data'!$A:$A, $A33, 'Raw Data'!$C:$C, $C$3),""))</f>
        <v>62.2437</v>
      </c>
      <c r="BZ33" s="101">
        <f>IF($A33="","",IFERROR(SUMPRODUCT(('Raw Data'!$B$2:$B$9999="Variant")*('Raw Data'!$A$2:$A$9999=$A33)*('Raw Data'!$C$2:$C$9999=$C$3)*'Raw Data'!$D$2:$D$9999*'Raw Data'!$AB$2:$AB$9999)/SUMIFS('Raw Data'!$D:$D, 'Raw Data'!$B:$B, "Variant", 'Raw Data'!$A:$A, $A33, 'Raw Data'!$C:$C, $C$3),""))</f>
        <v>62.1858</v>
      </c>
      <c r="CA33" s="105">
        <f t="shared" si="26"/>
        <v>-0.0009302146241</v>
      </c>
      <c r="CB33" s="101">
        <f>IF($A33="","",IFERROR(SUMPRODUCT(('Raw Data'!$B$2:$B$9999="Control")*('Raw Data'!$A$2:$A$9999=$A33)*('Raw Data'!$C$2:$C$9999=$C$3)*'Raw Data'!$D$2:$D$9999*'Raw Data'!$AC$2:$AC$9999)/SUMIFS('Raw Data'!$D:$D, 'Raw Data'!$B:$B, "Control", 'Raw Data'!$A:$A, $A33, 'Raw Data'!$C:$C, $C$3),""))</f>
        <v>0.854</v>
      </c>
      <c r="CC33" s="101">
        <f>IF($A33="","",IFERROR(SUMPRODUCT(('Raw Data'!$B$2:$B$9999="Variant")*('Raw Data'!$A$2:$A$9999=$A33)*('Raw Data'!$C$2:$C$9999=$C$3)*'Raw Data'!$D$2:$D$9999*'Raw Data'!$AC$2:$AC$9999)/SUMIFS('Raw Data'!$D:$D, 'Raw Data'!$B:$B, "Variant", 'Raw Data'!$A:$A, $A33, 'Raw Data'!$C:$C, $C$3),""))</f>
        <v>0.8636</v>
      </c>
      <c r="CD33" s="105">
        <f t="shared" si="27"/>
        <v>0.0112412178</v>
      </c>
      <c r="CE33" s="101">
        <f>IF($A33="","",IFERROR(SUMPRODUCT(('Raw Data'!$B$2:$B$9999="Control")*('Raw Data'!$A$2:$A$9999=$A33)*('Raw Data'!$C$2:$C$9999=$C$3)*'Raw Data'!$D$2:$D$9999*'Raw Data'!$AD$2:$AD$9999)/SUMIFS('Raw Data'!$D:$D, 'Raw Data'!$B:$B, "Control", 'Raw Data'!$A:$A, $A33, 'Raw Data'!$C:$C, $C$3),""))</f>
        <v>80.59</v>
      </c>
      <c r="CF33" s="101">
        <f>IF($A33="","",IFERROR(SUMPRODUCT(('Raw Data'!$B$2:$B$9999="Variant")*('Raw Data'!$A$2:$A$9999=$A33)*('Raw Data'!$C$2:$C$9999=$C$3)*'Raw Data'!$D$2:$D$9999*'Raw Data'!$AD$2:$AD$9999)/SUMIFS('Raw Data'!$D:$D, 'Raw Data'!$B:$B, "Variant", 'Raw Data'!$A:$A, $A33, 'Raw Data'!$C:$C, $C$3),""))</f>
        <v>83.77</v>
      </c>
      <c r="CG33" s="105">
        <f t="shared" si="28"/>
        <v>0.03945898995</v>
      </c>
      <c r="CH33" s="101">
        <f>IF($A33="","",IFERROR(SUMPRODUCT(('Raw Data'!$B$2:$B$9999="Control")*('Raw Data'!$A$2:$A$9999=$A33)*('Raw Data'!$C$2:$C$9999=$C$3)*'Raw Data'!$D$2:$D$9999*'Raw Data'!$AE$2:$AE$9999)/SUMIFS('Raw Data'!$D:$D, 'Raw Data'!$B:$B, "Control", 'Raw Data'!$A:$A, $A33, 'Raw Data'!$C:$C, $C$3),""))</f>
        <v>28</v>
      </c>
      <c r="CI33" s="101">
        <f>IF($A33="","",IFERROR(SUMPRODUCT(('Raw Data'!$B$2:$B$9999="Variant")*('Raw Data'!$A$2:$A$9999=$A33)*('Raw Data'!$C$2:$C$9999=$C$3)*'Raw Data'!$D$2:$D$9999*'Raw Data'!$AE$2:$AE$9999)/SUMIFS('Raw Data'!$D:$D, 'Raw Data'!$B:$B, "Variant", 'Raw Data'!$A:$A, $A33, 'Raw Data'!$C:$C, $C$3),""))</f>
        <v>28</v>
      </c>
      <c r="CJ33" s="105">
        <f t="shared" si="29"/>
        <v>0</v>
      </c>
      <c r="CK33" s="101">
        <f>IF($A33="","",IFERROR(SUMPRODUCT(('Raw Data'!$B$2:$B$9999="Control")*('Raw Data'!$A$2:$A$9999=$A33)*('Raw Data'!$C$2:$C$9999=$C$3)*'Raw Data'!$D$2:$D$9999*'Raw Data'!$AF$2:$AF$9999)/SUMIFS('Raw Data'!$D:$D, 'Raw Data'!$B:$B, "Control", 'Raw Data'!$A:$A, $A33, 'Raw Data'!$C:$C, $C$3),""))</f>
        <v>61</v>
      </c>
      <c r="CL33" s="101">
        <f>IF($A33="","",IFERROR(SUMPRODUCT(('Raw Data'!$B$2:$B$9999="Variant")*('Raw Data'!$A$2:$A$9999=$A33)*('Raw Data'!$C$2:$C$9999=$C$3)*'Raw Data'!$D$2:$D$9999*'Raw Data'!$AF$2:$AF$9999)/SUMIFS('Raw Data'!$D:$D, 'Raw Data'!$B:$B, "Variant", 'Raw Data'!$A:$A, $A33, 'Raw Data'!$C:$C, $C$3),""))</f>
        <v>64</v>
      </c>
      <c r="CM33" s="105">
        <f t="shared" si="30"/>
        <v>0.04918032787</v>
      </c>
      <c r="CN33" s="101">
        <f>IF($A33="","",IFERROR(SUMPRODUCT(('Raw Data'!$B$2:$B$9999="Control")*('Raw Data'!$A$2:$A$9999=$A33)*('Raw Data'!$C$2:$C$9999=$C$3)*'Raw Data'!$D$2:$D$9999*'Raw Data'!$AG$2:$AG$9999)/SUMIFS('Raw Data'!$D:$D, 'Raw Data'!$B:$B, "Control", 'Raw Data'!$A:$A, $A33, 'Raw Data'!$C:$C, $C$3),""))</f>
        <v>113</v>
      </c>
      <c r="CO33" s="101">
        <f>IF($A33="","",IFERROR(SUMPRODUCT(('Raw Data'!$B$2:$B$9999="Variant")*('Raw Data'!$A$2:$A$9999=$A33)*('Raw Data'!$C$2:$C$9999=$C$3)*'Raw Data'!$D$2:$D$9999*'Raw Data'!$AG$2:$AG$9999)/SUMIFS('Raw Data'!$D:$D, 'Raw Data'!$B:$B, "Variant", 'Raw Data'!$A:$A, $A33, 'Raw Data'!$C:$C, $C$3),""))</f>
        <v>122</v>
      </c>
      <c r="CP33" s="105">
        <f t="shared" si="31"/>
        <v>0.0796460177</v>
      </c>
      <c r="CQ33" s="101">
        <f>IF($A33="","",IFERROR(SUMPRODUCT(('Raw Data'!$B$2:$B$9999="Control")*('Raw Data'!$A$2:$A$9999=$A33)*('Raw Data'!$C$2:$C$9999=$C$3)*'Raw Data'!$D$2:$D$9999*'Raw Data'!$AH$2:$AH$9999)/SUMIFS('Raw Data'!$D:$D, 'Raw Data'!$B:$B, "Control", 'Raw Data'!$A:$A, $A33, 'Raw Data'!$C:$C, $C$3),""))</f>
        <v>175</v>
      </c>
      <c r="CR33" s="101">
        <f>IF($A33="","",IFERROR(SUMPRODUCT(('Raw Data'!$B$2:$B$9999="Variant")*('Raw Data'!$A$2:$A$9999=$A33)*('Raw Data'!$C$2:$C$9999=$C$3)*'Raw Data'!$D$2:$D$9999*'Raw Data'!$AH$2:$AH$9999)/SUMIFS('Raw Data'!$D:$D, 'Raw Data'!$B:$B, "Variant", 'Raw Data'!$A:$A, $A33, 'Raw Data'!$C:$C, $C$3),""))</f>
        <v>181</v>
      </c>
      <c r="CS33" s="105">
        <f t="shared" si="32"/>
        <v>0.03428571429</v>
      </c>
      <c r="CT33" s="96">
        <f>IF($A33="","",IFERROR(SUMPRODUCT(('Raw Data'!$B$2:$B$9999="Control")*('Raw Data'!$A$2:$A$9999=$A33)*('Raw Data'!$C$2:$C$9999=$C$3)*'Raw Data'!$D$2:$D$9999*'Raw Data'!$AI$2:$AI$9999)/SUMIFS('Raw Data'!$D:$D, 'Raw Data'!$B:$B, "Control", 'Raw Data'!$A:$A, $A33, 'Raw Data'!$C:$C, $C$3),""))</f>
        <v>40.32</v>
      </c>
      <c r="CU33" s="96">
        <f>IF($A33="","",IFERROR(SUMPRODUCT(('Raw Data'!$B$2:$B$9999="Variant")*('Raw Data'!$A$2:$A$9999=$A33)*('Raw Data'!$C$2:$C$9999=$C$3)*'Raw Data'!$D$2:$D$9999*'Raw Data'!$AI$2:$AI$9999)/SUMIFS('Raw Data'!$D:$D, 'Raw Data'!$B:$B, "Variant", 'Raw Data'!$A:$A, $A33, 'Raw Data'!$C:$C, $C$3),""))</f>
        <v>43.86</v>
      </c>
      <c r="CV33" s="106">
        <f t="shared" si="33"/>
        <v>0.08779761905</v>
      </c>
      <c r="CW33" s="96">
        <f>IF($A33="","",IFERROR(SUMPRODUCT(('Raw Data'!$B$2:$B$9999="Control")*('Raw Data'!$A$2:$A$9999=$A33)*('Raw Data'!$C$2:$C$9999=$C$3)*'Raw Data'!$D$2:$D$9999*'Raw Data'!$AJ$2:$AJ$9999)/SUMIFS('Raw Data'!$D:$D, 'Raw Data'!$B:$B, "Control", 'Raw Data'!$A:$A, $A33, 'Raw Data'!$C:$C, $C$3),""))</f>
        <v>10.08</v>
      </c>
      <c r="CX33" s="96">
        <f>IF($A33="","",IFERROR(SUMPRODUCT(('Raw Data'!$B$2:$B$9999="Variant")*('Raw Data'!$A$2:$A$9999=$A33)*('Raw Data'!$C$2:$C$9999=$C$3)*'Raw Data'!$D$2:$D$9999*'Raw Data'!$AJ$2:$AJ$9999)/SUMIFS('Raw Data'!$D:$D, 'Raw Data'!$B:$B, "Variant", 'Raw Data'!$A:$A, $A33, 'Raw Data'!$C:$C, $C$3),""))</f>
        <v>11.23</v>
      </c>
      <c r="CY33" s="106">
        <f t="shared" si="34"/>
        <v>0.1140873016</v>
      </c>
      <c r="CZ33" s="96">
        <f>IF($A33="","",IFERROR(SUMPRODUCT(('Raw Data'!$B$2:$B$9999="Control")*('Raw Data'!$A$2:$A$9999=$A33)*('Raw Data'!$C$2:$C$9999=$C$3)*'Raw Data'!$D$2:$D$9999*'Raw Data'!$AK$2:$AK$9999)/SUMIFS('Raw Data'!$D:$D, 'Raw Data'!$B:$B, "Control", 'Raw Data'!$A:$A, $A33, 'Raw Data'!$C:$C, $C$3),""))</f>
        <v>1.38</v>
      </c>
      <c r="DA33" s="96">
        <f>IF($A33="","",IFERROR(SUMPRODUCT(('Raw Data'!$B$2:$B$9999="Variant")*('Raw Data'!$A$2:$A$9999=$A33)*('Raw Data'!$C$2:$C$9999=$C$3)*'Raw Data'!$D$2:$D$9999*'Raw Data'!$AK$2:$AK$9999)/SUMIFS('Raw Data'!$D:$D, 'Raw Data'!$B:$B, "Variant", 'Raw Data'!$A:$A, $A33, 'Raw Data'!$C:$C, $C$3),""))</f>
        <v>1.58</v>
      </c>
      <c r="DB33" s="105">
        <f t="shared" si="35"/>
        <v>0.1449275362</v>
      </c>
      <c r="DC33" s="102">
        <f>IF($A33="","",IFERROR(SUMPRODUCT(('Raw Data'!$B$2:$B$9999="Control")*('Raw Data'!$A$2:$A$9999=$A33)*('Raw Data'!$C$2:$C$9999=$C$3)*'Raw Data'!$D$2:$D$9999*'Raw Data'!$AL$2:$AL$9999)/SUMIFS('Raw Data'!$D:$D, 'Raw Data'!$B:$B, "Control", 'Raw Data'!$A:$A, $A33, 'Raw Data'!$C:$C, $C$3),""))</f>
        <v>0.1245</v>
      </c>
      <c r="DD33" s="102">
        <f>IF($A33="","",IFERROR(SUMPRODUCT(('Raw Data'!$B$2:$B$9999="Variant")*('Raw Data'!$A$2:$A$9999=$A33)*('Raw Data'!$C$2:$C$9999=$C$3)*'Raw Data'!$D$2:$D$9999*'Raw Data'!$AL$2:$AL$9999)/SUMIFS('Raw Data'!$D:$D, 'Raw Data'!$B:$B, "Variant", 'Raw Data'!$A:$A, $A33, 'Raw Data'!$C:$C, $C$3),""))</f>
        <v>0.1421</v>
      </c>
      <c r="DE33" s="106">
        <f t="shared" si="36"/>
        <v>0.1413654618</v>
      </c>
      <c r="DF33" s="103"/>
      <c r="DG33" s="96">
        <f>IF($A33="","",IFERROR(SUMPRODUCT(('Raw Data'!$B$2:$B$9999="Variant")*('Raw Data'!$A$2:$A$9999=$A33)*('Raw Data'!$C$2:$C$9999=$C$3)*'Raw Data'!$D$2:$D$9999*'Raw Data'!$AM$2:$AM$9999)/SUMIFS('Raw Data'!$D:$D, 'Raw Data'!$B:$B, "Variant", 'Raw Data'!$A:$A, $A33, 'Raw Data'!$C:$C, $C$3),""))</f>
        <v>82.11</v>
      </c>
      <c r="DH33" s="104"/>
      <c r="DI33" s="103"/>
      <c r="DJ33" s="96">
        <f>IF($A33="","",IFERROR(SUMPRODUCT(('Raw Data'!$B$2:$B$9999="Variant")*('Raw Data'!$A$2:$A$9999=$A33)*('Raw Data'!$C$2:$C$9999=$C$3)*'Raw Data'!$D$2:$D$9999*'Raw Data'!$AN$2:$AN$9999)/SUMIFS('Raw Data'!$D:$D, 'Raw Data'!$B:$B, "Variant", 'Raw Data'!$A:$A, $A33, 'Raw Data'!$C:$C, $C$3),""))</f>
        <v>82.11</v>
      </c>
      <c r="DK33" s="104"/>
      <c r="DL33" s="103"/>
      <c r="DM33" s="96">
        <f>IF($A33="","",IFERROR(SUMPRODUCT(('Raw Data'!$B$2:$B$9999="Variant")*('Raw Data'!$A$2:$A$9999=$A33)*('Raw Data'!$C$2:$C$9999=$C$3)*'Raw Data'!$D$2:$D$9999*'Raw Data'!$AO$2:$AO$9999)/SUMIFS('Raw Data'!$D:$D, 'Raw Data'!$B:$B, "Variant", 'Raw Data'!$A:$A, $A33, 'Raw Data'!$C:$C, $C$3),""))</f>
        <v>68.42</v>
      </c>
      <c r="DN33" s="104"/>
      <c r="DO33" s="103"/>
      <c r="DP33" s="96">
        <f>IF($A33="","",IFERROR(SUMPRODUCT(('Raw Data'!$B$2:$B$9999="Variant")*('Raw Data'!$A$2:$A$9999=$A33)*('Raw Data'!$C$2:$C$9999=$C$3)*'Raw Data'!$D$2:$D$9999*'Raw Data'!$AP$2:$AP$9999)/SUMIFS('Raw Data'!$D:$D, 'Raw Data'!$B:$B, "Variant", 'Raw Data'!$A:$A, $A33, 'Raw Data'!$C:$C, $C$3),""))</f>
        <v>57.19</v>
      </c>
      <c r="DQ33" s="104"/>
      <c r="DR33" s="102">
        <f>IF($A33="","",IFERROR(SUMPRODUCT(('Raw Data'!$B$2:$B$9999="Control")*('Raw Data'!$A$2:$A$9999=$A33)*('Raw Data'!$C$2:$C$9999=$C$3)*'Raw Data'!$D$2:$D$9999*'Raw Data'!$AQ$2:$AQ$9999)/SUMIFS('Raw Data'!$D:$D, 'Raw Data'!$B:$B, "Control", 'Raw Data'!$A:$A, $A33, 'Raw Data'!$C:$C, $C$3),""))</f>
        <v>32.919</v>
      </c>
      <c r="DS33" s="102">
        <f>IF($A33="","",IFERROR(SUMPRODUCT(('Raw Data'!$B$2:$B$9999="Variant")*('Raw Data'!$A$2:$A$9999=$A33)*('Raw Data'!$C$2:$C$9999=$C$3)*'Raw Data'!$D$2:$D$9999*'Raw Data'!$AQ$2:$AQ$9999)/SUMIFS('Raw Data'!$D:$D, 'Raw Data'!$B:$B, "Variant", 'Raw Data'!$A:$A, $A33, 'Raw Data'!$C:$C, $C$3),""))</f>
        <v>34.686</v>
      </c>
      <c r="DT33" s="109">
        <f t="shared" si="37"/>
        <v>0.05367720769</v>
      </c>
      <c r="DU33" s="102">
        <f>IF($A33="","",IFERROR(SUMPRODUCT(('Raw Data'!$B$2:$B$9999="Control")*('Raw Data'!$A$2:$A$9999=$A33)*('Raw Data'!$C$2:$C$9999=$C$3)*'Raw Data'!$D$2:$D$9999*'Raw Data'!$AR$2:$AR$9999)/SUMIFS('Raw Data'!$D:$D, 'Raw Data'!$B:$B, "Control", 'Raw Data'!$A:$A, $A33, 'Raw Data'!$C:$C, $C$3),""))</f>
        <v>4.5889</v>
      </c>
      <c r="DV33" s="102">
        <f>IF($A33="","",IFERROR(SUMPRODUCT(('Raw Data'!$B$2:$B$9999="Variant")*('Raw Data'!$A$2:$A$9999=$A33)*('Raw Data'!$C$2:$C$9999=$C$3)*'Raw Data'!$D$2:$D$9999*'Raw Data'!$AR$2:$AR$9999)/SUMIFS('Raw Data'!$D:$D, 'Raw Data'!$B:$B, "Variant", 'Raw Data'!$A:$A, $A33, 'Raw Data'!$C:$C, $C$3),""))</f>
        <v>4.1088</v>
      </c>
      <c r="DW33" s="109">
        <f t="shared" si="38"/>
        <v>-0.1046220227</v>
      </c>
      <c r="DX33" s="102">
        <f>IF($A33="","",IFERROR(SUMPRODUCT(('Raw Data'!$B$2:$B$9999="Control")*('Raw Data'!$A$2:$A$9999=$A33)*('Raw Data'!$C$2:$C$9999=$C$3)*'Raw Data'!$D$2:$D$9999*'Raw Data'!$AS$2:$AS$9999)/SUMIFS('Raw Data'!$D:$D, 'Raw Data'!$B:$B, "Control", 'Raw Data'!$A:$A, $A33, 'Raw Data'!$C:$C, $C$3),""))</f>
        <v>28.33</v>
      </c>
      <c r="DY33" s="102">
        <f>IF($A33="","",IFERROR(SUMPRODUCT(('Raw Data'!$B$2:$B$9999="Variant")*('Raw Data'!$A$2:$A$9999=$A33)*('Raw Data'!$C$2:$C$9999=$C$3)*'Raw Data'!$D$2:$D$9999*'Raw Data'!$AS$2:$AS$9999)/SUMIFS('Raw Data'!$D:$D, 'Raw Data'!$B:$B, "Variant", 'Raw Data'!$A:$A, $A33, 'Raw Data'!$C:$C, $C$3),""))</f>
        <v>30.5772</v>
      </c>
      <c r="DZ33" s="110">
        <f t="shared" si="39"/>
        <v>0.07932227321</v>
      </c>
      <c r="EA33" s="102">
        <f>IF($A33="","",IFERROR(SUMPRODUCT(('Raw Data'!$B$2:$B$9999="Control")*('Raw Data'!$A$2:$A$9999=$A33)*('Raw Data'!$C$2:$C$9999=$C$3)*'Raw Data'!$D$2:$D$9999*'Raw Data'!$AT$2:$AT$9999)/SUMIFS('Raw Data'!$D:$D, 'Raw Data'!$B:$B, "Control", 'Raw Data'!$A:$A, $A33, 'Raw Data'!$C:$C, $C$3),""))</f>
        <v>39.5889</v>
      </c>
      <c r="EB33" s="102">
        <f>IF($A33="","",IFERROR(SUMPRODUCT(('Raw Data'!$B$2:$B$9999="Variant")*('Raw Data'!$A$2:$A$9999=$A33)*('Raw Data'!$C$2:$C$9999=$C$3)*'Raw Data'!$D$2:$D$9999*'Raw Data'!$AT$2:$AT$9999)/SUMIFS('Raw Data'!$D:$D, 'Raw Data'!$B:$B, "Variant", 'Raw Data'!$A:$A, $A33, 'Raw Data'!$C:$C, $C$3),""))</f>
        <v>35.6982</v>
      </c>
      <c r="EC33" s="109">
        <f t="shared" si="40"/>
        <v>-0.09827754749</v>
      </c>
      <c r="ED33" s="102">
        <f>IF($A33="","",IFERROR(SUMPRODUCT(('Raw Data'!$B$2:$B$9999="Control")*('Raw Data'!$A$2:$A$9999=$A33)*('Raw Data'!$C$2:$C$9999=$C$3)*'Raw Data'!$D$2:$D$9999*('Raw Data'!$AQ$2:$AQ$9999-'Raw Data'!$AT$2:$AT$9999))/SUMIFS('Raw Data'!$D:$D, 'Raw Data'!$B:$B, "Control", 'Raw Data'!$A:$A, $A33, 'Raw Data'!$C:$C, $C$3),""))</f>
        <v>-6.6699</v>
      </c>
      <c r="EE33" s="102">
        <f>IF($A33="","",IFERROR(SUMPRODUCT(('Raw Data'!$B$2:$B$9999="Variant")*('Raw Data'!$A$2:$A$9999=$A33)*('Raw Data'!$C$2:$C$9999=$C$3)*'Raw Data'!$D$2:$D$9999*('Raw Data'!$AQ$2:$AQ$9999-'Raw Data'!$AT$2:$AT$9999))/SUMIFS('Raw Data'!$D:$D, 'Raw Data'!$B:$B, "Variant", 'Raw Data'!$A:$A, $A33, 'Raw Data'!$C:$C, $C$3),""))</f>
        <v>-1.0122</v>
      </c>
      <c r="EF33" s="110">
        <f t="shared" si="41"/>
        <v>0.8482436019</v>
      </c>
      <c r="EG33" s="102">
        <f>IF($A33="","",IFERROR(SUMPRODUCT(('Raw Data'!$B$2:$B$9999="Control")*('Raw Data'!$A$2:$A$9999=$A33)*('Raw Data'!$C$2:$C$9999=$C$3)*'Raw Data'!$D$2:$D$9999*'Raw Data'!$AU$2:$AU$9999)/SUMIFS('Raw Data'!$D:$D, 'Raw Data'!$B:$B, "Control", 'Raw Data'!$A:$A, $A33, 'Raw Data'!$C:$C, $C$3),""))</f>
        <v>0.261</v>
      </c>
      <c r="EH33" s="102">
        <f>IF($A33="","",IFERROR(SUMPRODUCT(('Raw Data'!$B$2:$B$9999="Variant")*('Raw Data'!$A$2:$A$9999=$A33)*('Raw Data'!$C$2:$C$9999=$C$3)*'Raw Data'!$D$2:$D$9999*'Raw Data'!$AU$2:$AU$9999)/SUMIFS('Raw Data'!$D:$D, 'Raw Data'!$B:$B, "Variant", 'Raw Data'!$A:$A, $A33, 'Raw Data'!$C:$C, $C$3),""))</f>
        <v>0.2325</v>
      </c>
      <c r="EI33" s="109">
        <f t="shared" si="42"/>
        <v>-0.1091954023</v>
      </c>
    </row>
    <row r="34" ht="15.75" customHeight="1">
      <c r="A34" s="93">
        <v>46202.0</v>
      </c>
      <c r="B34" s="94">
        <f>IF($A34="","",SUMIFS('Raw Data'!$D:$D, 'Raw Data'!$B:$B, "Control", 'Raw Data'!$A:$A, $A34, 'Raw Data'!$C:$C, $C$3))</f>
        <v>477</v>
      </c>
      <c r="C34" s="94">
        <f>IF($A34="","",SUMIFS('Raw Data'!$D:$D, 'Raw Data'!$B:$B, "Variant", 'Raw Data'!$A:$A, $A34, 'Raw Data'!$C:$C, $C$3))</f>
        <v>526</v>
      </c>
      <c r="D34" s="95">
        <f t="shared" si="1"/>
        <v>0.1027253669</v>
      </c>
      <c r="E34" s="96">
        <f>IF($A34="","",IFERROR(SUMPRODUCT(('Raw Data'!$B$2:$B$9999="Control")*('Raw Data'!$A$2:$A$9999=$A34)*('Raw Data'!$C$2:$C$9999=$C$3)*'Raw Data'!$D$2:$D$9999*'Raw Data'!$E$2:$E$9999)/SUMIFS('Raw Data'!$D:$D, 'Raw Data'!$B:$B, "Control", 'Raw Data'!$A:$A, $A34, 'Raw Data'!$C:$C, $C$3),""))</f>
        <v>0.57</v>
      </c>
      <c r="F34" s="96">
        <f>IF($A34="","",IFERROR(SUMPRODUCT(('Raw Data'!$B$2:$B$9999="Variant")*('Raw Data'!$A$2:$A$9999=$A34)*('Raw Data'!$C$2:$C$9999=$C$3)*'Raw Data'!$D$2:$D$9999*'Raw Data'!$E$2:$E$9999)/SUMIFS('Raw Data'!$D:$D, 'Raw Data'!$B:$B, "Variant", 'Raw Data'!$A:$A, $A34, 'Raw Data'!$C:$C, $C$3),""))</f>
        <v>0.63</v>
      </c>
      <c r="G34" s="95">
        <f t="shared" si="2"/>
        <v>0.1052631579</v>
      </c>
      <c r="H34" s="97">
        <f>IF($A34="","",SUMIFS('Raw Data'!$F:$F, 'Raw Data'!$B:$B, "Control", 'Raw Data'!$A:$A, $A34, 'Raw Data'!$C:$C, $C$3))</f>
        <v>1418.44</v>
      </c>
      <c r="I34" s="97">
        <f>IF($A34="","",SUMIFS('Raw Data'!$F:$F, 'Raw Data'!$B:$B, "Variant", 'Raw Data'!$A:$A, $A34, 'Raw Data'!$C:$C, $C$3))</f>
        <v>2138.12</v>
      </c>
      <c r="J34" s="105">
        <f t="shared" si="3"/>
        <v>0.5073742985</v>
      </c>
      <c r="K34" s="99">
        <f>IF($A34="","",IFERROR(SUMIFS('Raw Data'!$F:$F, 'Raw Data'!$B:$B, "Control", 'Raw Data'!$A:$A, $A34, 'Raw Data'!$C:$C, $C$3)/SUMIFS('Raw Data'!$D:$D, 'Raw Data'!$B:$B, "Control", 'Raw Data'!$A:$A, $A34, 'Raw Data'!$C:$C, $C$3),""))</f>
        <v>2.973668763</v>
      </c>
      <c r="L34" s="99">
        <f>IF($A34="","",IFERROR(SUMIFS('Raw Data'!$F:$F, 'Raw Data'!$B:$B, "Variant", 'Raw Data'!$A:$A, $A34, 'Raw Data'!$C:$C, $C$3)/SUMIFS('Raw Data'!$D:$D, 'Raw Data'!$B:$B, "Variant", 'Raw Data'!$A:$A, $A34, 'Raw Data'!$C:$C, $C$3),""))</f>
        <v>4.06486692</v>
      </c>
      <c r="M34" s="105">
        <f t="shared" si="4"/>
        <v>0.3669534989</v>
      </c>
      <c r="N34" s="96">
        <f>IF($A34="","",IFERROR(SUMPRODUCT(('Raw Data'!$B$2:$B$9999="Control")*('Raw Data'!$A$2:$A$9999=$A34)*('Raw Data'!$C$2:$C$9999=$C$3)*'Raw Data'!$D$2:$D$9999*'Raw Data'!$H$2:$H$9999/100)/SUMIFS('Raw Data'!$D:$D, 'Raw Data'!$B:$B, "Control", 'Raw Data'!$A:$A, $A34, 'Raw Data'!$C:$C, $C$3)*100,""))</f>
        <v>16.77</v>
      </c>
      <c r="O34" s="96">
        <f>IF($A34="","",IFERROR(SUMPRODUCT(('Raw Data'!$B$2:$B$9999="Variant")*('Raw Data'!$A$2:$A$9999=$A34)*('Raw Data'!$C$2:$C$9999=$C$3)*'Raw Data'!$D$2:$D$9999*'Raw Data'!$H$2:$H$9999/100)/SUMIFS('Raw Data'!$D:$D, 'Raw Data'!$B:$B, "Variant", 'Raw Data'!$A:$A, $A34, 'Raw Data'!$C:$C, $C$3)*100,""))</f>
        <v>18.63</v>
      </c>
      <c r="P34" s="105">
        <f t="shared" si="5"/>
        <v>0.1109123435</v>
      </c>
      <c r="Q34" s="99">
        <f>IF($A34="","",IFERROR(SUMIFS('Raw Data'!$F:$F, 'Raw Data'!$B:$B, "Control", 'Raw Data'!$A:$A, $A34, 'Raw Data'!$C:$C, $C$3)/SUMPRODUCT(('Raw Data'!$B$2:$B$9999="Control")*('Raw Data'!$A$2:$A$9999=$A34)*('Raw Data'!$C$2:$C$9999=$C$3)*'Raw Data'!$D$2:$D$9999*'Raw Data'!$H$2:$H$9999/100),""))</f>
        <v>17.73207372</v>
      </c>
      <c r="R34" s="99">
        <f>IF($A34="","",IFERROR(SUMIFS('Raw Data'!$F:$F, 'Raw Data'!$B:$B, "Variant", 'Raw Data'!$A:$A, $A34, 'Raw Data'!$C:$C, $C$3)/SUMPRODUCT(('Raw Data'!$B$2:$B$9999="Variant")*('Raw Data'!$A$2:$A$9999=$A34)*('Raw Data'!$C$2:$C$9999=$C$3)*'Raw Data'!$D$2:$D$9999*'Raw Data'!$H$2:$H$9999/100),""))</f>
        <v>21.8189314</v>
      </c>
      <c r="S34" s="105">
        <f t="shared" si="6"/>
        <v>0.2304782703</v>
      </c>
      <c r="T34" s="101">
        <f>IF($A34="","",IFERROR(SUMPRODUCT(('Raw Data'!$B$2:$B$9999="Control")*('Raw Data'!$A$2:$A$9999=$A34)*('Raw Data'!$C$2:$C$9999=$C$3)*'Raw Data'!$D$2:$D$9999*'Raw Data'!$J$2:$J$9999)/SUMIFS('Raw Data'!$D:$D, 'Raw Data'!$B:$B, "Control", 'Raw Data'!$A:$A, $A34, 'Raw Data'!$C:$C, $C$3),""))</f>
        <v>250.19</v>
      </c>
      <c r="U34" s="101">
        <f>IF($A34="","",IFERROR(SUMPRODUCT(('Raw Data'!$B$2:$B$9999="Variant")*('Raw Data'!$A$2:$A$9999=$A34)*('Raw Data'!$C$2:$C$9999=$C$3)*'Raw Data'!$D$2:$D$9999*'Raw Data'!$J$2:$J$9999)/SUMIFS('Raw Data'!$D:$D, 'Raw Data'!$B:$B, "Variant", 'Raw Data'!$A:$A, $A34, 'Raw Data'!$C:$C, $C$3),""))</f>
        <v>261.39</v>
      </c>
      <c r="V34" s="105">
        <f t="shared" si="7"/>
        <v>0.04476597786</v>
      </c>
      <c r="W34" s="101">
        <f>IF($A34="","",IFERROR(SUMPRODUCT(('Raw Data'!$B$2:$B$9999="Control")*('Raw Data'!$A$2:$A$9999=$A34)*('Raw Data'!$C$2:$C$9999=$C$3)*'Raw Data'!$D$2:$D$9999*'Raw Data'!$K$2:$K$9999)/SUMIFS('Raw Data'!$D:$D, 'Raw Data'!$B:$B, "Control", 'Raw Data'!$A:$A, $A34, 'Raw Data'!$C:$C, $C$3),""))</f>
        <v>152.38</v>
      </c>
      <c r="X34" s="101">
        <f>IF($A34="","",IFERROR(SUMPRODUCT(('Raw Data'!$B$2:$B$9999="Variant")*('Raw Data'!$A$2:$A$9999=$A34)*('Raw Data'!$C$2:$C$9999=$C$3)*'Raw Data'!$D$2:$D$9999*'Raw Data'!$K$2:$K$9999)/SUMIFS('Raw Data'!$D:$D, 'Raw Data'!$B:$B, "Variant", 'Raw Data'!$A:$A, $A34, 'Raw Data'!$C:$C, $C$3),""))</f>
        <v>155.43</v>
      </c>
      <c r="Y34" s="105">
        <f t="shared" si="8"/>
        <v>0.0200157501</v>
      </c>
      <c r="Z34" s="101">
        <f>IF($A34="","",IFERROR(SUMPRODUCT(('Raw Data'!$B$2:$B$9999="Control")*('Raw Data'!$A$2:$A$9999=$A34)*('Raw Data'!$C$2:$C$9999=$C$3)*'Raw Data'!$D$2:$D$9999*'Raw Data'!$L$2:$L$9999)/SUMIFS('Raw Data'!$D:$D, 'Raw Data'!$B:$B, "Control", 'Raw Data'!$A:$A, $A34, 'Raw Data'!$C:$C, $C$3),""))</f>
        <v>127.3</v>
      </c>
      <c r="AA34" s="101">
        <f>IF($A34="","",IFERROR(SUMPRODUCT(('Raw Data'!$B$2:$B$9999="Variant")*('Raw Data'!$A$2:$A$9999=$A34)*('Raw Data'!$C$2:$C$9999=$C$3)*'Raw Data'!$D$2:$D$9999*'Raw Data'!$L$2:$L$9999)/SUMIFS('Raw Data'!$D:$D, 'Raw Data'!$B:$B, "Variant", 'Raw Data'!$A:$A, $A34, 'Raw Data'!$C:$C, $C$3),""))</f>
        <v>130.3</v>
      </c>
      <c r="AB34" s="105">
        <f t="shared" si="9"/>
        <v>0.02356637863</v>
      </c>
      <c r="AC34" s="102">
        <f>IF($A34="","",IFERROR(SUMPRODUCT(('Raw Data'!$B$2:$B$9999="Control")*('Raw Data'!$A$2:$A$9999=$A34)*('Raw Data'!$C$2:$C$9999=$C$3)*'Raw Data'!$D$2:$D$9999*'Raw Data'!$M$2:$M$9999)/SUMIFS('Raw Data'!$D:$D, 'Raw Data'!$B:$B, "Control", 'Raw Data'!$A:$A, $A34, 'Raw Data'!$C:$C, $C$3),""))</f>
        <v>0.8354</v>
      </c>
      <c r="AD34" s="102">
        <f>IF($A34="","",IFERROR(SUMPRODUCT(('Raw Data'!$B$2:$B$9999="Variant")*('Raw Data'!$A$2:$A$9999=$A34)*('Raw Data'!$C$2:$C$9999=$C$3)*'Raw Data'!$D$2:$D$9999*'Raw Data'!$M$2:$M$9999)/SUMIFS('Raw Data'!$D:$D, 'Raw Data'!$B:$B, "Variant", 'Raw Data'!$A:$A, $A34, 'Raw Data'!$C:$C, $C$3),""))</f>
        <v>0.8383</v>
      </c>
      <c r="AE34" s="106">
        <f t="shared" si="10"/>
        <v>0.00347139095</v>
      </c>
      <c r="AF34" s="102">
        <f>IF($A34="","",IFERROR(SUMPRODUCT(('Raw Data'!$B$2:$B$9999="Control")*('Raw Data'!$A$2:$A$9999=$A34)*('Raw Data'!$C$2:$C$9999=$C$3)*'Raw Data'!$D$2:$D$9999*'Raw Data'!$N$2:$N$9999)/SUMIFS('Raw Data'!$D:$D, 'Raw Data'!$B:$B, "Control", 'Raw Data'!$A:$A, $A34, 'Raw Data'!$C:$C, $C$3),""))</f>
        <v>0.2953</v>
      </c>
      <c r="AG34" s="102">
        <f>IF($A34="","",IFERROR(SUMPRODUCT(('Raw Data'!$B$2:$B$9999="Variant")*('Raw Data'!$A$2:$A$9999=$A34)*('Raw Data'!$C$2:$C$9999=$C$3)*'Raw Data'!$D$2:$D$9999*'Raw Data'!$N$2:$N$9999)/SUMIFS('Raw Data'!$D:$D, 'Raw Data'!$B:$B, "Variant", 'Raw Data'!$A:$A, $A34, 'Raw Data'!$C:$C, $C$3),""))</f>
        <v>0.297</v>
      </c>
      <c r="AH34" s="106">
        <f t="shared" si="11"/>
        <v>0.005756857433</v>
      </c>
      <c r="AI34" s="102">
        <f>IF($A34="","",IFERROR(SUMPRODUCT(('Raw Data'!$B$2:$B$9999="Control")*('Raw Data'!$A$2:$A$9999=$A34)*('Raw Data'!$C$2:$C$9999=$C$3)*'Raw Data'!$D$2:$D$9999*'Raw Data'!$O$2:$O$9999)/SUMIFS('Raw Data'!$D:$D, 'Raw Data'!$B:$B, "Control", 'Raw Data'!$A:$A, $A34, 'Raw Data'!$C:$C, $C$3),""))</f>
        <v>0.2013</v>
      </c>
      <c r="AJ34" s="102">
        <f>IF($A34="","",IFERROR(SUMPRODUCT(('Raw Data'!$B$2:$B$9999="Variant")*('Raw Data'!$A$2:$A$9999=$A34)*('Raw Data'!$C$2:$C$9999=$C$3)*'Raw Data'!$D$2:$D$9999*'Raw Data'!$O$2:$O$9999)/SUMIFS('Raw Data'!$D:$D, 'Raw Data'!$B:$B, "Variant", 'Raw Data'!$A:$A, $A34, 'Raw Data'!$C:$C, $C$3),""))</f>
        <v>0.2047</v>
      </c>
      <c r="AK34" s="105">
        <f t="shared" si="12"/>
        <v>0.01689021361</v>
      </c>
      <c r="AL34" s="101">
        <f>IF($A34="","",IFERROR(SUMPRODUCT(('Raw Data'!$B$2:$B$9999="Control")*('Raw Data'!$A$2:$A$9999=$A34)*('Raw Data'!$C$2:$C$9999=$C$3)*'Raw Data'!$D$2:$D$9999*'Raw Data'!$P$2:$P$9999)/SUMIFS('Raw Data'!$D:$D, 'Raw Data'!$B:$B, "Control", 'Raw Data'!$A:$A, $A34, 'Raw Data'!$C:$C, $C$3),""))</f>
        <v>1.1971</v>
      </c>
      <c r="AM34" s="101">
        <f>IF($A34="","",IFERROR(SUMPRODUCT(('Raw Data'!$B$2:$B$9999="Variant")*('Raw Data'!$A$2:$A$9999=$A34)*('Raw Data'!$C$2:$C$9999=$C$3)*'Raw Data'!$D$2:$D$9999*'Raw Data'!$P$2:$P$9999)/SUMIFS('Raw Data'!$D:$D, 'Raw Data'!$B:$B, "Variant", 'Raw Data'!$A:$A, $A34, 'Raw Data'!$C:$C, $C$3),""))</f>
        <v>1.1929</v>
      </c>
      <c r="AN34" s="105">
        <f t="shared" si="13"/>
        <v>-0.003508478824</v>
      </c>
      <c r="AO34" s="101">
        <f>IF($A34="","",IFERROR(SUMPRODUCT(('Raw Data'!$B$2:$B$9999="Control")*('Raw Data'!$A$2:$A$9999=$A34)*('Raw Data'!$C$2:$C$9999=$C$3)*'Raw Data'!$D$2:$D$9999*'Raw Data'!$Q$2:$Q$9999)/SUMIFS('Raw Data'!$D:$D, 'Raw Data'!$B:$B, "Control", 'Raw Data'!$A:$A, $A34, 'Raw Data'!$C:$C, $C$3),""))</f>
        <v>861.81</v>
      </c>
      <c r="AP34" s="101">
        <f>IF($A34="","",IFERROR(SUMPRODUCT(('Raw Data'!$B$2:$B$9999="Variant")*('Raw Data'!$A$2:$A$9999=$A34)*('Raw Data'!$C$2:$C$9999=$C$3)*'Raw Data'!$D$2:$D$9999*'Raw Data'!$Q$2:$Q$9999)/SUMIFS('Raw Data'!$D:$D, 'Raw Data'!$B:$B, "Variant", 'Raw Data'!$A:$A, $A34, 'Raw Data'!$C:$C, $C$3),""))</f>
        <v>886.75</v>
      </c>
      <c r="AQ34" s="95">
        <f t="shared" si="14"/>
        <v>0.0289390933</v>
      </c>
      <c r="AR34" s="101">
        <f>IF($A34="","",IFERROR(SUMPRODUCT(('Raw Data'!$B$2:$B$9999="Control")*('Raw Data'!$A$2:$A$9999=$A34)*('Raw Data'!$C$2:$C$9999=$C$3)*'Raw Data'!$D$2:$D$9999*'Raw Data'!$R$2:$R$9999)/SUMIFS('Raw Data'!$D:$D, 'Raw Data'!$B:$B, "Control", 'Raw Data'!$A:$A, $A34, 'Raw Data'!$C:$C, $C$3),""))</f>
        <v>593.41</v>
      </c>
      <c r="AS34" s="101">
        <f>IF($A34="","",IFERROR(SUMPRODUCT(('Raw Data'!$B$2:$B$9999="Variant")*('Raw Data'!$A$2:$A$9999=$A34)*('Raw Data'!$C$2:$C$9999=$C$3)*'Raw Data'!$D$2:$D$9999*'Raw Data'!$R$2:$R$9999)/SUMIFS('Raw Data'!$D:$D, 'Raw Data'!$B:$B, "Variant", 'Raw Data'!$A:$A, $A34, 'Raw Data'!$C:$C, $C$3),""))</f>
        <v>788.05</v>
      </c>
      <c r="AT34" s="95">
        <f t="shared" si="15"/>
        <v>0.3280025615</v>
      </c>
      <c r="AU34" s="101">
        <f>IF($A34="","",IFERROR(SUMPRODUCT(('Raw Data'!$B$2:$B$9999="Control")*('Raw Data'!$A$2:$A$9999=$A34)*('Raw Data'!$C$2:$C$9999=$C$3)*'Raw Data'!$D$2:$D$9999*'Raw Data'!$S$2:$S$9999)/SUMIFS('Raw Data'!$D:$D, 'Raw Data'!$B:$B, "Control", 'Raw Data'!$A:$A, $A34, 'Raw Data'!$C:$C, $C$3),""))</f>
        <v>268.4</v>
      </c>
      <c r="AV34" s="101">
        <f>IF($A34="","",IFERROR(SUMPRODUCT(('Raw Data'!$B$2:$B$9999="Variant")*('Raw Data'!$A$2:$A$9999=$A34)*('Raw Data'!$C$2:$C$9999=$C$3)*'Raw Data'!$D$2:$D$9999*'Raw Data'!$S$2:$S$9999)/SUMIFS('Raw Data'!$D:$D, 'Raw Data'!$B:$B, "Variant", 'Raw Data'!$A:$A, $A34, 'Raw Data'!$C:$C, $C$3),""))</f>
        <v>98.7</v>
      </c>
      <c r="AW34" s="95">
        <f t="shared" si="16"/>
        <v>-0.6322652757</v>
      </c>
      <c r="AX34" s="101">
        <f>IF($A34="","",IFERROR(SUMPRODUCT(('Raw Data'!$B$2:$B$9999="Control")*('Raw Data'!$A$2:$A$9999=$A34)*('Raw Data'!$C$2:$C$9999=$C$3)*'Raw Data'!$D$2:$D$9999*'Raw Data'!$T$2:$T$9999)/SUMIFS('Raw Data'!$D:$D, 'Raw Data'!$B:$B, "Control", 'Raw Data'!$A:$A, $A34, 'Raw Data'!$C:$C, $C$3),""))</f>
        <v>192.35</v>
      </c>
      <c r="AY34" s="101">
        <f>IF($A34="","",IFERROR(SUMPRODUCT(('Raw Data'!$B$2:$B$9999="Variant")*('Raw Data'!$A$2:$A$9999=$A34)*('Raw Data'!$C$2:$C$9999=$C$3)*'Raw Data'!$D$2:$D$9999*'Raw Data'!$T$2:$T$9999)/SUMIFS('Raw Data'!$D:$D, 'Raw Data'!$B:$B, "Variant", 'Raw Data'!$A:$A, $A34, 'Raw Data'!$C:$C, $C$3),""))</f>
        <v>255.99</v>
      </c>
      <c r="AZ34" s="105">
        <f t="shared" si="17"/>
        <v>0.3308552119</v>
      </c>
      <c r="BA34" s="101">
        <f>IF($A34="","",IFERROR(SUMPRODUCT(('Raw Data'!$B$2:$B$9999="Control")*('Raw Data'!$A$2:$A$9999=$A34)*('Raw Data'!$C$2:$C$9999=$C$3)*'Raw Data'!$D$2:$D$9999*'Raw Data'!$U$2:$U$9999)/SUMIFS('Raw Data'!$D:$D, 'Raw Data'!$B:$B, "Control", 'Raw Data'!$A:$A, $A34, 'Raw Data'!$C:$C, $C$3),""))</f>
        <v>669.46</v>
      </c>
      <c r="BB34" s="101">
        <f>IF($A34="","",IFERROR(SUMPRODUCT(('Raw Data'!$B$2:$B$9999="Variant")*('Raw Data'!$A$2:$A$9999=$A34)*('Raw Data'!$C$2:$C$9999=$C$3)*'Raw Data'!$D$2:$D$9999*'Raw Data'!$U$2:$U$9999)/SUMIFS('Raw Data'!$D:$D, 'Raw Data'!$B:$B, "Variant", 'Raw Data'!$A:$A, $A34, 'Raw Data'!$C:$C, $C$3),""))</f>
        <v>630.76</v>
      </c>
      <c r="BC34" s="95">
        <f t="shared" si="18"/>
        <v>-0.05780778538</v>
      </c>
      <c r="BD34" s="101">
        <f>IF($A34="","",IFERROR(SUMPRODUCT(('Raw Data'!$B$2:$B$9999="Control")*('Raw Data'!$A$2:$A$9999=$A34)*('Raw Data'!$C$2:$C$9999=$C$3)*'Raw Data'!$D$2:$D$9999*'Raw Data'!$V$2:$V$9999)/SUMIFS('Raw Data'!$D:$D, 'Raw Data'!$B:$B, "Control", 'Raw Data'!$A:$A, $A34, 'Raw Data'!$C:$C, $C$3),""))</f>
        <v>937.42</v>
      </c>
      <c r="BE34" s="101">
        <f>IF($A34="","",IFERROR(SUMPRODUCT(('Raw Data'!$B$2:$B$9999="Variant")*('Raw Data'!$A$2:$A$9999=$A34)*('Raw Data'!$C$2:$C$9999=$C$3)*'Raw Data'!$D$2:$D$9999*'Raw Data'!$V$2:$V$9999)/SUMIFS('Raw Data'!$D:$D, 'Raw Data'!$B:$B, "Variant", 'Raw Data'!$A:$A, $A34, 'Raw Data'!$C:$C, $C$3),""))</f>
        <v>905.51</v>
      </c>
      <c r="BF34" s="95">
        <f t="shared" si="19"/>
        <v>-0.0340402381</v>
      </c>
      <c r="BG34" s="101">
        <f>IF($A34="","",IFERROR(SUMPRODUCT(('Raw Data'!$B$2:$B$9999="Control")*('Raw Data'!$A$2:$A$9999=$A34)*('Raw Data'!$C$2:$C$9999=$C$3)*'Raw Data'!$D$2:$D$9999*('Raw Data'!$Q$2:$Q$9999-'Raw Data'!$V$2:$V$9999))/SUMIFS('Raw Data'!$D:$D, 'Raw Data'!$B:$B, "Control", 'Raw Data'!$A:$A, $A34, 'Raw Data'!$C:$C, $C$3),""))</f>
        <v>-75.61</v>
      </c>
      <c r="BH34" s="101">
        <f>IF($A34="","",IFERROR(SUMPRODUCT(('Raw Data'!$B$2:$B$9999="Variant")*('Raw Data'!$A$2:$A$9999=$A34)*('Raw Data'!$C$2:$C$9999=$C$3)*'Raw Data'!$D$2:$D$9999*('Raw Data'!$Q$2:$Q$9999-'Raw Data'!$V$2:$V$9999))/SUMIFS('Raw Data'!$D:$D, 'Raw Data'!$B:$B, "Variant", 'Raw Data'!$A:$A, $A34, 'Raw Data'!$C:$C, $C$3),""))</f>
        <v>-18.76</v>
      </c>
      <c r="BI34" s="95">
        <f t="shared" si="20"/>
        <v>0.7518846713</v>
      </c>
      <c r="BJ34" s="101">
        <f>IF($A34="","",IFERROR(SUMPRODUCT(('Raw Data'!$B$2:$B$9999="Control")*('Raw Data'!$A$2:$A$9999=$A34)*('Raw Data'!$C$2:$C$9999=$C$3)*'Raw Data'!$D$2:$D$9999*'Raw Data'!$W$2:$W$9999)/SUMIFS('Raw Data'!$D:$D, 'Raw Data'!$B:$B, "Control", 'Raw Data'!$A:$A, $A34, 'Raw Data'!$C:$C, $C$3),""))</f>
        <v>6.1517</v>
      </c>
      <c r="BK34" s="101">
        <f>IF($A34="","",IFERROR(SUMPRODUCT(('Raw Data'!$B$2:$B$9999="Variant")*('Raw Data'!$A$2:$A$9999=$A34)*('Raw Data'!$C$2:$C$9999=$C$3)*'Raw Data'!$D$2:$D$9999*'Raw Data'!$W$2:$W$9999)/SUMIFS('Raw Data'!$D:$D, 'Raw Data'!$B:$B, "Variant", 'Raw Data'!$A:$A, $A34, 'Raw Data'!$C:$C, $C$3),""))</f>
        <v>5.8259</v>
      </c>
      <c r="BL34" s="95">
        <f t="shared" si="21"/>
        <v>-0.05296097014</v>
      </c>
      <c r="BM34" s="102">
        <f>IF($A34="","",IFERROR(SUMPRODUCT(('Raw Data'!$B$2:$B$9999="Control")*('Raw Data'!$A$2:$A$9999=$A34)*('Raw Data'!$C$2:$C$9999=$C$3)*'Raw Data'!$D$2:$D$9999*'Raw Data'!$X$2:$X$9999)/SUMIFS('Raw Data'!$D:$D, 'Raw Data'!$B:$B, "Control", 'Raw Data'!$A:$A, $A34, 'Raw Data'!$C:$C, $C$3),""))</f>
        <v>22.32</v>
      </c>
      <c r="BN34" s="102">
        <f>IF($A34="","",IFERROR(SUMPRODUCT(('Raw Data'!$B$2:$B$9999="Variant")*('Raw Data'!$A$2:$A$9999=$A34)*('Raw Data'!$C$2:$C$9999=$C$3)*'Raw Data'!$D$2:$D$9999*'Raw Data'!$X$2:$X$9999)/SUMIFS('Raw Data'!$D:$D, 'Raw Data'!$B:$B, "Variant", 'Raw Data'!$A:$A, $A34, 'Raw Data'!$C:$C, $C$3),""))</f>
        <v>28.87</v>
      </c>
      <c r="BO34" s="105">
        <f t="shared" si="22"/>
        <v>0.2934587814</v>
      </c>
      <c r="BP34" s="94">
        <f>IF($A34="","",IFERROR(SUMPRODUCT(('Raw Data'!$B$2:$B$9999="Control")*('Raw Data'!$A$2:$A$9999=$A34)*('Raw Data'!$C$2:$C$9999=$C$3)*'Raw Data'!$D$2:$D$9999*'Raw Data'!$Y$2:$Y$9999)/SUMIFS('Raw Data'!$D:$D, 'Raw Data'!$B:$B, "Control", 'Raw Data'!$A:$A, $A34, 'Raw Data'!$C:$C, $C$3),""))</f>
        <v>300</v>
      </c>
      <c r="BQ34" s="94">
        <f>IF($A34="","",IFERROR(SUMPRODUCT(('Raw Data'!$B$2:$B$9999="Variant")*('Raw Data'!$A$2:$A$9999=$A34)*('Raw Data'!$C$2:$C$9999=$C$3)*'Raw Data'!$D$2:$D$9999*'Raw Data'!$Y$2:$Y$9999)/SUMIFS('Raw Data'!$D:$D, 'Raw Data'!$B:$B, "Variant", 'Raw Data'!$A:$A, $A34, 'Raw Data'!$C:$C, $C$3),""))</f>
        <v>249</v>
      </c>
      <c r="BR34" s="95">
        <f t="shared" si="23"/>
        <v>-0.17</v>
      </c>
      <c r="BS34" s="94">
        <f>IF($A34="","",IFERROR(SUMPRODUCT(('Raw Data'!$B$2:$B$9999="Control")*('Raw Data'!$A$2:$A$9999=$A34)*('Raw Data'!$C$2:$C$9999=$C$3)*'Raw Data'!$D$2:$D$9999*'Raw Data'!$Z$2:$Z$9999)/SUMIFS('Raw Data'!$D:$D, 'Raw Data'!$B:$B, "Control", 'Raw Data'!$A:$A, $A34, 'Raw Data'!$C:$C, $C$3),""))</f>
        <v>1643</v>
      </c>
      <c r="BT34" s="94">
        <f>IF($A34="","",IFERROR(SUMPRODUCT(('Raw Data'!$B$2:$B$9999="Variant")*('Raw Data'!$A$2:$A$9999=$A34)*('Raw Data'!$C$2:$C$9999=$C$3)*'Raw Data'!$D$2:$D$9999*'Raw Data'!$Z$2:$Z$9999)/SUMIFS('Raw Data'!$D:$D, 'Raw Data'!$B:$B, "Variant", 'Raw Data'!$A:$A, $A34, 'Raw Data'!$C:$C, $C$3),""))</f>
        <v>1403</v>
      </c>
      <c r="BU34" s="95">
        <f t="shared" si="24"/>
        <v>-0.1460742544</v>
      </c>
      <c r="BV34" s="94">
        <f>IF($A34="","",IFERROR(SUMPRODUCT(('Raw Data'!$B$2:$B$9999="Control")*('Raw Data'!$A$2:$A$9999=$A34)*('Raw Data'!$C$2:$C$9999=$C$3)*'Raw Data'!$D$2:$D$9999*'Raw Data'!$AA$2:$AA$9999)/SUMIFS('Raw Data'!$D:$D, 'Raw Data'!$B:$B, "Control", 'Raw Data'!$A:$A, $A34, 'Raw Data'!$C:$C, $C$3),""))</f>
        <v>7524</v>
      </c>
      <c r="BW34" s="94">
        <f>IF($A34="","",IFERROR(SUMPRODUCT(('Raw Data'!$B$2:$B$9999="Variant")*('Raw Data'!$A$2:$A$9999=$A34)*('Raw Data'!$C$2:$C$9999=$C$3)*'Raw Data'!$D$2:$D$9999*'Raw Data'!$AA$2:$AA$9999)/SUMIFS('Raw Data'!$D:$D, 'Raw Data'!$B:$B, "Variant", 'Raw Data'!$A:$A, $A34, 'Raw Data'!$C:$C, $C$3),""))</f>
        <v>7575</v>
      </c>
      <c r="BX34" s="95">
        <f t="shared" si="25"/>
        <v>0.00677830941</v>
      </c>
      <c r="BY34" s="101">
        <f>IF($A34="","",IFERROR(SUMPRODUCT(('Raw Data'!$B$2:$B$9999="Control")*('Raw Data'!$A$2:$A$9999=$A34)*('Raw Data'!$C$2:$C$9999=$C$3)*'Raw Data'!$D$2:$D$9999*'Raw Data'!$AB$2:$AB$9999)/SUMIFS('Raw Data'!$D:$D, 'Raw Data'!$B:$B, "Control", 'Raw Data'!$A:$A, $A34, 'Raw Data'!$C:$C, $C$3),""))</f>
        <v>62.6664</v>
      </c>
      <c r="BZ34" s="101">
        <f>IF($A34="","",IFERROR(SUMPRODUCT(('Raw Data'!$B$2:$B$9999="Variant")*('Raw Data'!$A$2:$A$9999=$A34)*('Raw Data'!$C$2:$C$9999=$C$3)*'Raw Data'!$D$2:$D$9999*'Raw Data'!$AB$2:$AB$9999)/SUMIFS('Raw Data'!$D:$D, 'Raw Data'!$B:$B, "Variant", 'Raw Data'!$A:$A, $A34, 'Raw Data'!$C:$C, $C$3),""))</f>
        <v>62.4956</v>
      </c>
      <c r="CA34" s="105">
        <f t="shared" si="26"/>
        <v>-0.002725543513</v>
      </c>
      <c r="CB34" s="101">
        <f>IF($A34="","",IFERROR(SUMPRODUCT(('Raw Data'!$B$2:$B$9999="Control")*('Raw Data'!$A$2:$A$9999=$A34)*('Raw Data'!$C$2:$C$9999=$C$3)*'Raw Data'!$D$2:$D$9999*'Raw Data'!$AC$2:$AC$9999)/SUMIFS('Raw Data'!$D:$D, 'Raw Data'!$B:$B, "Control", 'Raw Data'!$A:$A, $A34, 'Raw Data'!$C:$C, $C$3),""))</f>
        <v>0.853</v>
      </c>
      <c r="CC34" s="101">
        <f>IF($A34="","",IFERROR(SUMPRODUCT(('Raw Data'!$B$2:$B$9999="Variant")*('Raw Data'!$A$2:$A$9999=$A34)*('Raw Data'!$C$2:$C$9999=$C$3)*'Raw Data'!$D$2:$D$9999*'Raw Data'!$AC$2:$AC$9999)/SUMIFS('Raw Data'!$D:$D, 'Raw Data'!$B:$B, "Variant", 'Raw Data'!$A:$A, $A34, 'Raw Data'!$C:$C, $C$3),""))</f>
        <v>0.8586</v>
      </c>
      <c r="CD34" s="105">
        <f t="shared" si="27"/>
        <v>0.006565064478</v>
      </c>
      <c r="CE34" s="101">
        <f>IF($A34="","",IFERROR(SUMPRODUCT(('Raw Data'!$B$2:$B$9999="Control")*('Raw Data'!$A$2:$A$9999=$A34)*('Raw Data'!$C$2:$C$9999=$C$3)*'Raw Data'!$D$2:$D$9999*'Raw Data'!$AD$2:$AD$9999)/SUMIFS('Raw Data'!$D:$D, 'Raw Data'!$B:$B, "Control", 'Raw Data'!$A:$A, $A34, 'Raw Data'!$C:$C, $C$3),""))</f>
        <v>88.23</v>
      </c>
      <c r="CF34" s="101">
        <f>IF($A34="","",IFERROR(SUMPRODUCT(('Raw Data'!$B$2:$B$9999="Variant")*('Raw Data'!$A$2:$A$9999=$A34)*('Raw Data'!$C$2:$C$9999=$C$3)*'Raw Data'!$D$2:$D$9999*'Raw Data'!$AD$2:$AD$9999)/SUMIFS('Raw Data'!$D:$D, 'Raw Data'!$B:$B, "Variant", 'Raw Data'!$A:$A, $A34, 'Raw Data'!$C:$C, $C$3),""))</f>
        <v>90.7</v>
      </c>
      <c r="CG34" s="105">
        <f t="shared" si="28"/>
        <v>0.02799501303</v>
      </c>
      <c r="CH34" s="101">
        <f>IF($A34="","",IFERROR(SUMPRODUCT(('Raw Data'!$B$2:$B$9999="Control")*('Raw Data'!$A$2:$A$9999=$A34)*('Raw Data'!$C$2:$C$9999=$C$3)*'Raw Data'!$D$2:$D$9999*'Raw Data'!$AE$2:$AE$9999)/SUMIFS('Raw Data'!$D:$D, 'Raw Data'!$B:$B, "Control", 'Raw Data'!$A:$A, $A34, 'Raw Data'!$C:$C, $C$3),""))</f>
        <v>34</v>
      </c>
      <c r="CI34" s="101">
        <f>IF($A34="","",IFERROR(SUMPRODUCT(('Raw Data'!$B$2:$B$9999="Variant")*('Raw Data'!$A$2:$A$9999=$A34)*('Raw Data'!$C$2:$C$9999=$C$3)*'Raw Data'!$D$2:$D$9999*'Raw Data'!$AE$2:$AE$9999)/SUMIFS('Raw Data'!$D:$D, 'Raw Data'!$B:$B, "Variant", 'Raw Data'!$A:$A, $A34, 'Raw Data'!$C:$C, $C$3),""))</f>
        <v>37</v>
      </c>
      <c r="CJ34" s="105">
        <f t="shared" si="29"/>
        <v>0.08823529412</v>
      </c>
      <c r="CK34" s="101">
        <f>IF($A34="","",IFERROR(SUMPRODUCT(('Raw Data'!$B$2:$B$9999="Control")*('Raw Data'!$A$2:$A$9999=$A34)*('Raw Data'!$C$2:$C$9999=$C$3)*'Raw Data'!$D$2:$D$9999*'Raw Data'!$AF$2:$AF$9999)/SUMIFS('Raw Data'!$D:$D, 'Raw Data'!$B:$B, "Control", 'Raw Data'!$A:$A, $A34, 'Raw Data'!$C:$C, $C$3),""))</f>
        <v>69</v>
      </c>
      <c r="CL34" s="101">
        <f>IF($A34="","",IFERROR(SUMPRODUCT(('Raw Data'!$B$2:$B$9999="Variant")*('Raw Data'!$A$2:$A$9999=$A34)*('Raw Data'!$C$2:$C$9999=$C$3)*'Raw Data'!$D$2:$D$9999*'Raw Data'!$AF$2:$AF$9999)/SUMIFS('Raw Data'!$D:$D, 'Raw Data'!$B:$B, "Variant", 'Raw Data'!$A:$A, $A34, 'Raw Data'!$C:$C, $C$3),""))</f>
        <v>78</v>
      </c>
      <c r="CM34" s="105">
        <f t="shared" si="30"/>
        <v>0.1304347826</v>
      </c>
      <c r="CN34" s="101">
        <f>IF($A34="","",IFERROR(SUMPRODUCT(('Raw Data'!$B$2:$B$9999="Control")*('Raw Data'!$A$2:$A$9999=$A34)*('Raw Data'!$C$2:$C$9999=$C$3)*'Raw Data'!$D$2:$D$9999*'Raw Data'!$AG$2:$AG$9999)/SUMIFS('Raw Data'!$D:$D, 'Raw Data'!$B:$B, "Control", 'Raw Data'!$A:$A, $A34, 'Raw Data'!$C:$C, $C$3),""))</f>
        <v>121</v>
      </c>
      <c r="CO34" s="101">
        <f>IF($A34="","",IFERROR(SUMPRODUCT(('Raw Data'!$B$2:$B$9999="Variant")*('Raw Data'!$A$2:$A$9999=$A34)*('Raw Data'!$C$2:$C$9999=$C$3)*'Raw Data'!$D$2:$D$9999*'Raw Data'!$AG$2:$AG$9999)/SUMIFS('Raw Data'!$D:$D, 'Raw Data'!$B:$B, "Variant", 'Raw Data'!$A:$A, $A34, 'Raw Data'!$C:$C, $C$3),""))</f>
        <v>132</v>
      </c>
      <c r="CP34" s="105">
        <f t="shared" si="31"/>
        <v>0.09090909091</v>
      </c>
      <c r="CQ34" s="101">
        <f>IF($A34="","",IFERROR(SUMPRODUCT(('Raw Data'!$B$2:$B$9999="Control")*('Raw Data'!$A$2:$A$9999=$A34)*('Raw Data'!$C$2:$C$9999=$C$3)*'Raw Data'!$D$2:$D$9999*'Raw Data'!$AH$2:$AH$9999)/SUMIFS('Raw Data'!$D:$D, 'Raw Data'!$B:$B, "Control", 'Raw Data'!$A:$A, $A34, 'Raw Data'!$C:$C, $C$3),""))</f>
        <v>194</v>
      </c>
      <c r="CR34" s="101">
        <f>IF($A34="","",IFERROR(SUMPRODUCT(('Raw Data'!$B$2:$B$9999="Variant")*('Raw Data'!$A$2:$A$9999=$A34)*('Raw Data'!$C$2:$C$9999=$C$3)*'Raw Data'!$D$2:$D$9999*'Raw Data'!$AH$2:$AH$9999)/SUMIFS('Raw Data'!$D:$D, 'Raw Data'!$B:$B, "Variant", 'Raw Data'!$A:$A, $A34, 'Raw Data'!$C:$C, $C$3),""))</f>
        <v>182</v>
      </c>
      <c r="CS34" s="105">
        <f t="shared" si="32"/>
        <v>-0.0618556701</v>
      </c>
      <c r="CT34" s="96">
        <f>IF($A34="","",IFERROR(SUMPRODUCT(('Raw Data'!$B$2:$B$9999="Control")*('Raw Data'!$A$2:$A$9999=$A34)*('Raw Data'!$C$2:$C$9999=$C$3)*'Raw Data'!$D$2:$D$9999*'Raw Data'!$AI$2:$AI$9999)/SUMIFS('Raw Data'!$D:$D, 'Raw Data'!$B:$B, "Control", 'Raw Data'!$A:$A, $A34, 'Raw Data'!$C:$C, $C$3),""))</f>
        <v>43.82</v>
      </c>
      <c r="CU34" s="96">
        <f>IF($A34="","",IFERROR(SUMPRODUCT(('Raw Data'!$B$2:$B$9999="Variant")*('Raw Data'!$A$2:$A$9999=$A34)*('Raw Data'!$C$2:$C$9999=$C$3)*'Raw Data'!$D$2:$D$9999*'Raw Data'!$AI$2:$AI$9999)/SUMIFS('Raw Data'!$D:$D, 'Raw Data'!$B:$B, "Variant", 'Raw Data'!$A:$A, $A34, 'Raw Data'!$C:$C, $C$3),""))</f>
        <v>49.24</v>
      </c>
      <c r="CV34" s="106">
        <f t="shared" si="33"/>
        <v>0.1236878138</v>
      </c>
      <c r="CW34" s="96">
        <f>IF($A34="","",IFERROR(SUMPRODUCT(('Raw Data'!$B$2:$B$9999="Control")*('Raw Data'!$A$2:$A$9999=$A34)*('Raw Data'!$C$2:$C$9999=$C$3)*'Raw Data'!$D$2:$D$9999*'Raw Data'!$AJ$2:$AJ$9999)/SUMIFS('Raw Data'!$D:$D, 'Raw Data'!$B:$B, "Control", 'Raw Data'!$A:$A, $A34, 'Raw Data'!$C:$C, $C$3),""))</f>
        <v>12.79</v>
      </c>
      <c r="CX34" s="96">
        <f>IF($A34="","",IFERROR(SUMPRODUCT(('Raw Data'!$B$2:$B$9999="Variant")*('Raw Data'!$A$2:$A$9999=$A34)*('Raw Data'!$C$2:$C$9999=$C$3)*'Raw Data'!$D$2:$D$9999*'Raw Data'!$AJ$2:$AJ$9999)/SUMIFS('Raw Data'!$D:$D, 'Raw Data'!$B:$B, "Variant", 'Raw Data'!$A:$A, $A34, 'Raw Data'!$C:$C, $C$3),""))</f>
        <v>12.74</v>
      </c>
      <c r="CY34" s="106">
        <f t="shared" si="34"/>
        <v>-0.003909304144</v>
      </c>
      <c r="CZ34" s="96">
        <f>IF($A34="","",IFERROR(SUMPRODUCT(('Raw Data'!$B$2:$B$9999="Control")*('Raw Data'!$A$2:$A$9999=$A34)*('Raw Data'!$C$2:$C$9999=$C$3)*'Raw Data'!$D$2:$D$9999*'Raw Data'!$AK$2:$AK$9999)/SUMIFS('Raw Data'!$D:$D, 'Raw Data'!$B:$B, "Control", 'Raw Data'!$A:$A, $A34, 'Raw Data'!$C:$C, $C$3),""))</f>
        <v>2.31</v>
      </c>
      <c r="DA34" s="96">
        <f>IF($A34="","",IFERROR(SUMPRODUCT(('Raw Data'!$B$2:$B$9999="Variant")*('Raw Data'!$A$2:$A$9999=$A34)*('Raw Data'!$C$2:$C$9999=$C$3)*'Raw Data'!$D$2:$D$9999*'Raw Data'!$AK$2:$AK$9999)/SUMIFS('Raw Data'!$D:$D, 'Raw Data'!$B:$B, "Variant", 'Raw Data'!$A:$A, $A34, 'Raw Data'!$C:$C, $C$3),""))</f>
        <v>0.95</v>
      </c>
      <c r="DB34" s="105">
        <f t="shared" si="35"/>
        <v>-0.5887445887</v>
      </c>
      <c r="DC34" s="102">
        <f>IF($A34="","",IFERROR(SUMPRODUCT(('Raw Data'!$B$2:$B$9999="Control")*('Raw Data'!$A$2:$A$9999=$A34)*('Raw Data'!$C$2:$C$9999=$C$3)*'Raw Data'!$D$2:$D$9999*'Raw Data'!$AL$2:$AL$9999)/SUMIFS('Raw Data'!$D:$D, 'Raw Data'!$B:$B, "Control", 'Raw Data'!$A:$A, $A34, 'Raw Data'!$C:$C, $C$3),""))</f>
        <v>0.0985</v>
      </c>
      <c r="DD34" s="102">
        <f>IF($A34="","",IFERROR(SUMPRODUCT(('Raw Data'!$B$2:$B$9999="Variant")*('Raw Data'!$A$2:$A$9999=$A34)*('Raw Data'!$C$2:$C$9999=$C$3)*'Raw Data'!$D$2:$D$9999*'Raw Data'!$AL$2:$AL$9999)/SUMIFS('Raw Data'!$D:$D, 'Raw Data'!$B:$B, "Variant", 'Raw Data'!$A:$A, $A34, 'Raw Data'!$C:$C, $C$3),""))</f>
        <v>0.0951</v>
      </c>
      <c r="DE34" s="106">
        <f t="shared" si="36"/>
        <v>-0.0345177665</v>
      </c>
      <c r="DF34" s="103"/>
      <c r="DG34" s="96">
        <f>IF($A34="","",IFERROR(SUMPRODUCT(('Raw Data'!$B$2:$B$9999="Variant")*('Raw Data'!$A$2:$A$9999=$A34)*('Raw Data'!$C$2:$C$9999=$C$3)*'Raw Data'!$D$2:$D$9999*'Raw Data'!$AM$2:$AM$9999)/SUMIFS('Raw Data'!$D:$D, 'Raw Data'!$B:$B, "Variant", 'Raw Data'!$A:$A, $A34, 'Raw Data'!$C:$C, $C$3),""))</f>
        <v>84.41</v>
      </c>
      <c r="DH34" s="104"/>
      <c r="DI34" s="103"/>
      <c r="DJ34" s="96">
        <f>IF($A34="","",IFERROR(SUMPRODUCT(('Raw Data'!$B$2:$B$9999="Variant")*('Raw Data'!$A$2:$A$9999=$A34)*('Raw Data'!$C$2:$C$9999=$C$3)*'Raw Data'!$D$2:$D$9999*'Raw Data'!$AN$2:$AN$9999)/SUMIFS('Raw Data'!$D:$D, 'Raw Data'!$B:$B, "Variant", 'Raw Data'!$A:$A, $A34, 'Raw Data'!$C:$C, $C$3),""))</f>
        <v>84.41</v>
      </c>
      <c r="DK34" s="104"/>
      <c r="DL34" s="103"/>
      <c r="DM34" s="96">
        <f>IF($A34="","",IFERROR(SUMPRODUCT(('Raw Data'!$B$2:$B$9999="Variant")*('Raw Data'!$A$2:$A$9999=$A34)*('Raw Data'!$C$2:$C$9999=$C$3)*'Raw Data'!$D$2:$D$9999*'Raw Data'!$AO$2:$AO$9999)/SUMIFS('Raw Data'!$D:$D, 'Raw Data'!$B:$B, "Variant", 'Raw Data'!$A:$A, $A34, 'Raw Data'!$C:$C, $C$3),""))</f>
        <v>71.1</v>
      </c>
      <c r="DN34" s="104"/>
      <c r="DO34" s="103"/>
      <c r="DP34" s="96">
        <f>IF($A34="","",IFERROR(SUMPRODUCT(('Raw Data'!$B$2:$B$9999="Variant")*('Raw Data'!$A$2:$A$9999=$A34)*('Raw Data'!$C$2:$C$9999=$C$3)*'Raw Data'!$D$2:$D$9999*'Raw Data'!$AP$2:$AP$9999)/SUMIFS('Raw Data'!$D:$D, 'Raw Data'!$B:$B, "Variant", 'Raw Data'!$A:$A, $A34, 'Raw Data'!$C:$C, $C$3),""))</f>
        <v>60.46</v>
      </c>
      <c r="DQ34" s="104"/>
      <c r="DR34" s="102">
        <f>IF($A34="","",IFERROR(SUMPRODUCT(('Raw Data'!$B$2:$B$9999="Control")*('Raw Data'!$A$2:$A$9999=$A34)*('Raw Data'!$C$2:$C$9999=$C$3)*'Raw Data'!$D$2:$D$9999*'Raw Data'!$AQ$2:$AQ$9999)/SUMIFS('Raw Data'!$D:$D, 'Raw Data'!$B:$B, "Control", 'Raw Data'!$A:$A, $A34, 'Raw Data'!$C:$C, $C$3),""))</f>
        <v>35.3396</v>
      </c>
      <c r="DS34" s="102">
        <f>IF($A34="","",IFERROR(SUMPRODUCT(('Raw Data'!$B$2:$B$9999="Variant")*('Raw Data'!$A$2:$A$9999=$A34)*('Raw Data'!$C$2:$C$9999=$C$3)*'Raw Data'!$D$2:$D$9999*'Raw Data'!$AQ$2:$AQ$9999)/SUMIFS('Raw Data'!$D:$D, 'Raw Data'!$B:$B, "Variant", 'Raw Data'!$A:$A, $A34, 'Raw Data'!$C:$C, $C$3),""))</f>
        <v>37.6673</v>
      </c>
      <c r="DT34" s="109">
        <f t="shared" si="37"/>
        <v>0.06586661988</v>
      </c>
      <c r="DU34" s="102">
        <f>IF($A34="","",IFERROR(SUMPRODUCT(('Raw Data'!$B$2:$B$9999="Control")*('Raw Data'!$A$2:$A$9999=$A34)*('Raw Data'!$C$2:$C$9999=$C$3)*'Raw Data'!$D$2:$D$9999*'Raw Data'!$AR$2:$AR$9999)/SUMIFS('Raw Data'!$D:$D, 'Raw Data'!$B:$B, "Control", 'Raw Data'!$A:$A, $A34, 'Raw Data'!$C:$C, $C$3),""))</f>
        <v>3.5597</v>
      </c>
      <c r="DV34" s="102">
        <f>IF($A34="","",IFERROR(SUMPRODUCT(('Raw Data'!$B$2:$B$9999="Variant")*('Raw Data'!$A$2:$A$9999=$A34)*('Raw Data'!$C$2:$C$9999=$C$3)*'Raw Data'!$D$2:$D$9999*'Raw Data'!$AR$2:$AR$9999)/SUMIFS('Raw Data'!$D:$D, 'Raw Data'!$B:$B, "Variant", 'Raw Data'!$A:$A, $A34, 'Raw Data'!$C:$C, $C$3),""))</f>
        <v>3.0532</v>
      </c>
      <c r="DW34" s="109">
        <f t="shared" si="38"/>
        <v>-0.1422872714</v>
      </c>
      <c r="DX34" s="102">
        <f>IF($A34="","",IFERROR(SUMPRODUCT(('Raw Data'!$B$2:$B$9999="Control")*('Raw Data'!$A$2:$A$9999=$A34)*('Raw Data'!$C$2:$C$9999=$C$3)*'Raw Data'!$D$2:$D$9999*'Raw Data'!$AS$2:$AS$9999)/SUMIFS('Raw Data'!$D:$D, 'Raw Data'!$B:$B, "Control", 'Raw Data'!$A:$A, $A34, 'Raw Data'!$C:$C, $C$3),""))</f>
        <v>31.7799</v>
      </c>
      <c r="DY34" s="102">
        <f>IF($A34="","",IFERROR(SUMPRODUCT(('Raw Data'!$B$2:$B$9999="Variant")*('Raw Data'!$A$2:$A$9999=$A34)*('Raw Data'!$C$2:$C$9999=$C$3)*'Raw Data'!$D$2:$D$9999*'Raw Data'!$AS$2:$AS$9999)/SUMIFS('Raw Data'!$D:$D, 'Raw Data'!$B:$B, "Variant", 'Raw Data'!$A:$A, $A34, 'Raw Data'!$C:$C, $C$3),""))</f>
        <v>34.6141</v>
      </c>
      <c r="DZ34" s="110">
        <f t="shared" si="39"/>
        <v>0.08918215602</v>
      </c>
      <c r="EA34" s="102">
        <f>IF($A34="","",IFERROR(SUMPRODUCT(('Raw Data'!$B$2:$B$9999="Control")*('Raw Data'!$A$2:$A$9999=$A34)*('Raw Data'!$C$2:$C$9999=$C$3)*'Raw Data'!$D$2:$D$9999*'Raw Data'!$AT$2:$AT$9999)/SUMIFS('Raw Data'!$D:$D, 'Raw Data'!$B:$B, "Control", 'Raw Data'!$A:$A, $A34, 'Raw Data'!$C:$C, $C$3),""))</f>
        <v>35.5954</v>
      </c>
      <c r="EB34" s="102">
        <f>IF($A34="","",IFERROR(SUMPRODUCT(('Raw Data'!$B$2:$B$9999="Variant")*('Raw Data'!$A$2:$A$9999=$A34)*('Raw Data'!$C$2:$C$9999=$C$3)*'Raw Data'!$D$2:$D$9999*'Raw Data'!$AT$2:$AT$9999)/SUMIFS('Raw Data'!$D:$D, 'Raw Data'!$B:$B, "Variant", 'Raw Data'!$A:$A, $A34, 'Raw Data'!$C:$C, $C$3),""))</f>
        <v>34.9582</v>
      </c>
      <c r="EC34" s="109">
        <f t="shared" si="40"/>
        <v>-0.01790118948</v>
      </c>
      <c r="ED34" s="102">
        <f>IF($A34="","",IFERROR(SUMPRODUCT(('Raw Data'!$B$2:$B$9999="Control")*('Raw Data'!$A$2:$A$9999=$A34)*('Raw Data'!$C$2:$C$9999=$C$3)*'Raw Data'!$D$2:$D$9999*('Raw Data'!$AQ$2:$AQ$9999-'Raw Data'!$AT$2:$AT$9999))/SUMIFS('Raw Data'!$D:$D, 'Raw Data'!$B:$B, "Control", 'Raw Data'!$A:$A, $A34, 'Raw Data'!$C:$C, $C$3),""))</f>
        <v>-0.2558</v>
      </c>
      <c r="EE34" s="102">
        <f>IF($A34="","",IFERROR(SUMPRODUCT(('Raw Data'!$B$2:$B$9999="Variant")*('Raw Data'!$A$2:$A$9999=$A34)*('Raw Data'!$C$2:$C$9999=$C$3)*'Raw Data'!$D$2:$D$9999*('Raw Data'!$AQ$2:$AQ$9999-'Raw Data'!$AT$2:$AT$9999))/SUMIFS('Raw Data'!$D:$D, 'Raw Data'!$B:$B, "Variant", 'Raw Data'!$A:$A, $A34, 'Raw Data'!$C:$C, $C$3),""))</f>
        <v>2.7091</v>
      </c>
      <c r="EF34" s="110">
        <f t="shared" si="41"/>
        <v>11.59069586</v>
      </c>
      <c r="EG34" s="102">
        <f>IF($A34="","",IFERROR(SUMPRODUCT(('Raw Data'!$B$2:$B$9999="Control")*('Raw Data'!$A$2:$A$9999=$A34)*('Raw Data'!$C$2:$C$9999=$C$3)*'Raw Data'!$D$2:$D$9999*'Raw Data'!$AU$2:$AU$9999)/SUMIFS('Raw Data'!$D:$D, 'Raw Data'!$B:$B, "Control", 'Raw Data'!$A:$A, $A34, 'Raw Data'!$C:$C, $C$3),""))</f>
        <v>0.2336</v>
      </c>
      <c r="EH34" s="102">
        <f>IF($A34="","",IFERROR(SUMPRODUCT(('Raw Data'!$B$2:$B$9999="Variant")*('Raw Data'!$A$2:$A$9999=$A34)*('Raw Data'!$C$2:$C$9999=$C$3)*'Raw Data'!$D$2:$D$9999*'Raw Data'!$AU$2:$AU$9999)/SUMIFS('Raw Data'!$D:$D, 'Raw Data'!$B:$B, "Variant", 'Raw Data'!$A:$A, $A34, 'Raw Data'!$C:$C, $C$3),""))</f>
        <v>0.2249</v>
      </c>
      <c r="EI34" s="109">
        <f t="shared" si="42"/>
        <v>-0.03724315068</v>
      </c>
    </row>
    <row r="35" ht="15.75" customHeight="1">
      <c r="A35" s="93">
        <v>46203.0</v>
      </c>
      <c r="B35" s="94">
        <f>IF($A35="","",SUMIFS('Raw Data'!$D:$D, 'Raw Data'!$B:$B, "Control", 'Raw Data'!$A:$A, $A35, 'Raw Data'!$C:$C, $C$3))</f>
        <v>444</v>
      </c>
      <c r="C35" s="94">
        <f>IF($A35="","",SUMIFS('Raw Data'!$D:$D, 'Raw Data'!$B:$B, "Variant", 'Raw Data'!$A:$A, $A35, 'Raw Data'!$C:$C, $C$3))</f>
        <v>504</v>
      </c>
      <c r="D35" s="95">
        <f t="shared" si="1"/>
        <v>0.1351351351</v>
      </c>
      <c r="E35" s="96">
        <f>IF($A35="","",IFERROR(SUMPRODUCT(('Raw Data'!$B$2:$B$9999="Control")*('Raw Data'!$A$2:$A$9999=$A35)*('Raw Data'!$C$2:$C$9999=$C$3)*'Raw Data'!$D$2:$D$9999*'Raw Data'!$E$2:$E$9999)/SUMIFS('Raw Data'!$D:$D, 'Raw Data'!$B:$B, "Control", 'Raw Data'!$A:$A, $A35, 'Raw Data'!$C:$C, $C$3),""))</f>
        <v>0.53</v>
      </c>
      <c r="F35" s="96">
        <f>IF($A35="","",IFERROR(SUMPRODUCT(('Raw Data'!$B$2:$B$9999="Variant")*('Raw Data'!$A$2:$A$9999=$A35)*('Raw Data'!$C$2:$C$9999=$C$3)*'Raw Data'!$D$2:$D$9999*'Raw Data'!$E$2:$E$9999)/SUMIFS('Raw Data'!$D:$D, 'Raw Data'!$B:$B, "Variant", 'Raw Data'!$A:$A, $A35, 'Raw Data'!$C:$C, $C$3),""))</f>
        <v>0.61</v>
      </c>
      <c r="G35" s="95">
        <f t="shared" si="2"/>
        <v>0.1509433962</v>
      </c>
      <c r="H35" s="97">
        <f>IF($A35="","",SUMIFS('Raw Data'!$F:$F, 'Raw Data'!$B:$B, "Control", 'Raw Data'!$A:$A, $A35, 'Raw Data'!$C:$C, $C$3))</f>
        <v>2088.59</v>
      </c>
      <c r="I35" s="97">
        <f>IF($A35="","",SUMIFS('Raw Data'!$F:$F, 'Raw Data'!$B:$B, "Variant", 'Raw Data'!$A:$A, $A35, 'Raw Data'!$C:$C, $C$3))</f>
        <v>1844.33</v>
      </c>
      <c r="J35" s="105">
        <f t="shared" si="3"/>
        <v>-0.1169497125</v>
      </c>
      <c r="K35" s="99">
        <f>IF($A35="","",IFERROR(SUMIFS('Raw Data'!$F:$F, 'Raw Data'!$B:$B, "Control", 'Raw Data'!$A:$A, $A35, 'Raw Data'!$C:$C, $C$3)/SUMIFS('Raw Data'!$D:$D, 'Raw Data'!$B:$B, "Control", 'Raw Data'!$A:$A, $A35, 'Raw Data'!$C:$C, $C$3),""))</f>
        <v>4.704031532</v>
      </c>
      <c r="L35" s="99">
        <f>IF($A35="","",IFERROR(SUMIFS('Raw Data'!$F:$F, 'Raw Data'!$B:$B, "Variant", 'Raw Data'!$A:$A, $A35, 'Raw Data'!$C:$C, $C$3)/SUMIFS('Raw Data'!$D:$D, 'Raw Data'!$B:$B, "Variant", 'Raw Data'!$A:$A, $A35, 'Raw Data'!$C:$C, $C$3),""))</f>
        <v>3.659384921</v>
      </c>
      <c r="M35" s="105">
        <f t="shared" si="4"/>
        <v>-0.2220747467</v>
      </c>
      <c r="N35" s="96">
        <f>IF($A35="","",IFERROR(SUMPRODUCT(('Raw Data'!$B$2:$B$9999="Control")*('Raw Data'!$A$2:$A$9999=$A35)*('Raw Data'!$C$2:$C$9999=$C$3)*'Raw Data'!$D$2:$D$9999*'Raw Data'!$H$2:$H$9999/100)/SUMIFS('Raw Data'!$D:$D, 'Raw Data'!$B:$B, "Control", 'Raw Data'!$A:$A, $A35, 'Raw Data'!$C:$C, $C$3)*100,""))</f>
        <v>17.34</v>
      </c>
      <c r="O35" s="96">
        <f>IF($A35="","",IFERROR(SUMPRODUCT(('Raw Data'!$B$2:$B$9999="Variant")*('Raw Data'!$A$2:$A$9999=$A35)*('Raw Data'!$C$2:$C$9999=$C$3)*'Raw Data'!$D$2:$D$9999*'Raw Data'!$H$2:$H$9999/100)/SUMIFS('Raw Data'!$D:$D, 'Raw Data'!$B:$B, "Variant", 'Raw Data'!$A:$A, $A35, 'Raw Data'!$C:$C, $C$3)*100,""))</f>
        <v>17.66</v>
      </c>
      <c r="P35" s="105">
        <f t="shared" si="5"/>
        <v>0.0184544406</v>
      </c>
      <c r="Q35" s="99">
        <f>IF($A35="","",IFERROR(SUMIFS('Raw Data'!$F:$F, 'Raw Data'!$B:$B, "Control", 'Raw Data'!$A:$A, $A35, 'Raw Data'!$C:$C, $C$3)/SUMPRODUCT(('Raw Data'!$B$2:$B$9999="Control")*('Raw Data'!$A$2:$A$9999=$A35)*('Raw Data'!$C$2:$C$9999=$C$3)*'Raw Data'!$D$2:$D$9999*'Raw Data'!$H$2:$H$9999/100),""))</f>
        <v>27.12820952</v>
      </c>
      <c r="R35" s="99">
        <f>IF($A35="","",IFERROR(SUMIFS('Raw Data'!$F:$F, 'Raw Data'!$B:$B, "Variant", 'Raw Data'!$A:$A, $A35, 'Raw Data'!$C:$C, $C$3)/SUMPRODUCT(('Raw Data'!$B$2:$B$9999="Variant")*('Raw Data'!$A$2:$A$9999=$A35)*('Raw Data'!$C$2:$C$9999=$C$3)*'Raw Data'!$D$2:$D$9999*'Raw Data'!$H$2:$H$9999/100),""))</f>
        <v>20.72131892</v>
      </c>
      <c r="S35" s="105">
        <f t="shared" si="6"/>
        <v>-0.2361707875</v>
      </c>
      <c r="T35" s="101">
        <f>IF($A35="","",IFERROR(SUMPRODUCT(('Raw Data'!$B$2:$B$9999="Control")*('Raw Data'!$A$2:$A$9999=$A35)*('Raw Data'!$C$2:$C$9999=$C$3)*'Raw Data'!$D$2:$D$9999*'Raw Data'!$J$2:$J$9999)/SUMIFS('Raw Data'!$D:$D, 'Raw Data'!$B:$B, "Control", 'Raw Data'!$A:$A, $A35, 'Raw Data'!$C:$C, $C$3),""))</f>
        <v>244.87</v>
      </c>
      <c r="U35" s="101">
        <f>IF($A35="","",IFERROR(SUMPRODUCT(('Raw Data'!$B$2:$B$9999="Variant")*('Raw Data'!$A$2:$A$9999=$A35)*('Raw Data'!$C$2:$C$9999=$C$3)*'Raw Data'!$D$2:$D$9999*'Raw Data'!$J$2:$J$9999)/SUMIFS('Raw Data'!$D:$D, 'Raw Data'!$B:$B, "Variant", 'Raw Data'!$A:$A, $A35, 'Raw Data'!$C:$C, $C$3),""))</f>
        <v>243.13</v>
      </c>
      <c r="V35" s="105">
        <f t="shared" si="7"/>
        <v>-0.007105811247</v>
      </c>
      <c r="W35" s="101">
        <f>IF($A35="","",IFERROR(SUMPRODUCT(('Raw Data'!$B$2:$B$9999="Control")*('Raw Data'!$A$2:$A$9999=$A35)*('Raw Data'!$C$2:$C$9999=$C$3)*'Raw Data'!$D$2:$D$9999*'Raw Data'!$K$2:$K$9999)/SUMIFS('Raw Data'!$D:$D, 'Raw Data'!$B:$B, "Control", 'Raw Data'!$A:$A, $A35, 'Raw Data'!$C:$C, $C$3),""))</f>
        <v>150.24</v>
      </c>
      <c r="X35" s="101">
        <f>IF($A35="","",IFERROR(SUMPRODUCT(('Raw Data'!$B$2:$B$9999="Variant")*('Raw Data'!$A$2:$A$9999=$A35)*('Raw Data'!$C$2:$C$9999=$C$3)*'Raw Data'!$D$2:$D$9999*'Raw Data'!$K$2:$K$9999)/SUMIFS('Raw Data'!$D:$D, 'Raw Data'!$B:$B, "Variant", 'Raw Data'!$A:$A, $A35, 'Raw Data'!$C:$C, $C$3),""))</f>
        <v>149.01</v>
      </c>
      <c r="Y35" s="105">
        <f t="shared" si="8"/>
        <v>-0.008186900958</v>
      </c>
      <c r="Z35" s="101">
        <f>IF($A35="","",IFERROR(SUMPRODUCT(('Raw Data'!$B$2:$B$9999="Control")*('Raw Data'!$A$2:$A$9999=$A35)*('Raw Data'!$C$2:$C$9999=$C$3)*'Raw Data'!$D$2:$D$9999*'Raw Data'!$L$2:$L$9999)/SUMIFS('Raw Data'!$D:$D, 'Raw Data'!$B:$B, "Control", 'Raw Data'!$A:$A, $A35, 'Raw Data'!$C:$C, $C$3),""))</f>
        <v>127.08</v>
      </c>
      <c r="AA35" s="101">
        <f>IF($A35="","",IFERROR(SUMPRODUCT(('Raw Data'!$B$2:$B$9999="Variant")*('Raw Data'!$A$2:$A$9999=$A35)*('Raw Data'!$C$2:$C$9999=$C$3)*'Raw Data'!$D$2:$D$9999*'Raw Data'!$L$2:$L$9999)/SUMIFS('Raw Data'!$D:$D, 'Raw Data'!$B:$B, "Variant", 'Raw Data'!$A:$A, $A35, 'Raw Data'!$C:$C, $C$3),""))</f>
        <v>125.44</v>
      </c>
      <c r="AB35" s="105">
        <f t="shared" si="9"/>
        <v>-0.01290525653</v>
      </c>
      <c r="AC35" s="102">
        <f>IF($A35="","",IFERROR(SUMPRODUCT(('Raw Data'!$B$2:$B$9999="Control")*('Raw Data'!$A$2:$A$9999=$A35)*('Raw Data'!$C$2:$C$9999=$C$3)*'Raw Data'!$D$2:$D$9999*'Raw Data'!$M$2:$M$9999)/SUMIFS('Raw Data'!$D:$D, 'Raw Data'!$B:$B, "Control", 'Raw Data'!$A:$A, $A35, 'Raw Data'!$C:$C, $C$3),""))</f>
        <v>0.8458</v>
      </c>
      <c r="AD35" s="102">
        <f>IF($A35="","",IFERROR(SUMPRODUCT(('Raw Data'!$B$2:$B$9999="Variant")*('Raw Data'!$A$2:$A$9999=$A35)*('Raw Data'!$C$2:$C$9999=$C$3)*'Raw Data'!$D$2:$D$9999*'Raw Data'!$M$2:$M$9999)/SUMIFS('Raw Data'!$D:$D, 'Raw Data'!$B:$B, "Variant", 'Raw Data'!$A:$A, $A35, 'Raw Data'!$C:$C, $C$3),""))</f>
        <v>0.8418</v>
      </c>
      <c r="AE35" s="106">
        <f t="shared" si="10"/>
        <v>-0.004729250414</v>
      </c>
      <c r="AF35" s="102">
        <f>IF($A35="","",IFERROR(SUMPRODUCT(('Raw Data'!$B$2:$B$9999="Control")*('Raw Data'!$A$2:$A$9999=$A35)*('Raw Data'!$C$2:$C$9999=$C$3)*'Raw Data'!$D$2:$D$9999*'Raw Data'!$N$2:$N$9999)/SUMIFS('Raw Data'!$D:$D, 'Raw Data'!$B:$B, "Control", 'Raw Data'!$A:$A, $A35, 'Raw Data'!$C:$C, $C$3),""))</f>
        <v>0.2868</v>
      </c>
      <c r="AG35" s="102">
        <f>IF($A35="","",IFERROR(SUMPRODUCT(('Raw Data'!$B$2:$B$9999="Variant")*('Raw Data'!$A$2:$A$9999=$A35)*('Raw Data'!$C$2:$C$9999=$C$3)*'Raw Data'!$D$2:$D$9999*'Raw Data'!$N$2:$N$9999)/SUMIFS('Raw Data'!$D:$D, 'Raw Data'!$B:$B, "Variant", 'Raw Data'!$A:$A, $A35, 'Raw Data'!$C:$C, $C$3),""))</f>
        <v>0.2875</v>
      </c>
      <c r="AH35" s="106">
        <f t="shared" si="11"/>
        <v>0.002440725244</v>
      </c>
      <c r="AI35" s="102">
        <f>IF($A35="","",IFERROR(SUMPRODUCT(('Raw Data'!$B$2:$B$9999="Control")*('Raw Data'!$A$2:$A$9999=$A35)*('Raw Data'!$C$2:$C$9999=$C$3)*'Raw Data'!$D$2:$D$9999*'Raw Data'!$O$2:$O$9999)/SUMIFS('Raw Data'!$D:$D, 'Raw Data'!$B:$B, "Control", 'Raw Data'!$A:$A, $A35, 'Raw Data'!$C:$C, $C$3),""))</f>
        <v>0.2008</v>
      </c>
      <c r="AJ35" s="102">
        <f>IF($A35="","",IFERROR(SUMPRODUCT(('Raw Data'!$B$2:$B$9999="Variant")*('Raw Data'!$A$2:$A$9999=$A35)*('Raw Data'!$C$2:$C$9999=$C$3)*'Raw Data'!$D$2:$D$9999*'Raw Data'!$O$2:$O$9999)/SUMIFS('Raw Data'!$D:$D, 'Raw Data'!$B:$B, "Variant", 'Raw Data'!$A:$A, $A35, 'Raw Data'!$C:$C, $C$3),""))</f>
        <v>0.1995</v>
      </c>
      <c r="AK35" s="105">
        <f t="shared" si="12"/>
        <v>-0.006474103586</v>
      </c>
      <c r="AL35" s="101">
        <f>IF($A35="","",IFERROR(SUMPRODUCT(('Raw Data'!$B$2:$B$9999="Control")*('Raw Data'!$A$2:$A$9999=$A35)*('Raw Data'!$C$2:$C$9999=$C$3)*'Raw Data'!$D$2:$D$9999*'Raw Data'!$P$2:$P$9999)/SUMIFS('Raw Data'!$D:$D, 'Raw Data'!$B:$B, "Control", 'Raw Data'!$A:$A, $A35, 'Raw Data'!$C:$C, $C$3),""))</f>
        <v>1.1823</v>
      </c>
      <c r="AM35" s="101">
        <f>IF($A35="","",IFERROR(SUMPRODUCT(('Raw Data'!$B$2:$B$9999="Variant")*('Raw Data'!$A$2:$A$9999=$A35)*('Raw Data'!$C$2:$C$9999=$C$3)*'Raw Data'!$D$2:$D$9999*'Raw Data'!$P$2:$P$9999)/SUMIFS('Raw Data'!$D:$D, 'Raw Data'!$B:$B, "Variant", 'Raw Data'!$A:$A, $A35, 'Raw Data'!$C:$C, $C$3),""))</f>
        <v>1.1879</v>
      </c>
      <c r="AN35" s="105">
        <f t="shared" si="13"/>
        <v>0.004736530491</v>
      </c>
      <c r="AO35" s="101">
        <f>IF($A35="","",IFERROR(SUMPRODUCT(('Raw Data'!$B$2:$B$9999="Control")*('Raw Data'!$A$2:$A$9999=$A35)*('Raw Data'!$C$2:$C$9999=$C$3)*'Raw Data'!$D$2:$D$9999*'Raw Data'!$Q$2:$Q$9999)/SUMIFS('Raw Data'!$D:$D, 'Raw Data'!$B:$B, "Control", 'Raw Data'!$A:$A, $A35, 'Raw Data'!$C:$C, $C$3),""))</f>
        <v>936.84</v>
      </c>
      <c r="AP35" s="101">
        <f>IF($A35="","",IFERROR(SUMPRODUCT(('Raw Data'!$B$2:$B$9999="Variant")*('Raw Data'!$A$2:$A$9999=$A35)*('Raw Data'!$C$2:$C$9999=$C$3)*'Raw Data'!$D$2:$D$9999*'Raw Data'!$Q$2:$Q$9999)/SUMIFS('Raw Data'!$D:$D, 'Raw Data'!$B:$B, "Variant", 'Raw Data'!$A:$A, $A35, 'Raw Data'!$C:$C, $C$3),""))</f>
        <v>792.05</v>
      </c>
      <c r="AQ35" s="95">
        <f t="shared" si="14"/>
        <v>-0.1545514709</v>
      </c>
      <c r="AR35" s="101">
        <f>IF($A35="","",IFERROR(SUMPRODUCT(('Raw Data'!$B$2:$B$9999="Control")*('Raw Data'!$A$2:$A$9999=$A35)*('Raw Data'!$C$2:$C$9999=$C$3)*'Raw Data'!$D$2:$D$9999*'Raw Data'!$R$2:$R$9999)/SUMIFS('Raw Data'!$D:$D, 'Raw Data'!$B:$B, "Control", 'Raw Data'!$A:$A, $A35, 'Raw Data'!$C:$C, $C$3),""))</f>
        <v>665.18</v>
      </c>
      <c r="AS35" s="101">
        <f>IF($A35="","",IFERROR(SUMPRODUCT(('Raw Data'!$B$2:$B$9999="Variant")*('Raw Data'!$A$2:$A$9999=$A35)*('Raw Data'!$C$2:$C$9999=$C$3)*'Raw Data'!$D$2:$D$9999*'Raw Data'!$R$2:$R$9999)/SUMIFS('Raw Data'!$D:$D, 'Raw Data'!$B:$B, "Variant", 'Raw Data'!$A:$A, $A35, 'Raw Data'!$C:$C, $C$3),""))</f>
        <v>696.38</v>
      </c>
      <c r="AT35" s="95">
        <f t="shared" si="15"/>
        <v>0.04690459725</v>
      </c>
      <c r="AU35" s="101">
        <f>IF($A35="","",IFERROR(SUMPRODUCT(('Raw Data'!$B$2:$B$9999="Control")*('Raw Data'!$A$2:$A$9999=$A35)*('Raw Data'!$C$2:$C$9999=$C$3)*'Raw Data'!$D$2:$D$9999*'Raw Data'!$S$2:$S$9999)/SUMIFS('Raw Data'!$D:$D, 'Raw Data'!$B:$B, "Control", 'Raw Data'!$A:$A, $A35, 'Raw Data'!$C:$C, $C$3),""))</f>
        <v>271.66</v>
      </c>
      <c r="AV35" s="101">
        <f>IF($A35="","",IFERROR(SUMPRODUCT(('Raw Data'!$B$2:$B$9999="Variant")*('Raw Data'!$A$2:$A$9999=$A35)*('Raw Data'!$C$2:$C$9999=$C$3)*'Raw Data'!$D$2:$D$9999*'Raw Data'!$S$2:$S$9999)/SUMIFS('Raw Data'!$D:$D, 'Raw Data'!$B:$B, "Variant", 'Raw Data'!$A:$A, $A35, 'Raw Data'!$C:$C, $C$3),""))</f>
        <v>95.66</v>
      </c>
      <c r="AW35" s="95">
        <f t="shared" si="16"/>
        <v>-0.6478686594</v>
      </c>
      <c r="AX35" s="101">
        <f>IF($A35="","",IFERROR(SUMPRODUCT(('Raw Data'!$B$2:$B$9999="Control")*('Raw Data'!$A$2:$A$9999=$A35)*('Raw Data'!$C$2:$C$9999=$C$3)*'Raw Data'!$D$2:$D$9999*'Raw Data'!$T$2:$T$9999)/SUMIFS('Raw Data'!$D:$D, 'Raw Data'!$B:$B, "Control", 'Raw Data'!$A:$A, $A35, 'Raw Data'!$C:$C, $C$3),""))</f>
        <v>308.78</v>
      </c>
      <c r="AY35" s="101">
        <f>IF($A35="","",IFERROR(SUMPRODUCT(('Raw Data'!$B$2:$B$9999="Variant")*('Raw Data'!$A$2:$A$9999=$A35)*('Raw Data'!$C$2:$C$9999=$C$3)*'Raw Data'!$D$2:$D$9999*'Raw Data'!$T$2:$T$9999)/SUMIFS('Raw Data'!$D:$D, 'Raw Data'!$B:$B, "Variant", 'Raw Data'!$A:$A, $A35, 'Raw Data'!$C:$C, $C$3),""))</f>
        <v>224.7</v>
      </c>
      <c r="AZ35" s="105">
        <f t="shared" si="17"/>
        <v>-0.2722974286</v>
      </c>
      <c r="BA35" s="101">
        <f>IF($A35="","",IFERROR(SUMPRODUCT(('Raw Data'!$B$2:$B$9999="Control")*('Raw Data'!$A$2:$A$9999=$A35)*('Raw Data'!$C$2:$C$9999=$C$3)*'Raw Data'!$D$2:$D$9999*'Raw Data'!$U$2:$U$9999)/SUMIFS('Raw Data'!$D:$D, 'Raw Data'!$B:$B, "Control", 'Raw Data'!$A:$A, $A35, 'Raw Data'!$C:$C, $C$3),""))</f>
        <v>628.05</v>
      </c>
      <c r="BB35" s="101">
        <f>IF($A35="","",IFERROR(SUMPRODUCT(('Raw Data'!$B$2:$B$9999="Variant")*('Raw Data'!$A$2:$A$9999=$A35)*('Raw Data'!$C$2:$C$9999=$C$3)*'Raw Data'!$D$2:$D$9999*'Raw Data'!$U$2:$U$9999)/SUMIFS('Raw Data'!$D:$D, 'Raw Data'!$B:$B, "Variant", 'Raw Data'!$A:$A, $A35, 'Raw Data'!$C:$C, $C$3),""))</f>
        <v>567.34</v>
      </c>
      <c r="BC35" s="95">
        <f t="shared" si="18"/>
        <v>-0.09666427832</v>
      </c>
      <c r="BD35" s="101">
        <f>IF($A35="","",IFERROR(SUMPRODUCT(('Raw Data'!$B$2:$B$9999="Control")*('Raw Data'!$A$2:$A$9999=$A35)*('Raw Data'!$C$2:$C$9999=$C$3)*'Raw Data'!$D$2:$D$9999*'Raw Data'!$V$2:$V$9999)/SUMIFS('Raw Data'!$D:$D, 'Raw Data'!$B:$B, "Control", 'Raw Data'!$A:$A, $A35, 'Raw Data'!$C:$C, $C$3),""))</f>
        <v>962.5</v>
      </c>
      <c r="BE35" s="101">
        <f>IF($A35="","",IFERROR(SUMPRODUCT(('Raw Data'!$B$2:$B$9999="Variant")*('Raw Data'!$A$2:$A$9999=$A35)*('Raw Data'!$C$2:$C$9999=$C$3)*'Raw Data'!$D$2:$D$9999*'Raw Data'!$V$2:$V$9999)/SUMIFS('Raw Data'!$D:$D, 'Raw Data'!$B:$B, "Variant", 'Raw Data'!$A:$A, $A35, 'Raw Data'!$C:$C, $C$3),""))</f>
        <v>784.23</v>
      </c>
      <c r="BF35" s="95">
        <f t="shared" si="19"/>
        <v>-0.1852155844</v>
      </c>
      <c r="BG35" s="101">
        <f>IF($A35="","",IFERROR(SUMPRODUCT(('Raw Data'!$B$2:$B$9999="Control")*('Raw Data'!$A$2:$A$9999=$A35)*('Raw Data'!$C$2:$C$9999=$C$3)*'Raw Data'!$D$2:$D$9999*('Raw Data'!$Q$2:$Q$9999-'Raw Data'!$V$2:$V$9999))/SUMIFS('Raw Data'!$D:$D, 'Raw Data'!$B:$B, "Control", 'Raw Data'!$A:$A, $A35, 'Raw Data'!$C:$C, $C$3),""))</f>
        <v>-25.66</v>
      </c>
      <c r="BH35" s="101">
        <f>IF($A35="","",IFERROR(SUMPRODUCT(('Raw Data'!$B$2:$B$9999="Variant")*('Raw Data'!$A$2:$A$9999=$A35)*('Raw Data'!$C$2:$C$9999=$C$3)*'Raw Data'!$D$2:$D$9999*('Raw Data'!$Q$2:$Q$9999-'Raw Data'!$V$2:$V$9999))/SUMIFS('Raw Data'!$D:$D, 'Raw Data'!$B:$B, "Variant", 'Raw Data'!$A:$A, $A35, 'Raw Data'!$C:$C, $C$3),""))</f>
        <v>7.82</v>
      </c>
      <c r="BI35" s="95">
        <f t="shared" si="20"/>
        <v>1.304754482</v>
      </c>
      <c r="BJ35" s="101">
        <f>IF($A35="","",IFERROR(SUMPRODUCT(('Raw Data'!$B$2:$B$9999="Control")*('Raw Data'!$A$2:$A$9999=$A35)*('Raw Data'!$C$2:$C$9999=$C$3)*'Raw Data'!$D$2:$D$9999*'Raw Data'!$W$2:$W$9999)/SUMIFS('Raw Data'!$D:$D, 'Raw Data'!$B:$B, "Control", 'Raw Data'!$A:$A, $A35, 'Raw Data'!$C:$C, $C$3),""))</f>
        <v>6.4065</v>
      </c>
      <c r="BK35" s="101">
        <f>IF($A35="","",IFERROR(SUMPRODUCT(('Raw Data'!$B$2:$B$9999="Variant")*('Raw Data'!$A$2:$A$9999=$A35)*('Raw Data'!$C$2:$C$9999=$C$3)*'Raw Data'!$D$2:$D$9999*'Raw Data'!$W$2:$W$9999)/SUMIFS('Raw Data'!$D:$D, 'Raw Data'!$B:$B, "Variant", 'Raw Data'!$A:$A, $A35, 'Raw Data'!$C:$C, $C$3),""))</f>
        <v>5.2629</v>
      </c>
      <c r="BL35" s="95">
        <f t="shared" si="21"/>
        <v>-0.1785062046</v>
      </c>
      <c r="BM35" s="102">
        <f>IF($A35="","",IFERROR(SUMPRODUCT(('Raw Data'!$B$2:$B$9999="Control")*('Raw Data'!$A$2:$A$9999=$A35)*('Raw Data'!$C$2:$C$9999=$C$3)*'Raw Data'!$D$2:$D$9999*'Raw Data'!$X$2:$X$9999)/SUMIFS('Raw Data'!$D:$D, 'Raw Data'!$B:$B, "Control", 'Raw Data'!$A:$A, $A35, 'Raw Data'!$C:$C, $C$3),""))</f>
        <v>32.96</v>
      </c>
      <c r="BN35" s="102">
        <f>IF($A35="","",IFERROR(SUMPRODUCT(('Raw Data'!$B$2:$B$9999="Variant")*('Raw Data'!$A$2:$A$9999=$A35)*('Raw Data'!$C$2:$C$9999=$C$3)*'Raw Data'!$D$2:$D$9999*'Raw Data'!$X$2:$X$9999)/SUMIFS('Raw Data'!$D:$D, 'Raw Data'!$B:$B, "Variant", 'Raw Data'!$A:$A, $A35, 'Raw Data'!$C:$C, $C$3),""))</f>
        <v>28.37</v>
      </c>
      <c r="BO35" s="105">
        <f t="shared" si="22"/>
        <v>-0.1392597087</v>
      </c>
      <c r="BP35" s="94">
        <f>IF($A35="","",IFERROR(SUMPRODUCT(('Raw Data'!$B$2:$B$9999="Control")*('Raw Data'!$A$2:$A$9999=$A35)*('Raw Data'!$C$2:$C$9999=$C$3)*'Raw Data'!$D$2:$D$9999*'Raw Data'!$Y$2:$Y$9999)/SUMIFS('Raw Data'!$D:$D, 'Raw Data'!$B:$B, "Control", 'Raw Data'!$A:$A, $A35, 'Raw Data'!$C:$C, $C$3),""))</f>
        <v>285</v>
      </c>
      <c r="BQ35" s="94">
        <f>IF($A35="","",IFERROR(SUMPRODUCT(('Raw Data'!$B$2:$B$9999="Variant")*('Raw Data'!$A$2:$A$9999=$A35)*('Raw Data'!$C$2:$C$9999=$C$3)*'Raw Data'!$D$2:$D$9999*'Raw Data'!$Y$2:$Y$9999)/SUMIFS('Raw Data'!$D:$D, 'Raw Data'!$B:$B, "Variant", 'Raw Data'!$A:$A, $A35, 'Raw Data'!$C:$C, $C$3),""))</f>
        <v>265</v>
      </c>
      <c r="BR35" s="95">
        <f t="shared" si="23"/>
        <v>-0.0701754386</v>
      </c>
      <c r="BS35" s="94">
        <f>IF($A35="","",IFERROR(SUMPRODUCT(('Raw Data'!$B$2:$B$9999="Control")*('Raw Data'!$A$2:$A$9999=$A35)*('Raw Data'!$C$2:$C$9999=$C$3)*'Raw Data'!$D$2:$D$9999*'Raw Data'!$Z$2:$Z$9999)/SUMIFS('Raw Data'!$D:$D, 'Raw Data'!$B:$B, "Control", 'Raw Data'!$A:$A, $A35, 'Raw Data'!$C:$C, $C$3),""))</f>
        <v>1672</v>
      </c>
      <c r="BT35" s="94">
        <f>IF($A35="","",IFERROR(SUMPRODUCT(('Raw Data'!$B$2:$B$9999="Variant")*('Raw Data'!$A$2:$A$9999=$A35)*('Raw Data'!$C$2:$C$9999=$C$3)*'Raw Data'!$D$2:$D$9999*'Raw Data'!$Z$2:$Z$9999)/SUMIFS('Raw Data'!$D:$D, 'Raw Data'!$B:$B, "Variant", 'Raw Data'!$A:$A, $A35, 'Raw Data'!$C:$C, $C$3),""))</f>
        <v>2091</v>
      </c>
      <c r="BU35" s="95">
        <f t="shared" si="24"/>
        <v>0.2505980861</v>
      </c>
      <c r="BV35" s="94">
        <f>IF($A35="","",IFERROR(SUMPRODUCT(('Raw Data'!$B$2:$B$9999="Control")*('Raw Data'!$A$2:$A$9999=$A35)*('Raw Data'!$C$2:$C$9999=$C$3)*'Raw Data'!$D$2:$D$9999*'Raw Data'!$AA$2:$AA$9999)/SUMIFS('Raw Data'!$D:$D, 'Raw Data'!$B:$B, "Control", 'Raw Data'!$A:$A, $A35, 'Raw Data'!$C:$C, $C$3),""))</f>
        <v>8177</v>
      </c>
      <c r="BW35" s="94">
        <f>IF($A35="","",IFERROR(SUMPRODUCT(('Raw Data'!$B$2:$B$9999="Variant")*('Raw Data'!$A$2:$A$9999=$A35)*('Raw Data'!$C$2:$C$9999=$C$3)*'Raw Data'!$D$2:$D$9999*'Raw Data'!$AA$2:$AA$9999)/SUMIFS('Raw Data'!$D:$D, 'Raw Data'!$B:$B, "Variant", 'Raw Data'!$A:$A, $A35, 'Raw Data'!$C:$C, $C$3),""))</f>
        <v>8040</v>
      </c>
      <c r="BX35" s="95">
        <f t="shared" si="25"/>
        <v>-0.01675431087</v>
      </c>
      <c r="BY35" s="101">
        <f>IF($A35="","",IFERROR(SUMPRODUCT(('Raw Data'!$B$2:$B$9999="Control")*('Raw Data'!$A$2:$A$9999=$A35)*('Raw Data'!$C$2:$C$9999=$C$3)*'Raw Data'!$D$2:$D$9999*'Raw Data'!$AB$2:$AB$9999)/SUMIFS('Raw Data'!$D:$D, 'Raw Data'!$B:$B, "Control", 'Raw Data'!$A:$A, $A35, 'Raw Data'!$C:$C, $C$3),""))</f>
        <v>62.5253</v>
      </c>
      <c r="BZ35" s="101">
        <f>IF($A35="","",IFERROR(SUMPRODUCT(('Raw Data'!$B$2:$B$9999="Variant")*('Raw Data'!$A$2:$A$9999=$A35)*('Raw Data'!$C$2:$C$9999=$C$3)*'Raw Data'!$D$2:$D$9999*'Raw Data'!$AB$2:$AB$9999)/SUMIFS('Raw Data'!$D:$D, 'Raw Data'!$B:$B, "Variant", 'Raw Data'!$A:$A, $A35, 'Raw Data'!$C:$C, $C$3),""))</f>
        <v>62.8684</v>
      </c>
      <c r="CA35" s="105">
        <f t="shared" si="26"/>
        <v>0.005487378709</v>
      </c>
      <c r="CB35" s="101">
        <f>IF($A35="","",IFERROR(SUMPRODUCT(('Raw Data'!$B$2:$B$9999="Control")*('Raw Data'!$A$2:$A$9999=$A35)*('Raw Data'!$C$2:$C$9999=$C$3)*'Raw Data'!$D$2:$D$9999*'Raw Data'!$AC$2:$AC$9999)/SUMIFS('Raw Data'!$D:$D, 'Raw Data'!$B:$B, "Control", 'Raw Data'!$A:$A, $A35, 'Raw Data'!$C:$C, $C$3),""))</f>
        <v>0.8725</v>
      </c>
      <c r="CC35" s="101">
        <f>IF($A35="","",IFERROR(SUMPRODUCT(('Raw Data'!$B$2:$B$9999="Variant")*('Raw Data'!$A$2:$A$9999=$A35)*('Raw Data'!$C$2:$C$9999=$C$3)*'Raw Data'!$D$2:$D$9999*'Raw Data'!$AC$2:$AC$9999)/SUMIFS('Raw Data'!$D:$D, 'Raw Data'!$B:$B, "Variant", 'Raw Data'!$A:$A, $A35, 'Raw Data'!$C:$C, $C$3),""))</f>
        <v>0.8717</v>
      </c>
      <c r="CD35" s="105">
        <f t="shared" si="27"/>
        <v>-0.0009169054441</v>
      </c>
      <c r="CE35" s="101">
        <f>IF($A35="","",IFERROR(SUMPRODUCT(('Raw Data'!$B$2:$B$9999="Control")*('Raw Data'!$A$2:$A$9999=$A35)*('Raw Data'!$C$2:$C$9999=$C$3)*'Raw Data'!$D$2:$D$9999*'Raw Data'!$AD$2:$AD$9999)/SUMIFS('Raw Data'!$D:$D, 'Raw Data'!$B:$B, "Control", 'Raw Data'!$A:$A, $A35, 'Raw Data'!$C:$C, $C$3),""))</f>
        <v>85.1</v>
      </c>
      <c r="CF35" s="101">
        <f>IF($A35="","",IFERROR(SUMPRODUCT(('Raw Data'!$B$2:$B$9999="Variant")*('Raw Data'!$A$2:$A$9999=$A35)*('Raw Data'!$C$2:$C$9999=$C$3)*'Raw Data'!$D$2:$D$9999*'Raw Data'!$AD$2:$AD$9999)/SUMIFS('Raw Data'!$D:$D, 'Raw Data'!$B:$B, "Variant", 'Raw Data'!$A:$A, $A35, 'Raw Data'!$C:$C, $C$3),""))</f>
        <v>87.1</v>
      </c>
      <c r="CG35" s="105">
        <f t="shared" si="28"/>
        <v>0.02350176263</v>
      </c>
      <c r="CH35" s="101">
        <f>IF($A35="","",IFERROR(SUMPRODUCT(('Raw Data'!$B$2:$B$9999="Control")*('Raw Data'!$A$2:$A$9999=$A35)*('Raw Data'!$C$2:$C$9999=$C$3)*'Raw Data'!$D$2:$D$9999*'Raw Data'!$AE$2:$AE$9999)/SUMIFS('Raw Data'!$D:$D, 'Raw Data'!$B:$B, "Control", 'Raw Data'!$A:$A, $A35, 'Raw Data'!$C:$C, $C$3),""))</f>
        <v>34</v>
      </c>
      <c r="CI35" s="101">
        <f>IF($A35="","",IFERROR(SUMPRODUCT(('Raw Data'!$B$2:$B$9999="Variant")*('Raw Data'!$A$2:$A$9999=$A35)*('Raw Data'!$C$2:$C$9999=$C$3)*'Raw Data'!$D$2:$D$9999*'Raw Data'!$AE$2:$AE$9999)/SUMIFS('Raw Data'!$D:$D, 'Raw Data'!$B:$B, "Variant", 'Raw Data'!$A:$A, $A35, 'Raw Data'!$C:$C, $C$3),""))</f>
        <v>39</v>
      </c>
      <c r="CJ35" s="105">
        <f t="shared" si="29"/>
        <v>0.1470588235</v>
      </c>
      <c r="CK35" s="101">
        <f>IF($A35="","",IFERROR(SUMPRODUCT(('Raw Data'!$B$2:$B$9999="Control")*('Raw Data'!$A$2:$A$9999=$A35)*('Raw Data'!$C$2:$C$9999=$C$3)*'Raw Data'!$D$2:$D$9999*'Raw Data'!$AF$2:$AF$9999)/SUMIFS('Raw Data'!$D:$D, 'Raw Data'!$B:$B, "Control", 'Raw Data'!$A:$A, $A35, 'Raw Data'!$C:$C, $C$3),""))</f>
        <v>73</v>
      </c>
      <c r="CL35" s="101">
        <f>IF($A35="","",IFERROR(SUMPRODUCT(('Raw Data'!$B$2:$B$9999="Variant")*('Raw Data'!$A$2:$A$9999=$A35)*('Raw Data'!$C$2:$C$9999=$C$3)*'Raw Data'!$D$2:$D$9999*'Raw Data'!$AF$2:$AF$9999)/SUMIFS('Raw Data'!$D:$D, 'Raw Data'!$B:$B, "Variant", 'Raw Data'!$A:$A, $A35, 'Raw Data'!$C:$C, $C$3),""))</f>
        <v>76</v>
      </c>
      <c r="CM35" s="105">
        <f t="shared" si="30"/>
        <v>0.04109589041</v>
      </c>
      <c r="CN35" s="101">
        <f>IF($A35="","",IFERROR(SUMPRODUCT(('Raw Data'!$B$2:$B$9999="Control")*('Raw Data'!$A$2:$A$9999=$A35)*('Raw Data'!$C$2:$C$9999=$C$3)*'Raw Data'!$D$2:$D$9999*'Raw Data'!$AG$2:$AG$9999)/SUMIFS('Raw Data'!$D:$D, 'Raw Data'!$B:$B, "Control", 'Raw Data'!$A:$A, $A35, 'Raw Data'!$C:$C, $C$3),""))</f>
        <v>120</v>
      </c>
      <c r="CO35" s="101">
        <f>IF($A35="","",IFERROR(SUMPRODUCT(('Raw Data'!$B$2:$B$9999="Variant")*('Raw Data'!$A$2:$A$9999=$A35)*('Raw Data'!$C$2:$C$9999=$C$3)*'Raw Data'!$D$2:$D$9999*'Raw Data'!$AG$2:$AG$9999)/SUMIFS('Raw Data'!$D:$D, 'Raw Data'!$B:$B, "Variant", 'Raw Data'!$A:$A, $A35, 'Raw Data'!$C:$C, $C$3),""))</f>
        <v>123</v>
      </c>
      <c r="CP35" s="105">
        <f t="shared" si="31"/>
        <v>0.025</v>
      </c>
      <c r="CQ35" s="101">
        <f>IF($A35="","",IFERROR(SUMPRODUCT(('Raw Data'!$B$2:$B$9999="Control")*('Raw Data'!$A$2:$A$9999=$A35)*('Raw Data'!$C$2:$C$9999=$C$3)*'Raw Data'!$D$2:$D$9999*'Raw Data'!$AH$2:$AH$9999)/SUMIFS('Raw Data'!$D:$D, 'Raw Data'!$B:$B, "Control", 'Raw Data'!$A:$A, $A35, 'Raw Data'!$C:$C, $C$3),""))</f>
        <v>168</v>
      </c>
      <c r="CR35" s="101">
        <f>IF($A35="","",IFERROR(SUMPRODUCT(('Raw Data'!$B$2:$B$9999="Variant")*('Raw Data'!$A$2:$A$9999=$A35)*('Raw Data'!$C$2:$C$9999=$C$3)*'Raw Data'!$D$2:$D$9999*'Raw Data'!$AH$2:$AH$9999)/SUMIFS('Raw Data'!$D:$D, 'Raw Data'!$B:$B, "Variant", 'Raw Data'!$A:$A, $A35, 'Raw Data'!$C:$C, $C$3),""))</f>
        <v>171</v>
      </c>
      <c r="CS35" s="105">
        <f t="shared" si="32"/>
        <v>0.01785714286</v>
      </c>
      <c r="CT35" s="96">
        <f>IF($A35="","",IFERROR(SUMPRODUCT(('Raw Data'!$B$2:$B$9999="Control")*('Raw Data'!$A$2:$A$9999=$A35)*('Raw Data'!$C$2:$C$9999=$C$3)*'Raw Data'!$D$2:$D$9999*'Raw Data'!$AI$2:$AI$9999)/SUMIFS('Raw Data'!$D:$D, 'Raw Data'!$B:$B, "Control", 'Raw Data'!$A:$A, $A35, 'Raw Data'!$C:$C, $C$3),""))</f>
        <v>45.95</v>
      </c>
      <c r="CU35" s="96">
        <f>IF($A35="","",IFERROR(SUMPRODUCT(('Raw Data'!$B$2:$B$9999="Variant")*('Raw Data'!$A$2:$A$9999=$A35)*('Raw Data'!$C$2:$C$9999=$C$3)*'Raw Data'!$D$2:$D$9999*'Raw Data'!$AI$2:$AI$9999)/SUMIFS('Raw Data'!$D:$D, 'Raw Data'!$B:$B, "Variant", 'Raw Data'!$A:$A, $A35, 'Raw Data'!$C:$C, $C$3),""))</f>
        <v>48.41</v>
      </c>
      <c r="CV35" s="106">
        <f t="shared" si="33"/>
        <v>0.05353645267</v>
      </c>
      <c r="CW35" s="96">
        <f>IF($A35="","",IFERROR(SUMPRODUCT(('Raw Data'!$B$2:$B$9999="Control")*('Raw Data'!$A$2:$A$9999=$A35)*('Raw Data'!$C$2:$C$9999=$C$3)*'Raw Data'!$D$2:$D$9999*'Raw Data'!$AJ$2:$AJ$9999)/SUMIFS('Raw Data'!$D:$D, 'Raw Data'!$B:$B, "Control", 'Raw Data'!$A:$A, $A35, 'Raw Data'!$C:$C, $C$3),""))</f>
        <v>8.56</v>
      </c>
      <c r="CX35" s="96">
        <f>IF($A35="","",IFERROR(SUMPRODUCT(('Raw Data'!$B$2:$B$9999="Variant")*('Raw Data'!$A$2:$A$9999=$A35)*('Raw Data'!$C$2:$C$9999=$C$3)*'Raw Data'!$D$2:$D$9999*'Raw Data'!$AJ$2:$AJ$9999)/SUMIFS('Raw Data'!$D:$D, 'Raw Data'!$B:$B, "Variant", 'Raw Data'!$A:$A, $A35, 'Raw Data'!$C:$C, $C$3),""))</f>
        <v>9.92</v>
      </c>
      <c r="CY35" s="106">
        <f t="shared" si="34"/>
        <v>0.1588785047</v>
      </c>
      <c r="CZ35" s="96">
        <f>IF($A35="","",IFERROR(SUMPRODUCT(('Raw Data'!$B$2:$B$9999="Control")*('Raw Data'!$A$2:$A$9999=$A35)*('Raw Data'!$C$2:$C$9999=$C$3)*'Raw Data'!$D$2:$D$9999*'Raw Data'!$AK$2:$AK$9999)/SUMIFS('Raw Data'!$D:$D, 'Raw Data'!$B:$B, "Control", 'Raw Data'!$A:$A, $A35, 'Raw Data'!$C:$C, $C$3),""))</f>
        <v>0.68</v>
      </c>
      <c r="DA35" s="96">
        <f>IF($A35="","",IFERROR(SUMPRODUCT(('Raw Data'!$B$2:$B$9999="Variant")*('Raw Data'!$A$2:$A$9999=$A35)*('Raw Data'!$C$2:$C$9999=$C$3)*'Raw Data'!$D$2:$D$9999*'Raw Data'!$AK$2:$AK$9999)/SUMIFS('Raw Data'!$D:$D, 'Raw Data'!$B:$B, "Variant", 'Raw Data'!$A:$A, $A35, 'Raw Data'!$C:$C, $C$3),""))</f>
        <v>1.39</v>
      </c>
      <c r="DB35" s="105">
        <f t="shared" si="35"/>
        <v>1.044117647</v>
      </c>
      <c r="DC35" s="102">
        <f>IF($A35="","",IFERROR(SUMPRODUCT(('Raw Data'!$B$2:$B$9999="Control")*('Raw Data'!$A$2:$A$9999=$A35)*('Raw Data'!$C$2:$C$9999=$C$3)*'Raw Data'!$D$2:$D$9999*'Raw Data'!$AL$2:$AL$9999)/SUMIFS('Raw Data'!$D:$D, 'Raw Data'!$B:$B, "Control", 'Raw Data'!$A:$A, $A35, 'Raw Data'!$C:$C, $C$3),""))</f>
        <v>1</v>
      </c>
      <c r="DD35" s="102">
        <f>IF($A35="","",IFERROR(SUMPRODUCT(('Raw Data'!$B$2:$B$9999="Variant")*('Raw Data'!$A$2:$A$9999=$A35)*('Raw Data'!$C$2:$C$9999=$C$3)*'Raw Data'!$D$2:$D$9999*'Raw Data'!$AL$2:$AL$9999)/SUMIFS('Raw Data'!$D:$D, 'Raw Data'!$B:$B, "Variant", 'Raw Data'!$A:$A, $A35, 'Raw Data'!$C:$C, $C$3),""))</f>
        <v>1</v>
      </c>
      <c r="DE35" s="106">
        <f t="shared" si="36"/>
        <v>0</v>
      </c>
      <c r="DF35" s="103"/>
      <c r="DG35" s="96">
        <f>IF($A35="","",IFERROR(SUMPRODUCT(('Raw Data'!$B$2:$B$9999="Variant")*('Raw Data'!$A$2:$A$9999=$A35)*('Raw Data'!$C$2:$C$9999=$C$3)*'Raw Data'!$D$2:$D$9999*'Raw Data'!$AM$2:$AM$9999)/SUMIFS('Raw Data'!$D:$D, 'Raw Data'!$B:$B, "Variant", 'Raw Data'!$A:$A, $A35, 'Raw Data'!$C:$C, $C$3),""))</f>
        <v>85.52</v>
      </c>
      <c r="DH35" s="104"/>
      <c r="DI35" s="103"/>
      <c r="DJ35" s="96">
        <f>IF($A35="","",IFERROR(SUMPRODUCT(('Raw Data'!$B$2:$B$9999="Variant")*('Raw Data'!$A$2:$A$9999=$A35)*('Raw Data'!$C$2:$C$9999=$C$3)*'Raw Data'!$D$2:$D$9999*'Raw Data'!$AN$2:$AN$9999)/SUMIFS('Raw Data'!$D:$D, 'Raw Data'!$B:$B, "Variant", 'Raw Data'!$A:$A, $A35, 'Raw Data'!$C:$C, $C$3),""))</f>
        <v>85.52</v>
      </c>
      <c r="DK35" s="104"/>
      <c r="DL35" s="103"/>
      <c r="DM35" s="96">
        <f>IF($A35="","",IFERROR(SUMPRODUCT(('Raw Data'!$B$2:$B$9999="Variant")*('Raw Data'!$A$2:$A$9999=$A35)*('Raw Data'!$C$2:$C$9999=$C$3)*'Raw Data'!$D$2:$D$9999*'Raw Data'!$AO$2:$AO$9999)/SUMIFS('Raw Data'!$D:$D, 'Raw Data'!$B:$B, "Variant", 'Raw Data'!$A:$A, $A35, 'Raw Data'!$C:$C, $C$3),""))</f>
        <v>70.83</v>
      </c>
      <c r="DN35" s="104"/>
      <c r="DO35" s="103"/>
      <c r="DP35" s="96">
        <f>IF($A35="","",IFERROR(SUMPRODUCT(('Raw Data'!$B$2:$B$9999="Variant")*('Raw Data'!$A$2:$A$9999=$A35)*('Raw Data'!$C$2:$C$9999=$C$3)*'Raw Data'!$D$2:$D$9999*'Raw Data'!$AP$2:$AP$9999)/SUMIFS('Raw Data'!$D:$D, 'Raw Data'!$B:$B, "Variant", 'Raw Data'!$A:$A, $A35, 'Raw Data'!$C:$C, $C$3),""))</f>
        <v>60.32</v>
      </c>
      <c r="DQ35" s="104"/>
      <c r="DR35" s="102">
        <f>IF($A35="","",IFERROR(SUMPRODUCT(('Raw Data'!$B$2:$B$9999="Control")*('Raw Data'!$A$2:$A$9999=$A35)*('Raw Data'!$C$2:$C$9999=$C$3)*'Raw Data'!$D$2:$D$9999*'Raw Data'!$AQ$2:$AQ$9999)/SUMIFS('Raw Data'!$D:$D, 'Raw Data'!$B:$B, "Control", 'Raw Data'!$A:$A, $A35, 'Raw Data'!$C:$C, $C$3),""))</f>
        <v>31.9279</v>
      </c>
      <c r="DS35" s="102">
        <f>IF($A35="","",IFERROR(SUMPRODUCT(('Raw Data'!$B$2:$B$9999="Variant")*('Raw Data'!$A$2:$A$9999=$A35)*('Raw Data'!$C$2:$C$9999=$C$3)*'Raw Data'!$D$2:$D$9999*'Raw Data'!$AQ$2:$AQ$9999)/SUMIFS('Raw Data'!$D:$D, 'Raw Data'!$B:$B, "Variant", 'Raw Data'!$A:$A, $A35, 'Raw Data'!$C:$C, $C$3),""))</f>
        <v>31.2183</v>
      </c>
      <c r="DT35" s="109">
        <f t="shared" si="37"/>
        <v>-0.02222507587</v>
      </c>
      <c r="DU35" s="102">
        <f>IF($A35="","",IFERROR(SUMPRODUCT(('Raw Data'!$B$2:$B$9999="Control")*('Raw Data'!$A$2:$A$9999=$A35)*('Raw Data'!$C$2:$C$9999=$C$3)*'Raw Data'!$D$2:$D$9999*'Raw Data'!$AR$2:$AR$9999)/SUMIFS('Raw Data'!$D:$D, 'Raw Data'!$B:$B, "Control", 'Raw Data'!$A:$A, $A35, 'Raw Data'!$C:$C, $C$3),""))</f>
        <v>4.527</v>
      </c>
      <c r="DV35" s="102">
        <f>IF($A35="","",IFERROR(SUMPRODUCT(('Raw Data'!$B$2:$B$9999="Variant")*('Raw Data'!$A$2:$A$9999=$A35)*('Raw Data'!$C$2:$C$9999=$C$3)*'Raw Data'!$D$2:$D$9999*'Raw Data'!$AR$2:$AR$9999)/SUMIFS('Raw Data'!$D:$D, 'Raw Data'!$B:$B, "Variant", 'Raw Data'!$A:$A, $A35, 'Raw Data'!$C:$C, $C$3),""))</f>
        <v>2.7599</v>
      </c>
      <c r="DW35" s="109">
        <f t="shared" si="38"/>
        <v>-0.390346808</v>
      </c>
      <c r="DX35" s="102">
        <f>IF($A35="","",IFERROR(SUMPRODUCT(('Raw Data'!$B$2:$B$9999="Control")*('Raw Data'!$A$2:$A$9999=$A35)*('Raw Data'!$C$2:$C$9999=$C$3)*'Raw Data'!$D$2:$D$9999*'Raw Data'!$AS$2:$AS$9999)/SUMIFS('Raw Data'!$D:$D, 'Raw Data'!$B:$B, "Control", 'Raw Data'!$A:$A, $A35, 'Raw Data'!$C:$C, $C$3),""))</f>
        <v>27.4009</v>
      </c>
      <c r="DY35" s="102">
        <f>IF($A35="","",IFERROR(SUMPRODUCT(('Raw Data'!$B$2:$B$9999="Variant")*('Raw Data'!$A$2:$A$9999=$A35)*('Raw Data'!$C$2:$C$9999=$C$3)*'Raw Data'!$D$2:$D$9999*'Raw Data'!$AS$2:$AS$9999)/SUMIFS('Raw Data'!$D:$D, 'Raw Data'!$B:$B, "Variant", 'Raw Data'!$A:$A, $A35, 'Raw Data'!$C:$C, $C$3),""))</f>
        <v>28.4583</v>
      </c>
      <c r="DZ35" s="110">
        <f t="shared" si="39"/>
        <v>0.03858997332</v>
      </c>
      <c r="EA35" s="102">
        <f>IF($A35="","",IFERROR(SUMPRODUCT(('Raw Data'!$B$2:$B$9999="Control")*('Raw Data'!$A$2:$A$9999=$A35)*('Raw Data'!$C$2:$C$9999=$C$3)*'Raw Data'!$D$2:$D$9999*'Raw Data'!$AT$2:$AT$9999)/SUMIFS('Raw Data'!$D:$D, 'Raw Data'!$B:$B, "Control", 'Raw Data'!$A:$A, $A35, 'Raw Data'!$C:$C, $C$3),""))</f>
        <v>36.1104</v>
      </c>
      <c r="EB35" s="102">
        <f>IF($A35="","",IFERROR(SUMPRODUCT(('Raw Data'!$B$2:$B$9999="Variant")*('Raw Data'!$A$2:$A$9999=$A35)*('Raw Data'!$C$2:$C$9999=$C$3)*'Raw Data'!$D$2:$D$9999*'Raw Data'!$AT$2:$AT$9999)/SUMIFS('Raw Data'!$D:$D, 'Raw Data'!$B:$B, "Variant", 'Raw Data'!$A:$A, $A35, 'Raw Data'!$C:$C, $C$3),""))</f>
        <v>32.1012</v>
      </c>
      <c r="EC35" s="109">
        <f t="shared" si="40"/>
        <v>-0.1110261864</v>
      </c>
      <c r="ED35" s="102">
        <f>IF($A35="","",IFERROR(SUMPRODUCT(('Raw Data'!$B$2:$B$9999="Control")*('Raw Data'!$A$2:$A$9999=$A35)*('Raw Data'!$C$2:$C$9999=$C$3)*'Raw Data'!$D$2:$D$9999*('Raw Data'!$AQ$2:$AQ$9999-'Raw Data'!$AT$2:$AT$9999))/SUMIFS('Raw Data'!$D:$D, 'Raw Data'!$B:$B, "Control", 'Raw Data'!$A:$A, $A35, 'Raw Data'!$C:$C, $C$3),""))</f>
        <v>-4.1825</v>
      </c>
      <c r="EE35" s="102">
        <f>IF($A35="","",IFERROR(SUMPRODUCT(('Raw Data'!$B$2:$B$9999="Variant")*('Raw Data'!$A$2:$A$9999=$A35)*('Raw Data'!$C$2:$C$9999=$C$3)*'Raw Data'!$D$2:$D$9999*('Raw Data'!$AQ$2:$AQ$9999-'Raw Data'!$AT$2:$AT$9999))/SUMIFS('Raw Data'!$D:$D, 'Raw Data'!$B:$B, "Variant", 'Raw Data'!$A:$A, $A35, 'Raw Data'!$C:$C, $C$3),""))</f>
        <v>-0.8829</v>
      </c>
      <c r="EF35" s="110">
        <f t="shared" si="41"/>
        <v>0.7889061566</v>
      </c>
      <c r="EG35" s="102">
        <f>IF($A35="","",IFERROR(SUMPRODUCT(('Raw Data'!$B$2:$B$9999="Control")*('Raw Data'!$A$2:$A$9999=$A35)*('Raw Data'!$C$2:$C$9999=$C$3)*'Raw Data'!$D$2:$D$9999*'Raw Data'!$AU$2:$AU$9999)/SUMIFS('Raw Data'!$D:$D, 'Raw Data'!$B:$B, "Control", 'Raw Data'!$A:$A, $A35, 'Raw Data'!$C:$C, $C$3),""))</f>
        <v>0.2404</v>
      </c>
      <c r="EH35" s="102">
        <f>IF($A35="","",IFERROR(SUMPRODUCT(('Raw Data'!$B$2:$B$9999="Variant")*('Raw Data'!$A$2:$A$9999=$A35)*('Raw Data'!$C$2:$C$9999=$C$3)*'Raw Data'!$D$2:$D$9999*'Raw Data'!$AU$2:$AU$9999)/SUMIFS('Raw Data'!$D:$D, 'Raw Data'!$B:$B, "Variant", 'Raw Data'!$A:$A, $A35, 'Raw Data'!$C:$C, $C$3),""))</f>
        <v>0.2154</v>
      </c>
      <c r="EI35" s="109">
        <f t="shared" si="42"/>
        <v>-0.1039933444</v>
      </c>
    </row>
    <row r="36" ht="15.75" customHeight="1">
      <c r="A36" s="93">
        <v>46204.0</v>
      </c>
      <c r="B36" s="94">
        <f>IF($A36="","",SUMIFS('Raw Data'!$D:$D, 'Raw Data'!$B:$B, "Control", 'Raw Data'!$A:$A, $A36, 'Raw Data'!$C:$C, $C$3))</f>
        <v>0</v>
      </c>
      <c r="C36" s="94">
        <f>IF($A36="","",SUMIFS('Raw Data'!$D:$D, 'Raw Data'!$B:$B, "Variant", 'Raw Data'!$A:$A, $A36, 'Raw Data'!$C:$C, $C$3))</f>
        <v>0</v>
      </c>
      <c r="D36" s="95" t="str">
        <f t="shared" si="1"/>
        <v/>
      </c>
      <c r="E36" s="96" t="str">
        <f>IF($A36="","",IFERROR(SUMPRODUCT(('Raw Data'!$B$2:$B$9999="Control")*('Raw Data'!$A$2:$A$9999=$A36)*('Raw Data'!$C$2:$C$9999=$C$3)*'Raw Data'!$D$2:$D$9999*'Raw Data'!$E$2:$E$9999)/SUMIFS('Raw Data'!$D:$D, 'Raw Data'!$B:$B, "Control", 'Raw Data'!$A:$A, $A36, 'Raw Data'!$C:$C, $C$3),""))</f>
        <v/>
      </c>
      <c r="F36" s="96" t="str">
        <f>IF($A36="","",IFERROR(SUMPRODUCT(('Raw Data'!$B$2:$B$9999="Variant")*('Raw Data'!$A$2:$A$9999=$A36)*('Raw Data'!$C$2:$C$9999=$C$3)*'Raw Data'!$D$2:$D$9999*'Raw Data'!$E$2:$E$9999)/SUMIFS('Raw Data'!$D:$D, 'Raw Data'!$B:$B, "Variant", 'Raw Data'!$A:$A, $A36, 'Raw Data'!$C:$C, $C$3),""))</f>
        <v/>
      </c>
      <c r="G36" s="95" t="str">
        <f t="shared" si="2"/>
        <v/>
      </c>
      <c r="H36" s="97">
        <f>IF($A36="","",SUMIFS('Raw Data'!$F:$F, 'Raw Data'!$B:$B, "Control", 'Raw Data'!$A:$A, $A36, 'Raw Data'!$C:$C, $C$3))</f>
        <v>0</v>
      </c>
      <c r="I36" s="97">
        <f>IF($A36="","",SUMIFS('Raw Data'!$F:$F, 'Raw Data'!$B:$B, "Variant", 'Raw Data'!$A:$A, $A36, 'Raw Data'!$C:$C, $C$3))</f>
        <v>0</v>
      </c>
      <c r="J36" s="105" t="str">
        <f t="shared" si="3"/>
        <v/>
      </c>
      <c r="K36" s="99" t="str">
        <f>IF($A36="","",IFERROR(SUMIFS('Raw Data'!$F:$F, 'Raw Data'!$B:$B, "Control", 'Raw Data'!$A:$A, $A36, 'Raw Data'!$C:$C, $C$3)/SUMIFS('Raw Data'!$D:$D, 'Raw Data'!$B:$B, "Control", 'Raw Data'!$A:$A, $A36, 'Raw Data'!$C:$C, $C$3),""))</f>
        <v/>
      </c>
      <c r="L36" s="99" t="str">
        <f>IF($A36="","",IFERROR(SUMIFS('Raw Data'!$F:$F, 'Raw Data'!$B:$B, "Variant", 'Raw Data'!$A:$A, $A36, 'Raw Data'!$C:$C, $C$3)/SUMIFS('Raw Data'!$D:$D, 'Raw Data'!$B:$B, "Variant", 'Raw Data'!$A:$A, $A36, 'Raw Data'!$C:$C, $C$3),""))</f>
        <v/>
      </c>
      <c r="M36" s="105" t="str">
        <f t="shared" si="4"/>
        <v/>
      </c>
      <c r="N36" s="96" t="str">
        <f>IF($A36="","",IFERROR(SUMPRODUCT(('Raw Data'!$B$2:$B$9999="Control")*('Raw Data'!$A$2:$A$9999=$A36)*('Raw Data'!$C$2:$C$9999=$C$3)*'Raw Data'!$D$2:$D$9999*'Raw Data'!$H$2:$H$9999/100)/SUMIFS('Raw Data'!$D:$D, 'Raw Data'!$B:$B, "Control", 'Raw Data'!$A:$A, $A36, 'Raw Data'!$C:$C, $C$3)*100,""))</f>
        <v/>
      </c>
      <c r="O36" s="96" t="str">
        <f>IF($A36="","",IFERROR(SUMPRODUCT(('Raw Data'!$B$2:$B$9999="Variant")*('Raw Data'!$A$2:$A$9999=$A36)*('Raw Data'!$C$2:$C$9999=$C$3)*'Raw Data'!$D$2:$D$9999*'Raw Data'!$H$2:$H$9999/100)/SUMIFS('Raw Data'!$D:$D, 'Raw Data'!$B:$B, "Variant", 'Raw Data'!$A:$A, $A36, 'Raw Data'!$C:$C, $C$3)*100,""))</f>
        <v/>
      </c>
      <c r="P36" s="105" t="str">
        <f t="shared" si="5"/>
        <v/>
      </c>
      <c r="Q36" s="99" t="str">
        <f>IF($A36="","",IFERROR(SUMIFS('Raw Data'!$F:$F, 'Raw Data'!$B:$B, "Control", 'Raw Data'!$A:$A, $A36, 'Raw Data'!$C:$C, $C$3)/SUMPRODUCT(('Raw Data'!$B$2:$B$9999="Control")*('Raw Data'!$A$2:$A$9999=$A36)*('Raw Data'!$C$2:$C$9999=$C$3)*'Raw Data'!$D$2:$D$9999*'Raw Data'!$H$2:$H$9999/100),""))</f>
        <v/>
      </c>
      <c r="R36" s="99" t="str">
        <f>IF($A36="","",IFERROR(SUMIFS('Raw Data'!$F:$F, 'Raw Data'!$B:$B, "Variant", 'Raw Data'!$A:$A, $A36, 'Raw Data'!$C:$C, $C$3)/SUMPRODUCT(('Raw Data'!$B$2:$B$9999="Variant")*('Raw Data'!$A$2:$A$9999=$A36)*('Raw Data'!$C$2:$C$9999=$C$3)*'Raw Data'!$D$2:$D$9999*'Raw Data'!$H$2:$H$9999/100),""))</f>
        <v/>
      </c>
      <c r="S36" s="105" t="str">
        <f t="shared" si="6"/>
        <v/>
      </c>
      <c r="T36" s="101" t="str">
        <f>IF($A36="","",IFERROR(SUMPRODUCT(('Raw Data'!$B$2:$B$9999="Control")*('Raw Data'!$A$2:$A$9999=$A36)*('Raw Data'!$C$2:$C$9999=$C$3)*'Raw Data'!$D$2:$D$9999*'Raw Data'!$J$2:$J$9999)/SUMIFS('Raw Data'!$D:$D, 'Raw Data'!$B:$B, "Control", 'Raw Data'!$A:$A, $A36, 'Raw Data'!$C:$C, $C$3),""))</f>
        <v/>
      </c>
      <c r="U36" s="101" t="str">
        <f>IF($A36="","",IFERROR(SUMPRODUCT(('Raw Data'!$B$2:$B$9999="Variant")*('Raw Data'!$A$2:$A$9999=$A36)*('Raw Data'!$C$2:$C$9999=$C$3)*'Raw Data'!$D$2:$D$9999*'Raw Data'!$J$2:$J$9999)/SUMIFS('Raw Data'!$D:$D, 'Raw Data'!$B:$B, "Variant", 'Raw Data'!$A:$A, $A36, 'Raw Data'!$C:$C, $C$3),""))</f>
        <v/>
      </c>
      <c r="V36" s="105" t="str">
        <f t="shared" si="7"/>
        <v/>
      </c>
      <c r="W36" s="101" t="str">
        <f>IF($A36="","",IFERROR(SUMPRODUCT(('Raw Data'!$B$2:$B$9999="Control")*('Raw Data'!$A$2:$A$9999=$A36)*('Raw Data'!$C$2:$C$9999=$C$3)*'Raw Data'!$D$2:$D$9999*'Raw Data'!$K$2:$K$9999)/SUMIFS('Raw Data'!$D:$D, 'Raw Data'!$B:$B, "Control", 'Raw Data'!$A:$A, $A36, 'Raw Data'!$C:$C, $C$3),""))</f>
        <v/>
      </c>
      <c r="X36" s="101" t="str">
        <f>IF($A36="","",IFERROR(SUMPRODUCT(('Raw Data'!$B$2:$B$9999="Variant")*('Raw Data'!$A$2:$A$9999=$A36)*('Raw Data'!$C$2:$C$9999=$C$3)*'Raw Data'!$D$2:$D$9999*'Raw Data'!$K$2:$K$9999)/SUMIFS('Raw Data'!$D:$D, 'Raw Data'!$B:$B, "Variant", 'Raw Data'!$A:$A, $A36, 'Raw Data'!$C:$C, $C$3),""))</f>
        <v/>
      </c>
      <c r="Y36" s="105" t="str">
        <f t="shared" si="8"/>
        <v/>
      </c>
      <c r="Z36" s="101" t="str">
        <f>IF($A36="","",IFERROR(SUMPRODUCT(('Raw Data'!$B$2:$B$9999="Control")*('Raw Data'!$A$2:$A$9999=$A36)*('Raw Data'!$C$2:$C$9999=$C$3)*'Raw Data'!$D$2:$D$9999*'Raw Data'!$L$2:$L$9999)/SUMIFS('Raw Data'!$D:$D, 'Raw Data'!$B:$B, "Control", 'Raw Data'!$A:$A, $A36, 'Raw Data'!$C:$C, $C$3),""))</f>
        <v/>
      </c>
      <c r="AA36" s="101" t="str">
        <f>IF($A36="","",IFERROR(SUMPRODUCT(('Raw Data'!$B$2:$B$9999="Variant")*('Raw Data'!$A$2:$A$9999=$A36)*('Raw Data'!$C$2:$C$9999=$C$3)*'Raw Data'!$D$2:$D$9999*'Raw Data'!$L$2:$L$9999)/SUMIFS('Raw Data'!$D:$D, 'Raw Data'!$B:$B, "Variant", 'Raw Data'!$A:$A, $A36, 'Raw Data'!$C:$C, $C$3),""))</f>
        <v/>
      </c>
      <c r="AB36" s="105" t="str">
        <f t="shared" si="9"/>
        <v/>
      </c>
      <c r="AC36" s="102" t="str">
        <f>IF($A36="","",IFERROR(SUMPRODUCT(('Raw Data'!$B$2:$B$9999="Control")*('Raw Data'!$A$2:$A$9999=$A36)*('Raw Data'!$C$2:$C$9999=$C$3)*'Raw Data'!$D$2:$D$9999*'Raw Data'!$M$2:$M$9999)/SUMIFS('Raw Data'!$D:$D, 'Raw Data'!$B:$B, "Control", 'Raw Data'!$A:$A, $A36, 'Raw Data'!$C:$C, $C$3),""))</f>
        <v/>
      </c>
      <c r="AD36" s="102" t="str">
        <f>IF($A36="","",IFERROR(SUMPRODUCT(('Raw Data'!$B$2:$B$9999="Variant")*('Raw Data'!$A$2:$A$9999=$A36)*('Raw Data'!$C$2:$C$9999=$C$3)*'Raw Data'!$D$2:$D$9999*'Raw Data'!$M$2:$M$9999)/SUMIFS('Raw Data'!$D:$D, 'Raw Data'!$B:$B, "Variant", 'Raw Data'!$A:$A, $A36, 'Raw Data'!$C:$C, $C$3),""))</f>
        <v/>
      </c>
      <c r="AE36" s="106" t="str">
        <f t="shared" si="10"/>
        <v/>
      </c>
      <c r="AF36" s="102" t="str">
        <f>IF($A36="","",IFERROR(SUMPRODUCT(('Raw Data'!$B$2:$B$9999="Control")*('Raw Data'!$A$2:$A$9999=$A36)*('Raw Data'!$C$2:$C$9999=$C$3)*'Raw Data'!$D$2:$D$9999*'Raw Data'!$N$2:$N$9999)/SUMIFS('Raw Data'!$D:$D, 'Raw Data'!$B:$B, "Control", 'Raw Data'!$A:$A, $A36, 'Raw Data'!$C:$C, $C$3),""))</f>
        <v/>
      </c>
      <c r="AG36" s="102" t="str">
        <f>IF($A36="","",IFERROR(SUMPRODUCT(('Raw Data'!$B$2:$B$9999="Variant")*('Raw Data'!$A$2:$A$9999=$A36)*('Raw Data'!$C$2:$C$9999=$C$3)*'Raw Data'!$D$2:$D$9999*'Raw Data'!$N$2:$N$9999)/SUMIFS('Raw Data'!$D:$D, 'Raw Data'!$B:$B, "Variant", 'Raw Data'!$A:$A, $A36, 'Raw Data'!$C:$C, $C$3),""))</f>
        <v/>
      </c>
      <c r="AH36" s="106" t="str">
        <f t="shared" si="11"/>
        <v/>
      </c>
      <c r="AI36" s="102" t="str">
        <f>IF($A36="","",IFERROR(SUMPRODUCT(('Raw Data'!$B$2:$B$9999="Control")*('Raw Data'!$A$2:$A$9999=$A36)*('Raw Data'!$C$2:$C$9999=$C$3)*'Raw Data'!$D$2:$D$9999*'Raw Data'!$O$2:$O$9999)/SUMIFS('Raw Data'!$D:$D, 'Raw Data'!$B:$B, "Control", 'Raw Data'!$A:$A, $A36, 'Raw Data'!$C:$C, $C$3),""))</f>
        <v/>
      </c>
      <c r="AJ36" s="102" t="str">
        <f>IF($A36="","",IFERROR(SUMPRODUCT(('Raw Data'!$B$2:$B$9999="Variant")*('Raw Data'!$A$2:$A$9999=$A36)*('Raw Data'!$C$2:$C$9999=$C$3)*'Raw Data'!$D$2:$D$9999*'Raw Data'!$O$2:$O$9999)/SUMIFS('Raw Data'!$D:$D, 'Raw Data'!$B:$B, "Variant", 'Raw Data'!$A:$A, $A36, 'Raw Data'!$C:$C, $C$3),""))</f>
        <v/>
      </c>
      <c r="AK36" s="105" t="str">
        <f t="shared" si="12"/>
        <v/>
      </c>
      <c r="AL36" s="101" t="str">
        <f>IF($A36="","",IFERROR(SUMPRODUCT(('Raw Data'!$B$2:$B$9999="Control")*('Raw Data'!$A$2:$A$9999=$A36)*('Raw Data'!$C$2:$C$9999=$C$3)*'Raw Data'!$D$2:$D$9999*'Raw Data'!$P$2:$P$9999)/SUMIFS('Raw Data'!$D:$D, 'Raw Data'!$B:$B, "Control", 'Raw Data'!$A:$A, $A36, 'Raw Data'!$C:$C, $C$3),""))</f>
        <v/>
      </c>
      <c r="AM36" s="101" t="str">
        <f>IF($A36="","",IFERROR(SUMPRODUCT(('Raw Data'!$B$2:$B$9999="Variant")*('Raw Data'!$A$2:$A$9999=$A36)*('Raw Data'!$C$2:$C$9999=$C$3)*'Raw Data'!$D$2:$D$9999*'Raw Data'!$P$2:$P$9999)/SUMIFS('Raw Data'!$D:$D, 'Raw Data'!$B:$B, "Variant", 'Raw Data'!$A:$A, $A36, 'Raw Data'!$C:$C, $C$3),""))</f>
        <v/>
      </c>
      <c r="AN36" s="105" t="str">
        <f t="shared" si="13"/>
        <v/>
      </c>
      <c r="AO36" s="101" t="str">
        <f>IF($A36="","",IFERROR(SUMPRODUCT(('Raw Data'!$B$2:$B$9999="Control")*('Raw Data'!$A$2:$A$9999=$A36)*('Raw Data'!$C$2:$C$9999=$C$3)*'Raw Data'!$D$2:$D$9999*'Raw Data'!$Q$2:$Q$9999)/SUMIFS('Raw Data'!$D:$D, 'Raw Data'!$B:$B, "Control", 'Raw Data'!$A:$A, $A36, 'Raw Data'!$C:$C, $C$3),""))</f>
        <v/>
      </c>
      <c r="AP36" s="101" t="str">
        <f>IF($A36="","",IFERROR(SUMPRODUCT(('Raw Data'!$B$2:$B$9999="Variant")*('Raw Data'!$A$2:$A$9999=$A36)*('Raw Data'!$C$2:$C$9999=$C$3)*'Raw Data'!$D$2:$D$9999*'Raw Data'!$Q$2:$Q$9999)/SUMIFS('Raw Data'!$D:$D, 'Raw Data'!$B:$B, "Variant", 'Raw Data'!$A:$A, $A36, 'Raw Data'!$C:$C, $C$3),""))</f>
        <v/>
      </c>
      <c r="AQ36" s="95" t="str">
        <f t="shared" si="14"/>
        <v/>
      </c>
      <c r="AR36" s="101" t="str">
        <f>IF($A36="","",IFERROR(SUMPRODUCT(('Raw Data'!$B$2:$B$9999="Control")*('Raw Data'!$A$2:$A$9999=$A36)*('Raw Data'!$C$2:$C$9999=$C$3)*'Raw Data'!$D$2:$D$9999*'Raw Data'!$R$2:$R$9999)/SUMIFS('Raw Data'!$D:$D, 'Raw Data'!$B:$B, "Control", 'Raw Data'!$A:$A, $A36, 'Raw Data'!$C:$C, $C$3),""))</f>
        <v/>
      </c>
      <c r="AS36" s="101" t="str">
        <f>IF($A36="","",IFERROR(SUMPRODUCT(('Raw Data'!$B$2:$B$9999="Variant")*('Raw Data'!$A$2:$A$9999=$A36)*('Raw Data'!$C$2:$C$9999=$C$3)*'Raw Data'!$D$2:$D$9999*'Raw Data'!$R$2:$R$9999)/SUMIFS('Raw Data'!$D:$D, 'Raw Data'!$B:$B, "Variant", 'Raw Data'!$A:$A, $A36, 'Raw Data'!$C:$C, $C$3),""))</f>
        <v/>
      </c>
      <c r="AT36" s="95" t="str">
        <f t="shared" si="15"/>
        <v/>
      </c>
      <c r="AU36" s="101" t="str">
        <f>IF($A36="","",IFERROR(SUMPRODUCT(('Raw Data'!$B$2:$B$9999="Control")*('Raw Data'!$A$2:$A$9999=$A36)*('Raw Data'!$C$2:$C$9999=$C$3)*'Raw Data'!$D$2:$D$9999*'Raw Data'!$S$2:$S$9999)/SUMIFS('Raw Data'!$D:$D, 'Raw Data'!$B:$B, "Control", 'Raw Data'!$A:$A, $A36, 'Raw Data'!$C:$C, $C$3),""))</f>
        <v/>
      </c>
      <c r="AV36" s="101" t="str">
        <f>IF($A36="","",IFERROR(SUMPRODUCT(('Raw Data'!$B$2:$B$9999="Variant")*('Raw Data'!$A$2:$A$9999=$A36)*('Raw Data'!$C$2:$C$9999=$C$3)*'Raw Data'!$D$2:$D$9999*'Raw Data'!$S$2:$S$9999)/SUMIFS('Raw Data'!$D:$D, 'Raw Data'!$B:$B, "Variant", 'Raw Data'!$A:$A, $A36, 'Raw Data'!$C:$C, $C$3),""))</f>
        <v/>
      </c>
      <c r="AW36" s="95" t="str">
        <f t="shared" si="16"/>
        <v/>
      </c>
      <c r="AX36" s="101" t="str">
        <f>IF($A36="","",IFERROR(SUMPRODUCT(('Raw Data'!$B$2:$B$9999="Control")*('Raw Data'!$A$2:$A$9999=$A36)*('Raw Data'!$C$2:$C$9999=$C$3)*'Raw Data'!$D$2:$D$9999*'Raw Data'!$T$2:$T$9999)/SUMIFS('Raw Data'!$D:$D, 'Raw Data'!$B:$B, "Control", 'Raw Data'!$A:$A, $A36, 'Raw Data'!$C:$C, $C$3),""))</f>
        <v/>
      </c>
      <c r="AY36" s="101" t="str">
        <f>IF($A36="","",IFERROR(SUMPRODUCT(('Raw Data'!$B$2:$B$9999="Variant")*('Raw Data'!$A$2:$A$9999=$A36)*('Raw Data'!$C$2:$C$9999=$C$3)*'Raw Data'!$D$2:$D$9999*'Raw Data'!$T$2:$T$9999)/SUMIFS('Raw Data'!$D:$D, 'Raw Data'!$B:$B, "Variant", 'Raw Data'!$A:$A, $A36, 'Raw Data'!$C:$C, $C$3),""))</f>
        <v/>
      </c>
      <c r="AZ36" s="105" t="str">
        <f t="shared" si="17"/>
        <v/>
      </c>
      <c r="BA36" s="101" t="str">
        <f>IF($A36="","",IFERROR(SUMPRODUCT(('Raw Data'!$B$2:$B$9999="Control")*('Raw Data'!$A$2:$A$9999=$A36)*('Raw Data'!$C$2:$C$9999=$C$3)*'Raw Data'!$D$2:$D$9999*'Raw Data'!$U$2:$U$9999)/SUMIFS('Raw Data'!$D:$D, 'Raw Data'!$B:$B, "Control", 'Raw Data'!$A:$A, $A36, 'Raw Data'!$C:$C, $C$3),""))</f>
        <v/>
      </c>
      <c r="BB36" s="101" t="str">
        <f>IF($A36="","",IFERROR(SUMPRODUCT(('Raw Data'!$B$2:$B$9999="Variant")*('Raw Data'!$A$2:$A$9999=$A36)*('Raw Data'!$C$2:$C$9999=$C$3)*'Raw Data'!$D$2:$D$9999*'Raw Data'!$U$2:$U$9999)/SUMIFS('Raw Data'!$D:$D, 'Raw Data'!$B:$B, "Variant", 'Raw Data'!$A:$A, $A36, 'Raw Data'!$C:$C, $C$3),""))</f>
        <v/>
      </c>
      <c r="BC36" s="95" t="str">
        <f t="shared" si="18"/>
        <v/>
      </c>
      <c r="BD36" s="101" t="str">
        <f>IF($A36="","",IFERROR(SUMPRODUCT(('Raw Data'!$B$2:$B$9999="Control")*('Raw Data'!$A$2:$A$9999=$A36)*('Raw Data'!$C$2:$C$9999=$C$3)*'Raw Data'!$D$2:$D$9999*'Raw Data'!$V$2:$V$9999)/SUMIFS('Raw Data'!$D:$D, 'Raw Data'!$B:$B, "Control", 'Raw Data'!$A:$A, $A36, 'Raw Data'!$C:$C, $C$3),""))</f>
        <v/>
      </c>
      <c r="BE36" s="101" t="str">
        <f>IF($A36="","",IFERROR(SUMPRODUCT(('Raw Data'!$B$2:$B$9999="Variant")*('Raw Data'!$A$2:$A$9999=$A36)*('Raw Data'!$C$2:$C$9999=$C$3)*'Raw Data'!$D$2:$D$9999*'Raw Data'!$V$2:$V$9999)/SUMIFS('Raw Data'!$D:$D, 'Raw Data'!$B:$B, "Variant", 'Raw Data'!$A:$A, $A36, 'Raw Data'!$C:$C, $C$3),""))</f>
        <v/>
      </c>
      <c r="BF36" s="95" t="str">
        <f t="shared" si="19"/>
        <v/>
      </c>
      <c r="BG36" s="101" t="str">
        <f>IF($A36="","",IFERROR(SUMPRODUCT(('Raw Data'!$B$2:$B$9999="Control")*('Raw Data'!$A$2:$A$9999=$A36)*('Raw Data'!$C$2:$C$9999=$C$3)*'Raw Data'!$D$2:$D$9999*('Raw Data'!$Q$2:$Q$9999-'Raw Data'!$V$2:$V$9999))/SUMIFS('Raw Data'!$D:$D, 'Raw Data'!$B:$B, "Control", 'Raw Data'!$A:$A, $A36, 'Raw Data'!$C:$C, $C$3),""))</f>
        <v/>
      </c>
      <c r="BH36" s="101" t="str">
        <f>IF($A36="","",IFERROR(SUMPRODUCT(('Raw Data'!$B$2:$B$9999="Variant")*('Raw Data'!$A$2:$A$9999=$A36)*('Raw Data'!$C$2:$C$9999=$C$3)*'Raw Data'!$D$2:$D$9999*('Raw Data'!$Q$2:$Q$9999-'Raw Data'!$V$2:$V$9999))/SUMIFS('Raw Data'!$D:$D, 'Raw Data'!$B:$B, "Variant", 'Raw Data'!$A:$A, $A36, 'Raw Data'!$C:$C, $C$3),""))</f>
        <v/>
      </c>
      <c r="BI36" s="95" t="str">
        <f t="shared" si="20"/>
        <v/>
      </c>
      <c r="BJ36" s="101" t="str">
        <f>IF($A36="","",IFERROR(SUMPRODUCT(('Raw Data'!$B$2:$B$9999="Control")*('Raw Data'!$A$2:$A$9999=$A36)*('Raw Data'!$C$2:$C$9999=$C$3)*'Raw Data'!$D$2:$D$9999*'Raw Data'!$W$2:$W$9999)/SUMIFS('Raw Data'!$D:$D, 'Raw Data'!$B:$B, "Control", 'Raw Data'!$A:$A, $A36, 'Raw Data'!$C:$C, $C$3),""))</f>
        <v/>
      </c>
      <c r="BK36" s="101" t="str">
        <f>IF($A36="","",IFERROR(SUMPRODUCT(('Raw Data'!$B$2:$B$9999="Variant")*('Raw Data'!$A$2:$A$9999=$A36)*('Raw Data'!$C$2:$C$9999=$C$3)*'Raw Data'!$D$2:$D$9999*'Raw Data'!$W$2:$W$9999)/SUMIFS('Raw Data'!$D:$D, 'Raw Data'!$B:$B, "Variant", 'Raw Data'!$A:$A, $A36, 'Raw Data'!$C:$C, $C$3),""))</f>
        <v/>
      </c>
      <c r="BL36" s="95" t="str">
        <f t="shared" si="21"/>
        <v/>
      </c>
      <c r="BM36" s="102" t="str">
        <f>IF($A36="","",IFERROR(SUMPRODUCT(('Raw Data'!$B$2:$B$9999="Control")*('Raw Data'!$A$2:$A$9999=$A36)*('Raw Data'!$C$2:$C$9999=$C$3)*'Raw Data'!$D$2:$D$9999*'Raw Data'!$X$2:$X$9999)/SUMIFS('Raw Data'!$D:$D, 'Raw Data'!$B:$B, "Control", 'Raw Data'!$A:$A, $A36, 'Raw Data'!$C:$C, $C$3),""))</f>
        <v/>
      </c>
      <c r="BN36" s="102" t="str">
        <f>IF($A36="","",IFERROR(SUMPRODUCT(('Raw Data'!$B$2:$B$9999="Variant")*('Raw Data'!$A$2:$A$9999=$A36)*('Raw Data'!$C$2:$C$9999=$C$3)*'Raw Data'!$D$2:$D$9999*'Raw Data'!$X$2:$X$9999)/SUMIFS('Raw Data'!$D:$D, 'Raw Data'!$B:$B, "Variant", 'Raw Data'!$A:$A, $A36, 'Raw Data'!$C:$C, $C$3),""))</f>
        <v/>
      </c>
      <c r="BO36" s="105" t="str">
        <f t="shared" si="22"/>
        <v/>
      </c>
      <c r="BP36" s="94" t="str">
        <f>IF($A36="","",IFERROR(SUMPRODUCT(('Raw Data'!$B$2:$B$9999="Control")*('Raw Data'!$A$2:$A$9999=$A36)*('Raw Data'!$C$2:$C$9999=$C$3)*'Raw Data'!$D$2:$D$9999*'Raw Data'!$Y$2:$Y$9999)/SUMIFS('Raw Data'!$D:$D, 'Raw Data'!$B:$B, "Control", 'Raw Data'!$A:$A, $A36, 'Raw Data'!$C:$C, $C$3),""))</f>
        <v/>
      </c>
      <c r="BQ36" s="94" t="str">
        <f>IF($A36="","",IFERROR(SUMPRODUCT(('Raw Data'!$B$2:$B$9999="Variant")*('Raw Data'!$A$2:$A$9999=$A36)*('Raw Data'!$C$2:$C$9999=$C$3)*'Raw Data'!$D$2:$D$9999*'Raw Data'!$Y$2:$Y$9999)/SUMIFS('Raw Data'!$D:$D, 'Raw Data'!$B:$B, "Variant", 'Raw Data'!$A:$A, $A36, 'Raw Data'!$C:$C, $C$3),""))</f>
        <v/>
      </c>
      <c r="BR36" s="95" t="str">
        <f t="shared" si="23"/>
        <v/>
      </c>
      <c r="BS36" s="94" t="str">
        <f>IF($A36="","",IFERROR(SUMPRODUCT(('Raw Data'!$B$2:$B$9999="Control")*('Raw Data'!$A$2:$A$9999=$A36)*('Raw Data'!$C$2:$C$9999=$C$3)*'Raw Data'!$D$2:$D$9999*'Raw Data'!$Z$2:$Z$9999)/SUMIFS('Raw Data'!$D:$D, 'Raw Data'!$B:$B, "Control", 'Raw Data'!$A:$A, $A36, 'Raw Data'!$C:$C, $C$3),""))</f>
        <v/>
      </c>
      <c r="BT36" s="94" t="str">
        <f>IF($A36="","",IFERROR(SUMPRODUCT(('Raw Data'!$B$2:$B$9999="Variant")*('Raw Data'!$A$2:$A$9999=$A36)*('Raw Data'!$C$2:$C$9999=$C$3)*'Raw Data'!$D$2:$D$9999*'Raw Data'!$Z$2:$Z$9999)/SUMIFS('Raw Data'!$D:$D, 'Raw Data'!$B:$B, "Variant", 'Raw Data'!$A:$A, $A36, 'Raw Data'!$C:$C, $C$3),""))</f>
        <v/>
      </c>
      <c r="BU36" s="95" t="str">
        <f t="shared" si="24"/>
        <v/>
      </c>
      <c r="BV36" s="94" t="str">
        <f>IF($A36="","",IFERROR(SUMPRODUCT(('Raw Data'!$B$2:$B$9999="Control")*('Raw Data'!$A$2:$A$9999=$A36)*('Raw Data'!$C$2:$C$9999=$C$3)*'Raw Data'!$D$2:$D$9999*'Raw Data'!$AA$2:$AA$9999)/SUMIFS('Raw Data'!$D:$D, 'Raw Data'!$B:$B, "Control", 'Raw Data'!$A:$A, $A36, 'Raw Data'!$C:$C, $C$3),""))</f>
        <v/>
      </c>
      <c r="BW36" s="94" t="str">
        <f>IF($A36="","",IFERROR(SUMPRODUCT(('Raw Data'!$B$2:$B$9999="Variant")*('Raw Data'!$A$2:$A$9999=$A36)*('Raw Data'!$C$2:$C$9999=$C$3)*'Raw Data'!$D$2:$D$9999*'Raw Data'!$AA$2:$AA$9999)/SUMIFS('Raw Data'!$D:$D, 'Raw Data'!$B:$B, "Variant", 'Raw Data'!$A:$A, $A36, 'Raw Data'!$C:$C, $C$3),""))</f>
        <v/>
      </c>
      <c r="BX36" s="95" t="str">
        <f t="shared" si="25"/>
        <v/>
      </c>
      <c r="BY36" s="101" t="str">
        <f>IF($A36="","",IFERROR(SUMPRODUCT(('Raw Data'!$B$2:$B$9999="Control")*('Raw Data'!$A$2:$A$9999=$A36)*('Raw Data'!$C$2:$C$9999=$C$3)*'Raw Data'!$D$2:$D$9999*'Raw Data'!$AB$2:$AB$9999)/SUMIFS('Raw Data'!$D:$D, 'Raw Data'!$B:$B, "Control", 'Raw Data'!$A:$A, $A36, 'Raw Data'!$C:$C, $C$3),""))</f>
        <v/>
      </c>
      <c r="BZ36" s="101" t="str">
        <f>IF($A36="","",IFERROR(SUMPRODUCT(('Raw Data'!$B$2:$B$9999="Variant")*('Raw Data'!$A$2:$A$9999=$A36)*('Raw Data'!$C$2:$C$9999=$C$3)*'Raw Data'!$D$2:$D$9999*'Raw Data'!$AB$2:$AB$9999)/SUMIFS('Raw Data'!$D:$D, 'Raw Data'!$B:$B, "Variant", 'Raw Data'!$A:$A, $A36, 'Raw Data'!$C:$C, $C$3),""))</f>
        <v/>
      </c>
      <c r="CA36" s="105" t="str">
        <f t="shared" si="26"/>
        <v/>
      </c>
      <c r="CB36" s="101" t="str">
        <f>IF($A36="","",IFERROR(SUMPRODUCT(('Raw Data'!$B$2:$B$9999="Control")*('Raw Data'!$A$2:$A$9999=$A36)*('Raw Data'!$C$2:$C$9999=$C$3)*'Raw Data'!$D$2:$D$9999*'Raw Data'!$AC$2:$AC$9999)/SUMIFS('Raw Data'!$D:$D, 'Raw Data'!$B:$B, "Control", 'Raw Data'!$A:$A, $A36, 'Raw Data'!$C:$C, $C$3),""))</f>
        <v/>
      </c>
      <c r="CC36" s="101" t="str">
        <f>IF($A36="","",IFERROR(SUMPRODUCT(('Raw Data'!$B$2:$B$9999="Variant")*('Raw Data'!$A$2:$A$9999=$A36)*('Raw Data'!$C$2:$C$9999=$C$3)*'Raw Data'!$D$2:$D$9999*'Raw Data'!$AC$2:$AC$9999)/SUMIFS('Raw Data'!$D:$D, 'Raw Data'!$B:$B, "Variant", 'Raw Data'!$A:$A, $A36, 'Raw Data'!$C:$C, $C$3),""))</f>
        <v/>
      </c>
      <c r="CD36" s="105" t="str">
        <f t="shared" si="27"/>
        <v/>
      </c>
      <c r="CE36" s="101" t="str">
        <f>IF($A36="","",IFERROR(SUMPRODUCT(('Raw Data'!$B$2:$B$9999="Control")*('Raw Data'!$A$2:$A$9999=$A36)*('Raw Data'!$C$2:$C$9999=$C$3)*'Raw Data'!$D$2:$D$9999*'Raw Data'!$AD$2:$AD$9999)/SUMIFS('Raw Data'!$D:$D, 'Raw Data'!$B:$B, "Control", 'Raw Data'!$A:$A, $A36, 'Raw Data'!$C:$C, $C$3),""))</f>
        <v/>
      </c>
      <c r="CF36" s="101" t="str">
        <f>IF($A36="","",IFERROR(SUMPRODUCT(('Raw Data'!$B$2:$B$9999="Variant")*('Raw Data'!$A$2:$A$9999=$A36)*('Raw Data'!$C$2:$C$9999=$C$3)*'Raw Data'!$D$2:$D$9999*'Raw Data'!$AD$2:$AD$9999)/SUMIFS('Raw Data'!$D:$D, 'Raw Data'!$B:$B, "Variant", 'Raw Data'!$A:$A, $A36, 'Raw Data'!$C:$C, $C$3),""))</f>
        <v/>
      </c>
      <c r="CG36" s="105" t="str">
        <f t="shared" si="28"/>
        <v/>
      </c>
      <c r="CH36" s="101" t="str">
        <f>IF($A36="","",IFERROR(SUMPRODUCT(('Raw Data'!$B$2:$B$9999="Control")*('Raw Data'!$A$2:$A$9999=$A36)*('Raw Data'!$C$2:$C$9999=$C$3)*'Raw Data'!$D$2:$D$9999*'Raw Data'!$AE$2:$AE$9999)/SUMIFS('Raw Data'!$D:$D, 'Raw Data'!$B:$B, "Control", 'Raw Data'!$A:$A, $A36, 'Raw Data'!$C:$C, $C$3),""))</f>
        <v/>
      </c>
      <c r="CI36" s="101" t="str">
        <f>IF($A36="","",IFERROR(SUMPRODUCT(('Raw Data'!$B$2:$B$9999="Variant")*('Raw Data'!$A$2:$A$9999=$A36)*('Raw Data'!$C$2:$C$9999=$C$3)*'Raw Data'!$D$2:$D$9999*'Raw Data'!$AE$2:$AE$9999)/SUMIFS('Raw Data'!$D:$D, 'Raw Data'!$B:$B, "Variant", 'Raw Data'!$A:$A, $A36, 'Raw Data'!$C:$C, $C$3),""))</f>
        <v/>
      </c>
      <c r="CJ36" s="105" t="str">
        <f t="shared" si="29"/>
        <v/>
      </c>
      <c r="CK36" s="101" t="str">
        <f>IF($A36="","",IFERROR(SUMPRODUCT(('Raw Data'!$B$2:$B$9999="Control")*('Raw Data'!$A$2:$A$9999=$A36)*('Raw Data'!$C$2:$C$9999=$C$3)*'Raw Data'!$D$2:$D$9999*'Raw Data'!$AF$2:$AF$9999)/SUMIFS('Raw Data'!$D:$D, 'Raw Data'!$B:$B, "Control", 'Raw Data'!$A:$A, $A36, 'Raw Data'!$C:$C, $C$3),""))</f>
        <v/>
      </c>
      <c r="CL36" s="101" t="str">
        <f>IF($A36="","",IFERROR(SUMPRODUCT(('Raw Data'!$B$2:$B$9999="Variant")*('Raw Data'!$A$2:$A$9999=$A36)*('Raw Data'!$C$2:$C$9999=$C$3)*'Raw Data'!$D$2:$D$9999*'Raw Data'!$AF$2:$AF$9999)/SUMIFS('Raw Data'!$D:$D, 'Raw Data'!$B:$B, "Variant", 'Raw Data'!$A:$A, $A36, 'Raw Data'!$C:$C, $C$3),""))</f>
        <v/>
      </c>
      <c r="CM36" s="105" t="str">
        <f t="shared" si="30"/>
        <v/>
      </c>
      <c r="CN36" s="101" t="str">
        <f>IF($A36="","",IFERROR(SUMPRODUCT(('Raw Data'!$B$2:$B$9999="Control")*('Raw Data'!$A$2:$A$9999=$A36)*('Raw Data'!$C$2:$C$9999=$C$3)*'Raw Data'!$D$2:$D$9999*'Raw Data'!$AG$2:$AG$9999)/SUMIFS('Raw Data'!$D:$D, 'Raw Data'!$B:$B, "Control", 'Raw Data'!$A:$A, $A36, 'Raw Data'!$C:$C, $C$3),""))</f>
        <v/>
      </c>
      <c r="CO36" s="101" t="str">
        <f>IF($A36="","",IFERROR(SUMPRODUCT(('Raw Data'!$B$2:$B$9999="Variant")*('Raw Data'!$A$2:$A$9999=$A36)*('Raw Data'!$C$2:$C$9999=$C$3)*'Raw Data'!$D$2:$D$9999*'Raw Data'!$AG$2:$AG$9999)/SUMIFS('Raw Data'!$D:$D, 'Raw Data'!$B:$B, "Variant", 'Raw Data'!$A:$A, $A36, 'Raw Data'!$C:$C, $C$3),""))</f>
        <v/>
      </c>
      <c r="CP36" s="105" t="str">
        <f t="shared" si="31"/>
        <v/>
      </c>
      <c r="CQ36" s="101" t="str">
        <f>IF($A36="","",IFERROR(SUMPRODUCT(('Raw Data'!$B$2:$B$9999="Control")*('Raw Data'!$A$2:$A$9999=$A36)*('Raw Data'!$C$2:$C$9999=$C$3)*'Raw Data'!$D$2:$D$9999*'Raw Data'!$AH$2:$AH$9999)/SUMIFS('Raw Data'!$D:$D, 'Raw Data'!$B:$B, "Control", 'Raw Data'!$A:$A, $A36, 'Raw Data'!$C:$C, $C$3),""))</f>
        <v/>
      </c>
      <c r="CR36" s="101" t="str">
        <f>IF($A36="","",IFERROR(SUMPRODUCT(('Raw Data'!$B$2:$B$9999="Variant")*('Raw Data'!$A$2:$A$9999=$A36)*('Raw Data'!$C$2:$C$9999=$C$3)*'Raw Data'!$D$2:$D$9999*'Raw Data'!$AH$2:$AH$9999)/SUMIFS('Raw Data'!$D:$D, 'Raw Data'!$B:$B, "Variant", 'Raw Data'!$A:$A, $A36, 'Raw Data'!$C:$C, $C$3),""))</f>
        <v/>
      </c>
      <c r="CS36" s="105" t="str">
        <f t="shared" si="32"/>
        <v/>
      </c>
      <c r="CT36" s="96" t="str">
        <f>IF($A36="","",IFERROR(SUMPRODUCT(('Raw Data'!$B$2:$B$9999="Control")*('Raw Data'!$A$2:$A$9999=$A36)*('Raw Data'!$C$2:$C$9999=$C$3)*'Raw Data'!$D$2:$D$9999*'Raw Data'!$AI$2:$AI$9999)/SUMIFS('Raw Data'!$D:$D, 'Raw Data'!$B:$B, "Control", 'Raw Data'!$A:$A, $A36, 'Raw Data'!$C:$C, $C$3),""))</f>
        <v/>
      </c>
      <c r="CU36" s="96" t="str">
        <f>IF($A36="","",IFERROR(SUMPRODUCT(('Raw Data'!$B$2:$B$9999="Variant")*('Raw Data'!$A$2:$A$9999=$A36)*('Raw Data'!$C$2:$C$9999=$C$3)*'Raw Data'!$D$2:$D$9999*'Raw Data'!$AI$2:$AI$9999)/SUMIFS('Raw Data'!$D:$D, 'Raw Data'!$B:$B, "Variant", 'Raw Data'!$A:$A, $A36, 'Raw Data'!$C:$C, $C$3),""))</f>
        <v/>
      </c>
      <c r="CV36" s="106" t="str">
        <f t="shared" si="33"/>
        <v/>
      </c>
      <c r="CW36" s="96" t="str">
        <f>IF($A36="","",IFERROR(SUMPRODUCT(('Raw Data'!$B$2:$B$9999="Control")*('Raw Data'!$A$2:$A$9999=$A36)*('Raw Data'!$C$2:$C$9999=$C$3)*'Raw Data'!$D$2:$D$9999*'Raw Data'!$AJ$2:$AJ$9999)/SUMIFS('Raw Data'!$D:$D, 'Raw Data'!$B:$B, "Control", 'Raw Data'!$A:$A, $A36, 'Raw Data'!$C:$C, $C$3),""))</f>
        <v/>
      </c>
      <c r="CX36" s="96" t="str">
        <f>IF($A36="","",IFERROR(SUMPRODUCT(('Raw Data'!$B$2:$B$9999="Variant")*('Raw Data'!$A$2:$A$9999=$A36)*('Raw Data'!$C$2:$C$9999=$C$3)*'Raw Data'!$D$2:$D$9999*'Raw Data'!$AJ$2:$AJ$9999)/SUMIFS('Raw Data'!$D:$D, 'Raw Data'!$B:$B, "Variant", 'Raw Data'!$A:$A, $A36, 'Raw Data'!$C:$C, $C$3),""))</f>
        <v/>
      </c>
      <c r="CY36" s="106" t="str">
        <f t="shared" si="34"/>
        <v/>
      </c>
      <c r="CZ36" s="96" t="str">
        <f>IF($A36="","",IFERROR(SUMPRODUCT(('Raw Data'!$B$2:$B$9999="Control")*('Raw Data'!$A$2:$A$9999=$A36)*('Raw Data'!$C$2:$C$9999=$C$3)*'Raw Data'!$D$2:$D$9999*'Raw Data'!$AK$2:$AK$9999)/SUMIFS('Raw Data'!$D:$D, 'Raw Data'!$B:$B, "Control", 'Raw Data'!$A:$A, $A36, 'Raw Data'!$C:$C, $C$3),""))</f>
        <v/>
      </c>
      <c r="DA36" s="96" t="str">
        <f>IF($A36="","",IFERROR(SUMPRODUCT(('Raw Data'!$B$2:$B$9999="Variant")*('Raw Data'!$A$2:$A$9999=$A36)*('Raw Data'!$C$2:$C$9999=$C$3)*'Raw Data'!$D$2:$D$9999*'Raw Data'!$AK$2:$AK$9999)/SUMIFS('Raw Data'!$D:$D, 'Raw Data'!$B:$B, "Variant", 'Raw Data'!$A:$A, $A36, 'Raw Data'!$C:$C, $C$3),""))</f>
        <v/>
      </c>
      <c r="DB36" s="105" t="str">
        <f t="shared" si="35"/>
        <v/>
      </c>
      <c r="DC36" s="102" t="str">
        <f>IF($A36="","",IFERROR(SUMPRODUCT(('Raw Data'!$B$2:$B$9999="Control")*('Raw Data'!$A$2:$A$9999=$A36)*('Raw Data'!$C$2:$C$9999=$C$3)*'Raw Data'!$D$2:$D$9999*'Raw Data'!$AL$2:$AL$9999)/SUMIFS('Raw Data'!$D:$D, 'Raw Data'!$B:$B, "Control", 'Raw Data'!$A:$A, $A36, 'Raw Data'!$C:$C, $C$3),""))</f>
        <v/>
      </c>
      <c r="DD36" s="102" t="str">
        <f>IF($A36="","",IFERROR(SUMPRODUCT(('Raw Data'!$B$2:$B$9999="Variant")*('Raw Data'!$A$2:$A$9999=$A36)*('Raw Data'!$C$2:$C$9999=$C$3)*'Raw Data'!$D$2:$D$9999*'Raw Data'!$AL$2:$AL$9999)/SUMIFS('Raw Data'!$D:$D, 'Raw Data'!$B:$B, "Variant", 'Raw Data'!$A:$A, $A36, 'Raw Data'!$C:$C, $C$3),""))</f>
        <v/>
      </c>
      <c r="DE36" s="106" t="str">
        <f t="shared" si="36"/>
        <v/>
      </c>
      <c r="DF36" s="103"/>
      <c r="DG36" s="96" t="str">
        <f>IF($A36="","",IFERROR(SUMPRODUCT(('Raw Data'!$B$2:$B$9999="Variant")*('Raw Data'!$A$2:$A$9999=$A36)*('Raw Data'!$C$2:$C$9999=$C$3)*'Raw Data'!$D$2:$D$9999*'Raw Data'!$AM$2:$AM$9999)/SUMIFS('Raw Data'!$D:$D, 'Raw Data'!$B:$B, "Variant", 'Raw Data'!$A:$A, $A36, 'Raw Data'!$C:$C, $C$3),""))</f>
        <v/>
      </c>
      <c r="DH36" s="104"/>
      <c r="DI36" s="103"/>
      <c r="DJ36" s="96" t="str">
        <f>IF($A36="","",IFERROR(SUMPRODUCT(('Raw Data'!$B$2:$B$9999="Variant")*('Raw Data'!$A$2:$A$9999=$A36)*('Raw Data'!$C$2:$C$9999=$C$3)*'Raw Data'!$D$2:$D$9999*'Raw Data'!$AN$2:$AN$9999)/SUMIFS('Raw Data'!$D:$D, 'Raw Data'!$B:$B, "Variant", 'Raw Data'!$A:$A, $A36, 'Raw Data'!$C:$C, $C$3),""))</f>
        <v/>
      </c>
      <c r="DK36" s="104"/>
      <c r="DL36" s="103"/>
      <c r="DM36" s="96" t="str">
        <f>IF($A36="","",IFERROR(SUMPRODUCT(('Raw Data'!$B$2:$B$9999="Variant")*('Raw Data'!$A$2:$A$9999=$A36)*('Raw Data'!$C$2:$C$9999=$C$3)*'Raw Data'!$D$2:$D$9999*'Raw Data'!$AO$2:$AO$9999)/SUMIFS('Raw Data'!$D:$D, 'Raw Data'!$B:$B, "Variant", 'Raw Data'!$A:$A, $A36, 'Raw Data'!$C:$C, $C$3),""))</f>
        <v/>
      </c>
      <c r="DN36" s="104"/>
      <c r="DO36" s="103"/>
      <c r="DP36" s="96" t="str">
        <f>IF($A36="","",IFERROR(SUMPRODUCT(('Raw Data'!$B$2:$B$9999="Variant")*('Raw Data'!$A$2:$A$9999=$A36)*('Raw Data'!$C$2:$C$9999=$C$3)*'Raw Data'!$D$2:$D$9999*'Raw Data'!$AP$2:$AP$9999)/SUMIFS('Raw Data'!$D:$D, 'Raw Data'!$B:$B, "Variant", 'Raw Data'!$A:$A, $A36, 'Raw Data'!$C:$C, $C$3),""))</f>
        <v/>
      </c>
      <c r="DQ36" s="104"/>
      <c r="DR36" s="102" t="str">
        <f>IF($A36="","",IFERROR(SUMPRODUCT(('Raw Data'!$B$2:$B$9999="Control")*('Raw Data'!$A$2:$A$9999=$A36)*('Raw Data'!$C$2:$C$9999=$C$3)*'Raw Data'!$D$2:$D$9999*'Raw Data'!$AQ$2:$AQ$9999)/SUMIFS('Raw Data'!$D:$D, 'Raw Data'!$B:$B, "Control", 'Raw Data'!$A:$A, $A36, 'Raw Data'!$C:$C, $C$3),""))</f>
        <v/>
      </c>
      <c r="DS36" s="102" t="str">
        <f>IF($A36="","",IFERROR(SUMPRODUCT(('Raw Data'!$B$2:$B$9999="Variant")*('Raw Data'!$A$2:$A$9999=$A36)*('Raw Data'!$C$2:$C$9999=$C$3)*'Raw Data'!$D$2:$D$9999*'Raw Data'!$AQ$2:$AQ$9999)/SUMIFS('Raw Data'!$D:$D, 'Raw Data'!$B:$B, "Variant", 'Raw Data'!$A:$A, $A36, 'Raw Data'!$C:$C, $C$3),""))</f>
        <v/>
      </c>
      <c r="DT36" s="109" t="str">
        <f t="shared" si="37"/>
        <v/>
      </c>
      <c r="DU36" s="102" t="str">
        <f>IF($A36="","",IFERROR(SUMPRODUCT(('Raw Data'!$B$2:$B$9999="Control")*('Raw Data'!$A$2:$A$9999=$A36)*('Raw Data'!$C$2:$C$9999=$C$3)*'Raw Data'!$D$2:$D$9999*'Raw Data'!$AR$2:$AR$9999)/SUMIFS('Raw Data'!$D:$D, 'Raw Data'!$B:$B, "Control", 'Raw Data'!$A:$A, $A36, 'Raw Data'!$C:$C, $C$3),""))</f>
        <v/>
      </c>
      <c r="DV36" s="102" t="str">
        <f>IF($A36="","",IFERROR(SUMPRODUCT(('Raw Data'!$B$2:$B$9999="Variant")*('Raw Data'!$A$2:$A$9999=$A36)*('Raw Data'!$C$2:$C$9999=$C$3)*'Raw Data'!$D$2:$D$9999*'Raw Data'!$AR$2:$AR$9999)/SUMIFS('Raw Data'!$D:$D, 'Raw Data'!$B:$B, "Variant", 'Raw Data'!$A:$A, $A36, 'Raw Data'!$C:$C, $C$3),""))</f>
        <v/>
      </c>
      <c r="DW36" s="109" t="str">
        <f t="shared" si="38"/>
        <v/>
      </c>
      <c r="DX36" s="102" t="str">
        <f>IF($A36="","",IFERROR(SUMPRODUCT(('Raw Data'!$B$2:$B$9999="Control")*('Raw Data'!$A$2:$A$9999=$A36)*('Raw Data'!$C$2:$C$9999=$C$3)*'Raw Data'!$D$2:$D$9999*'Raw Data'!$AS$2:$AS$9999)/SUMIFS('Raw Data'!$D:$D, 'Raw Data'!$B:$B, "Control", 'Raw Data'!$A:$A, $A36, 'Raw Data'!$C:$C, $C$3),""))</f>
        <v/>
      </c>
      <c r="DY36" s="102" t="str">
        <f>IF($A36="","",IFERROR(SUMPRODUCT(('Raw Data'!$B$2:$B$9999="Variant")*('Raw Data'!$A$2:$A$9999=$A36)*('Raw Data'!$C$2:$C$9999=$C$3)*'Raw Data'!$D$2:$D$9999*'Raw Data'!$AS$2:$AS$9999)/SUMIFS('Raw Data'!$D:$D, 'Raw Data'!$B:$B, "Variant", 'Raw Data'!$A:$A, $A36, 'Raw Data'!$C:$C, $C$3),""))</f>
        <v/>
      </c>
      <c r="DZ36" s="110" t="str">
        <f t="shared" si="39"/>
        <v/>
      </c>
      <c r="EA36" s="102" t="str">
        <f>IF($A36="","",IFERROR(SUMPRODUCT(('Raw Data'!$B$2:$B$9999="Control")*('Raw Data'!$A$2:$A$9999=$A36)*('Raw Data'!$C$2:$C$9999=$C$3)*'Raw Data'!$D$2:$D$9999*'Raw Data'!$AT$2:$AT$9999)/SUMIFS('Raw Data'!$D:$D, 'Raw Data'!$B:$B, "Control", 'Raw Data'!$A:$A, $A36, 'Raw Data'!$C:$C, $C$3),""))</f>
        <v/>
      </c>
      <c r="EB36" s="102" t="str">
        <f>IF($A36="","",IFERROR(SUMPRODUCT(('Raw Data'!$B$2:$B$9999="Variant")*('Raw Data'!$A$2:$A$9999=$A36)*('Raw Data'!$C$2:$C$9999=$C$3)*'Raw Data'!$D$2:$D$9999*'Raw Data'!$AT$2:$AT$9999)/SUMIFS('Raw Data'!$D:$D, 'Raw Data'!$B:$B, "Variant", 'Raw Data'!$A:$A, $A36, 'Raw Data'!$C:$C, $C$3),""))</f>
        <v/>
      </c>
      <c r="EC36" s="109" t="str">
        <f t="shared" si="40"/>
        <v/>
      </c>
      <c r="ED36" s="102" t="str">
        <f>IF($A36="","",IFERROR(SUMPRODUCT(('Raw Data'!$B$2:$B$9999="Control")*('Raw Data'!$A$2:$A$9999=$A36)*('Raw Data'!$C$2:$C$9999=$C$3)*'Raw Data'!$D$2:$D$9999*('Raw Data'!$AQ$2:$AQ$9999-'Raw Data'!$AT$2:$AT$9999))/SUMIFS('Raw Data'!$D:$D, 'Raw Data'!$B:$B, "Control", 'Raw Data'!$A:$A, $A36, 'Raw Data'!$C:$C, $C$3),""))</f>
        <v/>
      </c>
      <c r="EE36" s="102" t="str">
        <f>IF($A36="","",IFERROR(SUMPRODUCT(('Raw Data'!$B$2:$B$9999="Variant")*('Raw Data'!$A$2:$A$9999=$A36)*('Raw Data'!$C$2:$C$9999=$C$3)*'Raw Data'!$D$2:$D$9999*('Raw Data'!$AQ$2:$AQ$9999-'Raw Data'!$AT$2:$AT$9999))/SUMIFS('Raw Data'!$D:$D, 'Raw Data'!$B:$B, "Variant", 'Raw Data'!$A:$A, $A36, 'Raw Data'!$C:$C, $C$3),""))</f>
        <v/>
      </c>
      <c r="EF36" s="110" t="str">
        <f t="shared" si="41"/>
        <v/>
      </c>
      <c r="EG36" s="102" t="str">
        <f>IF($A36="","",IFERROR(SUMPRODUCT(('Raw Data'!$B$2:$B$9999="Control")*('Raw Data'!$A$2:$A$9999=$A36)*('Raw Data'!$C$2:$C$9999=$C$3)*'Raw Data'!$D$2:$D$9999*'Raw Data'!$AU$2:$AU$9999)/SUMIFS('Raw Data'!$D:$D, 'Raw Data'!$B:$B, "Control", 'Raw Data'!$A:$A, $A36, 'Raw Data'!$C:$C, $C$3),""))</f>
        <v/>
      </c>
      <c r="EH36" s="102" t="str">
        <f>IF($A36="","",IFERROR(SUMPRODUCT(('Raw Data'!$B$2:$B$9999="Variant")*('Raw Data'!$A$2:$A$9999=$A36)*('Raw Data'!$C$2:$C$9999=$C$3)*'Raw Data'!$D$2:$D$9999*'Raw Data'!$AU$2:$AU$9999)/SUMIFS('Raw Data'!$D:$D, 'Raw Data'!$B:$B, "Variant", 'Raw Data'!$A:$A, $A36, 'Raw Data'!$C:$C, $C$3),""))</f>
        <v/>
      </c>
      <c r="EI36" s="109" t="str">
        <f t="shared" si="42"/>
        <v/>
      </c>
    </row>
    <row r="37" ht="15.75" customHeight="1">
      <c r="A37" s="93">
        <v>46205.0</v>
      </c>
      <c r="B37" s="94">
        <f>IF($A37="","",SUMIFS('Raw Data'!$D:$D, 'Raw Data'!$B:$B, "Control", 'Raw Data'!$A:$A, $A37, 'Raw Data'!$C:$C, $C$3))</f>
        <v>0</v>
      </c>
      <c r="C37" s="94">
        <f>IF($A37="","",SUMIFS('Raw Data'!$D:$D, 'Raw Data'!$B:$B, "Variant", 'Raw Data'!$A:$A, $A37, 'Raw Data'!$C:$C, $C$3))</f>
        <v>0</v>
      </c>
      <c r="D37" s="95" t="str">
        <f t="shared" si="1"/>
        <v/>
      </c>
      <c r="E37" s="96" t="str">
        <f>IF($A37="","",IFERROR(SUMPRODUCT(('Raw Data'!$B$2:$B$9999="Control")*('Raw Data'!$A$2:$A$9999=$A37)*('Raw Data'!$C$2:$C$9999=$C$3)*'Raw Data'!$D$2:$D$9999*'Raw Data'!$E$2:$E$9999)/SUMIFS('Raw Data'!$D:$D, 'Raw Data'!$B:$B, "Control", 'Raw Data'!$A:$A, $A37, 'Raw Data'!$C:$C, $C$3),""))</f>
        <v/>
      </c>
      <c r="F37" s="96" t="str">
        <f>IF($A37="","",IFERROR(SUMPRODUCT(('Raw Data'!$B$2:$B$9999="Variant")*('Raw Data'!$A$2:$A$9999=$A37)*('Raw Data'!$C$2:$C$9999=$C$3)*'Raw Data'!$D$2:$D$9999*'Raw Data'!$E$2:$E$9999)/SUMIFS('Raw Data'!$D:$D, 'Raw Data'!$B:$B, "Variant", 'Raw Data'!$A:$A, $A37, 'Raw Data'!$C:$C, $C$3),""))</f>
        <v/>
      </c>
      <c r="G37" s="95" t="str">
        <f t="shared" si="2"/>
        <v/>
      </c>
      <c r="H37" s="97">
        <f>IF($A37="","",SUMIFS('Raw Data'!$F:$F, 'Raw Data'!$B:$B, "Control", 'Raw Data'!$A:$A, $A37, 'Raw Data'!$C:$C, $C$3))</f>
        <v>0</v>
      </c>
      <c r="I37" s="97">
        <f>IF($A37="","",SUMIFS('Raw Data'!$F:$F, 'Raw Data'!$B:$B, "Variant", 'Raw Data'!$A:$A, $A37, 'Raw Data'!$C:$C, $C$3))</f>
        <v>0</v>
      </c>
      <c r="J37" s="105" t="str">
        <f t="shared" si="3"/>
        <v/>
      </c>
      <c r="K37" s="99" t="str">
        <f>IF($A37="","",IFERROR(SUMIFS('Raw Data'!$F:$F, 'Raw Data'!$B:$B, "Control", 'Raw Data'!$A:$A, $A37, 'Raw Data'!$C:$C, $C$3)/SUMIFS('Raw Data'!$D:$D, 'Raw Data'!$B:$B, "Control", 'Raw Data'!$A:$A, $A37, 'Raw Data'!$C:$C, $C$3),""))</f>
        <v/>
      </c>
      <c r="L37" s="99" t="str">
        <f>IF($A37="","",IFERROR(SUMIFS('Raw Data'!$F:$F, 'Raw Data'!$B:$B, "Variant", 'Raw Data'!$A:$A, $A37, 'Raw Data'!$C:$C, $C$3)/SUMIFS('Raw Data'!$D:$D, 'Raw Data'!$B:$B, "Variant", 'Raw Data'!$A:$A, $A37, 'Raw Data'!$C:$C, $C$3),""))</f>
        <v/>
      </c>
      <c r="M37" s="105" t="str">
        <f t="shared" si="4"/>
        <v/>
      </c>
      <c r="N37" s="96" t="str">
        <f>IF($A37="","",IFERROR(SUMPRODUCT(('Raw Data'!$B$2:$B$9999="Control")*('Raw Data'!$A$2:$A$9999=$A37)*('Raw Data'!$C$2:$C$9999=$C$3)*'Raw Data'!$D$2:$D$9999*'Raw Data'!$H$2:$H$9999/100)/SUMIFS('Raw Data'!$D:$D, 'Raw Data'!$B:$B, "Control", 'Raw Data'!$A:$A, $A37, 'Raw Data'!$C:$C, $C$3)*100,""))</f>
        <v/>
      </c>
      <c r="O37" s="96" t="str">
        <f>IF($A37="","",IFERROR(SUMPRODUCT(('Raw Data'!$B$2:$B$9999="Variant")*('Raw Data'!$A$2:$A$9999=$A37)*('Raw Data'!$C$2:$C$9999=$C$3)*'Raw Data'!$D$2:$D$9999*'Raw Data'!$H$2:$H$9999/100)/SUMIFS('Raw Data'!$D:$D, 'Raw Data'!$B:$B, "Variant", 'Raw Data'!$A:$A, $A37, 'Raw Data'!$C:$C, $C$3)*100,""))</f>
        <v/>
      </c>
      <c r="P37" s="105" t="str">
        <f t="shared" si="5"/>
        <v/>
      </c>
      <c r="Q37" s="99" t="str">
        <f>IF($A37="","",IFERROR(SUMIFS('Raw Data'!$F:$F, 'Raw Data'!$B:$B, "Control", 'Raw Data'!$A:$A, $A37, 'Raw Data'!$C:$C, $C$3)/SUMPRODUCT(('Raw Data'!$B$2:$B$9999="Control")*('Raw Data'!$A$2:$A$9999=$A37)*('Raw Data'!$C$2:$C$9999=$C$3)*'Raw Data'!$D$2:$D$9999*'Raw Data'!$H$2:$H$9999/100),""))</f>
        <v/>
      </c>
      <c r="R37" s="99" t="str">
        <f>IF($A37="","",IFERROR(SUMIFS('Raw Data'!$F:$F, 'Raw Data'!$B:$B, "Variant", 'Raw Data'!$A:$A, $A37, 'Raw Data'!$C:$C, $C$3)/SUMPRODUCT(('Raw Data'!$B$2:$B$9999="Variant")*('Raw Data'!$A$2:$A$9999=$A37)*('Raw Data'!$C$2:$C$9999=$C$3)*'Raw Data'!$D$2:$D$9999*'Raw Data'!$H$2:$H$9999/100),""))</f>
        <v/>
      </c>
      <c r="S37" s="105" t="str">
        <f t="shared" si="6"/>
        <v/>
      </c>
      <c r="T37" s="101" t="str">
        <f>IF($A37="","",IFERROR(SUMPRODUCT(('Raw Data'!$B$2:$B$9999="Control")*('Raw Data'!$A$2:$A$9999=$A37)*('Raw Data'!$C$2:$C$9999=$C$3)*'Raw Data'!$D$2:$D$9999*'Raw Data'!$J$2:$J$9999)/SUMIFS('Raw Data'!$D:$D, 'Raw Data'!$B:$B, "Control", 'Raw Data'!$A:$A, $A37, 'Raw Data'!$C:$C, $C$3),""))</f>
        <v/>
      </c>
      <c r="U37" s="101" t="str">
        <f>IF($A37="","",IFERROR(SUMPRODUCT(('Raw Data'!$B$2:$B$9999="Variant")*('Raw Data'!$A$2:$A$9999=$A37)*('Raw Data'!$C$2:$C$9999=$C$3)*'Raw Data'!$D$2:$D$9999*'Raw Data'!$J$2:$J$9999)/SUMIFS('Raw Data'!$D:$D, 'Raw Data'!$B:$B, "Variant", 'Raw Data'!$A:$A, $A37, 'Raw Data'!$C:$C, $C$3),""))</f>
        <v/>
      </c>
      <c r="V37" s="105" t="str">
        <f t="shared" si="7"/>
        <v/>
      </c>
      <c r="W37" s="101" t="str">
        <f>IF($A37="","",IFERROR(SUMPRODUCT(('Raw Data'!$B$2:$B$9999="Control")*('Raw Data'!$A$2:$A$9999=$A37)*('Raw Data'!$C$2:$C$9999=$C$3)*'Raw Data'!$D$2:$D$9999*'Raw Data'!$K$2:$K$9999)/SUMIFS('Raw Data'!$D:$D, 'Raw Data'!$B:$B, "Control", 'Raw Data'!$A:$A, $A37, 'Raw Data'!$C:$C, $C$3),""))</f>
        <v/>
      </c>
      <c r="X37" s="101" t="str">
        <f>IF($A37="","",IFERROR(SUMPRODUCT(('Raw Data'!$B$2:$B$9999="Variant")*('Raw Data'!$A$2:$A$9999=$A37)*('Raw Data'!$C$2:$C$9999=$C$3)*'Raw Data'!$D$2:$D$9999*'Raw Data'!$K$2:$K$9999)/SUMIFS('Raw Data'!$D:$D, 'Raw Data'!$B:$B, "Variant", 'Raw Data'!$A:$A, $A37, 'Raw Data'!$C:$C, $C$3),""))</f>
        <v/>
      </c>
      <c r="Y37" s="105" t="str">
        <f t="shared" si="8"/>
        <v/>
      </c>
      <c r="Z37" s="101" t="str">
        <f>IF($A37="","",IFERROR(SUMPRODUCT(('Raw Data'!$B$2:$B$9999="Control")*('Raw Data'!$A$2:$A$9999=$A37)*('Raw Data'!$C$2:$C$9999=$C$3)*'Raw Data'!$D$2:$D$9999*'Raw Data'!$L$2:$L$9999)/SUMIFS('Raw Data'!$D:$D, 'Raw Data'!$B:$B, "Control", 'Raw Data'!$A:$A, $A37, 'Raw Data'!$C:$C, $C$3),""))</f>
        <v/>
      </c>
      <c r="AA37" s="101" t="str">
        <f>IF($A37="","",IFERROR(SUMPRODUCT(('Raw Data'!$B$2:$B$9999="Variant")*('Raw Data'!$A$2:$A$9999=$A37)*('Raw Data'!$C$2:$C$9999=$C$3)*'Raw Data'!$D$2:$D$9999*'Raw Data'!$L$2:$L$9999)/SUMIFS('Raw Data'!$D:$D, 'Raw Data'!$B:$B, "Variant", 'Raw Data'!$A:$A, $A37, 'Raw Data'!$C:$C, $C$3),""))</f>
        <v/>
      </c>
      <c r="AB37" s="105" t="str">
        <f t="shared" si="9"/>
        <v/>
      </c>
      <c r="AC37" s="102" t="str">
        <f>IF($A37="","",IFERROR(SUMPRODUCT(('Raw Data'!$B$2:$B$9999="Control")*('Raw Data'!$A$2:$A$9999=$A37)*('Raw Data'!$C$2:$C$9999=$C$3)*'Raw Data'!$D$2:$D$9999*'Raw Data'!$M$2:$M$9999)/SUMIFS('Raw Data'!$D:$D, 'Raw Data'!$B:$B, "Control", 'Raw Data'!$A:$A, $A37, 'Raw Data'!$C:$C, $C$3),""))</f>
        <v/>
      </c>
      <c r="AD37" s="102" t="str">
        <f>IF($A37="","",IFERROR(SUMPRODUCT(('Raw Data'!$B$2:$B$9999="Variant")*('Raw Data'!$A$2:$A$9999=$A37)*('Raw Data'!$C$2:$C$9999=$C$3)*'Raw Data'!$D$2:$D$9999*'Raw Data'!$M$2:$M$9999)/SUMIFS('Raw Data'!$D:$D, 'Raw Data'!$B:$B, "Variant", 'Raw Data'!$A:$A, $A37, 'Raw Data'!$C:$C, $C$3),""))</f>
        <v/>
      </c>
      <c r="AE37" s="106" t="str">
        <f t="shared" si="10"/>
        <v/>
      </c>
      <c r="AF37" s="102" t="str">
        <f>IF($A37="","",IFERROR(SUMPRODUCT(('Raw Data'!$B$2:$B$9999="Control")*('Raw Data'!$A$2:$A$9999=$A37)*('Raw Data'!$C$2:$C$9999=$C$3)*'Raw Data'!$D$2:$D$9999*'Raw Data'!$N$2:$N$9999)/SUMIFS('Raw Data'!$D:$D, 'Raw Data'!$B:$B, "Control", 'Raw Data'!$A:$A, $A37, 'Raw Data'!$C:$C, $C$3),""))</f>
        <v/>
      </c>
      <c r="AG37" s="102" t="str">
        <f>IF($A37="","",IFERROR(SUMPRODUCT(('Raw Data'!$B$2:$B$9999="Variant")*('Raw Data'!$A$2:$A$9999=$A37)*('Raw Data'!$C$2:$C$9999=$C$3)*'Raw Data'!$D$2:$D$9999*'Raw Data'!$N$2:$N$9999)/SUMIFS('Raw Data'!$D:$D, 'Raw Data'!$B:$B, "Variant", 'Raw Data'!$A:$A, $A37, 'Raw Data'!$C:$C, $C$3),""))</f>
        <v/>
      </c>
      <c r="AH37" s="106" t="str">
        <f t="shared" si="11"/>
        <v/>
      </c>
      <c r="AI37" s="102" t="str">
        <f>IF($A37="","",IFERROR(SUMPRODUCT(('Raw Data'!$B$2:$B$9999="Control")*('Raw Data'!$A$2:$A$9999=$A37)*('Raw Data'!$C$2:$C$9999=$C$3)*'Raw Data'!$D$2:$D$9999*'Raw Data'!$O$2:$O$9999)/SUMIFS('Raw Data'!$D:$D, 'Raw Data'!$B:$B, "Control", 'Raw Data'!$A:$A, $A37, 'Raw Data'!$C:$C, $C$3),""))</f>
        <v/>
      </c>
      <c r="AJ37" s="102" t="str">
        <f>IF($A37="","",IFERROR(SUMPRODUCT(('Raw Data'!$B$2:$B$9999="Variant")*('Raw Data'!$A$2:$A$9999=$A37)*('Raw Data'!$C$2:$C$9999=$C$3)*'Raw Data'!$D$2:$D$9999*'Raw Data'!$O$2:$O$9999)/SUMIFS('Raw Data'!$D:$D, 'Raw Data'!$B:$B, "Variant", 'Raw Data'!$A:$A, $A37, 'Raw Data'!$C:$C, $C$3),""))</f>
        <v/>
      </c>
      <c r="AK37" s="105" t="str">
        <f t="shared" si="12"/>
        <v/>
      </c>
      <c r="AL37" s="101" t="str">
        <f>IF($A37="","",IFERROR(SUMPRODUCT(('Raw Data'!$B$2:$B$9999="Control")*('Raw Data'!$A$2:$A$9999=$A37)*('Raw Data'!$C$2:$C$9999=$C$3)*'Raw Data'!$D$2:$D$9999*'Raw Data'!$P$2:$P$9999)/SUMIFS('Raw Data'!$D:$D, 'Raw Data'!$B:$B, "Control", 'Raw Data'!$A:$A, $A37, 'Raw Data'!$C:$C, $C$3),""))</f>
        <v/>
      </c>
      <c r="AM37" s="101" t="str">
        <f>IF($A37="","",IFERROR(SUMPRODUCT(('Raw Data'!$B$2:$B$9999="Variant")*('Raw Data'!$A$2:$A$9999=$A37)*('Raw Data'!$C$2:$C$9999=$C$3)*'Raw Data'!$D$2:$D$9999*'Raw Data'!$P$2:$P$9999)/SUMIFS('Raw Data'!$D:$D, 'Raw Data'!$B:$B, "Variant", 'Raw Data'!$A:$A, $A37, 'Raw Data'!$C:$C, $C$3),""))</f>
        <v/>
      </c>
      <c r="AN37" s="105" t="str">
        <f t="shared" si="13"/>
        <v/>
      </c>
      <c r="AO37" s="101" t="str">
        <f>IF($A37="","",IFERROR(SUMPRODUCT(('Raw Data'!$B$2:$B$9999="Control")*('Raw Data'!$A$2:$A$9999=$A37)*('Raw Data'!$C$2:$C$9999=$C$3)*'Raw Data'!$D$2:$D$9999*'Raw Data'!$Q$2:$Q$9999)/SUMIFS('Raw Data'!$D:$D, 'Raw Data'!$B:$B, "Control", 'Raw Data'!$A:$A, $A37, 'Raw Data'!$C:$C, $C$3),""))</f>
        <v/>
      </c>
      <c r="AP37" s="101" t="str">
        <f>IF($A37="","",IFERROR(SUMPRODUCT(('Raw Data'!$B$2:$B$9999="Variant")*('Raw Data'!$A$2:$A$9999=$A37)*('Raw Data'!$C$2:$C$9999=$C$3)*'Raw Data'!$D$2:$D$9999*'Raw Data'!$Q$2:$Q$9999)/SUMIFS('Raw Data'!$D:$D, 'Raw Data'!$B:$B, "Variant", 'Raw Data'!$A:$A, $A37, 'Raw Data'!$C:$C, $C$3),""))</f>
        <v/>
      </c>
      <c r="AQ37" s="95" t="str">
        <f t="shared" si="14"/>
        <v/>
      </c>
      <c r="AR37" s="101" t="str">
        <f>IF($A37="","",IFERROR(SUMPRODUCT(('Raw Data'!$B$2:$B$9999="Control")*('Raw Data'!$A$2:$A$9999=$A37)*('Raw Data'!$C$2:$C$9999=$C$3)*'Raw Data'!$D$2:$D$9999*'Raw Data'!$R$2:$R$9999)/SUMIFS('Raw Data'!$D:$D, 'Raw Data'!$B:$B, "Control", 'Raw Data'!$A:$A, $A37, 'Raw Data'!$C:$C, $C$3),""))</f>
        <v/>
      </c>
      <c r="AS37" s="101" t="str">
        <f>IF($A37="","",IFERROR(SUMPRODUCT(('Raw Data'!$B$2:$B$9999="Variant")*('Raw Data'!$A$2:$A$9999=$A37)*('Raw Data'!$C$2:$C$9999=$C$3)*'Raw Data'!$D$2:$D$9999*'Raw Data'!$R$2:$R$9999)/SUMIFS('Raw Data'!$D:$D, 'Raw Data'!$B:$B, "Variant", 'Raw Data'!$A:$A, $A37, 'Raw Data'!$C:$C, $C$3),""))</f>
        <v/>
      </c>
      <c r="AT37" s="95" t="str">
        <f t="shared" si="15"/>
        <v/>
      </c>
      <c r="AU37" s="101" t="str">
        <f>IF($A37="","",IFERROR(SUMPRODUCT(('Raw Data'!$B$2:$B$9999="Control")*('Raw Data'!$A$2:$A$9999=$A37)*('Raw Data'!$C$2:$C$9999=$C$3)*'Raw Data'!$D$2:$D$9999*'Raw Data'!$S$2:$S$9999)/SUMIFS('Raw Data'!$D:$D, 'Raw Data'!$B:$B, "Control", 'Raw Data'!$A:$A, $A37, 'Raw Data'!$C:$C, $C$3),""))</f>
        <v/>
      </c>
      <c r="AV37" s="101" t="str">
        <f>IF($A37="","",IFERROR(SUMPRODUCT(('Raw Data'!$B$2:$B$9999="Variant")*('Raw Data'!$A$2:$A$9999=$A37)*('Raw Data'!$C$2:$C$9999=$C$3)*'Raw Data'!$D$2:$D$9999*'Raw Data'!$S$2:$S$9999)/SUMIFS('Raw Data'!$D:$D, 'Raw Data'!$B:$B, "Variant", 'Raw Data'!$A:$A, $A37, 'Raw Data'!$C:$C, $C$3),""))</f>
        <v/>
      </c>
      <c r="AW37" s="95" t="str">
        <f t="shared" si="16"/>
        <v/>
      </c>
      <c r="AX37" s="101" t="str">
        <f>IF($A37="","",IFERROR(SUMPRODUCT(('Raw Data'!$B$2:$B$9999="Control")*('Raw Data'!$A$2:$A$9999=$A37)*('Raw Data'!$C$2:$C$9999=$C$3)*'Raw Data'!$D$2:$D$9999*'Raw Data'!$T$2:$T$9999)/SUMIFS('Raw Data'!$D:$D, 'Raw Data'!$B:$B, "Control", 'Raw Data'!$A:$A, $A37, 'Raw Data'!$C:$C, $C$3),""))</f>
        <v/>
      </c>
      <c r="AY37" s="101" t="str">
        <f>IF($A37="","",IFERROR(SUMPRODUCT(('Raw Data'!$B$2:$B$9999="Variant")*('Raw Data'!$A$2:$A$9999=$A37)*('Raw Data'!$C$2:$C$9999=$C$3)*'Raw Data'!$D$2:$D$9999*'Raw Data'!$T$2:$T$9999)/SUMIFS('Raw Data'!$D:$D, 'Raw Data'!$B:$B, "Variant", 'Raw Data'!$A:$A, $A37, 'Raw Data'!$C:$C, $C$3),""))</f>
        <v/>
      </c>
      <c r="AZ37" s="105" t="str">
        <f t="shared" si="17"/>
        <v/>
      </c>
      <c r="BA37" s="101" t="str">
        <f>IF($A37="","",IFERROR(SUMPRODUCT(('Raw Data'!$B$2:$B$9999="Control")*('Raw Data'!$A$2:$A$9999=$A37)*('Raw Data'!$C$2:$C$9999=$C$3)*'Raw Data'!$D$2:$D$9999*'Raw Data'!$U$2:$U$9999)/SUMIFS('Raw Data'!$D:$D, 'Raw Data'!$B:$B, "Control", 'Raw Data'!$A:$A, $A37, 'Raw Data'!$C:$C, $C$3),""))</f>
        <v/>
      </c>
      <c r="BB37" s="101" t="str">
        <f>IF($A37="","",IFERROR(SUMPRODUCT(('Raw Data'!$B$2:$B$9999="Variant")*('Raw Data'!$A$2:$A$9999=$A37)*('Raw Data'!$C$2:$C$9999=$C$3)*'Raw Data'!$D$2:$D$9999*'Raw Data'!$U$2:$U$9999)/SUMIFS('Raw Data'!$D:$D, 'Raw Data'!$B:$B, "Variant", 'Raw Data'!$A:$A, $A37, 'Raw Data'!$C:$C, $C$3),""))</f>
        <v/>
      </c>
      <c r="BC37" s="95" t="str">
        <f t="shared" si="18"/>
        <v/>
      </c>
      <c r="BD37" s="101" t="str">
        <f>IF($A37="","",IFERROR(SUMPRODUCT(('Raw Data'!$B$2:$B$9999="Control")*('Raw Data'!$A$2:$A$9999=$A37)*('Raw Data'!$C$2:$C$9999=$C$3)*'Raw Data'!$D$2:$D$9999*'Raw Data'!$V$2:$V$9999)/SUMIFS('Raw Data'!$D:$D, 'Raw Data'!$B:$B, "Control", 'Raw Data'!$A:$A, $A37, 'Raw Data'!$C:$C, $C$3),""))</f>
        <v/>
      </c>
      <c r="BE37" s="101" t="str">
        <f>IF($A37="","",IFERROR(SUMPRODUCT(('Raw Data'!$B$2:$B$9999="Variant")*('Raw Data'!$A$2:$A$9999=$A37)*('Raw Data'!$C$2:$C$9999=$C$3)*'Raw Data'!$D$2:$D$9999*'Raw Data'!$V$2:$V$9999)/SUMIFS('Raw Data'!$D:$D, 'Raw Data'!$B:$B, "Variant", 'Raw Data'!$A:$A, $A37, 'Raw Data'!$C:$C, $C$3),""))</f>
        <v/>
      </c>
      <c r="BF37" s="95" t="str">
        <f t="shared" si="19"/>
        <v/>
      </c>
      <c r="BG37" s="101" t="str">
        <f>IF($A37="","",IFERROR(SUMPRODUCT(('Raw Data'!$B$2:$B$9999="Control")*('Raw Data'!$A$2:$A$9999=$A37)*('Raw Data'!$C$2:$C$9999=$C$3)*'Raw Data'!$D$2:$D$9999*('Raw Data'!$Q$2:$Q$9999-'Raw Data'!$V$2:$V$9999))/SUMIFS('Raw Data'!$D:$D, 'Raw Data'!$B:$B, "Control", 'Raw Data'!$A:$A, $A37, 'Raw Data'!$C:$C, $C$3),""))</f>
        <v/>
      </c>
      <c r="BH37" s="101" t="str">
        <f>IF($A37="","",IFERROR(SUMPRODUCT(('Raw Data'!$B$2:$B$9999="Variant")*('Raw Data'!$A$2:$A$9999=$A37)*('Raw Data'!$C$2:$C$9999=$C$3)*'Raw Data'!$D$2:$D$9999*('Raw Data'!$Q$2:$Q$9999-'Raw Data'!$V$2:$V$9999))/SUMIFS('Raw Data'!$D:$D, 'Raw Data'!$B:$B, "Variant", 'Raw Data'!$A:$A, $A37, 'Raw Data'!$C:$C, $C$3),""))</f>
        <v/>
      </c>
      <c r="BI37" s="95" t="str">
        <f t="shared" si="20"/>
        <v/>
      </c>
      <c r="BJ37" s="101" t="str">
        <f>IF($A37="","",IFERROR(SUMPRODUCT(('Raw Data'!$B$2:$B$9999="Control")*('Raw Data'!$A$2:$A$9999=$A37)*('Raw Data'!$C$2:$C$9999=$C$3)*'Raw Data'!$D$2:$D$9999*'Raw Data'!$W$2:$W$9999)/SUMIFS('Raw Data'!$D:$D, 'Raw Data'!$B:$B, "Control", 'Raw Data'!$A:$A, $A37, 'Raw Data'!$C:$C, $C$3),""))</f>
        <v/>
      </c>
      <c r="BK37" s="101" t="str">
        <f>IF($A37="","",IFERROR(SUMPRODUCT(('Raw Data'!$B$2:$B$9999="Variant")*('Raw Data'!$A$2:$A$9999=$A37)*('Raw Data'!$C$2:$C$9999=$C$3)*'Raw Data'!$D$2:$D$9999*'Raw Data'!$W$2:$W$9999)/SUMIFS('Raw Data'!$D:$D, 'Raw Data'!$B:$B, "Variant", 'Raw Data'!$A:$A, $A37, 'Raw Data'!$C:$C, $C$3),""))</f>
        <v/>
      </c>
      <c r="BL37" s="95" t="str">
        <f t="shared" si="21"/>
        <v/>
      </c>
      <c r="BM37" s="102" t="str">
        <f>IF($A37="","",IFERROR(SUMPRODUCT(('Raw Data'!$B$2:$B$9999="Control")*('Raw Data'!$A$2:$A$9999=$A37)*('Raw Data'!$C$2:$C$9999=$C$3)*'Raw Data'!$D$2:$D$9999*'Raw Data'!$X$2:$X$9999)/SUMIFS('Raw Data'!$D:$D, 'Raw Data'!$B:$B, "Control", 'Raw Data'!$A:$A, $A37, 'Raw Data'!$C:$C, $C$3),""))</f>
        <v/>
      </c>
      <c r="BN37" s="102" t="str">
        <f>IF($A37="","",IFERROR(SUMPRODUCT(('Raw Data'!$B$2:$B$9999="Variant")*('Raw Data'!$A$2:$A$9999=$A37)*('Raw Data'!$C$2:$C$9999=$C$3)*'Raw Data'!$D$2:$D$9999*'Raw Data'!$X$2:$X$9999)/SUMIFS('Raw Data'!$D:$D, 'Raw Data'!$B:$B, "Variant", 'Raw Data'!$A:$A, $A37, 'Raw Data'!$C:$C, $C$3),""))</f>
        <v/>
      </c>
      <c r="BO37" s="105" t="str">
        <f t="shared" si="22"/>
        <v/>
      </c>
      <c r="BP37" s="94" t="str">
        <f>IF($A37="","",IFERROR(SUMPRODUCT(('Raw Data'!$B$2:$B$9999="Control")*('Raw Data'!$A$2:$A$9999=$A37)*('Raw Data'!$C$2:$C$9999=$C$3)*'Raw Data'!$D$2:$D$9999*'Raw Data'!$Y$2:$Y$9999)/SUMIFS('Raw Data'!$D:$D, 'Raw Data'!$B:$B, "Control", 'Raw Data'!$A:$A, $A37, 'Raw Data'!$C:$C, $C$3),""))</f>
        <v/>
      </c>
      <c r="BQ37" s="94" t="str">
        <f>IF($A37="","",IFERROR(SUMPRODUCT(('Raw Data'!$B$2:$B$9999="Variant")*('Raw Data'!$A$2:$A$9999=$A37)*('Raw Data'!$C$2:$C$9999=$C$3)*'Raw Data'!$D$2:$D$9999*'Raw Data'!$Y$2:$Y$9999)/SUMIFS('Raw Data'!$D:$D, 'Raw Data'!$B:$B, "Variant", 'Raw Data'!$A:$A, $A37, 'Raw Data'!$C:$C, $C$3),""))</f>
        <v/>
      </c>
      <c r="BR37" s="95" t="str">
        <f t="shared" si="23"/>
        <v/>
      </c>
      <c r="BS37" s="94" t="str">
        <f>IF($A37="","",IFERROR(SUMPRODUCT(('Raw Data'!$B$2:$B$9999="Control")*('Raw Data'!$A$2:$A$9999=$A37)*('Raw Data'!$C$2:$C$9999=$C$3)*'Raw Data'!$D$2:$D$9999*'Raw Data'!$Z$2:$Z$9999)/SUMIFS('Raw Data'!$D:$D, 'Raw Data'!$B:$B, "Control", 'Raw Data'!$A:$A, $A37, 'Raw Data'!$C:$C, $C$3),""))</f>
        <v/>
      </c>
      <c r="BT37" s="94" t="str">
        <f>IF($A37="","",IFERROR(SUMPRODUCT(('Raw Data'!$B$2:$B$9999="Variant")*('Raw Data'!$A$2:$A$9999=$A37)*('Raw Data'!$C$2:$C$9999=$C$3)*'Raw Data'!$D$2:$D$9999*'Raw Data'!$Z$2:$Z$9999)/SUMIFS('Raw Data'!$D:$D, 'Raw Data'!$B:$B, "Variant", 'Raw Data'!$A:$A, $A37, 'Raw Data'!$C:$C, $C$3),""))</f>
        <v/>
      </c>
      <c r="BU37" s="95" t="str">
        <f t="shared" si="24"/>
        <v/>
      </c>
      <c r="BV37" s="94" t="str">
        <f>IF($A37="","",IFERROR(SUMPRODUCT(('Raw Data'!$B$2:$B$9999="Control")*('Raw Data'!$A$2:$A$9999=$A37)*('Raw Data'!$C$2:$C$9999=$C$3)*'Raw Data'!$D$2:$D$9999*'Raw Data'!$AA$2:$AA$9999)/SUMIFS('Raw Data'!$D:$D, 'Raw Data'!$B:$B, "Control", 'Raw Data'!$A:$A, $A37, 'Raw Data'!$C:$C, $C$3),""))</f>
        <v/>
      </c>
      <c r="BW37" s="94" t="str">
        <f>IF($A37="","",IFERROR(SUMPRODUCT(('Raw Data'!$B$2:$B$9999="Variant")*('Raw Data'!$A$2:$A$9999=$A37)*('Raw Data'!$C$2:$C$9999=$C$3)*'Raw Data'!$D$2:$D$9999*'Raw Data'!$AA$2:$AA$9999)/SUMIFS('Raw Data'!$D:$D, 'Raw Data'!$B:$B, "Variant", 'Raw Data'!$A:$A, $A37, 'Raw Data'!$C:$C, $C$3),""))</f>
        <v/>
      </c>
      <c r="BX37" s="95" t="str">
        <f t="shared" si="25"/>
        <v/>
      </c>
      <c r="BY37" s="101" t="str">
        <f>IF($A37="","",IFERROR(SUMPRODUCT(('Raw Data'!$B$2:$B$9999="Control")*('Raw Data'!$A$2:$A$9999=$A37)*('Raw Data'!$C$2:$C$9999=$C$3)*'Raw Data'!$D$2:$D$9999*'Raw Data'!$AB$2:$AB$9999)/SUMIFS('Raw Data'!$D:$D, 'Raw Data'!$B:$B, "Control", 'Raw Data'!$A:$A, $A37, 'Raw Data'!$C:$C, $C$3),""))</f>
        <v/>
      </c>
      <c r="BZ37" s="101" t="str">
        <f>IF($A37="","",IFERROR(SUMPRODUCT(('Raw Data'!$B$2:$B$9999="Variant")*('Raw Data'!$A$2:$A$9999=$A37)*('Raw Data'!$C$2:$C$9999=$C$3)*'Raw Data'!$D$2:$D$9999*'Raw Data'!$AB$2:$AB$9999)/SUMIFS('Raw Data'!$D:$D, 'Raw Data'!$B:$B, "Variant", 'Raw Data'!$A:$A, $A37, 'Raw Data'!$C:$C, $C$3),""))</f>
        <v/>
      </c>
      <c r="CA37" s="105" t="str">
        <f t="shared" si="26"/>
        <v/>
      </c>
      <c r="CB37" s="101" t="str">
        <f>IF($A37="","",IFERROR(SUMPRODUCT(('Raw Data'!$B$2:$B$9999="Control")*('Raw Data'!$A$2:$A$9999=$A37)*('Raw Data'!$C$2:$C$9999=$C$3)*'Raw Data'!$D$2:$D$9999*'Raw Data'!$AC$2:$AC$9999)/SUMIFS('Raw Data'!$D:$D, 'Raw Data'!$B:$B, "Control", 'Raw Data'!$A:$A, $A37, 'Raw Data'!$C:$C, $C$3),""))</f>
        <v/>
      </c>
      <c r="CC37" s="101" t="str">
        <f>IF($A37="","",IFERROR(SUMPRODUCT(('Raw Data'!$B$2:$B$9999="Variant")*('Raw Data'!$A$2:$A$9999=$A37)*('Raw Data'!$C$2:$C$9999=$C$3)*'Raw Data'!$D$2:$D$9999*'Raw Data'!$AC$2:$AC$9999)/SUMIFS('Raw Data'!$D:$D, 'Raw Data'!$B:$B, "Variant", 'Raw Data'!$A:$A, $A37, 'Raw Data'!$C:$C, $C$3),""))</f>
        <v/>
      </c>
      <c r="CD37" s="105" t="str">
        <f t="shared" si="27"/>
        <v/>
      </c>
      <c r="CE37" s="101" t="str">
        <f>IF($A37="","",IFERROR(SUMPRODUCT(('Raw Data'!$B$2:$B$9999="Control")*('Raw Data'!$A$2:$A$9999=$A37)*('Raw Data'!$C$2:$C$9999=$C$3)*'Raw Data'!$D$2:$D$9999*'Raw Data'!$AD$2:$AD$9999)/SUMIFS('Raw Data'!$D:$D, 'Raw Data'!$B:$B, "Control", 'Raw Data'!$A:$A, $A37, 'Raw Data'!$C:$C, $C$3),""))</f>
        <v/>
      </c>
      <c r="CF37" s="101" t="str">
        <f>IF($A37="","",IFERROR(SUMPRODUCT(('Raw Data'!$B$2:$B$9999="Variant")*('Raw Data'!$A$2:$A$9999=$A37)*('Raw Data'!$C$2:$C$9999=$C$3)*'Raw Data'!$D$2:$D$9999*'Raw Data'!$AD$2:$AD$9999)/SUMIFS('Raw Data'!$D:$D, 'Raw Data'!$B:$B, "Variant", 'Raw Data'!$A:$A, $A37, 'Raw Data'!$C:$C, $C$3),""))</f>
        <v/>
      </c>
      <c r="CG37" s="105" t="str">
        <f t="shared" si="28"/>
        <v/>
      </c>
      <c r="CH37" s="101" t="str">
        <f>IF($A37="","",IFERROR(SUMPRODUCT(('Raw Data'!$B$2:$B$9999="Control")*('Raw Data'!$A$2:$A$9999=$A37)*('Raw Data'!$C$2:$C$9999=$C$3)*'Raw Data'!$D$2:$D$9999*'Raw Data'!$AE$2:$AE$9999)/SUMIFS('Raw Data'!$D:$D, 'Raw Data'!$B:$B, "Control", 'Raw Data'!$A:$A, $A37, 'Raw Data'!$C:$C, $C$3),""))</f>
        <v/>
      </c>
      <c r="CI37" s="101" t="str">
        <f>IF($A37="","",IFERROR(SUMPRODUCT(('Raw Data'!$B$2:$B$9999="Variant")*('Raw Data'!$A$2:$A$9999=$A37)*('Raw Data'!$C$2:$C$9999=$C$3)*'Raw Data'!$D$2:$D$9999*'Raw Data'!$AE$2:$AE$9999)/SUMIFS('Raw Data'!$D:$D, 'Raw Data'!$B:$B, "Variant", 'Raw Data'!$A:$A, $A37, 'Raw Data'!$C:$C, $C$3),""))</f>
        <v/>
      </c>
      <c r="CJ37" s="105" t="str">
        <f t="shared" si="29"/>
        <v/>
      </c>
      <c r="CK37" s="101" t="str">
        <f>IF($A37="","",IFERROR(SUMPRODUCT(('Raw Data'!$B$2:$B$9999="Control")*('Raw Data'!$A$2:$A$9999=$A37)*('Raw Data'!$C$2:$C$9999=$C$3)*'Raw Data'!$D$2:$D$9999*'Raw Data'!$AF$2:$AF$9999)/SUMIFS('Raw Data'!$D:$D, 'Raw Data'!$B:$B, "Control", 'Raw Data'!$A:$A, $A37, 'Raw Data'!$C:$C, $C$3),""))</f>
        <v/>
      </c>
      <c r="CL37" s="101" t="str">
        <f>IF($A37="","",IFERROR(SUMPRODUCT(('Raw Data'!$B$2:$B$9999="Variant")*('Raw Data'!$A$2:$A$9999=$A37)*('Raw Data'!$C$2:$C$9999=$C$3)*'Raw Data'!$D$2:$D$9999*'Raw Data'!$AF$2:$AF$9999)/SUMIFS('Raw Data'!$D:$D, 'Raw Data'!$B:$B, "Variant", 'Raw Data'!$A:$A, $A37, 'Raw Data'!$C:$C, $C$3),""))</f>
        <v/>
      </c>
      <c r="CM37" s="105" t="str">
        <f t="shared" si="30"/>
        <v/>
      </c>
      <c r="CN37" s="101" t="str">
        <f>IF($A37="","",IFERROR(SUMPRODUCT(('Raw Data'!$B$2:$B$9999="Control")*('Raw Data'!$A$2:$A$9999=$A37)*('Raw Data'!$C$2:$C$9999=$C$3)*'Raw Data'!$D$2:$D$9999*'Raw Data'!$AG$2:$AG$9999)/SUMIFS('Raw Data'!$D:$D, 'Raw Data'!$B:$B, "Control", 'Raw Data'!$A:$A, $A37, 'Raw Data'!$C:$C, $C$3),""))</f>
        <v/>
      </c>
      <c r="CO37" s="101" t="str">
        <f>IF($A37="","",IFERROR(SUMPRODUCT(('Raw Data'!$B$2:$B$9999="Variant")*('Raw Data'!$A$2:$A$9999=$A37)*('Raw Data'!$C$2:$C$9999=$C$3)*'Raw Data'!$D$2:$D$9999*'Raw Data'!$AG$2:$AG$9999)/SUMIFS('Raw Data'!$D:$D, 'Raw Data'!$B:$B, "Variant", 'Raw Data'!$A:$A, $A37, 'Raw Data'!$C:$C, $C$3),""))</f>
        <v/>
      </c>
      <c r="CP37" s="105" t="str">
        <f t="shared" si="31"/>
        <v/>
      </c>
      <c r="CQ37" s="101" t="str">
        <f>IF($A37="","",IFERROR(SUMPRODUCT(('Raw Data'!$B$2:$B$9999="Control")*('Raw Data'!$A$2:$A$9999=$A37)*('Raw Data'!$C$2:$C$9999=$C$3)*'Raw Data'!$D$2:$D$9999*'Raw Data'!$AH$2:$AH$9999)/SUMIFS('Raw Data'!$D:$D, 'Raw Data'!$B:$B, "Control", 'Raw Data'!$A:$A, $A37, 'Raw Data'!$C:$C, $C$3),""))</f>
        <v/>
      </c>
      <c r="CR37" s="101" t="str">
        <f>IF($A37="","",IFERROR(SUMPRODUCT(('Raw Data'!$B$2:$B$9999="Variant")*('Raw Data'!$A$2:$A$9999=$A37)*('Raw Data'!$C$2:$C$9999=$C$3)*'Raw Data'!$D$2:$D$9999*'Raw Data'!$AH$2:$AH$9999)/SUMIFS('Raw Data'!$D:$D, 'Raw Data'!$B:$B, "Variant", 'Raw Data'!$A:$A, $A37, 'Raw Data'!$C:$C, $C$3),""))</f>
        <v/>
      </c>
      <c r="CS37" s="105" t="str">
        <f t="shared" si="32"/>
        <v/>
      </c>
      <c r="CT37" s="96" t="str">
        <f>IF($A37="","",IFERROR(SUMPRODUCT(('Raw Data'!$B$2:$B$9999="Control")*('Raw Data'!$A$2:$A$9999=$A37)*('Raw Data'!$C$2:$C$9999=$C$3)*'Raw Data'!$D$2:$D$9999*'Raw Data'!$AI$2:$AI$9999)/SUMIFS('Raw Data'!$D:$D, 'Raw Data'!$B:$B, "Control", 'Raw Data'!$A:$A, $A37, 'Raw Data'!$C:$C, $C$3),""))</f>
        <v/>
      </c>
      <c r="CU37" s="96" t="str">
        <f>IF($A37="","",IFERROR(SUMPRODUCT(('Raw Data'!$B$2:$B$9999="Variant")*('Raw Data'!$A$2:$A$9999=$A37)*('Raw Data'!$C$2:$C$9999=$C$3)*'Raw Data'!$D$2:$D$9999*'Raw Data'!$AI$2:$AI$9999)/SUMIFS('Raw Data'!$D:$D, 'Raw Data'!$B:$B, "Variant", 'Raw Data'!$A:$A, $A37, 'Raw Data'!$C:$C, $C$3),""))</f>
        <v/>
      </c>
      <c r="CV37" s="106" t="str">
        <f t="shared" si="33"/>
        <v/>
      </c>
      <c r="CW37" s="96" t="str">
        <f>IF($A37="","",IFERROR(SUMPRODUCT(('Raw Data'!$B$2:$B$9999="Control")*('Raw Data'!$A$2:$A$9999=$A37)*('Raw Data'!$C$2:$C$9999=$C$3)*'Raw Data'!$D$2:$D$9999*'Raw Data'!$AJ$2:$AJ$9999)/SUMIFS('Raw Data'!$D:$D, 'Raw Data'!$B:$B, "Control", 'Raw Data'!$A:$A, $A37, 'Raw Data'!$C:$C, $C$3),""))</f>
        <v/>
      </c>
      <c r="CX37" s="96" t="str">
        <f>IF($A37="","",IFERROR(SUMPRODUCT(('Raw Data'!$B$2:$B$9999="Variant")*('Raw Data'!$A$2:$A$9999=$A37)*('Raw Data'!$C$2:$C$9999=$C$3)*'Raw Data'!$D$2:$D$9999*'Raw Data'!$AJ$2:$AJ$9999)/SUMIFS('Raw Data'!$D:$D, 'Raw Data'!$B:$B, "Variant", 'Raw Data'!$A:$A, $A37, 'Raw Data'!$C:$C, $C$3),""))</f>
        <v/>
      </c>
      <c r="CY37" s="106" t="str">
        <f t="shared" si="34"/>
        <v/>
      </c>
      <c r="CZ37" s="96" t="str">
        <f>IF($A37="","",IFERROR(SUMPRODUCT(('Raw Data'!$B$2:$B$9999="Control")*('Raw Data'!$A$2:$A$9999=$A37)*('Raw Data'!$C$2:$C$9999=$C$3)*'Raw Data'!$D$2:$D$9999*'Raw Data'!$AK$2:$AK$9999)/SUMIFS('Raw Data'!$D:$D, 'Raw Data'!$B:$B, "Control", 'Raw Data'!$A:$A, $A37, 'Raw Data'!$C:$C, $C$3),""))</f>
        <v/>
      </c>
      <c r="DA37" s="96" t="str">
        <f>IF($A37="","",IFERROR(SUMPRODUCT(('Raw Data'!$B$2:$B$9999="Variant")*('Raw Data'!$A$2:$A$9999=$A37)*('Raw Data'!$C$2:$C$9999=$C$3)*'Raw Data'!$D$2:$D$9999*'Raw Data'!$AK$2:$AK$9999)/SUMIFS('Raw Data'!$D:$D, 'Raw Data'!$B:$B, "Variant", 'Raw Data'!$A:$A, $A37, 'Raw Data'!$C:$C, $C$3),""))</f>
        <v/>
      </c>
      <c r="DB37" s="105" t="str">
        <f t="shared" si="35"/>
        <v/>
      </c>
      <c r="DC37" s="102" t="str">
        <f>IF($A37="","",IFERROR(SUMPRODUCT(('Raw Data'!$B$2:$B$9999="Control")*('Raw Data'!$A$2:$A$9999=$A37)*('Raw Data'!$C$2:$C$9999=$C$3)*'Raw Data'!$D$2:$D$9999*'Raw Data'!$AL$2:$AL$9999)/SUMIFS('Raw Data'!$D:$D, 'Raw Data'!$B:$B, "Control", 'Raw Data'!$A:$A, $A37, 'Raw Data'!$C:$C, $C$3),""))</f>
        <v/>
      </c>
      <c r="DD37" s="102" t="str">
        <f>IF($A37="","",IFERROR(SUMPRODUCT(('Raw Data'!$B$2:$B$9999="Variant")*('Raw Data'!$A$2:$A$9999=$A37)*('Raw Data'!$C$2:$C$9999=$C$3)*'Raw Data'!$D$2:$D$9999*'Raw Data'!$AL$2:$AL$9999)/SUMIFS('Raw Data'!$D:$D, 'Raw Data'!$B:$B, "Variant", 'Raw Data'!$A:$A, $A37, 'Raw Data'!$C:$C, $C$3),""))</f>
        <v/>
      </c>
      <c r="DE37" s="106" t="str">
        <f t="shared" si="36"/>
        <v/>
      </c>
      <c r="DF37" s="103"/>
      <c r="DG37" s="96" t="str">
        <f>IF($A37="","",IFERROR(SUMPRODUCT(('Raw Data'!$B$2:$B$9999="Variant")*('Raw Data'!$A$2:$A$9999=$A37)*('Raw Data'!$C$2:$C$9999=$C$3)*'Raw Data'!$D$2:$D$9999*'Raw Data'!$AM$2:$AM$9999)/SUMIFS('Raw Data'!$D:$D, 'Raw Data'!$B:$B, "Variant", 'Raw Data'!$A:$A, $A37, 'Raw Data'!$C:$C, $C$3),""))</f>
        <v/>
      </c>
      <c r="DH37" s="104"/>
      <c r="DI37" s="103"/>
      <c r="DJ37" s="96" t="str">
        <f>IF($A37="","",IFERROR(SUMPRODUCT(('Raw Data'!$B$2:$B$9999="Variant")*('Raw Data'!$A$2:$A$9999=$A37)*('Raw Data'!$C$2:$C$9999=$C$3)*'Raw Data'!$D$2:$D$9999*'Raw Data'!$AN$2:$AN$9999)/SUMIFS('Raw Data'!$D:$D, 'Raw Data'!$B:$B, "Variant", 'Raw Data'!$A:$A, $A37, 'Raw Data'!$C:$C, $C$3),""))</f>
        <v/>
      </c>
      <c r="DK37" s="104"/>
      <c r="DL37" s="103"/>
      <c r="DM37" s="96" t="str">
        <f>IF($A37="","",IFERROR(SUMPRODUCT(('Raw Data'!$B$2:$B$9999="Variant")*('Raw Data'!$A$2:$A$9999=$A37)*('Raw Data'!$C$2:$C$9999=$C$3)*'Raw Data'!$D$2:$D$9999*'Raw Data'!$AO$2:$AO$9999)/SUMIFS('Raw Data'!$D:$D, 'Raw Data'!$B:$B, "Variant", 'Raw Data'!$A:$A, $A37, 'Raw Data'!$C:$C, $C$3),""))</f>
        <v/>
      </c>
      <c r="DN37" s="104"/>
      <c r="DO37" s="103"/>
      <c r="DP37" s="96" t="str">
        <f>IF($A37="","",IFERROR(SUMPRODUCT(('Raw Data'!$B$2:$B$9999="Variant")*('Raw Data'!$A$2:$A$9999=$A37)*('Raw Data'!$C$2:$C$9999=$C$3)*'Raw Data'!$D$2:$D$9999*'Raw Data'!$AP$2:$AP$9999)/SUMIFS('Raw Data'!$D:$D, 'Raw Data'!$B:$B, "Variant", 'Raw Data'!$A:$A, $A37, 'Raw Data'!$C:$C, $C$3),""))</f>
        <v/>
      </c>
      <c r="DQ37" s="104"/>
      <c r="DR37" s="102" t="str">
        <f>IF($A37="","",IFERROR(SUMPRODUCT(('Raw Data'!$B$2:$B$9999="Control")*('Raw Data'!$A$2:$A$9999=$A37)*('Raw Data'!$C$2:$C$9999=$C$3)*'Raw Data'!$D$2:$D$9999*'Raw Data'!$AQ$2:$AQ$9999)/SUMIFS('Raw Data'!$D:$D, 'Raw Data'!$B:$B, "Control", 'Raw Data'!$A:$A, $A37, 'Raw Data'!$C:$C, $C$3),""))</f>
        <v/>
      </c>
      <c r="DS37" s="102" t="str">
        <f>IF($A37="","",IFERROR(SUMPRODUCT(('Raw Data'!$B$2:$B$9999="Variant")*('Raw Data'!$A$2:$A$9999=$A37)*('Raw Data'!$C$2:$C$9999=$C$3)*'Raw Data'!$D$2:$D$9999*'Raw Data'!$AQ$2:$AQ$9999)/SUMIFS('Raw Data'!$D:$D, 'Raw Data'!$B:$B, "Variant", 'Raw Data'!$A:$A, $A37, 'Raw Data'!$C:$C, $C$3),""))</f>
        <v/>
      </c>
      <c r="DT37" s="109" t="str">
        <f t="shared" si="37"/>
        <v/>
      </c>
      <c r="DU37" s="102" t="str">
        <f>IF($A37="","",IFERROR(SUMPRODUCT(('Raw Data'!$B$2:$B$9999="Control")*('Raw Data'!$A$2:$A$9999=$A37)*('Raw Data'!$C$2:$C$9999=$C$3)*'Raw Data'!$D$2:$D$9999*'Raw Data'!$AR$2:$AR$9999)/SUMIFS('Raw Data'!$D:$D, 'Raw Data'!$B:$B, "Control", 'Raw Data'!$A:$A, $A37, 'Raw Data'!$C:$C, $C$3),""))</f>
        <v/>
      </c>
      <c r="DV37" s="102" t="str">
        <f>IF($A37="","",IFERROR(SUMPRODUCT(('Raw Data'!$B$2:$B$9999="Variant")*('Raw Data'!$A$2:$A$9999=$A37)*('Raw Data'!$C$2:$C$9999=$C$3)*'Raw Data'!$D$2:$D$9999*'Raw Data'!$AR$2:$AR$9999)/SUMIFS('Raw Data'!$D:$D, 'Raw Data'!$B:$B, "Variant", 'Raw Data'!$A:$A, $A37, 'Raw Data'!$C:$C, $C$3),""))</f>
        <v/>
      </c>
      <c r="DW37" s="109" t="str">
        <f t="shared" si="38"/>
        <v/>
      </c>
      <c r="DX37" s="102" t="str">
        <f>IF($A37="","",IFERROR(SUMPRODUCT(('Raw Data'!$B$2:$B$9999="Control")*('Raw Data'!$A$2:$A$9999=$A37)*('Raw Data'!$C$2:$C$9999=$C$3)*'Raw Data'!$D$2:$D$9999*'Raw Data'!$AS$2:$AS$9999)/SUMIFS('Raw Data'!$D:$D, 'Raw Data'!$B:$B, "Control", 'Raw Data'!$A:$A, $A37, 'Raw Data'!$C:$C, $C$3),""))</f>
        <v/>
      </c>
      <c r="DY37" s="102" t="str">
        <f>IF($A37="","",IFERROR(SUMPRODUCT(('Raw Data'!$B$2:$B$9999="Variant")*('Raw Data'!$A$2:$A$9999=$A37)*('Raw Data'!$C$2:$C$9999=$C$3)*'Raw Data'!$D$2:$D$9999*'Raw Data'!$AS$2:$AS$9999)/SUMIFS('Raw Data'!$D:$D, 'Raw Data'!$B:$B, "Variant", 'Raw Data'!$A:$A, $A37, 'Raw Data'!$C:$C, $C$3),""))</f>
        <v/>
      </c>
      <c r="DZ37" s="110" t="str">
        <f t="shared" si="39"/>
        <v/>
      </c>
      <c r="EA37" s="102" t="str">
        <f>IF($A37="","",IFERROR(SUMPRODUCT(('Raw Data'!$B$2:$B$9999="Control")*('Raw Data'!$A$2:$A$9999=$A37)*('Raw Data'!$C$2:$C$9999=$C$3)*'Raw Data'!$D$2:$D$9999*'Raw Data'!$AT$2:$AT$9999)/SUMIFS('Raw Data'!$D:$D, 'Raw Data'!$B:$B, "Control", 'Raw Data'!$A:$A, $A37, 'Raw Data'!$C:$C, $C$3),""))</f>
        <v/>
      </c>
      <c r="EB37" s="102" t="str">
        <f>IF($A37="","",IFERROR(SUMPRODUCT(('Raw Data'!$B$2:$B$9999="Variant")*('Raw Data'!$A$2:$A$9999=$A37)*('Raw Data'!$C$2:$C$9999=$C$3)*'Raw Data'!$D$2:$D$9999*'Raw Data'!$AT$2:$AT$9999)/SUMIFS('Raw Data'!$D:$D, 'Raw Data'!$B:$B, "Variant", 'Raw Data'!$A:$A, $A37, 'Raw Data'!$C:$C, $C$3),""))</f>
        <v/>
      </c>
      <c r="EC37" s="109" t="str">
        <f t="shared" si="40"/>
        <v/>
      </c>
      <c r="ED37" s="102" t="str">
        <f>IF($A37="","",IFERROR(SUMPRODUCT(('Raw Data'!$B$2:$B$9999="Control")*('Raw Data'!$A$2:$A$9999=$A37)*('Raw Data'!$C$2:$C$9999=$C$3)*'Raw Data'!$D$2:$D$9999*('Raw Data'!$AQ$2:$AQ$9999-'Raw Data'!$AT$2:$AT$9999))/SUMIFS('Raw Data'!$D:$D, 'Raw Data'!$B:$B, "Control", 'Raw Data'!$A:$A, $A37, 'Raw Data'!$C:$C, $C$3),""))</f>
        <v/>
      </c>
      <c r="EE37" s="102" t="str">
        <f>IF($A37="","",IFERROR(SUMPRODUCT(('Raw Data'!$B$2:$B$9999="Variant")*('Raw Data'!$A$2:$A$9999=$A37)*('Raw Data'!$C$2:$C$9999=$C$3)*'Raw Data'!$D$2:$D$9999*('Raw Data'!$AQ$2:$AQ$9999-'Raw Data'!$AT$2:$AT$9999))/SUMIFS('Raw Data'!$D:$D, 'Raw Data'!$B:$B, "Variant", 'Raw Data'!$A:$A, $A37, 'Raw Data'!$C:$C, $C$3),""))</f>
        <v/>
      </c>
      <c r="EF37" s="110" t="str">
        <f t="shared" si="41"/>
        <v/>
      </c>
      <c r="EG37" s="102" t="str">
        <f>IF($A37="","",IFERROR(SUMPRODUCT(('Raw Data'!$B$2:$B$9999="Control")*('Raw Data'!$A$2:$A$9999=$A37)*('Raw Data'!$C$2:$C$9999=$C$3)*'Raw Data'!$D$2:$D$9999*'Raw Data'!$AU$2:$AU$9999)/SUMIFS('Raw Data'!$D:$D, 'Raw Data'!$B:$B, "Control", 'Raw Data'!$A:$A, $A37, 'Raw Data'!$C:$C, $C$3),""))</f>
        <v/>
      </c>
      <c r="EH37" s="102" t="str">
        <f>IF($A37="","",IFERROR(SUMPRODUCT(('Raw Data'!$B$2:$B$9999="Variant")*('Raw Data'!$A$2:$A$9999=$A37)*('Raw Data'!$C$2:$C$9999=$C$3)*'Raw Data'!$D$2:$D$9999*'Raw Data'!$AU$2:$AU$9999)/SUMIFS('Raw Data'!$D:$D, 'Raw Data'!$B:$B, "Variant", 'Raw Data'!$A:$A, $A37, 'Raw Data'!$C:$C, $C$3),""))</f>
        <v/>
      </c>
      <c r="EI37" s="109" t="str">
        <f t="shared" si="42"/>
        <v/>
      </c>
    </row>
    <row r="38" ht="15.75" customHeight="1">
      <c r="A38" s="93">
        <v>46206.0</v>
      </c>
      <c r="B38" s="94">
        <f>IF($A38="","",SUMIFS('Raw Data'!$D:$D, 'Raw Data'!$B:$B, "Control", 'Raw Data'!$A:$A, $A38, 'Raw Data'!$C:$C, $C$3))</f>
        <v>0</v>
      </c>
      <c r="C38" s="94">
        <f>IF($A38="","",SUMIFS('Raw Data'!$D:$D, 'Raw Data'!$B:$B, "Variant", 'Raw Data'!$A:$A, $A38, 'Raw Data'!$C:$C, $C$3))</f>
        <v>0</v>
      </c>
      <c r="D38" s="95" t="str">
        <f t="shared" si="1"/>
        <v/>
      </c>
      <c r="E38" s="96" t="str">
        <f>IF($A38="","",IFERROR(SUMPRODUCT(('Raw Data'!$B$2:$B$9999="Control")*('Raw Data'!$A$2:$A$9999=$A38)*('Raw Data'!$C$2:$C$9999=$C$3)*'Raw Data'!$D$2:$D$9999*'Raw Data'!$E$2:$E$9999)/SUMIFS('Raw Data'!$D:$D, 'Raw Data'!$B:$B, "Control", 'Raw Data'!$A:$A, $A38, 'Raw Data'!$C:$C, $C$3),""))</f>
        <v/>
      </c>
      <c r="F38" s="96" t="str">
        <f>IF($A38="","",IFERROR(SUMPRODUCT(('Raw Data'!$B$2:$B$9999="Variant")*('Raw Data'!$A$2:$A$9999=$A38)*('Raw Data'!$C$2:$C$9999=$C$3)*'Raw Data'!$D$2:$D$9999*'Raw Data'!$E$2:$E$9999)/SUMIFS('Raw Data'!$D:$D, 'Raw Data'!$B:$B, "Variant", 'Raw Data'!$A:$A, $A38, 'Raw Data'!$C:$C, $C$3),""))</f>
        <v/>
      </c>
      <c r="G38" s="95" t="str">
        <f t="shared" si="2"/>
        <v/>
      </c>
      <c r="H38" s="97">
        <f>IF($A38="","",SUMIFS('Raw Data'!$F:$F, 'Raw Data'!$B:$B, "Control", 'Raw Data'!$A:$A, $A38, 'Raw Data'!$C:$C, $C$3))</f>
        <v>0</v>
      </c>
      <c r="I38" s="97">
        <f>IF($A38="","",SUMIFS('Raw Data'!$F:$F, 'Raw Data'!$B:$B, "Variant", 'Raw Data'!$A:$A, $A38, 'Raw Data'!$C:$C, $C$3))</f>
        <v>0</v>
      </c>
      <c r="J38" s="105" t="str">
        <f t="shared" si="3"/>
        <v/>
      </c>
      <c r="K38" s="99" t="str">
        <f>IF($A38="","",IFERROR(SUMIFS('Raw Data'!$F:$F, 'Raw Data'!$B:$B, "Control", 'Raw Data'!$A:$A, $A38, 'Raw Data'!$C:$C, $C$3)/SUMIFS('Raw Data'!$D:$D, 'Raw Data'!$B:$B, "Control", 'Raw Data'!$A:$A, $A38, 'Raw Data'!$C:$C, $C$3),""))</f>
        <v/>
      </c>
      <c r="L38" s="99" t="str">
        <f>IF($A38="","",IFERROR(SUMIFS('Raw Data'!$F:$F, 'Raw Data'!$B:$B, "Variant", 'Raw Data'!$A:$A, $A38, 'Raw Data'!$C:$C, $C$3)/SUMIFS('Raw Data'!$D:$D, 'Raw Data'!$B:$B, "Variant", 'Raw Data'!$A:$A, $A38, 'Raw Data'!$C:$C, $C$3),""))</f>
        <v/>
      </c>
      <c r="M38" s="105" t="str">
        <f t="shared" si="4"/>
        <v/>
      </c>
      <c r="N38" s="96" t="str">
        <f>IF($A38="","",IFERROR(SUMPRODUCT(('Raw Data'!$B$2:$B$9999="Control")*('Raw Data'!$A$2:$A$9999=$A38)*('Raw Data'!$C$2:$C$9999=$C$3)*'Raw Data'!$D$2:$D$9999*'Raw Data'!$H$2:$H$9999/100)/SUMIFS('Raw Data'!$D:$D, 'Raw Data'!$B:$B, "Control", 'Raw Data'!$A:$A, $A38, 'Raw Data'!$C:$C, $C$3)*100,""))</f>
        <v/>
      </c>
      <c r="O38" s="96" t="str">
        <f>IF($A38="","",IFERROR(SUMPRODUCT(('Raw Data'!$B$2:$B$9999="Variant")*('Raw Data'!$A$2:$A$9999=$A38)*('Raw Data'!$C$2:$C$9999=$C$3)*'Raw Data'!$D$2:$D$9999*'Raw Data'!$H$2:$H$9999/100)/SUMIFS('Raw Data'!$D:$D, 'Raw Data'!$B:$B, "Variant", 'Raw Data'!$A:$A, $A38, 'Raw Data'!$C:$C, $C$3)*100,""))</f>
        <v/>
      </c>
      <c r="P38" s="105" t="str">
        <f t="shared" si="5"/>
        <v/>
      </c>
      <c r="Q38" s="99" t="str">
        <f>IF($A38="","",IFERROR(SUMIFS('Raw Data'!$F:$F, 'Raw Data'!$B:$B, "Control", 'Raw Data'!$A:$A, $A38, 'Raw Data'!$C:$C, $C$3)/SUMPRODUCT(('Raw Data'!$B$2:$B$9999="Control")*('Raw Data'!$A$2:$A$9999=$A38)*('Raw Data'!$C$2:$C$9999=$C$3)*'Raw Data'!$D$2:$D$9999*'Raw Data'!$H$2:$H$9999/100),""))</f>
        <v/>
      </c>
      <c r="R38" s="99" t="str">
        <f>IF($A38="","",IFERROR(SUMIFS('Raw Data'!$F:$F, 'Raw Data'!$B:$B, "Variant", 'Raw Data'!$A:$A, $A38, 'Raw Data'!$C:$C, $C$3)/SUMPRODUCT(('Raw Data'!$B$2:$B$9999="Variant")*('Raw Data'!$A$2:$A$9999=$A38)*('Raw Data'!$C$2:$C$9999=$C$3)*'Raw Data'!$D$2:$D$9999*'Raw Data'!$H$2:$H$9999/100),""))</f>
        <v/>
      </c>
      <c r="S38" s="105" t="str">
        <f t="shared" si="6"/>
        <v/>
      </c>
      <c r="T38" s="101" t="str">
        <f>IF($A38="","",IFERROR(SUMPRODUCT(('Raw Data'!$B$2:$B$9999="Control")*('Raw Data'!$A$2:$A$9999=$A38)*('Raw Data'!$C$2:$C$9999=$C$3)*'Raw Data'!$D$2:$D$9999*'Raw Data'!$J$2:$J$9999)/SUMIFS('Raw Data'!$D:$D, 'Raw Data'!$B:$B, "Control", 'Raw Data'!$A:$A, $A38, 'Raw Data'!$C:$C, $C$3),""))</f>
        <v/>
      </c>
      <c r="U38" s="101" t="str">
        <f>IF($A38="","",IFERROR(SUMPRODUCT(('Raw Data'!$B$2:$B$9999="Variant")*('Raw Data'!$A$2:$A$9999=$A38)*('Raw Data'!$C$2:$C$9999=$C$3)*'Raw Data'!$D$2:$D$9999*'Raw Data'!$J$2:$J$9999)/SUMIFS('Raw Data'!$D:$D, 'Raw Data'!$B:$B, "Variant", 'Raw Data'!$A:$A, $A38, 'Raw Data'!$C:$C, $C$3),""))</f>
        <v/>
      </c>
      <c r="V38" s="105" t="str">
        <f t="shared" si="7"/>
        <v/>
      </c>
      <c r="W38" s="101" t="str">
        <f>IF($A38="","",IFERROR(SUMPRODUCT(('Raw Data'!$B$2:$B$9999="Control")*('Raw Data'!$A$2:$A$9999=$A38)*('Raw Data'!$C$2:$C$9999=$C$3)*'Raw Data'!$D$2:$D$9999*'Raw Data'!$K$2:$K$9999)/SUMIFS('Raw Data'!$D:$D, 'Raw Data'!$B:$B, "Control", 'Raw Data'!$A:$A, $A38, 'Raw Data'!$C:$C, $C$3),""))</f>
        <v/>
      </c>
      <c r="X38" s="101" t="str">
        <f>IF($A38="","",IFERROR(SUMPRODUCT(('Raw Data'!$B$2:$B$9999="Variant")*('Raw Data'!$A$2:$A$9999=$A38)*('Raw Data'!$C$2:$C$9999=$C$3)*'Raw Data'!$D$2:$D$9999*'Raw Data'!$K$2:$K$9999)/SUMIFS('Raw Data'!$D:$D, 'Raw Data'!$B:$B, "Variant", 'Raw Data'!$A:$A, $A38, 'Raw Data'!$C:$C, $C$3),""))</f>
        <v/>
      </c>
      <c r="Y38" s="105" t="str">
        <f t="shared" si="8"/>
        <v/>
      </c>
      <c r="Z38" s="101" t="str">
        <f>IF($A38="","",IFERROR(SUMPRODUCT(('Raw Data'!$B$2:$B$9999="Control")*('Raw Data'!$A$2:$A$9999=$A38)*('Raw Data'!$C$2:$C$9999=$C$3)*'Raw Data'!$D$2:$D$9999*'Raw Data'!$L$2:$L$9999)/SUMIFS('Raw Data'!$D:$D, 'Raw Data'!$B:$B, "Control", 'Raw Data'!$A:$A, $A38, 'Raw Data'!$C:$C, $C$3),""))</f>
        <v/>
      </c>
      <c r="AA38" s="101" t="str">
        <f>IF($A38="","",IFERROR(SUMPRODUCT(('Raw Data'!$B$2:$B$9999="Variant")*('Raw Data'!$A$2:$A$9999=$A38)*('Raw Data'!$C$2:$C$9999=$C$3)*'Raw Data'!$D$2:$D$9999*'Raw Data'!$L$2:$L$9999)/SUMIFS('Raw Data'!$D:$D, 'Raw Data'!$B:$B, "Variant", 'Raw Data'!$A:$A, $A38, 'Raw Data'!$C:$C, $C$3),""))</f>
        <v/>
      </c>
      <c r="AB38" s="105" t="str">
        <f t="shared" si="9"/>
        <v/>
      </c>
      <c r="AC38" s="102" t="str">
        <f>IF($A38="","",IFERROR(SUMPRODUCT(('Raw Data'!$B$2:$B$9999="Control")*('Raw Data'!$A$2:$A$9999=$A38)*('Raw Data'!$C$2:$C$9999=$C$3)*'Raw Data'!$D$2:$D$9999*'Raw Data'!$M$2:$M$9999)/SUMIFS('Raw Data'!$D:$D, 'Raw Data'!$B:$B, "Control", 'Raw Data'!$A:$A, $A38, 'Raw Data'!$C:$C, $C$3),""))</f>
        <v/>
      </c>
      <c r="AD38" s="102" t="str">
        <f>IF($A38="","",IFERROR(SUMPRODUCT(('Raw Data'!$B$2:$B$9999="Variant")*('Raw Data'!$A$2:$A$9999=$A38)*('Raw Data'!$C$2:$C$9999=$C$3)*'Raw Data'!$D$2:$D$9999*'Raw Data'!$M$2:$M$9999)/SUMIFS('Raw Data'!$D:$D, 'Raw Data'!$B:$B, "Variant", 'Raw Data'!$A:$A, $A38, 'Raw Data'!$C:$C, $C$3),""))</f>
        <v/>
      </c>
      <c r="AE38" s="106" t="str">
        <f t="shared" si="10"/>
        <v/>
      </c>
      <c r="AF38" s="102" t="str">
        <f>IF($A38="","",IFERROR(SUMPRODUCT(('Raw Data'!$B$2:$B$9999="Control")*('Raw Data'!$A$2:$A$9999=$A38)*('Raw Data'!$C$2:$C$9999=$C$3)*'Raw Data'!$D$2:$D$9999*'Raw Data'!$N$2:$N$9999)/SUMIFS('Raw Data'!$D:$D, 'Raw Data'!$B:$B, "Control", 'Raw Data'!$A:$A, $A38, 'Raw Data'!$C:$C, $C$3),""))</f>
        <v/>
      </c>
      <c r="AG38" s="102" t="str">
        <f>IF($A38="","",IFERROR(SUMPRODUCT(('Raw Data'!$B$2:$B$9999="Variant")*('Raw Data'!$A$2:$A$9999=$A38)*('Raw Data'!$C$2:$C$9999=$C$3)*'Raw Data'!$D$2:$D$9999*'Raw Data'!$N$2:$N$9999)/SUMIFS('Raw Data'!$D:$D, 'Raw Data'!$B:$B, "Variant", 'Raw Data'!$A:$A, $A38, 'Raw Data'!$C:$C, $C$3),""))</f>
        <v/>
      </c>
      <c r="AH38" s="106" t="str">
        <f t="shared" si="11"/>
        <v/>
      </c>
      <c r="AI38" s="102" t="str">
        <f>IF($A38="","",IFERROR(SUMPRODUCT(('Raw Data'!$B$2:$B$9999="Control")*('Raw Data'!$A$2:$A$9999=$A38)*('Raw Data'!$C$2:$C$9999=$C$3)*'Raw Data'!$D$2:$D$9999*'Raw Data'!$O$2:$O$9999)/SUMIFS('Raw Data'!$D:$D, 'Raw Data'!$B:$B, "Control", 'Raw Data'!$A:$A, $A38, 'Raw Data'!$C:$C, $C$3),""))</f>
        <v/>
      </c>
      <c r="AJ38" s="102" t="str">
        <f>IF($A38="","",IFERROR(SUMPRODUCT(('Raw Data'!$B$2:$B$9999="Variant")*('Raw Data'!$A$2:$A$9999=$A38)*('Raw Data'!$C$2:$C$9999=$C$3)*'Raw Data'!$D$2:$D$9999*'Raw Data'!$O$2:$O$9999)/SUMIFS('Raw Data'!$D:$D, 'Raw Data'!$B:$B, "Variant", 'Raw Data'!$A:$A, $A38, 'Raw Data'!$C:$C, $C$3),""))</f>
        <v/>
      </c>
      <c r="AK38" s="105" t="str">
        <f t="shared" si="12"/>
        <v/>
      </c>
      <c r="AL38" s="101" t="str">
        <f>IF($A38="","",IFERROR(SUMPRODUCT(('Raw Data'!$B$2:$B$9999="Control")*('Raw Data'!$A$2:$A$9999=$A38)*('Raw Data'!$C$2:$C$9999=$C$3)*'Raw Data'!$D$2:$D$9999*'Raw Data'!$P$2:$P$9999)/SUMIFS('Raw Data'!$D:$D, 'Raw Data'!$B:$B, "Control", 'Raw Data'!$A:$A, $A38, 'Raw Data'!$C:$C, $C$3),""))</f>
        <v/>
      </c>
      <c r="AM38" s="101" t="str">
        <f>IF($A38="","",IFERROR(SUMPRODUCT(('Raw Data'!$B$2:$B$9999="Variant")*('Raw Data'!$A$2:$A$9999=$A38)*('Raw Data'!$C$2:$C$9999=$C$3)*'Raw Data'!$D$2:$D$9999*'Raw Data'!$P$2:$P$9999)/SUMIFS('Raw Data'!$D:$D, 'Raw Data'!$B:$B, "Variant", 'Raw Data'!$A:$A, $A38, 'Raw Data'!$C:$C, $C$3),""))</f>
        <v/>
      </c>
      <c r="AN38" s="105" t="str">
        <f t="shared" si="13"/>
        <v/>
      </c>
      <c r="AO38" s="101" t="str">
        <f>IF($A38="","",IFERROR(SUMPRODUCT(('Raw Data'!$B$2:$B$9999="Control")*('Raw Data'!$A$2:$A$9999=$A38)*('Raw Data'!$C$2:$C$9999=$C$3)*'Raw Data'!$D$2:$D$9999*'Raw Data'!$Q$2:$Q$9999)/SUMIFS('Raw Data'!$D:$D, 'Raw Data'!$B:$B, "Control", 'Raw Data'!$A:$A, $A38, 'Raw Data'!$C:$C, $C$3),""))</f>
        <v/>
      </c>
      <c r="AP38" s="101" t="str">
        <f>IF($A38="","",IFERROR(SUMPRODUCT(('Raw Data'!$B$2:$B$9999="Variant")*('Raw Data'!$A$2:$A$9999=$A38)*('Raw Data'!$C$2:$C$9999=$C$3)*'Raw Data'!$D$2:$D$9999*'Raw Data'!$Q$2:$Q$9999)/SUMIFS('Raw Data'!$D:$D, 'Raw Data'!$B:$B, "Variant", 'Raw Data'!$A:$A, $A38, 'Raw Data'!$C:$C, $C$3),""))</f>
        <v/>
      </c>
      <c r="AQ38" s="95" t="str">
        <f t="shared" si="14"/>
        <v/>
      </c>
      <c r="AR38" s="101" t="str">
        <f>IF($A38="","",IFERROR(SUMPRODUCT(('Raw Data'!$B$2:$B$9999="Control")*('Raw Data'!$A$2:$A$9999=$A38)*('Raw Data'!$C$2:$C$9999=$C$3)*'Raw Data'!$D$2:$D$9999*'Raw Data'!$R$2:$R$9999)/SUMIFS('Raw Data'!$D:$D, 'Raw Data'!$B:$B, "Control", 'Raw Data'!$A:$A, $A38, 'Raw Data'!$C:$C, $C$3),""))</f>
        <v/>
      </c>
      <c r="AS38" s="101" t="str">
        <f>IF($A38="","",IFERROR(SUMPRODUCT(('Raw Data'!$B$2:$B$9999="Variant")*('Raw Data'!$A$2:$A$9999=$A38)*('Raw Data'!$C$2:$C$9999=$C$3)*'Raw Data'!$D$2:$D$9999*'Raw Data'!$R$2:$R$9999)/SUMIFS('Raw Data'!$D:$D, 'Raw Data'!$B:$B, "Variant", 'Raw Data'!$A:$A, $A38, 'Raw Data'!$C:$C, $C$3),""))</f>
        <v/>
      </c>
      <c r="AT38" s="95" t="str">
        <f t="shared" si="15"/>
        <v/>
      </c>
      <c r="AU38" s="101" t="str">
        <f>IF($A38="","",IFERROR(SUMPRODUCT(('Raw Data'!$B$2:$B$9999="Control")*('Raw Data'!$A$2:$A$9999=$A38)*('Raw Data'!$C$2:$C$9999=$C$3)*'Raw Data'!$D$2:$D$9999*'Raw Data'!$S$2:$S$9999)/SUMIFS('Raw Data'!$D:$D, 'Raw Data'!$B:$B, "Control", 'Raw Data'!$A:$A, $A38, 'Raw Data'!$C:$C, $C$3),""))</f>
        <v/>
      </c>
      <c r="AV38" s="101" t="str">
        <f>IF($A38="","",IFERROR(SUMPRODUCT(('Raw Data'!$B$2:$B$9999="Variant")*('Raw Data'!$A$2:$A$9999=$A38)*('Raw Data'!$C$2:$C$9999=$C$3)*'Raw Data'!$D$2:$D$9999*'Raw Data'!$S$2:$S$9999)/SUMIFS('Raw Data'!$D:$D, 'Raw Data'!$B:$B, "Variant", 'Raw Data'!$A:$A, $A38, 'Raw Data'!$C:$C, $C$3),""))</f>
        <v/>
      </c>
      <c r="AW38" s="95" t="str">
        <f t="shared" si="16"/>
        <v/>
      </c>
      <c r="AX38" s="101" t="str">
        <f>IF($A38="","",IFERROR(SUMPRODUCT(('Raw Data'!$B$2:$B$9999="Control")*('Raw Data'!$A$2:$A$9999=$A38)*('Raw Data'!$C$2:$C$9999=$C$3)*'Raw Data'!$D$2:$D$9999*'Raw Data'!$T$2:$T$9999)/SUMIFS('Raw Data'!$D:$D, 'Raw Data'!$B:$B, "Control", 'Raw Data'!$A:$A, $A38, 'Raw Data'!$C:$C, $C$3),""))</f>
        <v/>
      </c>
      <c r="AY38" s="101" t="str">
        <f>IF($A38="","",IFERROR(SUMPRODUCT(('Raw Data'!$B$2:$B$9999="Variant")*('Raw Data'!$A$2:$A$9999=$A38)*('Raw Data'!$C$2:$C$9999=$C$3)*'Raw Data'!$D$2:$D$9999*'Raw Data'!$T$2:$T$9999)/SUMIFS('Raw Data'!$D:$D, 'Raw Data'!$B:$B, "Variant", 'Raw Data'!$A:$A, $A38, 'Raw Data'!$C:$C, $C$3),""))</f>
        <v/>
      </c>
      <c r="AZ38" s="105" t="str">
        <f t="shared" si="17"/>
        <v/>
      </c>
      <c r="BA38" s="101" t="str">
        <f>IF($A38="","",IFERROR(SUMPRODUCT(('Raw Data'!$B$2:$B$9999="Control")*('Raw Data'!$A$2:$A$9999=$A38)*('Raw Data'!$C$2:$C$9999=$C$3)*'Raw Data'!$D$2:$D$9999*'Raw Data'!$U$2:$U$9999)/SUMIFS('Raw Data'!$D:$D, 'Raw Data'!$B:$B, "Control", 'Raw Data'!$A:$A, $A38, 'Raw Data'!$C:$C, $C$3),""))</f>
        <v/>
      </c>
      <c r="BB38" s="101" t="str">
        <f>IF($A38="","",IFERROR(SUMPRODUCT(('Raw Data'!$B$2:$B$9999="Variant")*('Raw Data'!$A$2:$A$9999=$A38)*('Raw Data'!$C$2:$C$9999=$C$3)*'Raw Data'!$D$2:$D$9999*'Raw Data'!$U$2:$U$9999)/SUMIFS('Raw Data'!$D:$D, 'Raw Data'!$B:$B, "Variant", 'Raw Data'!$A:$A, $A38, 'Raw Data'!$C:$C, $C$3),""))</f>
        <v/>
      </c>
      <c r="BC38" s="95" t="str">
        <f t="shared" si="18"/>
        <v/>
      </c>
      <c r="BD38" s="101" t="str">
        <f>IF($A38="","",IFERROR(SUMPRODUCT(('Raw Data'!$B$2:$B$9999="Control")*('Raw Data'!$A$2:$A$9999=$A38)*('Raw Data'!$C$2:$C$9999=$C$3)*'Raw Data'!$D$2:$D$9999*'Raw Data'!$V$2:$V$9999)/SUMIFS('Raw Data'!$D:$D, 'Raw Data'!$B:$B, "Control", 'Raw Data'!$A:$A, $A38, 'Raw Data'!$C:$C, $C$3),""))</f>
        <v/>
      </c>
      <c r="BE38" s="101" t="str">
        <f>IF($A38="","",IFERROR(SUMPRODUCT(('Raw Data'!$B$2:$B$9999="Variant")*('Raw Data'!$A$2:$A$9999=$A38)*('Raw Data'!$C$2:$C$9999=$C$3)*'Raw Data'!$D$2:$D$9999*'Raw Data'!$V$2:$V$9999)/SUMIFS('Raw Data'!$D:$D, 'Raw Data'!$B:$B, "Variant", 'Raw Data'!$A:$A, $A38, 'Raw Data'!$C:$C, $C$3),""))</f>
        <v/>
      </c>
      <c r="BF38" s="95" t="str">
        <f t="shared" si="19"/>
        <v/>
      </c>
      <c r="BG38" s="101" t="str">
        <f>IF($A38="","",IFERROR(SUMPRODUCT(('Raw Data'!$B$2:$B$9999="Control")*('Raw Data'!$A$2:$A$9999=$A38)*('Raw Data'!$C$2:$C$9999=$C$3)*'Raw Data'!$D$2:$D$9999*('Raw Data'!$Q$2:$Q$9999-'Raw Data'!$V$2:$V$9999))/SUMIFS('Raw Data'!$D:$D, 'Raw Data'!$B:$B, "Control", 'Raw Data'!$A:$A, $A38, 'Raw Data'!$C:$C, $C$3),""))</f>
        <v/>
      </c>
      <c r="BH38" s="101" t="str">
        <f>IF($A38="","",IFERROR(SUMPRODUCT(('Raw Data'!$B$2:$B$9999="Variant")*('Raw Data'!$A$2:$A$9999=$A38)*('Raw Data'!$C$2:$C$9999=$C$3)*'Raw Data'!$D$2:$D$9999*('Raw Data'!$Q$2:$Q$9999-'Raw Data'!$V$2:$V$9999))/SUMIFS('Raw Data'!$D:$D, 'Raw Data'!$B:$B, "Variant", 'Raw Data'!$A:$A, $A38, 'Raw Data'!$C:$C, $C$3),""))</f>
        <v/>
      </c>
      <c r="BI38" s="95" t="str">
        <f t="shared" si="20"/>
        <v/>
      </c>
      <c r="BJ38" s="101" t="str">
        <f>IF($A38="","",IFERROR(SUMPRODUCT(('Raw Data'!$B$2:$B$9999="Control")*('Raw Data'!$A$2:$A$9999=$A38)*('Raw Data'!$C$2:$C$9999=$C$3)*'Raw Data'!$D$2:$D$9999*'Raw Data'!$W$2:$W$9999)/SUMIFS('Raw Data'!$D:$D, 'Raw Data'!$B:$B, "Control", 'Raw Data'!$A:$A, $A38, 'Raw Data'!$C:$C, $C$3),""))</f>
        <v/>
      </c>
      <c r="BK38" s="101" t="str">
        <f>IF($A38="","",IFERROR(SUMPRODUCT(('Raw Data'!$B$2:$B$9999="Variant")*('Raw Data'!$A$2:$A$9999=$A38)*('Raw Data'!$C$2:$C$9999=$C$3)*'Raw Data'!$D$2:$D$9999*'Raw Data'!$W$2:$W$9999)/SUMIFS('Raw Data'!$D:$D, 'Raw Data'!$B:$B, "Variant", 'Raw Data'!$A:$A, $A38, 'Raw Data'!$C:$C, $C$3),""))</f>
        <v/>
      </c>
      <c r="BL38" s="95" t="str">
        <f t="shared" si="21"/>
        <v/>
      </c>
      <c r="BM38" s="102" t="str">
        <f>IF($A38="","",IFERROR(SUMPRODUCT(('Raw Data'!$B$2:$B$9999="Control")*('Raw Data'!$A$2:$A$9999=$A38)*('Raw Data'!$C$2:$C$9999=$C$3)*'Raw Data'!$D$2:$D$9999*'Raw Data'!$X$2:$X$9999)/SUMIFS('Raw Data'!$D:$D, 'Raw Data'!$B:$B, "Control", 'Raw Data'!$A:$A, $A38, 'Raw Data'!$C:$C, $C$3),""))</f>
        <v/>
      </c>
      <c r="BN38" s="102" t="str">
        <f>IF($A38="","",IFERROR(SUMPRODUCT(('Raw Data'!$B$2:$B$9999="Variant")*('Raw Data'!$A$2:$A$9999=$A38)*('Raw Data'!$C$2:$C$9999=$C$3)*'Raw Data'!$D$2:$D$9999*'Raw Data'!$X$2:$X$9999)/SUMIFS('Raw Data'!$D:$D, 'Raw Data'!$B:$B, "Variant", 'Raw Data'!$A:$A, $A38, 'Raw Data'!$C:$C, $C$3),""))</f>
        <v/>
      </c>
      <c r="BO38" s="105" t="str">
        <f t="shared" si="22"/>
        <v/>
      </c>
      <c r="BP38" s="94" t="str">
        <f>IF($A38="","",IFERROR(SUMPRODUCT(('Raw Data'!$B$2:$B$9999="Control")*('Raw Data'!$A$2:$A$9999=$A38)*('Raw Data'!$C$2:$C$9999=$C$3)*'Raw Data'!$D$2:$D$9999*'Raw Data'!$Y$2:$Y$9999)/SUMIFS('Raw Data'!$D:$D, 'Raw Data'!$B:$B, "Control", 'Raw Data'!$A:$A, $A38, 'Raw Data'!$C:$C, $C$3),""))</f>
        <v/>
      </c>
      <c r="BQ38" s="94" t="str">
        <f>IF($A38="","",IFERROR(SUMPRODUCT(('Raw Data'!$B$2:$B$9999="Variant")*('Raw Data'!$A$2:$A$9999=$A38)*('Raw Data'!$C$2:$C$9999=$C$3)*'Raw Data'!$D$2:$D$9999*'Raw Data'!$Y$2:$Y$9999)/SUMIFS('Raw Data'!$D:$D, 'Raw Data'!$B:$B, "Variant", 'Raw Data'!$A:$A, $A38, 'Raw Data'!$C:$C, $C$3),""))</f>
        <v/>
      </c>
      <c r="BR38" s="95" t="str">
        <f t="shared" si="23"/>
        <v/>
      </c>
      <c r="BS38" s="94" t="str">
        <f>IF($A38="","",IFERROR(SUMPRODUCT(('Raw Data'!$B$2:$B$9999="Control")*('Raw Data'!$A$2:$A$9999=$A38)*('Raw Data'!$C$2:$C$9999=$C$3)*'Raw Data'!$D$2:$D$9999*'Raw Data'!$Z$2:$Z$9999)/SUMIFS('Raw Data'!$D:$D, 'Raw Data'!$B:$B, "Control", 'Raw Data'!$A:$A, $A38, 'Raw Data'!$C:$C, $C$3),""))</f>
        <v/>
      </c>
      <c r="BT38" s="94" t="str">
        <f>IF($A38="","",IFERROR(SUMPRODUCT(('Raw Data'!$B$2:$B$9999="Variant")*('Raw Data'!$A$2:$A$9999=$A38)*('Raw Data'!$C$2:$C$9999=$C$3)*'Raw Data'!$D$2:$D$9999*'Raw Data'!$Z$2:$Z$9999)/SUMIFS('Raw Data'!$D:$D, 'Raw Data'!$B:$B, "Variant", 'Raw Data'!$A:$A, $A38, 'Raw Data'!$C:$C, $C$3),""))</f>
        <v/>
      </c>
      <c r="BU38" s="95" t="str">
        <f t="shared" si="24"/>
        <v/>
      </c>
      <c r="BV38" s="94" t="str">
        <f>IF($A38="","",IFERROR(SUMPRODUCT(('Raw Data'!$B$2:$B$9999="Control")*('Raw Data'!$A$2:$A$9999=$A38)*('Raw Data'!$C$2:$C$9999=$C$3)*'Raw Data'!$D$2:$D$9999*'Raw Data'!$AA$2:$AA$9999)/SUMIFS('Raw Data'!$D:$D, 'Raw Data'!$B:$B, "Control", 'Raw Data'!$A:$A, $A38, 'Raw Data'!$C:$C, $C$3),""))</f>
        <v/>
      </c>
      <c r="BW38" s="94" t="str">
        <f>IF($A38="","",IFERROR(SUMPRODUCT(('Raw Data'!$B$2:$B$9999="Variant")*('Raw Data'!$A$2:$A$9999=$A38)*('Raw Data'!$C$2:$C$9999=$C$3)*'Raw Data'!$D$2:$D$9999*'Raw Data'!$AA$2:$AA$9999)/SUMIFS('Raw Data'!$D:$D, 'Raw Data'!$B:$B, "Variant", 'Raw Data'!$A:$A, $A38, 'Raw Data'!$C:$C, $C$3),""))</f>
        <v/>
      </c>
      <c r="BX38" s="95" t="str">
        <f t="shared" si="25"/>
        <v/>
      </c>
      <c r="BY38" s="101" t="str">
        <f>IF($A38="","",IFERROR(SUMPRODUCT(('Raw Data'!$B$2:$B$9999="Control")*('Raw Data'!$A$2:$A$9999=$A38)*('Raw Data'!$C$2:$C$9999=$C$3)*'Raw Data'!$D$2:$D$9999*'Raw Data'!$AB$2:$AB$9999)/SUMIFS('Raw Data'!$D:$D, 'Raw Data'!$B:$B, "Control", 'Raw Data'!$A:$A, $A38, 'Raw Data'!$C:$C, $C$3),""))</f>
        <v/>
      </c>
      <c r="BZ38" s="101" t="str">
        <f>IF($A38="","",IFERROR(SUMPRODUCT(('Raw Data'!$B$2:$B$9999="Variant")*('Raw Data'!$A$2:$A$9999=$A38)*('Raw Data'!$C$2:$C$9999=$C$3)*'Raw Data'!$D$2:$D$9999*'Raw Data'!$AB$2:$AB$9999)/SUMIFS('Raw Data'!$D:$D, 'Raw Data'!$B:$B, "Variant", 'Raw Data'!$A:$A, $A38, 'Raw Data'!$C:$C, $C$3),""))</f>
        <v/>
      </c>
      <c r="CA38" s="105" t="str">
        <f t="shared" si="26"/>
        <v/>
      </c>
      <c r="CB38" s="101" t="str">
        <f>IF($A38="","",IFERROR(SUMPRODUCT(('Raw Data'!$B$2:$B$9999="Control")*('Raw Data'!$A$2:$A$9999=$A38)*('Raw Data'!$C$2:$C$9999=$C$3)*'Raw Data'!$D$2:$D$9999*'Raw Data'!$AC$2:$AC$9999)/SUMIFS('Raw Data'!$D:$D, 'Raw Data'!$B:$B, "Control", 'Raw Data'!$A:$A, $A38, 'Raw Data'!$C:$C, $C$3),""))</f>
        <v/>
      </c>
      <c r="CC38" s="101" t="str">
        <f>IF($A38="","",IFERROR(SUMPRODUCT(('Raw Data'!$B$2:$B$9999="Variant")*('Raw Data'!$A$2:$A$9999=$A38)*('Raw Data'!$C$2:$C$9999=$C$3)*'Raw Data'!$D$2:$D$9999*'Raw Data'!$AC$2:$AC$9999)/SUMIFS('Raw Data'!$D:$D, 'Raw Data'!$B:$B, "Variant", 'Raw Data'!$A:$A, $A38, 'Raw Data'!$C:$C, $C$3),""))</f>
        <v/>
      </c>
      <c r="CD38" s="105" t="str">
        <f t="shared" si="27"/>
        <v/>
      </c>
      <c r="CE38" s="101" t="str">
        <f>IF($A38="","",IFERROR(SUMPRODUCT(('Raw Data'!$B$2:$B$9999="Control")*('Raw Data'!$A$2:$A$9999=$A38)*('Raw Data'!$C$2:$C$9999=$C$3)*'Raw Data'!$D$2:$D$9999*'Raw Data'!$AD$2:$AD$9999)/SUMIFS('Raw Data'!$D:$D, 'Raw Data'!$B:$B, "Control", 'Raw Data'!$A:$A, $A38, 'Raw Data'!$C:$C, $C$3),""))</f>
        <v/>
      </c>
      <c r="CF38" s="101" t="str">
        <f>IF($A38="","",IFERROR(SUMPRODUCT(('Raw Data'!$B$2:$B$9999="Variant")*('Raw Data'!$A$2:$A$9999=$A38)*('Raw Data'!$C$2:$C$9999=$C$3)*'Raw Data'!$D$2:$D$9999*'Raw Data'!$AD$2:$AD$9999)/SUMIFS('Raw Data'!$D:$D, 'Raw Data'!$B:$B, "Variant", 'Raw Data'!$A:$A, $A38, 'Raw Data'!$C:$C, $C$3),""))</f>
        <v/>
      </c>
      <c r="CG38" s="105" t="str">
        <f t="shared" si="28"/>
        <v/>
      </c>
      <c r="CH38" s="101" t="str">
        <f>IF($A38="","",IFERROR(SUMPRODUCT(('Raw Data'!$B$2:$B$9999="Control")*('Raw Data'!$A$2:$A$9999=$A38)*('Raw Data'!$C$2:$C$9999=$C$3)*'Raw Data'!$D$2:$D$9999*'Raw Data'!$AE$2:$AE$9999)/SUMIFS('Raw Data'!$D:$D, 'Raw Data'!$B:$B, "Control", 'Raw Data'!$A:$A, $A38, 'Raw Data'!$C:$C, $C$3),""))</f>
        <v/>
      </c>
      <c r="CI38" s="101" t="str">
        <f>IF($A38="","",IFERROR(SUMPRODUCT(('Raw Data'!$B$2:$B$9999="Variant")*('Raw Data'!$A$2:$A$9999=$A38)*('Raw Data'!$C$2:$C$9999=$C$3)*'Raw Data'!$D$2:$D$9999*'Raw Data'!$AE$2:$AE$9999)/SUMIFS('Raw Data'!$D:$D, 'Raw Data'!$B:$B, "Variant", 'Raw Data'!$A:$A, $A38, 'Raw Data'!$C:$C, $C$3),""))</f>
        <v/>
      </c>
      <c r="CJ38" s="105" t="str">
        <f t="shared" si="29"/>
        <v/>
      </c>
      <c r="CK38" s="101" t="str">
        <f>IF($A38="","",IFERROR(SUMPRODUCT(('Raw Data'!$B$2:$B$9999="Control")*('Raw Data'!$A$2:$A$9999=$A38)*('Raw Data'!$C$2:$C$9999=$C$3)*'Raw Data'!$D$2:$D$9999*'Raw Data'!$AF$2:$AF$9999)/SUMIFS('Raw Data'!$D:$D, 'Raw Data'!$B:$B, "Control", 'Raw Data'!$A:$A, $A38, 'Raw Data'!$C:$C, $C$3),""))</f>
        <v/>
      </c>
      <c r="CL38" s="101" t="str">
        <f>IF($A38="","",IFERROR(SUMPRODUCT(('Raw Data'!$B$2:$B$9999="Variant")*('Raw Data'!$A$2:$A$9999=$A38)*('Raw Data'!$C$2:$C$9999=$C$3)*'Raw Data'!$D$2:$D$9999*'Raw Data'!$AF$2:$AF$9999)/SUMIFS('Raw Data'!$D:$D, 'Raw Data'!$B:$B, "Variant", 'Raw Data'!$A:$A, $A38, 'Raw Data'!$C:$C, $C$3),""))</f>
        <v/>
      </c>
      <c r="CM38" s="105" t="str">
        <f t="shared" si="30"/>
        <v/>
      </c>
      <c r="CN38" s="101" t="str">
        <f>IF($A38="","",IFERROR(SUMPRODUCT(('Raw Data'!$B$2:$B$9999="Control")*('Raw Data'!$A$2:$A$9999=$A38)*('Raw Data'!$C$2:$C$9999=$C$3)*'Raw Data'!$D$2:$D$9999*'Raw Data'!$AG$2:$AG$9999)/SUMIFS('Raw Data'!$D:$D, 'Raw Data'!$B:$B, "Control", 'Raw Data'!$A:$A, $A38, 'Raw Data'!$C:$C, $C$3),""))</f>
        <v/>
      </c>
      <c r="CO38" s="101" t="str">
        <f>IF($A38="","",IFERROR(SUMPRODUCT(('Raw Data'!$B$2:$B$9999="Variant")*('Raw Data'!$A$2:$A$9999=$A38)*('Raw Data'!$C$2:$C$9999=$C$3)*'Raw Data'!$D$2:$D$9999*'Raw Data'!$AG$2:$AG$9999)/SUMIFS('Raw Data'!$D:$D, 'Raw Data'!$B:$B, "Variant", 'Raw Data'!$A:$A, $A38, 'Raw Data'!$C:$C, $C$3),""))</f>
        <v/>
      </c>
      <c r="CP38" s="105" t="str">
        <f t="shared" si="31"/>
        <v/>
      </c>
      <c r="CQ38" s="101" t="str">
        <f>IF($A38="","",IFERROR(SUMPRODUCT(('Raw Data'!$B$2:$B$9999="Control")*('Raw Data'!$A$2:$A$9999=$A38)*('Raw Data'!$C$2:$C$9999=$C$3)*'Raw Data'!$D$2:$D$9999*'Raw Data'!$AH$2:$AH$9999)/SUMIFS('Raw Data'!$D:$D, 'Raw Data'!$B:$B, "Control", 'Raw Data'!$A:$A, $A38, 'Raw Data'!$C:$C, $C$3),""))</f>
        <v/>
      </c>
      <c r="CR38" s="101" t="str">
        <f>IF($A38="","",IFERROR(SUMPRODUCT(('Raw Data'!$B$2:$B$9999="Variant")*('Raw Data'!$A$2:$A$9999=$A38)*('Raw Data'!$C$2:$C$9999=$C$3)*'Raw Data'!$D$2:$D$9999*'Raw Data'!$AH$2:$AH$9999)/SUMIFS('Raw Data'!$D:$D, 'Raw Data'!$B:$B, "Variant", 'Raw Data'!$A:$A, $A38, 'Raw Data'!$C:$C, $C$3),""))</f>
        <v/>
      </c>
      <c r="CS38" s="105" t="str">
        <f t="shared" si="32"/>
        <v/>
      </c>
      <c r="CT38" s="96" t="str">
        <f>IF($A38="","",IFERROR(SUMPRODUCT(('Raw Data'!$B$2:$B$9999="Control")*('Raw Data'!$A$2:$A$9999=$A38)*('Raw Data'!$C$2:$C$9999=$C$3)*'Raw Data'!$D$2:$D$9999*'Raw Data'!$AI$2:$AI$9999)/SUMIFS('Raw Data'!$D:$D, 'Raw Data'!$B:$B, "Control", 'Raw Data'!$A:$A, $A38, 'Raw Data'!$C:$C, $C$3),""))</f>
        <v/>
      </c>
      <c r="CU38" s="96" t="str">
        <f>IF($A38="","",IFERROR(SUMPRODUCT(('Raw Data'!$B$2:$B$9999="Variant")*('Raw Data'!$A$2:$A$9999=$A38)*('Raw Data'!$C$2:$C$9999=$C$3)*'Raw Data'!$D$2:$D$9999*'Raw Data'!$AI$2:$AI$9999)/SUMIFS('Raw Data'!$D:$D, 'Raw Data'!$B:$B, "Variant", 'Raw Data'!$A:$A, $A38, 'Raw Data'!$C:$C, $C$3),""))</f>
        <v/>
      </c>
      <c r="CV38" s="106" t="str">
        <f t="shared" si="33"/>
        <v/>
      </c>
      <c r="CW38" s="96" t="str">
        <f>IF($A38="","",IFERROR(SUMPRODUCT(('Raw Data'!$B$2:$B$9999="Control")*('Raw Data'!$A$2:$A$9999=$A38)*('Raw Data'!$C$2:$C$9999=$C$3)*'Raw Data'!$D$2:$D$9999*'Raw Data'!$AJ$2:$AJ$9999)/SUMIFS('Raw Data'!$D:$D, 'Raw Data'!$B:$B, "Control", 'Raw Data'!$A:$A, $A38, 'Raw Data'!$C:$C, $C$3),""))</f>
        <v/>
      </c>
      <c r="CX38" s="96" t="str">
        <f>IF($A38="","",IFERROR(SUMPRODUCT(('Raw Data'!$B$2:$B$9999="Variant")*('Raw Data'!$A$2:$A$9999=$A38)*('Raw Data'!$C$2:$C$9999=$C$3)*'Raw Data'!$D$2:$D$9999*'Raw Data'!$AJ$2:$AJ$9999)/SUMIFS('Raw Data'!$D:$D, 'Raw Data'!$B:$B, "Variant", 'Raw Data'!$A:$A, $A38, 'Raw Data'!$C:$C, $C$3),""))</f>
        <v/>
      </c>
      <c r="CY38" s="106" t="str">
        <f t="shared" si="34"/>
        <v/>
      </c>
      <c r="CZ38" s="96" t="str">
        <f>IF($A38="","",IFERROR(SUMPRODUCT(('Raw Data'!$B$2:$B$9999="Control")*('Raw Data'!$A$2:$A$9999=$A38)*('Raw Data'!$C$2:$C$9999=$C$3)*'Raw Data'!$D$2:$D$9999*'Raw Data'!$AK$2:$AK$9999)/SUMIFS('Raw Data'!$D:$D, 'Raw Data'!$B:$B, "Control", 'Raw Data'!$A:$A, $A38, 'Raw Data'!$C:$C, $C$3),""))</f>
        <v/>
      </c>
      <c r="DA38" s="96" t="str">
        <f>IF($A38="","",IFERROR(SUMPRODUCT(('Raw Data'!$B$2:$B$9999="Variant")*('Raw Data'!$A$2:$A$9999=$A38)*('Raw Data'!$C$2:$C$9999=$C$3)*'Raw Data'!$D$2:$D$9999*'Raw Data'!$AK$2:$AK$9999)/SUMIFS('Raw Data'!$D:$D, 'Raw Data'!$B:$B, "Variant", 'Raw Data'!$A:$A, $A38, 'Raw Data'!$C:$C, $C$3),""))</f>
        <v/>
      </c>
      <c r="DB38" s="105" t="str">
        <f t="shared" si="35"/>
        <v/>
      </c>
      <c r="DC38" s="102" t="str">
        <f>IF($A38="","",IFERROR(SUMPRODUCT(('Raw Data'!$B$2:$B$9999="Control")*('Raw Data'!$A$2:$A$9999=$A38)*('Raw Data'!$C$2:$C$9999=$C$3)*'Raw Data'!$D$2:$D$9999*'Raw Data'!$AL$2:$AL$9999)/SUMIFS('Raw Data'!$D:$D, 'Raw Data'!$B:$B, "Control", 'Raw Data'!$A:$A, $A38, 'Raw Data'!$C:$C, $C$3),""))</f>
        <v/>
      </c>
      <c r="DD38" s="102" t="str">
        <f>IF($A38="","",IFERROR(SUMPRODUCT(('Raw Data'!$B$2:$B$9999="Variant")*('Raw Data'!$A$2:$A$9999=$A38)*('Raw Data'!$C$2:$C$9999=$C$3)*'Raw Data'!$D$2:$D$9999*'Raw Data'!$AL$2:$AL$9999)/SUMIFS('Raw Data'!$D:$D, 'Raw Data'!$B:$B, "Variant", 'Raw Data'!$A:$A, $A38, 'Raw Data'!$C:$C, $C$3),""))</f>
        <v/>
      </c>
      <c r="DE38" s="106" t="str">
        <f t="shared" si="36"/>
        <v/>
      </c>
      <c r="DF38" s="103"/>
      <c r="DG38" s="96" t="str">
        <f>IF($A38="","",IFERROR(SUMPRODUCT(('Raw Data'!$B$2:$B$9999="Variant")*('Raw Data'!$A$2:$A$9999=$A38)*('Raw Data'!$C$2:$C$9999=$C$3)*'Raw Data'!$D$2:$D$9999*'Raw Data'!$AM$2:$AM$9999)/SUMIFS('Raw Data'!$D:$D, 'Raw Data'!$B:$B, "Variant", 'Raw Data'!$A:$A, $A38, 'Raw Data'!$C:$C, $C$3),""))</f>
        <v/>
      </c>
      <c r="DH38" s="104"/>
      <c r="DI38" s="103"/>
      <c r="DJ38" s="96" t="str">
        <f>IF($A38="","",IFERROR(SUMPRODUCT(('Raw Data'!$B$2:$B$9999="Variant")*('Raw Data'!$A$2:$A$9999=$A38)*('Raw Data'!$C$2:$C$9999=$C$3)*'Raw Data'!$D$2:$D$9999*'Raw Data'!$AN$2:$AN$9999)/SUMIFS('Raw Data'!$D:$D, 'Raw Data'!$B:$B, "Variant", 'Raw Data'!$A:$A, $A38, 'Raw Data'!$C:$C, $C$3),""))</f>
        <v/>
      </c>
      <c r="DK38" s="104"/>
      <c r="DL38" s="103"/>
      <c r="DM38" s="96" t="str">
        <f>IF($A38="","",IFERROR(SUMPRODUCT(('Raw Data'!$B$2:$B$9999="Variant")*('Raw Data'!$A$2:$A$9999=$A38)*('Raw Data'!$C$2:$C$9999=$C$3)*'Raw Data'!$D$2:$D$9999*'Raw Data'!$AO$2:$AO$9999)/SUMIFS('Raw Data'!$D:$D, 'Raw Data'!$B:$B, "Variant", 'Raw Data'!$A:$A, $A38, 'Raw Data'!$C:$C, $C$3),""))</f>
        <v/>
      </c>
      <c r="DN38" s="104"/>
      <c r="DO38" s="103"/>
      <c r="DP38" s="96" t="str">
        <f>IF($A38="","",IFERROR(SUMPRODUCT(('Raw Data'!$B$2:$B$9999="Variant")*('Raw Data'!$A$2:$A$9999=$A38)*('Raw Data'!$C$2:$C$9999=$C$3)*'Raw Data'!$D$2:$D$9999*'Raw Data'!$AP$2:$AP$9999)/SUMIFS('Raw Data'!$D:$D, 'Raw Data'!$B:$B, "Variant", 'Raw Data'!$A:$A, $A38, 'Raw Data'!$C:$C, $C$3),""))</f>
        <v/>
      </c>
      <c r="DQ38" s="104"/>
      <c r="DR38" s="102" t="str">
        <f>IF($A38="","",IFERROR(SUMPRODUCT(('Raw Data'!$B$2:$B$9999="Control")*('Raw Data'!$A$2:$A$9999=$A38)*('Raw Data'!$C$2:$C$9999=$C$3)*'Raw Data'!$D$2:$D$9999*'Raw Data'!$AQ$2:$AQ$9999)/SUMIFS('Raw Data'!$D:$D, 'Raw Data'!$B:$B, "Control", 'Raw Data'!$A:$A, $A38, 'Raw Data'!$C:$C, $C$3),""))</f>
        <v/>
      </c>
      <c r="DS38" s="102" t="str">
        <f>IF($A38="","",IFERROR(SUMPRODUCT(('Raw Data'!$B$2:$B$9999="Variant")*('Raw Data'!$A$2:$A$9999=$A38)*('Raw Data'!$C$2:$C$9999=$C$3)*'Raw Data'!$D$2:$D$9999*'Raw Data'!$AQ$2:$AQ$9999)/SUMIFS('Raw Data'!$D:$D, 'Raw Data'!$B:$B, "Variant", 'Raw Data'!$A:$A, $A38, 'Raw Data'!$C:$C, $C$3),""))</f>
        <v/>
      </c>
      <c r="DT38" s="109" t="str">
        <f t="shared" si="37"/>
        <v/>
      </c>
      <c r="DU38" s="102" t="str">
        <f>IF($A38="","",IFERROR(SUMPRODUCT(('Raw Data'!$B$2:$B$9999="Control")*('Raw Data'!$A$2:$A$9999=$A38)*('Raw Data'!$C$2:$C$9999=$C$3)*'Raw Data'!$D$2:$D$9999*'Raw Data'!$AR$2:$AR$9999)/SUMIFS('Raw Data'!$D:$D, 'Raw Data'!$B:$B, "Control", 'Raw Data'!$A:$A, $A38, 'Raw Data'!$C:$C, $C$3),""))</f>
        <v/>
      </c>
      <c r="DV38" s="102" t="str">
        <f>IF($A38="","",IFERROR(SUMPRODUCT(('Raw Data'!$B$2:$B$9999="Variant")*('Raw Data'!$A$2:$A$9999=$A38)*('Raw Data'!$C$2:$C$9999=$C$3)*'Raw Data'!$D$2:$D$9999*'Raw Data'!$AR$2:$AR$9999)/SUMIFS('Raw Data'!$D:$D, 'Raw Data'!$B:$B, "Variant", 'Raw Data'!$A:$A, $A38, 'Raw Data'!$C:$C, $C$3),""))</f>
        <v/>
      </c>
      <c r="DW38" s="109" t="str">
        <f t="shared" si="38"/>
        <v/>
      </c>
      <c r="DX38" s="102" t="str">
        <f>IF($A38="","",IFERROR(SUMPRODUCT(('Raw Data'!$B$2:$B$9999="Control")*('Raw Data'!$A$2:$A$9999=$A38)*('Raw Data'!$C$2:$C$9999=$C$3)*'Raw Data'!$D$2:$D$9999*'Raw Data'!$AS$2:$AS$9999)/SUMIFS('Raw Data'!$D:$D, 'Raw Data'!$B:$B, "Control", 'Raw Data'!$A:$A, $A38, 'Raw Data'!$C:$C, $C$3),""))</f>
        <v/>
      </c>
      <c r="DY38" s="102" t="str">
        <f>IF($A38="","",IFERROR(SUMPRODUCT(('Raw Data'!$B$2:$B$9999="Variant")*('Raw Data'!$A$2:$A$9999=$A38)*('Raw Data'!$C$2:$C$9999=$C$3)*'Raw Data'!$D$2:$D$9999*'Raw Data'!$AS$2:$AS$9999)/SUMIFS('Raw Data'!$D:$D, 'Raw Data'!$B:$B, "Variant", 'Raw Data'!$A:$A, $A38, 'Raw Data'!$C:$C, $C$3),""))</f>
        <v/>
      </c>
      <c r="DZ38" s="110" t="str">
        <f t="shared" si="39"/>
        <v/>
      </c>
      <c r="EA38" s="102" t="str">
        <f>IF($A38="","",IFERROR(SUMPRODUCT(('Raw Data'!$B$2:$B$9999="Control")*('Raw Data'!$A$2:$A$9999=$A38)*('Raw Data'!$C$2:$C$9999=$C$3)*'Raw Data'!$D$2:$D$9999*'Raw Data'!$AT$2:$AT$9999)/SUMIFS('Raw Data'!$D:$D, 'Raw Data'!$B:$B, "Control", 'Raw Data'!$A:$A, $A38, 'Raw Data'!$C:$C, $C$3),""))</f>
        <v/>
      </c>
      <c r="EB38" s="102" t="str">
        <f>IF($A38="","",IFERROR(SUMPRODUCT(('Raw Data'!$B$2:$B$9999="Variant")*('Raw Data'!$A$2:$A$9999=$A38)*('Raw Data'!$C$2:$C$9999=$C$3)*'Raw Data'!$D$2:$D$9999*'Raw Data'!$AT$2:$AT$9999)/SUMIFS('Raw Data'!$D:$D, 'Raw Data'!$B:$B, "Variant", 'Raw Data'!$A:$A, $A38, 'Raw Data'!$C:$C, $C$3),""))</f>
        <v/>
      </c>
      <c r="EC38" s="109" t="str">
        <f t="shared" si="40"/>
        <v/>
      </c>
      <c r="ED38" s="102" t="str">
        <f>IF($A38="","",IFERROR(SUMPRODUCT(('Raw Data'!$B$2:$B$9999="Control")*('Raw Data'!$A$2:$A$9999=$A38)*('Raw Data'!$C$2:$C$9999=$C$3)*'Raw Data'!$D$2:$D$9999*('Raw Data'!$AQ$2:$AQ$9999-'Raw Data'!$AT$2:$AT$9999))/SUMIFS('Raw Data'!$D:$D, 'Raw Data'!$B:$B, "Control", 'Raw Data'!$A:$A, $A38, 'Raw Data'!$C:$C, $C$3),""))</f>
        <v/>
      </c>
      <c r="EE38" s="102" t="str">
        <f>IF($A38="","",IFERROR(SUMPRODUCT(('Raw Data'!$B$2:$B$9999="Variant")*('Raw Data'!$A$2:$A$9999=$A38)*('Raw Data'!$C$2:$C$9999=$C$3)*'Raw Data'!$D$2:$D$9999*('Raw Data'!$AQ$2:$AQ$9999-'Raw Data'!$AT$2:$AT$9999))/SUMIFS('Raw Data'!$D:$D, 'Raw Data'!$B:$B, "Variant", 'Raw Data'!$A:$A, $A38, 'Raw Data'!$C:$C, $C$3),""))</f>
        <v/>
      </c>
      <c r="EF38" s="110" t="str">
        <f t="shared" si="41"/>
        <v/>
      </c>
      <c r="EG38" s="102" t="str">
        <f>IF($A38="","",IFERROR(SUMPRODUCT(('Raw Data'!$B$2:$B$9999="Control")*('Raw Data'!$A$2:$A$9999=$A38)*('Raw Data'!$C$2:$C$9999=$C$3)*'Raw Data'!$D$2:$D$9999*'Raw Data'!$AU$2:$AU$9999)/SUMIFS('Raw Data'!$D:$D, 'Raw Data'!$B:$B, "Control", 'Raw Data'!$A:$A, $A38, 'Raw Data'!$C:$C, $C$3),""))</f>
        <v/>
      </c>
      <c r="EH38" s="102" t="str">
        <f>IF($A38="","",IFERROR(SUMPRODUCT(('Raw Data'!$B$2:$B$9999="Variant")*('Raw Data'!$A$2:$A$9999=$A38)*('Raw Data'!$C$2:$C$9999=$C$3)*'Raw Data'!$D$2:$D$9999*'Raw Data'!$AU$2:$AU$9999)/SUMIFS('Raw Data'!$D:$D, 'Raw Data'!$B:$B, "Variant", 'Raw Data'!$A:$A, $A38, 'Raw Data'!$C:$C, $C$3),""))</f>
        <v/>
      </c>
      <c r="EI38" s="109" t="str">
        <f t="shared" si="42"/>
        <v/>
      </c>
    </row>
    <row r="39" ht="15.75" customHeight="1">
      <c r="A39" s="93">
        <v>46207.0</v>
      </c>
      <c r="B39" s="94">
        <f>IF($A39="","",SUMIFS('Raw Data'!$D:$D, 'Raw Data'!$B:$B, "Control", 'Raw Data'!$A:$A, $A39, 'Raw Data'!$C:$C, $C$3))</f>
        <v>0</v>
      </c>
      <c r="C39" s="94">
        <f>IF($A39="","",SUMIFS('Raw Data'!$D:$D, 'Raw Data'!$B:$B, "Variant", 'Raw Data'!$A:$A, $A39, 'Raw Data'!$C:$C, $C$3))</f>
        <v>0</v>
      </c>
      <c r="D39" s="95" t="str">
        <f t="shared" si="1"/>
        <v/>
      </c>
      <c r="E39" s="96" t="str">
        <f>IF($A39="","",IFERROR(SUMPRODUCT(('Raw Data'!$B$2:$B$9999="Control")*('Raw Data'!$A$2:$A$9999=$A39)*('Raw Data'!$C$2:$C$9999=$C$3)*'Raw Data'!$D$2:$D$9999*'Raw Data'!$E$2:$E$9999)/SUMIFS('Raw Data'!$D:$D, 'Raw Data'!$B:$B, "Control", 'Raw Data'!$A:$A, $A39, 'Raw Data'!$C:$C, $C$3),""))</f>
        <v/>
      </c>
      <c r="F39" s="96" t="str">
        <f>IF($A39="","",IFERROR(SUMPRODUCT(('Raw Data'!$B$2:$B$9999="Variant")*('Raw Data'!$A$2:$A$9999=$A39)*('Raw Data'!$C$2:$C$9999=$C$3)*'Raw Data'!$D$2:$D$9999*'Raw Data'!$E$2:$E$9999)/SUMIFS('Raw Data'!$D:$D, 'Raw Data'!$B:$B, "Variant", 'Raw Data'!$A:$A, $A39, 'Raw Data'!$C:$C, $C$3),""))</f>
        <v/>
      </c>
      <c r="G39" s="95" t="str">
        <f t="shared" si="2"/>
        <v/>
      </c>
      <c r="H39" s="97">
        <f>IF($A39="","",SUMIFS('Raw Data'!$F:$F, 'Raw Data'!$B:$B, "Control", 'Raw Data'!$A:$A, $A39, 'Raw Data'!$C:$C, $C$3))</f>
        <v>0</v>
      </c>
      <c r="I39" s="97">
        <f>IF($A39="","",SUMIFS('Raw Data'!$F:$F, 'Raw Data'!$B:$B, "Variant", 'Raw Data'!$A:$A, $A39, 'Raw Data'!$C:$C, $C$3))</f>
        <v>0</v>
      </c>
      <c r="J39" s="105" t="str">
        <f t="shared" si="3"/>
        <v/>
      </c>
      <c r="K39" s="99" t="str">
        <f>IF($A39="","",IFERROR(SUMIFS('Raw Data'!$F:$F, 'Raw Data'!$B:$B, "Control", 'Raw Data'!$A:$A, $A39, 'Raw Data'!$C:$C, $C$3)/SUMIFS('Raw Data'!$D:$D, 'Raw Data'!$B:$B, "Control", 'Raw Data'!$A:$A, $A39, 'Raw Data'!$C:$C, $C$3),""))</f>
        <v/>
      </c>
      <c r="L39" s="99" t="str">
        <f>IF($A39="","",IFERROR(SUMIFS('Raw Data'!$F:$F, 'Raw Data'!$B:$B, "Variant", 'Raw Data'!$A:$A, $A39, 'Raw Data'!$C:$C, $C$3)/SUMIFS('Raw Data'!$D:$D, 'Raw Data'!$B:$B, "Variant", 'Raw Data'!$A:$A, $A39, 'Raw Data'!$C:$C, $C$3),""))</f>
        <v/>
      </c>
      <c r="M39" s="105" t="str">
        <f t="shared" si="4"/>
        <v/>
      </c>
      <c r="N39" s="96" t="str">
        <f>IF($A39="","",IFERROR(SUMPRODUCT(('Raw Data'!$B$2:$B$9999="Control")*('Raw Data'!$A$2:$A$9999=$A39)*('Raw Data'!$C$2:$C$9999=$C$3)*'Raw Data'!$D$2:$D$9999*'Raw Data'!$H$2:$H$9999/100)/SUMIFS('Raw Data'!$D:$D, 'Raw Data'!$B:$B, "Control", 'Raw Data'!$A:$A, $A39, 'Raw Data'!$C:$C, $C$3)*100,""))</f>
        <v/>
      </c>
      <c r="O39" s="96" t="str">
        <f>IF($A39="","",IFERROR(SUMPRODUCT(('Raw Data'!$B$2:$B$9999="Variant")*('Raw Data'!$A$2:$A$9999=$A39)*('Raw Data'!$C$2:$C$9999=$C$3)*'Raw Data'!$D$2:$D$9999*'Raw Data'!$H$2:$H$9999/100)/SUMIFS('Raw Data'!$D:$D, 'Raw Data'!$B:$B, "Variant", 'Raw Data'!$A:$A, $A39, 'Raw Data'!$C:$C, $C$3)*100,""))</f>
        <v/>
      </c>
      <c r="P39" s="105" t="str">
        <f t="shared" si="5"/>
        <v/>
      </c>
      <c r="Q39" s="99" t="str">
        <f>IF($A39="","",IFERROR(SUMIFS('Raw Data'!$F:$F, 'Raw Data'!$B:$B, "Control", 'Raw Data'!$A:$A, $A39, 'Raw Data'!$C:$C, $C$3)/SUMPRODUCT(('Raw Data'!$B$2:$B$9999="Control")*('Raw Data'!$A$2:$A$9999=$A39)*('Raw Data'!$C$2:$C$9999=$C$3)*'Raw Data'!$D$2:$D$9999*'Raw Data'!$H$2:$H$9999/100),""))</f>
        <v/>
      </c>
      <c r="R39" s="99" t="str">
        <f>IF($A39="","",IFERROR(SUMIFS('Raw Data'!$F:$F, 'Raw Data'!$B:$B, "Variant", 'Raw Data'!$A:$A, $A39, 'Raw Data'!$C:$C, $C$3)/SUMPRODUCT(('Raw Data'!$B$2:$B$9999="Variant")*('Raw Data'!$A$2:$A$9999=$A39)*('Raw Data'!$C$2:$C$9999=$C$3)*'Raw Data'!$D$2:$D$9999*'Raw Data'!$H$2:$H$9999/100),""))</f>
        <v/>
      </c>
      <c r="S39" s="105" t="str">
        <f t="shared" si="6"/>
        <v/>
      </c>
      <c r="T39" s="101" t="str">
        <f>IF($A39="","",IFERROR(SUMPRODUCT(('Raw Data'!$B$2:$B$9999="Control")*('Raw Data'!$A$2:$A$9999=$A39)*('Raw Data'!$C$2:$C$9999=$C$3)*'Raw Data'!$D$2:$D$9999*'Raw Data'!$J$2:$J$9999)/SUMIFS('Raw Data'!$D:$D, 'Raw Data'!$B:$B, "Control", 'Raw Data'!$A:$A, $A39, 'Raw Data'!$C:$C, $C$3),""))</f>
        <v/>
      </c>
      <c r="U39" s="101" t="str">
        <f>IF($A39="","",IFERROR(SUMPRODUCT(('Raw Data'!$B$2:$B$9999="Variant")*('Raw Data'!$A$2:$A$9999=$A39)*('Raw Data'!$C$2:$C$9999=$C$3)*'Raw Data'!$D$2:$D$9999*'Raw Data'!$J$2:$J$9999)/SUMIFS('Raw Data'!$D:$D, 'Raw Data'!$B:$B, "Variant", 'Raw Data'!$A:$A, $A39, 'Raw Data'!$C:$C, $C$3),""))</f>
        <v/>
      </c>
      <c r="V39" s="105" t="str">
        <f t="shared" si="7"/>
        <v/>
      </c>
      <c r="W39" s="101" t="str">
        <f>IF($A39="","",IFERROR(SUMPRODUCT(('Raw Data'!$B$2:$B$9999="Control")*('Raw Data'!$A$2:$A$9999=$A39)*('Raw Data'!$C$2:$C$9999=$C$3)*'Raw Data'!$D$2:$D$9999*'Raw Data'!$K$2:$K$9999)/SUMIFS('Raw Data'!$D:$D, 'Raw Data'!$B:$B, "Control", 'Raw Data'!$A:$A, $A39, 'Raw Data'!$C:$C, $C$3),""))</f>
        <v/>
      </c>
      <c r="X39" s="101" t="str">
        <f>IF($A39="","",IFERROR(SUMPRODUCT(('Raw Data'!$B$2:$B$9999="Variant")*('Raw Data'!$A$2:$A$9999=$A39)*('Raw Data'!$C$2:$C$9999=$C$3)*'Raw Data'!$D$2:$D$9999*'Raw Data'!$K$2:$K$9999)/SUMIFS('Raw Data'!$D:$D, 'Raw Data'!$B:$B, "Variant", 'Raw Data'!$A:$A, $A39, 'Raw Data'!$C:$C, $C$3),""))</f>
        <v/>
      </c>
      <c r="Y39" s="105" t="str">
        <f t="shared" si="8"/>
        <v/>
      </c>
      <c r="Z39" s="101" t="str">
        <f>IF($A39="","",IFERROR(SUMPRODUCT(('Raw Data'!$B$2:$B$9999="Control")*('Raw Data'!$A$2:$A$9999=$A39)*('Raw Data'!$C$2:$C$9999=$C$3)*'Raw Data'!$D$2:$D$9999*'Raw Data'!$L$2:$L$9999)/SUMIFS('Raw Data'!$D:$D, 'Raw Data'!$B:$B, "Control", 'Raw Data'!$A:$A, $A39, 'Raw Data'!$C:$C, $C$3),""))</f>
        <v/>
      </c>
      <c r="AA39" s="101" t="str">
        <f>IF($A39="","",IFERROR(SUMPRODUCT(('Raw Data'!$B$2:$B$9999="Variant")*('Raw Data'!$A$2:$A$9999=$A39)*('Raw Data'!$C$2:$C$9999=$C$3)*'Raw Data'!$D$2:$D$9999*'Raw Data'!$L$2:$L$9999)/SUMIFS('Raw Data'!$D:$D, 'Raw Data'!$B:$B, "Variant", 'Raw Data'!$A:$A, $A39, 'Raw Data'!$C:$C, $C$3),""))</f>
        <v/>
      </c>
      <c r="AB39" s="105" t="str">
        <f t="shared" si="9"/>
        <v/>
      </c>
      <c r="AC39" s="102" t="str">
        <f>IF($A39="","",IFERROR(SUMPRODUCT(('Raw Data'!$B$2:$B$9999="Control")*('Raw Data'!$A$2:$A$9999=$A39)*('Raw Data'!$C$2:$C$9999=$C$3)*'Raw Data'!$D$2:$D$9999*'Raw Data'!$M$2:$M$9999)/SUMIFS('Raw Data'!$D:$D, 'Raw Data'!$B:$B, "Control", 'Raw Data'!$A:$A, $A39, 'Raw Data'!$C:$C, $C$3),""))</f>
        <v/>
      </c>
      <c r="AD39" s="102" t="str">
        <f>IF($A39="","",IFERROR(SUMPRODUCT(('Raw Data'!$B$2:$B$9999="Variant")*('Raw Data'!$A$2:$A$9999=$A39)*('Raw Data'!$C$2:$C$9999=$C$3)*'Raw Data'!$D$2:$D$9999*'Raw Data'!$M$2:$M$9999)/SUMIFS('Raw Data'!$D:$D, 'Raw Data'!$B:$B, "Variant", 'Raw Data'!$A:$A, $A39, 'Raw Data'!$C:$C, $C$3),""))</f>
        <v/>
      </c>
      <c r="AE39" s="106" t="str">
        <f t="shared" si="10"/>
        <v/>
      </c>
      <c r="AF39" s="102" t="str">
        <f>IF($A39="","",IFERROR(SUMPRODUCT(('Raw Data'!$B$2:$B$9999="Control")*('Raw Data'!$A$2:$A$9999=$A39)*('Raw Data'!$C$2:$C$9999=$C$3)*'Raw Data'!$D$2:$D$9999*'Raw Data'!$N$2:$N$9999)/SUMIFS('Raw Data'!$D:$D, 'Raw Data'!$B:$B, "Control", 'Raw Data'!$A:$A, $A39, 'Raw Data'!$C:$C, $C$3),""))</f>
        <v/>
      </c>
      <c r="AG39" s="102" t="str">
        <f>IF($A39="","",IFERROR(SUMPRODUCT(('Raw Data'!$B$2:$B$9999="Variant")*('Raw Data'!$A$2:$A$9999=$A39)*('Raw Data'!$C$2:$C$9999=$C$3)*'Raw Data'!$D$2:$D$9999*'Raw Data'!$N$2:$N$9999)/SUMIFS('Raw Data'!$D:$D, 'Raw Data'!$B:$B, "Variant", 'Raw Data'!$A:$A, $A39, 'Raw Data'!$C:$C, $C$3),""))</f>
        <v/>
      </c>
      <c r="AH39" s="106" t="str">
        <f t="shared" si="11"/>
        <v/>
      </c>
      <c r="AI39" s="102" t="str">
        <f>IF($A39="","",IFERROR(SUMPRODUCT(('Raw Data'!$B$2:$B$9999="Control")*('Raw Data'!$A$2:$A$9999=$A39)*('Raw Data'!$C$2:$C$9999=$C$3)*'Raw Data'!$D$2:$D$9999*'Raw Data'!$O$2:$O$9999)/SUMIFS('Raw Data'!$D:$D, 'Raw Data'!$B:$B, "Control", 'Raw Data'!$A:$A, $A39, 'Raw Data'!$C:$C, $C$3),""))</f>
        <v/>
      </c>
      <c r="AJ39" s="102" t="str">
        <f>IF($A39="","",IFERROR(SUMPRODUCT(('Raw Data'!$B$2:$B$9999="Variant")*('Raw Data'!$A$2:$A$9999=$A39)*('Raw Data'!$C$2:$C$9999=$C$3)*'Raw Data'!$D$2:$D$9999*'Raw Data'!$O$2:$O$9999)/SUMIFS('Raw Data'!$D:$D, 'Raw Data'!$B:$B, "Variant", 'Raw Data'!$A:$A, $A39, 'Raw Data'!$C:$C, $C$3),""))</f>
        <v/>
      </c>
      <c r="AK39" s="105" t="str">
        <f t="shared" si="12"/>
        <v/>
      </c>
      <c r="AL39" s="101" t="str">
        <f>IF($A39="","",IFERROR(SUMPRODUCT(('Raw Data'!$B$2:$B$9999="Control")*('Raw Data'!$A$2:$A$9999=$A39)*('Raw Data'!$C$2:$C$9999=$C$3)*'Raw Data'!$D$2:$D$9999*'Raw Data'!$P$2:$P$9999)/SUMIFS('Raw Data'!$D:$D, 'Raw Data'!$B:$B, "Control", 'Raw Data'!$A:$A, $A39, 'Raw Data'!$C:$C, $C$3),""))</f>
        <v/>
      </c>
      <c r="AM39" s="101" t="str">
        <f>IF($A39="","",IFERROR(SUMPRODUCT(('Raw Data'!$B$2:$B$9999="Variant")*('Raw Data'!$A$2:$A$9999=$A39)*('Raw Data'!$C$2:$C$9999=$C$3)*'Raw Data'!$D$2:$D$9999*'Raw Data'!$P$2:$P$9999)/SUMIFS('Raw Data'!$D:$D, 'Raw Data'!$B:$B, "Variant", 'Raw Data'!$A:$A, $A39, 'Raw Data'!$C:$C, $C$3),""))</f>
        <v/>
      </c>
      <c r="AN39" s="105" t="str">
        <f t="shared" si="13"/>
        <v/>
      </c>
      <c r="AO39" s="101" t="str">
        <f>IF($A39="","",IFERROR(SUMPRODUCT(('Raw Data'!$B$2:$B$9999="Control")*('Raw Data'!$A$2:$A$9999=$A39)*('Raw Data'!$C$2:$C$9999=$C$3)*'Raw Data'!$D$2:$D$9999*'Raw Data'!$Q$2:$Q$9999)/SUMIFS('Raw Data'!$D:$D, 'Raw Data'!$B:$B, "Control", 'Raw Data'!$A:$A, $A39, 'Raw Data'!$C:$C, $C$3),""))</f>
        <v/>
      </c>
      <c r="AP39" s="101" t="str">
        <f>IF($A39="","",IFERROR(SUMPRODUCT(('Raw Data'!$B$2:$B$9999="Variant")*('Raw Data'!$A$2:$A$9999=$A39)*('Raw Data'!$C$2:$C$9999=$C$3)*'Raw Data'!$D$2:$D$9999*'Raw Data'!$Q$2:$Q$9999)/SUMIFS('Raw Data'!$D:$D, 'Raw Data'!$B:$B, "Variant", 'Raw Data'!$A:$A, $A39, 'Raw Data'!$C:$C, $C$3),""))</f>
        <v/>
      </c>
      <c r="AQ39" s="95" t="str">
        <f t="shared" si="14"/>
        <v/>
      </c>
      <c r="AR39" s="101" t="str">
        <f>IF($A39="","",IFERROR(SUMPRODUCT(('Raw Data'!$B$2:$B$9999="Control")*('Raw Data'!$A$2:$A$9999=$A39)*('Raw Data'!$C$2:$C$9999=$C$3)*'Raw Data'!$D$2:$D$9999*'Raw Data'!$R$2:$R$9999)/SUMIFS('Raw Data'!$D:$D, 'Raw Data'!$B:$B, "Control", 'Raw Data'!$A:$A, $A39, 'Raw Data'!$C:$C, $C$3),""))</f>
        <v/>
      </c>
      <c r="AS39" s="101" t="str">
        <f>IF($A39="","",IFERROR(SUMPRODUCT(('Raw Data'!$B$2:$B$9999="Variant")*('Raw Data'!$A$2:$A$9999=$A39)*('Raw Data'!$C$2:$C$9999=$C$3)*'Raw Data'!$D$2:$D$9999*'Raw Data'!$R$2:$R$9999)/SUMIFS('Raw Data'!$D:$D, 'Raw Data'!$B:$B, "Variant", 'Raw Data'!$A:$A, $A39, 'Raw Data'!$C:$C, $C$3),""))</f>
        <v/>
      </c>
      <c r="AT39" s="95" t="str">
        <f t="shared" si="15"/>
        <v/>
      </c>
      <c r="AU39" s="101" t="str">
        <f>IF($A39="","",IFERROR(SUMPRODUCT(('Raw Data'!$B$2:$B$9999="Control")*('Raw Data'!$A$2:$A$9999=$A39)*('Raw Data'!$C$2:$C$9999=$C$3)*'Raw Data'!$D$2:$D$9999*'Raw Data'!$S$2:$S$9999)/SUMIFS('Raw Data'!$D:$D, 'Raw Data'!$B:$B, "Control", 'Raw Data'!$A:$A, $A39, 'Raw Data'!$C:$C, $C$3),""))</f>
        <v/>
      </c>
      <c r="AV39" s="101" t="str">
        <f>IF($A39="","",IFERROR(SUMPRODUCT(('Raw Data'!$B$2:$B$9999="Variant")*('Raw Data'!$A$2:$A$9999=$A39)*('Raw Data'!$C$2:$C$9999=$C$3)*'Raw Data'!$D$2:$D$9999*'Raw Data'!$S$2:$S$9999)/SUMIFS('Raw Data'!$D:$D, 'Raw Data'!$B:$B, "Variant", 'Raw Data'!$A:$A, $A39, 'Raw Data'!$C:$C, $C$3),""))</f>
        <v/>
      </c>
      <c r="AW39" s="95" t="str">
        <f t="shared" si="16"/>
        <v/>
      </c>
      <c r="AX39" s="101" t="str">
        <f>IF($A39="","",IFERROR(SUMPRODUCT(('Raw Data'!$B$2:$B$9999="Control")*('Raw Data'!$A$2:$A$9999=$A39)*('Raw Data'!$C$2:$C$9999=$C$3)*'Raw Data'!$D$2:$D$9999*'Raw Data'!$T$2:$T$9999)/SUMIFS('Raw Data'!$D:$D, 'Raw Data'!$B:$B, "Control", 'Raw Data'!$A:$A, $A39, 'Raw Data'!$C:$C, $C$3),""))</f>
        <v/>
      </c>
      <c r="AY39" s="101" t="str">
        <f>IF($A39="","",IFERROR(SUMPRODUCT(('Raw Data'!$B$2:$B$9999="Variant")*('Raw Data'!$A$2:$A$9999=$A39)*('Raw Data'!$C$2:$C$9999=$C$3)*'Raw Data'!$D$2:$D$9999*'Raw Data'!$T$2:$T$9999)/SUMIFS('Raw Data'!$D:$D, 'Raw Data'!$B:$B, "Variant", 'Raw Data'!$A:$A, $A39, 'Raw Data'!$C:$C, $C$3),""))</f>
        <v/>
      </c>
      <c r="AZ39" s="105" t="str">
        <f t="shared" si="17"/>
        <v/>
      </c>
      <c r="BA39" s="101" t="str">
        <f>IF($A39="","",IFERROR(SUMPRODUCT(('Raw Data'!$B$2:$B$9999="Control")*('Raw Data'!$A$2:$A$9999=$A39)*('Raw Data'!$C$2:$C$9999=$C$3)*'Raw Data'!$D$2:$D$9999*'Raw Data'!$U$2:$U$9999)/SUMIFS('Raw Data'!$D:$D, 'Raw Data'!$B:$B, "Control", 'Raw Data'!$A:$A, $A39, 'Raw Data'!$C:$C, $C$3),""))</f>
        <v/>
      </c>
      <c r="BB39" s="101" t="str">
        <f>IF($A39="","",IFERROR(SUMPRODUCT(('Raw Data'!$B$2:$B$9999="Variant")*('Raw Data'!$A$2:$A$9999=$A39)*('Raw Data'!$C$2:$C$9999=$C$3)*'Raw Data'!$D$2:$D$9999*'Raw Data'!$U$2:$U$9999)/SUMIFS('Raw Data'!$D:$D, 'Raw Data'!$B:$B, "Variant", 'Raw Data'!$A:$A, $A39, 'Raw Data'!$C:$C, $C$3),""))</f>
        <v/>
      </c>
      <c r="BC39" s="95" t="str">
        <f t="shared" si="18"/>
        <v/>
      </c>
      <c r="BD39" s="101" t="str">
        <f>IF($A39="","",IFERROR(SUMPRODUCT(('Raw Data'!$B$2:$B$9999="Control")*('Raw Data'!$A$2:$A$9999=$A39)*('Raw Data'!$C$2:$C$9999=$C$3)*'Raw Data'!$D$2:$D$9999*'Raw Data'!$V$2:$V$9999)/SUMIFS('Raw Data'!$D:$D, 'Raw Data'!$B:$B, "Control", 'Raw Data'!$A:$A, $A39, 'Raw Data'!$C:$C, $C$3),""))</f>
        <v/>
      </c>
      <c r="BE39" s="101" t="str">
        <f>IF($A39="","",IFERROR(SUMPRODUCT(('Raw Data'!$B$2:$B$9999="Variant")*('Raw Data'!$A$2:$A$9999=$A39)*('Raw Data'!$C$2:$C$9999=$C$3)*'Raw Data'!$D$2:$D$9999*'Raw Data'!$V$2:$V$9999)/SUMIFS('Raw Data'!$D:$D, 'Raw Data'!$B:$B, "Variant", 'Raw Data'!$A:$A, $A39, 'Raw Data'!$C:$C, $C$3),""))</f>
        <v/>
      </c>
      <c r="BF39" s="95" t="str">
        <f t="shared" si="19"/>
        <v/>
      </c>
      <c r="BG39" s="101" t="str">
        <f>IF($A39="","",IFERROR(SUMPRODUCT(('Raw Data'!$B$2:$B$9999="Control")*('Raw Data'!$A$2:$A$9999=$A39)*('Raw Data'!$C$2:$C$9999=$C$3)*'Raw Data'!$D$2:$D$9999*('Raw Data'!$Q$2:$Q$9999-'Raw Data'!$V$2:$V$9999))/SUMIFS('Raw Data'!$D:$D, 'Raw Data'!$B:$B, "Control", 'Raw Data'!$A:$A, $A39, 'Raw Data'!$C:$C, $C$3),""))</f>
        <v/>
      </c>
      <c r="BH39" s="101" t="str">
        <f>IF($A39="","",IFERROR(SUMPRODUCT(('Raw Data'!$B$2:$B$9999="Variant")*('Raw Data'!$A$2:$A$9999=$A39)*('Raw Data'!$C$2:$C$9999=$C$3)*'Raw Data'!$D$2:$D$9999*('Raw Data'!$Q$2:$Q$9999-'Raw Data'!$V$2:$V$9999))/SUMIFS('Raw Data'!$D:$D, 'Raw Data'!$B:$B, "Variant", 'Raw Data'!$A:$A, $A39, 'Raw Data'!$C:$C, $C$3),""))</f>
        <v/>
      </c>
      <c r="BI39" s="95" t="str">
        <f t="shared" si="20"/>
        <v/>
      </c>
      <c r="BJ39" s="101" t="str">
        <f>IF($A39="","",IFERROR(SUMPRODUCT(('Raw Data'!$B$2:$B$9999="Control")*('Raw Data'!$A$2:$A$9999=$A39)*('Raw Data'!$C$2:$C$9999=$C$3)*'Raw Data'!$D$2:$D$9999*'Raw Data'!$W$2:$W$9999)/SUMIFS('Raw Data'!$D:$D, 'Raw Data'!$B:$B, "Control", 'Raw Data'!$A:$A, $A39, 'Raw Data'!$C:$C, $C$3),""))</f>
        <v/>
      </c>
      <c r="BK39" s="101" t="str">
        <f>IF($A39="","",IFERROR(SUMPRODUCT(('Raw Data'!$B$2:$B$9999="Variant")*('Raw Data'!$A$2:$A$9999=$A39)*('Raw Data'!$C$2:$C$9999=$C$3)*'Raw Data'!$D$2:$D$9999*'Raw Data'!$W$2:$W$9999)/SUMIFS('Raw Data'!$D:$D, 'Raw Data'!$B:$B, "Variant", 'Raw Data'!$A:$A, $A39, 'Raw Data'!$C:$C, $C$3),""))</f>
        <v/>
      </c>
      <c r="BL39" s="95" t="str">
        <f t="shared" si="21"/>
        <v/>
      </c>
      <c r="BM39" s="102" t="str">
        <f>IF($A39="","",IFERROR(SUMPRODUCT(('Raw Data'!$B$2:$B$9999="Control")*('Raw Data'!$A$2:$A$9999=$A39)*('Raw Data'!$C$2:$C$9999=$C$3)*'Raw Data'!$D$2:$D$9999*'Raw Data'!$X$2:$X$9999)/SUMIFS('Raw Data'!$D:$D, 'Raw Data'!$B:$B, "Control", 'Raw Data'!$A:$A, $A39, 'Raw Data'!$C:$C, $C$3),""))</f>
        <v/>
      </c>
      <c r="BN39" s="102" t="str">
        <f>IF($A39="","",IFERROR(SUMPRODUCT(('Raw Data'!$B$2:$B$9999="Variant")*('Raw Data'!$A$2:$A$9999=$A39)*('Raw Data'!$C$2:$C$9999=$C$3)*'Raw Data'!$D$2:$D$9999*'Raw Data'!$X$2:$X$9999)/SUMIFS('Raw Data'!$D:$D, 'Raw Data'!$B:$B, "Variant", 'Raw Data'!$A:$A, $A39, 'Raw Data'!$C:$C, $C$3),""))</f>
        <v/>
      </c>
      <c r="BO39" s="105" t="str">
        <f t="shared" si="22"/>
        <v/>
      </c>
      <c r="BP39" s="94" t="str">
        <f>IF($A39="","",IFERROR(SUMPRODUCT(('Raw Data'!$B$2:$B$9999="Control")*('Raw Data'!$A$2:$A$9999=$A39)*('Raw Data'!$C$2:$C$9999=$C$3)*'Raw Data'!$D$2:$D$9999*'Raw Data'!$Y$2:$Y$9999)/SUMIFS('Raw Data'!$D:$D, 'Raw Data'!$B:$B, "Control", 'Raw Data'!$A:$A, $A39, 'Raw Data'!$C:$C, $C$3),""))</f>
        <v/>
      </c>
      <c r="BQ39" s="94" t="str">
        <f>IF($A39="","",IFERROR(SUMPRODUCT(('Raw Data'!$B$2:$B$9999="Variant")*('Raw Data'!$A$2:$A$9999=$A39)*('Raw Data'!$C$2:$C$9999=$C$3)*'Raw Data'!$D$2:$D$9999*'Raw Data'!$Y$2:$Y$9999)/SUMIFS('Raw Data'!$D:$D, 'Raw Data'!$B:$B, "Variant", 'Raw Data'!$A:$A, $A39, 'Raw Data'!$C:$C, $C$3),""))</f>
        <v/>
      </c>
      <c r="BR39" s="95" t="str">
        <f t="shared" si="23"/>
        <v/>
      </c>
      <c r="BS39" s="94" t="str">
        <f>IF($A39="","",IFERROR(SUMPRODUCT(('Raw Data'!$B$2:$B$9999="Control")*('Raw Data'!$A$2:$A$9999=$A39)*('Raw Data'!$C$2:$C$9999=$C$3)*'Raw Data'!$D$2:$D$9999*'Raw Data'!$Z$2:$Z$9999)/SUMIFS('Raw Data'!$D:$D, 'Raw Data'!$B:$B, "Control", 'Raw Data'!$A:$A, $A39, 'Raw Data'!$C:$C, $C$3),""))</f>
        <v/>
      </c>
      <c r="BT39" s="94" t="str">
        <f>IF($A39="","",IFERROR(SUMPRODUCT(('Raw Data'!$B$2:$B$9999="Variant")*('Raw Data'!$A$2:$A$9999=$A39)*('Raw Data'!$C$2:$C$9999=$C$3)*'Raw Data'!$D$2:$D$9999*'Raw Data'!$Z$2:$Z$9999)/SUMIFS('Raw Data'!$D:$D, 'Raw Data'!$B:$B, "Variant", 'Raw Data'!$A:$A, $A39, 'Raw Data'!$C:$C, $C$3),""))</f>
        <v/>
      </c>
      <c r="BU39" s="95" t="str">
        <f t="shared" si="24"/>
        <v/>
      </c>
      <c r="BV39" s="94" t="str">
        <f>IF($A39="","",IFERROR(SUMPRODUCT(('Raw Data'!$B$2:$B$9999="Control")*('Raw Data'!$A$2:$A$9999=$A39)*('Raw Data'!$C$2:$C$9999=$C$3)*'Raw Data'!$D$2:$D$9999*'Raw Data'!$AA$2:$AA$9999)/SUMIFS('Raw Data'!$D:$D, 'Raw Data'!$B:$B, "Control", 'Raw Data'!$A:$A, $A39, 'Raw Data'!$C:$C, $C$3),""))</f>
        <v/>
      </c>
      <c r="BW39" s="94" t="str">
        <f>IF($A39="","",IFERROR(SUMPRODUCT(('Raw Data'!$B$2:$B$9999="Variant")*('Raw Data'!$A$2:$A$9999=$A39)*('Raw Data'!$C$2:$C$9999=$C$3)*'Raw Data'!$D$2:$D$9999*'Raw Data'!$AA$2:$AA$9999)/SUMIFS('Raw Data'!$D:$D, 'Raw Data'!$B:$B, "Variant", 'Raw Data'!$A:$A, $A39, 'Raw Data'!$C:$C, $C$3),""))</f>
        <v/>
      </c>
      <c r="BX39" s="95" t="str">
        <f t="shared" si="25"/>
        <v/>
      </c>
      <c r="BY39" s="101" t="str">
        <f>IF($A39="","",IFERROR(SUMPRODUCT(('Raw Data'!$B$2:$B$9999="Control")*('Raw Data'!$A$2:$A$9999=$A39)*('Raw Data'!$C$2:$C$9999=$C$3)*'Raw Data'!$D$2:$D$9999*'Raw Data'!$AB$2:$AB$9999)/SUMIFS('Raw Data'!$D:$D, 'Raw Data'!$B:$B, "Control", 'Raw Data'!$A:$A, $A39, 'Raw Data'!$C:$C, $C$3),""))</f>
        <v/>
      </c>
      <c r="BZ39" s="101" t="str">
        <f>IF($A39="","",IFERROR(SUMPRODUCT(('Raw Data'!$B$2:$B$9999="Variant")*('Raw Data'!$A$2:$A$9999=$A39)*('Raw Data'!$C$2:$C$9999=$C$3)*'Raw Data'!$D$2:$D$9999*'Raw Data'!$AB$2:$AB$9999)/SUMIFS('Raw Data'!$D:$D, 'Raw Data'!$B:$B, "Variant", 'Raw Data'!$A:$A, $A39, 'Raw Data'!$C:$C, $C$3),""))</f>
        <v/>
      </c>
      <c r="CA39" s="105" t="str">
        <f t="shared" si="26"/>
        <v/>
      </c>
      <c r="CB39" s="101" t="str">
        <f>IF($A39="","",IFERROR(SUMPRODUCT(('Raw Data'!$B$2:$B$9999="Control")*('Raw Data'!$A$2:$A$9999=$A39)*('Raw Data'!$C$2:$C$9999=$C$3)*'Raw Data'!$D$2:$D$9999*'Raw Data'!$AC$2:$AC$9999)/SUMIFS('Raw Data'!$D:$D, 'Raw Data'!$B:$B, "Control", 'Raw Data'!$A:$A, $A39, 'Raw Data'!$C:$C, $C$3),""))</f>
        <v/>
      </c>
      <c r="CC39" s="101" t="str">
        <f>IF($A39="","",IFERROR(SUMPRODUCT(('Raw Data'!$B$2:$B$9999="Variant")*('Raw Data'!$A$2:$A$9999=$A39)*('Raw Data'!$C$2:$C$9999=$C$3)*'Raw Data'!$D$2:$D$9999*'Raw Data'!$AC$2:$AC$9999)/SUMIFS('Raw Data'!$D:$D, 'Raw Data'!$B:$B, "Variant", 'Raw Data'!$A:$A, $A39, 'Raw Data'!$C:$C, $C$3),""))</f>
        <v/>
      </c>
      <c r="CD39" s="105" t="str">
        <f t="shared" si="27"/>
        <v/>
      </c>
      <c r="CE39" s="101" t="str">
        <f>IF($A39="","",IFERROR(SUMPRODUCT(('Raw Data'!$B$2:$B$9999="Control")*('Raw Data'!$A$2:$A$9999=$A39)*('Raw Data'!$C$2:$C$9999=$C$3)*'Raw Data'!$D$2:$D$9999*'Raw Data'!$AD$2:$AD$9999)/SUMIFS('Raw Data'!$D:$D, 'Raw Data'!$B:$B, "Control", 'Raw Data'!$A:$A, $A39, 'Raw Data'!$C:$C, $C$3),""))</f>
        <v/>
      </c>
      <c r="CF39" s="101" t="str">
        <f>IF($A39="","",IFERROR(SUMPRODUCT(('Raw Data'!$B$2:$B$9999="Variant")*('Raw Data'!$A$2:$A$9999=$A39)*('Raw Data'!$C$2:$C$9999=$C$3)*'Raw Data'!$D$2:$D$9999*'Raw Data'!$AD$2:$AD$9999)/SUMIFS('Raw Data'!$D:$D, 'Raw Data'!$B:$B, "Variant", 'Raw Data'!$A:$A, $A39, 'Raw Data'!$C:$C, $C$3),""))</f>
        <v/>
      </c>
      <c r="CG39" s="105" t="str">
        <f t="shared" si="28"/>
        <v/>
      </c>
      <c r="CH39" s="101" t="str">
        <f>IF($A39="","",IFERROR(SUMPRODUCT(('Raw Data'!$B$2:$B$9999="Control")*('Raw Data'!$A$2:$A$9999=$A39)*('Raw Data'!$C$2:$C$9999=$C$3)*'Raw Data'!$D$2:$D$9999*'Raw Data'!$AE$2:$AE$9999)/SUMIFS('Raw Data'!$D:$D, 'Raw Data'!$B:$B, "Control", 'Raw Data'!$A:$A, $A39, 'Raw Data'!$C:$C, $C$3),""))</f>
        <v/>
      </c>
      <c r="CI39" s="101" t="str">
        <f>IF($A39="","",IFERROR(SUMPRODUCT(('Raw Data'!$B$2:$B$9999="Variant")*('Raw Data'!$A$2:$A$9999=$A39)*('Raw Data'!$C$2:$C$9999=$C$3)*'Raw Data'!$D$2:$D$9999*'Raw Data'!$AE$2:$AE$9999)/SUMIFS('Raw Data'!$D:$D, 'Raw Data'!$B:$B, "Variant", 'Raw Data'!$A:$A, $A39, 'Raw Data'!$C:$C, $C$3),""))</f>
        <v/>
      </c>
      <c r="CJ39" s="105" t="str">
        <f t="shared" si="29"/>
        <v/>
      </c>
      <c r="CK39" s="101" t="str">
        <f>IF($A39="","",IFERROR(SUMPRODUCT(('Raw Data'!$B$2:$B$9999="Control")*('Raw Data'!$A$2:$A$9999=$A39)*('Raw Data'!$C$2:$C$9999=$C$3)*'Raw Data'!$D$2:$D$9999*'Raw Data'!$AF$2:$AF$9999)/SUMIFS('Raw Data'!$D:$D, 'Raw Data'!$B:$B, "Control", 'Raw Data'!$A:$A, $A39, 'Raw Data'!$C:$C, $C$3),""))</f>
        <v/>
      </c>
      <c r="CL39" s="101" t="str">
        <f>IF($A39="","",IFERROR(SUMPRODUCT(('Raw Data'!$B$2:$B$9999="Variant")*('Raw Data'!$A$2:$A$9999=$A39)*('Raw Data'!$C$2:$C$9999=$C$3)*'Raw Data'!$D$2:$D$9999*'Raw Data'!$AF$2:$AF$9999)/SUMIFS('Raw Data'!$D:$D, 'Raw Data'!$B:$B, "Variant", 'Raw Data'!$A:$A, $A39, 'Raw Data'!$C:$C, $C$3),""))</f>
        <v/>
      </c>
      <c r="CM39" s="105" t="str">
        <f t="shared" si="30"/>
        <v/>
      </c>
      <c r="CN39" s="101" t="str">
        <f>IF($A39="","",IFERROR(SUMPRODUCT(('Raw Data'!$B$2:$B$9999="Control")*('Raw Data'!$A$2:$A$9999=$A39)*('Raw Data'!$C$2:$C$9999=$C$3)*'Raw Data'!$D$2:$D$9999*'Raw Data'!$AG$2:$AG$9999)/SUMIFS('Raw Data'!$D:$D, 'Raw Data'!$B:$B, "Control", 'Raw Data'!$A:$A, $A39, 'Raw Data'!$C:$C, $C$3),""))</f>
        <v/>
      </c>
      <c r="CO39" s="101" t="str">
        <f>IF($A39="","",IFERROR(SUMPRODUCT(('Raw Data'!$B$2:$B$9999="Variant")*('Raw Data'!$A$2:$A$9999=$A39)*('Raw Data'!$C$2:$C$9999=$C$3)*'Raw Data'!$D$2:$D$9999*'Raw Data'!$AG$2:$AG$9999)/SUMIFS('Raw Data'!$D:$D, 'Raw Data'!$B:$B, "Variant", 'Raw Data'!$A:$A, $A39, 'Raw Data'!$C:$C, $C$3),""))</f>
        <v/>
      </c>
      <c r="CP39" s="105" t="str">
        <f t="shared" si="31"/>
        <v/>
      </c>
      <c r="CQ39" s="101" t="str">
        <f>IF($A39="","",IFERROR(SUMPRODUCT(('Raw Data'!$B$2:$B$9999="Control")*('Raw Data'!$A$2:$A$9999=$A39)*('Raw Data'!$C$2:$C$9999=$C$3)*'Raw Data'!$D$2:$D$9999*'Raw Data'!$AH$2:$AH$9999)/SUMIFS('Raw Data'!$D:$D, 'Raw Data'!$B:$B, "Control", 'Raw Data'!$A:$A, $A39, 'Raw Data'!$C:$C, $C$3),""))</f>
        <v/>
      </c>
      <c r="CR39" s="101" t="str">
        <f>IF($A39="","",IFERROR(SUMPRODUCT(('Raw Data'!$B$2:$B$9999="Variant")*('Raw Data'!$A$2:$A$9999=$A39)*('Raw Data'!$C$2:$C$9999=$C$3)*'Raw Data'!$D$2:$D$9999*'Raw Data'!$AH$2:$AH$9999)/SUMIFS('Raw Data'!$D:$D, 'Raw Data'!$B:$B, "Variant", 'Raw Data'!$A:$A, $A39, 'Raw Data'!$C:$C, $C$3),""))</f>
        <v/>
      </c>
      <c r="CS39" s="105" t="str">
        <f t="shared" si="32"/>
        <v/>
      </c>
      <c r="CT39" s="96" t="str">
        <f>IF($A39="","",IFERROR(SUMPRODUCT(('Raw Data'!$B$2:$B$9999="Control")*('Raw Data'!$A$2:$A$9999=$A39)*('Raw Data'!$C$2:$C$9999=$C$3)*'Raw Data'!$D$2:$D$9999*'Raw Data'!$AI$2:$AI$9999)/SUMIFS('Raw Data'!$D:$D, 'Raw Data'!$B:$B, "Control", 'Raw Data'!$A:$A, $A39, 'Raw Data'!$C:$C, $C$3),""))</f>
        <v/>
      </c>
      <c r="CU39" s="96" t="str">
        <f>IF($A39="","",IFERROR(SUMPRODUCT(('Raw Data'!$B$2:$B$9999="Variant")*('Raw Data'!$A$2:$A$9999=$A39)*('Raw Data'!$C$2:$C$9999=$C$3)*'Raw Data'!$D$2:$D$9999*'Raw Data'!$AI$2:$AI$9999)/SUMIFS('Raw Data'!$D:$D, 'Raw Data'!$B:$B, "Variant", 'Raw Data'!$A:$A, $A39, 'Raw Data'!$C:$C, $C$3),""))</f>
        <v/>
      </c>
      <c r="CV39" s="106" t="str">
        <f t="shared" si="33"/>
        <v/>
      </c>
      <c r="CW39" s="96" t="str">
        <f>IF($A39="","",IFERROR(SUMPRODUCT(('Raw Data'!$B$2:$B$9999="Control")*('Raw Data'!$A$2:$A$9999=$A39)*('Raw Data'!$C$2:$C$9999=$C$3)*'Raw Data'!$D$2:$D$9999*'Raw Data'!$AJ$2:$AJ$9999)/SUMIFS('Raw Data'!$D:$D, 'Raw Data'!$B:$B, "Control", 'Raw Data'!$A:$A, $A39, 'Raw Data'!$C:$C, $C$3),""))</f>
        <v/>
      </c>
      <c r="CX39" s="96" t="str">
        <f>IF($A39="","",IFERROR(SUMPRODUCT(('Raw Data'!$B$2:$B$9999="Variant")*('Raw Data'!$A$2:$A$9999=$A39)*('Raw Data'!$C$2:$C$9999=$C$3)*'Raw Data'!$D$2:$D$9999*'Raw Data'!$AJ$2:$AJ$9999)/SUMIFS('Raw Data'!$D:$D, 'Raw Data'!$B:$B, "Variant", 'Raw Data'!$A:$A, $A39, 'Raw Data'!$C:$C, $C$3),""))</f>
        <v/>
      </c>
      <c r="CY39" s="106" t="str">
        <f t="shared" si="34"/>
        <v/>
      </c>
      <c r="CZ39" s="96" t="str">
        <f>IF($A39="","",IFERROR(SUMPRODUCT(('Raw Data'!$B$2:$B$9999="Control")*('Raw Data'!$A$2:$A$9999=$A39)*('Raw Data'!$C$2:$C$9999=$C$3)*'Raw Data'!$D$2:$D$9999*'Raw Data'!$AK$2:$AK$9999)/SUMIFS('Raw Data'!$D:$D, 'Raw Data'!$B:$B, "Control", 'Raw Data'!$A:$A, $A39, 'Raw Data'!$C:$C, $C$3),""))</f>
        <v/>
      </c>
      <c r="DA39" s="96" t="str">
        <f>IF($A39="","",IFERROR(SUMPRODUCT(('Raw Data'!$B$2:$B$9999="Variant")*('Raw Data'!$A$2:$A$9999=$A39)*('Raw Data'!$C$2:$C$9999=$C$3)*'Raw Data'!$D$2:$D$9999*'Raw Data'!$AK$2:$AK$9999)/SUMIFS('Raw Data'!$D:$D, 'Raw Data'!$B:$B, "Variant", 'Raw Data'!$A:$A, $A39, 'Raw Data'!$C:$C, $C$3),""))</f>
        <v/>
      </c>
      <c r="DB39" s="105" t="str">
        <f t="shared" si="35"/>
        <v/>
      </c>
      <c r="DC39" s="102" t="str">
        <f>IF($A39="","",IFERROR(SUMPRODUCT(('Raw Data'!$B$2:$B$9999="Control")*('Raw Data'!$A$2:$A$9999=$A39)*('Raw Data'!$C$2:$C$9999=$C$3)*'Raw Data'!$D$2:$D$9999*'Raw Data'!$AL$2:$AL$9999)/SUMIFS('Raw Data'!$D:$D, 'Raw Data'!$B:$B, "Control", 'Raw Data'!$A:$A, $A39, 'Raw Data'!$C:$C, $C$3),""))</f>
        <v/>
      </c>
      <c r="DD39" s="102" t="str">
        <f>IF($A39="","",IFERROR(SUMPRODUCT(('Raw Data'!$B$2:$B$9999="Variant")*('Raw Data'!$A$2:$A$9999=$A39)*('Raw Data'!$C$2:$C$9999=$C$3)*'Raw Data'!$D$2:$D$9999*'Raw Data'!$AL$2:$AL$9999)/SUMIFS('Raw Data'!$D:$D, 'Raw Data'!$B:$B, "Variant", 'Raw Data'!$A:$A, $A39, 'Raw Data'!$C:$C, $C$3),""))</f>
        <v/>
      </c>
      <c r="DE39" s="106" t="str">
        <f t="shared" si="36"/>
        <v/>
      </c>
      <c r="DF39" s="103"/>
      <c r="DG39" s="96" t="str">
        <f>IF($A39="","",IFERROR(SUMPRODUCT(('Raw Data'!$B$2:$B$9999="Variant")*('Raw Data'!$A$2:$A$9999=$A39)*('Raw Data'!$C$2:$C$9999=$C$3)*'Raw Data'!$D$2:$D$9999*'Raw Data'!$AM$2:$AM$9999)/SUMIFS('Raw Data'!$D:$D, 'Raw Data'!$B:$B, "Variant", 'Raw Data'!$A:$A, $A39, 'Raw Data'!$C:$C, $C$3),""))</f>
        <v/>
      </c>
      <c r="DH39" s="104"/>
      <c r="DI39" s="103"/>
      <c r="DJ39" s="96" t="str">
        <f>IF($A39="","",IFERROR(SUMPRODUCT(('Raw Data'!$B$2:$B$9999="Variant")*('Raw Data'!$A$2:$A$9999=$A39)*('Raw Data'!$C$2:$C$9999=$C$3)*'Raw Data'!$D$2:$D$9999*'Raw Data'!$AN$2:$AN$9999)/SUMIFS('Raw Data'!$D:$D, 'Raw Data'!$B:$B, "Variant", 'Raw Data'!$A:$A, $A39, 'Raw Data'!$C:$C, $C$3),""))</f>
        <v/>
      </c>
      <c r="DK39" s="104"/>
      <c r="DL39" s="103"/>
      <c r="DM39" s="96" t="str">
        <f>IF($A39="","",IFERROR(SUMPRODUCT(('Raw Data'!$B$2:$B$9999="Variant")*('Raw Data'!$A$2:$A$9999=$A39)*('Raw Data'!$C$2:$C$9999=$C$3)*'Raw Data'!$D$2:$D$9999*'Raw Data'!$AO$2:$AO$9999)/SUMIFS('Raw Data'!$D:$D, 'Raw Data'!$B:$B, "Variant", 'Raw Data'!$A:$A, $A39, 'Raw Data'!$C:$C, $C$3),""))</f>
        <v/>
      </c>
      <c r="DN39" s="104"/>
      <c r="DO39" s="103"/>
      <c r="DP39" s="96" t="str">
        <f>IF($A39="","",IFERROR(SUMPRODUCT(('Raw Data'!$B$2:$B$9999="Variant")*('Raw Data'!$A$2:$A$9999=$A39)*('Raw Data'!$C$2:$C$9999=$C$3)*'Raw Data'!$D$2:$D$9999*'Raw Data'!$AP$2:$AP$9999)/SUMIFS('Raw Data'!$D:$D, 'Raw Data'!$B:$B, "Variant", 'Raw Data'!$A:$A, $A39, 'Raw Data'!$C:$C, $C$3),""))</f>
        <v/>
      </c>
      <c r="DQ39" s="104"/>
      <c r="DR39" s="102" t="str">
        <f>IF($A39="","",IFERROR(SUMPRODUCT(('Raw Data'!$B$2:$B$9999="Control")*('Raw Data'!$A$2:$A$9999=$A39)*('Raw Data'!$C$2:$C$9999=$C$3)*'Raw Data'!$D$2:$D$9999*'Raw Data'!$AQ$2:$AQ$9999)/SUMIFS('Raw Data'!$D:$D, 'Raw Data'!$B:$B, "Control", 'Raw Data'!$A:$A, $A39, 'Raw Data'!$C:$C, $C$3),""))</f>
        <v/>
      </c>
      <c r="DS39" s="102" t="str">
        <f>IF($A39="","",IFERROR(SUMPRODUCT(('Raw Data'!$B$2:$B$9999="Variant")*('Raw Data'!$A$2:$A$9999=$A39)*('Raw Data'!$C$2:$C$9999=$C$3)*'Raw Data'!$D$2:$D$9999*'Raw Data'!$AQ$2:$AQ$9999)/SUMIFS('Raw Data'!$D:$D, 'Raw Data'!$B:$B, "Variant", 'Raw Data'!$A:$A, $A39, 'Raw Data'!$C:$C, $C$3),""))</f>
        <v/>
      </c>
      <c r="DT39" s="109" t="str">
        <f t="shared" si="37"/>
        <v/>
      </c>
      <c r="DU39" s="102" t="str">
        <f>IF($A39="","",IFERROR(SUMPRODUCT(('Raw Data'!$B$2:$B$9999="Control")*('Raw Data'!$A$2:$A$9999=$A39)*('Raw Data'!$C$2:$C$9999=$C$3)*'Raw Data'!$D$2:$D$9999*'Raw Data'!$AR$2:$AR$9999)/SUMIFS('Raw Data'!$D:$D, 'Raw Data'!$B:$B, "Control", 'Raw Data'!$A:$A, $A39, 'Raw Data'!$C:$C, $C$3),""))</f>
        <v/>
      </c>
      <c r="DV39" s="102" t="str">
        <f>IF($A39="","",IFERROR(SUMPRODUCT(('Raw Data'!$B$2:$B$9999="Variant")*('Raw Data'!$A$2:$A$9999=$A39)*('Raw Data'!$C$2:$C$9999=$C$3)*'Raw Data'!$D$2:$D$9999*'Raw Data'!$AR$2:$AR$9999)/SUMIFS('Raw Data'!$D:$D, 'Raw Data'!$B:$B, "Variant", 'Raw Data'!$A:$A, $A39, 'Raw Data'!$C:$C, $C$3),""))</f>
        <v/>
      </c>
      <c r="DW39" s="109" t="str">
        <f t="shared" si="38"/>
        <v/>
      </c>
      <c r="DX39" s="102" t="str">
        <f>IF($A39="","",IFERROR(SUMPRODUCT(('Raw Data'!$B$2:$B$9999="Control")*('Raw Data'!$A$2:$A$9999=$A39)*('Raw Data'!$C$2:$C$9999=$C$3)*'Raw Data'!$D$2:$D$9999*'Raw Data'!$AS$2:$AS$9999)/SUMIFS('Raw Data'!$D:$D, 'Raw Data'!$B:$B, "Control", 'Raw Data'!$A:$A, $A39, 'Raw Data'!$C:$C, $C$3),""))</f>
        <v/>
      </c>
      <c r="DY39" s="102" t="str">
        <f>IF($A39="","",IFERROR(SUMPRODUCT(('Raw Data'!$B$2:$B$9999="Variant")*('Raw Data'!$A$2:$A$9999=$A39)*('Raw Data'!$C$2:$C$9999=$C$3)*'Raw Data'!$D$2:$D$9999*'Raw Data'!$AS$2:$AS$9999)/SUMIFS('Raw Data'!$D:$D, 'Raw Data'!$B:$B, "Variant", 'Raw Data'!$A:$A, $A39, 'Raw Data'!$C:$C, $C$3),""))</f>
        <v/>
      </c>
      <c r="DZ39" s="110" t="str">
        <f t="shared" si="39"/>
        <v/>
      </c>
      <c r="EA39" s="102" t="str">
        <f>IF($A39="","",IFERROR(SUMPRODUCT(('Raw Data'!$B$2:$B$9999="Control")*('Raw Data'!$A$2:$A$9999=$A39)*('Raw Data'!$C$2:$C$9999=$C$3)*'Raw Data'!$D$2:$D$9999*'Raw Data'!$AT$2:$AT$9999)/SUMIFS('Raw Data'!$D:$D, 'Raw Data'!$B:$B, "Control", 'Raw Data'!$A:$A, $A39, 'Raw Data'!$C:$C, $C$3),""))</f>
        <v/>
      </c>
      <c r="EB39" s="102" t="str">
        <f>IF($A39="","",IFERROR(SUMPRODUCT(('Raw Data'!$B$2:$B$9999="Variant")*('Raw Data'!$A$2:$A$9999=$A39)*('Raw Data'!$C$2:$C$9999=$C$3)*'Raw Data'!$D$2:$D$9999*'Raw Data'!$AT$2:$AT$9999)/SUMIFS('Raw Data'!$D:$D, 'Raw Data'!$B:$B, "Variant", 'Raw Data'!$A:$A, $A39, 'Raw Data'!$C:$C, $C$3),""))</f>
        <v/>
      </c>
      <c r="EC39" s="109" t="str">
        <f t="shared" si="40"/>
        <v/>
      </c>
      <c r="ED39" s="102" t="str">
        <f>IF($A39="","",IFERROR(SUMPRODUCT(('Raw Data'!$B$2:$B$9999="Control")*('Raw Data'!$A$2:$A$9999=$A39)*('Raw Data'!$C$2:$C$9999=$C$3)*'Raw Data'!$D$2:$D$9999*('Raw Data'!$AQ$2:$AQ$9999-'Raw Data'!$AT$2:$AT$9999))/SUMIFS('Raw Data'!$D:$D, 'Raw Data'!$B:$B, "Control", 'Raw Data'!$A:$A, $A39, 'Raw Data'!$C:$C, $C$3),""))</f>
        <v/>
      </c>
      <c r="EE39" s="102" t="str">
        <f>IF($A39="","",IFERROR(SUMPRODUCT(('Raw Data'!$B$2:$B$9999="Variant")*('Raw Data'!$A$2:$A$9999=$A39)*('Raw Data'!$C$2:$C$9999=$C$3)*'Raw Data'!$D$2:$D$9999*('Raw Data'!$AQ$2:$AQ$9999-'Raw Data'!$AT$2:$AT$9999))/SUMIFS('Raw Data'!$D:$D, 'Raw Data'!$B:$B, "Variant", 'Raw Data'!$A:$A, $A39, 'Raw Data'!$C:$C, $C$3),""))</f>
        <v/>
      </c>
      <c r="EF39" s="110" t="str">
        <f t="shared" si="41"/>
        <v/>
      </c>
      <c r="EG39" s="102" t="str">
        <f>IF($A39="","",IFERROR(SUMPRODUCT(('Raw Data'!$B$2:$B$9999="Control")*('Raw Data'!$A$2:$A$9999=$A39)*('Raw Data'!$C$2:$C$9999=$C$3)*'Raw Data'!$D$2:$D$9999*'Raw Data'!$AU$2:$AU$9999)/SUMIFS('Raw Data'!$D:$D, 'Raw Data'!$B:$B, "Control", 'Raw Data'!$A:$A, $A39, 'Raw Data'!$C:$C, $C$3),""))</f>
        <v/>
      </c>
      <c r="EH39" s="102" t="str">
        <f>IF($A39="","",IFERROR(SUMPRODUCT(('Raw Data'!$B$2:$B$9999="Variant")*('Raw Data'!$A$2:$A$9999=$A39)*('Raw Data'!$C$2:$C$9999=$C$3)*'Raw Data'!$D$2:$D$9999*'Raw Data'!$AU$2:$AU$9999)/SUMIFS('Raw Data'!$D:$D, 'Raw Data'!$B:$B, "Variant", 'Raw Data'!$A:$A, $A39, 'Raw Data'!$C:$C, $C$3),""))</f>
        <v/>
      </c>
      <c r="EI39" s="109" t="str">
        <f t="shared" si="42"/>
        <v/>
      </c>
    </row>
    <row r="40" ht="15.75" customHeight="1">
      <c r="A40" s="93">
        <v>46208.0</v>
      </c>
      <c r="B40" s="94">
        <f>IF($A40="","",SUMIFS('Raw Data'!$D:$D, 'Raw Data'!$B:$B, "Control", 'Raw Data'!$A:$A, $A40, 'Raw Data'!$C:$C, $C$3))</f>
        <v>0</v>
      </c>
      <c r="C40" s="94">
        <f>IF($A40="","",SUMIFS('Raw Data'!$D:$D, 'Raw Data'!$B:$B, "Variant", 'Raw Data'!$A:$A, $A40, 'Raw Data'!$C:$C, $C$3))</f>
        <v>0</v>
      </c>
      <c r="D40" s="95" t="str">
        <f t="shared" si="1"/>
        <v/>
      </c>
      <c r="E40" s="96" t="str">
        <f>IF($A40="","",IFERROR(SUMPRODUCT(('Raw Data'!$B$2:$B$9999="Control")*('Raw Data'!$A$2:$A$9999=$A40)*('Raw Data'!$C$2:$C$9999=$C$3)*'Raw Data'!$D$2:$D$9999*'Raw Data'!$E$2:$E$9999)/SUMIFS('Raw Data'!$D:$D, 'Raw Data'!$B:$B, "Control", 'Raw Data'!$A:$A, $A40, 'Raw Data'!$C:$C, $C$3),""))</f>
        <v/>
      </c>
      <c r="F40" s="96" t="str">
        <f>IF($A40="","",IFERROR(SUMPRODUCT(('Raw Data'!$B$2:$B$9999="Variant")*('Raw Data'!$A$2:$A$9999=$A40)*('Raw Data'!$C$2:$C$9999=$C$3)*'Raw Data'!$D$2:$D$9999*'Raw Data'!$E$2:$E$9999)/SUMIFS('Raw Data'!$D:$D, 'Raw Data'!$B:$B, "Variant", 'Raw Data'!$A:$A, $A40, 'Raw Data'!$C:$C, $C$3),""))</f>
        <v/>
      </c>
      <c r="G40" s="95" t="str">
        <f t="shared" si="2"/>
        <v/>
      </c>
      <c r="H40" s="97">
        <f>IF($A40="","",SUMIFS('Raw Data'!$F:$F, 'Raw Data'!$B:$B, "Control", 'Raw Data'!$A:$A, $A40, 'Raw Data'!$C:$C, $C$3))</f>
        <v>0</v>
      </c>
      <c r="I40" s="97">
        <f>IF($A40="","",SUMIFS('Raw Data'!$F:$F, 'Raw Data'!$B:$B, "Variant", 'Raw Data'!$A:$A, $A40, 'Raw Data'!$C:$C, $C$3))</f>
        <v>0</v>
      </c>
      <c r="J40" s="105" t="str">
        <f t="shared" si="3"/>
        <v/>
      </c>
      <c r="K40" s="99" t="str">
        <f>IF($A40="","",IFERROR(SUMIFS('Raw Data'!$F:$F, 'Raw Data'!$B:$B, "Control", 'Raw Data'!$A:$A, $A40, 'Raw Data'!$C:$C, $C$3)/SUMIFS('Raw Data'!$D:$D, 'Raw Data'!$B:$B, "Control", 'Raw Data'!$A:$A, $A40, 'Raw Data'!$C:$C, $C$3),""))</f>
        <v/>
      </c>
      <c r="L40" s="99" t="str">
        <f>IF($A40="","",IFERROR(SUMIFS('Raw Data'!$F:$F, 'Raw Data'!$B:$B, "Variant", 'Raw Data'!$A:$A, $A40, 'Raw Data'!$C:$C, $C$3)/SUMIFS('Raw Data'!$D:$D, 'Raw Data'!$B:$B, "Variant", 'Raw Data'!$A:$A, $A40, 'Raw Data'!$C:$C, $C$3),""))</f>
        <v/>
      </c>
      <c r="M40" s="105" t="str">
        <f t="shared" si="4"/>
        <v/>
      </c>
      <c r="N40" s="96" t="str">
        <f>IF($A40="","",IFERROR(SUMPRODUCT(('Raw Data'!$B$2:$B$9999="Control")*('Raw Data'!$A$2:$A$9999=$A40)*('Raw Data'!$C$2:$C$9999=$C$3)*'Raw Data'!$D$2:$D$9999*'Raw Data'!$H$2:$H$9999/100)/SUMIFS('Raw Data'!$D:$D, 'Raw Data'!$B:$B, "Control", 'Raw Data'!$A:$A, $A40, 'Raw Data'!$C:$C, $C$3)*100,""))</f>
        <v/>
      </c>
      <c r="O40" s="96" t="str">
        <f>IF($A40="","",IFERROR(SUMPRODUCT(('Raw Data'!$B$2:$B$9999="Variant")*('Raw Data'!$A$2:$A$9999=$A40)*('Raw Data'!$C$2:$C$9999=$C$3)*'Raw Data'!$D$2:$D$9999*'Raw Data'!$H$2:$H$9999/100)/SUMIFS('Raw Data'!$D:$D, 'Raw Data'!$B:$B, "Variant", 'Raw Data'!$A:$A, $A40, 'Raw Data'!$C:$C, $C$3)*100,""))</f>
        <v/>
      </c>
      <c r="P40" s="105" t="str">
        <f t="shared" si="5"/>
        <v/>
      </c>
      <c r="Q40" s="99" t="str">
        <f>IF($A40="","",IFERROR(SUMIFS('Raw Data'!$F:$F, 'Raw Data'!$B:$B, "Control", 'Raw Data'!$A:$A, $A40, 'Raw Data'!$C:$C, $C$3)/SUMPRODUCT(('Raw Data'!$B$2:$B$9999="Control")*('Raw Data'!$A$2:$A$9999=$A40)*('Raw Data'!$C$2:$C$9999=$C$3)*'Raw Data'!$D$2:$D$9999*'Raw Data'!$H$2:$H$9999/100),""))</f>
        <v/>
      </c>
      <c r="R40" s="99" t="str">
        <f>IF($A40="","",IFERROR(SUMIFS('Raw Data'!$F:$F, 'Raw Data'!$B:$B, "Variant", 'Raw Data'!$A:$A, $A40, 'Raw Data'!$C:$C, $C$3)/SUMPRODUCT(('Raw Data'!$B$2:$B$9999="Variant")*('Raw Data'!$A$2:$A$9999=$A40)*('Raw Data'!$C$2:$C$9999=$C$3)*'Raw Data'!$D$2:$D$9999*'Raw Data'!$H$2:$H$9999/100),""))</f>
        <v/>
      </c>
      <c r="S40" s="105" t="str">
        <f t="shared" si="6"/>
        <v/>
      </c>
      <c r="T40" s="101" t="str">
        <f>IF($A40="","",IFERROR(SUMPRODUCT(('Raw Data'!$B$2:$B$9999="Control")*('Raw Data'!$A$2:$A$9999=$A40)*('Raw Data'!$C$2:$C$9999=$C$3)*'Raw Data'!$D$2:$D$9999*'Raw Data'!$J$2:$J$9999)/SUMIFS('Raw Data'!$D:$D, 'Raw Data'!$B:$B, "Control", 'Raw Data'!$A:$A, $A40, 'Raw Data'!$C:$C, $C$3),""))</f>
        <v/>
      </c>
      <c r="U40" s="101" t="str">
        <f>IF($A40="","",IFERROR(SUMPRODUCT(('Raw Data'!$B$2:$B$9999="Variant")*('Raw Data'!$A$2:$A$9999=$A40)*('Raw Data'!$C$2:$C$9999=$C$3)*'Raw Data'!$D$2:$D$9999*'Raw Data'!$J$2:$J$9999)/SUMIFS('Raw Data'!$D:$D, 'Raw Data'!$B:$B, "Variant", 'Raw Data'!$A:$A, $A40, 'Raw Data'!$C:$C, $C$3),""))</f>
        <v/>
      </c>
      <c r="V40" s="105" t="str">
        <f t="shared" si="7"/>
        <v/>
      </c>
      <c r="W40" s="101" t="str">
        <f>IF($A40="","",IFERROR(SUMPRODUCT(('Raw Data'!$B$2:$B$9999="Control")*('Raw Data'!$A$2:$A$9999=$A40)*('Raw Data'!$C$2:$C$9999=$C$3)*'Raw Data'!$D$2:$D$9999*'Raw Data'!$K$2:$K$9999)/SUMIFS('Raw Data'!$D:$D, 'Raw Data'!$B:$B, "Control", 'Raw Data'!$A:$A, $A40, 'Raw Data'!$C:$C, $C$3),""))</f>
        <v/>
      </c>
      <c r="X40" s="101" t="str">
        <f>IF($A40="","",IFERROR(SUMPRODUCT(('Raw Data'!$B$2:$B$9999="Variant")*('Raw Data'!$A$2:$A$9999=$A40)*('Raw Data'!$C$2:$C$9999=$C$3)*'Raw Data'!$D$2:$D$9999*'Raw Data'!$K$2:$K$9999)/SUMIFS('Raw Data'!$D:$D, 'Raw Data'!$B:$B, "Variant", 'Raw Data'!$A:$A, $A40, 'Raw Data'!$C:$C, $C$3),""))</f>
        <v/>
      </c>
      <c r="Y40" s="105" t="str">
        <f t="shared" si="8"/>
        <v/>
      </c>
      <c r="Z40" s="101" t="str">
        <f>IF($A40="","",IFERROR(SUMPRODUCT(('Raw Data'!$B$2:$B$9999="Control")*('Raw Data'!$A$2:$A$9999=$A40)*('Raw Data'!$C$2:$C$9999=$C$3)*'Raw Data'!$D$2:$D$9999*'Raw Data'!$L$2:$L$9999)/SUMIFS('Raw Data'!$D:$D, 'Raw Data'!$B:$B, "Control", 'Raw Data'!$A:$A, $A40, 'Raw Data'!$C:$C, $C$3),""))</f>
        <v/>
      </c>
      <c r="AA40" s="101" t="str">
        <f>IF($A40="","",IFERROR(SUMPRODUCT(('Raw Data'!$B$2:$B$9999="Variant")*('Raw Data'!$A$2:$A$9999=$A40)*('Raw Data'!$C$2:$C$9999=$C$3)*'Raw Data'!$D$2:$D$9999*'Raw Data'!$L$2:$L$9999)/SUMIFS('Raw Data'!$D:$D, 'Raw Data'!$B:$B, "Variant", 'Raw Data'!$A:$A, $A40, 'Raw Data'!$C:$C, $C$3),""))</f>
        <v/>
      </c>
      <c r="AB40" s="105" t="str">
        <f t="shared" si="9"/>
        <v/>
      </c>
      <c r="AC40" s="102" t="str">
        <f>IF($A40="","",IFERROR(SUMPRODUCT(('Raw Data'!$B$2:$B$9999="Control")*('Raw Data'!$A$2:$A$9999=$A40)*('Raw Data'!$C$2:$C$9999=$C$3)*'Raw Data'!$D$2:$D$9999*'Raw Data'!$M$2:$M$9999)/SUMIFS('Raw Data'!$D:$D, 'Raw Data'!$B:$B, "Control", 'Raw Data'!$A:$A, $A40, 'Raw Data'!$C:$C, $C$3),""))</f>
        <v/>
      </c>
      <c r="AD40" s="102" t="str">
        <f>IF($A40="","",IFERROR(SUMPRODUCT(('Raw Data'!$B$2:$B$9999="Variant")*('Raw Data'!$A$2:$A$9999=$A40)*('Raw Data'!$C$2:$C$9999=$C$3)*'Raw Data'!$D$2:$D$9999*'Raw Data'!$M$2:$M$9999)/SUMIFS('Raw Data'!$D:$D, 'Raw Data'!$B:$B, "Variant", 'Raw Data'!$A:$A, $A40, 'Raw Data'!$C:$C, $C$3),""))</f>
        <v/>
      </c>
      <c r="AE40" s="106" t="str">
        <f t="shared" si="10"/>
        <v/>
      </c>
      <c r="AF40" s="102" t="str">
        <f>IF($A40="","",IFERROR(SUMPRODUCT(('Raw Data'!$B$2:$B$9999="Control")*('Raw Data'!$A$2:$A$9999=$A40)*('Raw Data'!$C$2:$C$9999=$C$3)*'Raw Data'!$D$2:$D$9999*'Raw Data'!$N$2:$N$9999)/SUMIFS('Raw Data'!$D:$D, 'Raw Data'!$B:$B, "Control", 'Raw Data'!$A:$A, $A40, 'Raw Data'!$C:$C, $C$3),""))</f>
        <v/>
      </c>
      <c r="AG40" s="102" t="str">
        <f>IF($A40="","",IFERROR(SUMPRODUCT(('Raw Data'!$B$2:$B$9999="Variant")*('Raw Data'!$A$2:$A$9999=$A40)*('Raw Data'!$C$2:$C$9999=$C$3)*'Raw Data'!$D$2:$D$9999*'Raw Data'!$N$2:$N$9999)/SUMIFS('Raw Data'!$D:$D, 'Raw Data'!$B:$B, "Variant", 'Raw Data'!$A:$A, $A40, 'Raw Data'!$C:$C, $C$3),""))</f>
        <v/>
      </c>
      <c r="AH40" s="106" t="str">
        <f t="shared" si="11"/>
        <v/>
      </c>
      <c r="AI40" s="102" t="str">
        <f>IF($A40="","",IFERROR(SUMPRODUCT(('Raw Data'!$B$2:$B$9999="Control")*('Raw Data'!$A$2:$A$9999=$A40)*('Raw Data'!$C$2:$C$9999=$C$3)*'Raw Data'!$D$2:$D$9999*'Raw Data'!$O$2:$O$9999)/SUMIFS('Raw Data'!$D:$D, 'Raw Data'!$B:$B, "Control", 'Raw Data'!$A:$A, $A40, 'Raw Data'!$C:$C, $C$3),""))</f>
        <v/>
      </c>
      <c r="AJ40" s="102" t="str">
        <f>IF($A40="","",IFERROR(SUMPRODUCT(('Raw Data'!$B$2:$B$9999="Variant")*('Raw Data'!$A$2:$A$9999=$A40)*('Raw Data'!$C$2:$C$9999=$C$3)*'Raw Data'!$D$2:$D$9999*'Raw Data'!$O$2:$O$9999)/SUMIFS('Raw Data'!$D:$D, 'Raw Data'!$B:$B, "Variant", 'Raw Data'!$A:$A, $A40, 'Raw Data'!$C:$C, $C$3),""))</f>
        <v/>
      </c>
      <c r="AK40" s="105" t="str">
        <f t="shared" si="12"/>
        <v/>
      </c>
      <c r="AL40" s="101" t="str">
        <f>IF($A40="","",IFERROR(SUMPRODUCT(('Raw Data'!$B$2:$B$9999="Control")*('Raw Data'!$A$2:$A$9999=$A40)*('Raw Data'!$C$2:$C$9999=$C$3)*'Raw Data'!$D$2:$D$9999*'Raw Data'!$P$2:$P$9999)/SUMIFS('Raw Data'!$D:$D, 'Raw Data'!$B:$B, "Control", 'Raw Data'!$A:$A, $A40, 'Raw Data'!$C:$C, $C$3),""))</f>
        <v/>
      </c>
      <c r="AM40" s="101" t="str">
        <f>IF($A40="","",IFERROR(SUMPRODUCT(('Raw Data'!$B$2:$B$9999="Variant")*('Raw Data'!$A$2:$A$9999=$A40)*('Raw Data'!$C$2:$C$9999=$C$3)*'Raw Data'!$D$2:$D$9999*'Raw Data'!$P$2:$P$9999)/SUMIFS('Raw Data'!$D:$D, 'Raw Data'!$B:$B, "Variant", 'Raw Data'!$A:$A, $A40, 'Raw Data'!$C:$C, $C$3),""))</f>
        <v/>
      </c>
      <c r="AN40" s="105" t="str">
        <f t="shared" si="13"/>
        <v/>
      </c>
      <c r="AO40" s="101" t="str">
        <f>IF($A40="","",IFERROR(SUMPRODUCT(('Raw Data'!$B$2:$B$9999="Control")*('Raw Data'!$A$2:$A$9999=$A40)*('Raw Data'!$C$2:$C$9999=$C$3)*'Raw Data'!$D$2:$D$9999*'Raw Data'!$Q$2:$Q$9999)/SUMIFS('Raw Data'!$D:$D, 'Raw Data'!$B:$B, "Control", 'Raw Data'!$A:$A, $A40, 'Raw Data'!$C:$C, $C$3),""))</f>
        <v/>
      </c>
      <c r="AP40" s="101" t="str">
        <f>IF($A40="","",IFERROR(SUMPRODUCT(('Raw Data'!$B$2:$B$9999="Variant")*('Raw Data'!$A$2:$A$9999=$A40)*('Raw Data'!$C$2:$C$9999=$C$3)*'Raw Data'!$D$2:$D$9999*'Raw Data'!$Q$2:$Q$9999)/SUMIFS('Raw Data'!$D:$D, 'Raw Data'!$B:$B, "Variant", 'Raw Data'!$A:$A, $A40, 'Raw Data'!$C:$C, $C$3),""))</f>
        <v/>
      </c>
      <c r="AQ40" s="95" t="str">
        <f t="shared" si="14"/>
        <v/>
      </c>
      <c r="AR40" s="101" t="str">
        <f>IF($A40="","",IFERROR(SUMPRODUCT(('Raw Data'!$B$2:$B$9999="Control")*('Raw Data'!$A$2:$A$9999=$A40)*('Raw Data'!$C$2:$C$9999=$C$3)*'Raw Data'!$D$2:$D$9999*'Raw Data'!$R$2:$R$9999)/SUMIFS('Raw Data'!$D:$D, 'Raw Data'!$B:$B, "Control", 'Raw Data'!$A:$A, $A40, 'Raw Data'!$C:$C, $C$3),""))</f>
        <v/>
      </c>
      <c r="AS40" s="101" t="str">
        <f>IF($A40="","",IFERROR(SUMPRODUCT(('Raw Data'!$B$2:$B$9999="Variant")*('Raw Data'!$A$2:$A$9999=$A40)*('Raw Data'!$C$2:$C$9999=$C$3)*'Raw Data'!$D$2:$D$9999*'Raw Data'!$R$2:$R$9999)/SUMIFS('Raw Data'!$D:$D, 'Raw Data'!$B:$B, "Variant", 'Raw Data'!$A:$A, $A40, 'Raw Data'!$C:$C, $C$3),""))</f>
        <v/>
      </c>
      <c r="AT40" s="95" t="str">
        <f t="shared" si="15"/>
        <v/>
      </c>
      <c r="AU40" s="101" t="str">
        <f>IF($A40="","",IFERROR(SUMPRODUCT(('Raw Data'!$B$2:$B$9999="Control")*('Raw Data'!$A$2:$A$9999=$A40)*('Raw Data'!$C$2:$C$9999=$C$3)*'Raw Data'!$D$2:$D$9999*'Raw Data'!$S$2:$S$9999)/SUMIFS('Raw Data'!$D:$D, 'Raw Data'!$B:$B, "Control", 'Raw Data'!$A:$A, $A40, 'Raw Data'!$C:$C, $C$3),""))</f>
        <v/>
      </c>
      <c r="AV40" s="101" t="str">
        <f>IF($A40="","",IFERROR(SUMPRODUCT(('Raw Data'!$B$2:$B$9999="Variant")*('Raw Data'!$A$2:$A$9999=$A40)*('Raw Data'!$C$2:$C$9999=$C$3)*'Raw Data'!$D$2:$D$9999*'Raw Data'!$S$2:$S$9999)/SUMIFS('Raw Data'!$D:$D, 'Raw Data'!$B:$B, "Variant", 'Raw Data'!$A:$A, $A40, 'Raw Data'!$C:$C, $C$3),""))</f>
        <v/>
      </c>
      <c r="AW40" s="95" t="str">
        <f t="shared" si="16"/>
        <v/>
      </c>
      <c r="AX40" s="101" t="str">
        <f>IF($A40="","",IFERROR(SUMPRODUCT(('Raw Data'!$B$2:$B$9999="Control")*('Raw Data'!$A$2:$A$9999=$A40)*('Raw Data'!$C$2:$C$9999=$C$3)*'Raw Data'!$D$2:$D$9999*'Raw Data'!$T$2:$T$9999)/SUMIFS('Raw Data'!$D:$D, 'Raw Data'!$B:$B, "Control", 'Raw Data'!$A:$A, $A40, 'Raw Data'!$C:$C, $C$3),""))</f>
        <v/>
      </c>
      <c r="AY40" s="101" t="str">
        <f>IF($A40="","",IFERROR(SUMPRODUCT(('Raw Data'!$B$2:$B$9999="Variant")*('Raw Data'!$A$2:$A$9999=$A40)*('Raw Data'!$C$2:$C$9999=$C$3)*'Raw Data'!$D$2:$D$9999*'Raw Data'!$T$2:$T$9999)/SUMIFS('Raw Data'!$D:$D, 'Raw Data'!$B:$B, "Variant", 'Raw Data'!$A:$A, $A40, 'Raw Data'!$C:$C, $C$3),""))</f>
        <v/>
      </c>
      <c r="AZ40" s="105" t="str">
        <f t="shared" si="17"/>
        <v/>
      </c>
      <c r="BA40" s="101" t="str">
        <f>IF($A40="","",IFERROR(SUMPRODUCT(('Raw Data'!$B$2:$B$9999="Control")*('Raw Data'!$A$2:$A$9999=$A40)*('Raw Data'!$C$2:$C$9999=$C$3)*'Raw Data'!$D$2:$D$9999*'Raw Data'!$U$2:$U$9999)/SUMIFS('Raw Data'!$D:$D, 'Raw Data'!$B:$B, "Control", 'Raw Data'!$A:$A, $A40, 'Raw Data'!$C:$C, $C$3),""))</f>
        <v/>
      </c>
      <c r="BB40" s="101" t="str">
        <f>IF($A40="","",IFERROR(SUMPRODUCT(('Raw Data'!$B$2:$B$9999="Variant")*('Raw Data'!$A$2:$A$9999=$A40)*('Raw Data'!$C$2:$C$9999=$C$3)*'Raw Data'!$D$2:$D$9999*'Raw Data'!$U$2:$U$9999)/SUMIFS('Raw Data'!$D:$D, 'Raw Data'!$B:$B, "Variant", 'Raw Data'!$A:$A, $A40, 'Raw Data'!$C:$C, $C$3),""))</f>
        <v/>
      </c>
      <c r="BC40" s="95" t="str">
        <f t="shared" si="18"/>
        <v/>
      </c>
      <c r="BD40" s="101" t="str">
        <f>IF($A40="","",IFERROR(SUMPRODUCT(('Raw Data'!$B$2:$B$9999="Control")*('Raw Data'!$A$2:$A$9999=$A40)*('Raw Data'!$C$2:$C$9999=$C$3)*'Raw Data'!$D$2:$D$9999*'Raw Data'!$V$2:$V$9999)/SUMIFS('Raw Data'!$D:$D, 'Raw Data'!$B:$B, "Control", 'Raw Data'!$A:$A, $A40, 'Raw Data'!$C:$C, $C$3),""))</f>
        <v/>
      </c>
      <c r="BE40" s="101" t="str">
        <f>IF($A40="","",IFERROR(SUMPRODUCT(('Raw Data'!$B$2:$B$9999="Variant")*('Raw Data'!$A$2:$A$9999=$A40)*('Raw Data'!$C$2:$C$9999=$C$3)*'Raw Data'!$D$2:$D$9999*'Raw Data'!$V$2:$V$9999)/SUMIFS('Raw Data'!$D:$D, 'Raw Data'!$B:$B, "Variant", 'Raw Data'!$A:$A, $A40, 'Raw Data'!$C:$C, $C$3),""))</f>
        <v/>
      </c>
      <c r="BF40" s="95" t="str">
        <f t="shared" si="19"/>
        <v/>
      </c>
      <c r="BG40" s="101" t="str">
        <f>IF($A40="","",IFERROR(SUMPRODUCT(('Raw Data'!$B$2:$B$9999="Control")*('Raw Data'!$A$2:$A$9999=$A40)*('Raw Data'!$C$2:$C$9999=$C$3)*'Raw Data'!$D$2:$D$9999*('Raw Data'!$Q$2:$Q$9999-'Raw Data'!$V$2:$V$9999))/SUMIFS('Raw Data'!$D:$D, 'Raw Data'!$B:$B, "Control", 'Raw Data'!$A:$A, $A40, 'Raw Data'!$C:$C, $C$3),""))</f>
        <v/>
      </c>
      <c r="BH40" s="101" t="str">
        <f>IF($A40="","",IFERROR(SUMPRODUCT(('Raw Data'!$B$2:$B$9999="Variant")*('Raw Data'!$A$2:$A$9999=$A40)*('Raw Data'!$C$2:$C$9999=$C$3)*'Raw Data'!$D$2:$D$9999*('Raw Data'!$Q$2:$Q$9999-'Raw Data'!$V$2:$V$9999))/SUMIFS('Raw Data'!$D:$D, 'Raw Data'!$B:$B, "Variant", 'Raw Data'!$A:$A, $A40, 'Raw Data'!$C:$C, $C$3),""))</f>
        <v/>
      </c>
      <c r="BI40" s="95" t="str">
        <f t="shared" si="20"/>
        <v/>
      </c>
      <c r="BJ40" s="101" t="str">
        <f>IF($A40="","",IFERROR(SUMPRODUCT(('Raw Data'!$B$2:$B$9999="Control")*('Raw Data'!$A$2:$A$9999=$A40)*('Raw Data'!$C$2:$C$9999=$C$3)*'Raw Data'!$D$2:$D$9999*'Raw Data'!$W$2:$W$9999)/SUMIFS('Raw Data'!$D:$D, 'Raw Data'!$B:$B, "Control", 'Raw Data'!$A:$A, $A40, 'Raw Data'!$C:$C, $C$3),""))</f>
        <v/>
      </c>
      <c r="BK40" s="101" t="str">
        <f>IF($A40="","",IFERROR(SUMPRODUCT(('Raw Data'!$B$2:$B$9999="Variant")*('Raw Data'!$A$2:$A$9999=$A40)*('Raw Data'!$C$2:$C$9999=$C$3)*'Raw Data'!$D$2:$D$9999*'Raw Data'!$W$2:$W$9999)/SUMIFS('Raw Data'!$D:$D, 'Raw Data'!$B:$B, "Variant", 'Raw Data'!$A:$A, $A40, 'Raw Data'!$C:$C, $C$3),""))</f>
        <v/>
      </c>
      <c r="BL40" s="95" t="str">
        <f t="shared" si="21"/>
        <v/>
      </c>
      <c r="BM40" s="102" t="str">
        <f>IF($A40="","",IFERROR(SUMPRODUCT(('Raw Data'!$B$2:$B$9999="Control")*('Raw Data'!$A$2:$A$9999=$A40)*('Raw Data'!$C$2:$C$9999=$C$3)*'Raw Data'!$D$2:$D$9999*'Raw Data'!$X$2:$X$9999)/SUMIFS('Raw Data'!$D:$D, 'Raw Data'!$B:$B, "Control", 'Raw Data'!$A:$A, $A40, 'Raw Data'!$C:$C, $C$3),""))</f>
        <v/>
      </c>
      <c r="BN40" s="102" t="str">
        <f>IF($A40="","",IFERROR(SUMPRODUCT(('Raw Data'!$B$2:$B$9999="Variant")*('Raw Data'!$A$2:$A$9999=$A40)*('Raw Data'!$C$2:$C$9999=$C$3)*'Raw Data'!$D$2:$D$9999*'Raw Data'!$X$2:$X$9999)/SUMIFS('Raw Data'!$D:$D, 'Raw Data'!$B:$B, "Variant", 'Raw Data'!$A:$A, $A40, 'Raw Data'!$C:$C, $C$3),""))</f>
        <v/>
      </c>
      <c r="BO40" s="105" t="str">
        <f t="shared" si="22"/>
        <v/>
      </c>
      <c r="BP40" s="94" t="str">
        <f>IF($A40="","",IFERROR(SUMPRODUCT(('Raw Data'!$B$2:$B$9999="Control")*('Raw Data'!$A$2:$A$9999=$A40)*('Raw Data'!$C$2:$C$9999=$C$3)*'Raw Data'!$D$2:$D$9999*'Raw Data'!$Y$2:$Y$9999)/SUMIFS('Raw Data'!$D:$D, 'Raw Data'!$B:$B, "Control", 'Raw Data'!$A:$A, $A40, 'Raw Data'!$C:$C, $C$3),""))</f>
        <v/>
      </c>
      <c r="BQ40" s="94" t="str">
        <f>IF($A40="","",IFERROR(SUMPRODUCT(('Raw Data'!$B$2:$B$9999="Variant")*('Raw Data'!$A$2:$A$9999=$A40)*('Raw Data'!$C$2:$C$9999=$C$3)*'Raw Data'!$D$2:$D$9999*'Raw Data'!$Y$2:$Y$9999)/SUMIFS('Raw Data'!$D:$D, 'Raw Data'!$B:$B, "Variant", 'Raw Data'!$A:$A, $A40, 'Raw Data'!$C:$C, $C$3),""))</f>
        <v/>
      </c>
      <c r="BR40" s="95" t="str">
        <f t="shared" si="23"/>
        <v/>
      </c>
      <c r="BS40" s="94" t="str">
        <f>IF($A40="","",IFERROR(SUMPRODUCT(('Raw Data'!$B$2:$B$9999="Control")*('Raw Data'!$A$2:$A$9999=$A40)*('Raw Data'!$C$2:$C$9999=$C$3)*'Raw Data'!$D$2:$D$9999*'Raw Data'!$Z$2:$Z$9999)/SUMIFS('Raw Data'!$D:$D, 'Raw Data'!$B:$B, "Control", 'Raw Data'!$A:$A, $A40, 'Raw Data'!$C:$C, $C$3),""))</f>
        <v/>
      </c>
      <c r="BT40" s="94" t="str">
        <f>IF($A40="","",IFERROR(SUMPRODUCT(('Raw Data'!$B$2:$B$9999="Variant")*('Raw Data'!$A$2:$A$9999=$A40)*('Raw Data'!$C$2:$C$9999=$C$3)*'Raw Data'!$D$2:$D$9999*'Raw Data'!$Z$2:$Z$9999)/SUMIFS('Raw Data'!$D:$D, 'Raw Data'!$B:$B, "Variant", 'Raw Data'!$A:$A, $A40, 'Raw Data'!$C:$C, $C$3),""))</f>
        <v/>
      </c>
      <c r="BU40" s="95" t="str">
        <f t="shared" si="24"/>
        <v/>
      </c>
      <c r="BV40" s="94" t="str">
        <f>IF($A40="","",IFERROR(SUMPRODUCT(('Raw Data'!$B$2:$B$9999="Control")*('Raw Data'!$A$2:$A$9999=$A40)*('Raw Data'!$C$2:$C$9999=$C$3)*'Raw Data'!$D$2:$D$9999*'Raw Data'!$AA$2:$AA$9999)/SUMIFS('Raw Data'!$D:$D, 'Raw Data'!$B:$B, "Control", 'Raw Data'!$A:$A, $A40, 'Raw Data'!$C:$C, $C$3),""))</f>
        <v/>
      </c>
      <c r="BW40" s="94" t="str">
        <f>IF($A40="","",IFERROR(SUMPRODUCT(('Raw Data'!$B$2:$B$9999="Variant")*('Raw Data'!$A$2:$A$9999=$A40)*('Raw Data'!$C$2:$C$9999=$C$3)*'Raw Data'!$D$2:$D$9999*'Raw Data'!$AA$2:$AA$9999)/SUMIFS('Raw Data'!$D:$D, 'Raw Data'!$B:$B, "Variant", 'Raw Data'!$A:$A, $A40, 'Raw Data'!$C:$C, $C$3),""))</f>
        <v/>
      </c>
      <c r="BX40" s="95" t="str">
        <f t="shared" si="25"/>
        <v/>
      </c>
      <c r="BY40" s="101" t="str">
        <f>IF($A40="","",IFERROR(SUMPRODUCT(('Raw Data'!$B$2:$B$9999="Control")*('Raw Data'!$A$2:$A$9999=$A40)*('Raw Data'!$C$2:$C$9999=$C$3)*'Raw Data'!$D$2:$D$9999*'Raw Data'!$AB$2:$AB$9999)/SUMIFS('Raw Data'!$D:$D, 'Raw Data'!$B:$B, "Control", 'Raw Data'!$A:$A, $A40, 'Raw Data'!$C:$C, $C$3),""))</f>
        <v/>
      </c>
      <c r="BZ40" s="101" t="str">
        <f>IF($A40="","",IFERROR(SUMPRODUCT(('Raw Data'!$B$2:$B$9999="Variant")*('Raw Data'!$A$2:$A$9999=$A40)*('Raw Data'!$C$2:$C$9999=$C$3)*'Raw Data'!$D$2:$D$9999*'Raw Data'!$AB$2:$AB$9999)/SUMIFS('Raw Data'!$D:$D, 'Raw Data'!$B:$B, "Variant", 'Raw Data'!$A:$A, $A40, 'Raw Data'!$C:$C, $C$3),""))</f>
        <v/>
      </c>
      <c r="CA40" s="105" t="str">
        <f t="shared" si="26"/>
        <v/>
      </c>
      <c r="CB40" s="101" t="str">
        <f>IF($A40="","",IFERROR(SUMPRODUCT(('Raw Data'!$B$2:$B$9999="Control")*('Raw Data'!$A$2:$A$9999=$A40)*('Raw Data'!$C$2:$C$9999=$C$3)*'Raw Data'!$D$2:$D$9999*'Raw Data'!$AC$2:$AC$9999)/SUMIFS('Raw Data'!$D:$D, 'Raw Data'!$B:$B, "Control", 'Raw Data'!$A:$A, $A40, 'Raw Data'!$C:$C, $C$3),""))</f>
        <v/>
      </c>
      <c r="CC40" s="101" t="str">
        <f>IF($A40="","",IFERROR(SUMPRODUCT(('Raw Data'!$B$2:$B$9999="Variant")*('Raw Data'!$A$2:$A$9999=$A40)*('Raw Data'!$C$2:$C$9999=$C$3)*'Raw Data'!$D$2:$D$9999*'Raw Data'!$AC$2:$AC$9999)/SUMIFS('Raw Data'!$D:$D, 'Raw Data'!$B:$B, "Variant", 'Raw Data'!$A:$A, $A40, 'Raw Data'!$C:$C, $C$3),""))</f>
        <v/>
      </c>
      <c r="CD40" s="105" t="str">
        <f t="shared" si="27"/>
        <v/>
      </c>
      <c r="CE40" s="101" t="str">
        <f>IF($A40="","",IFERROR(SUMPRODUCT(('Raw Data'!$B$2:$B$9999="Control")*('Raw Data'!$A$2:$A$9999=$A40)*('Raw Data'!$C$2:$C$9999=$C$3)*'Raw Data'!$D$2:$D$9999*'Raw Data'!$AD$2:$AD$9999)/SUMIFS('Raw Data'!$D:$D, 'Raw Data'!$B:$B, "Control", 'Raw Data'!$A:$A, $A40, 'Raw Data'!$C:$C, $C$3),""))</f>
        <v/>
      </c>
      <c r="CF40" s="101" t="str">
        <f>IF($A40="","",IFERROR(SUMPRODUCT(('Raw Data'!$B$2:$B$9999="Variant")*('Raw Data'!$A$2:$A$9999=$A40)*('Raw Data'!$C$2:$C$9999=$C$3)*'Raw Data'!$D$2:$D$9999*'Raw Data'!$AD$2:$AD$9999)/SUMIFS('Raw Data'!$D:$D, 'Raw Data'!$B:$B, "Variant", 'Raw Data'!$A:$A, $A40, 'Raw Data'!$C:$C, $C$3),""))</f>
        <v/>
      </c>
      <c r="CG40" s="105" t="str">
        <f t="shared" si="28"/>
        <v/>
      </c>
      <c r="CH40" s="101" t="str">
        <f>IF($A40="","",IFERROR(SUMPRODUCT(('Raw Data'!$B$2:$B$9999="Control")*('Raw Data'!$A$2:$A$9999=$A40)*('Raw Data'!$C$2:$C$9999=$C$3)*'Raw Data'!$D$2:$D$9999*'Raw Data'!$AE$2:$AE$9999)/SUMIFS('Raw Data'!$D:$D, 'Raw Data'!$B:$B, "Control", 'Raw Data'!$A:$A, $A40, 'Raw Data'!$C:$C, $C$3),""))</f>
        <v/>
      </c>
      <c r="CI40" s="101" t="str">
        <f>IF($A40="","",IFERROR(SUMPRODUCT(('Raw Data'!$B$2:$B$9999="Variant")*('Raw Data'!$A$2:$A$9999=$A40)*('Raw Data'!$C$2:$C$9999=$C$3)*'Raw Data'!$D$2:$D$9999*'Raw Data'!$AE$2:$AE$9999)/SUMIFS('Raw Data'!$D:$D, 'Raw Data'!$B:$B, "Variant", 'Raw Data'!$A:$A, $A40, 'Raw Data'!$C:$C, $C$3),""))</f>
        <v/>
      </c>
      <c r="CJ40" s="105" t="str">
        <f t="shared" si="29"/>
        <v/>
      </c>
      <c r="CK40" s="101" t="str">
        <f>IF($A40="","",IFERROR(SUMPRODUCT(('Raw Data'!$B$2:$B$9999="Control")*('Raw Data'!$A$2:$A$9999=$A40)*('Raw Data'!$C$2:$C$9999=$C$3)*'Raw Data'!$D$2:$D$9999*'Raw Data'!$AF$2:$AF$9999)/SUMIFS('Raw Data'!$D:$D, 'Raw Data'!$B:$B, "Control", 'Raw Data'!$A:$A, $A40, 'Raw Data'!$C:$C, $C$3),""))</f>
        <v/>
      </c>
      <c r="CL40" s="101" t="str">
        <f>IF($A40="","",IFERROR(SUMPRODUCT(('Raw Data'!$B$2:$B$9999="Variant")*('Raw Data'!$A$2:$A$9999=$A40)*('Raw Data'!$C$2:$C$9999=$C$3)*'Raw Data'!$D$2:$D$9999*'Raw Data'!$AF$2:$AF$9999)/SUMIFS('Raw Data'!$D:$D, 'Raw Data'!$B:$B, "Variant", 'Raw Data'!$A:$A, $A40, 'Raw Data'!$C:$C, $C$3),""))</f>
        <v/>
      </c>
      <c r="CM40" s="105" t="str">
        <f t="shared" si="30"/>
        <v/>
      </c>
      <c r="CN40" s="101" t="str">
        <f>IF($A40="","",IFERROR(SUMPRODUCT(('Raw Data'!$B$2:$B$9999="Control")*('Raw Data'!$A$2:$A$9999=$A40)*('Raw Data'!$C$2:$C$9999=$C$3)*'Raw Data'!$D$2:$D$9999*'Raw Data'!$AG$2:$AG$9999)/SUMIFS('Raw Data'!$D:$D, 'Raw Data'!$B:$B, "Control", 'Raw Data'!$A:$A, $A40, 'Raw Data'!$C:$C, $C$3),""))</f>
        <v/>
      </c>
      <c r="CO40" s="101" t="str">
        <f>IF($A40="","",IFERROR(SUMPRODUCT(('Raw Data'!$B$2:$B$9999="Variant")*('Raw Data'!$A$2:$A$9999=$A40)*('Raw Data'!$C$2:$C$9999=$C$3)*'Raw Data'!$D$2:$D$9999*'Raw Data'!$AG$2:$AG$9999)/SUMIFS('Raw Data'!$D:$D, 'Raw Data'!$B:$B, "Variant", 'Raw Data'!$A:$A, $A40, 'Raw Data'!$C:$C, $C$3),""))</f>
        <v/>
      </c>
      <c r="CP40" s="105" t="str">
        <f t="shared" si="31"/>
        <v/>
      </c>
      <c r="CQ40" s="101" t="str">
        <f>IF($A40="","",IFERROR(SUMPRODUCT(('Raw Data'!$B$2:$B$9999="Control")*('Raw Data'!$A$2:$A$9999=$A40)*('Raw Data'!$C$2:$C$9999=$C$3)*'Raw Data'!$D$2:$D$9999*'Raw Data'!$AH$2:$AH$9999)/SUMIFS('Raw Data'!$D:$D, 'Raw Data'!$B:$B, "Control", 'Raw Data'!$A:$A, $A40, 'Raw Data'!$C:$C, $C$3),""))</f>
        <v/>
      </c>
      <c r="CR40" s="101" t="str">
        <f>IF($A40="","",IFERROR(SUMPRODUCT(('Raw Data'!$B$2:$B$9999="Variant")*('Raw Data'!$A$2:$A$9999=$A40)*('Raw Data'!$C$2:$C$9999=$C$3)*'Raw Data'!$D$2:$D$9999*'Raw Data'!$AH$2:$AH$9999)/SUMIFS('Raw Data'!$D:$D, 'Raw Data'!$B:$B, "Variant", 'Raw Data'!$A:$A, $A40, 'Raw Data'!$C:$C, $C$3),""))</f>
        <v/>
      </c>
      <c r="CS40" s="105" t="str">
        <f t="shared" si="32"/>
        <v/>
      </c>
      <c r="CT40" s="96" t="str">
        <f>IF($A40="","",IFERROR(SUMPRODUCT(('Raw Data'!$B$2:$B$9999="Control")*('Raw Data'!$A$2:$A$9999=$A40)*('Raw Data'!$C$2:$C$9999=$C$3)*'Raw Data'!$D$2:$D$9999*'Raw Data'!$AI$2:$AI$9999)/SUMIFS('Raw Data'!$D:$D, 'Raw Data'!$B:$B, "Control", 'Raw Data'!$A:$A, $A40, 'Raw Data'!$C:$C, $C$3),""))</f>
        <v/>
      </c>
      <c r="CU40" s="96" t="str">
        <f>IF($A40="","",IFERROR(SUMPRODUCT(('Raw Data'!$B$2:$B$9999="Variant")*('Raw Data'!$A$2:$A$9999=$A40)*('Raw Data'!$C$2:$C$9999=$C$3)*'Raw Data'!$D$2:$D$9999*'Raw Data'!$AI$2:$AI$9999)/SUMIFS('Raw Data'!$D:$D, 'Raw Data'!$B:$B, "Variant", 'Raw Data'!$A:$A, $A40, 'Raw Data'!$C:$C, $C$3),""))</f>
        <v/>
      </c>
      <c r="CV40" s="106" t="str">
        <f t="shared" si="33"/>
        <v/>
      </c>
      <c r="CW40" s="96" t="str">
        <f>IF($A40="","",IFERROR(SUMPRODUCT(('Raw Data'!$B$2:$B$9999="Control")*('Raw Data'!$A$2:$A$9999=$A40)*('Raw Data'!$C$2:$C$9999=$C$3)*'Raw Data'!$D$2:$D$9999*'Raw Data'!$AJ$2:$AJ$9999)/SUMIFS('Raw Data'!$D:$D, 'Raw Data'!$B:$B, "Control", 'Raw Data'!$A:$A, $A40, 'Raw Data'!$C:$C, $C$3),""))</f>
        <v/>
      </c>
      <c r="CX40" s="96" t="str">
        <f>IF($A40="","",IFERROR(SUMPRODUCT(('Raw Data'!$B$2:$B$9999="Variant")*('Raw Data'!$A$2:$A$9999=$A40)*('Raw Data'!$C$2:$C$9999=$C$3)*'Raw Data'!$D$2:$D$9999*'Raw Data'!$AJ$2:$AJ$9999)/SUMIFS('Raw Data'!$D:$D, 'Raw Data'!$B:$B, "Variant", 'Raw Data'!$A:$A, $A40, 'Raw Data'!$C:$C, $C$3),""))</f>
        <v/>
      </c>
      <c r="CY40" s="106" t="str">
        <f t="shared" si="34"/>
        <v/>
      </c>
      <c r="CZ40" s="96" t="str">
        <f>IF($A40="","",IFERROR(SUMPRODUCT(('Raw Data'!$B$2:$B$9999="Control")*('Raw Data'!$A$2:$A$9999=$A40)*('Raw Data'!$C$2:$C$9999=$C$3)*'Raw Data'!$D$2:$D$9999*'Raw Data'!$AK$2:$AK$9999)/SUMIFS('Raw Data'!$D:$D, 'Raw Data'!$B:$B, "Control", 'Raw Data'!$A:$A, $A40, 'Raw Data'!$C:$C, $C$3),""))</f>
        <v/>
      </c>
      <c r="DA40" s="96" t="str">
        <f>IF($A40="","",IFERROR(SUMPRODUCT(('Raw Data'!$B$2:$B$9999="Variant")*('Raw Data'!$A$2:$A$9999=$A40)*('Raw Data'!$C$2:$C$9999=$C$3)*'Raw Data'!$D$2:$D$9999*'Raw Data'!$AK$2:$AK$9999)/SUMIFS('Raw Data'!$D:$D, 'Raw Data'!$B:$B, "Variant", 'Raw Data'!$A:$A, $A40, 'Raw Data'!$C:$C, $C$3),""))</f>
        <v/>
      </c>
      <c r="DB40" s="105" t="str">
        <f t="shared" si="35"/>
        <v/>
      </c>
      <c r="DC40" s="102" t="str">
        <f>IF($A40="","",IFERROR(SUMPRODUCT(('Raw Data'!$B$2:$B$9999="Control")*('Raw Data'!$A$2:$A$9999=$A40)*('Raw Data'!$C$2:$C$9999=$C$3)*'Raw Data'!$D$2:$D$9999*'Raw Data'!$AL$2:$AL$9999)/SUMIFS('Raw Data'!$D:$D, 'Raw Data'!$B:$B, "Control", 'Raw Data'!$A:$A, $A40, 'Raw Data'!$C:$C, $C$3),""))</f>
        <v/>
      </c>
      <c r="DD40" s="102" t="str">
        <f>IF($A40="","",IFERROR(SUMPRODUCT(('Raw Data'!$B$2:$B$9999="Variant")*('Raw Data'!$A$2:$A$9999=$A40)*('Raw Data'!$C$2:$C$9999=$C$3)*'Raw Data'!$D$2:$D$9999*'Raw Data'!$AL$2:$AL$9999)/SUMIFS('Raw Data'!$D:$D, 'Raw Data'!$B:$B, "Variant", 'Raw Data'!$A:$A, $A40, 'Raw Data'!$C:$C, $C$3),""))</f>
        <v/>
      </c>
      <c r="DE40" s="106" t="str">
        <f t="shared" si="36"/>
        <v/>
      </c>
      <c r="DF40" s="103"/>
      <c r="DG40" s="96" t="str">
        <f>IF($A40="","",IFERROR(SUMPRODUCT(('Raw Data'!$B$2:$B$9999="Variant")*('Raw Data'!$A$2:$A$9999=$A40)*('Raw Data'!$C$2:$C$9999=$C$3)*'Raw Data'!$D$2:$D$9999*'Raw Data'!$AM$2:$AM$9999)/SUMIFS('Raw Data'!$D:$D, 'Raw Data'!$B:$B, "Variant", 'Raw Data'!$A:$A, $A40, 'Raw Data'!$C:$C, $C$3),""))</f>
        <v/>
      </c>
      <c r="DH40" s="104"/>
      <c r="DI40" s="103"/>
      <c r="DJ40" s="96" t="str">
        <f>IF($A40="","",IFERROR(SUMPRODUCT(('Raw Data'!$B$2:$B$9999="Variant")*('Raw Data'!$A$2:$A$9999=$A40)*('Raw Data'!$C$2:$C$9999=$C$3)*'Raw Data'!$D$2:$D$9999*'Raw Data'!$AN$2:$AN$9999)/SUMIFS('Raw Data'!$D:$D, 'Raw Data'!$B:$B, "Variant", 'Raw Data'!$A:$A, $A40, 'Raw Data'!$C:$C, $C$3),""))</f>
        <v/>
      </c>
      <c r="DK40" s="104"/>
      <c r="DL40" s="103"/>
      <c r="DM40" s="96" t="str">
        <f>IF($A40="","",IFERROR(SUMPRODUCT(('Raw Data'!$B$2:$B$9999="Variant")*('Raw Data'!$A$2:$A$9999=$A40)*('Raw Data'!$C$2:$C$9999=$C$3)*'Raw Data'!$D$2:$D$9999*'Raw Data'!$AO$2:$AO$9999)/SUMIFS('Raw Data'!$D:$D, 'Raw Data'!$B:$B, "Variant", 'Raw Data'!$A:$A, $A40, 'Raw Data'!$C:$C, $C$3),""))</f>
        <v/>
      </c>
      <c r="DN40" s="104"/>
      <c r="DO40" s="103"/>
      <c r="DP40" s="96" t="str">
        <f>IF($A40="","",IFERROR(SUMPRODUCT(('Raw Data'!$B$2:$B$9999="Variant")*('Raw Data'!$A$2:$A$9999=$A40)*('Raw Data'!$C$2:$C$9999=$C$3)*'Raw Data'!$D$2:$D$9999*'Raw Data'!$AP$2:$AP$9999)/SUMIFS('Raw Data'!$D:$D, 'Raw Data'!$B:$B, "Variant", 'Raw Data'!$A:$A, $A40, 'Raw Data'!$C:$C, $C$3),""))</f>
        <v/>
      </c>
      <c r="DQ40" s="104"/>
      <c r="DR40" s="102" t="str">
        <f>IF($A40="","",IFERROR(SUMPRODUCT(('Raw Data'!$B$2:$B$9999="Control")*('Raw Data'!$A$2:$A$9999=$A40)*('Raw Data'!$C$2:$C$9999=$C$3)*'Raw Data'!$D$2:$D$9999*'Raw Data'!$AQ$2:$AQ$9999)/SUMIFS('Raw Data'!$D:$D, 'Raw Data'!$B:$B, "Control", 'Raw Data'!$A:$A, $A40, 'Raw Data'!$C:$C, $C$3),""))</f>
        <v/>
      </c>
      <c r="DS40" s="102" t="str">
        <f>IF($A40="","",IFERROR(SUMPRODUCT(('Raw Data'!$B$2:$B$9999="Variant")*('Raw Data'!$A$2:$A$9999=$A40)*('Raw Data'!$C$2:$C$9999=$C$3)*'Raw Data'!$D$2:$D$9999*'Raw Data'!$AQ$2:$AQ$9999)/SUMIFS('Raw Data'!$D:$D, 'Raw Data'!$B:$B, "Variant", 'Raw Data'!$A:$A, $A40, 'Raw Data'!$C:$C, $C$3),""))</f>
        <v/>
      </c>
      <c r="DT40" s="109" t="str">
        <f t="shared" si="37"/>
        <v/>
      </c>
      <c r="DU40" s="102" t="str">
        <f>IF($A40="","",IFERROR(SUMPRODUCT(('Raw Data'!$B$2:$B$9999="Control")*('Raw Data'!$A$2:$A$9999=$A40)*('Raw Data'!$C$2:$C$9999=$C$3)*'Raw Data'!$D$2:$D$9999*'Raw Data'!$AR$2:$AR$9999)/SUMIFS('Raw Data'!$D:$D, 'Raw Data'!$B:$B, "Control", 'Raw Data'!$A:$A, $A40, 'Raw Data'!$C:$C, $C$3),""))</f>
        <v/>
      </c>
      <c r="DV40" s="102" t="str">
        <f>IF($A40="","",IFERROR(SUMPRODUCT(('Raw Data'!$B$2:$B$9999="Variant")*('Raw Data'!$A$2:$A$9999=$A40)*('Raw Data'!$C$2:$C$9999=$C$3)*'Raw Data'!$D$2:$D$9999*'Raw Data'!$AR$2:$AR$9999)/SUMIFS('Raw Data'!$D:$D, 'Raw Data'!$B:$B, "Variant", 'Raw Data'!$A:$A, $A40, 'Raw Data'!$C:$C, $C$3),""))</f>
        <v/>
      </c>
      <c r="DW40" s="109" t="str">
        <f t="shared" si="38"/>
        <v/>
      </c>
      <c r="DX40" s="102" t="str">
        <f>IF($A40="","",IFERROR(SUMPRODUCT(('Raw Data'!$B$2:$B$9999="Control")*('Raw Data'!$A$2:$A$9999=$A40)*('Raw Data'!$C$2:$C$9999=$C$3)*'Raw Data'!$D$2:$D$9999*'Raw Data'!$AS$2:$AS$9999)/SUMIFS('Raw Data'!$D:$D, 'Raw Data'!$B:$B, "Control", 'Raw Data'!$A:$A, $A40, 'Raw Data'!$C:$C, $C$3),""))</f>
        <v/>
      </c>
      <c r="DY40" s="102" t="str">
        <f>IF($A40="","",IFERROR(SUMPRODUCT(('Raw Data'!$B$2:$B$9999="Variant")*('Raw Data'!$A$2:$A$9999=$A40)*('Raw Data'!$C$2:$C$9999=$C$3)*'Raw Data'!$D$2:$D$9999*'Raw Data'!$AS$2:$AS$9999)/SUMIFS('Raw Data'!$D:$D, 'Raw Data'!$B:$B, "Variant", 'Raw Data'!$A:$A, $A40, 'Raw Data'!$C:$C, $C$3),""))</f>
        <v/>
      </c>
      <c r="DZ40" s="110" t="str">
        <f t="shared" si="39"/>
        <v/>
      </c>
      <c r="EA40" s="102" t="str">
        <f>IF($A40="","",IFERROR(SUMPRODUCT(('Raw Data'!$B$2:$B$9999="Control")*('Raw Data'!$A$2:$A$9999=$A40)*('Raw Data'!$C$2:$C$9999=$C$3)*'Raw Data'!$D$2:$D$9999*'Raw Data'!$AT$2:$AT$9999)/SUMIFS('Raw Data'!$D:$D, 'Raw Data'!$B:$B, "Control", 'Raw Data'!$A:$A, $A40, 'Raw Data'!$C:$C, $C$3),""))</f>
        <v/>
      </c>
      <c r="EB40" s="102" t="str">
        <f>IF($A40="","",IFERROR(SUMPRODUCT(('Raw Data'!$B$2:$B$9999="Variant")*('Raw Data'!$A$2:$A$9999=$A40)*('Raw Data'!$C$2:$C$9999=$C$3)*'Raw Data'!$D$2:$D$9999*'Raw Data'!$AT$2:$AT$9999)/SUMIFS('Raw Data'!$D:$D, 'Raw Data'!$B:$B, "Variant", 'Raw Data'!$A:$A, $A40, 'Raw Data'!$C:$C, $C$3),""))</f>
        <v/>
      </c>
      <c r="EC40" s="109" t="str">
        <f t="shared" si="40"/>
        <v/>
      </c>
      <c r="ED40" s="102" t="str">
        <f>IF($A40="","",IFERROR(SUMPRODUCT(('Raw Data'!$B$2:$B$9999="Control")*('Raw Data'!$A$2:$A$9999=$A40)*('Raw Data'!$C$2:$C$9999=$C$3)*'Raw Data'!$D$2:$D$9999*('Raw Data'!$AQ$2:$AQ$9999-'Raw Data'!$AT$2:$AT$9999))/SUMIFS('Raw Data'!$D:$D, 'Raw Data'!$B:$B, "Control", 'Raw Data'!$A:$A, $A40, 'Raw Data'!$C:$C, $C$3),""))</f>
        <v/>
      </c>
      <c r="EE40" s="102" t="str">
        <f>IF($A40="","",IFERROR(SUMPRODUCT(('Raw Data'!$B$2:$B$9999="Variant")*('Raw Data'!$A$2:$A$9999=$A40)*('Raw Data'!$C$2:$C$9999=$C$3)*'Raw Data'!$D$2:$D$9999*('Raw Data'!$AQ$2:$AQ$9999-'Raw Data'!$AT$2:$AT$9999))/SUMIFS('Raw Data'!$D:$D, 'Raw Data'!$B:$B, "Variant", 'Raw Data'!$A:$A, $A40, 'Raw Data'!$C:$C, $C$3),""))</f>
        <v/>
      </c>
      <c r="EF40" s="110" t="str">
        <f t="shared" si="41"/>
        <v/>
      </c>
      <c r="EG40" s="102" t="str">
        <f>IF($A40="","",IFERROR(SUMPRODUCT(('Raw Data'!$B$2:$B$9999="Control")*('Raw Data'!$A$2:$A$9999=$A40)*('Raw Data'!$C$2:$C$9999=$C$3)*'Raw Data'!$D$2:$D$9999*'Raw Data'!$AU$2:$AU$9999)/SUMIFS('Raw Data'!$D:$D, 'Raw Data'!$B:$B, "Control", 'Raw Data'!$A:$A, $A40, 'Raw Data'!$C:$C, $C$3),""))</f>
        <v/>
      </c>
      <c r="EH40" s="102" t="str">
        <f>IF($A40="","",IFERROR(SUMPRODUCT(('Raw Data'!$B$2:$B$9999="Variant")*('Raw Data'!$A$2:$A$9999=$A40)*('Raw Data'!$C$2:$C$9999=$C$3)*'Raw Data'!$D$2:$D$9999*'Raw Data'!$AU$2:$AU$9999)/SUMIFS('Raw Data'!$D:$D, 'Raw Data'!$B:$B, "Variant", 'Raw Data'!$A:$A, $A40, 'Raw Data'!$C:$C, $C$3),""))</f>
        <v/>
      </c>
      <c r="EI40" s="109" t="str">
        <f t="shared" si="42"/>
        <v/>
      </c>
    </row>
    <row r="41" ht="15.75" customHeight="1">
      <c r="A41" s="93">
        <v>46209.0</v>
      </c>
      <c r="B41" s="94">
        <f>IF($A41="","",SUMIFS('Raw Data'!$D:$D, 'Raw Data'!$B:$B, "Control", 'Raw Data'!$A:$A, $A41, 'Raw Data'!$C:$C, $C$3))</f>
        <v>0</v>
      </c>
      <c r="C41" s="94">
        <f>IF($A41="","",SUMIFS('Raw Data'!$D:$D, 'Raw Data'!$B:$B, "Variant", 'Raw Data'!$A:$A, $A41, 'Raw Data'!$C:$C, $C$3))</f>
        <v>0</v>
      </c>
      <c r="D41" s="95" t="str">
        <f t="shared" si="1"/>
        <v/>
      </c>
      <c r="E41" s="96" t="str">
        <f>IF($A41="","",IFERROR(SUMPRODUCT(('Raw Data'!$B$2:$B$9999="Control")*('Raw Data'!$A$2:$A$9999=$A41)*('Raw Data'!$C$2:$C$9999=$C$3)*'Raw Data'!$D$2:$D$9999*'Raw Data'!$E$2:$E$9999)/SUMIFS('Raw Data'!$D:$D, 'Raw Data'!$B:$B, "Control", 'Raw Data'!$A:$A, $A41, 'Raw Data'!$C:$C, $C$3),""))</f>
        <v/>
      </c>
      <c r="F41" s="96" t="str">
        <f>IF($A41="","",IFERROR(SUMPRODUCT(('Raw Data'!$B$2:$B$9999="Variant")*('Raw Data'!$A$2:$A$9999=$A41)*('Raw Data'!$C$2:$C$9999=$C$3)*'Raw Data'!$D$2:$D$9999*'Raw Data'!$E$2:$E$9999)/SUMIFS('Raw Data'!$D:$D, 'Raw Data'!$B:$B, "Variant", 'Raw Data'!$A:$A, $A41, 'Raw Data'!$C:$C, $C$3),""))</f>
        <v/>
      </c>
      <c r="G41" s="95" t="str">
        <f t="shared" si="2"/>
        <v/>
      </c>
      <c r="H41" s="97">
        <f>IF($A41="","",SUMIFS('Raw Data'!$F:$F, 'Raw Data'!$B:$B, "Control", 'Raw Data'!$A:$A, $A41, 'Raw Data'!$C:$C, $C$3))</f>
        <v>0</v>
      </c>
      <c r="I41" s="97">
        <f>IF($A41="","",SUMIFS('Raw Data'!$F:$F, 'Raw Data'!$B:$B, "Variant", 'Raw Data'!$A:$A, $A41, 'Raw Data'!$C:$C, $C$3))</f>
        <v>0</v>
      </c>
      <c r="J41" s="105" t="str">
        <f t="shared" si="3"/>
        <v/>
      </c>
      <c r="K41" s="99" t="str">
        <f>IF($A41="","",IFERROR(SUMIFS('Raw Data'!$F:$F, 'Raw Data'!$B:$B, "Control", 'Raw Data'!$A:$A, $A41, 'Raw Data'!$C:$C, $C$3)/SUMIFS('Raw Data'!$D:$D, 'Raw Data'!$B:$B, "Control", 'Raw Data'!$A:$A, $A41, 'Raw Data'!$C:$C, $C$3),""))</f>
        <v/>
      </c>
      <c r="L41" s="99" t="str">
        <f>IF($A41="","",IFERROR(SUMIFS('Raw Data'!$F:$F, 'Raw Data'!$B:$B, "Variant", 'Raw Data'!$A:$A, $A41, 'Raw Data'!$C:$C, $C$3)/SUMIFS('Raw Data'!$D:$D, 'Raw Data'!$B:$B, "Variant", 'Raw Data'!$A:$A, $A41, 'Raw Data'!$C:$C, $C$3),""))</f>
        <v/>
      </c>
      <c r="M41" s="105" t="str">
        <f t="shared" si="4"/>
        <v/>
      </c>
      <c r="N41" s="96" t="str">
        <f>IF($A41="","",IFERROR(SUMPRODUCT(('Raw Data'!$B$2:$B$9999="Control")*('Raw Data'!$A$2:$A$9999=$A41)*('Raw Data'!$C$2:$C$9999=$C$3)*'Raw Data'!$D$2:$D$9999*'Raw Data'!$H$2:$H$9999/100)/SUMIFS('Raw Data'!$D:$D, 'Raw Data'!$B:$B, "Control", 'Raw Data'!$A:$A, $A41, 'Raw Data'!$C:$C, $C$3)*100,""))</f>
        <v/>
      </c>
      <c r="O41" s="96" t="str">
        <f>IF($A41="","",IFERROR(SUMPRODUCT(('Raw Data'!$B$2:$B$9999="Variant")*('Raw Data'!$A$2:$A$9999=$A41)*('Raw Data'!$C$2:$C$9999=$C$3)*'Raw Data'!$D$2:$D$9999*'Raw Data'!$H$2:$H$9999/100)/SUMIFS('Raw Data'!$D:$D, 'Raw Data'!$B:$B, "Variant", 'Raw Data'!$A:$A, $A41, 'Raw Data'!$C:$C, $C$3)*100,""))</f>
        <v/>
      </c>
      <c r="P41" s="105" t="str">
        <f t="shared" si="5"/>
        <v/>
      </c>
      <c r="Q41" s="99" t="str">
        <f>IF($A41="","",IFERROR(SUMIFS('Raw Data'!$F:$F, 'Raw Data'!$B:$B, "Control", 'Raw Data'!$A:$A, $A41, 'Raw Data'!$C:$C, $C$3)/SUMPRODUCT(('Raw Data'!$B$2:$B$9999="Control")*('Raw Data'!$A$2:$A$9999=$A41)*('Raw Data'!$C$2:$C$9999=$C$3)*'Raw Data'!$D$2:$D$9999*'Raw Data'!$H$2:$H$9999/100),""))</f>
        <v/>
      </c>
      <c r="R41" s="99" t="str">
        <f>IF($A41="","",IFERROR(SUMIFS('Raw Data'!$F:$F, 'Raw Data'!$B:$B, "Variant", 'Raw Data'!$A:$A, $A41, 'Raw Data'!$C:$C, $C$3)/SUMPRODUCT(('Raw Data'!$B$2:$B$9999="Variant")*('Raw Data'!$A$2:$A$9999=$A41)*('Raw Data'!$C$2:$C$9999=$C$3)*'Raw Data'!$D$2:$D$9999*'Raw Data'!$H$2:$H$9999/100),""))</f>
        <v/>
      </c>
      <c r="S41" s="105" t="str">
        <f t="shared" si="6"/>
        <v/>
      </c>
      <c r="T41" s="101" t="str">
        <f>IF($A41="","",IFERROR(SUMPRODUCT(('Raw Data'!$B$2:$B$9999="Control")*('Raw Data'!$A$2:$A$9999=$A41)*('Raw Data'!$C$2:$C$9999=$C$3)*'Raw Data'!$D$2:$D$9999*'Raw Data'!$J$2:$J$9999)/SUMIFS('Raw Data'!$D:$D, 'Raw Data'!$B:$B, "Control", 'Raw Data'!$A:$A, $A41, 'Raw Data'!$C:$C, $C$3),""))</f>
        <v/>
      </c>
      <c r="U41" s="101" t="str">
        <f>IF($A41="","",IFERROR(SUMPRODUCT(('Raw Data'!$B$2:$B$9999="Variant")*('Raw Data'!$A$2:$A$9999=$A41)*('Raw Data'!$C$2:$C$9999=$C$3)*'Raw Data'!$D$2:$D$9999*'Raw Data'!$J$2:$J$9999)/SUMIFS('Raw Data'!$D:$D, 'Raw Data'!$B:$B, "Variant", 'Raw Data'!$A:$A, $A41, 'Raw Data'!$C:$C, $C$3),""))</f>
        <v/>
      </c>
      <c r="V41" s="105" t="str">
        <f t="shared" si="7"/>
        <v/>
      </c>
      <c r="W41" s="101" t="str">
        <f>IF($A41="","",IFERROR(SUMPRODUCT(('Raw Data'!$B$2:$B$9999="Control")*('Raw Data'!$A$2:$A$9999=$A41)*('Raw Data'!$C$2:$C$9999=$C$3)*'Raw Data'!$D$2:$D$9999*'Raw Data'!$K$2:$K$9999)/SUMIFS('Raw Data'!$D:$D, 'Raw Data'!$B:$B, "Control", 'Raw Data'!$A:$A, $A41, 'Raw Data'!$C:$C, $C$3),""))</f>
        <v/>
      </c>
      <c r="X41" s="101" t="str">
        <f>IF($A41="","",IFERROR(SUMPRODUCT(('Raw Data'!$B$2:$B$9999="Variant")*('Raw Data'!$A$2:$A$9999=$A41)*('Raw Data'!$C$2:$C$9999=$C$3)*'Raw Data'!$D$2:$D$9999*'Raw Data'!$K$2:$K$9999)/SUMIFS('Raw Data'!$D:$D, 'Raw Data'!$B:$B, "Variant", 'Raw Data'!$A:$A, $A41, 'Raw Data'!$C:$C, $C$3),""))</f>
        <v/>
      </c>
      <c r="Y41" s="105" t="str">
        <f t="shared" si="8"/>
        <v/>
      </c>
      <c r="Z41" s="101" t="str">
        <f>IF($A41="","",IFERROR(SUMPRODUCT(('Raw Data'!$B$2:$B$9999="Control")*('Raw Data'!$A$2:$A$9999=$A41)*('Raw Data'!$C$2:$C$9999=$C$3)*'Raw Data'!$D$2:$D$9999*'Raw Data'!$L$2:$L$9999)/SUMIFS('Raw Data'!$D:$D, 'Raw Data'!$B:$B, "Control", 'Raw Data'!$A:$A, $A41, 'Raw Data'!$C:$C, $C$3),""))</f>
        <v/>
      </c>
      <c r="AA41" s="101" t="str">
        <f>IF($A41="","",IFERROR(SUMPRODUCT(('Raw Data'!$B$2:$B$9999="Variant")*('Raw Data'!$A$2:$A$9999=$A41)*('Raw Data'!$C$2:$C$9999=$C$3)*'Raw Data'!$D$2:$D$9999*'Raw Data'!$L$2:$L$9999)/SUMIFS('Raw Data'!$D:$D, 'Raw Data'!$B:$B, "Variant", 'Raw Data'!$A:$A, $A41, 'Raw Data'!$C:$C, $C$3),""))</f>
        <v/>
      </c>
      <c r="AB41" s="105" t="str">
        <f t="shared" si="9"/>
        <v/>
      </c>
      <c r="AC41" s="102" t="str">
        <f>IF($A41="","",IFERROR(SUMPRODUCT(('Raw Data'!$B$2:$B$9999="Control")*('Raw Data'!$A$2:$A$9999=$A41)*('Raw Data'!$C$2:$C$9999=$C$3)*'Raw Data'!$D$2:$D$9999*'Raw Data'!$M$2:$M$9999)/SUMIFS('Raw Data'!$D:$D, 'Raw Data'!$B:$B, "Control", 'Raw Data'!$A:$A, $A41, 'Raw Data'!$C:$C, $C$3),""))</f>
        <v/>
      </c>
      <c r="AD41" s="102" t="str">
        <f>IF($A41="","",IFERROR(SUMPRODUCT(('Raw Data'!$B$2:$B$9999="Variant")*('Raw Data'!$A$2:$A$9999=$A41)*('Raw Data'!$C$2:$C$9999=$C$3)*'Raw Data'!$D$2:$D$9999*'Raw Data'!$M$2:$M$9999)/SUMIFS('Raw Data'!$D:$D, 'Raw Data'!$B:$B, "Variant", 'Raw Data'!$A:$A, $A41, 'Raw Data'!$C:$C, $C$3),""))</f>
        <v/>
      </c>
      <c r="AE41" s="106" t="str">
        <f t="shared" si="10"/>
        <v/>
      </c>
      <c r="AF41" s="102" t="str">
        <f>IF($A41="","",IFERROR(SUMPRODUCT(('Raw Data'!$B$2:$B$9999="Control")*('Raw Data'!$A$2:$A$9999=$A41)*('Raw Data'!$C$2:$C$9999=$C$3)*'Raw Data'!$D$2:$D$9999*'Raw Data'!$N$2:$N$9999)/SUMIFS('Raw Data'!$D:$D, 'Raw Data'!$B:$B, "Control", 'Raw Data'!$A:$A, $A41, 'Raw Data'!$C:$C, $C$3),""))</f>
        <v/>
      </c>
      <c r="AG41" s="102" t="str">
        <f>IF($A41="","",IFERROR(SUMPRODUCT(('Raw Data'!$B$2:$B$9999="Variant")*('Raw Data'!$A$2:$A$9999=$A41)*('Raw Data'!$C$2:$C$9999=$C$3)*'Raw Data'!$D$2:$D$9999*'Raw Data'!$N$2:$N$9999)/SUMIFS('Raw Data'!$D:$D, 'Raw Data'!$B:$B, "Variant", 'Raw Data'!$A:$A, $A41, 'Raw Data'!$C:$C, $C$3),""))</f>
        <v/>
      </c>
      <c r="AH41" s="106" t="str">
        <f t="shared" si="11"/>
        <v/>
      </c>
      <c r="AI41" s="102" t="str">
        <f>IF($A41="","",IFERROR(SUMPRODUCT(('Raw Data'!$B$2:$B$9999="Control")*('Raw Data'!$A$2:$A$9999=$A41)*('Raw Data'!$C$2:$C$9999=$C$3)*'Raw Data'!$D$2:$D$9999*'Raw Data'!$O$2:$O$9999)/SUMIFS('Raw Data'!$D:$D, 'Raw Data'!$B:$B, "Control", 'Raw Data'!$A:$A, $A41, 'Raw Data'!$C:$C, $C$3),""))</f>
        <v/>
      </c>
      <c r="AJ41" s="102" t="str">
        <f>IF($A41="","",IFERROR(SUMPRODUCT(('Raw Data'!$B$2:$B$9999="Variant")*('Raw Data'!$A$2:$A$9999=$A41)*('Raw Data'!$C$2:$C$9999=$C$3)*'Raw Data'!$D$2:$D$9999*'Raw Data'!$O$2:$O$9999)/SUMIFS('Raw Data'!$D:$D, 'Raw Data'!$B:$B, "Variant", 'Raw Data'!$A:$A, $A41, 'Raw Data'!$C:$C, $C$3),""))</f>
        <v/>
      </c>
      <c r="AK41" s="105" t="str">
        <f t="shared" si="12"/>
        <v/>
      </c>
      <c r="AL41" s="101" t="str">
        <f>IF($A41="","",IFERROR(SUMPRODUCT(('Raw Data'!$B$2:$B$9999="Control")*('Raw Data'!$A$2:$A$9999=$A41)*('Raw Data'!$C$2:$C$9999=$C$3)*'Raw Data'!$D$2:$D$9999*'Raw Data'!$P$2:$P$9999)/SUMIFS('Raw Data'!$D:$D, 'Raw Data'!$B:$B, "Control", 'Raw Data'!$A:$A, $A41, 'Raw Data'!$C:$C, $C$3),""))</f>
        <v/>
      </c>
      <c r="AM41" s="101" t="str">
        <f>IF($A41="","",IFERROR(SUMPRODUCT(('Raw Data'!$B$2:$B$9999="Variant")*('Raw Data'!$A$2:$A$9999=$A41)*('Raw Data'!$C$2:$C$9999=$C$3)*'Raw Data'!$D$2:$D$9999*'Raw Data'!$P$2:$P$9999)/SUMIFS('Raw Data'!$D:$D, 'Raw Data'!$B:$B, "Variant", 'Raw Data'!$A:$A, $A41, 'Raw Data'!$C:$C, $C$3),""))</f>
        <v/>
      </c>
      <c r="AN41" s="105" t="str">
        <f t="shared" si="13"/>
        <v/>
      </c>
      <c r="AO41" s="101" t="str">
        <f>IF($A41="","",IFERROR(SUMPRODUCT(('Raw Data'!$B$2:$B$9999="Control")*('Raw Data'!$A$2:$A$9999=$A41)*('Raw Data'!$C$2:$C$9999=$C$3)*'Raw Data'!$D$2:$D$9999*'Raw Data'!$Q$2:$Q$9999)/SUMIFS('Raw Data'!$D:$D, 'Raw Data'!$B:$B, "Control", 'Raw Data'!$A:$A, $A41, 'Raw Data'!$C:$C, $C$3),""))</f>
        <v/>
      </c>
      <c r="AP41" s="101" t="str">
        <f>IF($A41="","",IFERROR(SUMPRODUCT(('Raw Data'!$B$2:$B$9999="Variant")*('Raw Data'!$A$2:$A$9999=$A41)*('Raw Data'!$C$2:$C$9999=$C$3)*'Raw Data'!$D$2:$D$9999*'Raw Data'!$Q$2:$Q$9999)/SUMIFS('Raw Data'!$D:$D, 'Raw Data'!$B:$B, "Variant", 'Raw Data'!$A:$A, $A41, 'Raw Data'!$C:$C, $C$3),""))</f>
        <v/>
      </c>
      <c r="AQ41" s="95" t="str">
        <f t="shared" si="14"/>
        <v/>
      </c>
      <c r="AR41" s="101" t="str">
        <f>IF($A41="","",IFERROR(SUMPRODUCT(('Raw Data'!$B$2:$B$9999="Control")*('Raw Data'!$A$2:$A$9999=$A41)*('Raw Data'!$C$2:$C$9999=$C$3)*'Raw Data'!$D$2:$D$9999*'Raw Data'!$R$2:$R$9999)/SUMIFS('Raw Data'!$D:$D, 'Raw Data'!$B:$B, "Control", 'Raw Data'!$A:$A, $A41, 'Raw Data'!$C:$C, $C$3),""))</f>
        <v/>
      </c>
      <c r="AS41" s="101" t="str">
        <f>IF($A41="","",IFERROR(SUMPRODUCT(('Raw Data'!$B$2:$B$9999="Variant")*('Raw Data'!$A$2:$A$9999=$A41)*('Raw Data'!$C$2:$C$9999=$C$3)*'Raw Data'!$D$2:$D$9999*'Raw Data'!$R$2:$R$9999)/SUMIFS('Raw Data'!$D:$D, 'Raw Data'!$B:$B, "Variant", 'Raw Data'!$A:$A, $A41, 'Raw Data'!$C:$C, $C$3),""))</f>
        <v/>
      </c>
      <c r="AT41" s="95" t="str">
        <f t="shared" si="15"/>
        <v/>
      </c>
      <c r="AU41" s="101" t="str">
        <f>IF($A41="","",IFERROR(SUMPRODUCT(('Raw Data'!$B$2:$B$9999="Control")*('Raw Data'!$A$2:$A$9999=$A41)*('Raw Data'!$C$2:$C$9999=$C$3)*'Raw Data'!$D$2:$D$9999*'Raw Data'!$S$2:$S$9999)/SUMIFS('Raw Data'!$D:$D, 'Raw Data'!$B:$B, "Control", 'Raw Data'!$A:$A, $A41, 'Raw Data'!$C:$C, $C$3),""))</f>
        <v/>
      </c>
      <c r="AV41" s="101" t="str">
        <f>IF($A41="","",IFERROR(SUMPRODUCT(('Raw Data'!$B$2:$B$9999="Variant")*('Raw Data'!$A$2:$A$9999=$A41)*('Raw Data'!$C$2:$C$9999=$C$3)*'Raw Data'!$D$2:$D$9999*'Raw Data'!$S$2:$S$9999)/SUMIFS('Raw Data'!$D:$D, 'Raw Data'!$B:$B, "Variant", 'Raw Data'!$A:$A, $A41, 'Raw Data'!$C:$C, $C$3),""))</f>
        <v/>
      </c>
      <c r="AW41" s="95" t="str">
        <f t="shared" si="16"/>
        <v/>
      </c>
      <c r="AX41" s="101" t="str">
        <f>IF($A41="","",IFERROR(SUMPRODUCT(('Raw Data'!$B$2:$B$9999="Control")*('Raw Data'!$A$2:$A$9999=$A41)*('Raw Data'!$C$2:$C$9999=$C$3)*'Raw Data'!$D$2:$D$9999*'Raw Data'!$T$2:$T$9999)/SUMIFS('Raw Data'!$D:$D, 'Raw Data'!$B:$B, "Control", 'Raw Data'!$A:$A, $A41, 'Raw Data'!$C:$C, $C$3),""))</f>
        <v/>
      </c>
      <c r="AY41" s="101" t="str">
        <f>IF($A41="","",IFERROR(SUMPRODUCT(('Raw Data'!$B$2:$B$9999="Variant")*('Raw Data'!$A$2:$A$9999=$A41)*('Raw Data'!$C$2:$C$9999=$C$3)*'Raw Data'!$D$2:$D$9999*'Raw Data'!$T$2:$T$9999)/SUMIFS('Raw Data'!$D:$D, 'Raw Data'!$B:$B, "Variant", 'Raw Data'!$A:$A, $A41, 'Raw Data'!$C:$C, $C$3),""))</f>
        <v/>
      </c>
      <c r="AZ41" s="105" t="str">
        <f t="shared" si="17"/>
        <v/>
      </c>
      <c r="BA41" s="101" t="str">
        <f>IF($A41="","",IFERROR(SUMPRODUCT(('Raw Data'!$B$2:$B$9999="Control")*('Raw Data'!$A$2:$A$9999=$A41)*('Raw Data'!$C$2:$C$9999=$C$3)*'Raw Data'!$D$2:$D$9999*'Raw Data'!$U$2:$U$9999)/SUMIFS('Raw Data'!$D:$D, 'Raw Data'!$B:$B, "Control", 'Raw Data'!$A:$A, $A41, 'Raw Data'!$C:$C, $C$3),""))</f>
        <v/>
      </c>
      <c r="BB41" s="101" t="str">
        <f>IF($A41="","",IFERROR(SUMPRODUCT(('Raw Data'!$B$2:$B$9999="Variant")*('Raw Data'!$A$2:$A$9999=$A41)*('Raw Data'!$C$2:$C$9999=$C$3)*'Raw Data'!$D$2:$D$9999*'Raw Data'!$U$2:$U$9999)/SUMIFS('Raw Data'!$D:$D, 'Raw Data'!$B:$B, "Variant", 'Raw Data'!$A:$A, $A41, 'Raw Data'!$C:$C, $C$3),""))</f>
        <v/>
      </c>
      <c r="BC41" s="95" t="str">
        <f t="shared" si="18"/>
        <v/>
      </c>
      <c r="BD41" s="101" t="str">
        <f>IF($A41="","",IFERROR(SUMPRODUCT(('Raw Data'!$B$2:$B$9999="Control")*('Raw Data'!$A$2:$A$9999=$A41)*('Raw Data'!$C$2:$C$9999=$C$3)*'Raw Data'!$D$2:$D$9999*'Raw Data'!$V$2:$V$9999)/SUMIFS('Raw Data'!$D:$D, 'Raw Data'!$B:$B, "Control", 'Raw Data'!$A:$A, $A41, 'Raw Data'!$C:$C, $C$3),""))</f>
        <v/>
      </c>
      <c r="BE41" s="101" t="str">
        <f>IF($A41="","",IFERROR(SUMPRODUCT(('Raw Data'!$B$2:$B$9999="Variant")*('Raw Data'!$A$2:$A$9999=$A41)*('Raw Data'!$C$2:$C$9999=$C$3)*'Raw Data'!$D$2:$D$9999*'Raw Data'!$V$2:$V$9999)/SUMIFS('Raw Data'!$D:$D, 'Raw Data'!$B:$B, "Variant", 'Raw Data'!$A:$A, $A41, 'Raw Data'!$C:$C, $C$3),""))</f>
        <v/>
      </c>
      <c r="BF41" s="95" t="str">
        <f t="shared" si="19"/>
        <v/>
      </c>
      <c r="BG41" s="101" t="str">
        <f>IF($A41="","",IFERROR(SUMPRODUCT(('Raw Data'!$B$2:$B$9999="Control")*('Raw Data'!$A$2:$A$9999=$A41)*('Raw Data'!$C$2:$C$9999=$C$3)*'Raw Data'!$D$2:$D$9999*('Raw Data'!$Q$2:$Q$9999-'Raw Data'!$V$2:$V$9999))/SUMIFS('Raw Data'!$D:$D, 'Raw Data'!$B:$B, "Control", 'Raw Data'!$A:$A, $A41, 'Raw Data'!$C:$C, $C$3),""))</f>
        <v/>
      </c>
      <c r="BH41" s="101" t="str">
        <f>IF($A41="","",IFERROR(SUMPRODUCT(('Raw Data'!$B$2:$B$9999="Variant")*('Raw Data'!$A$2:$A$9999=$A41)*('Raw Data'!$C$2:$C$9999=$C$3)*'Raw Data'!$D$2:$D$9999*('Raw Data'!$Q$2:$Q$9999-'Raw Data'!$V$2:$V$9999))/SUMIFS('Raw Data'!$D:$D, 'Raw Data'!$B:$B, "Variant", 'Raw Data'!$A:$A, $A41, 'Raw Data'!$C:$C, $C$3),""))</f>
        <v/>
      </c>
      <c r="BI41" s="95" t="str">
        <f t="shared" si="20"/>
        <v/>
      </c>
      <c r="BJ41" s="101" t="str">
        <f>IF($A41="","",IFERROR(SUMPRODUCT(('Raw Data'!$B$2:$B$9999="Control")*('Raw Data'!$A$2:$A$9999=$A41)*('Raw Data'!$C$2:$C$9999=$C$3)*'Raw Data'!$D$2:$D$9999*'Raw Data'!$W$2:$W$9999)/SUMIFS('Raw Data'!$D:$D, 'Raw Data'!$B:$B, "Control", 'Raw Data'!$A:$A, $A41, 'Raw Data'!$C:$C, $C$3),""))</f>
        <v/>
      </c>
      <c r="BK41" s="101" t="str">
        <f>IF($A41="","",IFERROR(SUMPRODUCT(('Raw Data'!$B$2:$B$9999="Variant")*('Raw Data'!$A$2:$A$9999=$A41)*('Raw Data'!$C$2:$C$9999=$C$3)*'Raw Data'!$D$2:$D$9999*'Raw Data'!$W$2:$W$9999)/SUMIFS('Raw Data'!$D:$D, 'Raw Data'!$B:$B, "Variant", 'Raw Data'!$A:$A, $A41, 'Raw Data'!$C:$C, $C$3),""))</f>
        <v/>
      </c>
      <c r="BL41" s="95" t="str">
        <f t="shared" si="21"/>
        <v/>
      </c>
      <c r="BM41" s="102" t="str">
        <f>IF($A41="","",IFERROR(SUMPRODUCT(('Raw Data'!$B$2:$B$9999="Control")*('Raw Data'!$A$2:$A$9999=$A41)*('Raw Data'!$C$2:$C$9999=$C$3)*'Raw Data'!$D$2:$D$9999*'Raw Data'!$X$2:$X$9999)/SUMIFS('Raw Data'!$D:$D, 'Raw Data'!$B:$B, "Control", 'Raw Data'!$A:$A, $A41, 'Raw Data'!$C:$C, $C$3),""))</f>
        <v/>
      </c>
      <c r="BN41" s="102" t="str">
        <f>IF($A41="","",IFERROR(SUMPRODUCT(('Raw Data'!$B$2:$B$9999="Variant")*('Raw Data'!$A$2:$A$9999=$A41)*('Raw Data'!$C$2:$C$9999=$C$3)*'Raw Data'!$D$2:$D$9999*'Raw Data'!$X$2:$X$9999)/SUMIFS('Raw Data'!$D:$D, 'Raw Data'!$B:$B, "Variant", 'Raw Data'!$A:$A, $A41, 'Raw Data'!$C:$C, $C$3),""))</f>
        <v/>
      </c>
      <c r="BO41" s="105" t="str">
        <f t="shared" si="22"/>
        <v/>
      </c>
      <c r="BP41" s="94" t="str">
        <f>IF($A41="","",IFERROR(SUMPRODUCT(('Raw Data'!$B$2:$B$9999="Control")*('Raw Data'!$A$2:$A$9999=$A41)*('Raw Data'!$C$2:$C$9999=$C$3)*'Raw Data'!$D$2:$D$9999*'Raw Data'!$Y$2:$Y$9999)/SUMIFS('Raw Data'!$D:$D, 'Raw Data'!$B:$B, "Control", 'Raw Data'!$A:$A, $A41, 'Raw Data'!$C:$C, $C$3),""))</f>
        <v/>
      </c>
      <c r="BQ41" s="94" t="str">
        <f>IF($A41="","",IFERROR(SUMPRODUCT(('Raw Data'!$B$2:$B$9999="Variant")*('Raw Data'!$A$2:$A$9999=$A41)*('Raw Data'!$C$2:$C$9999=$C$3)*'Raw Data'!$D$2:$D$9999*'Raw Data'!$Y$2:$Y$9999)/SUMIFS('Raw Data'!$D:$D, 'Raw Data'!$B:$B, "Variant", 'Raw Data'!$A:$A, $A41, 'Raw Data'!$C:$C, $C$3),""))</f>
        <v/>
      </c>
      <c r="BR41" s="95" t="str">
        <f t="shared" si="23"/>
        <v/>
      </c>
      <c r="BS41" s="94" t="str">
        <f>IF($A41="","",IFERROR(SUMPRODUCT(('Raw Data'!$B$2:$B$9999="Control")*('Raw Data'!$A$2:$A$9999=$A41)*('Raw Data'!$C$2:$C$9999=$C$3)*'Raw Data'!$D$2:$D$9999*'Raw Data'!$Z$2:$Z$9999)/SUMIFS('Raw Data'!$D:$D, 'Raw Data'!$B:$B, "Control", 'Raw Data'!$A:$A, $A41, 'Raw Data'!$C:$C, $C$3),""))</f>
        <v/>
      </c>
      <c r="BT41" s="94" t="str">
        <f>IF($A41="","",IFERROR(SUMPRODUCT(('Raw Data'!$B$2:$B$9999="Variant")*('Raw Data'!$A$2:$A$9999=$A41)*('Raw Data'!$C$2:$C$9999=$C$3)*'Raw Data'!$D$2:$D$9999*'Raw Data'!$Z$2:$Z$9999)/SUMIFS('Raw Data'!$D:$D, 'Raw Data'!$B:$B, "Variant", 'Raw Data'!$A:$A, $A41, 'Raw Data'!$C:$C, $C$3),""))</f>
        <v/>
      </c>
      <c r="BU41" s="95" t="str">
        <f t="shared" si="24"/>
        <v/>
      </c>
      <c r="BV41" s="94" t="str">
        <f>IF($A41="","",IFERROR(SUMPRODUCT(('Raw Data'!$B$2:$B$9999="Control")*('Raw Data'!$A$2:$A$9999=$A41)*('Raw Data'!$C$2:$C$9999=$C$3)*'Raw Data'!$D$2:$D$9999*'Raw Data'!$AA$2:$AA$9999)/SUMIFS('Raw Data'!$D:$D, 'Raw Data'!$B:$B, "Control", 'Raw Data'!$A:$A, $A41, 'Raw Data'!$C:$C, $C$3),""))</f>
        <v/>
      </c>
      <c r="BW41" s="94" t="str">
        <f>IF($A41="","",IFERROR(SUMPRODUCT(('Raw Data'!$B$2:$B$9999="Variant")*('Raw Data'!$A$2:$A$9999=$A41)*('Raw Data'!$C$2:$C$9999=$C$3)*'Raw Data'!$D$2:$D$9999*'Raw Data'!$AA$2:$AA$9999)/SUMIFS('Raw Data'!$D:$D, 'Raw Data'!$B:$B, "Variant", 'Raw Data'!$A:$A, $A41, 'Raw Data'!$C:$C, $C$3),""))</f>
        <v/>
      </c>
      <c r="BX41" s="95" t="str">
        <f t="shared" si="25"/>
        <v/>
      </c>
      <c r="BY41" s="101" t="str">
        <f>IF($A41="","",IFERROR(SUMPRODUCT(('Raw Data'!$B$2:$B$9999="Control")*('Raw Data'!$A$2:$A$9999=$A41)*('Raw Data'!$C$2:$C$9999=$C$3)*'Raw Data'!$D$2:$D$9999*'Raw Data'!$AB$2:$AB$9999)/SUMIFS('Raw Data'!$D:$D, 'Raw Data'!$B:$B, "Control", 'Raw Data'!$A:$A, $A41, 'Raw Data'!$C:$C, $C$3),""))</f>
        <v/>
      </c>
      <c r="BZ41" s="101" t="str">
        <f>IF($A41="","",IFERROR(SUMPRODUCT(('Raw Data'!$B$2:$B$9999="Variant")*('Raw Data'!$A$2:$A$9999=$A41)*('Raw Data'!$C$2:$C$9999=$C$3)*'Raw Data'!$D$2:$D$9999*'Raw Data'!$AB$2:$AB$9999)/SUMIFS('Raw Data'!$D:$D, 'Raw Data'!$B:$B, "Variant", 'Raw Data'!$A:$A, $A41, 'Raw Data'!$C:$C, $C$3),""))</f>
        <v/>
      </c>
      <c r="CA41" s="105" t="str">
        <f t="shared" si="26"/>
        <v/>
      </c>
      <c r="CB41" s="101" t="str">
        <f>IF($A41="","",IFERROR(SUMPRODUCT(('Raw Data'!$B$2:$B$9999="Control")*('Raw Data'!$A$2:$A$9999=$A41)*('Raw Data'!$C$2:$C$9999=$C$3)*'Raw Data'!$D$2:$D$9999*'Raw Data'!$AC$2:$AC$9999)/SUMIFS('Raw Data'!$D:$D, 'Raw Data'!$B:$B, "Control", 'Raw Data'!$A:$A, $A41, 'Raw Data'!$C:$C, $C$3),""))</f>
        <v/>
      </c>
      <c r="CC41" s="101" t="str">
        <f>IF($A41="","",IFERROR(SUMPRODUCT(('Raw Data'!$B$2:$B$9999="Variant")*('Raw Data'!$A$2:$A$9999=$A41)*('Raw Data'!$C$2:$C$9999=$C$3)*'Raw Data'!$D$2:$D$9999*'Raw Data'!$AC$2:$AC$9999)/SUMIFS('Raw Data'!$D:$D, 'Raw Data'!$B:$B, "Variant", 'Raw Data'!$A:$A, $A41, 'Raw Data'!$C:$C, $C$3),""))</f>
        <v/>
      </c>
      <c r="CD41" s="105" t="str">
        <f t="shared" si="27"/>
        <v/>
      </c>
      <c r="CE41" s="101" t="str">
        <f>IF($A41="","",IFERROR(SUMPRODUCT(('Raw Data'!$B$2:$B$9999="Control")*('Raw Data'!$A$2:$A$9999=$A41)*('Raw Data'!$C$2:$C$9999=$C$3)*'Raw Data'!$D$2:$D$9999*'Raw Data'!$AD$2:$AD$9999)/SUMIFS('Raw Data'!$D:$D, 'Raw Data'!$B:$B, "Control", 'Raw Data'!$A:$A, $A41, 'Raw Data'!$C:$C, $C$3),""))</f>
        <v/>
      </c>
      <c r="CF41" s="101" t="str">
        <f>IF($A41="","",IFERROR(SUMPRODUCT(('Raw Data'!$B$2:$B$9999="Variant")*('Raw Data'!$A$2:$A$9999=$A41)*('Raw Data'!$C$2:$C$9999=$C$3)*'Raw Data'!$D$2:$D$9999*'Raw Data'!$AD$2:$AD$9999)/SUMIFS('Raw Data'!$D:$D, 'Raw Data'!$B:$B, "Variant", 'Raw Data'!$A:$A, $A41, 'Raw Data'!$C:$C, $C$3),""))</f>
        <v/>
      </c>
      <c r="CG41" s="105" t="str">
        <f t="shared" si="28"/>
        <v/>
      </c>
      <c r="CH41" s="101" t="str">
        <f>IF($A41="","",IFERROR(SUMPRODUCT(('Raw Data'!$B$2:$B$9999="Control")*('Raw Data'!$A$2:$A$9999=$A41)*('Raw Data'!$C$2:$C$9999=$C$3)*'Raw Data'!$D$2:$D$9999*'Raw Data'!$AE$2:$AE$9999)/SUMIFS('Raw Data'!$D:$D, 'Raw Data'!$B:$B, "Control", 'Raw Data'!$A:$A, $A41, 'Raw Data'!$C:$C, $C$3),""))</f>
        <v/>
      </c>
      <c r="CI41" s="101" t="str">
        <f>IF($A41="","",IFERROR(SUMPRODUCT(('Raw Data'!$B$2:$B$9999="Variant")*('Raw Data'!$A$2:$A$9999=$A41)*('Raw Data'!$C$2:$C$9999=$C$3)*'Raw Data'!$D$2:$D$9999*'Raw Data'!$AE$2:$AE$9999)/SUMIFS('Raw Data'!$D:$D, 'Raw Data'!$B:$B, "Variant", 'Raw Data'!$A:$A, $A41, 'Raw Data'!$C:$C, $C$3),""))</f>
        <v/>
      </c>
      <c r="CJ41" s="105" t="str">
        <f t="shared" si="29"/>
        <v/>
      </c>
      <c r="CK41" s="101" t="str">
        <f>IF($A41="","",IFERROR(SUMPRODUCT(('Raw Data'!$B$2:$B$9999="Control")*('Raw Data'!$A$2:$A$9999=$A41)*('Raw Data'!$C$2:$C$9999=$C$3)*'Raw Data'!$D$2:$D$9999*'Raw Data'!$AF$2:$AF$9999)/SUMIFS('Raw Data'!$D:$D, 'Raw Data'!$B:$B, "Control", 'Raw Data'!$A:$A, $A41, 'Raw Data'!$C:$C, $C$3),""))</f>
        <v/>
      </c>
      <c r="CL41" s="101" t="str">
        <f>IF($A41="","",IFERROR(SUMPRODUCT(('Raw Data'!$B$2:$B$9999="Variant")*('Raw Data'!$A$2:$A$9999=$A41)*('Raw Data'!$C$2:$C$9999=$C$3)*'Raw Data'!$D$2:$D$9999*'Raw Data'!$AF$2:$AF$9999)/SUMIFS('Raw Data'!$D:$D, 'Raw Data'!$B:$B, "Variant", 'Raw Data'!$A:$A, $A41, 'Raw Data'!$C:$C, $C$3),""))</f>
        <v/>
      </c>
      <c r="CM41" s="105" t="str">
        <f t="shared" si="30"/>
        <v/>
      </c>
      <c r="CN41" s="101" t="str">
        <f>IF($A41="","",IFERROR(SUMPRODUCT(('Raw Data'!$B$2:$B$9999="Control")*('Raw Data'!$A$2:$A$9999=$A41)*('Raw Data'!$C$2:$C$9999=$C$3)*'Raw Data'!$D$2:$D$9999*'Raw Data'!$AG$2:$AG$9999)/SUMIFS('Raw Data'!$D:$D, 'Raw Data'!$B:$B, "Control", 'Raw Data'!$A:$A, $A41, 'Raw Data'!$C:$C, $C$3),""))</f>
        <v/>
      </c>
      <c r="CO41" s="101" t="str">
        <f>IF($A41="","",IFERROR(SUMPRODUCT(('Raw Data'!$B$2:$B$9999="Variant")*('Raw Data'!$A$2:$A$9999=$A41)*('Raw Data'!$C$2:$C$9999=$C$3)*'Raw Data'!$D$2:$D$9999*'Raw Data'!$AG$2:$AG$9999)/SUMIFS('Raw Data'!$D:$D, 'Raw Data'!$B:$B, "Variant", 'Raw Data'!$A:$A, $A41, 'Raw Data'!$C:$C, $C$3),""))</f>
        <v/>
      </c>
      <c r="CP41" s="105" t="str">
        <f t="shared" si="31"/>
        <v/>
      </c>
      <c r="CQ41" s="101" t="str">
        <f>IF($A41="","",IFERROR(SUMPRODUCT(('Raw Data'!$B$2:$B$9999="Control")*('Raw Data'!$A$2:$A$9999=$A41)*('Raw Data'!$C$2:$C$9999=$C$3)*'Raw Data'!$D$2:$D$9999*'Raw Data'!$AH$2:$AH$9999)/SUMIFS('Raw Data'!$D:$D, 'Raw Data'!$B:$B, "Control", 'Raw Data'!$A:$A, $A41, 'Raw Data'!$C:$C, $C$3),""))</f>
        <v/>
      </c>
      <c r="CR41" s="101" t="str">
        <f>IF($A41="","",IFERROR(SUMPRODUCT(('Raw Data'!$B$2:$B$9999="Variant")*('Raw Data'!$A$2:$A$9999=$A41)*('Raw Data'!$C$2:$C$9999=$C$3)*'Raw Data'!$D$2:$D$9999*'Raw Data'!$AH$2:$AH$9999)/SUMIFS('Raw Data'!$D:$D, 'Raw Data'!$B:$B, "Variant", 'Raw Data'!$A:$A, $A41, 'Raw Data'!$C:$C, $C$3),""))</f>
        <v/>
      </c>
      <c r="CS41" s="105" t="str">
        <f t="shared" si="32"/>
        <v/>
      </c>
      <c r="CT41" s="96" t="str">
        <f>IF($A41="","",IFERROR(SUMPRODUCT(('Raw Data'!$B$2:$B$9999="Control")*('Raw Data'!$A$2:$A$9999=$A41)*('Raw Data'!$C$2:$C$9999=$C$3)*'Raw Data'!$D$2:$D$9999*'Raw Data'!$AI$2:$AI$9999)/SUMIFS('Raw Data'!$D:$D, 'Raw Data'!$B:$B, "Control", 'Raw Data'!$A:$A, $A41, 'Raw Data'!$C:$C, $C$3),""))</f>
        <v/>
      </c>
      <c r="CU41" s="96" t="str">
        <f>IF($A41="","",IFERROR(SUMPRODUCT(('Raw Data'!$B$2:$B$9999="Variant")*('Raw Data'!$A$2:$A$9999=$A41)*('Raw Data'!$C$2:$C$9999=$C$3)*'Raw Data'!$D$2:$D$9999*'Raw Data'!$AI$2:$AI$9999)/SUMIFS('Raw Data'!$D:$D, 'Raw Data'!$B:$B, "Variant", 'Raw Data'!$A:$A, $A41, 'Raw Data'!$C:$C, $C$3),""))</f>
        <v/>
      </c>
      <c r="CV41" s="106" t="str">
        <f t="shared" si="33"/>
        <v/>
      </c>
      <c r="CW41" s="96" t="str">
        <f>IF($A41="","",IFERROR(SUMPRODUCT(('Raw Data'!$B$2:$B$9999="Control")*('Raw Data'!$A$2:$A$9999=$A41)*('Raw Data'!$C$2:$C$9999=$C$3)*'Raw Data'!$D$2:$D$9999*'Raw Data'!$AJ$2:$AJ$9999)/SUMIFS('Raw Data'!$D:$D, 'Raw Data'!$B:$B, "Control", 'Raw Data'!$A:$A, $A41, 'Raw Data'!$C:$C, $C$3),""))</f>
        <v/>
      </c>
      <c r="CX41" s="96" t="str">
        <f>IF($A41="","",IFERROR(SUMPRODUCT(('Raw Data'!$B$2:$B$9999="Variant")*('Raw Data'!$A$2:$A$9999=$A41)*('Raw Data'!$C$2:$C$9999=$C$3)*'Raw Data'!$D$2:$D$9999*'Raw Data'!$AJ$2:$AJ$9999)/SUMIFS('Raw Data'!$D:$D, 'Raw Data'!$B:$B, "Variant", 'Raw Data'!$A:$A, $A41, 'Raw Data'!$C:$C, $C$3),""))</f>
        <v/>
      </c>
      <c r="CY41" s="106" t="str">
        <f t="shared" si="34"/>
        <v/>
      </c>
      <c r="CZ41" s="96" t="str">
        <f>IF($A41="","",IFERROR(SUMPRODUCT(('Raw Data'!$B$2:$B$9999="Control")*('Raw Data'!$A$2:$A$9999=$A41)*('Raw Data'!$C$2:$C$9999=$C$3)*'Raw Data'!$D$2:$D$9999*'Raw Data'!$AK$2:$AK$9999)/SUMIFS('Raw Data'!$D:$D, 'Raw Data'!$B:$B, "Control", 'Raw Data'!$A:$A, $A41, 'Raw Data'!$C:$C, $C$3),""))</f>
        <v/>
      </c>
      <c r="DA41" s="96" t="str">
        <f>IF($A41="","",IFERROR(SUMPRODUCT(('Raw Data'!$B$2:$B$9999="Variant")*('Raw Data'!$A$2:$A$9999=$A41)*('Raw Data'!$C$2:$C$9999=$C$3)*'Raw Data'!$D$2:$D$9999*'Raw Data'!$AK$2:$AK$9999)/SUMIFS('Raw Data'!$D:$D, 'Raw Data'!$B:$B, "Variant", 'Raw Data'!$A:$A, $A41, 'Raw Data'!$C:$C, $C$3),""))</f>
        <v/>
      </c>
      <c r="DB41" s="105" t="str">
        <f t="shared" si="35"/>
        <v/>
      </c>
      <c r="DC41" s="102" t="str">
        <f>IF($A41="","",IFERROR(SUMPRODUCT(('Raw Data'!$B$2:$B$9999="Control")*('Raw Data'!$A$2:$A$9999=$A41)*('Raw Data'!$C$2:$C$9999=$C$3)*'Raw Data'!$D$2:$D$9999*'Raw Data'!$AL$2:$AL$9999)/SUMIFS('Raw Data'!$D:$D, 'Raw Data'!$B:$B, "Control", 'Raw Data'!$A:$A, $A41, 'Raw Data'!$C:$C, $C$3),""))</f>
        <v/>
      </c>
      <c r="DD41" s="102" t="str">
        <f>IF($A41="","",IFERROR(SUMPRODUCT(('Raw Data'!$B$2:$B$9999="Variant")*('Raw Data'!$A$2:$A$9999=$A41)*('Raw Data'!$C$2:$C$9999=$C$3)*'Raw Data'!$D$2:$D$9999*'Raw Data'!$AL$2:$AL$9999)/SUMIFS('Raw Data'!$D:$D, 'Raw Data'!$B:$B, "Variant", 'Raw Data'!$A:$A, $A41, 'Raw Data'!$C:$C, $C$3),""))</f>
        <v/>
      </c>
      <c r="DE41" s="106" t="str">
        <f t="shared" si="36"/>
        <v/>
      </c>
      <c r="DF41" s="103"/>
      <c r="DG41" s="96" t="str">
        <f>IF($A41="","",IFERROR(SUMPRODUCT(('Raw Data'!$B$2:$B$9999="Variant")*('Raw Data'!$A$2:$A$9999=$A41)*('Raw Data'!$C$2:$C$9999=$C$3)*'Raw Data'!$D$2:$D$9999*'Raw Data'!$AM$2:$AM$9999)/SUMIFS('Raw Data'!$D:$D, 'Raw Data'!$B:$B, "Variant", 'Raw Data'!$A:$A, $A41, 'Raw Data'!$C:$C, $C$3),""))</f>
        <v/>
      </c>
      <c r="DH41" s="104"/>
      <c r="DI41" s="103"/>
      <c r="DJ41" s="96" t="str">
        <f>IF($A41="","",IFERROR(SUMPRODUCT(('Raw Data'!$B$2:$B$9999="Variant")*('Raw Data'!$A$2:$A$9999=$A41)*('Raw Data'!$C$2:$C$9999=$C$3)*'Raw Data'!$D$2:$D$9999*'Raw Data'!$AN$2:$AN$9999)/SUMIFS('Raw Data'!$D:$D, 'Raw Data'!$B:$B, "Variant", 'Raw Data'!$A:$A, $A41, 'Raw Data'!$C:$C, $C$3),""))</f>
        <v/>
      </c>
      <c r="DK41" s="104"/>
      <c r="DL41" s="103"/>
      <c r="DM41" s="96" t="str">
        <f>IF($A41="","",IFERROR(SUMPRODUCT(('Raw Data'!$B$2:$B$9999="Variant")*('Raw Data'!$A$2:$A$9999=$A41)*('Raw Data'!$C$2:$C$9999=$C$3)*'Raw Data'!$D$2:$D$9999*'Raw Data'!$AO$2:$AO$9999)/SUMIFS('Raw Data'!$D:$D, 'Raw Data'!$B:$B, "Variant", 'Raw Data'!$A:$A, $A41, 'Raw Data'!$C:$C, $C$3),""))</f>
        <v/>
      </c>
      <c r="DN41" s="104"/>
      <c r="DO41" s="103"/>
      <c r="DP41" s="96" t="str">
        <f>IF($A41="","",IFERROR(SUMPRODUCT(('Raw Data'!$B$2:$B$9999="Variant")*('Raw Data'!$A$2:$A$9999=$A41)*('Raw Data'!$C$2:$C$9999=$C$3)*'Raw Data'!$D$2:$D$9999*'Raw Data'!$AP$2:$AP$9999)/SUMIFS('Raw Data'!$D:$D, 'Raw Data'!$B:$B, "Variant", 'Raw Data'!$A:$A, $A41, 'Raw Data'!$C:$C, $C$3),""))</f>
        <v/>
      </c>
      <c r="DQ41" s="104"/>
      <c r="DR41" s="102" t="str">
        <f>IF($A41="","",IFERROR(SUMPRODUCT(('Raw Data'!$B$2:$B$9999="Control")*('Raw Data'!$A$2:$A$9999=$A41)*('Raw Data'!$C$2:$C$9999=$C$3)*'Raw Data'!$D$2:$D$9999*'Raw Data'!$AQ$2:$AQ$9999)/SUMIFS('Raw Data'!$D:$D, 'Raw Data'!$B:$B, "Control", 'Raw Data'!$A:$A, $A41, 'Raw Data'!$C:$C, $C$3),""))</f>
        <v/>
      </c>
      <c r="DS41" s="102" t="str">
        <f>IF($A41="","",IFERROR(SUMPRODUCT(('Raw Data'!$B$2:$B$9999="Variant")*('Raw Data'!$A$2:$A$9999=$A41)*('Raw Data'!$C$2:$C$9999=$C$3)*'Raw Data'!$D$2:$D$9999*'Raw Data'!$AQ$2:$AQ$9999)/SUMIFS('Raw Data'!$D:$D, 'Raw Data'!$B:$B, "Variant", 'Raw Data'!$A:$A, $A41, 'Raw Data'!$C:$C, $C$3),""))</f>
        <v/>
      </c>
      <c r="DT41" s="109" t="str">
        <f t="shared" si="37"/>
        <v/>
      </c>
      <c r="DU41" s="102" t="str">
        <f>IF($A41="","",IFERROR(SUMPRODUCT(('Raw Data'!$B$2:$B$9999="Control")*('Raw Data'!$A$2:$A$9999=$A41)*('Raw Data'!$C$2:$C$9999=$C$3)*'Raw Data'!$D$2:$D$9999*'Raw Data'!$AR$2:$AR$9999)/SUMIFS('Raw Data'!$D:$D, 'Raw Data'!$B:$B, "Control", 'Raw Data'!$A:$A, $A41, 'Raw Data'!$C:$C, $C$3),""))</f>
        <v/>
      </c>
      <c r="DV41" s="102" t="str">
        <f>IF($A41="","",IFERROR(SUMPRODUCT(('Raw Data'!$B$2:$B$9999="Variant")*('Raw Data'!$A$2:$A$9999=$A41)*('Raw Data'!$C$2:$C$9999=$C$3)*'Raw Data'!$D$2:$D$9999*'Raw Data'!$AR$2:$AR$9999)/SUMIFS('Raw Data'!$D:$D, 'Raw Data'!$B:$B, "Variant", 'Raw Data'!$A:$A, $A41, 'Raw Data'!$C:$C, $C$3),""))</f>
        <v/>
      </c>
      <c r="DW41" s="109" t="str">
        <f t="shared" si="38"/>
        <v/>
      </c>
      <c r="DX41" s="102" t="str">
        <f>IF($A41="","",IFERROR(SUMPRODUCT(('Raw Data'!$B$2:$B$9999="Control")*('Raw Data'!$A$2:$A$9999=$A41)*('Raw Data'!$C$2:$C$9999=$C$3)*'Raw Data'!$D$2:$D$9999*'Raw Data'!$AS$2:$AS$9999)/SUMIFS('Raw Data'!$D:$D, 'Raw Data'!$B:$B, "Control", 'Raw Data'!$A:$A, $A41, 'Raw Data'!$C:$C, $C$3),""))</f>
        <v/>
      </c>
      <c r="DY41" s="102" t="str">
        <f>IF($A41="","",IFERROR(SUMPRODUCT(('Raw Data'!$B$2:$B$9999="Variant")*('Raw Data'!$A$2:$A$9999=$A41)*('Raw Data'!$C$2:$C$9999=$C$3)*'Raw Data'!$D$2:$D$9999*'Raw Data'!$AS$2:$AS$9999)/SUMIFS('Raw Data'!$D:$D, 'Raw Data'!$B:$B, "Variant", 'Raw Data'!$A:$A, $A41, 'Raw Data'!$C:$C, $C$3),""))</f>
        <v/>
      </c>
      <c r="DZ41" s="110" t="str">
        <f t="shared" si="39"/>
        <v/>
      </c>
      <c r="EA41" s="102" t="str">
        <f>IF($A41="","",IFERROR(SUMPRODUCT(('Raw Data'!$B$2:$B$9999="Control")*('Raw Data'!$A$2:$A$9999=$A41)*('Raw Data'!$C$2:$C$9999=$C$3)*'Raw Data'!$D$2:$D$9999*'Raw Data'!$AT$2:$AT$9999)/SUMIFS('Raw Data'!$D:$D, 'Raw Data'!$B:$B, "Control", 'Raw Data'!$A:$A, $A41, 'Raw Data'!$C:$C, $C$3),""))</f>
        <v/>
      </c>
      <c r="EB41" s="102" t="str">
        <f>IF($A41="","",IFERROR(SUMPRODUCT(('Raw Data'!$B$2:$B$9999="Variant")*('Raw Data'!$A$2:$A$9999=$A41)*('Raw Data'!$C$2:$C$9999=$C$3)*'Raw Data'!$D$2:$D$9999*'Raw Data'!$AT$2:$AT$9999)/SUMIFS('Raw Data'!$D:$D, 'Raw Data'!$B:$B, "Variant", 'Raw Data'!$A:$A, $A41, 'Raw Data'!$C:$C, $C$3),""))</f>
        <v/>
      </c>
      <c r="EC41" s="109" t="str">
        <f t="shared" si="40"/>
        <v/>
      </c>
      <c r="ED41" s="102" t="str">
        <f>IF($A41="","",IFERROR(SUMPRODUCT(('Raw Data'!$B$2:$B$9999="Control")*('Raw Data'!$A$2:$A$9999=$A41)*('Raw Data'!$C$2:$C$9999=$C$3)*'Raw Data'!$D$2:$D$9999*('Raw Data'!$AQ$2:$AQ$9999-'Raw Data'!$AT$2:$AT$9999))/SUMIFS('Raw Data'!$D:$D, 'Raw Data'!$B:$B, "Control", 'Raw Data'!$A:$A, $A41, 'Raw Data'!$C:$C, $C$3),""))</f>
        <v/>
      </c>
      <c r="EE41" s="102" t="str">
        <f>IF($A41="","",IFERROR(SUMPRODUCT(('Raw Data'!$B$2:$B$9999="Variant")*('Raw Data'!$A$2:$A$9999=$A41)*('Raw Data'!$C$2:$C$9999=$C$3)*'Raw Data'!$D$2:$D$9999*('Raw Data'!$AQ$2:$AQ$9999-'Raw Data'!$AT$2:$AT$9999))/SUMIFS('Raw Data'!$D:$D, 'Raw Data'!$B:$B, "Variant", 'Raw Data'!$A:$A, $A41, 'Raw Data'!$C:$C, $C$3),""))</f>
        <v/>
      </c>
      <c r="EF41" s="110" t="str">
        <f t="shared" si="41"/>
        <v/>
      </c>
      <c r="EG41" s="102" t="str">
        <f>IF($A41="","",IFERROR(SUMPRODUCT(('Raw Data'!$B$2:$B$9999="Control")*('Raw Data'!$A$2:$A$9999=$A41)*('Raw Data'!$C$2:$C$9999=$C$3)*'Raw Data'!$D$2:$D$9999*'Raw Data'!$AU$2:$AU$9999)/SUMIFS('Raw Data'!$D:$D, 'Raw Data'!$B:$B, "Control", 'Raw Data'!$A:$A, $A41, 'Raw Data'!$C:$C, $C$3),""))</f>
        <v/>
      </c>
      <c r="EH41" s="102" t="str">
        <f>IF($A41="","",IFERROR(SUMPRODUCT(('Raw Data'!$B$2:$B$9999="Variant")*('Raw Data'!$A$2:$A$9999=$A41)*('Raw Data'!$C$2:$C$9999=$C$3)*'Raw Data'!$D$2:$D$9999*'Raw Data'!$AU$2:$AU$9999)/SUMIFS('Raw Data'!$D:$D, 'Raw Data'!$B:$B, "Variant", 'Raw Data'!$A:$A, $A41, 'Raw Data'!$C:$C, $C$3),""))</f>
        <v/>
      </c>
      <c r="EI41" s="109" t="str">
        <f t="shared" si="42"/>
        <v/>
      </c>
    </row>
    <row r="42" ht="15.7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</row>
    <row r="43" ht="15.7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</row>
    <row r="44" ht="15.75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</row>
    <row r="45" ht="15.75" customHeight="1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</row>
    <row r="46" ht="15.7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</row>
    <row r="47" ht="15.7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</row>
    <row r="48" ht="15.7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</row>
    <row r="49" ht="15.75" customHeight="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</row>
    <row r="50" ht="15.7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</row>
    <row r="51" ht="15.75" customHeight="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</row>
    <row r="52" ht="15.75" customHeight="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</row>
    <row r="53" ht="15.75" customHeight="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</row>
    <row r="54" ht="15.75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</row>
    <row r="55" ht="15.75" customHeight="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</row>
    <row r="56" ht="15.7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</row>
    <row r="57" ht="15.7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</row>
    <row r="58" ht="15.7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</row>
    <row r="59" ht="15.7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</row>
    <row r="60" ht="15.7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</row>
    <row r="61" ht="15.7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</row>
    <row r="62" ht="15.7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</row>
    <row r="63" ht="15.7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</row>
    <row r="64" ht="15.7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</row>
    <row r="65" ht="15.7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</row>
    <row r="66" ht="15.7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</row>
    <row r="67" ht="15.7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</row>
    <row r="68" ht="15.7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</row>
    <row r="69" ht="15.7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</row>
    <row r="70" ht="15.7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</row>
    <row r="71" ht="15.7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</row>
    <row r="72" ht="15.7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</row>
    <row r="73" ht="15.7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</row>
    <row r="74" ht="15.7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</row>
    <row r="75" ht="15.7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</row>
    <row r="76" ht="15.7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</row>
    <row r="77" ht="15.7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</row>
    <row r="78" ht="15.7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</row>
    <row r="79" ht="15.7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</row>
    <row r="80" ht="15.7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</row>
    <row r="81" ht="15.7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</row>
    <row r="82" ht="15.7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</row>
    <row r="83" ht="15.7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</row>
    <row r="84" ht="15.7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</row>
    <row r="85" ht="15.7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</row>
    <row r="86" ht="15.7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</row>
    <row r="87" ht="15.7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</row>
    <row r="88" ht="15.7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</row>
    <row r="89" ht="15.7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</row>
    <row r="90" ht="15.7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</row>
    <row r="91" ht="15.7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</row>
    <row r="92" ht="15.7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</row>
    <row r="93" ht="15.7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</row>
    <row r="94" ht="15.7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</row>
    <row r="95" ht="15.7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</row>
    <row r="96" ht="15.7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</row>
    <row r="97" ht="15.7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</row>
    <row r="98" ht="15.7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</row>
    <row r="99" ht="15.7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</row>
    <row r="100" ht="15.7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</row>
    <row r="101" ht="15.7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</row>
    <row r="102" ht="15.7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</row>
    <row r="103" ht="15.7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</row>
    <row r="104" ht="15.7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</row>
    <row r="105" ht="15.7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</row>
    <row r="106" ht="15.7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</row>
    <row r="107" ht="15.7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</row>
    <row r="108" ht="15.7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</row>
    <row r="109" ht="15.7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</row>
    <row r="110" ht="15.7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</row>
    <row r="111" ht="15.7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</row>
    <row r="112" ht="15.7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</row>
    <row r="113" ht="15.7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</row>
    <row r="114" ht="15.7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</row>
    <row r="115" ht="15.7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</row>
    <row r="116" ht="15.7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</row>
    <row r="117" ht="15.7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</row>
    <row r="118" ht="15.7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</row>
    <row r="119" ht="15.7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</row>
    <row r="120" ht="15.7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</row>
    <row r="121" ht="15.7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</row>
    <row r="122" ht="15.7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</row>
    <row r="123" ht="15.7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</row>
    <row r="124" ht="15.7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</row>
    <row r="125" ht="15.7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</row>
    <row r="126" ht="15.7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</row>
    <row r="127" ht="15.7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</row>
    <row r="128" ht="15.7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</row>
    <row r="129" ht="15.7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</row>
    <row r="130" ht="15.7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</row>
    <row r="131" ht="15.7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</row>
    <row r="132" ht="15.7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</row>
    <row r="133" ht="15.7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</row>
    <row r="134" ht="15.7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</row>
    <row r="135" ht="15.7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</row>
    <row r="136" ht="15.7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</row>
    <row r="137" ht="15.7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</row>
    <row r="138" ht="15.7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</row>
    <row r="139" ht="15.7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</row>
    <row r="140" ht="15.7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</row>
    <row r="141" ht="15.7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</row>
    <row r="142" ht="15.7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</row>
    <row r="143" ht="15.7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</row>
    <row r="144" ht="15.7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</row>
    <row r="145" ht="15.7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</row>
    <row r="146" ht="15.7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</row>
    <row r="147" ht="15.7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</row>
    <row r="148" ht="15.7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</row>
    <row r="149" ht="15.7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</row>
    <row r="150" ht="15.7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</row>
    <row r="151" ht="15.7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</row>
    <row r="152" ht="15.7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</row>
    <row r="153" ht="15.7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</row>
    <row r="154" ht="15.7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</row>
    <row r="155" ht="15.7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</row>
    <row r="156" ht="15.7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</row>
    <row r="157" ht="15.7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</row>
    <row r="158" ht="15.7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</row>
    <row r="159" ht="15.7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</row>
    <row r="160" ht="15.7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</row>
    <row r="161" ht="15.7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</row>
    <row r="162" ht="15.7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</row>
    <row r="163" ht="15.7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</row>
    <row r="164" ht="15.7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</row>
    <row r="165" ht="15.7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</row>
    <row r="166" ht="15.7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</row>
    <row r="167" ht="15.7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</row>
    <row r="168" ht="15.7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</row>
    <row r="169" ht="15.7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</row>
    <row r="170" ht="15.7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</row>
    <row r="171" ht="15.7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</row>
    <row r="172" ht="15.7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</row>
    <row r="173" ht="15.7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</row>
    <row r="174" ht="15.7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</row>
    <row r="175" ht="15.7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</row>
    <row r="176" ht="15.7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</row>
    <row r="177" ht="15.7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</row>
    <row r="178" ht="15.7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</row>
    <row r="179" ht="15.7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</row>
    <row r="180" ht="15.7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</row>
    <row r="181" ht="15.7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</row>
    <row r="182" ht="15.7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</row>
    <row r="183" ht="15.7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</row>
    <row r="184" ht="15.7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</row>
    <row r="185" ht="15.7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</row>
    <row r="186" ht="15.7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</row>
    <row r="187" ht="15.7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</row>
    <row r="188" ht="15.7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</row>
    <row r="189" ht="15.7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</row>
    <row r="190" ht="15.7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</row>
    <row r="191" ht="15.7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</row>
    <row r="192" ht="15.7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</row>
    <row r="193" ht="15.7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</row>
    <row r="194" ht="15.7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</row>
    <row r="195" ht="15.7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</row>
    <row r="196" ht="15.7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</row>
    <row r="197" ht="15.7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</row>
    <row r="198" ht="15.7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</row>
    <row r="199" ht="15.7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</row>
    <row r="200" ht="15.7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</row>
    <row r="201" ht="15.7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</row>
    <row r="202" ht="15.7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</row>
    <row r="203" ht="15.7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</row>
    <row r="204" ht="15.7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</row>
    <row r="205" ht="15.7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</row>
    <row r="206" ht="15.7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</row>
    <row r="207" ht="15.7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</row>
    <row r="208" ht="15.7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</row>
    <row r="209" ht="15.7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</row>
    <row r="210" ht="15.7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</row>
    <row r="211" ht="15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</row>
    <row r="212" ht="15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</row>
    <row r="213" ht="15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</row>
    <row r="214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</row>
    <row r="215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</row>
    <row r="216" ht="15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</row>
    <row r="217" ht="15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</row>
    <row r="218" ht="15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</row>
    <row r="219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</row>
    <row r="220" ht="15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</row>
  </sheetData>
  <mergeCells count="47"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CQ5:CS5"/>
    <mergeCell ref="CT5:CV5"/>
    <mergeCell ref="CW5:CY5"/>
    <mergeCell ref="DU5:DW5"/>
    <mergeCell ref="DX5:DZ5"/>
    <mergeCell ref="EA5:EC5"/>
    <mergeCell ref="ED5:EF5"/>
    <mergeCell ref="EG5:EI5"/>
    <mergeCell ref="CZ5:DB5"/>
    <mergeCell ref="DC5:DE5"/>
    <mergeCell ref="DF5:DH5"/>
    <mergeCell ref="DI5:DK5"/>
    <mergeCell ref="DL5:DN5"/>
    <mergeCell ref="DO5:DQ5"/>
    <mergeCell ref="DR5:DT5"/>
  </mergeCells>
  <conditionalFormatting sqref="J7:J20">
    <cfRule type="cellIs" dxfId="0" priority="1" operator="greaterThan">
      <formula>0</formula>
    </cfRule>
  </conditionalFormatting>
  <conditionalFormatting sqref="J7:J20">
    <cfRule type="cellIs" dxfId="1" priority="2" operator="lessThan">
      <formula>0</formula>
    </cfRule>
  </conditionalFormatting>
  <conditionalFormatting sqref="M7:M20">
    <cfRule type="cellIs" dxfId="0" priority="3" operator="greaterThan">
      <formula>0</formula>
    </cfRule>
  </conditionalFormatting>
  <conditionalFormatting sqref="M7:M20">
    <cfRule type="cellIs" dxfId="1" priority="4" operator="lessThan">
      <formula>0</formula>
    </cfRule>
  </conditionalFormatting>
  <conditionalFormatting sqref="P7:P11">
    <cfRule type="cellIs" dxfId="0" priority="5" operator="greaterThan">
      <formula>0</formula>
    </cfRule>
  </conditionalFormatting>
  <conditionalFormatting sqref="P7:P11">
    <cfRule type="cellIs" dxfId="1" priority="6" operator="lessThan">
      <formula>0</formula>
    </cfRule>
  </conditionalFormatting>
  <conditionalFormatting sqref="S7:S11">
    <cfRule type="cellIs" dxfId="0" priority="7" operator="greaterThan">
      <formula>0</formula>
    </cfRule>
  </conditionalFormatting>
  <conditionalFormatting sqref="S7:S11">
    <cfRule type="cellIs" dxfId="1" priority="8" operator="lessThan">
      <formula>0</formula>
    </cfRule>
  </conditionalFormatting>
  <conditionalFormatting sqref="V7:V11">
    <cfRule type="cellIs" dxfId="0" priority="9" operator="greaterThan">
      <formula>0</formula>
    </cfRule>
  </conditionalFormatting>
  <conditionalFormatting sqref="V7:V11">
    <cfRule type="cellIs" dxfId="1" priority="10" operator="lessThan">
      <formula>0</formula>
    </cfRule>
  </conditionalFormatting>
  <conditionalFormatting sqref="Y7:Y11">
    <cfRule type="cellIs" dxfId="0" priority="11" operator="greaterThan">
      <formula>0</formula>
    </cfRule>
  </conditionalFormatting>
  <conditionalFormatting sqref="Y7:Y11">
    <cfRule type="cellIs" dxfId="1" priority="12" operator="lessThan">
      <formula>0</formula>
    </cfRule>
  </conditionalFormatting>
  <conditionalFormatting sqref="AB7:AB11">
    <cfRule type="cellIs" dxfId="0" priority="13" operator="greaterThan">
      <formula>0</formula>
    </cfRule>
  </conditionalFormatting>
  <conditionalFormatting sqref="AB7:AB11">
    <cfRule type="cellIs" dxfId="1" priority="14" operator="lessThan">
      <formula>0</formula>
    </cfRule>
  </conditionalFormatting>
  <conditionalFormatting sqref="AE7:AE11">
    <cfRule type="cellIs" dxfId="0" priority="15" operator="greaterThan">
      <formula>0</formula>
    </cfRule>
  </conditionalFormatting>
  <conditionalFormatting sqref="AE7:AE11">
    <cfRule type="cellIs" dxfId="1" priority="16" operator="lessThan">
      <formula>0</formula>
    </cfRule>
  </conditionalFormatting>
  <conditionalFormatting sqref="AH7:AH11">
    <cfRule type="cellIs" dxfId="0" priority="17" operator="lessThan">
      <formula>0</formula>
    </cfRule>
  </conditionalFormatting>
  <conditionalFormatting sqref="AH7:AH11">
    <cfRule type="cellIs" dxfId="1" priority="18" operator="greaterThan">
      <formula>0</formula>
    </cfRule>
  </conditionalFormatting>
  <conditionalFormatting sqref="AK7:AK11">
    <cfRule type="cellIs" dxfId="0" priority="19" operator="lessThan">
      <formula>0</formula>
    </cfRule>
  </conditionalFormatting>
  <conditionalFormatting sqref="AK7:AK11">
    <cfRule type="cellIs" dxfId="1" priority="20" operator="greaterThan">
      <formula>0</formula>
    </cfRule>
  </conditionalFormatting>
  <conditionalFormatting sqref="AN7:AN11">
    <cfRule type="cellIs" dxfId="0" priority="21" operator="lessThan">
      <formula>0</formula>
    </cfRule>
  </conditionalFormatting>
  <conditionalFormatting sqref="AN7:AN11">
    <cfRule type="cellIs" dxfId="1" priority="22" operator="greaterThan">
      <formula>0</formula>
    </cfRule>
  </conditionalFormatting>
  <conditionalFormatting sqref="AZ7:AZ11">
    <cfRule type="cellIs" dxfId="0" priority="23" operator="greaterThan">
      <formula>0</formula>
    </cfRule>
  </conditionalFormatting>
  <conditionalFormatting sqref="AZ7:AZ11">
    <cfRule type="cellIs" dxfId="1" priority="24" operator="lessThan">
      <formula>0</formula>
    </cfRule>
  </conditionalFormatting>
  <conditionalFormatting sqref="BO7:BO11">
    <cfRule type="cellIs" dxfId="0" priority="25" operator="greaterThan">
      <formula>0</formula>
    </cfRule>
  </conditionalFormatting>
  <conditionalFormatting sqref="BO7:BO11">
    <cfRule type="cellIs" dxfId="1" priority="26" operator="lessThan">
      <formula>0</formula>
    </cfRule>
  </conditionalFormatting>
  <conditionalFormatting sqref="CA7:CA11">
    <cfRule type="cellIs" dxfId="0" priority="27" operator="greaterThan">
      <formula>0</formula>
    </cfRule>
  </conditionalFormatting>
  <conditionalFormatting sqref="CA7:CA11">
    <cfRule type="cellIs" dxfId="1" priority="28" operator="lessThan">
      <formula>0</formula>
    </cfRule>
  </conditionalFormatting>
  <conditionalFormatting sqref="CD7:CD11">
    <cfRule type="cellIs" dxfId="0" priority="29" operator="greaterThan">
      <formula>0</formula>
    </cfRule>
  </conditionalFormatting>
  <conditionalFormatting sqref="CD7:CD11">
    <cfRule type="cellIs" dxfId="1" priority="30" operator="lessThan">
      <formula>0</formula>
    </cfRule>
  </conditionalFormatting>
  <conditionalFormatting sqref="CG7:CG11">
    <cfRule type="cellIs" dxfId="0" priority="31" operator="greaterThan">
      <formula>0</formula>
    </cfRule>
  </conditionalFormatting>
  <conditionalFormatting sqref="CG7:CG11">
    <cfRule type="cellIs" dxfId="1" priority="32" operator="lessThan">
      <formula>0</formula>
    </cfRule>
  </conditionalFormatting>
  <conditionalFormatting sqref="CJ7:CJ11">
    <cfRule type="cellIs" dxfId="0" priority="33" operator="greaterThan">
      <formula>0</formula>
    </cfRule>
  </conditionalFormatting>
  <conditionalFormatting sqref="CJ7:CJ11">
    <cfRule type="cellIs" dxfId="1" priority="34" operator="lessThan">
      <formula>0</formula>
    </cfRule>
  </conditionalFormatting>
  <conditionalFormatting sqref="CM7:CM11">
    <cfRule type="cellIs" dxfId="0" priority="35" operator="greaterThan">
      <formula>0</formula>
    </cfRule>
  </conditionalFormatting>
  <conditionalFormatting sqref="CM7:CM11">
    <cfRule type="cellIs" dxfId="1" priority="36" operator="lessThan">
      <formula>0</formula>
    </cfRule>
  </conditionalFormatting>
  <conditionalFormatting sqref="CP7:CP11">
    <cfRule type="cellIs" dxfId="0" priority="37" operator="greaterThan">
      <formula>0</formula>
    </cfRule>
  </conditionalFormatting>
  <conditionalFormatting sqref="CP7:CP11">
    <cfRule type="cellIs" dxfId="1" priority="38" operator="lessThan">
      <formula>0</formula>
    </cfRule>
  </conditionalFormatting>
  <conditionalFormatting sqref="CS7:CS11">
    <cfRule type="cellIs" dxfId="0" priority="39" operator="greaterThan">
      <formula>0</formula>
    </cfRule>
  </conditionalFormatting>
  <conditionalFormatting sqref="CS7:CS11">
    <cfRule type="cellIs" dxfId="1" priority="40" operator="lessThan">
      <formula>0</formula>
    </cfRule>
  </conditionalFormatting>
  <conditionalFormatting sqref="CV7:CV11">
    <cfRule type="cellIs" dxfId="0" priority="41" operator="greaterThan">
      <formula>0</formula>
    </cfRule>
  </conditionalFormatting>
  <conditionalFormatting sqref="CV7:CV11">
    <cfRule type="cellIs" dxfId="1" priority="42" operator="lessThan">
      <formula>0</formula>
    </cfRule>
  </conditionalFormatting>
  <conditionalFormatting sqref="CY7:CY11">
    <cfRule type="cellIs" dxfId="0" priority="43" operator="greaterThan">
      <formula>0</formula>
    </cfRule>
  </conditionalFormatting>
  <conditionalFormatting sqref="CY7:CY11">
    <cfRule type="cellIs" dxfId="1" priority="44" operator="lessThan">
      <formula>0</formula>
    </cfRule>
  </conditionalFormatting>
  <conditionalFormatting sqref="DB7:DB11">
    <cfRule type="cellIs" dxfId="0" priority="45" operator="greaterThan">
      <formula>0</formula>
    </cfRule>
  </conditionalFormatting>
  <conditionalFormatting sqref="DB7:DB11">
    <cfRule type="cellIs" dxfId="1" priority="46" operator="lessThan">
      <formula>0</formula>
    </cfRule>
  </conditionalFormatting>
  <conditionalFormatting sqref="DE7:DE11">
    <cfRule type="cellIs" dxfId="0" priority="47" operator="lessThan">
      <formula>0</formula>
    </cfRule>
  </conditionalFormatting>
  <conditionalFormatting sqref="DE7:DE11">
    <cfRule type="cellIs" dxfId="1" priority="48" operator="greaterThan">
      <formula>0</formula>
    </cfRule>
  </conditionalFormatting>
  <conditionalFormatting sqref="DH7:DH10">
    <cfRule type="cellIs" dxfId="2" priority="49" operator="greaterThan">
      <formula>0</formula>
    </cfRule>
  </conditionalFormatting>
  <conditionalFormatting sqref="DH7:DH10">
    <cfRule type="cellIs" dxfId="3" priority="50" operator="lessThan">
      <formula>0</formula>
    </cfRule>
  </conditionalFormatting>
  <conditionalFormatting sqref="DK7:DK10">
    <cfRule type="cellIs" dxfId="2" priority="51" operator="greaterThan">
      <formula>0</formula>
    </cfRule>
  </conditionalFormatting>
  <conditionalFormatting sqref="DK7:DK10">
    <cfRule type="cellIs" dxfId="3" priority="52" operator="lessThan">
      <formula>0</formula>
    </cfRule>
  </conditionalFormatting>
  <conditionalFormatting sqref="DN7:DN10">
    <cfRule type="cellIs" dxfId="2" priority="53" operator="greaterThan">
      <formula>0</formula>
    </cfRule>
  </conditionalFormatting>
  <conditionalFormatting sqref="DN7:DN10">
    <cfRule type="cellIs" dxfId="3" priority="54" operator="lessThan">
      <formula>0</formula>
    </cfRule>
  </conditionalFormatting>
  <conditionalFormatting sqref="DQ7:DQ10">
    <cfRule type="cellIs" dxfId="2" priority="55" operator="greaterThan">
      <formula>0</formula>
    </cfRule>
  </conditionalFormatting>
  <conditionalFormatting sqref="DQ7:DQ10">
    <cfRule type="cellIs" dxfId="3" priority="56" operator="lessThan">
      <formula>0</formula>
    </cfRule>
  </conditionalFormatting>
  <conditionalFormatting sqref="DT7:DT10">
    <cfRule type="cellIs" dxfId="2" priority="57" operator="greaterThan">
      <formula>0</formula>
    </cfRule>
  </conditionalFormatting>
  <conditionalFormatting sqref="DT7:DT10">
    <cfRule type="cellIs" dxfId="3" priority="58" operator="lessThan">
      <formula>0</formula>
    </cfRule>
  </conditionalFormatting>
  <conditionalFormatting sqref="DW7:DW10">
    <cfRule type="cellIs" dxfId="2" priority="59" operator="greaterThan">
      <formula>0</formula>
    </cfRule>
  </conditionalFormatting>
  <conditionalFormatting sqref="DW7:DW10">
    <cfRule type="cellIs" dxfId="3" priority="60" operator="lessThan">
      <formula>0</formula>
    </cfRule>
  </conditionalFormatting>
  <conditionalFormatting sqref="DZ7:DZ10">
    <cfRule type="cellIs" dxfId="2" priority="61" operator="lessThan">
      <formula>0</formula>
    </cfRule>
  </conditionalFormatting>
  <conditionalFormatting sqref="DZ7:DZ10">
    <cfRule type="cellIs" dxfId="3" priority="62" operator="greaterThan">
      <formula>0</formula>
    </cfRule>
  </conditionalFormatting>
  <conditionalFormatting sqref="EC7:EC10">
    <cfRule type="cellIs" dxfId="2" priority="63" operator="greaterThan">
      <formula>0</formula>
    </cfRule>
  </conditionalFormatting>
  <conditionalFormatting sqref="EC7:EC10">
    <cfRule type="cellIs" dxfId="3" priority="64" operator="lessThan">
      <formula>0</formula>
    </cfRule>
  </conditionalFormatting>
  <conditionalFormatting sqref="EF7:EF10">
    <cfRule type="cellIs" dxfId="2" priority="65" operator="lessThan">
      <formula>0</formula>
    </cfRule>
  </conditionalFormatting>
  <conditionalFormatting sqref="EF7:EF10">
    <cfRule type="cellIs" dxfId="3" priority="66" operator="greaterThan">
      <formula>0</formula>
    </cfRule>
  </conditionalFormatting>
  <conditionalFormatting sqref="EI7:EI10">
    <cfRule type="cellIs" dxfId="2" priority="67" operator="greaterThan">
      <formula>0</formula>
    </cfRule>
  </conditionalFormatting>
  <conditionalFormatting sqref="EI7:EI10">
    <cfRule type="cellIs" dxfId="3" priority="68" operator="lessThan">
      <formula>0</formula>
    </cfRule>
  </conditionalFormatting>
  <dataValidations>
    <dataValidation type="list" allowBlank="1" sqref="B3">
      <formula1>"1-9,10-19,20-39,40-99,100+"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5.29"/>
    <col customWidth="1" min="2" max="2" width="12.0"/>
    <col customWidth="1" min="3" max="3" width="22.0"/>
    <col customWidth="1" min="4" max="5" width="12.0"/>
    <col customWidth="1" min="6" max="6" width="15.0"/>
    <col customWidth="1" min="7" max="7" width="12.0"/>
    <col customWidth="1" min="8" max="8" width="16.0"/>
    <col customWidth="1" min="9" max="9" width="12.0"/>
    <col customWidth="1" min="10" max="10" width="21.0"/>
    <col customWidth="1" min="11" max="11" width="20.0"/>
    <col customWidth="1" min="12" max="12" width="21.0"/>
    <col customWidth="1" min="13" max="16" width="12.0"/>
    <col customWidth="1" min="17" max="17" width="19.0"/>
    <col customWidth="1" min="18" max="18" width="22.0"/>
    <col customWidth="1" min="19" max="21" width="18.0"/>
    <col customWidth="1" min="22" max="22" width="14.0"/>
    <col customWidth="1" min="23" max="24" width="22.0"/>
    <col customWidth="1" min="25" max="27" width="16.0"/>
    <col customWidth="1" min="28" max="29" width="22.0"/>
    <col customWidth="1" min="30" max="34" width="18.0"/>
    <col customWidth="1" min="35" max="37" width="22.0"/>
    <col customWidth="1" min="38" max="38" width="15.0"/>
    <col customWidth="1" min="39" max="39" width="12.0"/>
  </cols>
  <sheetData>
    <row r="1">
      <c r="A1" s="111" t="s">
        <v>81</v>
      </c>
      <c r="B1" s="111" t="s">
        <v>82</v>
      </c>
      <c r="C1" s="111" t="s">
        <v>83</v>
      </c>
      <c r="D1" s="111" t="s">
        <v>84</v>
      </c>
      <c r="E1" s="111" t="s">
        <v>85</v>
      </c>
      <c r="F1" s="111" t="s">
        <v>86</v>
      </c>
      <c r="G1" s="111" t="s">
        <v>87</v>
      </c>
      <c r="H1" s="111" t="s">
        <v>88</v>
      </c>
      <c r="I1" s="111" t="s">
        <v>89</v>
      </c>
      <c r="J1" s="111" t="s">
        <v>90</v>
      </c>
      <c r="K1" s="111" t="s">
        <v>91</v>
      </c>
      <c r="L1" s="111" t="s">
        <v>92</v>
      </c>
      <c r="M1" s="111" t="s">
        <v>93</v>
      </c>
      <c r="N1" s="111" t="s">
        <v>94</v>
      </c>
      <c r="O1" s="111" t="s">
        <v>95</v>
      </c>
      <c r="P1" s="111" t="s">
        <v>96</v>
      </c>
      <c r="Q1" s="111" t="s">
        <v>97</v>
      </c>
      <c r="R1" s="111" t="s">
        <v>98</v>
      </c>
      <c r="S1" s="111" t="s">
        <v>99</v>
      </c>
      <c r="T1" s="111" t="s">
        <v>100</v>
      </c>
      <c r="U1" s="111" t="s">
        <v>101</v>
      </c>
      <c r="V1" s="111" t="s">
        <v>102</v>
      </c>
      <c r="W1" s="111" t="s">
        <v>103</v>
      </c>
      <c r="X1" s="111" t="s">
        <v>104</v>
      </c>
      <c r="Y1" s="111" t="s">
        <v>105</v>
      </c>
      <c r="Z1" s="111" t="s">
        <v>106</v>
      </c>
      <c r="AA1" s="111" t="s">
        <v>107</v>
      </c>
      <c r="AB1" s="111" t="s">
        <v>108</v>
      </c>
      <c r="AC1" s="111" t="s">
        <v>109</v>
      </c>
      <c r="AD1" s="111" t="s">
        <v>110</v>
      </c>
      <c r="AE1" s="111" t="s">
        <v>111</v>
      </c>
      <c r="AF1" s="111" t="s">
        <v>112</v>
      </c>
      <c r="AG1" s="111" t="s">
        <v>113</v>
      </c>
      <c r="AH1" s="111" t="s">
        <v>114</v>
      </c>
      <c r="AI1" s="111" t="s">
        <v>115</v>
      </c>
      <c r="AJ1" s="111" t="s">
        <v>116</v>
      </c>
      <c r="AK1" s="111" t="s">
        <v>117</v>
      </c>
      <c r="AL1" s="111" t="s">
        <v>118</v>
      </c>
      <c r="AM1" s="111" t="s">
        <v>119</v>
      </c>
      <c r="AN1" s="111" t="s">
        <v>120</v>
      </c>
      <c r="AO1" s="111" t="s">
        <v>121</v>
      </c>
      <c r="AP1" s="111" t="s">
        <v>122</v>
      </c>
      <c r="AQ1" s="111" t="s">
        <v>123</v>
      </c>
      <c r="AR1" s="111" t="s">
        <v>124</v>
      </c>
      <c r="AS1" s="111" t="s">
        <v>125</v>
      </c>
      <c r="AT1" s="111" t="s">
        <v>126</v>
      </c>
      <c r="AU1" s="111" t="s">
        <v>127</v>
      </c>
    </row>
    <row r="2">
      <c r="A2" s="112">
        <v>46175.0</v>
      </c>
      <c r="B2" s="113" t="s">
        <v>8</v>
      </c>
      <c r="C2" s="113" t="s">
        <v>128</v>
      </c>
      <c r="D2" s="113">
        <v>10416.0</v>
      </c>
      <c r="E2" s="113">
        <v>16.32</v>
      </c>
      <c r="F2" s="113">
        <v>48.15</v>
      </c>
      <c r="G2" s="113">
        <v>0.0046</v>
      </c>
      <c r="H2" s="113">
        <v>0.12</v>
      </c>
      <c r="I2" s="113">
        <v>4.0125</v>
      </c>
      <c r="J2" s="113">
        <v>7.51</v>
      </c>
      <c r="K2" s="113">
        <v>3.21</v>
      </c>
      <c r="L2" s="113">
        <v>0.09</v>
      </c>
      <c r="M2" s="113">
        <v>0.0295</v>
      </c>
      <c r="N2" s="113">
        <v>0.9753</v>
      </c>
      <c r="O2" s="113">
        <v>0.6927</v>
      </c>
      <c r="P2" s="113">
        <v>33.8634</v>
      </c>
      <c r="Q2" s="113">
        <v>25.68</v>
      </c>
      <c r="R2" s="113">
        <v>25.58</v>
      </c>
      <c r="S2" s="113">
        <v>0.1</v>
      </c>
      <c r="T2" s="113">
        <v>0.32</v>
      </c>
      <c r="U2" s="113">
        <v>25.36</v>
      </c>
      <c r="V2" s="113">
        <v>2.53</v>
      </c>
      <c r="W2" s="113">
        <v>0.7876</v>
      </c>
      <c r="X2" s="113">
        <v>1.23</v>
      </c>
      <c r="Y2" s="113">
        <v>205.0</v>
      </c>
      <c r="Z2" s="113">
        <v>2502.0</v>
      </c>
      <c r="AA2" s="113">
        <v>13080.0</v>
      </c>
      <c r="AB2" s="113">
        <v>49.2969</v>
      </c>
      <c r="AC2" s="113">
        <v>0.5161</v>
      </c>
      <c r="AD2" s="114"/>
      <c r="AE2" s="114"/>
      <c r="AF2" s="114"/>
      <c r="AG2" s="114"/>
      <c r="AH2" s="114"/>
      <c r="AI2" s="113">
        <v>0.0</v>
      </c>
      <c r="AJ2" s="113">
        <v>0.0</v>
      </c>
      <c r="AK2" s="113">
        <v>0.0</v>
      </c>
      <c r="AL2" s="113">
        <v>0.2529</v>
      </c>
      <c r="AM2" s="114"/>
      <c r="AQ2" s="115">
        <v>1.041</v>
      </c>
      <c r="AR2" s="115">
        <v>0.0044</v>
      </c>
      <c r="AS2" s="115">
        <v>1.0366</v>
      </c>
      <c r="AT2" s="115">
        <v>0.418</v>
      </c>
      <c r="AU2" s="115">
        <v>0.1301</v>
      </c>
    </row>
    <row r="3">
      <c r="A3" s="112">
        <v>46175.0</v>
      </c>
      <c r="B3" s="113" t="s">
        <v>8</v>
      </c>
      <c r="C3" s="113" t="s">
        <v>129</v>
      </c>
      <c r="D3" s="113">
        <v>23861.0</v>
      </c>
      <c r="E3" s="113">
        <v>37.38</v>
      </c>
      <c r="F3" s="113">
        <v>2234.81</v>
      </c>
      <c r="G3" s="113">
        <v>0.0937</v>
      </c>
      <c r="H3" s="113">
        <v>2.95</v>
      </c>
      <c r="I3" s="113">
        <v>3.179</v>
      </c>
      <c r="J3" s="113">
        <v>32.5</v>
      </c>
      <c r="K3" s="113">
        <v>15.59</v>
      </c>
      <c r="L3" s="113">
        <v>5.51</v>
      </c>
      <c r="M3" s="113">
        <v>0.3536</v>
      </c>
      <c r="N3" s="113">
        <v>0.767</v>
      </c>
      <c r="O3" s="113">
        <v>0.5558</v>
      </c>
      <c r="P3" s="113">
        <v>2.8281</v>
      </c>
      <c r="Q3" s="113">
        <v>61.06</v>
      </c>
      <c r="R3" s="113">
        <v>49.38</v>
      </c>
      <c r="S3" s="113">
        <v>11.69</v>
      </c>
      <c r="T3" s="113">
        <v>5.94</v>
      </c>
      <c r="U3" s="113">
        <v>55.12</v>
      </c>
      <c r="V3" s="113">
        <v>64.9</v>
      </c>
      <c r="W3" s="113">
        <v>4.1627</v>
      </c>
      <c r="X3" s="113">
        <v>9.73</v>
      </c>
      <c r="Y3" s="113">
        <v>108.0</v>
      </c>
      <c r="Z3" s="113">
        <v>429.0</v>
      </c>
      <c r="AA3" s="113">
        <v>3102.0</v>
      </c>
      <c r="AB3" s="113">
        <v>48.9324</v>
      </c>
      <c r="AC3" s="113">
        <v>0.4647</v>
      </c>
      <c r="AD3" s="113">
        <v>3.79</v>
      </c>
      <c r="AE3" s="113">
        <v>1.0</v>
      </c>
      <c r="AF3" s="113">
        <v>2.0</v>
      </c>
      <c r="AG3" s="113">
        <v>5.0</v>
      </c>
      <c r="AH3" s="113">
        <v>9.0</v>
      </c>
      <c r="AI3" s="113">
        <v>70.61</v>
      </c>
      <c r="AJ3" s="113">
        <v>27.61</v>
      </c>
      <c r="AK3" s="113">
        <v>8.0</v>
      </c>
      <c r="AL3" s="113">
        <v>0.198</v>
      </c>
      <c r="AM3" s="114"/>
      <c r="AQ3" s="115">
        <v>3.0801</v>
      </c>
      <c r="AR3" s="115">
        <v>0.0653</v>
      </c>
      <c r="AS3" s="115">
        <v>3.0148</v>
      </c>
      <c r="AT3" s="115">
        <v>3.2857</v>
      </c>
      <c r="AU3" s="115">
        <v>0.2108</v>
      </c>
    </row>
    <row r="4">
      <c r="A4" s="112">
        <v>46175.0</v>
      </c>
      <c r="B4" s="113" t="s">
        <v>8</v>
      </c>
      <c r="C4" s="113" t="s">
        <v>130</v>
      </c>
      <c r="D4" s="113">
        <v>16448.0</v>
      </c>
      <c r="E4" s="113">
        <v>25.77</v>
      </c>
      <c r="F4" s="113">
        <v>6859.14</v>
      </c>
      <c r="G4" s="113">
        <v>0.417</v>
      </c>
      <c r="H4" s="113">
        <v>8.23</v>
      </c>
      <c r="I4" s="113">
        <v>5.0696</v>
      </c>
      <c r="J4" s="113">
        <v>59.93</v>
      </c>
      <c r="K4" s="113">
        <v>29.83</v>
      </c>
      <c r="L4" s="113">
        <v>14.74</v>
      </c>
      <c r="M4" s="113">
        <v>0.4942</v>
      </c>
      <c r="N4" s="113">
        <v>0.6496</v>
      </c>
      <c r="O4" s="113">
        <v>0.4296</v>
      </c>
      <c r="P4" s="113">
        <v>2.0233</v>
      </c>
      <c r="Q4" s="113">
        <v>133.12</v>
      </c>
      <c r="R4" s="113">
        <v>103.89</v>
      </c>
      <c r="S4" s="113">
        <v>29.22</v>
      </c>
      <c r="T4" s="113">
        <v>26.37</v>
      </c>
      <c r="U4" s="113">
        <v>106.75</v>
      </c>
      <c r="V4" s="113">
        <v>137.69</v>
      </c>
      <c r="W4" s="113">
        <v>4.6163</v>
      </c>
      <c r="X4" s="113">
        <v>19.81</v>
      </c>
      <c r="Y4" s="113">
        <v>102.0</v>
      </c>
      <c r="Z4" s="113">
        <v>393.0</v>
      </c>
      <c r="AA4" s="113">
        <v>3071.0</v>
      </c>
      <c r="AB4" s="113">
        <v>52.0271</v>
      </c>
      <c r="AC4" s="113">
        <v>0.5399</v>
      </c>
      <c r="AD4" s="113">
        <v>9.01</v>
      </c>
      <c r="AE4" s="113">
        <v>3.0</v>
      </c>
      <c r="AF4" s="113">
        <v>7.0</v>
      </c>
      <c r="AG4" s="113">
        <v>12.0</v>
      </c>
      <c r="AH4" s="113">
        <v>19.0</v>
      </c>
      <c r="AI4" s="113">
        <v>57.79</v>
      </c>
      <c r="AJ4" s="113">
        <v>24.82</v>
      </c>
      <c r="AK4" s="113">
        <v>4.33</v>
      </c>
      <c r="AL4" s="113">
        <v>0.1485</v>
      </c>
      <c r="AM4" s="114"/>
      <c r="AQ4" s="115">
        <v>6.2856</v>
      </c>
      <c r="AR4" s="115">
        <v>0.318</v>
      </c>
      <c r="AS4" s="115">
        <v>5.9675</v>
      </c>
      <c r="AT4" s="115">
        <v>6.6413</v>
      </c>
      <c r="AU4" s="115">
        <v>0.2227</v>
      </c>
    </row>
    <row r="5">
      <c r="A5" s="112">
        <v>46175.0</v>
      </c>
      <c r="B5" s="113" t="s">
        <v>8</v>
      </c>
      <c r="C5" s="113" t="s">
        <v>131</v>
      </c>
      <c r="D5" s="113">
        <v>9086.0</v>
      </c>
      <c r="E5" s="113">
        <v>14.23</v>
      </c>
      <c r="F5" s="113">
        <v>9123.01</v>
      </c>
      <c r="G5" s="113">
        <v>1.0041</v>
      </c>
      <c r="H5" s="113">
        <v>12.32</v>
      </c>
      <c r="I5" s="113">
        <v>8.1528</v>
      </c>
      <c r="J5" s="113">
        <v>88.01</v>
      </c>
      <c r="K5" s="113">
        <v>46.37</v>
      </c>
      <c r="L5" s="113">
        <v>29.57</v>
      </c>
      <c r="M5" s="113">
        <v>0.6377</v>
      </c>
      <c r="N5" s="113">
        <v>0.5143</v>
      </c>
      <c r="O5" s="113">
        <v>0.3295</v>
      </c>
      <c r="P5" s="113">
        <v>1.5681</v>
      </c>
      <c r="Q5" s="113">
        <v>251.87</v>
      </c>
      <c r="R5" s="113">
        <v>196.88</v>
      </c>
      <c r="S5" s="113">
        <v>54.99</v>
      </c>
      <c r="T5" s="113">
        <v>62.1</v>
      </c>
      <c r="U5" s="113">
        <v>189.77</v>
      </c>
      <c r="V5" s="113">
        <v>257.75</v>
      </c>
      <c r="W5" s="113">
        <v>5.559</v>
      </c>
      <c r="X5" s="113">
        <v>24.66</v>
      </c>
      <c r="Y5" s="113">
        <v>127.0</v>
      </c>
      <c r="Z5" s="113">
        <v>553.0</v>
      </c>
      <c r="AA5" s="113">
        <v>4298.0</v>
      </c>
      <c r="AB5" s="113">
        <v>55.2038</v>
      </c>
      <c r="AC5" s="113">
        <v>0.6432</v>
      </c>
      <c r="AD5" s="113">
        <v>17.3</v>
      </c>
      <c r="AE5" s="113">
        <v>6.0</v>
      </c>
      <c r="AF5" s="113">
        <v>13.0</v>
      </c>
      <c r="AG5" s="113">
        <v>24.0</v>
      </c>
      <c r="AH5" s="113">
        <v>36.0</v>
      </c>
      <c r="AI5" s="113">
        <v>58.53</v>
      </c>
      <c r="AJ5" s="113">
        <v>22.49</v>
      </c>
      <c r="AK5" s="113">
        <v>6.69</v>
      </c>
      <c r="AL5" s="113">
        <v>0.1381</v>
      </c>
      <c r="AM5" s="114"/>
      <c r="AQ5" s="115">
        <v>9.9614</v>
      </c>
      <c r="AR5" s="115">
        <v>0.7535</v>
      </c>
      <c r="AS5" s="115">
        <v>9.2079</v>
      </c>
      <c r="AT5" s="115">
        <v>10.5187</v>
      </c>
      <c r="AU5" s="115">
        <v>0.2269</v>
      </c>
    </row>
    <row r="6">
      <c r="A6" s="112">
        <v>46175.0</v>
      </c>
      <c r="B6" s="113" t="s">
        <v>8</v>
      </c>
      <c r="C6" s="113" t="s">
        <v>132</v>
      </c>
      <c r="D6" s="113">
        <v>3626.0</v>
      </c>
      <c r="E6" s="113">
        <v>5.68</v>
      </c>
      <c r="F6" s="113">
        <v>7886.68</v>
      </c>
      <c r="G6" s="113">
        <v>2.175</v>
      </c>
      <c r="H6" s="113">
        <v>16.99</v>
      </c>
      <c r="I6" s="113">
        <v>12.8031</v>
      </c>
      <c r="J6" s="113">
        <v>135.02</v>
      </c>
      <c r="K6" s="113">
        <v>75.33</v>
      </c>
      <c r="L6" s="113">
        <v>55.9</v>
      </c>
      <c r="M6" s="113">
        <v>0.7421</v>
      </c>
      <c r="N6" s="113">
        <v>0.4069</v>
      </c>
      <c r="O6" s="113">
        <v>0.2693</v>
      </c>
      <c r="P6" s="113">
        <v>1.3476</v>
      </c>
      <c r="Q6" s="113">
        <v>475.53</v>
      </c>
      <c r="R6" s="113">
        <v>357.96</v>
      </c>
      <c r="S6" s="113">
        <v>117.57</v>
      </c>
      <c r="T6" s="113">
        <v>133.19</v>
      </c>
      <c r="U6" s="113">
        <v>342.34</v>
      </c>
      <c r="V6" s="113">
        <v>473.63</v>
      </c>
      <c r="W6" s="113">
        <v>6.2872</v>
      </c>
      <c r="X6" s="113">
        <v>28.01</v>
      </c>
      <c r="Y6" s="113">
        <v>166.0</v>
      </c>
      <c r="Z6" s="113">
        <v>1026.0</v>
      </c>
      <c r="AA6" s="113">
        <v>6381.0</v>
      </c>
      <c r="AB6" s="113">
        <v>59.0214</v>
      </c>
      <c r="AC6" s="113">
        <v>0.784</v>
      </c>
      <c r="AD6" s="113">
        <v>37.67</v>
      </c>
      <c r="AE6" s="113">
        <v>14.0</v>
      </c>
      <c r="AF6" s="113">
        <v>29.0</v>
      </c>
      <c r="AG6" s="113">
        <v>53.0</v>
      </c>
      <c r="AH6" s="113">
        <v>80.0</v>
      </c>
      <c r="AI6" s="113">
        <v>51.77</v>
      </c>
      <c r="AJ6" s="113">
        <v>19.86</v>
      </c>
      <c r="AK6" s="113">
        <v>4.99</v>
      </c>
      <c r="AL6" s="113">
        <v>0.104</v>
      </c>
      <c r="AM6" s="114"/>
      <c r="AQ6" s="115">
        <v>16.4622</v>
      </c>
      <c r="AR6" s="115">
        <v>1.741</v>
      </c>
      <c r="AS6" s="115">
        <v>14.7212</v>
      </c>
      <c r="AT6" s="115">
        <v>18.6696</v>
      </c>
      <c r="AU6" s="115">
        <v>0.2478</v>
      </c>
    </row>
    <row r="7">
      <c r="A7" s="112">
        <v>46175.0</v>
      </c>
      <c r="B7" s="113" t="s">
        <v>8</v>
      </c>
      <c r="C7" s="113" t="s">
        <v>133</v>
      </c>
      <c r="D7" s="113">
        <v>393.0</v>
      </c>
      <c r="E7" s="113">
        <v>0.62</v>
      </c>
      <c r="F7" s="113">
        <v>1683.27</v>
      </c>
      <c r="G7" s="113">
        <v>4.2831</v>
      </c>
      <c r="H7" s="113">
        <v>17.3</v>
      </c>
      <c r="I7" s="113">
        <v>24.754</v>
      </c>
      <c r="J7" s="113">
        <v>252.19</v>
      </c>
      <c r="K7" s="113">
        <v>150.67</v>
      </c>
      <c r="L7" s="113">
        <v>130.84</v>
      </c>
      <c r="M7" s="113">
        <v>0.8684</v>
      </c>
      <c r="N7" s="113">
        <v>0.2715</v>
      </c>
      <c r="O7" s="113">
        <v>0.1973</v>
      </c>
      <c r="P7" s="113">
        <v>1.1515</v>
      </c>
      <c r="Q7" s="113">
        <v>902.74</v>
      </c>
      <c r="R7" s="113">
        <v>626.33</v>
      </c>
      <c r="S7" s="113">
        <v>276.41</v>
      </c>
      <c r="T7" s="113">
        <v>256.49</v>
      </c>
      <c r="U7" s="113">
        <v>646.25</v>
      </c>
      <c r="V7" s="113">
        <v>959.16</v>
      </c>
      <c r="W7" s="113">
        <v>6.3659</v>
      </c>
      <c r="X7" s="113">
        <v>28.41</v>
      </c>
      <c r="Y7" s="113">
        <v>373.0</v>
      </c>
      <c r="Z7" s="113">
        <v>2669.0</v>
      </c>
      <c r="AA7" s="113">
        <v>9109.0</v>
      </c>
      <c r="AB7" s="113">
        <v>63.1483</v>
      </c>
      <c r="AC7" s="113">
        <v>0.8921</v>
      </c>
      <c r="AD7" s="113">
        <v>90.28</v>
      </c>
      <c r="AE7" s="113">
        <v>44.0</v>
      </c>
      <c r="AF7" s="113">
        <v>79.0</v>
      </c>
      <c r="AG7" s="113">
        <v>126.0</v>
      </c>
      <c r="AH7" s="113">
        <v>179.0</v>
      </c>
      <c r="AI7" s="113">
        <v>49.36</v>
      </c>
      <c r="AJ7" s="113">
        <v>10.69</v>
      </c>
      <c r="AK7" s="113">
        <v>0.51</v>
      </c>
      <c r="AL7" s="113">
        <v>0.0763</v>
      </c>
      <c r="AM7" s="114"/>
      <c r="AQ7" s="115">
        <v>32.3104</v>
      </c>
      <c r="AR7" s="115">
        <v>4.4326</v>
      </c>
      <c r="AS7" s="115">
        <v>27.8779</v>
      </c>
      <c r="AT7" s="115">
        <v>32.5267</v>
      </c>
      <c r="AU7" s="115">
        <v>0.2159</v>
      </c>
    </row>
    <row r="8">
      <c r="A8" s="112">
        <v>46175.0</v>
      </c>
      <c r="B8" s="113" t="s">
        <v>9</v>
      </c>
      <c r="C8" s="113" t="s">
        <v>128</v>
      </c>
      <c r="D8" s="113">
        <v>10277.0</v>
      </c>
      <c r="E8" s="113">
        <v>16.18</v>
      </c>
      <c r="F8" s="113">
        <v>73.47</v>
      </c>
      <c r="G8" s="113">
        <v>0.0071</v>
      </c>
      <c r="H8" s="113">
        <v>0.07</v>
      </c>
      <c r="I8" s="113">
        <v>10.4957</v>
      </c>
      <c r="J8" s="113">
        <v>7.76</v>
      </c>
      <c r="K8" s="113">
        <v>3.38</v>
      </c>
      <c r="L8" s="113">
        <v>0.16</v>
      </c>
      <c r="M8" s="113">
        <v>0.048</v>
      </c>
      <c r="N8" s="113">
        <v>0.958</v>
      </c>
      <c r="O8" s="113">
        <v>0.5797</v>
      </c>
      <c r="P8" s="113">
        <v>20.8423</v>
      </c>
      <c r="Q8" s="113">
        <v>26.42</v>
      </c>
      <c r="R8" s="113">
        <v>26.34</v>
      </c>
      <c r="S8" s="113">
        <v>0.08</v>
      </c>
      <c r="T8" s="113">
        <v>0.98</v>
      </c>
      <c r="U8" s="113">
        <v>25.44</v>
      </c>
      <c r="V8" s="113">
        <v>2.83</v>
      </c>
      <c r="W8" s="113">
        <v>0.837</v>
      </c>
      <c r="X8" s="113">
        <v>3.71</v>
      </c>
      <c r="Y8" s="113">
        <v>226.0</v>
      </c>
      <c r="Z8" s="113">
        <v>2506.0</v>
      </c>
      <c r="AA8" s="113">
        <v>12289.0</v>
      </c>
      <c r="AB8" s="113">
        <v>49.3329</v>
      </c>
      <c r="AC8" s="113">
        <v>0.515</v>
      </c>
      <c r="AD8" s="114"/>
      <c r="AE8" s="114"/>
      <c r="AF8" s="114"/>
      <c r="AG8" s="114"/>
      <c r="AH8" s="114"/>
      <c r="AI8" s="113">
        <v>0.0</v>
      </c>
      <c r="AJ8" s="113">
        <v>0.0</v>
      </c>
      <c r="AK8" s="113">
        <v>0.0</v>
      </c>
      <c r="AL8" s="113">
        <v>0.2363</v>
      </c>
      <c r="AM8" s="113">
        <v>0.0</v>
      </c>
      <c r="AN8" s="115">
        <v>0.0</v>
      </c>
      <c r="AO8" s="115">
        <v>0.0</v>
      </c>
      <c r="AP8" s="115">
        <v>0.0</v>
      </c>
      <c r="AQ8" s="115">
        <v>1.0713</v>
      </c>
      <c r="AR8" s="115">
        <v>0.0032</v>
      </c>
      <c r="AS8" s="115">
        <v>1.0681</v>
      </c>
      <c r="AT8" s="115">
        <v>0.4228</v>
      </c>
      <c r="AU8" s="115">
        <v>0.125</v>
      </c>
    </row>
    <row r="9">
      <c r="A9" s="112">
        <v>46175.0</v>
      </c>
      <c r="B9" s="113" t="s">
        <v>9</v>
      </c>
      <c r="C9" s="113" t="s">
        <v>129</v>
      </c>
      <c r="D9" s="113">
        <v>23582.0</v>
      </c>
      <c r="E9" s="113">
        <v>37.12</v>
      </c>
      <c r="F9" s="113">
        <v>2421.33</v>
      </c>
      <c r="G9" s="113">
        <v>0.1027</v>
      </c>
      <c r="H9" s="113">
        <v>3.1</v>
      </c>
      <c r="I9" s="113">
        <v>3.3124</v>
      </c>
      <c r="J9" s="113">
        <v>32.88</v>
      </c>
      <c r="K9" s="113">
        <v>15.9</v>
      </c>
      <c r="L9" s="113">
        <v>5.57</v>
      </c>
      <c r="M9" s="113">
        <v>0.3502</v>
      </c>
      <c r="N9" s="113">
        <v>0.7675</v>
      </c>
      <c r="O9" s="113">
        <v>0.5554</v>
      </c>
      <c r="P9" s="113">
        <v>2.8557</v>
      </c>
      <c r="Q9" s="113">
        <v>55.72</v>
      </c>
      <c r="R9" s="113">
        <v>49.22</v>
      </c>
      <c r="S9" s="113">
        <v>6.5</v>
      </c>
      <c r="T9" s="113">
        <v>6.5</v>
      </c>
      <c r="U9" s="113">
        <v>49.22</v>
      </c>
      <c r="V9" s="113">
        <v>63.92</v>
      </c>
      <c r="W9" s="113">
        <v>4.0203</v>
      </c>
      <c r="X9" s="113">
        <v>11.67</v>
      </c>
      <c r="Y9" s="113">
        <v>103.0</v>
      </c>
      <c r="Z9" s="113">
        <v>379.0</v>
      </c>
      <c r="AA9" s="113">
        <v>2918.0</v>
      </c>
      <c r="AB9" s="113">
        <v>48.9706</v>
      </c>
      <c r="AC9" s="113">
        <v>0.4664</v>
      </c>
      <c r="AD9" s="113">
        <v>3.81</v>
      </c>
      <c r="AE9" s="113">
        <v>1.0</v>
      </c>
      <c r="AF9" s="113">
        <v>2.0</v>
      </c>
      <c r="AG9" s="113">
        <v>5.0</v>
      </c>
      <c r="AH9" s="113">
        <v>9.0</v>
      </c>
      <c r="AI9" s="113">
        <v>71.03</v>
      </c>
      <c r="AJ9" s="113">
        <v>28.14</v>
      </c>
      <c r="AK9" s="113">
        <v>8.17</v>
      </c>
      <c r="AL9" s="113">
        <v>0.2</v>
      </c>
      <c r="AM9" s="113">
        <v>0.01</v>
      </c>
      <c r="AN9" s="115">
        <v>0.01</v>
      </c>
      <c r="AO9" s="115">
        <v>0.0</v>
      </c>
      <c r="AP9" s="115">
        <v>0.0</v>
      </c>
      <c r="AQ9" s="115">
        <v>3.1253</v>
      </c>
      <c r="AR9" s="115">
        <v>0.0743</v>
      </c>
      <c r="AS9" s="115">
        <v>3.051</v>
      </c>
      <c r="AT9" s="115">
        <v>3.3705</v>
      </c>
      <c r="AU9" s="115">
        <v>0.212</v>
      </c>
    </row>
    <row r="10">
      <c r="A10" s="112">
        <v>46175.0</v>
      </c>
      <c r="B10" s="113" t="s">
        <v>9</v>
      </c>
      <c r="C10" s="113" t="s">
        <v>130</v>
      </c>
      <c r="D10" s="113">
        <v>16522.0</v>
      </c>
      <c r="E10" s="113">
        <v>26.01</v>
      </c>
      <c r="F10" s="113">
        <v>6230.7</v>
      </c>
      <c r="G10" s="113">
        <v>0.3771</v>
      </c>
      <c r="H10" s="113">
        <v>7.93</v>
      </c>
      <c r="I10" s="113">
        <v>4.7563</v>
      </c>
      <c r="J10" s="113">
        <v>59.74</v>
      </c>
      <c r="K10" s="113">
        <v>29.95</v>
      </c>
      <c r="L10" s="113">
        <v>14.64</v>
      </c>
      <c r="M10" s="113">
        <v>0.4888</v>
      </c>
      <c r="N10" s="113">
        <v>0.6528</v>
      </c>
      <c r="O10" s="113">
        <v>0.4288</v>
      </c>
      <c r="P10" s="113">
        <v>2.0458</v>
      </c>
      <c r="Q10" s="113">
        <v>116.38</v>
      </c>
      <c r="R10" s="113">
        <v>99.11</v>
      </c>
      <c r="S10" s="113">
        <v>17.27</v>
      </c>
      <c r="T10" s="113">
        <v>22.87</v>
      </c>
      <c r="U10" s="113">
        <v>93.51</v>
      </c>
      <c r="V10" s="113">
        <v>128.2</v>
      </c>
      <c r="W10" s="113">
        <v>4.2804</v>
      </c>
      <c r="X10" s="113">
        <v>19.65</v>
      </c>
      <c r="Y10" s="113">
        <v>100.0</v>
      </c>
      <c r="Z10" s="113">
        <v>375.0</v>
      </c>
      <c r="AA10" s="113">
        <v>2880.0</v>
      </c>
      <c r="AB10" s="113">
        <v>52.0477</v>
      </c>
      <c r="AC10" s="113">
        <v>0.5423</v>
      </c>
      <c r="AD10" s="113">
        <v>9.04</v>
      </c>
      <c r="AE10" s="113">
        <v>3.0</v>
      </c>
      <c r="AF10" s="113">
        <v>7.0</v>
      </c>
      <c r="AG10" s="113">
        <v>12.0</v>
      </c>
      <c r="AH10" s="113">
        <v>19.0</v>
      </c>
      <c r="AI10" s="113">
        <v>57.37</v>
      </c>
      <c r="AJ10" s="113">
        <v>24.75</v>
      </c>
      <c r="AK10" s="113">
        <v>4.54</v>
      </c>
      <c r="AL10" s="113">
        <v>0.1562</v>
      </c>
      <c r="AM10" s="113">
        <v>0.0</v>
      </c>
      <c r="AN10" s="115">
        <v>0.0</v>
      </c>
      <c r="AO10" s="115">
        <v>0.0</v>
      </c>
      <c r="AP10" s="115">
        <v>0.0</v>
      </c>
      <c r="AQ10" s="115">
        <v>6.2557</v>
      </c>
      <c r="AR10" s="115">
        <v>0.278</v>
      </c>
      <c r="AS10" s="115">
        <v>5.9777</v>
      </c>
      <c r="AT10" s="115">
        <v>6.6005</v>
      </c>
      <c r="AU10" s="115">
        <v>0.2204</v>
      </c>
    </row>
    <row r="11">
      <c r="A11" s="112">
        <v>46175.0</v>
      </c>
      <c r="B11" s="113" t="s">
        <v>9</v>
      </c>
      <c r="C11" s="113" t="s">
        <v>131</v>
      </c>
      <c r="D11" s="113">
        <v>9217.0</v>
      </c>
      <c r="E11" s="113">
        <v>14.51</v>
      </c>
      <c r="F11" s="113">
        <v>9468.57</v>
      </c>
      <c r="G11" s="113">
        <v>1.0273</v>
      </c>
      <c r="H11" s="113">
        <v>12.53</v>
      </c>
      <c r="I11" s="113">
        <v>8.1979</v>
      </c>
      <c r="J11" s="113">
        <v>90.78</v>
      </c>
      <c r="K11" s="113">
        <v>48.54</v>
      </c>
      <c r="L11" s="113">
        <v>30.16</v>
      </c>
      <c r="M11" s="113">
        <v>0.6213</v>
      </c>
      <c r="N11" s="113">
        <v>0.5244</v>
      </c>
      <c r="O11" s="113">
        <v>0.3326</v>
      </c>
      <c r="P11" s="113">
        <v>1.6095</v>
      </c>
      <c r="Q11" s="113">
        <v>234.22</v>
      </c>
      <c r="R11" s="113">
        <v>200.24</v>
      </c>
      <c r="S11" s="113">
        <v>33.99</v>
      </c>
      <c r="T11" s="113">
        <v>63.94</v>
      </c>
      <c r="U11" s="113">
        <v>170.29</v>
      </c>
      <c r="V11" s="113">
        <v>246.63</v>
      </c>
      <c r="W11" s="113">
        <v>5.0809</v>
      </c>
      <c r="X11" s="113">
        <v>27.3</v>
      </c>
      <c r="Y11" s="113">
        <v>109.0</v>
      </c>
      <c r="Z11" s="113">
        <v>541.0</v>
      </c>
      <c r="AA11" s="113">
        <v>4200.0</v>
      </c>
      <c r="AB11" s="113">
        <v>55.0594</v>
      </c>
      <c r="AC11" s="113">
        <v>0.6357</v>
      </c>
      <c r="AD11" s="113">
        <v>16.98</v>
      </c>
      <c r="AE11" s="113">
        <v>6.0</v>
      </c>
      <c r="AF11" s="113">
        <v>13.0</v>
      </c>
      <c r="AG11" s="113">
        <v>24.0</v>
      </c>
      <c r="AH11" s="113">
        <v>36.0</v>
      </c>
      <c r="AI11" s="113">
        <v>57.9</v>
      </c>
      <c r="AJ11" s="113">
        <v>21.97</v>
      </c>
      <c r="AK11" s="113">
        <v>6.02</v>
      </c>
      <c r="AL11" s="113">
        <v>0.1292</v>
      </c>
      <c r="AM11" s="113">
        <v>0.0</v>
      </c>
      <c r="AN11" s="115">
        <v>0.0</v>
      </c>
      <c r="AO11" s="115">
        <v>0.0</v>
      </c>
      <c r="AP11" s="115">
        <v>0.0</v>
      </c>
      <c r="AQ11" s="115">
        <v>10.0301</v>
      </c>
      <c r="AR11" s="115">
        <v>0.7613</v>
      </c>
      <c r="AS11" s="115">
        <v>9.2687</v>
      </c>
      <c r="AT11" s="115">
        <v>10.8396</v>
      </c>
      <c r="AU11" s="115">
        <v>0.2233</v>
      </c>
    </row>
    <row r="12">
      <c r="A12" s="112">
        <v>46175.0</v>
      </c>
      <c r="B12" s="113" t="s">
        <v>9</v>
      </c>
      <c r="C12" s="113" t="s">
        <v>132</v>
      </c>
      <c r="D12" s="113">
        <v>3539.0</v>
      </c>
      <c r="E12" s="113">
        <v>5.57</v>
      </c>
      <c r="F12" s="113">
        <v>8153.18</v>
      </c>
      <c r="G12" s="113">
        <v>2.3038</v>
      </c>
      <c r="H12" s="113">
        <v>16.76</v>
      </c>
      <c r="I12" s="113">
        <v>13.749</v>
      </c>
      <c r="J12" s="113">
        <v>135.11</v>
      </c>
      <c r="K12" s="113">
        <v>75.49</v>
      </c>
      <c r="L12" s="113">
        <v>56.07</v>
      </c>
      <c r="M12" s="113">
        <v>0.7428</v>
      </c>
      <c r="N12" s="113">
        <v>0.4075</v>
      </c>
      <c r="O12" s="113">
        <v>0.2693</v>
      </c>
      <c r="P12" s="113">
        <v>1.3463</v>
      </c>
      <c r="Q12" s="113">
        <v>443.43</v>
      </c>
      <c r="R12" s="113">
        <v>368.63</v>
      </c>
      <c r="S12" s="113">
        <v>74.81</v>
      </c>
      <c r="T12" s="113">
        <v>144.41</v>
      </c>
      <c r="U12" s="113">
        <v>299.03</v>
      </c>
      <c r="V12" s="113">
        <v>475.22</v>
      </c>
      <c r="W12" s="113">
        <v>6.2948</v>
      </c>
      <c r="X12" s="113">
        <v>32.57</v>
      </c>
      <c r="Y12" s="113">
        <v>149.0</v>
      </c>
      <c r="Z12" s="113">
        <v>1058.0</v>
      </c>
      <c r="AA12" s="113">
        <v>6554.0</v>
      </c>
      <c r="AB12" s="113">
        <v>59.1928</v>
      </c>
      <c r="AC12" s="113">
        <v>0.7959</v>
      </c>
      <c r="AD12" s="113">
        <v>37.8</v>
      </c>
      <c r="AE12" s="113">
        <v>15.0</v>
      </c>
      <c r="AF12" s="113">
        <v>29.0</v>
      </c>
      <c r="AG12" s="113">
        <v>51.0</v>
      </c>
      <c r="AH12" s="113">
        <v>82.0</v>
      </c>
      <c r="AI12" s="113">
        <v>52.05</v>
      </c>
      <c r="AJ12" s="113">
        <v>19.58</v>
      </c>
      <c r="AK12" s="113">
        <v>5.28</v>
      </c>
      <c r="AL12" s="113">
        <v>0.1071</v>
      </c>
      <c r="AM12" s="113">
        <v>0.0</v>
      </c>
      <c r="AN12" s="115">
        <v>0.0</v>
      </c>
      <c r="AO12" s="115">
        <v>0.0</v>
      </c>
      <c r="AP12" s="115">
        <v>0.0</v>
      </c>
      <c r="AQ12" s="115">
        <v>16.4453</v>
      </c>
      <c r="AR12" s="115">
        <v>1.8892</v>
      </c>
      <c r="AS12" s="115">
        <v>14.5561</v>
      </c>
      <c r="AT12" s="115">
        <v>17.8101</v>
      </c>
      <c r="AU12" s="115">
        <v>0.2359</v>
      </c>
    </row>
    <row r="13">
      <c r="A13" s="112">
        <v>46175.0</v>
      </c>
      <c r="B13" s="113" t="s">
        <v>9</v>
      </c>
      <c r="C13" s="113" t="s">
        <v>133</v>
      </c>
      <c r="D13" s="113">
        <v>396.0</v>
      </c>
      <c r="E13" s="113">
        <v>0.62</v>
      </c>
      <c r="F13" s="113">
        <v>1679.43</v>
      </c>
      <c r="G13" s="113">
        <v>4.241</v>
      </c>
      <c r="H13" s="113">
        <v>15.66</v>
      </c>
      <c r="I13" s="113">
        <v>27.0876</v>
      </c>
      <c r="J13" s="113">
        <v>263.84</v>
      </c>
      <c r="K13" s="113">
        <v>154.4</v>
      </c>
      <c r="L13" s="113">
        <v>130.67</v>
      </c>
      <c r="M13" s="113">
        <v>0.8463</v>
      </c>
      <c r="N13" s="113">
        <v>0.2957</v>
      </c>
      <c r="O13" s="113">
        <v>0.2123</v>
      </c>
      <c r="P13" s="113">
        <v>1.1816</v>
      </c>
      <c r="Q13" s="113">
        <v>843.59</v>
      </c>
      <c r="R13" s="113">
        <v>654.17</v>
      </c>
      <c r="S13" s="113">
        <v>189.42</v>
      </c>
      <c r="T13" s="113">
        <v>291.54</v>
      </c>
      <c r="U13" s="113">
        <v>552.05</v>
      </c>
      <c r="V13" s="113">
        <v>919.95</v>
      </c>
      <c r="W13" s="113">
        <v>5.9582</v>
      </c>
      <c r="X13" s="113">
        <v>34.56</v>
      </c>
      <c r="Y13" s="113">
        <v>460.0</v>
      </c>
      <c r="Z13" s="113">
        <v>3382.0</v>
      </c>
      <c r="AA13" s="113">
        <v>10464.0</v>
      </c>
      <c r="AB13" s="113">
        <v>63.0123</v>
      </c>
      <c r="AC13" s="113">
        <v>0.8653</v>
      </c>
      <c r="AD13" s="113">
        <v>90.71</v>
      </c>
      <c r="AE13" s="113">
        <v>34.0</v>
      </c>
      <c r="AF13" s="113">
        <v>80.0</v>
      </c>
      <c r="AG13" s="113">
        <v>127.0</v>
      </c>
      <c r="AH13" s="113">
        <v>175.0</v>
      </c>
      <c r="AI13" s="113">
        <v>50.0</v>
      </c>
      <c r="AJ13" s="113">
        <v>10.1</v>
      </c>
      <c r="AK13" s="113">
        <v>1.77</v>
      </c>
      <c r="AL13" s="113">
        <v>0.0682</v>
      </c>
      <c r="AM13" s="113">
        <v>0.0</v>
      </c>
      <c r="AN13" s="115">
        <v>0.0</v>
      </c>
      <c r="AO13" s="115">
        <v>0.0</v>
      </c>
      <c r="AP13" s="115">
        <v>0.0</v>
      </c>
      <c r="AQ13" s="115">
        <v>32.3485</v>
      </c>
      <c r="AR13" s="115">
        <v>4.2652</v>
      </c>
      <c r="AS13" s="115">
        <v>28.0833</v>
      </c>
      <c r="AT13" s="115">
        <v>33.4874</v>
      </c>
      <c r="AU13" s="115">
        <v>0.2169</v>
      </c>
    </row>
    <row r="14">
      <c r="A14" s="112">
        <v>46176.0</v>
      </c>
      <c r="B14" s="113" t="s">
        <v>8</v>
      </c>
      <c r="C14" s="113" t="s">
        <v>128</v>
      </c>
      <c r="D14" s="113">
        <v>16724.0</v>
      </c>
      <c r="E14" s="113">
        <v>19.9</v>
      </c>
      <c r="F14" s="113">
        <v>56.96</v>
      </c>
      <c r="G14" s="113">
        <v>0.0034</v>
      </c>
      <c r="H14" s="113">
        <v>0.1</v>
      </c>
      <c r="I14" s="113">
        <v>3.56</v>
      </c>
      <c r="J14" s="113">
        <v>6.66</v>
      </c>
      <c r="K14" s="113">
        <v>2.87</v>
      </c>
      <c r="L14" s="113">
        <v>0.1</v>
      </c>
      <c r="M14" s="113">
        <v>0.0343</v>
      </c>
      <c r="N14" s="113">
        <v>0.9718</v>
      </c>
      <c r="O14" s="113">
        <v>0.6875</v>
      </c>
      <c r="P14" s="113">
        <v>29.1224</v>
      </c>
      <c r="Q14" s="113">
        <v>21.47</v>
      </c>
      <c r="R14" s="113">
        <v>21.39</v>
      </c>
      <c r="S14" s="113">
        <v>0.09</v>
      </c>
      <c r="T14" s="113">
        <v>0.27</v>
      </c>
      <c r="U14" s="113">
        <v>21.2</v>
      </c>
      <c r="V14" s="113">
        <v>1.85</v>
      </c>
      <c r="W14" s="113">
        <v>0.6441</v>
      </c>
      <c r="X14" s="113">
        <v>1.26</v>
      </c>
      <c r="Y14" s="113">
        <v>208.0</v>
      </c>
      <c r="Z14" s="113">
        <v>2731.0</v>
      </c>
      <c r="AA14" s="113">
        <v>13064.0</v>
      </c>
      <c r="AB14" s="113">
        <v>49.7</v>
      </c>
      <c r="AC14" s="113">
        <v>0.5286</v>
      </c>
      <c r="AD14" s="114"/>
      <c r="AE14" s="114"/>
      <c r="AF14" s="114"/>
      <c r="AG14" s="114"/>
      <c r="AH14" s="114"/>
      <c r="AI14" s="113">
        <v>0.0</v>
      </c>
      <c r="AJ14" s="113">
        <v>0.0</v>
      </c>
      <c r="AK14" s="113">
        <v>0.0</v>
      </c>
      <c r="AL14" s="113">
        <v>0.2619</v>
      </c>
      <c r="AM14" s="114"/>
      <c r="AQ14" s="115">
        <v>0.7456</v>
      </c>
      <c r="AR14" s="115">
        <v>0.0019</v>
      </c>
      <c r="AS14" s="115">
        <v>0.7437</v>
      </c>
      <c r="AT14" s="115">
        <v>0.3723</v>
      </c>
      <c r="AU14" s="115">
        <v>0.1296</v>
      </c>
    </row>
    <row r="15">
      <c r="A15" s="112">
        <v>46176.0</v>
      </c>
      <c r="B15" s="113" t="s">
        <v>8</v>
      </c>
      <c r="C15" s="113" t="s">
        <v>129</v>
      </c>
      <c r="D15" s="113">
        <v>32756.0</v>
      </c>
      <c r="E15" s="113">
        <v>38.97</v>
      </c>
      <c r="F15" s="113">
        <v>3442.75</v>
      </c>
      <c r="G15" s="113">
        <v>0.1051</v>
      </c>
      <c r="H15" s="113">
        <v>3.0</v>
      </c>
      <c r="I15" s="113">
        <v>3.5059</v>
      </c>
      <c r="J15" s="113">
        <v>32.35</v>
      </c>
      <c r="K15" s="113">
        <v>16.07</v>
      </c>
      <c r="L15" s="113">
        <v>5.41</v>
      </c>
      <c r="M15" s="113">
        <v>0.3365</v>
      </c>
      <c r="N15" s="113">
        <v>0.775</v>
      </c>
      <c r="O15" s="113">
        <v>0.5513</v>
      </c>
      <c r="P15" s="113">
        <v>2.9717</v>
      </c>
      <c r="Q15" s="113">
        <v>52.96</v>
      </c>
      <c r="R15" s="113">
        <v>41.6</v>
      </c>
      <c r="S15" s="113">
        <v>11.36</v>
      </c>
      <c r="T15" s="113">
        <v>6.63</v>
      </c>
      <c r="U15" s="113">
        <v>46.33</v>
      </c>
      <c r="V15" s="113">
        <v>58.59</v>
      </c>
      <c r="W15" s="113">
        <v>3.6449</v>
      </c>
      <c r="X15" s="113">
        <v>12.52</v>
      </c>
      <c r="Y15" s="113">
        <v>108.0</v>
      </c>
      <c r="Z15" s="113">
        <v>467.0</v>
      </c>
      <c r="AA15" s="113">
        <v>3425.0</v>
      </c>
      <c r="AB15" s="113">
        <v>49.4848</v>
      </c>
      <c r="AC15" s="113">
        <v>0.4931</v>
      </c>
      <c r="AD15" s="113">
        <v>3.71</v>
      </c>
      <c r="AE15" s="113">
        <v>1.0</v>
      </c>
      <c r="AF15" s="113">
        <v>2.0</v>
      </c>
      <c r="AG15" s="113">
        <v>5.0</v>
      </c>
      <c r="AH15" s="113">
        <v>8.0</v>
      </c>
      <c r="AI15" s="113">
        <v>69.92</v>
      </c>
      <c r="AJ15" s="113">
        <v>27.55</v>
      </c>
      <c r="AK15" s="113">
        <v>7.28</v>
      </c>
      <c r="AL15" s="113">
        <v>0.222</v>
      </c>
      <c r="AM15" s="114"/>
      <c r="AQ15" s="115">
        <v>2.5066</v>
      </c>
      <c r="AR15" s="115">
        <v>0.073</v>
      </c>
      <c r="AS15" s="115">
        <v>2.4336</v>
      </c>
      <c r="AT15" s="115">
        <v>3.0562</v>
      </c>
      <c r="AU15" s="115">
        <v>0.1901</v>
      </c>
    </row>
    <row r="16">
      <c r="A16" s="112">
        <v>46176.0</v>
      </c>
      <c r="B16" s="113" t="s">
        <v>8</v>
      </c>
      <c r="C16" s="113" t="s">
        <v>130</v>
      </c>
      <c r="D16" s="113">
        <v>19999.0</v>
      </c>
      <c r="E16" s="113">
        <v>23.79</v>
      </c>
      <c r="F16" s="113">
        <v>8698.73</v>
      </c>
      <c r="G16" s="113">
        <v>0.435</v>
      </c>
      <c r="H16" s="113">
        <v>8.36</v>
      </c>
      <c r="I16" s="113">
        <v>5.2057</v>
      </c>
      <c r="J16" s="113">
        <v>59.98</v>
      </c>
      <c r="K16" s="113">
        <v>30.85</v>
      </c>
      <c r="L16" s="113">
        <v>14.58</v>
      </c>
      <c r="M16" s="113">
        <v>0.4727</v>
      </c>
      <c r="N16" s="113">
        <v>0.658</v>
      </c>
      <c r="O16" s="113">
        <v>0.4173</v>
      </c>
      <c r="P16" s="113">
        <v>2.1155</v>
      </c>
      <c r="Q16" s="113">
        <v>107.89</v>
      </c>
      <c r="R16" s="113">
        <v>79.67</v>
      </c>
      <c r="S16" s="113">
        <v>28.23</v>
      </c>
      <c r="T16" s="113">
        <v>26.85</v>
      </c>
      <c r="U16" s="113">
        <v>81.04</v>
      </c>
      <c r="V16" s="113">
        <v>121.39</v>
      </c>
      <c r="W16" s="113">
        <v>3.9345</v>
      </c>
      <c r="X16" s="113">
        <v>24.88</v>
      </c>
      <c r="Y16" s="113">
        <v>101.0</v>
      </c>
      <c r="Z16" s="113">
        <v>392.0</v>
      </c>
      <c r="AA16" s="113">
        <v>3234.0</v>
      </c>
      <c r="AB16" s="113">
        <v>52.7034</v>
      </c>
      <c r="AC16" s="113">
        <v>0.5773</v>
      </c>
      <c r="AD16" s="113">
        <v>8.73</v>
      </c>
      <c r="AE16" s="113">
        <v>3.0</v>
      </c>
      <c r="AF16" s="113">
        <v>7.0</v>
      </c>
      <c r="AG16" s="113">
        <v>12.0</v>
      </c>
      <c r="AH16" s="113">
        <v>19.0</v>
      </c>
      <c r="AI16" s="113">
        <v>56.09</v>
      </c>
      <c r="AJ16" s="113">
        <v>23.52</v>
      </c>
      <c r="AK16" s="113">
        <v>3.83</v>
      </c>
      <c r="AL16" s="113">
        <v>0.18</v>
      </c>
      <c r="AM16" s="114"/>
      <c r="AQ16" s="115">
        <v>5.2441</v>
      </c>
      <c r="AR16" s="115">
        <v>0.3172</v>
      </c>
      <c r="AS16" s="115">
        <v>4.9268</v>
      </c>
      <c r="AT16" s="115">
        <v>6.1358</v>
      </c>
      <c r="AU16" s="115">
        <v>0.1989</v>
      </c>
    </row>
    <row r="17">
      <c r="A17" s="112">
        <v>46176.0</v>
      </c>
      <c r="B17" s="113" t="s">
        <v>8</v>
      </c>
      <c r="C17" s="113" t="s">
        <v>131</v>
      </c>
      <c r="D17" s="113">
        <v>10009.0</v>
      </c>
      <c r="E17" s="113">
        <v>11.91</v>
      </c>
      <c r="F17" s="113">
        <v>10011.89</v>
      </c>
      <c r="G17" s="113">
        <v>1.0003</v>
      </c>
      <c r="H17" s="113">
        <v>12.68</v>
      </c>
      <c r="I17" s="113">
        <v>7.8896</v>
      </c>
      <c r="J17" s="113">
        <v>82.39</v>
      </c>
      <c r="K17" s="113">
        <v>44.16</v>
      </c>
      <c r="L17" s="113">
        <v>26.37</v>
      </c>
      <c r="M17" s="113">
        <v>0.5971</v>
      </c>
      <c r="N17" s="113">
        <v>0.5437</v>
      </c>
      <c r="O17" s="113">
        <v>0.3442</v>
      </c>
      <c r="P17" s="113">
        <v>1.6747</v>
      </c>
      <c r="Q17" s="113">
        <v>194.72</v>
      </c>
      <c r="R17" s="113">
        <v>139.66</v>
      </c>
      <c r="S17" s="113">
        <v>55.07</v>
      </c>
      <c r="T17" s="113">
        <v>61.15</v>
      </c>
      <c r="U17" s="113">
        <v>133.57</v>
      </c>
      <c r="V17" s="113">
        <v>223.58</v>
      </c>
      <c r="W17" s="113">
        <v>5.0626</v>
      </c>
      <c r="X17" s="113">
        <v>31.4</v>
      </c>
      <c r="Y17" s="113">
        <v>115.0</v>
      </c>
      <c r="Z17" s="113">
        <v>515.0</v>
      </c>
      <c r="AA17" s="113">
        <v>3667.0</v>
      </c>
      <c r="AB17" s="113">
        <v>55.8748</v>
      </c>
      <c r="AC17" s="113">
        <v>0.7111</v>
      </c>
      <c r="AD17" s="113">
        <v>17.27</v>
      </c>
      <c r="AE17" s="113">
        <v>6.0</v>
      </c>
      <c r="AF17" s="113">
        <v>13.0</v>
      </c>
      <c r="AG17" s="113">
        <v>24.0</v>
      </c>
      <c r="AH17" s="113">
        <v>37.0</v>
      </c>
      <c r="AI17" s="113">
        <v>57.72</v>
      </c>
      <c r="AJ17" s="113">
        <v>22.64</v>
      </c>
      <c r="AK17" s="113">
        <v>6.92</v>
      </c>
      <c r="AL17" s="113">
        <v>0.1801</v>
      </c>
      <c r="AM17" s="114"/>
      <c r="AQ17" s="115">
        <v>8.8931</v>
      </c>
      <c r="AR17" s="115">
        <v>0.7679</v>
      </c>
      <c r="AS17" s="115">
        <v>8.1252</v>
      </c>
      <c r="AT17" s="115">
        <v>9.802</v>
      </c>
      <c r="AU17" s="115">
        <v>0.2219</v>
      </c>
    </row>
    <row r="18">
      <c r="A18" s="112">
        <v>46176.0</v>
      </c>
      <c r="B18" s="113" t="s">
        <v>8</v>
      </c>
      <c r="C18" s="113" t="s">
        <v>132</v>
      </c>
      <c r="D18" s="113">
        <v>4134.0</v>
      </c>
      <c r="E18" s="113">
        <v>4.92</v>
      </c>
      <c r="F18" s="113">
        <v>8473.45</v>
      </c>
      <c r="G18" s="113">
        <v>2.0497</v>
      </c>
      <c r="H18" s="113">
        <v>16.91</v>
      </c>
      <c r="I18" s="113">
        <v>12.1222</v>
      </c>
      <c r="J18" s="113">
        <v>133.44</v>
      </c>
      <c r="K18" s="113">
        <v>75.72</v>
      </c>
      <c r="L18" s="113">
        <v>54.65</v>
      </c>
      <c r="M18" s="113">
        <v>0.7218</v>
      </c>
      <c r="N18" s="113">
        <v>0.4184</v>
      </c>
      <c r="O18" s="113">
        <v>0.2671</v>
      </c>
      <c r="P18" s="113">
        <v>1.3855</v>
      </c>
      <c r="Q18" s="113">
        <v>351.9</v>
      </c>
      <c r="R18" s="113">
        <v>236.72</v>
      </c>
      <c r="S18" s="113">
        <v>115.18</v>
      </c>
      <c r="T18" s="113">
        <v>126.27</v>
      </c>
      <c r="U18" s="113">
        <v>225.63</v>
      </c>
      <c r="V18" s="113">
        <v>420.77</v>
      </c>
      <c r="W18" s="113">
        <v>5.5568</v>
      </c>
      <c r="X18" s="113">
        <v>35.88</v>
      </c>
      <c r="Y18" s="113">
        <v>138.0</v>
      </c>
      <c r="Z18" s="113">
        <v>982.0</v>
      </c>
      <c r="AA18" s="113">
        <v>6284.0</v>
      </c>
      <c r="AB18" s="113">
        <v>59.5461</v>
      </c>
      <c r="AC18" s="113">
        <v>0.8071</v>
      </c>
      <c r="AD18" s="113">
        <v>36.7</v>
      </c>
      <c r="AE18" s="113">
        <v>13.0</v>
      </c>
      <c r="AF18" s="113">
        <v>27.0</v>
      </c>
      <c r="AG18" s="113">
        <v>52.0</v>
      </c>
      <c r="AH18" s="113">
        <v>81.0</v>
      </c>
      <c r="AI18" s="113">
        <v>48.98</v>
      </c>
      <c r="AJ18" s="113">
        <v>20.0</v>
      </c>
      <c r="AK18" s="113">
        <v>5.27</v>
      </c>
      <c r="AL18" s="113">
        <v>0.1343</v>
      </c>
      <c r="AM18" s="114"/>
      <c r="AQ18" s="115">
        <v>15.2463</v>
      </c>
      <c r="AR18" s="115">
        <v>1.6161</v>
      </c>
      <c r="AS18" s="115">
        <v>13.6301</v>
      </c>
      <c r="AT18" s="115">
        <v>17.2547</v>
      </c>
      <c r="AU18" s="115">
        <v>0.2279</v>
      </c>
    </row>
    <row r="19">
      <c r="A19" s="112">
        <v>46176.0</v>
      </c>
      <c r="B19" s="113" t="s">
        <v>8</v>
      </c>
      <c r="C19" s="113" t="s">
        <v>133</v>
      </c>
      <c r="D19" s="113">
        <v>430.0</v>
      </c>
      <c r="E19" s="113">
        <v>0.51</v>
      </c>
      <c r="F19" s="113">
        <v>1928.28</v>
      </c>
      <c r="G19" s="113">
        <v>4.4844</v>
      </c>
      <c r="H19" s="113">
        <v>15.35</v>
      </c>
      <c r="I19" s="113">
        <v>29.2164</v>
      </c>
      <c r="J19" s="113">
        <v>256.14</v>
      </c>
      <c r="K19" s="113">
        <v>154.7</v>
      </c>
      <c r="L19" s="113">
        <v>131.78</v>
      </c>
      <c r="M19" s="113">
        <v>0.8518</v>
      </c>
      <c r="N19" s="113">
        <v>0.2827</v>
      </c>
      <c r="O19" s="113">
        <v>0.2001</v>
      </c>
      <c r="P19" s="113">
        <v>1.1739</v>
      </c>
      <c r="Q19" s="113">
        <v>743.48</v>
      </c>
      <c r="R19" s="113">
        <v>463.23</v>
      </c>
      <c r="S19" s="113">
        <v>280.26</v>
      </c>
      <c r="T19" s="113">
        <v>285.4</v>
      </c>
      <c r="U19" s="113">
        <v>458.09</v>
      </c>
      <c r="V19" s="113">
        <v>856.28</v>
      </c>
      <c r="W19" s="113">
        <v>5.5349</v>
      </c>
      <c r="X19" s="113">
        <v>38.39</v>
      </c>
      <c r="Y19" s="113">
        <v>465.0</v>
      </c>
      <c r="Z19" s="113">
        <v>3487.0</v>
      </c>
      <c r="AA19" s="113">
        <v>11206.0</v>
      </c>
      <c r="AB19" s="113">
        <v>63.4554</v>
      </c>
      <c r="AC19" s="113">
        <v>0.8976</v>
      </c>
      <c r="AD19" s="113">
        <v>91.63</v>
      </c>
      <c r="AE19" s="113">
        <v>36.0</v>
      </c>
      <c r="AF19" s="113">
        <v>78.0</v>
      </c>
      <c r="AG19" s="113">
        <v>130.0</v>
      </c>
      <c r="AH19" s="113">
        <v>190.0</v>
      </c>
      <c r="AI19" s="113">
        <v>49.07</v>
      </c>
      <c r="AJ19" s="113">
        <v>11.86</v>
      </c>
      <c r="AK19" s="113">
        <v>1.4</v>
      </c>
      <c r="AL19" s="113">
        <v>0.0907</v>
      </c>
      <c r="AM19" s="114"/>
      <c r="AQ19" s="115">
        <v>32.7279</v>
      </c>
      <c r="AR19" s="115">
        <v>4.7349</v>
      </c>
      <c r="AS19" s="115">
        <v>27.993</v>
      </c>
      <c r="AT19" s="115">
        <v>36.3884</v>
      </c>
      <c r="AU19" s="115">
        <v>0.2352</v>
      </c>
    </row>
    <row r="20" ht="15.75" customHeight="1">
      <c r="A20" s="112">
        <v>46176.0</v>
      </c>
      <c r="B20" s="113" t="s">
        <v>9</v>
      </c>
      <c r="C20" s="113" t="s">
        <v>128</v>
      </c>
      <c r="D20" s="113">
        <v>16779.0</v>
      </c>
      <c r="E20" s="113">
        <v>20.01</v>
      </c>
      <c r="F20" s="113">
        <v>93.35</v>
      </c>
      <c r="G20" s="113">
        <v>0.0056</v>
      </c>
      <c r="H20" s="113">
        <v>0.1</v>
      </c>
      <c r="I20" s="113">
        <v>5.8344</v>
      </c>
      <c r="J20" s="113">
        <v>6.7</v>
      </c>
      <c r="K20" s="113">
        <v>2.95</v>
      </c>
      <c r="L20" s="113">
        <v>0.06</v>
      </c>
      <c r="M20" s="113">
        <v>0.0203</v>
      </c>
      <c r="N20" s="113">
        <v>0.9819</v>
      </c>
      <c r="O20" s="113">
        <v>0.7589</v>
      </c>
      <c r="P20" s="113">
        <v>49.3071</v>
      </c>
      <c r="Q20" s="113">
        <v>20.42</v>
      </c>
      <c r="R20" s="113">
        <v>20.34</v>
      </c>
      <c r="S20" s="113">
        <v>0.07</v>
      </c>
      <c r="T20" s="113">
        <v>0.39</v>
      </c>
      <c r="U20" s="113">
        <v>20.02</v>
      </c>
      <c r="V20" s="113">
        <v>1.73</v>
      </c>
      <c r="W20" s="113">
        <v>0.5864</v>
      </c>
      <c r="X20" s="113">
        <v>1.93</v>
      </c>
      <c r="Y20" s="113">
        <v>222.0</v>
      </c>
      <c r="Z20" s="113">
        <v>2562.0</v>
      </c>
      <c r="AA20" s="113">
        <v>12385.0</v>
      </c>
      <c r="AB20" s="113">
        <v>49.763</v>
      </c>
      <c r="AC20" s="113">
        <v>0.5317</v>
      </c>
      <c r="AD20" s="114"/>
      <c r="AE20" s="114"/>
      <c r="AF20" s="114"/>
      <c r="AG20" s="114"/>
      <c r="AH20" s="114"/>
      <c r="AI20" s="113">
        <v>0.0</v>
      </c>
      <c r="AJ20" s="113">
        <v>0.0</v>
      </c>
      <c r="AK20" s="113">
        <v>0.0</v>
      </c>
      <c r="AL20" s="113">
        <v>0.2589</v>
      </c>
      <c r="AM20" s="113">
        <v>0.05</v>
      </c>
      <c r="AN20" s="115">
        <v>0.05</v>
      </c>
      <c r="AO20" s="115">
        <v>0.05</v>
      </c>
      <c r="AP20" s="115">
        <v>0.02</v>
      </c>
      <c r="AQ20" s="115">
        <v>0.7745</v>
      </c>
      <c r="AR20" s="115">
        <v>0.006</v>
      </c>
      <c r="AS20" s="115">
        <v>0.7685</v>
      </c>
      <c r="AT20" s="115">
        <v>0.3676</v>
      </c>
      <c r="AU20" s="115">
        <v>0.1247</v>
      </c>
    </row>
    <row r="21" ht="15.75" customHeight="1">
      <c r="A21" s="112">
        <v>46176.0</v>
      </c>
      <c r="B21" s="113" t="s">
        <v>9</v>
      </c>
      <c r="C21" s="113" t="s">
        <v>129</v>
      </c>
      <c r="D21" s="113">
        <v>32103.0</v>
      </c>
      <c r="E21" s="113">
        <v>38.28</v>
      </c>
      <c r="F21" s="113">
        <v>3308.16</v>
      </c>
      <c r="G21" s="113">
        <v>0.103</v>
      </c>
      <c r="H21" s="113">
        <v>3.2</v>
      </c>
      <c r="I21" s="113">
        <v>3.2243</v>
      </c>
      <c r="J21" s="113">
        <v>33.12</v>
      </c>
      <c r="K21" s="113">
        <v>16.42</v>
      </c>
      <c r="L21" s="113">
        <v>5.48</v>
      </c>
      <c r="M21" s="113">
        <v>0.334</v>
      </c>
      <c r="N21" s="113">
        <v>0.7747</v>
      </c>
      <c r="O21" s="113">
        <v>0.5463</v>
      </c>
      <c r="P21" s="113">
        <v>2.9939</v>
      </c>
      <c r="Q21" s="113">
        <v>48.18</v>
      </c>
      <c r="R21" s="113">
        <v>43.82</v>
      </c>
      <c r="S21" s="113">
        <v>4.36</v>
      </c>
      <c r="T21" s="113">
        <v>6.6</v>
      </c>
      <c r="U21" s="113">
        <v>41.59</v>
      </c>
      <c r="V21" s="113">
        <v>56.39</v>
      </c>
      <c r="W21" s="113">
        <v>3.4342</v>
      </c>
      <c r="X21" s="113">
        <v>13.69</v>
      </c>
      <c r="Y21" s="113">
        <v>103.0</v>
      </c>
      <c r="Z21" s="113">
        <v>424.0</v>
      </c>
      <c r="AA21" s="113">
        <v>3238.0</v>
      </c>
      <c r="AB21" s="113">
        <v>49.491</v>
      </c>
      <c r="AC21" s="113">
        <v>0.4938</v>
      </c>
      <c r="AD21" s="113">
        <v>3.75</v>
      </c>
      <c r="AE21" s="113">
        <v>1.0</v>
      </c>
      <c r="AF21" s="113">
        <v>2.0</v>
      </c>
      <c r="AG21" s="113">
        <v>5.0</v>
      </c>
      <c r="AH21" s="113">
        <v>8.0</v>
      </c>
      <c r="AI21" s="113">
        <v>70.63</v>
      </c>
      <c r="AJ21" s="113">
        <v>27.16</v>
      </c>
      <c r="AK21" s="113">
        <v>7.59</v>
      </c>
      <c r="AL21" s="113">
        <v>0.2222</v>
      </c>
      <c r="AM21" s="113">
        <v>55.9</v>
      </c>
      <c r="AN21" s="115">
        <v>55.9</v>
      </c>
      <c r="AO21" s="115">
        <v>23.08</v>
      </c>
      <c r="AP21" s="115">
        <v>6.37</v>
      </c>
      <c r="AQ21" s="115">
        <v>2.8897</v>
      </c>
      <c r="AR21" s="115">
        <v>0.075</v>
      </c>
      <c r="AS21" s="115">
        <v>2.8147</v>
      </c>
      <c r="AT21" s="115">
        <v>3.1925</v>
      </c>
      <c r="AU21" s="115">
        <v>0.1944</v>
      </c>
    </row>
    <row r="22" ht="15.75" customHeight="1">
      <c r="A22" s="112">
        <v>46176.0</v>
      </c>
      <c r="B22" s="113" t="s">
        <v>9</v>
      </c>
      <c r="C22" s="113" t="s">
        <v>130</v>
      </c>
      <c r="D22" s="113">
        <v>20221.0</v>
      </c>
      <c r="E22" s="113">
        <v>24.11</v>
      </c>
      <c r="F22" s="113">
        <v>8673.98</v>
      </c>
      <c r="G22" s="113">
        <v>0.429</v>
      </c>
      <c r="H22" s="113">
        <v>8.14</v>
      </c>
      <c r="I22" s="113">
        <v>5.2697</v>
      </c>
      <c r="J22" s="113">
        <v>62.11</v>
      </c>
      <c r="K22" s="113">
        <v>31.84</v>
      </c>
      <c r="L22" s="113">
        <v>14.9</v>
      </c>
      <c r="M22" s="113">
        <v>0.4681</v>
      </c>
      <c r="N22" s="113">
        <v>0.6592</v>
      </c>
      <c r="O22" s="113">
        <v>0.4135</v>
      </c>
      <c r="P22" s="113">
        <v>2.1361</v>
      </c>
      <c r="Q22" s="113">
        <v>104.28</v>
      </c>
      <c r="R22" s="113">
        <v>93.74</v>
      </c>
      <c r="S22" s="113">
        <v>10.55</v>
      </c>
      <c r="T22" s="113">
        <v>26.3</v>
      </c>
      <c r="U22" s="113">
        <v>77.98</v>
      </c>
      <c r="V22" s="113">
        <v>118.06</v>
      </c>
      <c r="W22" s="113">
        <v>3.7084</v>
      </c>
      <c r="X22" s="113">
        <v>25.22</v>
      </c>
      <c r="Y22" s="113">
        <v>95.0</v>
      </c>
      <c r="Z22" s="113">
        <v>390.0</v>
      </c>
      <c r="AA22" s="113">
        <v>3121.0</v>
      </c>
      <c r="AB22" s="113">
        <v>52.5573</v>
      </c>
      <c r="AC22" s="113">
        <v>0.5725</v>
      </c>
      <c r="AD22" s="113">
        <v>8.92</v>
      </c>
      <c r="AE22" s="113">
        <v>3.0</v>
      </c>
      <c r="AF22" s="113">
        <v>6.0</v>
      </c>
      <c r="AG22" s="113">
        <v>12.0</v>
      </c>
      <c r="AH22" s="113">
        <v>19.0</v>
      </c>
      <c r="AI22" s="113">
        <v>56.18</v>
      </c>
      <c r="AJ22" s="113">
        <v>24.2</v>
      </c>
      <c r="AK22" s="113">
        <v>4.68</v>
      </c>
      <c r="AL22" s="113">
        <v>0.178</v>
      </c>
      <c r="AM22" s="113">
        <v>59.28</v>
      </c>
      <c r="AN22" s="115">
        <v>59.28</v>
      </c>
      <c r="AO22" s="115">
        <v>35.57</v>
      </c>
      <c r="AP22" s="115">
        <v>17.97</v>
      </c>
      <c r="AQ22" s="115">
        <v>6.0491</v>
      </c>
      <c r="AR22" s="115">
        <v>0.3105</v>
      </c>
      <c r="AS22" s="115">
        <v>5.7385</v>
      </c>
      <c r="AT22" s="115">
        <v>6.4897</v>
      </c>
      <c r="AU22" s="115">
        <v>0.2039</v>
      </c>
    </row>
    <row r="23" ht="15.75" customHeight="1">
      <c r="A23" s="112">
        <v>46176.0</v>
      </c>
      <c r="B23" s="113" t="s">
        <v>9</v>
      </c>
      <c r="C23" s="113" t="s">
        <v>131</v>
      </c>
      <c r="D23" s="113">
        <v>10198.0</v>
      </c>
      <c r="E23" s="113">
        <v>12.16</v>
      </c>
      <c r="F23" s="113">
        <v>9780.79</v>
      </c>
      <c r="G23" s="113">
        <v>0.9591</v>
      </c>
      <c r="H23" s="113">
        <v>12.88</v>
      </c>
      <c r="I23" s="113">
        <v>7.4435</v>
      </c>
      <c r="J23" s="113">
        <v>84.9</v>
      </c>
      <c r="K23" s="113">
        <v>45.89</v>
      </c>
      <c r="L23" s="113">
        <v>26.89</v>
      </c>
      <c r="M23" s="113">
        <v>0.5859</v>
      </c>
      <c r="N23" s="113">
        <v>0.5477</v>
      </c>
      <c r="O23" s="113">
        <v>0.339</v>
      </c>
      <c r="P23" s="113">
        <v>1.7068</v>
      </c>
      <c r="Q23" s="113">
        <v>184.18</v>
      </c>
      <c r="R23" s="113">
        <v>163.4</v>
      </c>
      <c r="S23" s="113">
        <v>20.78</v>
      </c>
      <c r="T23" s="113">
        <v>58.08</v>
      </c>
      <c r="U23" s="113">
        <v>126.1</v>
      </c>
      <c r="V23" s="113">
        <v>211.22</v>
      </c>
      <c r="W23" s="113">
        <v>4.6027</v>
      </c>
      <c r="X23" s="113">
        <v>31.53</v>
      </c>
      <c r="Y23" s="113">
        <v>101.0</v>
      </c>
      <c r="Z23" s="113">
        <v>504.0</v>
      </c>
      <c r="AA23" s="113">
        <v>3907.0</v>
      </c>
      <c r="AB23" s="113">
        <v>55.6843</v>
      </c>
      <c r="AC23" s="113">
        <v>0.7043</v>
      </c>
      <c r="AD23" s="113">
        <v>17.6</v>
      </c>
      <c r="AE23" s="113">
        <v>6.0</v>
      </c>
      <c r="AF23" s="113">
        <v>13.0</v>
      </c>
      <c r="AG23" s="113">
        <v>25.0</v>
      </c>
      <c r="AH23" s="113">
        <v>38.0</v>
      </c>
      <c r="AI23" s="113">
        <v>57.3</v>
      </c>
      <c r="AJ23" s="113">
        <v>23.54</v>
      </c>
      <c r="AK23" s="113">
        <v>7.67</v>
      </c>
      <c r="AL23" s="113">
        <v>0.1752</v>
      </c>
      <c r="AM23" s="113">
        <v>58.43</v>
      </c>
      <c r="AN23" s="115">
        <v>58.43</v>
      </c>
      <c r="AO23" s="115">
        <v>35.81</v>
      </c>
      <c r="AP23" s="115">
        <v>21.35</v>
      </c>
      <c r="AQ23" s="115">
        <v>9.6703</v>
      </c>
      <c r="AR23" s="115">
        <v>0.7022</v>
      </c>
      <c r="AS23" s="115">
        <v>8.9681</v>
      </c>
      <c r="AT23" s="115">
        <v>10.3551</v>
      </c>
      <c r="AU23" s="115">
        <v>0.2256</v>
      </c>
    </row>
    <row r="24" ht="15.75" customHeight="1">
      <c r="A24" s="112">
        <v>46176.0</v>
      </c>
      <c r="B24" s="113" t="s">
        <v>9</v>
      </c>
      <c r="C24" s="113" t="s">
        <v>132</v>
      </c>
      <c r="D24" s="113">
        <v>4121.0</v>
      </c>
      <c r="E24" s="113">
        <v>4.91</v>
      </c>
      <c r="F24" s="113">
        <v>10325.9</v>
      </c>
      <c r="G24" s="113">
        <v>2.5057</v>
      </c>
      <c r="H24" s="113">
        <v>17.23</v>
      </c>
      <c r="I24" s="113">
        <v>14.5435</v>
      </c>
      <c r="J24" s="113">
        <v>136.64</v>
      </c>
      <c r="K24" s="113">
        <v>76.62</v>
      </c>
      <c r="L24" s="113">
        <v>56.28</v>
      </c>
      <c r="M24" s="113">
        <v>0.7346</v>
      </c>
      <c r="N24" s="113">
        <v>0.4051</v>
      </c>
      <c r="O24" s="113">
        <v>0.2586</v>
      </c>
      <c r="P24" s="113">
        <v>1.3612</v>
      </c>
      <c r="Q24" s="113">
        <v>375.73</v>
      </c>
      <c r="R24" s="113">
        <v>332.15</v>
      </c>
      <c r="S24" s="113">
        <v>43.58</v>
      </c>
      <c r="T24" s="113">
        <v>152.51</v>
      </c>
      <c r="U24" s="113">
        <v>223.22</v>
      </c>
      <c r="V24" s="113">
        <v>429.23</v>
      </c>
      <c r="W24" s="113">
        <v>5.6023</v>
      </c>
      <c r="X24" s="113">
        <v>40.59</v>
      </c>
      <c r="Y24" s="113">
        <v>141.0</v>
      </c>
      <c r="Z24" s="113">
        <v>1109.0</v>
      </c>
      <c r="AA24" s="113">
        <v>6705.0</v>
      </c>
      <c r="AB24" s="113">
        <v>59.5877</v>
      </c>
      <c r="AC24" s="113">
        <v>0.8128</v>
      </c>
      <c r="AD24" s="113">
        <v>39.03</v>
      </c>
      <c r="AE24" s="113">
        <v>14.0</v>
      </c>
      <c r="AF24" s="113">
        <v>29.0</v>
      </c>
      <c r="AG24" s="113">
        <v>54.0</v>
      </c>
      <c r="AH24" s="113">
        <v>85.0</v>
      </c>
      <c r="AI24" s="113">
        <v>52.03</v>
      </c>
      <c r="AJ24" s="113">
        <v>21.18</v>
      </c>
      <c r="AK24" s="113">
        <v>7.06</v>
      </c>
      <c r="AL24" s="113">
        <v>0.1344</v>
      </c>
      <c r="AM24" s="113">
        <v>59.79</v>
      </c>
      <c r="AN24" s="115">
        <v>59.79</v>
      </c>
      <c r="AO24" s="115">
        <v>38.19</v>
      </c>
      <c r="AP24" s="115">
        <v>25.92</v>
      </c>
      <c r="AQ24" s="115">
        <v>16.9898</v>
      </c>
      <c r="AR24" s="115">
        <v>2.0143</v>
      </c>
      <c r="AS24" s="115">
        <v>14.9755</v>
      </c>
      <c r="AT24" s="115">
        <v>17.6909</v>
      </c>
      <c r="AU24" s="115">
        <v>0.2309</v>
      </c>
    </row>
    <row r="25" ht="15.75" customHeight="1">
      <c r="A25" s="112">
        <v>46176.0</v>
      </c>
      <c r="B25" s="113" t="s">
        <v>9</v>
      </c>
      <c r="C25" s="113" t="s">
        <v>133</v>
      </c>
      <c r="D25" s="113">
        <v>431.0</v>
      </c>
      <c r="E25" s="113">
        <v>0.51</v>
      </c>
      <c r="F25" s="113">
        <v>1887.44</v>
      </c>
      <c r="G25" s="113">
        <v>4.3792</v>
      </c>
      <c r="H25" s="113">
        <v>17.87</v>
      </c>
      <c r="I25" s="113">
        <v>24.5122</v>
      </c>
      <c r="J25" s="113">
        <v>269.58</v>
      </c>
      <c r="K25" s="113">
        <v>160.29</v>
      </c>
      <c r="L25" s="113">
        <v>136.32</v>
      </c>
      <c r="M25" s="113">
        <v>0.8504</v>
      </c>
      <c r="N25" s="113">
        <v>0.2767</v>
      </c>
      <c r="O25" s="113">
        <v>0.1938</v>
      </c>
      <c r="P25" s="113">
        <v>1.1759</v>
      </c>
      <c r="Q25" s="113">
        <v>689.55</v>
      </c>
      <c r="R25" s="113">
        <v>581.08</v>
      </c>
      <c r="S25" s="113">
        <v>108.47</v>
      </c>
      <c r="T25" s="113">
        <v>264.32</v>
      </c>
      <c r="U25" s="113">
        <v>425.23</v>
      </c>
      <c r="V25" s="113">
        <v>834.57</v>
      </c>
      <c r="W25" s="113">
        <v>5.2065</v>
      </c>
      <c r="X25" s="113">
        <v>38.33</v>
      </c>
      <c r="Y25" s="113">
        <v>309.0</v>
      </c>
      <c r="Z25" s="113">
        <v>2827.0</v>
      </c>
      <c r="AA25" s="113">
        <v>9544.0</v>
      </c>
      <c r="AB25" s="113">
        <v>63.304</v>
      </c>
      <c r="AC25" s="113">
        <v>0.878</v>
      </c>
      <c r="AD25" s="113">
        <v>95.0</v>
      </c>
      <c r="AE25" s="113">
        <v>39.0</v>
      </c>
      <c r="AF25" s="113">
        <v>82.0</v>
      </c>
      <c r="AG25" s="113">
        <v>137.0</v>
      </c>
      <c r="AH25" s="113">
        <v>190.0</v>
      </c>
      <c r="AI25" s="113">
        <v>51.51</v>
      </c>
      <c r="AJ25" s="113">
        <v>13.46</v>
      </c>
      <c r="AK25" s="113">
        <v>2.09</v>
      </c>
      <c r="AL25" s="113">
        <v>0.0928</v>
      </c>
      <c r="AM25" s="113">
        <v>68.68</v>
      </c>
      <c r="AN25" s="115">
        <v>68.68</v>
      </c>
      <c r="AO25" s="115">
        <v>44.32</v>
      </c>
      <c r="AP25" s="115">
        <v>29.93</v>
      </c>
      <c r="AQ25" s="115">
        <v>33.6729</v>
      </c>
      <c r="AR25" s="115">
        <v>3.7935</v>
      </c>
      <c r="AS25" s="115">
        <v>29.8794</v>
      </c>
      <c r="AT25" s="115">
        <v>39.4919</v>
      </c>
      <c r="AU25" s="115">
        <v>0.2464</v>
      </c>
    </row>
    <row r="26" ht="15.75" customHeight="1">
      <c r="A26" s="112">
        <v>46177.0</v>
      </c>
      <c r="B26" s="113" t="s">
        <v>8</v>
      </c>
      <c r="C26" s="113" t="s">
        <v>128</v>
      </c>
      <c r="D26" s="113">
        <v>17742.0</v>
      </c>
      <c r="E26" s="113">
        <v>21.17</v>
      </c>
      <c r="F26" s="113">
        <v>134.37</v>
      </c>
      <c r="G26" s="113">
        <v>0.0076</v>
      </c>
      <c r="H26" s="113">
        <v>0.08</v>
      </c>
      <c r="I26" s="113">
        <v>9.5979</v>
      </c>
      <c r="J26" s="113">
        <v>6.56</v>
      </c>
      <c r="K26" s="113">
        <v>2.87</v>
      </c>
      <c r="L26" s="113">
        <v>0.09</v>
      </c>
      <c r="M26" s="113">
        <v>0.0322</v>
      </c>
      <c r="N26" s="113">
        <v>0.9722</v>
      </c>
      <c r="O26" s="113">
        <v>0.6798</v>
      </c>
      <c r="P26" s="113">
        <v>31.0159</v>
      </c>
      <c r="Q26" s="113">
        <v>23.13</v>
      </c>
      <c r="R26" s="113">
        <v>23.05</v>
      </c>
      <c r="S26" s="113">
        <v>0.08</v>
      </c>
      <c r="T26" s="113">
        <v>0.5</v>
      </c>
      <c r="U26" s="113">
        <v>22.62</v>
      </c>
      <c r="V26" s="113">
        <v>2.54</v>
      </c>
      <c r="W26" s="113">
        <v>0.8882</v>
      </c>
      <c r="X26" s="113">
        <v>2.18</v>
      </c>
      <c r="Y26" s="113">
        <v>189.0</v>
      </c>
      <c r="Z26" s="113">
        <v>2442.0</v>
      </c>
      <c r="AA26" s="113">
        <v>12419.0</v>
      </c>
      <c r="AB26" s="113">
        <v>49.4894</v>
      </c>
      <c r="AC26" s="113">
        <v>0.521</v>
      </c>
      <c r="AD26" s="114"/>
      <c r="AE26" s="114"/>
      <c r="AF26" s="114"/>
      <c r="AG26" s="114"/>
      <c r="AH26" s="114"/>
      <c r="AI26" s="113">
        <v>0.0</v>
      </c>
      <c r="AJ26" s="113">
        <v>0.0</v>
      </c>
      <c r="AK26" s="113">
        <v>0.0</v>
      </c>
      <c r="AL26" s="113">
        <v>0.2762</v>
      </c>
      <c r="AM26" s="114"/>
      <c r="AQ26" s="115">
        <v>0.8591</v>
      </c>
      <c r="AR26" s="115">
        <v>0.0109</v>
      </c>
      <c r="AS26" s="115">
        <v>0.8482</v>
      </c>
      <c r="AT26" s="115">
        <v>0.3744</v>
      </c>
      <c r="AU26" s="115">
        <v>0.1307</v>
      </c>
    </row>
    <row r="27" ht="15.75" customHeight="1">
      <c r="A27" s="112">
        <v>46177.0</v>
      </c>
      <c r="B27" s="113" t="s">
        <v>8</v>
      </c>
      <c r="C27" s="113" t="s">
        <v>129</v>
      </c>
      <c r="D27" s="113">
        <v>32587.0</v>
      </c>
      <c r="E27" s="113">
        <v>38.89</v>
      </c>
      <c r="F27" s="113">
        <v>3597.18</v>
      </c>
      <c r="G27" s="113">
        <v>0.1104</v>
      </c>
      <c r="H27" s="113">
        <v>3.14</v>
      </c>
      <c r="I27" s="113">
        <v>3.5129</v>
      </c>
      <c r="J27" s="113">
        <v>28.64</v>
      </c>
      <c r="K27" s="113">
        <v>13.88</v>
      </c>
      <c r="L27" s="113">
        <v>5.24</v>
      </c>
      <c r="M27" s="113">
        <v>0.3776</v>
      </c>
      <c r="N27" s="113">
        <v>0.7466</v>
      </c>
      <c r="O27" s="113">
        <v>0.5311</v>
      </c>
      <c r="P27" s="113">
        <v>2.648</v>
      </c>
      <c r="Q27" s="113">
        <v>55.81</v>
      </c>
      <c r="R27" s="113">
        <v>44.87</v>
      </c>
      <c r="S27" s="113">
        <v>10.94</v>
      </c>
      <c r="T27" s="113">
        <v>6.87</v>
      </c>
      <c r="U27" s="113">
        <v>48.94</v>
      </c>
      <c r="V27" s="113">
        <v>58.0</v>
      </c>
      <c r="W27" s="113">
        <v>4.1802</v>
      </c>
      <c r="X27" s="113">
        <v>12.31</v>
      </c>
      <c r="Y27" s="113">
        <v>106.0</v>
      </c>
      <c r="Z27" s="113">
        <v>458.0</v>
      </c>
      <c r="AA27" s="113">
        <v>3304.0</v>
      </c>
      <c r="AB27" s="113">
        <v>49.5508</v>
      </c>
      <c r="AC27" s="113">
        <v>0.4965</v>
      </c>
      <c r="AD27" s="113">
        <v>3.69</v>
      </c>
      <c r="AE27" s="113">
        <v>1.0</v>
      </c>
      <c r="AF27" s="113">
        <v>2.0</v>
      </c>
      <c r="AG27" s="113">
        <v>5.0</v>
      </c>
      <c r="AH27" s="113">
        <v>8.0</v>
      </c>
      <c r="AI27" s="113">
        <v>68.5</v>
      </c>
      <c r="AJ27" s="113">
        <v>27.08</v>
      </c>
      <c r="AK27" s="113">
        <v>7.47</v>
      </c>
      <c r="AL27" s="113">
        <v>0.2374</v>
      </c>
      <c r="AM27" s="114"/>
      <c r="AQ27" s="115">
        <v>2.67</v>
      </c>
      <c r="AR27" s="115">
        <v>0.078</v>
      </c>
      <c r="AS27" s="115">
        <v>2.5919</v>
      </c>
      <c r="AT27" s="115">
        <v>2.9105</v>
      </c>
      <c r="AU27" s="115">
        <v>0.2098</v>
      </c>
    </row>
    <row r="28" ht="15.75" customHeight="1">
      <c r="A28" s="112">
        <v>46177.0</v>
      </c>
      <c r="B28" s="113" t="s">
        <v>8</v>
      </c>
      <c r="C28" s="113" t="s">
        <v>130</v>
      </c>
      <c r="D28" s="113">
        <v>18798.0</v>
      </c>
      <c r="E28" s="113">
        <v>22.44</v>
      </c>
      <c r="F28" s="113">
        <v>7466.72</v>
      </c>
      <c r="G28" s="113">
        <v>0.3972</v>
      </c>
      <c r="H28" s="113">
        <v>8.33</v>
      </c>
      <c r="I28" s="113">
        <v>4.7711</v>
      </c>
      <c r="J28" s="113">
        <v>52.45</v>
      </c>
      <c r="K28" s="113">
        <v>26.59</v>
      </c>
      <c r="L28" s="113">
        <v>13.77</v>
      </c>
      <c r="M28" s="113">
        <v>0.5178</v>
      </c>
      <c r="N28" s="113">
        <v>0.6246</v>
      </c>
      <c r="O28" s="113">
        <v>0.4047</v>
      </c>
      <c r="P28" s="113">
        <v>1.9311</v>
      </c>
      <c r="Q28" s="113">
        <v>126.4</v>
      </c>
      <c r="R28" s="113">
        <v>98.7</v>
      </c>
      <c r="S28" s="113">
        <v>27.7</v>
      </c>
      <c r="T28" s="113">
        <v>24.75</v>
      </c>
      <c r="U28" s="113">
        <v>101.65</v>
      </c>
      <c r="V28" s="113">
        <v>124.55</v>
      </c>
      <c r="W28" s="113">
        <v>4.6843</v>
      </c>
      <c r="X28" s="113">
        <v>19.58</v>
      </c>
      <c r="Y28" s="113">
        <v>105.0</v>
      </c>
      <c r="Z28" s="113">
        <v>420.0</v>
      </c>
      <c r="AA28" s="113">
        <v>3185.0</v>
      </c>
      <c r="AB28" s="113">
        <v>52.7506</v>
      </c>
      <c r="AC28" s="113">
        <v>0.5926</v>
      </c>
      <c r="AD28" s="113">
        <v>9.04</v>
      </c>
      <c r="AE28" s="113">
        <v>3.0</v>
      </c>
      <c r="AF28" s="113">
        <v>7.0</v>
      </c>
      <c r="AG28" s="113">
        <v>12.0</v>
      </c>
      <c r="AH28" s="113">
        <v>20.0</v>
      </c>
      <c r="AI28" s="113">
        <v>56.77</v>
      </c>
      <c r="AJ28" s="113">
        <v>24.72</v>
      </c>
      <c r="AK28" s="113">
        <v>4.56</v>
      </c>
      <c r="AL28" s="113">
        <v>0.2028</v>
      </c>
      <c r="AM28" s="114"/>
      <c r="AQ28" s="115">
        <v>5.8856</v>
      </c>
      <c r="AR28" s="115">
        <v>0.2994</v>
      </c>
      <c r="AS28" s="115">
        <v>5.5862</v>
      </c>
      <c r="AT28" s="115">
        <v>5.866</v>
      </c>
      <c r="AU28" s="115">
        <v>0.2206</v>
      </c>
    </row>
    <row r="29" ht="15.75" customHeight="1">
      <c r="A29" s="112">
        <v>46177.0</v>
      </c>
      <c r="B29" s="113" t="s">
        <v>8</v>
      </c>
      <c r="C29" s="113" t="s">
        <v>131</v>
      </c>
      <c r="D29" s="113">
        <v>10071.0</v>
      </c>
      <c r="E29" s="113">
        <v>12.02</v>
      </c>
      <c r="F29" s="113">
        <v>8244.74</v>
      </c>
      <c r="G29" s="113">
        <v>0.8187</v>
      </c>
      <c r="H29" s="113">
        <v>11.72</v>
      </c>
      <c r="I29" s="113">
        <v>6.9871</v>
      </c>
      <c r="J29" s="113">
        <v>77.36</v>
      </c>
      <c r="K29" s="113">
        <v>41.19</v>
      </c>
      <c r="L29" s="113">
        <v>26.5</v>
      </c>
      <c r="M29" s="113">
        <v>0.6433</v>
      </c>
      <c r="N29" s="113">
        <v>0.5033</v>
      </c>
      <c r="O29" s="113">
        <v>0.3216</v>
      </c>
      <c r="P29" s="113">
        <v>1.5544</v>
      </c>
      <c r="Q29" s="113">
        <v>242.77</v>
      </c>
      <c r="R29" s="113">
        <v>186.82</v>
      </c>
      <c r="S29" s="113">
        <v>55.96</v>
      </c>
      <c r="T29" s="113">
        <v>50.01</v>
      </c>
      <c r="U29" s="113">
        <v>192.77</v>
      </c>
      <c r="V29" s="113">
        <v>226.76</v>
      </c>
      <c r="W29" s="113">
        <v>5.5052</v>
      </c>
      <c r="X29" s="113">
        <v>20.6</v>
      </c>
      <c r="Y29" s="113">
        <v>126.0</v>
      </c>
      <c r="Z29" s="113">
        <v>591.0</v>
      </c>
      <c r="AA29" s="113">
        <v>4006.0</v>
      </c>
      <c r="AB29" s="113">
        <v>55.6691</v>
      </c>
      <c r="AC29" s="113">
        <v>0.7117</v>
      </c>
      <c r="AD29" s="113">
        <v>18.57</v>
      </c>
      <c r="AE29" s="113">
        <v>7.0</v>
      </c>
      <c r="AF29" s="113">
        <v>14.0</v>
      </c>
      <c r="AG29" s="113">
        <v>26.0</v>
      </c>
      <c r="AH29" s="113">
        <v>40.0</v>
      </c>
      <c r="AI29" s="113">
        <v>59.72</v>
      </c>
      <c r="AJ29" s="113">
        <v>25.21</v>
      </c>
      <c r="AK29" s="113">
        <v>9.16</v>
      </c>
      <c r="AL29" s="113">
        <v>0.1949</v>
      </c>
      <c r="AM29" s="114"/>
      <c r="AQ29" s="115">
        <v>9.9305</v>
      </c>
      <c r="AR29" s="115">
        <v>0.6318</v>
      </c>
      <c r="AS29" s="115">
        <v>9.2987</v>
      </c>
      <c r="AT29" s="115">
        <v>9.5714</v>
      </c>
      <c r="AU29" s="115">
        <v>0.2324</v>
      </c>
    </row>
    <row r="30" ht="15.75" customHeight="1">
      <c r="A30" s="112">
        <v>46177.0</v>
      </c>
      <c r="B30" s="113" t="s">
        <v>8</v>
      </c>
      <c r="C30" s="113" t="s">
        <v>132</v>
      </c>
      <c r="D30" s="113">
        <v>4148.0</v>
      </c>
      <c r="E30" s="113">
        <v>4.95</v>
      </c>
      <c r="F30" s="113">
        <v>7170.6</v>
      </c>
      <c r="G30" s="113">
        <v>1.7287</v>
      </c>
      <c r="H30" s="113">
        <v>14.92</v>
      </c>
      <c r="I30" s="113">
        <v>11.5842</v>
      </c>
      <c r="J30" s="113">
        <v>125.0</v>
      </c>
      <c r="K30" s="113">
        <v>70.96</v>
      </c>
      <c r="L30" s="113">
        <v>54.28</v>
      </c>
      <c r="M30" s="113">
        <v>0.765</v>
      </c>
      <c r="N30" s="113">
        <v>0.3814</v>
      </c>
      <c r="O30" s="113">
        <v>0.2532</v>
      </c>
      <c r="P30" s="113">
        <v>1.3072</v>
      </c>
      <c r="Q30" s="113">
        <v>499.6</v>
      </c>
      <c r="R30" s="113">
        <v>384.84</v>
      </c>
      <c r="S30" s="113">
        <v>114.76</v>
      </c>
      <c r="T30" s="113">
        <v>106.97</v>
      </c>
      <c r="U30" s="113">
        <v>392.63</v>
      </c>
      <c r="V30" s="113">
        <v>446.56</v>
      </c>
      <c r="W30" s="113">
        <v>6.2933</v>
      </c>
      <c r="X30" s="113">
        <v>21.41</v>
      </c>
      <c r="Y30" s="113">
        <v>203.0</v>
      </c>
      <c r="Z30" s="113">
        <v>1127.0</v>
      </c>
      <c r="AA30" s="113">
        <v>6751.0</v>
      </c>
      <c r="AB30" s="113">
        <v>59.4235</v>
      </c>
      <c r="AC30" s="113">
        <v>0.8049</v>
      </c>
      <c r="AD30" s="113">
        <v>38.32</v>
      </c>
      <c r="AE30" s="113">
        <v>14.0</v>
      </c>
      <c r="AF30" s="113">
        <v>31.0</v>
      </c>
      <c r="AG30" s="113">
        <v>53.0</v>
      </c>
      <c r="AH30" s="113">
        <v>80.0</v>
      </c>
      <c r="AI30" s="113">
        <v>53.62</v>
      </c>
      <c r="AJ30" s="113">
        <v>20.13</v>
      </c>
      <c r="AK30" s="113">
        <v>5.33</v>
      </c>
      <c r="AL30" s="113">
        <v>0.1439</v>
      </c>
      <c r="AM30" s="114"/>
      <c r="AQ30" s="115">
        <v>16.581</v>
      </c>
      <c r="AR30" s="115">
        <v>1.31</v>
      </c>
      <c r="AS30" s="115">
        <v>15.271</v>
      </c>
      <c r="AT30" s="115">
        <v>16.3756</v>
      </c>
      <c r="AU30" s="115">
        <v>0.2308</v>
      </c>
    </row>
    <row r="31" ht="15.75" customHeight="1">
      <c r="A31" s="112">
        <v>46177.0</v>
      </c>
      <c r="B31" s="113" t="s">
        <v>8</v>
      </c>
      <c r="C31" s="113" t="s">
        <v>133</v>
      </c>
      <c r="D31" s="113">
        <v>442.0</v>
      </c>
      <c r="E31" s="113">
        <v>0.53</v>
      </c>
      <c r="F31" s="113">
        <v>885.79</v>
      </c>
      <c r="G31" s="113">
        <v>2.004</v>
      </c>
      <c r="H31" s="113">
        <v>12.22</v>
      </c>
      <c r="I31" s="113">
        <v>16.4035</v>
      </c>
      <c r="J31" s="113">
        <v>256.15</v>
      </c>
      <c r="K31" s="113">
        <v>157.62</v>
      </c>
      <c r="L31" s="113">
        <v>137.74</v>
      </c>
      <c r="M31" s="113">
        <v>0.8738</v>
      </c>
      <c r="N31" s="113">
        <v>0.2556</v>
      </c>
      <c r="O31" s="113">
        <v>0.1853</v>
      </c>
      <c r="P31" s="113">
        <v>1.1444</v>
      </c>
      <c r="Q31" s="113">
        <v>956.88</v>
      </c>
      <c r="R31" s="113">
        <v>664.82</v>
      </c>
      <c r="S31" s="113">
        <v>292.06</v>
      </c>
      <c r="T31" s="113">
        <v>132.01</v>
      </c>
      <c r="U31" s="113">
        <v>824.86</v>
      </c>
      <c r="V31" s="113">
        <v>888.46</v>
      </c>
      <c r="W31" s="113">
        <v>5.6366</v>
      </c>
      <c r="X31" s="113">
        <v>13.8</v>
      </c>
      <c r="Y31" s="113">
        <v>517.0</v>
      </c>
      <c r="Z31" s="113">
        <v>3063.0</v>
      </c>
      <c r="AA31" s="113">
        <v>10562.0</v>
      </c>
      <c r="AB31" s="113">
        <v>63.3779</v>
      </c>
      <c r="AC31" s="113">
        <v>0.8819</v>
      </c>
      <c r="AD31" s="113">
        <v>96.43</v>
      </c>
      <c r="AE31" s="113">
        <v>44.0</v>
      </c>
      <c r="AF31" s="113">
        <v>84.0</v>
      </c>
      <c r="AG31" s="113">
        <v>135.0</v>
      </c>
      <c r="AH31" s="113">
        <v>183.0</v>
      </c>
      <c r="AI31" s="113">
        <v>51.81</v>
      </c>
      <c r="AJ31" s="113">
        <v>11.09</v>
      </c>
      <c r="AK31" s="113">
        <v>1.81</v>
      </c>
      <c r="AL31" s="113">
        <v>0.1018</v>
      </c>
      <c r="AM31" s="114"/>
      <c r="AQ31" s="115">
        <v>33.7398</v>
      </c>
      <c r="AR31" s="115">
        <v>2.2104</v>
      </c>
      <c r="AS31" s="115">
        <v>31.5294</v>
      </c>
      <c r="AT31" s="115">
        <v>39.2805</v>
      </c>
      <c r="AU31" s="115">
        <v>0.2492</v>
      </c>
    </row>
    <row r="32" ht="15.75" customHeight="1">
      <c r="A32" s="112">
        <v>46177.0</v>
      </c>
      <c r="B32" s="113" t="s">
        <v>9</v>
      </c>
      <c r="C32" s="113" t="s">
        <v>128</v>
      </c>
      <c r="D32" s="113">
        <v>17776.0</v>
      </c>
      <c r="E32" s="113">
        <v>21.3</v>
      </c>
      <c r="F32" s="113">
        <v>34.63</v>
      </c>
      <c r="G32" s="113">
        <v>0.0019</v>
      </c>
      <c r="H32" s="113">
        <v>0.06</v>
      </c>
      <c r="I32" s="113">
        <v>3.1482</v>
      </c>
      <c r="J32" s="113">
        <v>6.64</v>
      </c>
      <c r="K32" s="113">
        <v>2.87</v>
      </c>
      <c r="L32" s="113">
        <v>0.07</v>
      </c>
      <c r="M32" s="113">
        <v>0.0244</v>
      </c>
      <c r="N32" s="113">
        <v>0.9786</v>
      </c>
      <c r="O32" s="113">
        <v>0.7274</v>
      </c>
      <c r="P32" s="113">
        <v>40.9984</v>
      </c>
      <c r="Q32" s="113">
        <v>21.96</v>
      </c>
      <c r="R32" s="113">
        <v>21.9</v>
      </c>
      <c r="S32" s="113">
        <v>0.06</v>
      </c>
      <c r="T32" s="113">
        <v>0.23</v>
      </c>
      <c r="U32" s="113">
        <v>21.73</v>
      </c>
      <c r="V32" s="113">
        <v>1.86</v>
      </c>
      <c r="W32" s="113">
        <v>0.6495</v>
      </c>
      <c r="X32" s="113">
        <v>1.03</v>
      </c>
      <c r="Y32" s="113">
        <v>220.0</v>
      </c>
      <c r="Z32" s="113">
        <v>2310.0</v>
      </c>
      <c r="AA32" s="113">
        <v>11957.0</v>
      </c>
      <c r="AB32" s="113">
        <v>49.4879</v>
      </c>
      <c r="AC32" s="113">
        <v>0.5209</v>
      </c>
      <c r="AD32" s="114"/>
      <c r="AE32" s="114"/>
      <c r="AF32" s="114"/>
      <c r="AG32" s="114"/>
      <c r="AH32" s="114"/>
      <c r="AI32" s="113">
        <v>0.0</v>
      </c>
      <c r="AJ32" s="113">
        <v>0.0</v>
      </c>
      <c r="AK32" s="113">
        <v>0.0</v>
      </c>
      <c r="AL32" s="113">
        <v>0.2796</v>
      </c>
      <c r="AM32" s="113">
        <v>0.2</v>
      </c>
      <c r="AN32" s="115">
        <v>0.2</v>
      </c>
      <c r="AO32" s="115">
        <v>0.1</v>
      </c>
      <c r="AP32" s="115">
        <v>0.06</v>
      </c>
      <c r="AQ32" s="115">
        <v>0.846</v>
      </c>
      <c r="AR32" s="115">
        <v>0.0036</v>
      </c>
      <c r="AS32" s="115">
        <v>0.8424</v>
      </c>
      <c r="AT32" s="115">
        <v>0.3696</v>
      </c>
      <c r="AU32" s="115">
        <v>0.1289</v>
      </c>
    </row>
    <row r="33" ht="15.75" customHeight="1">
      <c r="A33" s="112">
        <v>46177.0</v>
      </c>
      <c r="B33" s="113" t="s">
        <v>9</v>
      </c>
      <c r="C33" s="113" t="s">
        <v>129</v>
      </c>
      <c r="D33" s="113">
        <v>31748.0</v>
      </c>
      <c r="E33" s="113">
        <v>38.04</v>
      </c>
      <c r="F33" s="113">
        <v>3889.87</v>
      </c>
      <c r="G33" s="113">
        <v>0.1225</v>
      </c>
      <c r="H33" s="113">
        <v>3.33</v>
      </c>
      <c r="I33" s="113">
        <v>3.6801</v>
      </c>
      <c r="J33" s="113">
        <v>30.31</v>
      </c>
      <c r="K33" s="113">
        <v>14.65</v>
      </c>
      <c r="L33" s="113">
        <v>5.35</v>
      </c>
      <c r="M33" s="113">
        <v>0.365</v>
      </c>
      <c r="N33" s="113">
        <v>0.7531</v>
      </c>
      <c r="O33" s="113">
        <v>0.5318</v>
      </c>
      <c r="P33" s="113">
        <v>2.7399</v>
      </c>
      <c r="Q33" s="113">
        <v>51.75</v>
      </c>
      <c r="R33" s="113">
        <v>47.72</v>
      </c>
      <c r="S33" s="113">
        <v>4.03</v>
      </c>
      <c r="T33" s="113">
        <v>7.83</v>
      </c>
      <c r="U33" s="113">
        <v>43.93</v>
      </c>
      <c r="V33" s="113">
        <v>56.53</v>
      </c>
      <c r="W33" s="113">
        <v>3.86</v>
      </c>
      <c r="X33" s="113">
        <v>15.12</v>
      </c>
      <c r="Y33" s="113">
        <v>99.0</v>
      </c>
      <c r="Z33" s="113">
        <v>434.0</v>
      </c>
      <c r="AA33" s="113">
        <v>3148.0</v>
      </c>
      <c r="AB33" s="113">
        <v>49.5965</v>
      </c>
      <c r="AC33" s="113">
        <v>0.4988</v>
      </c>
      <c r="AD33" s="113">
        <v>3.73</v>
      </c>
      <c r="AE33" s="113">
        <v>1.0</v>
      </c>
      <c r="AF33" s="113">
        <v>2.0</v>
      </c>
      <c r="AG33" s="113">
        <v>5.0</v>
      </c>
      <c r="AH33" s="113">
        <v>8.0</v>
      </c>
      <c r="AI33" s="113">
        <v>68.46</v>
      </c>
      <c r="AJ33" s="113">
        <v>27.21</v>
      </c>
      <c r="AK33" s="113">
        <v>8.01</v>
      </c>
      <c r="AL33" s="113">
        <v>0.2395</v>
      </c>
      <c r="AM33" s="113">
        <v>56.58</v>
      </c>
      <c r="AN33" s="115">
        <v>56.58</v>
      </c>
      <c r="AO33" s="115">
        <v>24.32</v>
      </c>
      <c r="AP33" s="115">
        <v>7.12</v>
      </c>
      <c r="AQ33" s="115">
        <v>3.1016</v>
      </c>
      <c r="AR33" s="115">
        <v>0.0915</v>
      </c>
      <c r="AS33" s="115">
        <v>3.0101</v>
      </c>
      <c r="AT33" s="115">
        <v>3.1083</v>
      </c>
      <c r="AU33" s="115">
        <v>0.2122</v>
      </c>
    </row>
    <row r="34" ht="15.75" customHeight="1">
      <c r="A34" s="112">
        <v>46177.0</v>
      </c>
      <c r="B34" s="113" t="s">
        <v>9</v>
      </c>
      <c r="C34" s="113" t="s">
        <v>130</v>
      </c>
      <c r="D34" s="113">
        <v>19218.0</v>
      </c>
      <c r="E34" s="113">
        <v>23.03</v>
      </c>
      <c r="F34" s="113">
        <v>7227.0</v>
      </c>
      <c r="G34" s="113">
        <v>0.3761</v>
      </c>
      <c r="H34" s="113">
        <v>7.95</v>
      </c>
      <c r="I34" s="113">
        <v>4.7297</v>
      </c>
      <c r="J34" s="113">
        <v>54.48</v>
      </c>
      <c r="K34" s="113">
        <v>27.59</v>
      </c>
      <c r="L34" s="113">
        <v>13.94</v>
      </c>
      <c r="M34" s="113">
        <v>0.5053</v>
      </c>
      <c r="N34" s="113">
        <v>0.633</v>
      </c>
      <c r="O34" s="113">
        <v>0.4076</v>
      </c>
      <c r="P34" s="113">
        <v>1.9792</v>
      </c>
      <c r="Q34" s="113">
        <v>119.19</v>
      </c>
      <c r="R34" s="113">
        <v>109.01</v>
      </c>
      <c r="S34" s="113">
        <v>10.18</v>
      </c>
      <c r="T34" s="113">
        <v>23.4</v>
      </c>
      <c r="U34" s="113">
        <v>95.79</v>
      </c>
      <c r="V34" s="113">
        <v>119.08</v>
      </c>
      <c r="W34" s="113">
        <v>4.3152</v>
      </c>
      <c r="X34" s="113">
        <v>19.63</v>
      </c>
      <c r="Y34" s="113">
        <v>97.0</v>
      </c>
      <c r="Z34" s="113">
        <v>391.0</v>
      </c>
      <c r="AA34" s="113">
        <v>2938.0</v>
      </c>
      <c r="AB34" s="113">
        <v>52.6233</v>
      </c>
      <c r="AC34" s="113">
        <v>0.5896</v>
      </c>
      <c r="AD34" s="113">
        <v>9.1</v>
      </c>
      <c r="AE34" s="113">
        <v>3.0</v>
      </c>
      <c r="AF34" s="113">
        <v>7.0</v>
      </c>
      <c r="AG34" s="113">
        <v>12.0</v>
      </c>
      <c r="AH34" s="113">
        <v>20.0</v>
      </c>
      <c r="AI34" s="113">
        <v>56.34</v>
      </c>
      <c r="AJ34" s="113">
        <v>24.92</v>
      </c>
      <c r="AK34" s="113">
        <v>4.76</v>
      </c>
      <c r="AL34" s="113">
        <v>0.2016</v>
      </c>
      <c r="AM34" s="113">
        <v>61.41</v>
      </c>
      <c r="AN34" s="115">
        <v>61.41</v>
      </c>
      <c r="AO34" s="115">
        <v>38.97</v>
      </c>
      <c r="AP34" s="115">
        <v>20.61</v>
      </c>
      <c r="AQ34" s="115">
        <v>6.6756</v>
      </c>
      <c r="AR34" s="115">
        <v>0.2798</v>
      </c>
      <c r="AS34" s="115">
        <v>6.3958</v>
      </c>
      <c r="AT34" s="115">
        <v>6.2561</v>
      </c>
      <c r="AU34" s="115">
        <v>0.2267</v>
      </c>
    </row>
    <row r="35" ht="15.75" customHeight="1">
      <c r="A35" s="112">
        <v>46177.0</v>
      </c>
      <c r="B35" s="113" t="s">
        <v>9</v>
      </c>
      <c r="C35" s="113" t="s">
        <v>131</v>
      </c>
      <c r="D35" s="113">
        <v>10014.0</v>
      </c>
      <c r="E35" s="113">
        <v>12.0</v>
      </c>
      <c r="F35" s="113">
        <v>8617.61</v>
      </c>
      <c r="G35" s="113">
        <v>0.8606</v>
      </c>
      <c r="H35" s="113">
        <v>12.27</v>
      </c>
      <c r="I35" s="113">
        <v>7.0119</v>
      </c>
      <c r="J35" s="113">
        <v>81.08</v>
      </c>
      <c r="K35" s="113">
        <v>43.56</v>
      </c>
      <c r="L35" s="113">
        <v>27.14</v>
      </c>
      <c r="M35" s="113">
        <v>0.6231</v>
      </c>
      <c r="N35" s="113">
        <v>0.5179</v>
      </c>
      <c r="O35" s="113">
        <v>0.3242</v>
      </c>
      <c r="P35" s="113">
        <v>1.605</v>
      </c>
      <c r="Q35" s="113">
        <v>241.73</v>
      </c>
      <c r="R35" s="113">
        <v>220.93</v>
      </c>
      <c r="S35" s="113">
        <v>20.8</v>
      </c>
      <c r="T35" s="113">
        <v>53.07</v>
      </c>
      <c r="U35" s="113">
        <v>188.67</v>
      </c>
      <c r="V35" s="113">
        <v>224.52</v>
      </c>
      <c r="W35" s="113">
        <v>5.154</v>
      </c>
      <c r="X35" s="113">
        <v>21.95</v>
      </c>
      <c r="Y35" s="113">
        <v>109.0</v>
      </c>
      <c r="Z35" s="113">
        <v>551.0</v>
      </c>
      <c r="AA35" s="113">
        <v>3838.0</v>
      </c>
      <c r="AB35" s="113">
        <v>55.6634</v>
      </c>
      <c r="AC35" s="113">
        <v>0.7029</v>
      </c>
      <c r="AD35" s="113">
        <v>18.76</v>
      </c>
      <c r="AE35" s="113">
        <v>6.0</v>
      </c>
      <c r="AF35" s="113">
        <v>14.0</v>
      </c>
      <c r="AG35" s="113">
        <v>26.0</v>
      </c>
      <c r="AH35" s="113">
        <v>41.0</v>
      </c>
      <c r="AI35" s="113">
        <v>59.33</v>
      </c>
      <c r="AJ35" s="113">
        <v>26.4</v>
      </c>
      <c r="AK35" s="113">
        <v>9.64</v>
      </c>
      <c r="AL35" s="113">
        <v>0.1909</v>
      </c>
      <c r="AM35" s="113">
        <v>62.71</v>
      </c>
      <c r="AN35" s="115">
        <v>62.71</v>
      </c>
      <c r="AO35" s="115">
        <v>40.86</v>
      </c>
      <c r="AP35" s="115">
        <v>25.01</v>
      </c>
      <c r="AQ35" s="115">
        <v>10.894</v>
      </c>
      <c r="AR35" s="115">
        <v>0.6343</v>
      </c>
      <c r="AS35" s="115">
        <v>10.2597</v>
      </c>
      <c r="AT35" s="115">
        <v>10.106</v>
      </c>
      <c r="AU35" s="115">
        <v>0.232</v>
      </c>
    </row>
    <row r="36" ht="15.75" customHeight="1">
      <c r="A36" s="112">
        <v>46177.0</v>
      </c>
      <c r="B36" s="113" t="s">
        <v>9</v>
      </c>
      <c r="C36" s="113" t="s">
        <v>132</v>
      </c>
      <c r="D36" s="113">
        <v>4205.0</v>
      </c>
      <c r="E36" s="113">
        <v>5.04</v>
      </c>
      <c r="F36" s="113">
        <v>7840.61</v>
      </c>
      <c r="G36" s="113">
        <v>1.8646</v>
      </c>
      <c r="H36" s="113">
        <v>15.41</v>
      </c>
      <c r="I36" s="113">
        <v>12.0997</v>
      </c>
      <c r="J36" s="113">
        <v>131.85</v>
      </c>
      <c r="K36" s="113">
        <v>74.79</v>
      </c>
      <c r="L36" s="113">
        <v>57.09</v>
      </c>
      <c r="M36" s="113">
        <v>0.7633</v>
      </c>
      <c r="N36" s="113">
        <v>0.3798</v>
      </c>
      <c r="O36" s="113">
        <v>0.2485</v>
      </c>
      <c r="P36" s="113">
        <v>1.3101</v>
      </c>
      <c r="Q36" s="113">
        <v>510.73</v>
      </c>
      <c r="R36" s="113">
        <v>466.11</v>
      </c>
      <c r="S36" s="113">
        <v>44.62</v>
      </c>
      <c r="T36" s="113">
        <v>112.96</v>
      </c>
      <c r="U36" s="113">
        <v>397.77</v>
      </c>
      <c r="V36" s="113">
        <v>472.44</v>
      </c>
      <c r="W36" s="113">
        <v>6.3166</v>
      </c>
      <c r="X36" s="113">
        <v>22.12</v>
      </c>
      <c r="Y36" s="113">
        <v>192.0</v>
      </c>
      <c r="Z36" s="113">
        <v>1106.0</v>
      </c>
      <c r="AA36" s="113">
        <v>6311.0</v>
      </c>
      <c r="AB36" s="113">
        <v>59.3289</v>
      </c>
      <c r="AC36" s="113">
        <v>0.8037</v>
      </c>
      <c r="AD36" s="113">
        <v>41.0</v>
      </c>
      <c r="AE36" s="113">
        <v>15.0</v>
      </c>
      <c r="AF36" s="113">
        <v>33.0</v>
      </c>
      <c r="AG36" s="113">
        <v>57.0</v>
      </c>
      <c r="AH36" s="113">
        <v>87.0</v>
      </c>
      <c r="AI36" s="113">
        <v>55.43</v>
      </c>
      <c r="AJ36" s="113">
        <v>23.64</v>
      </c>
      <c r="AK36" s="113">
        <v>7.06</v>
      </c>
      <c r="AL36" s="113">
        <v>0.1493</v>
      </c>
      <c r="AM36" s="113">
        <v>64.85</v>
      </c>
      <c r="AN36" s="115">
        <v>64.85</v>
      </c>
      <c r="AO36" s="115">
        <v>43.31</v>
      </c>
      <c r="AP36" s="115">
        <v>29.39</v>
      </c>
      <c r="AQ36" s="115">
        <v>18.6749</v>
      </c>
      <c r="AR36" s="115">
        <v>1.7196</v>
      </c>
      <c r="AS36" s="115">
        <v>16.9553</v>
      </c>
      <c r="AT36" s="115">
        <v>18.0518</v>
      </c>
      <c r="AU36" s="115">
        <v>0.2414</v>
      </c>
    </row>
    <row r="37" ht="15.75" customHeight="1">
      <c r="A37" s="112">
        <v>46177.0</v>
      </c>
      <c r="B37" s="113" t="s">
        <v>9</v>
      </c>
      <c r="C37" s="113" t="s">
        <v>133</v>
      </c>
      <c r="D37" s="113">
        <v>495.0</v>
      </c>
      <c r="E37" s="113">
        <v>0.59</v>
      </c>
      <c r="F37" s="113">
        <v>1681.47</v>
      </c>
      <c r="G37" s="113">
        <v>3.3969</v>
      </c>
      <c r="H37" s="113">
        <v>16.36</v>
      </c>
      <c r="I37" s="113">
        <v>20.7589</v>
      </c>
      <c r="J37" s="113">
        <v>253.96</v>
      </c>
      <c r="K37" s="113">
        <v>152.53</v>
      </c>
      <c r="L37" s="113">
        <v>134.67</v>
      </c>
      <c r="M37" s="113">
        <v>0.883</v>
      </c>
      <c r="N37" s="113">
        <v>0.251</v>
      </c>
      <c r="O37" s="113">
        <v>0.185</v>
      </c>
      <c r="P37" s="113">
        <v>1.1326</v>
      </c>
      <c r="Q37" s="113">
        <v>1014.07</v>
      </c>
      <c r="R37" s="113">
        <v>908.42</v>
      </c>
      <c r="S37" s="113">
        <v>105.65</v>
      </c>
      <c r="T37" s="113">
        <v>222.03</v>
      </c>
      <c r="U37" s="113">
        <v>792.04</v>
      </c>
      <c r="V37" s="113">
        <v>876.16</v>
      </c>
      <c r="W37" s="113">
        <v>5.7443</v>
      </c>
      <c r="X37" s="113">
        <v>21.89</v>
      </c>
      <c r="Y37" s="113">
        <v>537.0</v>
      </c>
      <c r="Z37" s="113">
        <v>3134.0</v>
      </c>
      <c r="AA37" s="113">
        <v>10625.0</v>
      </c>
      <c r="AB37" s="113">
        <v>62.6979</v>
      </c>
      <c r="AC37" s="113">
        <v>0.8812</v>
      </c>
      <c r="AD37" s="113">
        <v>100.19</v>
      </c>
      <c r="AE37" s="113">
        <v>46.0</v>
      </c>
      <c r="AF37" s="113">
        <v>88.0</v>
      </c>
      <c r="AG37" s="113">
        <v>137.0</v>
      </c>
      <c r="AH37" s="113">
        <v>193.0</v>
      </c>
      <c r="AI37" s="113">
        <v>54.55</v>
      </c>
      <c r="AJ37" s="113">
        <v>14.55</v>
      </c>
      <c r="AK37" s="113">
        <v>1.62</v>
      </c>
      <c r="AL37" s="113">
        <v>0.1273</v>
      </c>
      <c r="AM37" s="113">
        <v>72.73</v>
      </c>
      <c r="AN37" s="115">
        <v>72.73</v>
      </c>
      <c r="AO37" s="115">
        <v>48.89</v>
      </c>
      <c r="AP37" s="115">
        <v>31.92</v>
      </c>
      <c r="AQ37" s="115">
        <v>36.4162</v>
      </c>
      <c r="AR37" s="115">
        <v>3.2303</v>
      </c>
      <c r="AS37" s="115">
        <v>33.1859</v>
      </c>
      <c r="AT37" s="115">
        <v>38.8182</v>
      </c>
      <c r="AU37" s="115">
        <v>0.2545</v>
      </c>
    </row>
    <row r="38" ht="15.75" customHeight="1">
      <c r="A38" s="112">
        <v>46178.0</v>
      </c>
      <c r="B38" s="113" t="s">
        <v>8</v>
      </c>
      <c r="C38" s="113" t="s">
        <v>128</v>
      </c>
      <c r="D38" s="113">
        <v>16259.0</v>
      </c>
      <c r="E38" s="113">
        <v>19.9</v>
      </c>
      <c r="F38" s="113">
        <v>79.96</v>
      </c>
      <c r="G38" s="113">
        <v>0.0049</v>
      </c>
      <c r="H38" s="113">
        <v>0.15</v>
      </c>
      <c r="I38" s="113">
        <v>3.1984</v>
      </c>
      <c r="J38" s="113">
        <v>6.19</v>
      </c>
      <c r="K38" s="113">
        <v>2.59</v>
      </c>
      <c r="L38" s="113">
        <v>0.03</v>
      </c>
      <c r="M38" s="113">
        <v>0.0107</v>
      </c>
      <c r="N38" s="113">
        <v>0.9908</v>
      </c>
      <c r="O38" s="113">
        <v>0.8786</v>
      </c>
      <c r="P38" s="113">
        <v>93.8419</v>
      </c>
      <c r="Q38" s="113">
        <v>30.97</v>
      </c>
      <c r="R38" s="113">
        <v>30.86</v>
      </c>
      <c r="S38" s="113">
        <v>0.11</v>
      </c>
      <c r="T38" s="113">
        <v>0.29</v>
      </c>
      <c r="U38" s="113">
        <v>30.68</v>
      </c>
      <c r="V38" s="113">
        <v>2.21</v>
      </c>
      <c r="W38" s="113">
        <v>0.852</v>
      </c>
      <c r="X38" s="113">
        <v>0.94</v>
      </c>
      <c r="Y38" s="113">
        <v>242.0</v>
      </c>
      <c r="Z38" s="113">
        <v>2941.0</v>
      </c>
      <c r="AA38" s="113">
        <v>13510.0</v>
      </c>
      <c r="AB38" s="113">
        <v>49.6863</v>
      </c>
      <c r="AC38" s="113">
        <v>0.5312</v>
      </c>
      <c r="AD38" s="114"/>
      <c r="AE38" s="114"/>
      <c r="AF38" s="114"/>
      <c r="AG38" s="114"/>
      <c r="AH38" s="114"/>
      <c r="AI38" s="113">
        <v>0.0</v>
      </c>
      <c r="AJ38" s="113">
        <v>0.0</v>
      </c>
      <c r="AK38" s="113">
        <v>0.0</v>
      </c>
      <c r="AL38" s="113">
        <v>0.2952</v>
      </c>
      <c r="AM38" s="114"/>
      <c r="AQ38" s="115">
        <v>1.5661</v>
      </c>
      <c r="AR38" s="115">
        <v>0.0069</v>
      </c>
      <c r="AS38" s="115">
        <v>1.5592</v>
      </c>
      <c r="AT38" s="115">
        <v>0.4567</v>
      </c>
      <c r="AU38" s="115">
        <v>0.1762</v>
      </c>
    </row>
    <row r="39" ht="15.75" customHeight="1">
      <c r="A39" s="112">
        <v>46178.0</v>
      </c>
      <c r="B39" s="113" t="s">
        <v>8</v>
      </c>
      <c r="C39" s="113" t="s">
        <v>129</v>
      </c>
      <c r="D39" s="113">
        <v>32724.0</v>
      </c>
      <c r="E39" s="113">
        <v>40.06</v>
      </c>
      <c r="F39" s="113">
        <v>3672.3</v>
      </c>
      <c r="G39" s="113">
        <v>0.1122</v>
      </c>
      <c r="H39" s="113">
        <v>3.23</v>
      </c>
      <c r="I39" s="113">
        <v>3.4776</v>
      </c>
      <c r="J39" s="113">
        <v>32.18</v>
      </c>
      <c r="K39" s="113">
        <v>15.77</v>
      </c>
      <c r="L39" s="113">
        <v>5.73</v>
      </c>
      <c r="M39" s="113">
        <v>0.3632</v>
      </c>
      <c r="N39" s="113">
        <v>0.7551</v>
      </c>
      <c r="O39" s="113">
        <v>0.5261</v>
      </c>
      <c r="P39" s="113">
        <v>2.7536</v>
      </c>
      <c r="Q39" s="113">
        <v>78.4</v>
      </c>
      <c r="R39" s="113">
        <v>66.52</v>
      </c>
      <c r="S39" s="113">
        <v>11.89</v>
      </c>
      <c r="T39" s="113">
        <v>7.51</v>
      </c>
      <c r="U39" s="113">
        <v>70.89</v>
      </c>
      <c r="V39" s="113">
        <v>66.42</v>
      </c>
      <c r="W39" s="113">
        <v>4.2112</v>
      </c>
      <c r="X39" s="113">
        <v>9.58</v>
      </c>
      <c r="Y39" s="113">
        <v>115.0</v>
      </c>
      <c r="Z39" s="113">
        <v>466.0</v>
      </c>
      <c r="AA39" s="113">
        <v>3258.0</v>
      </c>
      <c r="AB39" s="113">
        <v>49.4304</v>
      </c>
      <c r="AC39" s="113">
        <v>0.4927</v>
      </c>
      <c r="AD39" s="113">
        <v>3.9</v>
      </c>
      <c r="AE39" s="113">
        <v>1.0</v>
      </c>
      <c r="AF39" s="113">
        <v>2.0</v>
      </c>
      <c r="AG39" s="113">
        <v>5.0</v>
      </c>
      <c r="AH39" s="113">
        <v>9.0</v>
      </c>
      <c r="AI39" s="113">
        <v>71.6</v>
      </c>
      <c r="AJ39" s="113">
        <v>29.46</v>
      </c>
      <c r="AK39" s="113">
        <v>8.28</v>
      </c>
      <c r="AL39" s="113">
        <v>0.252</v>
      </c>
      <c r="AM39" s="114"/>
      <c r="AQ39" s="115">
        <v>4.2627</v>
      </c>
      <c r="AR39" s="115">
        <v>0.0983</v>
      </c>
      <c r="AS39" s="115">
        <v>4.1644</v>
      </c>
      <c r="AT39" s="115">
        <v>3.6471</v>
      </c>
      <c r="AU39" s="115">
        <v>0.2312</v>
      </c>
    </row>
    <row r="40" ht="15.75" customHeight="1">
      <c r="A40" s="112">
        <v>46178.0</v>
      </c>
      <c r="B40" s="113" t="s">
        <v>8</v>
      </c>
      <c r="C40" s="113" t="s">
        <v>130</v>
      </c>
      <c r="D40" s="113">
        <v>18084.0</v>
      </c>
      <c r="E40" s="113">
        <v>22.14</v>
      </c>
      <c r="F40" s="113">
        <v>7037.77</v>
      </c>
      <c r="G40" s="113">
        <v>0.3892</v>
      </c>
      <c r="H40" s="113">
        <v>8.31</v>
      </c>
      <c r="I40" s="113">
        <v>4.6856</v>
      </c>
      <c r="J40" s="113">
        <v>58.05</v>
      </c>
      <c r="K40" s="113">
        <v>29.68</v>
      </c>
      <c r="L40" s="113">
        <v>14.36</v>
      </c>
      <c r="M40" s="113">
        <v>0.4839</v>
      </c>
      <c r="N40" s="113">
        <v>0.652</v>
      </c>
      <c r="O40" s="113">
        <v>0.4211</v>
      </c>
      <c r="P40" s="113">
        <v>2.0664</v>
      </c>
      <c r="Q40" s="113">
        <v>141.1</v>
      </c>
      <c r="R40" s="113">
        <v>111.11</v>
      </c>
      <c r="S40" s="113">
        <v>30.0</v>
      </c>
      <c r="T40" s="113">
        <v>24.29</v>
      </c>
      <c r="U40" s="113">
        <v>116.81</v>
      </c>
      <c r="V40" s="113">
        <v>133.15</v>
      </c>
      <c r="W40" s="113">
        <v>4.4867</v>
      </c>
      <c r="X40" s="113">
        <v>17.22</v>
      </c>
      <c r="Y40" s="113">
        <v>107.0</v>
      </c>
      <c r="Z40" s="113">
        <v>405.0</v>
      </c>
      <c r="AA40" s="113">
        <v>2851.0</v>
      </c>
      <c r="AB40" s="113">
        <v>52.6763</v>
      </c>
      <c r="AC40" s="113">
        <v>0.5999</v>
      </c>
      <c r="AD40" s="113">
        <v>9.47</v>
      </c>
      <c r="AE40" s="113">
        <v>3.0</v>
      </c>
      <c r="AF40" s="113">
        <v>7.0</v>
      </c>
      <c r="AG40" s="113">
        <v>13.0</v>
      </c>
      <c r="AH40" s="113">
        <v>20.0</v>
      </c>
      <c r="AI40" s="113">
        <v>59.62</v>
      </c>
      <c r="AJ40" s="113">
        <v>26.42</v>
      </c>
      <c r="AK40" s="113">
        <v>4.99</v>
      </c>
      <c r="AL40" s="113">
        <v>0.2158</v>
      </c>
      <c r="AM40" s="114"/>
      <c r="AQ40" s="115">
        <v>7.7449</v>
      </c>
      <c r="AR40" s="115">
        <v>0.3375</v>
      </c>
      <c r="AS40" s="115">
        <v>7.4074</v>
      </c>
      <c r="AT40" s="115">
        <v>6.9835</v>
      </c>
      <c r="AU40" s="115">
        <v>0.2353</v>
      </c>
    </row>
    <row r="41" ht="15.75" customHeight="1">
      <c r="A41" s="112">
        <v>46178.0</v>
      </c>
      <c r="B41" s="113" t="s">
        <v>8</v>
      </c>
      <c r="C41" s="113" t="s">
        <v>131</v>
      </c>
      <c r="D41" s="113">
        <v>10152.0</v>
      </c>
      <c r="E41" s="113">
        <v>12.43</v>
      </c>
      <c r="F41" s="113">
        <v>9162.75</v>
      </c>
      <c r="G41" s="113">
        <v>0.9026</v>
      </c>
      <c r="H41" s="113">
        <v>12.27</v>
      </c>
      <c r="I41" s="113">
        <v>7.3537</v>
      </c>
      <c r="J41" s="113">
        <v>83.9</v>
      </c>
      <c r="K41" s="113">
        <v>45.12</v>
      </c>
      <c r="L41" s="113">
        <v>27.24</v>
      </c>
      <c r="M41" s="113">
        <v>0.6037</v>
      </c>
      <c r="N41" s="113">
        <v>0.5361</v>
      </c>
      <c r="O41" s="113">
        <v>0.3352</v>
      </c>
      <c r="P41" s="113">
        <v>1.6565</v>
      </c>
      <c r="Q41" s="113">
        <v>238.24</v>
      </c>
      <c r="R41" s="113">
        <v>180.58</v>
      </c>
      <c r="S41" s="113">
        <v>57.66</v>
      </c>
      <c r="T41" s="113">
        <v>56.05</v>
      </c>
      <c r="U41" s="113">
        <v>182.19</v>
      </c>
      <c r="V41" s="113">
        <v>238.9</v>
      </c>
      <c r="W41" s="113">
        <v>5.2945</v>
      </c>
      <c r="X41" s="113">
        <v>23.53</v>
      </c>
      <c r="Y41" s="113">
        <v>125.0</v>
      </c>
      <c r="Z41" s="113">
        <v>575.0</v>
      </c>
      <c r="AA41" s="113">
        <v>3939.0</v>
      </c>
      <c r="AB41" s="113">
        <v>55.6504</v>
      </c>
      <c r="AC41" s="113">
        <v>0.7168</v>
      </c>
      <c r="AD41" s="113">
        <v>18.4</v>
      </c>
      <c r="AE41" s="113">
        <v>7.0</v>
      </c>
      <c r="AF41" s="113">
        <v>14.0</v>
      </c>
      <c r="AG41" s="113">
        <v>26.0</v>
      </c>
      <c r="AH41" s="113">
        <v>39.0</v>
      </c>
      <c r="AI41" s="113">
        <v>60.55</v>
      </c>
      <c r="AJ41" s="113">
        <v>24.99</v>
      </c>
      <c r="AK41" s="113">
        <v>8.0</v>
      </c>
      <c r="AL41" s="113">
        <v>0.2067</v>
      </c>
      <c r="AM41" s="114"/>
      <c r="AQ41" s="115">
        <v>12.4053</v>
      </c>
      <c r="AR41" s="115">
        <v>0.8157</v>
      </c>
      <c r="AS41" s="115">
        <v>11.5896</v>
      </c>
      <c r="AT41" s="115">
        <v>11.1128</v>
      </c>
      <c r="AU41" s="115">
        <v>0.2463</v>
      </c>
    </row>
    <row r="42" ht="15.75" customHeight="1">
      <c r="A42" s="112">
        <v>46178.0</v>
      </c>
      <c r="B42" s="113" t="s">
        <v>8</v>
      </c>
      <c r="C42" s="113" t="s">
        <v>132</v>
      </c>
      <c r="D42" s="113">
        <v>4017.0</v>
      </c>
      <c r="E42" s="113">
        <v>4.92</v>
      </c>
      <c r="F42" s="113">
        <v>8067.41</v>
      </c>
      <c r="G42" s="113">
        <v>2.0083</v>
      </c>
      <c r="H42" s="113">
        <v>16.13</v>
      </c>
      <c r="I42" s="113">
        <v>12.4497</v>
      </c>
      <c r="J42" s="113">
        <v>131.51</v>
      </c>
      <c r="K42" s="113">
        <v>73.77</v>
      </c>
      <c r="L42" s="113">
        <v>54.64</v>
      </c>
      <c r="M42" s="113">
        <v>0.7406</v>
      </c>
      <c r="N42" s="113">
        <v>0.4005</v>
      </c>
      <c r="O42" s="113">
        <v>0.2586</v>
      </c>
      <c r="P42" s="113">
        <v>1.3502</v>
      </c>
      <c r="Q42" s="113">
        <v>419.48</v>
      </c>
      <c r="R42" s="113">
        <v>303.84</v>
      </c>
      <c r="S42" s="113">
        <v>115.64</v>
      </c>
      <c r="T42" s="113">
        <v>122.01</v>
      </c>
      <c r="U42" s="113">
        <v>297.47</v>
      </c>
      <c r="V42" s="113">
        <v>434.9</v>
      </c>
      <c r="W42" s="113">
        <v>5.8951</v>
      </c>
      <c r="X42" s="113">
        <v>29.08</v>
      </c>
      <c r="Y42" s="113">
        <v>177.0</v>
      </c>
      <c r="Z42" s="113">
        <v>1082.0</v>
      </c>
      <c r="AA42" s="113">
        <v>6348.0</v>
      </c>
      <c r="AB42" s="113">
        <v>59.3549</v>
      </c>
      <c r="AC42" s="113">
        <v>0.8069</v>
      </c>
      <c r="AD42" s="113">
        <v>37.47</v>
      </c>
      <c r="AE42" s="113">
        <v>14.0</v>
      </c>
      <c r="AF42" s="113">
        <v>29.0</v>
      </c>
      <c r="AG42" s="113">
        <v>52.0</v>
      </c>
      <c r="AH42" s="113">
        <v>80.0</v>
      </c>
      <c r="AI42" s="113">
        <v>51.66</v>
      </c>
      <c r="AJ42" s="113">
        <v>19.99</v>
      </c>
      <c r="AK42" s="113">
        <v>4.88</v>
      </c>
      <c r="AL42" s="113">
        <v>0.17</v>
      </c>
      <c r="AM42" s="114"/>
      <c r="AQ42" s="115">
        <v>20.6146</v>
      </c>
      <c r="AR42" s="115">
        <v>1.7065</v>
      </c>
      <c r="AS42" s="115">
        <v>18.9081</v>
      </c>
      <c r="AT42" s="115">
        <v>18.7575</v>
      </c>
      <c r="AU42" s="115">
        <v>0.2543</v>
      </c>
    </row>
    <row r="43" ht="15.75" customHeight="1">
      <c r="A43" s="112">
        <v>46178.0</v>
      </c>
      <c r="B43" s="113" t="s">
        <v>8</v>
      </c>
      <c r="C43" s="113" t="s">
        <v>133</v>
      </c>
      <c r="D43" s="113">
        <v>457.0</v>
      </c>
      <c r="E43" s="113">
        <v>0.56</v>
      </c>
      <c r="F43" s="113">
        <v>1583.13</v>
      </c>
      <c r="G43" s="113">
        <v>3.4642</v>
      </c>
      <c r="H43" s="113">
        <v>15.54</v>
      </c>
      <c r="I43" s="113">
        <v>22.2976</v>
      </c>
      <c r="J43" s="113">
        <v>248.41</v>
      </c>
      <c r="K43" s="113">
        <v>150.69</v>
      </c>
      <c r="L43" s="113">
        <v>127.82</v>
      </c>
      <c r="M43" s="113">
        <v>0.8482</v>
      </c>
      <c r="N43" s="113">
        <v>0.2787</v>
      </c>
      <c r="O43" s="113">
        <v>0.1902</v>
      </c>
      <c r="P43" s="113">
        <v>1.1789</v>
      </c>
      <c r="Q43" s="113">
        <v>836.31</v>
      </c>
      <c r="R43" s="113">
        <v>564.25</v>
      </c>
      <c r="S43" s="113">
        <v>272.06</v>
      </c>
      <c r="T43" s="113">
        <v>233.04</v>
      </c>
      <c r="U43" s="113">
        <v>603.26</v>
      </c>
      <c r="V43" s="113">
        <v>856.24</v>
      </c>
      <c r="W43" s="113">
        <v>5.6822</v>
      </c>
      <c r="X43" s="113">
        <v>27.87</v>
      </c>
      <c r="Y43" s="113">
        <v>544.0</v>
      </c>
      <c r="Z43" s="113">
        <v>2950.0</v>
      </c>
      <c r="AA43" s="113">
        <v>10065.0</v>
      </c>
      <c r="AB43" s="113">
        <v>62.8043</v>
      </c>
      <c r="AC43" s="113">
        <v>0.8947</v>
      </c>
      <c r="AD43" s="113">
        <v>90.47</v>
      </c>
      <c r="AE43" s="113">
        <v>34.0</v>
      </c>
      <c r="AF43" s="113">
        <v>71.0</v>
      </c>
      <c r="AG43" s="113">
        <v>129.0</v>
      </c>
      <c r="AH43" s="113">
        <v>191.0</v>
      </c>
      <c r="AI43" s="113">
        <v>45.51</v>
      </c>
      <c r="AJ43" s="113">
        <v>12.47</v>
      </c>
      <c r="AK43" s="113">
        <v>2.41</v>
      </c>
      <c r="AL43" s="113">
        <v>0.1335</v>
      </c>
      <c r="AM43" s="114"/>
      <c r="AQ43" s="115">
        <v>40.2998</v>
      </c>
      <c r="AR43" s="115">
        <v>3.6061</v>
      </c>
      <c r="AS43" s="115">
        <v>36.6937</v>
      </c>
      <c r="AT43" s="115">
        <v>36.8775</v>
      </c>
      <c r="AU43" s="115">
        <v>0.2447</v>
      </c>
    </row>
    <row r="44" ht="15.75" customHeight="1">
      <c r="A44" s="112">
        <v>46178.0</v>
      </c>
      <c r="B44" s="113" t="s">
        <v>9</v>
      </c>
      <c r="C44" s="113" t="s">
        <v>128</v>
      </c>
      <c r="D44" s="113">
        <v>16231.0</v>
      </c>
      <c r="E44" s="113">
        <v>20.01</v>
      </c>
      <c r="F44" s="113">
        <v>74.85</v>
      </c>
      <c r="G44" s="113">
        <v>0.0046</v>
      </c>
      <c r="H44" s="113">
        <v>0.14</v>
      </c>
      <c r="I44" s="113">
        <v>3.4023</v>
      </c>
      <c r="J44" s="113">
        <v>6.39</v>
      </c>
      <c r="K44" s="113">
        <v>2.67</v>
      </c>
      <c r="L44" s="113">
        <v>0.04</v>
      </c>
      <c r="M44" s="113">
        <v>0.0139</v>
      </c>
      <c r="N44" s="113">
        <v>0.9879</v>
      </c>
      <c r="O44" s="113">
        <v>0.8279</v>
      </c>
      <c r="P44" s="113">
        <v>71.8126</v>
      </c>
      <c r="Q44" s="113">
        <v>28.54</v>
      </c>
      <c r="R44" s="113">
        <v>28.49</v>
      </c>
      <c r="S44" s="113">
        <v>0.06</v>
      </c>
      <c r="T44" s="113">
        <v>0.32</v>
      </c>
      <c r="U44" s="113">
        <v>28.22</v>
      </c>
      <c r="V44" s="113">
        <v>1.89</v>
      </c>
      <c r="W44" s="113">
        <v>0.7078</v>
      </c>
      <c r="X44" s="113">
        <v>1.13</v>
      </c>
      <c r="Y44" s="113">
        <v>233.0</v>
      </c>
      <c r="Z44" s="113">
        <v>2398.0</v>
      </c>
      <c r="AA44" s="113">
        <v>12462.0</v>
      </c>
      <c r="AB44" s="113">
        <v>49.6391</v>
      </c>
      <c r="AC44" s="113">
        <v>0.534</v>
      </c>
      <c r="AD44" s="114"/>
      <c r="AE44" s="114"/>
      <c r="AF44" s="114"/>
      <c r="AG44" s="114"/>
      <c r="AH44" s="114"/>
      <c r="AI44" s="113">
        <v>0.0</v>
      </c>
      <c r="AJ44" s="113">
        <v>0.0</v>
      </c>
      <c r="AK44" s="113">
        <v>0.0</v>
      </c>
      <c r="AL44" s="113">
        <v>0.2923</v>
      </c>
      <c r="AM44" s="113">
        <v>0.22</v>
      </c>
      <c r="AN44" s="115">
        <v>0.22</v>
      </c>
      <c r="AO44" s="115">
        <v>0.14</v>
      </c>
      <c r="AP44" s="115">
        <v>0.07</v>
      </c>
      <c r="AQ44" s="115">
        <v>1.5509</v>
      </c>
      <c r="AR44" s="115">
        <v>0.0072</v>
      </c>
      <c r="AS44" s="115">
        <v>1.5437</v>
      </c>
      <c r="AT44" s="115">
        <v>0.4699</v>
      </c>
      <c r="AU44" s="115">
        <v>0.1761</v>
      </c>
    </row>
    <row r="45" ht="15.75" customHeight="1">
      <c r="A45" s="112">
        <v>46178.0</v>
      </c>
      <c r="B45" s="113" t="s">
        <v>9</v>
      </c>
      <c r="C45" s="113" t="s">
        <v>129</v>
      </c>
      <c r="D45" s="113">
        <v>31790.0</v>
      </c>
      <c r="E45" s="113">
        <v>39.19</v>
      </c>
      <c r="F45" s="113">
        <v>3615.05</v>
      </c>
      <c r="G45" s="113">
        <v>0.1137</v>
      </c>
      <c r="H45" s="113">
        <v>3.53</v>
      </c>
      <c r="I45" s="113">
        <v>3.2191</v>
      </c>
      <c r="J45" s="113">
        <v>33.26</v>
      </c>
      <c r="K45" s="113">
        <v>16.25</v>
      </c>
      <c r="L45" s="113">
        <v>5.78</v>
      </c>
      <c r="M45" s="113">
        <v>0.3559</v>
      </c>
      <c r="N45" s="113">
        <v>0.7575</v>
      </c>
      <c r="O45" s="113">
        <v>0.5243</v>
      </c>
      <c r="P45" s="113">
        <v>2.8098</v>
      </c>
      <c r="Q45" s="113">
        <v>73.57</v>
      </c>
      <c r="R45" s="113">
        <v>69.19</v>
      </c>
      <c r="S45" s="113">
        <v>4.38</v>
      </c>
      <c r="T45" s="113">
        <v>7.58</v>
      </c>
      <c r="U45" s="113">
        <v>65.99</v>
      </c>
      <c r="V45" s="113">
        <v>64.78</v>
      </c>
      <c r="W45" s="113">
        <v>3.986</v>
      </c>
      <c r="X45" s="113">
        <v>10.31</v>
      </c>
      <c r="Y45" s="113">
        <v>105.0</v>
      </c>
      <c r="Z45" s="113">
        <v>374.0</v>
      </c>
      <c r="AA45" s="113">
        <v>3061.0</v>
      </c>
      <c r="AB45" s="113">
        <v>49.5125</v>
      </c>
      <c r="AC45" s="113">
        <v>0.4928</v>
      </c>
      <c r="AD45" s="113">
        <v>3.9</v>
      </c>
      <c r="AE45" s="113">
        <v>1.0</v>
      </c>
      <c r="AF45" s="113">
        <v>2.0</v>
      </c>
      <c r="AG45" s="113">
        <v>5.0</v>
      </c>
      <c r="AH45" s="113">
        <v>9.0</v>
      </c>
      <c r="AI45" s="113">
        <v>71.0</v>
      </c>
      <c r="AJ45" s="113">
        <v>28.74</v>
      </c>
      <c r="AK45" s="113">
        <v>8.41</v>
      </c>
      <c r="AL45" s="113">
        <v>0.2472</v>
      </c>
      <c r="AM45" s="113">
        <v>60.56</v>
      </c>
      <c r="AN45" s="115">
        <v>60.56</v>
      </c>
      <c r="AO45" s="115">
        <v>26.98</v>
      </c>
      <c r="AP45" s="115">
        <v>8.11</v>
      </c>
      <c r="AQ45" s="115">
        <v>4.6978</v>
      </c>
      <c r="AR45" s="115">
        <v>0.0912</v>
      </c>
      <c r="AS45" s="115">
        <v>4.6066</v>
      </c>
      <c r="AT45" s="115">
        <v>3.8268</v>
      </c>
      <c r="AU45" s="115">
        <v>0.2354</v>
      </c>
    </row>
    <row r="46" ht="15.75" customHeight="1">
      <c r="A46" s="112">
        <v>46178.0</v>
      </c>
      <c r="B46" s="113" t="s">
        <v>9</v>
      </c>
      <c r="C46" s="113" t="s">
        <v>130</v>
      </c>
      <c r="D46" s="113">
        <v>18440.0</v>
      </c>
      <c r="E46" s="113">
        <v>22.73</v>
      </c>
      <c r="F46" s="113">
        <v>6935.16</v>
      </c>
      <c r="G46" s="113">
        <v>0.3761</v>
      </c>
      <c r="H46" s="113">
        <v>8.33</v>
      </c>
      <c r="I46" s="113">
        <v>4.5151</v>
      </c>
      <c r="J46" s="113">
        <v>59.96</v>
      </c>
      <c r="K46" s="113">
        <v>30.55</v>
      </c>
      <c r="L46" s="113">
        <v>14.47</v>
      </c>
      <c r="M46" s="113">
        <v>0.4737</v>
      </c>
      <c r="N46" s="113">
        <v>0.6567</v>
      </c>
      <c r="O46" s="113">
        <v>0.4197</v>
      </c>
      <c r="P46" s="113">
        <v>2.1109</v>
      </c>
      <c r="Q46" s="113">
        <v>133.99</v>
      </c>
      <c r="R46" s="113">
        <v>122.93</v>
      </c>
      <c r="S46" s="113">
        <v>11.06</v>
      </c>
      <c r="T46" s="113">
        <v>23.91</v>
      </c>
      <c r="U46" s="113">
        <v>110.07</v>
      </c>
      <c r="V46" s="113">
        <v>127.72</v>
      </c>
      <c r="W46" s="113">
        <v>4.1803</v>
      </c>
      <c r="X46" s="113">
        <v>17.85</v>
      </c>
      <c r="Y46" s="113">
        <v>102.0</v>
      </c>
      <c r="Z46" s="113">
        <v>395.0</v>
      </c>
      <c r="AA46" s="113">
        <v>2795.0</v>
      </c>
      <c r="AB46" s="113">
        <v>52.555</v>
      </c>
      <c r="AC46" s="113">
        <v>0.5972</v>
      </c>
      <c r="AD46" s="113">
        <v>9.57</v>
      </c>
      <c r="AE46" s="113">
        <v>3.0</v>
      </c>
      <c r="AF46" s="113">
        <v>7.0</v>
      </c>
      <c r="AG46" s="113">
        <v>13.0</v>
      </c>
      <c r="AH46" s="113">
        <v>20.0</v>
      </c>
      <c r="AI46" s="113">
        <v>59.08</v>
      </c>
      <c r="AJ46" s="113">
        <v>26.59</v>
      </c>
      <c r="AK46" s="113">
        <v>5.36</v>
      </c>
      <c r="AL46" s="113">
        <v>0.2134</v>
      </c>
      <c r="AM46" s="113">
        <v>64.16</v>
      </c>
      <c r="AN46" s="115">
        <v>64.16</v>
      </c>
      <c r="AO46" s="115">
        <v>40.95</v>
      </c>
      <c r="AP46" s="115">
        <v>21.66</v>
      </c>
      <c r="AQ46" s="115">
        <v>8.5959</v>
      </c>
      <c r="AR46" s="115">
        <v>0.3144</v>
      </c>
      <c r="AS46" s="115">
        <v>8.2815</v>
      </c>
      <c r="AT46" s="115">
        <v>7.2914</v>
      </c>
      <c r="AU46" s="115">
        <v>0.2387</v>
      </c>
    </row>
    <row r="47" ht="15.75" customHeight="1">
      <c r="A47" s="112">
        <v>46178.0</v>
      </c>
      <c r="B47" s="113" t="s">
        <v>9</v>
      </c>
      <c r="C47" s="113" t="s">
        <v>131</v>
      </c>
      <c r="D47" s="113">
        <v>10017.0</v>
      </c>
      <c r="E47" s="113">
        <v>12.35</v>
      </c>
      <c r="F47" s="113">
        <v>9349.53</v>
      </c>
      <c r="G47" s="113">
        <v>0.9334</v>
      </c>
      <c r="H47" s="113">
        <v>12.69</v>
      </c>
      <c r="I47" s="113">
        <v>7.356</v>
      </c>
      <c r="J47" s="113">
        <v>86.07</v>
      </c>
      <c r="K47" s="113">
        <v>46.12</v>
      </c>
      <c r="L47" s="113">
        <v>27.81</v>
      </c>
      <c r="M47" s="113">
        <v>0.6029</v>
      </c>
      <c r="N47" s="113">
        <v>0.5345</v>
      </c>
      <c r="O47" s="113">
        <v>0.3315</v>
      </c>
      <c r="P47" s="113">
        <v>1.6585</v>
      </c>
      <c r="Q47" s="113">
        <v>233.17</v>
      </c>
      <c r="R47" s="113">
        <v>211.79</v>
      </c>
      <c r="S47" s="113">
        <v>21.38</v>
      </c>
      <c r="T47" s="113">
        <v>57.71</v>
      </c>
      <c r="U47" s="113">
        <v>175.46</v>
      </c>
      <c r="V47" s="113">
        <v>231.01</v>
      </c>
      <c r="W47" s="113">
        <v>5.0086</v>
      </c>
      <c r="X47" s="113">
        <v>24.75</v>
      </c>
      <c r="Y47" s="113">
        <v>115.0</v>
      </c>
      <c r="Z47" s="113">
        <v>512.0</v>
      </c>
      <c r="AA47" s="113">
        <v>3700.0</v>
      </c>
      <c r="AB47" s="113">
        <v>55.5284</v>
      </c>
      <c r="AC47" s="113">
        <v>0.7056</v>
      </c>
      <c r="AD47" s="113">
        <v>18.84</v>
      </c>
      <c r="AE47" s="113">
        <v>7.0</v>
      </c>
      <c r="AF47" s="113">
        <v>14.0</v>
      </c>
      <c r="AG47" s="113">
        <v>26.0</v>
      </c>
      <c r="AH47" s="113">
        <v>40.0</v>
      </c>
      <c r="AI47" s="113">
        <v>61.59</v>
      </c>
      <c r="AJ47" s="113">
        <v>25.57</v>
      </c>
      <c r="AK47" s="113">
        <v>8.93</v>
      </c>
      <c r="AL47" s="113">
        <v>0.202</v>
      </c>
      <c r="AM47" s="113">
        <v>64.68</v>
      </c>
      <c r="AN47" s="115">
        <v>64.68</v>
      </c>
      <c r="AO47" s="115">
        <v>41.46</v>
      </c>
      <c r="AP47" s="115">
        <v>24.81</v>
      </c>
      <c r="AQ47" s="115">
        <v>13.444</v>
      </c>
      <c r="AR47" s="115">
        <v>0.7308</v>
      </c>
      <c r="AS47" s="115">
        <v>12.7133</v>
      </c>
      <c r="AT47" s="115">
        <v>11.6239</v>
      </c>
      <c r="AU47" s="115">
        <v>0.252</v>
      </c>
    </row>
    <row r="48" ht="15.75" customHeight="1">
      <c r="A48" s="112">
        <v>46178.0</v>
      </c>
      <c r="B48" s="113" t="s">
        <v>9</v>
      </c>
      <c r="C48" s="113" t="s">
        <v>132</v>
      </c>
      <c r="D48" s="113">
        <v>4181.0</v>
      </c>
      <c r="E48" s="113">
        <v>5.15</v>
      </c>
      <c r="F48" s="113">
        <v>8524.82</v>
      </c>
      <c r="G48" s="113">
        <v>2.0389</v>
      </c>
      <c r="H48" s="113">
        <v>15.88</v>
      </c>
      <c r="I48" s="113">
        <v>12.8386</v>
      </c>
      <c r="J48" s="113">
        <v>133.79</v>
      </c>
      <c r="K48" s="113">
        <v>75.21</v>
      </c>
      <c r="L48" s="113">
        <v>55.68</v>
      </c>
      <c r="M48" s="113">
        <v>0.7404</v>
      </c>
      <c r="N48" s="113">
        <v>0.3993</v>
      </c>
      <c r="O48" s="113">
        <v>0.2564</v>
      </c>
      <c r="P48" s="113">
        <v>1.3507</v>
      </c>
      <c r="Q48" s="113">
        <v>417.91</v>
      </c>
      <c r="R48" s="113">
        <v>375.47</v>
      </c>
      <c r="S48" s="113">
        <v>42.44</v>
      </c>
      <c r="T48" s="113">
        <v>123.98</v>
      </c>
      <c r="U48" s="113">
        <v>293.93</v>
      </c>
      <c r="V48" s="113">
        <v>435.86</v>
      </c>
      <c r="W48" s="113">
        <v>5.7954</v>
      </c>
      <c r="X48" s="113">
        <v>29.67</v>
      </c>
      <c r="Y48" s="113">
        <v>191.0</v>
      </c>
      <c r="Z48" s="113">
        <v>1101.0</v>
      </c>
      <c r="AA48" s="113">
        <v>6579.0</v>
      </c>
      <c r="AB48" s="113">
        <v>59.2898</v>
      </c>
      <c r="AC48" s="113">
        <v>0.8143</v>
      </c>
      <c r="AD48" s="113">
        <v>38.5</v>
      </c>
      <c r="AE48" s="113">
        <v>15.0</v>
      </c>
      <c r="AF48" s="113">
        <v>30.0</v>
      </c>
      <c r="AG48" s="113">
        <v>53.0</v>
      </c>
      <c r="AH48" s="113">
        <v>81.0</v>
      </c>
      <c r="AI48" s="113">
        <v>52.67</v>
      </c>
      <c r="AJ48" s="113">
        <v>20.69</v>
      </c>
      <c r="AK48" s="113">
        <v>5.57</v>
      </c>
      <c r="AL48" s="113">
        <v>0.1617</v>
      </c>
      <c r="AM48" s="113">
        <v>63.88</v>
      </c>
      <c r="AN48" s="115">
        <v>63.88</v>
      </c>
      <c r="AO48" s="115">
        <v>40.97</v>
      </c>
      <c r="AP48" s="115">
        <v>27.0</v>
      </c>
      <c r="AQ48" s="115">
        <v>22.0022</v>
      </c>
      <c r="AR48" s="115">
        <v>1.9732</v>
      </c>
      <c r="AS48" s="115">
        <v>20.0289</v>
      </c>
      <c r="AT48" s="115">
        <v>18.9548</v>
      </c>
      <c r="AU48" s="115">
        <v>0.252</v>
      </c>
    </row>
    <row r="49" ht="15.75" customHeight="1">
      <c r="A49" s="112">
        <v>46178.0</v>
      </c>
      <c r="B49" s="113" t="s">
        <v>9</v>
      </c>
      <c r="C49" s="113" t="s">
        <v>133</v>
      </c>
      <c r="D49" s="113">
        <v>468.0</v>
      </c>
      <c r="E49" s="113">
        <v>0.58</v>
      </c>
      <c r="F49" s="113">
        <v>2015.55</v>
      </c>
      <c r="G49" s="113">
        <v>4.3067</v>
      </c>
      <c r="H49" s="113">
        <v>16.03</v>
      </c>
      <c r="I49" s="113">
        <v>26.874</v>
      </c>
      <c r="J49" s="113">
        <v>252.46</v>
      </c>
      <c r="K49" s="113">
        <v>148.31</v>
      </c>
      <c r="L49" s="113">
        <v>125.32</v>
      </c>
      <c r="M49" s="113">
        <v>0.845</v>
      </c>
      <c r="N49" s="113">
        <v>0.2806</v>
      </c>
      <c r="O49" s="113">
        <v>0.1882</v>
      </c>
      <c r="P49" s="113">
        <v>1.1835</v>
      </c>
      <c r="Q49" s="113">
        <v>817.7</v>
      </c>
      <c r="R49" s="113">
        <v>720.09</v>
      </c>
      <c r="S49" s="113">
        <v>97.61</v>
      </c>
      <c r="T49" s="113">
        <v>271.37</v>
      </c>
      <c r="U49" s="113">
        <v>546.33</v>
      </c>
      <c r="V49" s="113">
        <v>822.33</v>
      </c>
      <c r="W49" s="113">
        <v>5.5445</v>
      </c>
      <c r="X49" s="113">
        <v>33.19</v>
      </c>
      <c r="Y49" s="113">
        <v>567.0</v>
      </c>
      <c r="Z49" s="113">
        <v>3208.0</v>
      </c>
      <c r="AA49" s="113">
        <v>9379.0</v>
      </c>
      <c r="AB49" s="113">
        <v>63.1062</v>
      </c>
      <c r="AC49" s="113">
        <v>0.8932</v>
      </c>
      <c r="AD49" s="113">
        <v>91.24</v>
      </c>
      <c r="AE49" s="113">
        <v>33.0</v>
      </c>
      <c r="AF49" s="113">
        <v>78.0</v>
      </c>
      <c r="AG49" s="113">
        <v>129.0</v>
      </c>
      <c r="AH49" s="113">
        <v>181.0</v>
      </c>
      <c r="AI49" s="113">
        <v>49.36</v>
      </c>
      <c r="AJ49" s="113">
        <v>12.82</v>
      </c>
      <c r="AK49" s="113">
        <v>1.71</v>
      </c>
      <c r="AL49" s="113">
        <v>0.1368</v>
      </c>
      <c r="AM49" s="113">
        <v>67.52</v>
      </c>
      <c r="AN49" s="115">
        <v>67.52</v>
      </c>
      <c r="AO49" s="115">
        <v>42.95</v>
      </c>
      <c r="AP49" s="115">
        <v>28.21</v>
      </c>
      <c r="AQ49" s="115">
        <v>40.2863</v>
      </c>
      <c r="AR49" s="115">
        <v>3.8098</v>
      </c>
      <c r="AS49" s="115">
        <v>36.4765</v>
      </c>
      <c r="AT49" s="115">
        <v>39.9423</v>
      </c>
      <c r="AU49" s="115">
        <v>0.2693</v>
      </c>
    </row>
    <row r="50" ht="15.75" customHeight="1">
      <c r="A50" s="112">
        <v>46179.0</v>
      </c>
      <c r="B50" s="113" t="s">
        <v>8</v>
      </c>
      <c r="C50" s="113" t="s">
        <v>128</v>
      </c>
      <c r="D50" s="113">
        <v>16514.0</v>
      </c>
      <c r="E50" s="113">
        <v>20.59</v>
      </c>
      <c r="F50" s="113">
        <v>51.99</v>
      </c>
      <c r="G50" s="113">
        <v>0.0031</v>
      </c>
      <c r="H50" s="113">
        <v>0.1</v>
      </c>
      <c r="I50" s="113">
        <v>3.0582</v>
      </c>
      <c r="J50" s="113">
        <v>6.23</v>
      </c>
      <c r="K50" s="113">
        <v>2.71</v>
      </c>
      <c r="L50" s="113">
        <v>0.05</v>
      </c>
      <c r="M50" s="113">
        <v>0.0183</v>
      </c>
      <c r="N50" s="113">
        <v>0.9855</v>
      </c>
      <c r="O50" s="113">
        <v>0.8115</v>
      </c>
      <c r="P50" s="113">
        <v>54.7772</v>
      </c>
      <c r="Q50" s="113">
        <v>26.41</v>
      </c>
      <c r="R50" s="113">
        <v>26.3</v>
      </c>
      <c r="S50" s="113">
        <v>0.11</v>
      </c>
      <c r="T50" s="113">
        <v>0.2</v>
      </c>
      <c r="U50" s="113">
        <v>26.21</v>
      </c>
      <c r="V50" s="113">
        <v>2.33</v>
      </c>
      <c r="W50" s="113">
        <v>0.8592</v>
      </c>
      <c r="X50" s="113">
        <v>0.76</v>
      </c>
      <c r="Y50" s="113">
        <v>205.0</v>
      </c>
      <c r="Z50" s="113">
        <v>2437.0</v>
      </c>
      <c r="AA50" s="113">
        <v>12350.0</v>
      </c>
      <c r="AB50" s="113">
        <v>49.4979</v>
      </c>
      <c r="AC50" s="113">
        <v>0.5205</v>
      </c>
      <c r="AD50" s="114"/>
      <c r="AE50" s="114"/>
      <c r="AF50" s="114"/>
      <c r="AG50" s="114"/>
      <c r="AH50" s="114"/>
      <c r="AI50" s="113">
        <v>0.0</v>
      </c>
      <c r="AJ50" s="113">
        <v>0.0</v>
      </c>
      <c r="AK50" s="113">
        <v>0.0</v>
      </c>
      <c r="AL50" s="113">
        <v>0.2749</v>
      </c>
      <c r="AQ50" s="115">
        <v>1.0461</v>
      </c>
      <c r="AR50" s="115">
        <v>0.0049</v>
      </c>
      <c r="AS50" s="115">
        <v>1.0412</v>
      </c>
      <c r="AT50" s="115">
        <v>0.4194</v>
      </c>
      <c r="AU50" s="115">
        <v>0.1548</v>
      </c>
    </row>
    <row r="51" ht="15.75" customHeight="1">
      <c r="A51" s="112">
        <v>46179.0</v>
      </c>
      <c r="B51" s="113" t="s">
        <v>8</v>
      </c>
      <c r="C51" s="113" t="s">
        <v>129</v>
      </c>
      <c r="D51" s="113">
        <v>31614.0</v>
      </c>
      <c r="E51" s="113">
        <v>39.41</v>
      </c>
      <c r="F51" s="113">
        <v>3371.19</v>
      </c>
      <c r="G51" s="113">
        <v>0.1066</v>
      </c>
      <c r="H51" s="113">
        <v>3.21</v>
      </c>
      <c r="I51" s="113">
        <v>3.3246</v>
      </c>
      <c r="J51" s="113">
        <v>30.33</v>
      </c>
      <c r="K51" s="113">
        <v>14.85</v>
      </c>
      <c r="L51" s="113">
        <v>5.68</v>
      </c>
      <c r="M51" s="113">
        <v>0.3827</v>
      </c>
      <c r="N51" s="113">
        <v>0.7407</v>
      </c>
      <c r="O51" s="113">
        <v>0.5163</v>
      </c>
      <c r="P51" s="113">
        <v>2.6131</v>
      </c>
      <c r="Q51" s="113">
        <v>65.13</v>
      </c>
      <c r="R51" s="113">
        <v>53.25</v>
      </c>
      <c r="S51" s="113">
        <v>11.88</v>
      </c>
      <c r="T51" s="113">
        <v>6.98</v>
      </c>
      <c r="U51" s="113">
        <v>58.16</v>
      </c>
      <c r="V51" s="113">
        <v>65.56</v>
      </c>
      <c r="W51" s="113">
        <v>4.4137</v>
      </c>
      <c r="X51" s="113">
        <v>10.71</v>
      </c>
      <c r="Y51" s="113">
        <v>116.0</v>
      </c>
      <c r="Z51" s="113">
        <v>486.0</v>
      </c>
      <c r="AA51" s="113">
        <v>3444.0</v>
      </c>
      <c r="AB51" s="113">
        <v>49.5174</v>
      </c>
      <c r="AC51" s="113">
        <v>0.5013</v>
      </c>
      <c r="AD51" s="113">
        <v>3.96</v>
      </c>
      <c r="AE51" s="113">
        <v>1.0</v>
      </c>
      <c r="AF51" s="113">
        <v>2.0</v>
      </c>
      <c r="AG51" s="113">
        <v>5.0</v>
      </c>
      <c r="AH51" s="113">
        <v>9.0</v>
      </c>
      <c r="AI51" s="113">
        <v>70.56</v>
      </c>
      <c r="AJ51" s="113">
        <v>29.56</v>
      </c>
      <c r="AK51" s="113">
        <v>9.08</v>
      </c>
      <c r="AL51" s="113">
        <v>0.2341</v>
      </c>
      <c r="AQ51" s="115">
        <v>3.326</v>
      </c>
      <c r="AR51" s="115">
        <v>0.0884</v>
      </c>
      <c r="AS51" s="115">
        <v>3.2376</v>
      </c>
      <c r="AT51" s="115">
        <v>3.3792</v>
      </c>
      <c r="AU51" s="115">
        <v>0.2275</v>
      </c>
    </row>
    <row r="52" ht="15.75" customHeight="1">
      <c r="A52" s="112">
        <v>46179.0</v>
      </c>
      <c r="B52" s="113" t="s">
        <v>8</v>
      </c>
      <c r="C52" s="113" t="s">
        <v>130</v>
      </c>
      <c r="D52" s="113">
        <v>17665.0</v>
      </c>
      <c r="E52" s="113">
        <v>22.02</v>
      </c>
      <c r="F52" s="113">
        <v>6452.63</v>
      </c>
      <c r="G52" s="113">
        <v>0.3653</v>
      </c>
      <c r="H52" s="113">
        <v>8.18</v>
      </c>
      <c r="I52" s="113">
        <v>4.4655</v>
      </c>
      <c r="J52" s="113">
        <v>54.98</v>
      </c>
      <c r="K52" s="113">
        <v>28.1</v>
      </c>
      <c r="L52" s="113">
        <v>14.17</v>
      </c>
      <c r="M52" s="113">
        <v>0.5043</v>
      </c>
      <c r="N52" s="113">
        <v>0.6348</v>
      </c>
      <c r="O52" s="113">
        <v>0.4102</v>
      </c>
      <c r="P52" s="113">
        <v>1.9829</v>
      </c>
      <c r="Q52" s="113">
        <v>130.29</v>
      </c>
      <c r="R52" s="113">
        <v>100.5</v>
      </c>
      <c r="S52" s="113">
        <v>29.79</v>
      </c>
      <c r="T52" s="113">
        <v>22.94</v>
      </c>
      <c r="U52" s="113">
        <v>107.35</v>
      </c>
      <c r="V52" s="113">
        <v>130.91</v>
      </c>
      <c r="W52" s="113">
        <v>4.6593</v>
      </c>
      <c r="X52" s="113">
        <v>17.6</v>
      </c>
      <c r="Y52" s="113">
        <v>106.0</v>
      </c>
      <c r="Z52" s="113">
        <v>417.0</v>
      </c>
      <c r="AA52" s="113">
        <v>2914.0</v>
      </c>
      <c r="AB52" s="113">
        <v>52.8103</v>
      </c>
      <c r="AC52" s="113">
        <v>0.6101</v>
      </c>
      <c r="AD52" s="113">
        <v>9.69</v>
      </c>
      <c r="AE52" s="113">
        <v>3.0</v>
      </c>
      <c r="AF52" s="113">
        <v>7.0</v>
      </c>
      <c r="AG52" s="113">
        <v>13.0</v>
      </c>
      <c r="AH52" s="113">
        <v>21.0</v>
      </c>
      <c r="AI52" s="113">
        <v>60.24</v>
      </c>
      <c r="AJ52" s="113">
        <v>27.4</v>
      </c>
      <c r="AK52" s="113">
        <v>5.72</v>
      </c>
      <c r="AL52" s="113">
        <v>0.2015</v>
      </c>
      <c r="AQ52" s="115">
        <v>6.753</v>
      </c>
      <c r="AR52" s="115">
        <v>0.3097</v>
      </c>
      <c r="AS52" s="115">
        <v>6.4433</v>
      </c>
      <c r="AT52" s="115">
        <v>6.6533</v>
      </c>
      <c r="AU52" s="115">
        <v>0.2368</v>
      </c>
    </row>
    <row r="53" ht="15.75" customHeight="1">
      <c r="A53" s="112">
        <v>46179.0</v>
      </c>
      <c r="B53" s="113" t="s">
        <v>8</v>
      </c>
      <c r="C53" s="113" t="s">
        <v>131</v>
      </c>
      <c r="D53" s="113">
        <v>9961.0</v>
      </c>
      <c r="E53" s="113">
        <v>12.42</v>
      </c>
      <c r="F53" s="113">
        <v>8815.73</v>
      </c>
      <c r="G53" s="113">
        <v>0.885</v>
      </c>
      <c r="H53" s="113">
        <v>12.34</v>
      </c>
      <c r="I53" s="113">
        <v>7.1731</v>
      </c>
      <c r="J53" s="113">
        <v>80.95</v>
      </c>
      <c r="K53" s="113">
        <v>43.65</v>
      </c>
      <c r="L53" s="113">
        <v>27.26</v>
      </c>
      <c r="M53" s="113">
        <v>0.6245</v>
      </c>
      <c r="N53" s="113">
        <v>0.5191</v>
      </c>
      <c r="O53" s="113">
        <v>0.3278</v>
      </c>
      <c r="P53" s="113">
        <v>1.6013</v>
      </c>
      <c r="Q53" s="113">
        <v>237.03</v>
      </c>
      <c r="R53" s="113">
        <v>179.53</v>
      </c>
      <c r="S53" s="113">
        <v>57.5</v>
      </c>
      <c r="T53" s="113">
        <v>54.79</v>
      </c>
      <c r="U53" s="113">
        <v>182.24</v>
      </c>
      <c r="V53" s="113">
        <v>238.94</v>
      </c>
      <c r="W53" s="113">
        <v>5.4744</v>
      </c>
      <c r="X53" s="113">
        <v>23.11</v>
      </c>
      <c r="Y53" s="113">
        <v>133.0</v>
      </c>
      <c r="Z53" s="113">
        <v>565.0</v>
      </c>
      <c r="AA53" s="113">
        <v>4013.0</v>
      </c>
      <c r="AB53" s="113">
        <v>55.6368</v>
      </c>
      <c r="AC53" s="113">
        <v>0.7172</v>
      </c>
      <c r="AD53" s="113">
        <v>18.57</v>
      </c>
      <c r="AE53" s="113">
        <v>7.0</v>
      </c>
      <c r="AF53" s="113">
        <v>14.0</v>
      </c>
      <c r="AG53" s="113">
        <v>26.0</v>
      </c>
      <c r="AH53" s="113">
        <v>39.0</v>
      </c>
      <c r="AI53" s="113">
        <v>61.14</v>
      </c>
      <c r="AJ53" s="113">
        <v>25.43</v>
      </c>
      <c r="AK53" s="113">
        <v>8.21</v>
      </c>
      <c r="AL53" s="113">
        <v>0.1904</v>
      </c>
      <c r="AQ53" s="115">
        <v>11.031</v>
      </c>
      <c r="AR53" s="115">
        <v>0.7591</v>
      </c>
      <c r="AS53" s="115">
        <v>10.272</v>
      </c>
      <c r="AT53" s="115">
        <v>10.962</v>
      </c>
      <c r="AU53" s="115">
        <v>0.2512</v>
      </c>
    </row>
    <row r="54" ht="15.75" customHeight="1">
      <c r="A54" s="112">
        <v>46179.0</v>
      </c>
      <c r="B54" s="113" t="s">
        <v>8</v>
      </c>
      <c r="C54" s="113" t="s">
        <v>132</v>
      </c>
      <c r="D54" s="113">
        <v>4012.0</v>
      </c>
      <c r="E54" s="113">
        <v>5.0</v>
      </c>
      <c r="F54" s="113">
        <v>6986.87</v>
      </c>
      <c r="G54" s="113">
        <v>1.7415</v>
      </c>
      <c r="H54" s="113">
        <v>15.33</v>
      </c>
      <c r="I54" s="113">
        <v>11.3608</v>
      </c>
      <c r="J54" s="113">
        <v>123.66</v>
      </c>
      <c r="K54" s="113">
        <v>70.43</v>
      </c>
      <c r="L54" s="113">
        <v>54.03</v>
      </c>
      <c r="M54" s="113">
        <v>0.7672</v>
      </c>
      <c r="N54" s="113">
        <v>0.3773</v>
      </c>
      <c r="O54" s="113">
        <v>0.25</v>
      </c>
      <c r="P54" s="113">
        <v>1.3035</v>
      </c>
      <c r="Q54" s="113">
        <v>433.47</v>
      </c>
      <c r="R54" s="113">
        <v>318.99</v>
      </c>
      <c r="S54" s="113">
        <v>114.49</v>
      </c>
      <c r="T54" s="113">
        <v>107.52</v>
      </c>
      <c r="U54" s="113">
        <v>325.96</v>
      </c>
      <c r="V54" s="113">
        <v>427.27</v>
      </c>
      <c r="W54" s="113">
        <v>6.0667</v>
      </c>
      <c r="X54" s="113">
        <v>24.8</v>
      </c>
      <c r="Y54" s="113">
        <v>199.0</v>
      </c>
      <c r="Z54" s="113">
        <v>1206.0</v>
      </c>
      <c r="AA54" s="113">
        <v>7049.0</v>
      </c>
      <c r="AB54" s="113">
        <v>59.1924</v>
      </c>
      <c r="AC54" s="113">
        <v>0.8122</v>
      </c>
      <c r="AD54" s="113">
        <v>38.04</v>
      </c>
      <c r="AE54" s="113">
        <v>14.0</v>
      </c>
      <c r="AF54" s="113">
        <v>30.0</v>
      </c>
      <c r="AG54" s="113">
        <v>53.0</v>
      </c>
      <c r="AH54" s="113">
        <v>80.0</v>
      </c>
      <c r="AI54" s="113">
        <v>53.56</v>
      </c>
      <c r="AJ54" s="113">
        <v>20.24</v>
      </c>
      <c r="AK54" s="113">
        <v>4.54</v>
      </c>
      <c r="AL54" s="113">
        <v>0.159</v>
      </c>
      <c r="AQ54" s="115">
        <v>17.6999</v>
      </c>
      <c r="AR54" s="115">
        <v>1.3592</v>
      </c>
      <c r="AS54" s="115">
        <v>16.3407</v>
      </c>
      <c r="AT54" s="115">
        <v>17.5521</v>
      </c>
      <c r="AU54" s="115">
        <v>0.2492</v>
      </c>
    </row>
    <row r="55" ht="15.75" customHeight="1">
      <c r="A55" s="112">
        <v>46179.0</v>
      </c>
      <c r="B55" s="113" t="s">
        <v>8</v>
      </c>
      <c r="C55" s="113" t="s">
        <v>133</v>
      </c>
      <c r="D55" s="113">
        <v>452.0</v>
      </c>
      <c r="E55" s="113">
        <v>0.56</v>
      </c>
      <c r="F55" s="113">
        <v>1411.31</v>
      </c>
      <c r="G55" s="113">
        <v>3.1224</v>
      </c>
      <c r="H55" s="113">
        <v>16.59</v>
      </c>
      <c r="I55" s="113">
        <v>18.8175</v>
      </c>
      <c r="J55" s="113">
        <v>234.26</v>
      </c>
      <c r="K55" s="113">
        <v>145.63</v>
      </c>
      <c r="L55" s="113">
        <v>125.65</v>
      </c>
      <c r="M55" s="113">
        <v>0.8628</v>
      </c>
      <c r="N55" s="113">
        <v>0.2674</v>
      </c>
      <c r="O55" s="113">
        <v>0.1914</v>
      </c>
      <c r="P55" s="113">
        <v>1.159</v>
      </c>
      <c r="Q55" s="113">
        <v>859.34</v>
      </c>
      <c r="R55" s="113">
        <v>594.2</v>
      </c>
      <c r="S55" s="113">
        <v>265.14</v>
      </c>
      <c r="T55" s="113">
        <v>194.41</v>
      </c>
      <c r="U55" s="113">
        <v>664.93</v>
      </c>
      <c r="V55" s="113">
        <v>875.0</v>
      </c>
      <c r="W55" s="113">
        <v>6.0085</v>
      </c>
      <c r="X55" s="113">
        <v>22.62</v>
      </c>
      <c r="Y55" s="113">
        <v>465.0</v>
      </c>
      <c r="Z55" s="113">
        <v>2981.0</v>
      </c>
      <c r="AA55" s="113">
        <v>9209.0</v>
      </c>
      <c r="AB55" s="113">
        <v>62.4558</v>
      </c>
      <c r="AC55" s="113">
        <v>0.8908</v>
      </c>
      <c r="AD55" s="113">
        <v>87.29</v>
      </c>
      <c r="AE55" s="113">
        <v>35.0</v>
      </c>
      <c r="AF55" s="113">
        <v>76.0</v>
      </c>
      <c r="AG55" s="113">
        <v>126.0</v>
      </c>
      <c r="AH55" s="113">
        <v>176.0</v>
      </c>
      <c r="AI55" s="113">
        <v>48.01</v>
      </c>
      <c r="AJ55" s="113">
        <v>9.96</v>
      </c>
      <c r="AK55" s="113">
        <v>0.66</v>
      </c>
      <c r="AL55" s="113">
        <v>0.135</v>
      </c>
      <c r="AQ55" s="115">
        <v>34.3496</v>
      </c>
      <c r="AR55" s="115">
        <v>3.0354</v>
      </c>
      <c r="AS55" s="115">
        <v>31.3142</v>
      </c>
      <c r="AT55" s="115">
        <v>33.3739</v>
      </c>
      <c r="AU55" s="115">
        <v>0.2292</v>
      </c>
    </row>
    <row r="56" ht="15.75" customHeight="1">
      <c r="A56" s="112">
        <v>46179.0</v>
      </c>
      <c r="B56" s="113" t="s">
        <v>9</v>
      </c>
      <c r="C56" s="113" t="s">
        <v>128</v>
      </c>
      <c r="D56" s="113">
        <v>16719.0</v>
      </c>
      <c r="E56" s="113">
        <v>20.84</v>
      </c>
      <c r="F56" s="113">
        <v>77.57</v>
      </c>
      <c r="G56" s="113">
        <v>0.0046</v>
      </c>
      <c r="H56" s="113">
        <v>0.09</v>
      </c>
      <c r="I56" s="113">
        <v>5.1713</v>
      </c>
      <c r="J56" s="113">
        <v>6.38</v>
      </c>
      <c r="K56" s="113">
        <v>2.77</v>
      </c>
      <c r="L56" s="113">
        <v>0.04</v>
      </c>
      <c r="M56" s="113">
        <v>0.0156</v>
      </c>
      <c r="N56" s="113">
        <v>0.9871</v>
      </c>
      <c r="O56" s="113">
        <v>0.8179</v>
      </c>
      <c r="P56" s="113">
        <v>64.0996</v>
      </c>
      <c r="Q56" s="113">
        <v>23.7</v>
      </c>
      <c r="R56" s="113">
        <v>23.64</v>
      </c>
      <c r="S56" s="113">
        <v>0.06</v>
      </c>
      <c r="T56" s="113">
        <v>0.23</v>
      </c>
      <c r="U56" s="113">
        <v>23.47</v>
      </c>
      <c r="V56" s="113">
        <v>2.25</v>
      </c>
      <c r="W56" s="113">
        <v>0.8102</v>
      </c>
      <c r="X56" s="113">
        <v>0.97</v>
      </c>
      <c r="Y56" s="113">
        <v>173.0</v>
      </c>
      <c r="Z56" s="113">
        <v>2671.0</v>
      </c>
      <c r="AA56" s="113">
        <v>11576.0</v>
      </c>
      <c r="AB56" s="113">
        <v>49.4788</v>
      </c>
      <c r="AC56" s="113">
        <v>0.5235</v>
      </c>
      <c r="AD56" s="114"/>
      <c r="AE56" s="114"/>
      <c r="AF56" s="114"/>
      <c r="AG56" s="114"/>
      <c r="AH56" s="114"/>
      <c r="AI56" s="113">
        <v>0.0</v>
      </c>
      <c r="AJ56" s="113">
        <v>0.0</v>
      </c>
      <c r="AK56" s="113">
        <v>0.0</v>
      </c>
      <c r="AL56" s="113">
        <v>0.2798</v>
      </c>
      <c r="AM56" s="115">
        <v>0.14</v>
      </c>
      <c r="AN56" s="115">
        <v>0.14</v>
      </c>
      <c r="AO56" s="115">
        <v>0.1</v>
      </c>
      <c r="AP56" s="115">
        <v>0.04</v>
      </c>
      <c r="AQ56" s="115">
        <v>1.0868</v>
      </c>
      <c r="AR56" s="115">
        <v>0.0056</v>
      </c>
      <c r="AS56" s="115">
        <v>1.0812</v>
      </c>
      <c r="AT56" s="115">
        <v>0.4263</v>
      </c>
      <c r="AU56" s="115">
        <v>0.1538</v>
      </c>
    </row>
    <row r="57" ht="15.75" customHeight="1">
      <c r="A57" s="112">
        <v>46179.0</v>
      </c>
      <c r="B57" s="113" t="s">
        <v>9</v>
      </c>
      <c r="C57" s="113" t="s">
        <v>129</v>
      </c>
      <c r="D57" s="113">
        <v>30908.0</v>
      </c>
      <c r="E57" s="113">
        <v>38.54</v>
      </c>
      <c r="F57" s="113">
        <v>3433.6</v>
      </c>
      <c r="G57" s="113">
        <v>0.1111</v>
      </c>
      <c r="H57" s="113">
        <v>3.39</v>
      </c>
      <c r="I57" s="113">
        <v>3.2795</v>
      </c>
      <c r="J57" s="113">
        <v>31.35</v>
      </c>
      <c r="K57" s="113">
        <v>15.38</v>
      </c>
      <c r="L57" s="113">
        <v>5.67</v>
      </c>
      <c r="M57" s="113">
        <v>0.3684</v>
      </c>
      <c r="N57" s="113">
        <v>0.7491</v>
      </c>
      <c r="O57" s="113">
        <v>0.5201</v>
      </c>
      <c r="P57" s="113">
        <v>2.7142</v>
      </c>
      <c r="Q57" s="113">
        <v>58.13</v>
      </c>
      <c r="R57" s="113">
        <v>53.95</v>
      </c>
      <c r="S57" s="113">
        <v>4.18</v>
      </c>
      <c r="T57" s="113">
        <v>6.94</v>
      </c>
      <c r="U57" s="113">
        <v>51.19</v>
      </c>
      <c r="V57" s="113">
        <v>60.73</v>
      </c>
      <c r="W57" s="113">
        <v>3.9473</v>
      </c>
      <c r="X57" s="113">
        <v>11.94</v>
      </c>
      <c r="Y57" s="113">
        <v>102.0</v>
      </c>
      <c r="Z57" s="113">
        <v>437.0</v>
      </c>
      <c r="AA57" s="113">
        <v>2971.0</v>
      </c>
      <c r="AB57" s="113">
        <v>49.4804</v>
      </c>
      <c r="AC57" s="113">
        <v>0.4988</v>
      </c>
      <c r="AD57" s="113">
        <v>3.91</v>
      </c>
      <c r="AE57" s="113">
        <v>1.0</v>
      </c>
      <c r="AF57" s="113">
        <v>2.0</v>
      </c>
      <c r="AG57" s="113">
        <v>5.0</v>
      </c>
      <c r="AH57" s="113">
        <v>9.0</v>
      </c>
      <c r="AI57" s="113">
        <v>70.8</v>
      </c>
      <c r="AJ57" s="113">
        <v>28.76</v>
      </c>
      <c r="AK57" s="113">
        <v>8.68</v>
      </c>
      <c r="AL57" s="113">
        <v>0.2357</v>
      </c>
      <c r="AM57" s="115">
        <v>59.99</v>
      </c>
      <c r="AN57" s="115">
        <v>59.99</v>
      </c>
      <c r="AO57" s="115">
        <v>26.55</v>
      </c>
      <c r="AP57" s="115">
        <v>8.12</v>
      </c>
      <c r="AQ57" s="115">
        <v>3.759</v>
      </c>
      <c r="AR57" s="115">
        <v>0.0911</v>
      </c>
      <c r="AS57" s="115">
        <v>3.6679</v>
      </c>
      <c r="AT57" s="115">
        <v>3.5787</v>
      </c>
      <c r="AU57" s="115">
        <v>0.2326</v>
      </c>
    </row>
    <row r="58" ht="15.75" customHeight="1">
      <c r="A58" s="112">
        <v>46179.0</v>
      </c>
      <c r="B58" s="113" t="s">
        <v>9</v>
      </c>
      <c r="C58" s="113" t="s">
        <v>130</v>
      </c>
      <c r="D58" s="113">
        <v>17986.0</v>
      </c>
      <c r="E58" s="113">
        <v>22.42</v>
      </c>
      <c r="F58" s="113">
        <v>7010.36</v>
      </c>
      <c r="G58" s="113">
        <v>0.3898</v>
      </c>
      <c r="H58" s="113">
        <v>8.41</v>
      </c>
      <c r="I58" s="113">
        <v>4.6365</v>
      </c>
      <c r="J58" s="113">
        <v>57.39</v>
      </c>
      <c r="K58" s="113">
        <v>29.49</v>
      </c>
      <c r="L58" s="113">
        <v>14.53</v>
      </c>
      <c r="M58" s="113">
        <v>0.4927</v>
      </c>
      <c r="N58" s="113">
        <v>0.6409</v>
      </c>
      <c r="O58" s="113">
        <v>0.408</v>
      </c>
      <c r="P58" s="113">
        <v>2.0296</v>
      </c>
      <c r="Q58" s="113">
        <v>127.04</v>
      </c>
      <c r="R58" s="113">
        <v>115.88</v>
      </c>
      <c r="S58" s="113">
        <v>11.15</v>
      </c>
      <c r="T58" s="113">
        <v>24.42</v>
      </c>
      <c r="U58" s="113">
        <v>102.62</v>
      </c>
      <c r="V58" s="113">
        <v>127.69</v>
      </c>
      <c r="W58" s="113">
        <v>4.33</v>
      </c>
      <c r="X58" s="113">
        <v>19.22</v>
      </c>
      <c r="Y58" s="113">
        <v>104.0</v>
      </c>
      <c r="Z58" s="113">
        <v>411.0</v>
      </c>
      <c r="AA58" s="113">
        <v>3117.0</v>
      </c>
      <c r="AB58" s="113">
        <v>52.6294</v>
      </c>
      <c r="AC58" s="113">
        <v>0.6058</v>
      </c>
      <c r="AD58" s="113">
        <v>9.89</v>
      </c>
      <c r="AE58" s="113">
        <v>3.0</v>
      </c>
      <c r="AF58" s="113">
        <v>7.0</v>
      </c>
      <c r="AG58" s="113">
        <v>14.0</v>
      </c>
      <c r="AH58" s="113">
        <v>21.0</v>
      </c>
      <c r="AI58" s="113">
        <v>60.24</v>
      </c>
      <c r="AJ58" s="113">
        <v>28.01</v>
      </c>
      <c r="AK58" s="113">
        <v>6.21</v>
      </c>
      <c r="AL58" s="113">
        <v>0.1984</v>
      </c>
      <c r="AM58" s="115">
        <v>65.68</v>
      </c>
      <c r="AN58" s="115">
        <v>65.68</v>
      </c>
      <c r="AO58" s="115">
        <v>43.18</v>
      </c>
      <c r="AP58" s="115">
        <v>23.95</v>
      </c>
      <c r="AQ58" s="115">
        <v>7.7165</v>
      </c>
      <c r="AR58" s="115">
        <v>0.307</v>
      </c>
      <c r="AS58" s="115">
        <v>7.4095</v>
      </c>
      <c r="AT58" s="115">
        <v>7.164</v>
      </c>
      <c r="AU58" s="115">
        <v>0.2429</v>
      </c>
    </row>
    <row r="59" ht="15.75" customHeight="1">
      <c r="A59" s="112">
        <v>46179.0</v>
      </c>
      <c r="B59" s="113" t="s">
        <v>9</v>
      </c>
      <c r="C59" s="113" t="s">
        <v>131</v>
      </c>
      <c r="D59" s="113">
        <v>9939.0</v>
      </c>
      <c r="E59" s="113">
        <v>12.39</v>
      </c>
      <c r="F59" s="113">
        <v>8311.34</v>
      </c>
      <c r="G59" s="113">
        <v>0.8362</v>
      </c>
      <c r="H59" s="113">
        <v>12.33</v>
      </c>
      <c r="I59" s="113">
        <v>6.7848</v>
      </c>
      <c r="J59" s="113">
        <v>82.12</v>
      </c>
      <c r="K59" s="113">
        <v>44.27</v>
      </c>
      <c r="L59" s="113">
        <v>27.34</v>
      </c>
      <c r="M59" s="113">
        <v>0.6176</v>
      </c>
      <c r="N59" s="113">
        <v>0.5218</v>
      </c>
      <c r="O59" s="113">
        <v>0.3253</v>
      </c>
      <c r="P59" s="113">
        <v>1.6192</v>
      </c>
      <c r="Q59" s="113">
        <v>226.01</v>
      </c>
      <c r="R59" s="113">
        <v>205.12</v>
      </c>
      <c r="S59" s="113">
        <v>20.89</v>
      </c>
      <c r="T59" s="113">
        <v>52.19</v>
      </c>
      <c r="U59" s="113">
        <v>173.83</v>
      </c>
      <c r="V59" s="113">
        <v>223.71</v>
      </c>
      <c r="W59" s="113">
        <v>5.0528</v>
      </c>
      <c r="X59" s="113">
        <v>23.09</v>
      </c>
      <c r="Y59" s="113">
        <v>122.0</v>
      </c>
      <c r="Z59" s="113">
        <v>586.0</v>
      </c>
      <c r="AA59" s="113">
        <v>4028.0</v>
      </c>
      <c r="AB59" s="113">
        <v>55.5999</v>
      </c>
      <c r="AC59" s="113">
        <v>0.7171</v>
      </c>
      <c r="AD59" s="113">
        <v>18.69</v>
      </c>
      <c r="AE59" s="113">
        <v>7.0</v>
      </c>
      <c r="AF59" s="113">
        <v>14.0</v>
      </c>
      <c r="AG59" s="113">
        <v>26.0</v>
      </c>
      <c r="AH59" s="113">
        <v>40.0</v>
      </c>
      <c r="AI59" s="113">
        <v>60.51</v>
      </c>
      <c r="AJ59" s="113">
        <v>25.02</v>
      </c>
      <c r="AK59" s="113">
        <v>9.27</v>
      </c>
      <c r="AL59" s="113">
        <v>0.1903</v>
      </c>
      <c r="AM59" s="115">
        <v>64.8</v>
      </c>
      <c r="AN59" s="115">
        <v>64.8</v>
      </c>
      <c r="AO59" s="115">
        <v>42.86</v>
      </c>
      <c r="AP59" s="115">
        <v>26.52</v>
      </c>
      <c r="AQ59" s="115">
        <v>11.8612</v>
      </c>
      <c r="AR59" s="115">
        <v>0.6702</v>
      </c>
      <c r="AS59" s="115">
        <v>11.191</v>
      </c>
      <c r="AT59" s="115">
        <v>11.1422</v>
      </c>
      <c r="AU59" s="115">
        <v>0.2517</v>
      </c>
    </row>
    <row r="60" ht="15.75" customHeight="1">
      <c r="A60" s="112">
        <v>46179.0</v>
      </c>
      <c r="B60" s="113" t="s">
        <v>9</v>
      </c>
      <c r="C60" s="113" t="s">
        <v>132</v>
      </c>
      <c r="D60" s="113">
        <v>4171.0</v>
      </c>
      <c r="E60" s="113">
        <v>5.2</v>
      </c>
      <c r="F60" s="113">
        <v>8565.28</v>
      </c>
      <c r="G60" s="113">
        <v>2.0535</v>
      </c>
      <c r="H60" s="113">
        <v>15.37</v>
      </c>
      <c r="I60" s="113">
        <v>13.3624</v>
      </c>
      <c r="J60" s="113">
        <v>129.2</v>
      </c>
      <c r="K60" s="113">
        <v>73.69</v>
      </c>
      <c r="L60" s="113">
        <v>56.07</v>
      </c>
      <c r="M60" s="113">
        <v>0.7609</v>
      </c>
      <c r="N60" s="113">
        <v>0.3814</v>
      </c>
      <c r="O60" s="113">
        <v>0.2488</v>
      </c>
      <c r="P60" s="113">
        <v>1.3142</v>
      </c>
      <c r="Q60" s="113">
        <v>452.96</v>
      </c>
      <c r="R60" s="113">
        <v>410.02</v>
      </c>
      <c r="S60" s="113">
        <v>42.94</v>
      </c>
      <c r="T60" s="113">
        <v>127.47</v>
      </c>
      <c r="U60" s="113">
        <v>325.49</v>
      </c>
      <c r="V60" s="113">
        <v>461.28</v>
      </c>
      <c r="W60" s="113">
        <v>6.2596</v>
      </c>
      <c r="X60" s="113">
        <v>28.14</v>
      </c>
      <c r="Y60" s="113">
        <v>186.0</v>
      </c>
      <c r="Z60" s="113">
        <v>1040.0</v>
      </c>
      <c r="AA60" s="113">
        <v>6236.0</v>
      </c>
      <c r="AB60" s="113">
        <v>59.1298</v>
      </c>
      <c r="AC60" s="113">
        <v>0.8139</v>
      </c>
      <c r="AD60" s="113">
        <v>39.96</v>
      </c>
      <c r="AE60" s="113">
        <v>14.0</v>
      </c>
      <c r="AF60" s="113">
        <v>31.0</v>
      </c>
      <c r="AG60" s="113">
        <v>56.0</v>
      </c>
      <c r="AH60" s="113">
        <v>85.0</v>
      </c>
      <c r="AI60" s="113">
        <v>53.92</v>
      </c>
      <c r="AJ60" s="113">
        <v>22.61</v>
      </c>
      <c r="AK60" s="113">
        <v>6.35</v>
      </c>
      <c r="AL60" s="113">
        <v>0.1635</v>
      </c>
      <c r="AM60" s="115">
        <v>66.2</v>
      </c>
      <c r="AN60" s="115">
        <v>66.2</v>
      </c>
      <c r="AO60" s="115">
        <v>45.0</v>
      </c>
      <c r="AP60" s="115">
        <v>30.9</v>
      </c>
      <c r="AQ60" s="115">
        <v>19.6078</v>
      </c>
      <c r="AR60" s="115">
        <v>1.7598</v>
      </c>
      <c r="AS60" s="115">
        <v>17.848</v>
      </c>
      <c r="AT60" s="115">
        <v>19.3301</v>
      </c>
      <c r="AU60" s="115">
        <v>0.2623</v>
      </c>
    </row>
    <row r="61" ht="15.75" customHeight="1">
      <c r="A61" s="112">
        <v>46179.0</v>
      </c>
      <c r="B61" s="113" t="s">
        <v>9</v>
      </c>
      <c r="C61" s="113" t="s">
        <v>133</v>
      </c>
      <c r="D61" s="113">
        <v>484.0</v>
      </c>
      <c r="E61" s="113">
        <v>0.6</v>
      </c>
      <c r="F61" s="113">
        <v>1777.13</v>
      </c>
      <c r="G61" s="113">
        <v>3.6718</v>
      </c>
      <c r="H61" s="113">
        <v>15.91</v>
      </c>
      <c r="I61" s="113">
        <v>23.0796</v>
      </c>
      <c r="J61" s="113">
        <v>248.67</v>
      </c>
      <c r="K61" s="113">
        <v>149.97</v>
      </c>
      <c r="L61" s="113">
        <v>125.48</v>
      </c>
      <c r="M61" s="113">
        <v>0.8367</v>
      </c>
      <c r="N61" s="113">
        <v>0.2948</v>
      </c>
      <c r="O61" s="113">
        <v>0.1995</v>
      </c>
      <c r="P61" s="113">
        <v>1.1952</v>
      </c>
      <c r="Q61" s="113">
        <v>866.79</v>
      </c>
      <c r="R61" s="113">
        <v>770.37</v>
      </c>
      <c r="S61" s="113">
        <v>96.42</v>
      </c>
      <c r="T61" s="113">
        <v>236.98</v>
      </c>
      <c r="U61" s="113">
        <v>629.81</v>
      </c>
      <c r="V61" s="113">
        <v>861.26</v>
      </c>
      <c r="W61" s="113">
        <v>5.7428</v>
      </c>
      <c r="X61" s="113">
        <v>27.34</v>
      </c>
      <c r="Y61" s="113">
        <v>491.0</v>
      </c>
      <c r="Z61" s="113">
        <v>2962.0</v>
      </c>
      <c r="AA61" s="113">
        <v>10719.0</v>
      </c>
      <c r="AB61" s="113">
        <v>62.6273</v>
      </c>
      <c r="AC61" s="113">
        <v>0.8834</v>
      </c>
      <c r="AD61" s="113">
        <v>89.85</v>
      </c>
      <c r="AE61" s="113">
        <v>31.0</v>
      </c>
      <c r="AF61" s="113">
        <v>73.0</v>
      </c>
      <c r="AG61" s="113">
        <v>125.0</v>
      </c>
      <c r="AH61" s="113">
        <v>184.0</v>
      </c>
      <c r="AI61" s="113">
        <v>46.69</v>
      </c>
      <c r="AJ61" s="113">
        <v>12.6</v>
      </c>
      <c r="AK61" s="113">
        <v>3.1</v>
      </c>
      <c r="AL61" s="113">
        <v>0.1116</v>
      </c>
      <c r="AM61" s="115">
        <v>66.94</v>
      </c>
      <c r="AN61" s="115">
        <v>66.94</v>
      </c>
      <c r="AO61" s="115">
        <v>46.9</v>
      </c>
      <c r="AP61" s="115">
        <v>33.68</v>
      </c>
      <c r="AQ61" s="115">
        <v>35.2273</v>
      </c>
      <c r="AR61" s="115">
        <v>2.7645</v>
      </c>
      <c r="AS61" s="115">
        <v>32.4628</v>
      </c>
      <c r="AT61" s="115">
        <v>37.155</v>
      </c>
      <c r="AU61" s="115">
        <v>0.2477</v>
      </c>
    </row>
    <row r="62" ht="15.75" customHeight="1">
      <c r="A62" s="116">
        <v>46180.0</v>
      </c>
      <c r="B62" s="115" t="s">
        <v>8</v>
      </c>
      <c r="C62" s="115" t="s">
        <v>128</v>
      </c>
      <c r="D62" s="115">
        <v>16421.0</v>
      </c>
      <c r="E62" s="115">
        <v>20.07</v>
      </c>
      <c r="F62" s="115">
        <v>36.48</v>
      </c>
      <c r="G62" s="115">
        <v>0.0022</v>
      </c>
      <c r="H62" s="115">
        <v>0.07</v>
      </c>
      <c r="I62" s="115">
        <v>3.04</v>
      </c>
      <c r="J62" s="115">
        <v>6.7</v>
      </c>
      <c r="K62" s="115">
        <v>2.97</v>
      </c>
      <c r="L62" s="115">
        <v>0.04</v>
      </c>
      <c r="M62" s="115">
        <v>0.0126</v>
      </c>
      <c r="N62" s="115">
        <v>0.9892</v>
      </c>
      <c r="O62" s="115">
        <v>0.8367</v>
      </c>
      <c r="P62" s="115">
        <v>79.2614</v>
      </c>
      <c r="Q62" s="115">
        <v>24.11</v>
      </c>
      <c r="R62" s="115">
        <v>24.0</v>
      </c>
      <c r="S62" s="115">
        <v>0.1</v>
      </c>
      <c r="T62" s="115">
        <v>0.22</v>
      </c>
      <c r="U62" s="115">
        <v>23.89</v>
      </c>
      <c r="V62" s="115">
        <v>1.86</v>
      </c>
      <c r="W62" s="115">
        <v>0.6267</v>
      </c>
      <c r="X62" s="115">
        <v>0.91</v>
      </c>
      <c r="Y62" s="115">
        <v>210.0</v>
      </c>
      <c r="Z62" s="115">
        <v>2670.0</v>
      </c>
      <c r="AA62" s="115">
        <v>13190.0</v>
      </c>
      <c r="AB62" s="115">
        <v>49.6378</v>
      </c>
      <c r="AC62" s="115">
        <v>0.531</v>
      </c>
      <c r="AI62" s="115">
        <v>0.0</v>
      </c>
      <c r="AJ62" s="115">
        <v>0.0</v>
      </c>
      <c r="AK62" s="115">
        <v>0.0</v>
      </c>
      <c r="AL62" s="115">
        <v>0.2808</v>
      </c>
      <c r="AQ62" s="115">
        <v>0.7992</v>
      </c>
      <c r="AR62" s="115">
        <v>0.0049</v>
      </c>
      <c r="AS62" s="115">
        <v>0.7942</v>
      </c>
      <c r="AT62" s="115">
        <v>0.3919</v>
      </c>
      <c r="AU62" s="115">
        <v>0.1318</v>
      </c>
    </row>
    <row r="63" ht="15.75" customHeight="1">
      <c r="A63" s="116">
        <v>46180.0</v>
      </c>
      <c r="B63" s="115" t="s">
        <v>8</v>
      </c>
      <c r="C63" s="115" t="s">
        <v>129</v>
      </c>
      <c r="D63" s="115">
        <v>32438.0</v>
      </c>
      <c r="E63" s="115">
        <v>39.64</v>
      </c>
      <c r="F63" s="115">
        <v>3578.82</v>
      </c>
      <c r="G63" s="115">
        <v>0.1103</v>
      </c>
      <c r="H63" s="115">
        <v>3.09</v>
      </c>
      <c r="I63" s="115">
        <v>3.5752</v>
      </c>
      <c r="J63" s="115">
        <v>33.69</v>
      </c>
      <c r="K63" s="115">
        <v>16.97</v>
      </c>
      <c r="L63" s="115">
        <v>5.78</v>
      </c>
      <c r="M63" s="115">
        <v>0.3404</v>
      </c>
      <c r="N63" s="115">
        <v>0.7705</v>
      </c>
      <c r="O63" s="115">
        <v>0.538</v>
      </c>
      <c r="P63" s="115">
        <v>2.9381</v>
      </c>
      <c r="Q63" s="115">
        <v>58.34</v>
      </c>
      <c r="R63" s="115">
        <v>46.29</v>
      </c>
      <c r="S63" s="115">
        <v>12.05</v>
      </c>
      <c r="T63" s="115">
        <v>7.34</v>
      </c>
      <c r="U63" s="115">
        <v>51.0</v>
      </c>
      <c r="V63" s="115">
        <v>62.52</v>
      </c>
      <c r="W63" s="115">
        <v>3.6844</v>
      </c>
      <c r="X63" s="115">
        <v>12.59</v>
      </c>
      <c r="Y63" s="115">
        <v>104.0</v>
      </c>
      <c r="Z63" s="115">
        <v>454.0</v>
      </c>
      <c r="AA63" s="115">
        <v>3292.0</v>
      </c>
      <c r="AB63" s="115">
        <v>49.4779</v>
      </c>
      <c r="AC63" s="115">
        <v>0.4993</v>
      </c>
      <c r="AD63" s="115">
        <v>3.91</v>
      </c>
      <c r="AE63" s="115">
        <v>1.0</v>
      </c>
      <c r="AF63" s="115">
        <v>2.0</v>
      </c>
      <c r="AG63" s="115">
        <v>5.0</v>
      </c>
      <c r="AH63" s="115">
        <v>9.0</v>
      </c>
      <c r="AI63" s="115">
        <v>71.39</v>
      </c>
      <c r="AJ63" s="115">
        <v>29.06</v>
      </c>
      <c r="AK63" s="115">
        <v>8.21</v>
      </c>
      <c r="AL63" s="115">
        <v>0.2399</v>
      </c>
      <c r="AQ63" s="115">
        <v>2.8745</v>
      </c>
      <c r="AR63" s="115">
        <v>0.0983</v>
      </c>
      <c r="AS63" s="115">
        <v>2.7762</v>
      </c>
      <c r="AT63" s="115">
        <v>3.3041</v>
      </c>
      <c r="AU63" s="115">
        <v>0.1947</v>
      </c>
    </row>
    <row r="64" ht="15.75" customHeight="1">
      <c r="A64" s="116">
        <v>46180.0</v>
      </c>
      <c r="B64" s="115" t="s">
        <v>8</v>
      </c>
      <c r="C64" s="115" t="s">
        <v>130</v>
      </c>
      <c r="D64" s="115">
        <v>18039.0</v>
      </c>
      <c r="E64" s="115">
        <v>22.04</v>
      </c>
      <c r="F64" s="115">
        <v>6773.15</v>
      </c>
      <c r="G64" s="115">
        <v>0.3755</v>
      </c>
      <c r="H64" s="115">
        <v>8.37</v>
      </c>
      <c r="I64" s="115">
        <v>4.4885</v>
      </c>
      <c r="J64" s="115">
        <v>61.4</v>
      </c>
      <c r="K64" s="115">
        <v>31.78</v>
      </c>
      <c r="L64" s="115">
        <v>14.63</v>
      </c>
      <c r="M64" s="115">
        <v>0.4604</v>
      </c>
      <c r="N64" s="115">
        <v>0.6686</v>
      </c>
      <c r="O64" s="115">
        <v>0.4302</v>
      </c>
      <c r="P64" s="115">
        <v>2.1718</v>
      </c>
      <c r="Q64" s="115">
        <v>114.02</v>
      </c>
      <c r="R64" s="115">
        <v>83.32</v>
      </c>
      <c r="S64" s="115">
        <v>30.7</v>
      </c>
      <c r="T64" s="115">
        <v>23.85</v>
      </c>
      <c r="U64" s="115">
        <v>90.18</v>
      </c>
      <c r="V64" s="115">
        <v>126.15</v>
      </c>
      <c r="W64" s="115">
        <v>3.9698</v>
      </c>
      <c r="X64" s="115">
        <v>20.91</v>
      </c>
      <c r="Y64" s="115">
        <v>98.0</v>
      </c>
      <c r="Z64" s="115">
        <v>387.0</v>
      </c>
      <c r="AA64" s="115">
        <v>2985.0</v>
      </c>
      <c r="AB64" s="115">
        <v>52.5906</v>
      </c>
      <c r="AC64" s="115">
        <v>0.6067</v>
      </c>
      <c r="AD64" s="115">
        <v>9.53</v>
      </c>
      <c r="AE64" s="115">
        <v>3.0</v>
      </c>
      <c r="AF64" s="115">
        <v>7.0</v>
      </c>
      <c r="AG64" s="115">
        <v>13.0</v>
      </c>
      <c r="AH64" s="115">
        <v>20.0</v>
      </c>
      <c r="AI64" s="115">
        <v>59.63</v>
      </c>
      <c r="AJ64" s="115">
        <v>26.51</v>
      </c>
      <c r="AK64" s="115">
        <v>5.19</v>
      </c>
      <c r="AL64" s="115">
        <v>0.2129</v>
      </c>
      <c r="AQ64" s="115">
        <v>6.095</v>
      </c>
      <c r="AR64" s="115">
        <v>0.2926</v>
      </c>
      <c r="AS64" s="115">
        <v>5.8024</v>
      </c>
      <c r="AT64" s="115">
        <v>6.6276</v>
      </c>
      <c r="AU64" s="115">
        <v>0.2086</v>
      </c>
    </row>
    <row r="65" ht="15.75" customHeight="1">
      <c r="A65" s="116">
        <v>46180.0</v>
      </c>
      <c r="B65" s="115" t="s">
        <v>8</v>
      </c>
      <c r="C65" s="115" t="s">
        <v>131</v>
      </c>
      <c r="D65" s="115">
        <v>10324.0</v>
      </c>
      <c r="E65" s="115">
        <v>12.62</v>
      </c>
      <c r="F65" s="115">
        <v>9513.38</v>
      </c>
      <c r="G65" s="115">
        <v>0.9215</v>
      </c>
      <c r="H65" s="115">
        <v>12.24</v>
      </c>
      <c r="I65" s="115">
        <v>7.5264</v>
      </c>
      <c r="J65" s="115">
        <v>86.04</v>
      </c>
      <c r="K65" s="115">
        <v>46.83</v>
      </c>
      <c r="L65" s="115">
        <v>28.07</v>
      </c>
      <c r="M65" s="115">
        <v>0.5994</v>
      </c>
      <c r="N65" s="115">
        <v>0.5383</v>
      </c>
      <c r="O65" s="115">
        <v>0.3359</v>
      </c>
      <c r="P65" s="115">
        <v>1.6683</v>
      </c>
      <c r="Q65" s="115">
        <v>203.94</v>
      </c>
      <c r="R65" s="115">
        <v>144.5</v>
      </c>
      <c r="S65" s="115">
        <v>59.44</v>
      </c>
      <c r="T65" s="115">
        <v>56.59</v>
      </c>
      <c r="U65" s="115">
        <v>147.34</v>
      </c>
      <c r="V65" s="115">
        <v>229.92</v>
      </c>
      <c r="W65" s="115">
        <v>4.9092</v>
      </c>
      <c r="X65" s="115">
        <v>27.75</v>
      </c>
      <c r="Y65" s="115">
        <v>114.0</v>
      </c>
      <c r="Z65" s="115">
        <v>493.0</v>
      </c>
      <c r="AA65" s="115">
        <v>3557.0</v>
      </c>
      <c r="AB65" s="115">
        <v>55.5319</v>
      </c>
      <c r="AC65" s="115">
        <v>0.7227</v>
      </c>
      <c r="AD65" s="115">
        <v>18.46</v>
      </c>
      <c r="AE65" s="115">
        <v>7.0</v>
      </c>
      <c r="AF65" s="115">
        <v>14.0</v>
      </c>
      <c r="AG65" s="115">
        <v>25.0</v>
      </c>
      <c r="AH65" s="115">
        <v>39.0</v>
      </c>
      <c r="AI65" s="115">
        <v>60.63</v>
      </c>
      <c r="AJ65" s="115">
        <v>24.82</v>
      </c>
      <c r="AK65" s="115">
        <v>8.36</v>
      </c>
      <c r="AL65" s="115">
        <v>0.2084</v>
      </c>
      <c r="AQ65" s="115">
        <v>10.2688</v>
      </c>
      <c r="AR65" s="115">
        <v>0.7571</v>
      </c>
      <c r="AS65" s="115">
        <v>9.5117</v>
      </c>
      <c r="AT65" s="115">
        <v>10.856</v>
      </c>
      <c r="AU65" s="115">
        <v>0.2318</v>
      </c>
    </row>
    <row r="66" ht="15.75" customHeight="1">
      <c r="A66" s="116">
        <v>46180.0</v>
      </c>
      <c r="B66" s="115" t="s">
        <v>8</v>
      </c>
      <c r="C66" s="115" t="s">
        <v>132</v>
      </c>
      <c r="D66" s="115">
        <v>4161.0</v>
      </c>
      <c r="E66" s="115">
        <v>5.08</v>
      </c>
      <c r="F66" s="115">
        <v>8466.7</v>
      </c>
      <c r="G66" s="115">
        <v>2.0348</v>
      </c>
      <c r="H66" s="115">
        <v>16.08</v>
      </c>
      <c r="I66" s="115">
        <v>12.6558</v>
      </c>
      <c r="J66" s="115">
        <v>130.37</v>
      </c>
      <c r="K66" s="115">
        <v>75.18</v>
      </c>
      <c r="L66" s="115">
        <v>55.68</v>
      </c>
      <c r="M66" s="115">
        <v>0.7406</v>
      </c>
      <c r="N66" s="115">
        <v>0.3965</v>
      </c>
      <c r="O66" s="115">
        <v>0.2542</v>
      </c>
      <c r="P66" s="115">
        <v>1.3502</v>
      </c>
      <c r="Q66" s="115">
        <v>373.2</v>
      </c>
      <c r="R66" s="115">
        <v>255.58</v>
      </c>
      <c r="S66" s="115">
        <v>117.62</v>
      </c>
      <c r="T66" s="115">
        <v>123.14</v>
      </c>
      <c r="U66" s="115">
        <v>250.06</v>
      </c>
      <c r="V66" s="115">
        <v>419.53</v>
      </c>
      <c r="W66" s="115">
        <v>5.5802</v>
      </c>
      <c r="X66" s="115">
        <v>33.0</v>
      </c>
      <c r="Y66" s="115">
        <v>166.0</v>
      </c>
      <c r="Z66" s="115">
        <v>1148.0</v>
      </c>
      <c r="AA66" s="115">
        <v>6353.0</v>
      </c>
      <c r="AB66" s="115">
        <v>59.0975</v>
      </c>
      <c r="AC66" s="115">
        <v>0.8168</v>
      </c>
      <c r="AD66" s="115">
        <v>38.03</v>
      </c>
      <c r="AE66" s="115">
        <v>14.0</v>
      </c>
      <c r="AF66" s="115">
        <v>30.0</v>
      </c>
      <c r="AG66" s="115">
        <v>53.0</v>
      </c>
      <c r="AH66" s="115">
        <v>80.0</v>
      </c>
      <c r="AI66" s="115">
        <v>53.11</v>
      </c>
      <c r="AJ66" s="115">
        <v>20.16</v>
      </c>
      <c r="AK66" s="115">
        <v>4.97</v>
      </c>
      <c r="AL66" s="115">
        <v>0.1906</v>
      </c>
      <c r="AQ66" s="115">
        <v>17.5516</v>
      </c>
      <c r="AR66" s="115">
        <v>1.6208</v>
      </c>
      <c r="AS66" s="115">
        <v>15.9308</v>
      </c>
      <c r="AT66" s="115">
        <v>18.1144</v>
      </c>
      <c r="AU66" s="115">
        <v>0.2409</v>
      </c>
    </row>
    <row r="67" ht="15.75" customHeight="1">
      <c r="A67" s="116">
        <v>46180.0</v>
      </c>
      <c r="B67" s="115" t="s">
        <v>8</v>
      </c>
      <c r="C67" s="115" t="s">
        <v>133</v>
      </c>
      <c r="D67" s="115">
        <v>454.0</v>
      </c>
      <c r="E67" s="115">
        <v>0.55</v>
      </c>
      <c r="F67" s="115">
        <v>1709.01</v>
      </c>
      <c r="G67" s="115">
        <v>3.7643</v>
      </c>
      <c r="H67" s="115">
        <v>18.06</v>
      </c>
      <c r="I67" s="115">
        <v>20.8416</v>
      </c>
      <c r="J67" s="115">
        <v>234.24</v>
      </c>
      <c r="K67" s="115">
        <v>144.84</v>
      </c>
      <c r="L67" s="115">
        <v>122.76</v>
      </c>
      <c r="M67" s="115">
        <v>0.8476</v>
      </c>
      <c r="N67" s="115">
        <v>0.2752</v>
      </c>
      <c r="O67" s="115">
        <v>0.1879</v>
      </c>
      <c r="P67" s="115">
        <v>1.1798</v>
      </c>
      <c r="Q67" s="115">
        <v>741.5</v>
      </c>
      <c r="R67" s="115">
        <v>482.32</v>
      </c>
      <c r="S67" s="115">
        <v>259.17</v>
      </c>
      <c r="T67" s="115">
        <v>246.46</v>
      </c>
      <c r="U67" s="115">
        <v>495.03</v>
      </c>
      <c r="V67" s="115">
        <v>800.99</v>
      </c>
      <c r="W67" s="115">
        <v>5.5303</v>
      </c>
      <c r="X67" s="115">
        <v>33.24</v>
      </c>
      <c r="Y67" s="115">
        <v>360.0</v>
      </c>
      <c r="Z67" s="115">
        <v>2543.0</v>
      </c>
      <c r="AA67" s="115">
        <v>8526.0</v>
      </c>
      <c r="AB67" s="115">
        <v>62.5893</v>
      </c>
      <c r="AC67" s="115">
        <v>0.8787</v>
      </c>
      <c r="AD67" s="115">
        <v>83.46</v>
      </c>
      <c r="AE67" s="115">
        <v>31.0</v>
      </c>
      <c r="AF67" s="115">
        <v>67.0</v>
      </c>
      <c r="AG67" s="115">
        <v>120.0</v>
      </c>
      <c r="AH67" s="115">
        <v>177.0</v>
      </c>
      <c r="AI67" s="115">
        <v>43.17</v>
      </c>
      <c r="AJ67" s="115">
        <v>10.35</v>
      </c>
      <c r="AK67" s="115">
        <v>1.32</v>
      </c>
      <c r="AL67" s="115">
        <v>0.13</v>
      </c>
      <c r="AQ67" s="115">
        <v>32.7489</v>
      </c>
      <c r="AR67" s="115">
        <v>2.9427</v>
      </c>
      <c r="AS67" s="115">
        <v>29.8062</v>
      </c>
      <c r="AT67" s="115">
        <v>33.1564</v>
      </c>
      <c r="AU67" s="115">
        <v>0.2289</v>
      </c>
    </row>
    <row r="68" ht="15.75" customHeight="1">
      <c r="A68" s="116">
        <v>46180.0</v>
      </c>
      <c r="B68" s="115" t="s">
        <v>9</v>
      </c>
      <c r="C68" s="115" t="s">
        <v>128</v>
      </c>
      <c r="D68" s="115">
        <v>16960.0</v>
      </c>
      <c r="E68" s="115">
        <v>20.77</v>
      </c>
      <c r="F68" s="115">
        <v>23.15</v>
      </c>
      <c r="G68" s="115">
        <v>0.0014</v>
      </c>
      <c r="H68" s="115">
        <v>0.06</v>
      </c>
      <c r="I68" s="115">
        <v>2.315</v>
      </c>
      <c r="J68" s="115">
        <v>6.91</v>
      </c>
      <c r="K68" s="115">
        <v>3.08</v>
      </c>
      <c r="L68" s="115">
        <v>0.04</v>
      </c>
      <c r="M68" s="115">
        <v>0.0144</v>
      </c>
      <c r="N68" s="115">
        <v>0.9874</v>
      </c>
      <c r="O68" s="115">
        <v>0.8102</v>
      </c>
      <c r="P68" s="115">
        <v>69.6733</v>
      </c>
      <c r="Q68" s="115">
        <v>20.49</v>
      </c>
      <c r="R68" s="115">
        <v>20.42</v>
      </c>
      <c r="S68" s="115">
        <v>0.07</v>
      </c>
      <c r="T68" s="115">
        <v>0.11</v>
      </c>
      <c r="U68" s="115">
        <v>20.38</v>
      </c>
      <c r="V68" s="115">
        <v>2.13</v>
      </c>
      <c r="W68" s="115">
        <v>0.6918</v>
      </c>
      <c r="X68" s="115">
        <v>0.55</v>
      </c>
      <c r="Y68" s="115">
        <v>188.0</v>
      </c>
      <c r="Z68" s="115">
        <v>2092.0</v>
      </c>
      <c r="AA68" s="115">
        <v>11951.0</v>
      </c>
      <c r="AB68" s="115">
        <v>49.6698</v>
      </c>
      <c r="AC68" s="115">
        <v>0.5315</v>
      </c>
      <c r="AI68" s="115">
        <v>0.0</v>
      </c>
      <c r="AJ68" s="115">
        <v>0.0</v>
      </c>
      <c r="AK68" s="115">
        <v>0.0</v>
      </c>
      <c r="AL68" s="115">
        <v>0.2747</v>
      </c>
      <c r="AM68" s="115">
        <v>0.15</v>
      </c>
      <c r="AN68" s="115">
        <v>0.15</v>
      </c>
      <c r="AO68" s="115">
        <v>0.08</v>
      </c>
      <c r="AP68" s="115">
        <v>0.02</v>
      </c>
      <c r="AQ68" s="115">
        <v>0.7828</v>
      </c>
      <c r="AR68" s="115">
        <v>0.0037</v>
      </c>
      <c r="AS68" s="115">
        <v>0.7791</v>
      </c>
      <c r="AT68" s="115">
        <v>0.4269</v>
      </c>
      <c r="AU68" s="115">
        <v>0.1386</v>
      </c>
    </row>
    <row r="69" ht="15.75" customHeight="1">
      <c r="A69" s="116">
        <v>46180.0</v>
      </c>
      <c r="B69" s="115" t="s">
        <v>9</v>
      </c>
      <c r="C69" s="115" t="s">
        <v>129</v>
      </c>
      <c r="D69" s="115">
        <v>31222.0</v>
      </c>
      <c r="E69" s="115">
        <v>38.23</v>
      </c>
      <c r="F69" s="115">
        <v>3345.63</v>
      </c>
      <c r="G69" s="115">
        <v>0.1072</v>
      </c>
      <c r="H69" s="115">
        <v>3.27</v>
      </c>
      <c r="I69" s="115">
        <v>3.28</v>
      </c>
      <c r="J69" s="115">
        <v>34.44</v>
      </c>
      <c r="K69" s="115">
        <v>17.29</v>
      </c>
      <c r="L69" s="115">
        <v>5.79</v>
      </c>
      <c r="M69" s="115">
        <v>0.3345</v>
      </c>
      <c r="N69" s="115">
        <v>0.7704</v>
      </c>
      <c r="O69" s="115">
        <v>0.5309</v>
      </c>
      <c r="P69" s="115">
        <v>2.9893</v>
      </c>
      <c r="Q69" s="115">
        <v>50.78</v>
      </c>
      <c r="R69" s="115">
        <v>46.44</v>
      </c>
      <c r="S69" s="115">
        <v>4.35</v>
      </c>
      <c r="T69" s="115">
        <v>7.11</v>
      </c>
      <c r="U69" s="115">
        <v>43.68</v>
      </c>
      <c r="V69" s="115">
        <v>57.98</v>
      </c>
      <c r="W69" s="115">
        <v>3.3525</v>
      </c>
      <c r="X69" s="115">
        <v>14.0</v>
      </c>
      <c r="Y69" s="115">
        <v>98.0</v>
      </c>
      <c r="Z69" s="115">
        <v>405.0</v>
      </c>
      <c r="AA69" s="115">
        <v>2998.0</v>
      </c>
      <c r="AB69" s="115">
        <v>49.4399</v>
      </c>
      <c r="AC69" s="115">
        <v>0.499</v>
      </c>
      <c r="AD69" s="115">
        <v>3.92</v>
      </c>
      <c r="AE69" s="115">
        <v>1.0</v>
      </c>
      <c r="AF69" s="115">
        <v>2.0</v>
      </c>
      <c r="AG69" s="115">
        <v>5.0</v>
      </c>
      <c r="AH69" s="115">
        <v>9.0</v>
      </c>
      <c r="AI69" s="115">
        <v>70.93</v>
      </c>
      <c r="AJ69" s="115">
        <v>28.79</v>
      </c>
      <c r="AK69" s="115">
        <v>8.43</v>
      </c>
      <c r="AL69" s="115">
        <v>0.2484</v>
      </c>
      <c r="AM69" s="115">
        <v>59.55</v>
      </c>
      <c r="AN69" s="115">
        <v>59.55</v>
      </c>
      <c r="AO69" s="115">
        <v>26.36</v>
      </c>
      <c r="AP69" s="115">
        <v>7.85</v>
      </c>
      <c r="AQ69" s="115">
        <v>3.2636</v>
      </c>
      <c r="AR69" s="115">
        <v>0.0817</v>
      </c>
      <c r="AS69" s="115">
        <v>3.1819</v>
      </c>
      <c r="AT69" s="115">
        <v>3.5071</v>
      </c>
      <c r="AU69" s="115">
        <v>0.2028</v>
      </c>
    </row>
    <row r="70" ht="15.75" customHeight="1">
      <c r="A70" s="116">
        <v>46180.0</v>
      </c>
      <c r="B70" s="115" t="s">
        <v>9</v>
      </c>
      <c r="C70" s="115" t="s">
        <v>130</v>
      </c>
      <c r="D70" s="115">
        <v>18303.0</v>
      </c>
      <c r="E70" s="115">
        <v>22.41</v>
      </c>
      <c r="F70" s="115">
        <v>7112.05</v>
      </c>
      <c r="G70" s="115">
        <v>0.3886</v>
      </c>
      <c r="H70" s="115">
        <v>8.22</v>
      </c>
      <c r="I70" s="115">
        <v>4.7288</v>
      </c>
      <c r="J70" s="115">
        <v>63.02</v>
      </c>
      <c r="K70" s="115">
        <v>32.78</v>
      </c>
      <c r="L70" s="115">
        <v>14.8</v>
      </c>
      <c r="M70" s="115">
        <v>0.4516</v>
      </c>
      <c r="N70" s="115">
        <v>0.6724</v>
      </c>
      <c r="O70" s="115">
        <v>0.4279</v>
      </c>
      <c r="P70" s="115">
        <v>2.2143</v>
      </c>
      <c r="Q70" s="115">
        <v>106.98</v>
      </c>
      <c r="R70" s="115">
        <v>95.67</v>
      </c>
      <c r="S70" s="115">
        <v>11.31</v>
      </c>
      <c r="T70" s="115">
        <v>24.6</v>
      </c>
      <c r="U70" s="115">
        <v>82.38</v>
      </c>
      <c r="V70" s="115">
        <v>121.05</v>
      </c>
      <c r="W70" s="115">
        <v>3.693</v>
      </c>
      <c r="X70" s="115">
        <v>22.99</v>
      </c>
      <c r="Y70" s="115">
        <v>93.0</v>
      </c>
      <c r="Z70" s="115">
        <v>369.0</v>
      </c>
      <c r="AA70" s="115">
        <v>2639.0</v>
      </c>
      <c r="AB70" s="115">
        <v>52.5536</v>
      </c>
      <c r="AC70" s="115">
        <v>0.6058</v>
      </c>
      <c r="AD70" s="115">
        <v>9.65</v>
      </c>
      <c r="AE70" s="115">
        <v>3.0</v>
      </c>
      <c r="AF70" s="115">
        <v>7.0</v>
      </c>
      <c r="AG70" s="115">
        <v>13.0</v>
      </c>
      <c r="AH70" s="115">
        <v>21.0</v>
      </c>
      <c r="AI70" s="115">
        <v>59.1</v>
      </c>
      <c r="AJ70" s="115">
        <v>27.16</v>
      </c>
      <c r="AK70" s="115">
        <v>5.85</v>
      </c>
      <c r="AL70" s="115">
        <v>0.2099</v>
      </c>
      <c r="AM70" s="115">
        <v>65.22</v>
      </c>
      <c r="AN70" s="115">
        <v>65.22</v>
      </c>
      <c r="AO70" s="115">
        <v>43.28</v>
      </c>
      <c r="AP70" s="115">
        <v>23.32</v>
      </c>
      <c r="AQ70" s="115">
        <v>7.0135</v>
      </c>
      <c r="AR70" s="115">
        <v>0.3093</v>
      </c>
      <c r="AS70" s="115">
        <v>6.7041</v>
      </c>
      <c r="AT70" s="115">
        <v>7.145</v>
      </c>
      <c r="AU70" s="115">
        <v>0.218</v>
      </c>
    </row>
    <row r="71" ht="15.75" customHeight="1">
      <c r="A71" s="116">
        <v>46180.0</v>
      </c>
      <c r="B71" s="115" t="s">
        <v>9</v>
      </c>
      <c r="C71" s="115" t="s">
        <v>131</v>
      </c>
      <c r="D71" s="115">
        <v>10418.0</v>
      </c>
      <c r="E71" s="115">
        <v>12.76</v>
      </c>
      <c r="F71" s="115">
        <v>9866.53</v>
      </c>
      <c r="G71" s="115">
        <v>0.9471</v>
      </c>
      <c r="H71" s="115">
        <v>12.8</v>
      </c>
      <c r="I71" s="115">
        <v>7.3962</v>
      </c>
      <c r="J71" s="115">
        <v>88.83</v>
      </c>
      <c r="K71" s="115">
        <v>48.26</v>
      </c>
      <c r="L71" s="115">
        <v>28.74</v>
      </c>
      <c r="M71" s="115">
        <v>0.5955</v>
      </c>
      <c r="N71" s="115">
        <v>0.5375</v>
      </c>
      <c r="O71" s="115">
        <v>0.3282</v>
      </c>
      <c r="P71" s="115">
        <v>1.6793</v>
      </c>
      <c r="Q71" s="115">
        <v>199.62</v>
      </c>
      <c r="R71" s="115">
        <v>177.56</v>
      </c>
      <c r="S71" s="115">
        <v>22.06</v>
      </c>
      <c r="T71" s="115">
        <v>57.41</v>
      </c>
      <c r="U71" s="115">
        <v>142.21</v>
      </c>
      <c r="V71" s="115">
        <v>224.25</v>
      </c>
      <c r="W71" s="115">
        <v>4.6468</v>
      </c>
      <c r="X71" s="115">
        <v>28.76</v>
      </c>
      <c r="Y71" s="115">
        <v>106.0</v>
      </c>
      <c r="Z71" s="115">
        <v>534.0</v>
      </c>
      <c r="AA71" s="115">
        <v>3786.0</v>
      </c>
      <c r="AB71" s="115">
        <v>55.499</v>
      </c>
      <c r="AC71" s="115">
        <v>0.7201</v>
      </c>
      <c r="AD71" s="115">
        <v>19.37</v>
      </c>
      <c r="AE71" s="115">
        <v>7.0</v>
      </c>
      <c r="AF71" s="115">
        <v>15.0</v>
      </c>
      <c r="AG71" s="115">
        <v>27.0</v>
      </c>
      <c r="AH71" s="115">
        <v>41.0</v>
      </c>
      <c r="AI71" s="115">
        <v>60.56</v>
      </c>
      <c r="AJ71" s="115">
        <v>27.4</v>
      </c>
      <c r="AK71" s="115">
        <v>9.85</v>
      </c>
      <c r="AL71" s="115">
        <v>0.202</v>
      </c>
      <c r="AM71" s="115">
        <v>65.79</v>
      </c>
      <c r="AN71" s="115">
        <v>65.79</v>
      </c>
      <c r="AO71" s="115">
        <v>46.09</v>
      </c>
      <c r="AP71" s="115">
        <v>29.78</v>
      </c>
      <c r="AQ71" s="115">
        <v>11.518</v>
      </c>
      <c r="AR71" s="115">
        <v>0.728</v>
      </c>
      <c r="AS71" s="115">
        <v>10.7901</v>
      </c>
      <c r="AT71" s="115">
        <v>11.4347</v>
      </c>
      <c r="AU71" s="115">
        <v>0.2369</v>
      </c>
    </row>
    <row r="72" ht="15.75" customHeight="1">
      <c r="A72" s="116">
        <v>46180.0</v>
      </c>
      <c r="B72" s="115" t="s">
        <v>9</v>
      </c>
      <c r="C72" s="115" t="s">
        <v>132</v>
      </c>
      <c r="D72" s="115">
        <v>4252.0</v>
      </c>
      <c r="E72" s="115">
        <v>5.21</v>
      </c>
      <c r="F72" s="115">
        <v>9111.87</v>
      </c>
      <c r="G72" s="115">
        <v>2.143</v>
      </c>
      <c r="H72" s="115">
        <v>15.92</v>
      </c>
      <c r="I72" s="115">
        <v>13.4592</v>
      </c>
      <c r="J72" s="115">
        <v>133.31</v>
      </c>
      <c r="K72" s="115">
        <v>77.11</v>
      </c>
      <c r="L72" s="115">
        <v>56.6</v>
      </c>
      <c r="M72" s="115">
        <v>0.7341</v>
      </c>
      <c r="N72" s="115">
        <v>0.4007</v>
      </c>
      <c r="O72" s="115">
        <v>0.2521</v>
      </c>
      <c r="P72" s="115">
        <v>1.3622</v>
      </c>
      <c r="Q72" s="115">
        <v>371.71</v>
      </c>
      <c r="R72" s="115">
        <v>328.15</v>
      </c>
      <c r="S72" s="115">
        <v>43.56</v>
      </c>
      <c r="T72" s="115">
        <v>131.13</v>
      </c>
      <c r="U72" s="115">
        <v>240.58</v>
      </c>
      <c r="V72" s="115">
        <v>413.72</v>
      </c>
      <c r="W72" s="115">
        <v>5.3657</v>
      </c>
      <c r="X72" s="115">
        <v>35.28</v>
      </c>
      <c r="Y72" s="115">
        <v>152.0</v>
      </c>
      <c r="Z72" s="115">
        <v>950.0</v>
      </c>
      <c r="AA72" s="115">
        <v>6121.0</v>
      </c>
      <c r="AB72" s="115">
        <v>59.0556</v>
      </c>
      <c r="AC72" s="115">
        <v>0.8156</v>
      </c>
      <c r="AD72" s="115">
        <v>38.75</v>
      </c>
      <c r="AE72" s="115">
        <v>14.0</v>
      </c>
      <c r="AF72" s="115">
        <v>30.0</v>
      </c>
      <c r="AG72" s="115">
        <v>54.0</v>
      </c>
      <c r="AH72" s="115">
        <v>83.0</v>
      </c>
      <c r="AI72" s="115">
        <v>52.8</v>
      </c>
      <c r="AJ72" s="115">
        <v>21.5</v>
      </c>
      <c r="AK72" s="115">
        <v>6.09</v>
      </c>
      <c r="AL72" s="115">
        <v>0.1707</v>
      </c>
      <c r="AM72" s="115">
        <v>67.05</v>
      </c>
      <c r="AN72" s="115">
        <v>67.05</v>
      </c>
      <c r="AO72" s="115">
        <v>47.37</v>
      </c>
      <c r="AP72" s="115">
        <v>33.87</v>
      </c>
      <c r="AQ72" s="115">
        <v>18.8671</v>
      </c>
      <c r="AR72" s="115">
        <v>1.6627</v>
      </c>
      <c r="AS72" s="115">
        <v>17.2044</v>
      </c>
      <c r="AT72" s="115">
        <v>19.0019</v>
      </c>
      <c r="AU72" s="115">
        <v>0.2464</v>
      </c>
    </row>
    <row r="73" ht="15.75" customHeight="1">
      <c r="A73" s="116">
        <v>46180.0</v>
      </c>
      <c r="B73" s="115" t="s">
        <v>9</v>
      </c>
      <c r="C73" s="115" t="s">
        <v>133</v>
      </c>
      <c r="D73" s="115">
        <v>516.0</v>
      </c>
      <c r="E73" s="115">
        <v>0.63</v>
      </c>
      <c r="F73" s="115">
        <v>2346.33</v>
      </c>
      <c r="G73" s="115">
        <v>4.5472</v>
      </c>
      <c r="H73" s="115">
        <v>16.28</v>
      </c>
      <c r="I73" s="115">
        <v>27.9325</v>
      </c>
      <c r="J73" s="115">
        <v>256.11</v>
      </c>
      <c r="K73" s="115">
        <v>156.48</v>
      </c>
      <c r="L73" s="115">
        <v>132.15</v>
      </c>
      <c r="M73" s="115">
        <v>0.8445</v>
      </c>
      <c r="N73" s="115">
        <v>0.2828</v>
      </c>
      <c r="O73" s="115">
        <v>0.1946</v>
      </c>
      <c r="P73" s="115">
        <v>1.1841</v>
      </c>
      <c r="Q73" s="115">
        <v>802.43</v>
      </c>
      <c r="R73" s="115">
        <v>702.19</v>
      </c>
      <c r="S73" s="115">
        <v>100.24</v>
      </c>
      <c r="T73" s="115">
        <v>292.53</v>
      </c>
      <c r="U73" s="115">
        <v>509.9</v>
      </c>
      <c r="V73" s="115">
        <v>841.67</v>
      </c>
      <c r="W73" s="115">
        <v>5.3787</v>
      </c>
      <c r="X73" s="115">
        <v>36.46</v>
      </c>
      <c r="Y73" s="115">
        <v>520.0</v>
      </c>
      <c r="Z73" s="115">
        <v>3065.0</v>
      </c>
      <c r="AA73" s="115">
        <v>10894.0</v>
      </c>
      <c r="AB73" s="115">
        <v>62.4991</v>
      </c>
      <c r="AC73" s="115">
        <v>0.8851</v>
      </c>
      <c r="AD73" s="115">
        <v>91.75</v>
      </c>
      <c r="AE73" s="115">
        <v>38.0</v>
      </c>
      <c r="AF73" s="115">
        <v>81.0</v>
      </c>
      <c r="AG73" s="115">
        <v>130.0</v>
      </c>
      <c r="AH73" s="115">
        <v>181.0</v>
      </c>
      <c r="AI73" s="115">
        <v>50.97</v>
      </c>
      <c r="AJ73" s="115">
        <v>11.24</v>
      </c>
      <c r="AK73" s="115">
        <v>1.94</v>
      </c>
      <c r="AL73" s="115">
        <v>0.1376</v>
      </c>
      <c r="AM73" s="115">
        <v>72.29</v>
      </c>
      <c r="AN73" s="115">
        <v>72.29</v>
      </c>
      <c r="AO73" s="115">
        <v>49.81</v>
      </c>
      <c r="AP73" s="115">
        <v>38.95</v>
      </c>
      <c r="AQ73" s="115">
        <v>36.5872</v>
      </c>
      <c r="AR73" s="115">
        <v>3.2248</v>
      </c>
      <c r="AS73" s="115">
        <v>33.3624</v>
      </c>
      <c r="AT73" s="115">
        <v>37.1105</v>
      </c>
      <c r="AU73" s="115">
        <v>0.2372</v>
      </c>
    </row>
    <row r="74" ht="15.75" customHeight="1">
      <c r="A74" s="116">
        <v>46181.0</v>
      </c>
      <c r="B74" s="115" t="s">
        <v>8</v>
      </c>
      <c r="C74" s="115" t="s">
        <v>128</v>
      </c>
      <c r="D74" s="115">
        <v>16479.0</v>
      </c>
      <c r="E74" s="115">
        <v>19.02</v>
      </c>
      <c r="F74" s="115">
        <v>99.48</v>
      </c>
      <c r="G74" s="115">
        <v>0.006</v>
      </c>
      <c r="H74" s="115">
        <v>0.13</v>
      </c>
      <c r="I74" s="115">
        <v>4.7371</v>
      </c>
      <c r="J74" s="115">
        <v>6.03</v>
      </c>
      <c r="K74" s="115">
        <v>2.54</v>
      </c>
      <c r="L74" s="115">
        <v>0.1</v>
      </c>
      <c r="M74" s="115">
        <v>0.0382</v>
      </c>
      <c r="N74" s="115">
        <v>0.9669</v>
      </c>
      <c r="O74" s="115">
        <v>0.6753</v>
      </c>
      <c r="P74" s="115">
        <v>26.1538</v>
      </c>
      <c r="Q74" s="115">
        <v>38.23</v>
      </c>
      <c r="R74" s="115">
        <v>38.13</v>
      </c>
      <c r="S74" s="115">
        <v>0.1</v>
      </c>
      <c r="T74" s="115">
        <v>0.38</v>
      </c>
      <c r="U74" s="115">
        <v>37.85</v>
      </c>
      <c r="V74" s="115">
        <v>2.4</v>
      </c>
      <c r="W74" s="115">
        <v>0.9469</v>
      </c>
      <c r="X74" s="115">
        <v>0.99</v>
      </c>
      <c r="Y74" s="115">
        <v>283.0</v>
      </c>
      <c r="Z74" s="115">
        <v>3110.0</v>
      </c>
      <c r="AA74" s="115">
        <v>13697.0</v>
      </c>
      <c r="AB74" s="115">
        <v>50.0052</v>
      </c>
      <c r="AC74" s="115">
        <v>0.5389</v>
      </c>
      <c r="AI74" s="115">
        <v>0.0</v>
      </c>
      <c r="AJ74" s="115">
        <v>0.0</v>
      </c>
      <c r="AK74" s="115">
        <v>0.0</v>
      </c>
      <c r="AL74" s="115">
        <v>0.2712</v>
      </c>
      <c r="AQ74" s="115">
        <v>1.58</v>
      </c>
      <c r="AR74" s="115">
        <v>0.0074</v>
      </c>
      <c r="AS74" s="115">
        <v>1.5726</v>
      </c>
      <c r="AT74" s="115">
        <v>0.3943</v>
      </c>
      <c r="AU74" s="115">
        <v>0.1554</v>
      </c>
    </row>
    <row r="75" ht="15.75" customHeight="1">
      <c r="A75" s="116">
        <v>46181.0</v>
      </c>
      <c r="B75" s="115" t="s">
        <v>8</v>
      </c>
      <c r="C75" s="115" t="s">
        <v>129</v>
      </c>
      <c r="D75" s="115">
        <v>33528.0</v>
      </c>
      <c r="E75" s="115">
        <v>38.69</v>
      </c>
      <c r="F75" s="115">
        <v>2786.62</v>
      </c>
      <c r="G75" s="115">
        <v>0.0831</v>
      </c>
      <c r="H75" s="115">
        <v>2.61</v>
      </c>
      <c r="I75" s="115">
        <v>3.1884</v>
      </c>
      <c r="J75" s="115">
        <v>33.68</v>
      </c>
      <c r="K75" s="115">
        <v>16.54</v>
      </c>
      <c r="L75" s="115">
        <v>5.72</v>
      </c>
      <c r="M75" s="115">
        <v>0.3455</v>
      </c>
      <c r="N75" s="115">
        <v>0.7713</v>
      </c>
      <c r="O75" s="115">
        <v>0.5451</v>
      </c>
      <c r="P75" s="115">
        <v>2.8944</v>
      </c>
      <c r="Q75" s="115">
        <v>83.71</v>
      </c>
      <c r="R75" s="115">
        <v>72.16</v>
      </c>
      <c r="S75" s="115">
        <v>11.55</v>
      </c>
      <c r="T75" s="115">
        <v>5.24</v>
      </c>
      <c r="U75" s="115">
        <v>78.47</v>
      </c>
      <c r="V75" s="115">
        <v>72.03</v>
      </c>
      <c r="W75" s="115">
        <v>4.3544</v>
      </c>
      <c r="X75" s="115">
        <v>6.26</v>
      </c>
      <c r="Y75" s="115">
        <v>121.0</v>
      </c>
      <c r="Z75" s="115">
        <v>462.0</v>
      </c>
      <c r="AA75" s="115">
        <v>3285.0</v>
      </c>
      <c r="AB75" s="115">
        <v>49.3561</v>
      </c>
      <c r="AC75" s="115">
        <v>0.4844</v>
      </c>
      <c r="AD75" s="115">
        <v>3.84</v>
      </c>
      <c r="AE75" s="115">
        <v>1.0</v>
      </c>
      <c r="AF75" s="115">
        <v>2.0</v>
      </c>
      <c r="AG75" s="115">
        <v>5.0</v>
      </c>
      <c r="AH75" s="115">
        <v>9.0</v>
      </c>
      <c r="AI75" s="115">
        <v>71.58</v>
      </c>
      <c r="AJ75" s="115">
        <v>27.99</v>
      </c>
      <c r="AK75" s="115">
        <v>7.94</v>
      </c>
      <c r="AL75" s="115">
        <v>0.2198</v>
      </c>
      <c r="AQ75" s="115">
        <v>4.4217</v>
      </c>
      <c r="AR75" s="115">
        <v>0.0566</v>
      </c>
      <c r="AS75" s="115">
        <v>4.3651</v>
      </c>
      <c r="AT75" s="115">
        <v>3.5987</v>
      </c>
      <c r="AU75" s="115">
        <v>0.2175</v>
      </c>
    </row>
    <row r="76" ht="15.75" customHeight="1">
      <c r="A76" s="116">
        <v>46181.0</v>
      </c>
      <c r="B76" s="115" t="s">
        <v>8</v>
      </c>
      <c r="C76" s="115" t="s">
        <v>130</v>
      </c>
      <c r="D76" s="115">
        <v>19877.0</v>
      </c>
      <c r="E76" s="115">
        <v>22.94</v>
      </c>
      <c r="F76" s="115">
        <v>6627.9</v>
      </c>
      <c r="G76" s="115">
        <v>0.3334</v>
      </c>
      <c r="H76" s="115">
        <v>7.42</v>
      </c>
      <c r="I76" s="115">
        <v>4.4965</v>
      </c>
      <c r="J76" s="115">
        <v>62.64</v>
      </c>
      <c r="K76" s="115">
        <v>31.99</v>
      </c>
      <c r="L76" s="115">
        <v>15.46</v>
      </c>
      <c r="M76" s="115">
        <v>0.4833</v>
      </c>
      <c r="N76" s="115">
        <v>0.6553</v>
      </c>
      <c r="O76" s="115">
        <v>0.4237</v>
      </c>
      <c r="P76" s="115">
        <v>2.0692</v>
      </c>
      <c r="Q76" s="115">
        <v>163.3</v>
      </c>
      <c r="R76" s="115">
        <v>133.3</v>
      </c>
      <c r="S76" s="115">
        <v>30.0</v>
      </c>
      <c r="T76" s="115">
        <v>22.03</v>
      </c>
      <c r="U76" s="115">
        <v>141.27</v>
      </c>
      <c r="V76" s="115">
        <v>149.48</v>
      </c>
      <c r="W76" s="115">
        <v>4.673</v>
      </c>
      <c r="X76" s="115">
        <v>13.49</v>
      </c>
      <c r="Y76" s="115">
        <v>112.0</v>
      </c>
      <c r="Z76" s="115">
        <v>419.0</v>
      </c>
      <c r="AA76" s="115">
        <v>3152.0</v>
      </c>
      <c r="AB76" s="115">
        <v>52.3386</v>
      </c>
      <c r="AC76" s="115">
        <v>0.5553</v>
      </c>
      <c r="AD76" s="115">
        <v>9.76</v>
      </c>
      <c r="AE76" s="115">
        <v>3.0</v>
      </c>
      <c r="AF76" s="115">
        <v>7.0</v>
      </c>
      <c r="AG76" s="115">
        <v>14.0</v>
      </c>
      <c r="AH76" s="115">
        <v>21.0</v>
      </c>
      <c r="AI76" s="115">
        <v>60.21</v>
      </c>
      <c r="AJ76" s="115">
        <v>27.84</v>
      </c>
      <c r="AK76" s="115">
        <v>5.75</v>
      </c>
      <c r="AL76" s="115">
        <v>0.176</v>
      </c>
      <c r="AQ76" s="115">
        <v>8.532</v>
      </c>
      <c r="AR76" s="115">
        <v>0.237</v>
      </c>
      <c r="AS76" s="115">
        <v>8.295</v>
      </c>
      <c r="AT76" s="115">
        <v>7.1181</v>
      </c>
      <c r="AU76" s="115">
        <v>0.2225</v>
      </c>
    </row>
    <row r="77" ht="15.75" customHeight="1">
      <c r="A77" s="116">
        <v>46181.0</v>
      </c>
      <c r="B77" s="115" t="s">
        <v>8</v>
      </c>
      <c r="C77" s="115" t="s">
        <v>131</v>
      </c>
      <c r="D77" s="115">
        <v>11714.0</v>
      </c>
      <c r="E77" s="115">
        <v>13.52</v>
      </c>
      <c r="F77" s="115">
        <v>10384.42</v>
      </c>
      <c r="G77" s="115">
        <v>0.8865</v>
      </c>
      <c r="H77" s="115">
        <v>11.57</v>
      </c>
      <c r="I77" s="115">
        <v>7.6638</v>
      </c>
      <c r="J77" s="115">
        <v>91.54</v>
      </c>
      <c r="K77" s="115">
        <v>49.14</v>
      </c>
      <c r="L77" s="115">
        <v>30.85</v>
      </c>
      <c r="M77" s="115">
        <v>0.6278</v>
      </c>
      <c r="N77" s="115">
        <v>0.5201</v>
      </c>
      <c r="O77" s="115">
        <v>0.3291</v>
      </c>
      <c r="P77" s="115">
        <v>1.5928</v>
      </c>
      <c r="Q77" s="115">
        <v>288.28</v>
      </c>
      <c r="R77" s="115">
        <v>229.27</v>
      </c>
      <c r="S77" s="115">
        <v>59.01</v>
      </c>
      <c r="T77" s="115">
        <v>55.36</v>
      </c>
      <c r="U77" s="115">
        <v>232.91</v>
      </c>
      <c r="V77" s="115">
        <v>269.92</v>
      </c>
      <c r="W77" s="115">
        <v>5.4927</v>
      </c>
      <c r="X77" s="115">
        <v>19.21</v>
      </c>
      <c r="Y77" s="115">
        <v>134.0</v>
      </c>
      <c r="Z77" s="115">
        <v>639.0</v>
      </c>
      <c r="AA77" s="115">
        <v>4616.0</v>
      </c>
      <c r="AB77" s="115">
        <v>55.1334</v>
      </c>
      <c r="AC77" s="115">
        <v>0.6342</v>
      </c>
      <c r="AD77" s="115">
        <v>19.3</v>
      </c>
      <c r="AE77" s="115">
        <v>8.0</v>
      </c>
      <c r="AF77" s="115">
        <v>16.0</v>
      </c>
      <c r="AG77" s="115">
        <v>28.0</v>
      </c>
      <c r="AH77" s="115">
        <v>39.0</v>
      </c>
      <c r="AI77" s="115">
        <v>64.13</v>
      </c>
      <c r="AJ77" s="115">
        <v>28.33</v>
      </c>
      <c r="AK77" s="115">
        <v>7.17</v>
      </c>
      <c r="AL77" s="115">
        <v>0.1643</v>
      </c>
      <c r="AQ77" s="115">
        <v>13.2109</v>
      </c>
      <c r="AR77" s="115">
        <v>0.702</v>
      </c>
      <c r="AS77" s="115">
        <v>12.5089</v>
      </c>
      <c r="AT77" s="115">
        <v>11.3168</v>
      </c>
      <c r="AU77" s="115">
        <v>0.2303</v>
      </c>
    </row>
    <row r="78" ht="15.75" customHeight="1">
      <c r="A78" s="116">
        <v>46181.0</v>
      </c>
      <c r="B78" s="115" t="s">
        <v>8</v>
      </c>
      <c r="C78" s="115" t="s">
        <v>132</v>
      </c>
      <c r="D78" s="115">
        <v>4617.0</v>
      </c>
      <c r="E78" s="115">
        <v>5.33</v>
      </c>
      <c r="F78" s="115">
        <v>9107.23</v>
      </c>
      <c r="G78" s="115">
        <v>1.9725</v>
      </c>
      <c r="H78" s="115">
        <v>14.53</v>
      </c>
      <c r="I78" s="115">
        <v>13.5726</v>
      </c>
      <c r="J78" s="115">
        <v>140.05</v>
      </c>
      <c r="K78" s="115">
        <v>79.95</v>
      </c>
      <c r="L78" s="115">
        <v>61.62</v>
      </c>
      <c r="M78" s="115">
        <v>0.7708</v>
      </c>
      <c r="N78" s="115">
        <v>0.3777</v>
      </c>
      <c r="O78" s="115">
        <v>0.2506</v>
      </c>
      <c r="P78" s="115">
        <v>1.2974</v>
      </c>
      <c r="Q78" s="115">
        <v>519.47</v>
      </c>
      <c r="R78" s="115">
        <v>405.62</v>
      </c>
      <c r="S78" s="115">
        <v>113.84</v>
      </c>
      <c r="T78" s="115">
        <v>124.04</v>
      </c>
      <c r="U78" s="115">
        <v>395.43</v>
      </c>
      <c r="V78" s="115">
        <v>483.87</v>
      </c>
      <c r="W78" s="115">
        <v>6.0525</v>
      </c>
      <c r="X78" s="115">
        <v>23.88</v>
      </c>
      <c r="Y78" s="115">
        <v>233.0</v>
      </c>
      <c r="Z78" s="115">
        <v>1416.0</v>
      </c>
      <c r="AA78" s="115">
        <v>8171.0</v>
      </c>
      <c r="AB78" s="115">
        <v>58.6993</v>
      </c>
      <c r="AC78" s="115">
        <v>0.7181</v>
      </c>
      <c r="AD78" s="115">
        <v>37.95</v>
      </c>
      <c r="AE78" s="115">
        <v>16.0</v>
      </c>
      <c r="AF78" s="115">
        <v>32.0</v>
      </c>
      <c r="AG78" s="115">
        <v>49.0</v>
      </c>
      <c r="AH78" s="115">
        <v>78.0</v>
      </c>
      <c r="AI78" s="115">
        <v>56.57</v>
      </c>
      <c r="AJ78" s="115">
        <v>18.41</v>
      </c>
      <c r="AK78" s="115">
        <v>4.59</v>
      </c>
      <c r="AL78" s="115">
        <v>0.1408</v>
      </c>
      <c r="AQ78" s="115">
        <v>20.6164</v>
      </c>
      <c r="AR78" s="115">
        <v>1.5328</v>
      </c>
      <c r="AS78" s="115">
        <v>19.0836</v>
      </c>
      <c r="AT78" s="115">
        <v>18.7574</v>
      </c>
      <c r="AU78" s="115">
        <v>0.2346</v>
      </c>
    </row>
    <row r="79" ht="15.75" customHeight="1">
      <c r="A79" s="116">
        <v>46181.0</v>
      </c>
      <c r="B79" s="115" t="s">
        <v>8</v>
      </c>
      <c r="C79" s="115" t="s">
        <v>133</v>
      </c>
      <c r="D79" s="115">
        <v>439.0</v>
      </c>
      <c r="E79" s="115">
        <v>0.51</v>
      </c>
      <c r="F79" s="115">
        <v>934.21</v>
      </c>
      <c r="G79" s="115">
        <v>2.128</v>
      </c>
      <c r="H79" s="115">
        <v>14.58</v>
      </c>
      <c r="I79" s="115">
        <v>14.597</v>
      </c>
      <c r="J79" s="115">
        <v>234.89</v>
      </c>
      <c r="K79" s="115">
        <v>146.67</v>
      </c>
      <c r="L79" s="115">
        <v>125.95</v>
      </c>
      <c r="M79" s="115">
        <v>0.8587</v>
      </c>
      <c r="N79" s="115">
        <v>0.2726</v>
      </c>
      <c r="O79" s="115">
        <v>0.192</v>
      </c>
      <c r="P79" s="115">
        <v>1.1645</v>
      </c>
      <c r="Q79" s="115">
        <v>854.68</v>
      </c>
      <c r="R79" s="115">
        <v>587.97</v>
      </c>
      <c r="S79" s="115">
        <v>266.71</v>
      </c>
      <c r="T79" s="115">
        <v>140.89</v>
      </c>
      <c r="U79" s="115">
        <v>713.79</v>
      </c>
      <c r="V79" s="115">
        <v>849.66</v>
      </c>
      <c r="W79" s="115">
        <v>5.7929</v>
      </c>
      <c r="X79" s="115">
        <v>16.48</v>
      </c>
      <c r="Y79" s="115">
        <v>453.0</v>
      </c>
      <c r="Z79" s="115">
        <v>2999.0</v>
      </c>
      <c r="AA79" s="115">
        <v>10393.0</v>
      </c>
      <c r="AB79" s="115">
        <v>63.1683</v>
      </c>
      <c r="AC79" s="115">
        <v>0.8659</v>
      </c>
      <c r="AD79" s="115">
        <v>88.24</v>
      </c>
      <c r="AE79" s="115">
        <v>37.0</v>
      </c>
      <c r="AF79" s="115">
        <v>77.0</v>
      </c>
      <c r="AG79" s="115">
        <v>121.0</v>
      </c>
      <c r="AH79" s="115">
        <v>175.0</v>
      </c>
      <c r="AI79" s="115">
        <v>48.97</v>
      </c>
      <c r="AJ79" s="115">
        <v>10.48</v>
      </c>
      <c r="AK79" s="115">
        <v>1.59</v>
      </c>
      <c r="AL79" s="115">
        <v>0.1093</v>
      </c>
      <c r="AQ79" s="115">
        <v>36.0342</v>
      </c>
      <c r="AR79" s="115">
        <v>1.9749</v>
      </c>
      <c r="AS79" s="115">
        <v>34.0592</v>
      </c>
      <c r="AT79" s="115">
        <v>32.385</v>
      </c>
      <c r="AU79" s="115">
        <v>0.2208</v>
      </c>
    </row>
    <row r="80" ht="15.75" customHeight="1">
      <c r="A80" s="116">
        <v>46181.0</v>
      </c>
      <c r="B80" s="115" t="s">
        <v>9</v>
      </c>
      <c r="C80" s="115" t="s">
        <v>128</v>
      </c>
      <c r="D80" s="115">
        <v>16619.0</v>
      </c>
      <c r="E80" s="115">
        <v>19.18</v>
      </c>
      <c r="F80" s="115">
        <v>93.63</v>
      </c>
      <c r="G80" s="115">
        <v>0.0056</v>
      </c>
      <c r="H80" s="115">
        <v>0.11</v>
      </c>
      <c r="I80" s="115">
        <v>4.9279</v>
      </c>
      <c r="J80" s="115">
        <v>6.22</v>
      </c>
      <c r="K80" s="115">
        <v>2.61</v>
      </c>
      <c r="L80" s="115">
        <v>0.08</v>
      </c>
      <c r="M80" s="115">
        <v>0.0324</v>
      </c>
      <c r="N80" s="115">
        <v>0.9724</v>
      </c>
      <c r="O80" s="115">
        <v>0.6946</v>
      </c>
      <c r="P80" s="115">
        <v>30.831</v>
      </c>
      <c r="Q80" s="115">
        <v>34.3</v>
      </c>
      <c r="R80" s="115">
        <v>34.25</v>
      </c>
      <c r="S80" s="115">
        <v>0.05</v>
      </c>
      <c r="T80" s="115">
        <v>0.34</v>
      </c>
      <c r="U80" s="115">
        <v>33.96</v>
      </c>
      <c r="V80" s="115">
        <v>2.17</v>
      </c>
      <c r="W80" s="115">
        <v>0.8305</v>
      </c>
      <c r="X80" s="115">
        <v>1.0</v>
      </c>
      <c r="Y80" s="115">
        <v>248.0</v>
      </c>
      <c r="Z80" s="115">
        <v>2771.0</v>
      </c>
      <c r="AA80" s="115">
        <v>12779.0</v>
      </c>
      <c r="AB80" s="115">
        <v>49.8362</v>
      </c>
      <c r="AC80" s="115">
        <v>0.5376</v>
      </c>
      <c r="AI80" s="115">
        <v>0.0</v>
      </c>
      <c r="AJ80" s="115">
        <v>0.0</v>
      </c>
      <c r="AK80" s="115">
        <v>0.0</v>
      </c>
      <c r="AL80" s="115">
        <v>0.2747</v>
      </c>
      <c r="AM80" s="115">
        <v>0.38</v>
      </c>
      <c r="AN80" s="115">
        <v>0.38</v>
      </c>
      <c r="AO80" s="115">
        <v>0.24</v>
      </c>
      <c r="AP80" s="115">
        <v>0.11</v>
      </c>
      <c r="AQ80" s="115">
        <v>1.5619</v>
      </c>
      <c r="AR80" s="115">
        <v>0.0064</v>
      </c>
      <c r="AS80" s="115">
        <v>1.5555</v>
      </c>
      <c r="AT80" s="115">
        <v>0.3804</v>
      </c>
      <c r="AU80" s="115">
        <v>0.1456</v>
      </c>
    </row>
    <row r="81" ht="15.75" customHeight="1">
      <c r="A81" s="116">
        <v>46181.0</v>
      </c>
      <c r="B81" s="115" t="s">
        <v>9</v>
      </c>
      <c r="C81" s="115" t="s">
        <v>129</v>
      </c>
      <c r="D81" s="115">
        <v>32409.0</v>
      </c>
      <c r="E81" s="115">
        <v>37.41</v>
      </c>
      <c r="F81" s="115">
        <v>2835.44</v>
      </c>
      <c r="G81" s="115">
        <v>0.0875</v>
      </c>
      <c r="H81" s="115">
        <v>2.64</v>
      </c>
      <c r="I81" s="115">
        <v>3.3124</v>
      </c>
      <c r="J81" s="115">
        <v>34.19</v>
      </c>
      <c r="K81" s="115">
        <v>16.84</v>
      </c>
      <c r="L81" s="115">
        <v>5.74</v>
      </c>
      <c r="M81" s="115">
        <v>0.3412</v>
      </c>
      <c r="N81" s="115">
        <v>0.7712</v>
      </c>
      <c r="O81" s="115">
        <v>0.54</v>
      </c>
      <c r="P81" s="115">
        <v>2.9305</v>
      </c>
      <c r="Q81" s="115">
        <v>77.98</v>
      </c>
      <c r="R81" s="115">
        <v>73.75</v>
      </c>
      <c r="S81" s="115">
        <v>4.23</v>
      </c>
      <c r="T81" s="115">
        <v>5.74</v>
      </c>
      <c r="U81" s="115">
        <v>72.24</v>
      </c>
      <c r="V81" s="115">
        <v>67.43</v>
      </c>
      <c r="W81" s="115">
        <v>4.0053</v>
      </c>
      <c r="X81" s="115">
        <v>7.36</v>
      </c>
      <c r="Y81" s="115">
        <v>109.0</v>
      </c>
      <c r="Z81" s="115">
        <v>412.0</v>
      </c>
      <c r="AA81" s="115">
        <v>3017.0</v>
      </c>
      <c r="AB81" s="115">
        <v>49.4655</v>
      </c>
      <c r="AC81" s="115">
        <v>0.485</v>
      </c>
      <c r="AD81" s="115">
        <v>3.82</v>
      </c>
      <c r="AE81" s="115">
        <v>1.0</v>
      </c>
      <c r="AF81" s="115">
        <v>2.0</v>
      </c>
      <c r="AG81" s="115">
        <v>5.0</v>
      </c>
      <c r="AH81" s="115">
        <v>9.0</v>
      </c>
      <c r="AI81" s="115">
        <v>70.92</v>
      </c>
      <c r="AJ81" s="115">
        <v>28.21</v>
      </c>
      <c r="AK81" s="115">
        <v>7.54</v>
      </c>
      <c r="AL81" s="115">
        <v>0.2229</v>
      </c>
      <c r="AM81" s="115">
        <v>57.77</v>
      </c>
      <c r="AN81" s="115">
        <v>57.77</v>
      </c>
      <c r="AO81" s="115">
        <v>24.58</v>
      </c>
      <c r="AP81" s="115">
        <v>6.78</v>
      </c>
      <c r="AQ81" s="115">
        <v>4.8006</v>
      </c>
      <c r="AR81" s="115">
        <v>0.0693</v>
      </c>
      <c r="AS81" s="115">
        <v>4.7313</v>
      </c>
      <c r="AT81" s="115">
        <v>3.8502</v>
      </c>
      <c r="AU81" s="115">
        <v>0.2287</v>
      </c>
    </row>
    <row r="82" ht="15.75" customHeight="1">
      <c r="A82" s="116">
        <v>46181.0</v>
      </c>
      <c r="B82" s="115" t="s">
        <v>9</v>
      </c>
      <c r="C82" s="115" t="s">
        <v>130</v>
      </c>
      <c r="D82" s="115">
        <v>20132.0</v>
      </c>
      <c r="E82" s="115">
        <v>23.24</v>
      </c>
      <c r="F82" s="115">
        <v>7154.36</v>
      </c>
      <c r="G82" s="115">
        <v>0.3554</v>
      </c>
      <c r="H82" s="115">
        <v>7.54</v>
      </c>
      <c r="I82" s="115">
        <v>4.713</v>
      </c>
      <c r="J82" s="115">
        <v>63.67</v>
      </c>
      <c r="K82" s="115">
        <v>32.55</v>
      </c>
      <c r="L82" s="115">
        <v>15.46</v>
      </c>
      <c r="M82" s="115">
        <v>0.4751</v>
      </c>
      <c r="N82" s="115">
        <v>0.6594</v>
      </c>
      <c r="O82" s="115">
        <v>0.423</v>
      </c>
      <c r="P82" s="115">
        <v>2.1046</v>
      </c>
      <c r="Q82" s="115">
        <v>156.99</v>
      </c>
      <c r="R82" s="115">
        <v>145.44</v>
      </c>
      <c r="S82" s="115">
        <v>11.54</v>
      </c>
      <c r="T82" s="115">
        <v>22.52</v>
      </c>
      <c r="U82" s="115">
        <v>134.46</v>
      </c>
      <c r="V82" s="115">
        <v>142.66</v>
      </c>
      <c r="W82" s="115">
        <v>4.3833</v>
      </c>
      <c r="X82" s="115">
        <v>14.35</v>
      </c>
      <c r="Y82" s="115">
        <v>111.0</v>
      </c>
      <c r="Z82" s="115">
        <v>447.0</v>
      </c>
      <c r="AA82" s="115">
        <v>3364.0</v>
      </c>
      <c r="AB82" s="115">
        <v>52.3113</v>
      </c>
      <c r="AC82" s="115">
        <v>0.5564</v>
      </c>
      <c r="AD82" s="115">
        <v>9.85</v>
      </c>
      <c r="AE82" s="115">
        <v>3.0</v>
      </c>
      <c r="AF82" s="115">
        <v>7.0</v>
      </c>
      <c r="AG82" s="115">
        <v>14.0</v>
      </c>
      <c r="AH82" s="115">
        <v>21.0</v>
      </c>
      <c r="AI82" s="115">
        <v>59.34</v>
      </c>
      <c r="AJ82" s="115">
        <v>28.21</v>
      </c>
      <c r="AK82" s="115">
        <v>6.16</v>
      </c>
      <c r="AL82" s="115">
        <v>0.1734</v>
      </c>
      <c r="AM82" s="115">
        <v>64.83</v>
      </c>
      <c r="AN82" s="115">
        <v>64.83</v>
      </c>
      <c r="AO82" s="115">
        <v>41.87</v>
      </c>
      <c r="AP82" s="115">
        <v>21.99</v>
      </c>
      <c r="AQ82" s="115">
        <v>9.4313</v>
      </c>
      <c r="AR82" s="115">
        <v>0.28</v>
      </c>
      <c r="AS82" s="115">
        <v>9.1513</v>
      </c>
      <c r="AT82" s="115">
        <v>7.5993</v>
      </c>
      <c r="AU82" s="115">
        <v>0.2335</v>
      </c>
    </row>
    <row r="83" ht="15.75" customHeight="1">
      <c r="A83" s="116">
        <v>46181.0</v>
      </c>
      <c r="B83" s="115" t="s">
        <v>9</v>
      </c>
      <c r="C83" s="115" t="s">
        <v>131</v>
      </c>
      <c r="D83" s="115">
        <v>11996.0</v>
      </c>
      <c r="E83" s="115">
        <v>13.85</v>
      </c>
      <c r="F83" s="115">
        <v>9661.63</v>
      </c>
      <c r="G83" s="115">
        <v>0.8054</v>
      </c>
      <c r="H83" s="115">
        <v>11.58</v>
      </c>
      <c r="I83" s="115">
        <v>6.9558</v>
      </c>
      <c r="J83" s="115">
        <v>94.92</v>
      </c>
      <c r="K83" s="115">
        <v>50.95</v>
      </c>
      <c r="L83" s="115">
        <v>32.21</v>
      </c>
      <c r="M83" s="115">
        <v>0.6321</v>
      </c>
      <c r="N83" s="115">
        <v>0.5129</v>
      </c>
      <c r="O83" s="115">
        <v>0.3197</v>
      </c>
      <c r="P83" s="115">
        <v>1.5821</v>
      </c>
      <c r="Q83" s="115">
        <v>295.37</v>
      </c>
      <c r="R83" s="115">
        <v>272.8</v>
      </c>
      <c r="S83" s="115">
        <v>22.57</v>
      </c>
      <c r="T83" s="115">
        <v>50.69</v>
      </c>
      <c r="U83" s="115">
        <v>244.68</v>
      </c>
      <c r="V83" s="115">
        <v>272.22</v>
      </c>
      <c r="W83" s="115">
        <v>5.3426</v>
      </c>
      <c r="X83" s="115">
        <v>17.16</v>
      </c>
      <c r="Y83" s="115">
        <v>136.0</v>
      </c>
      <c r="Z83" s="115">
        <v>632.0</v>
      </c>
      <c r="AA83" s="115">
        <v>4405.0</v>
      </c>
      <c r="AB83" s="115">
        <v>55.0743</v>
      </c>
      <c r="AC83" s="115">
        <v>0.6314</v>
      </c>
      <c r="AD83" s="115">
        <v>19.72</v>
      </c>
      <c r="AE83" s="115">
        <v>8.0</v>
      </c>
      <c r="AF83" s="115">
        <v>16.0</v>
      </c>
      <c r="AG83" s="115">
        <v>28.0</v>
      </c>
      <c r="AH83" s="115">
        <v>40.0</v>
      </c>
      <c r="AI83" s="115">
        <v>64.47</v>
      </c>
      <c r="AJ83" s="115">
        <v>29.14</v>
      </c>
      <c r="AK83" s="115">
        <v>7.69</v>
      </c>
      <c r="AL83" s="115">
        <v>0.151</v>
      </c>
      <c r="AM83" s="115">
        <v>68.58</v>
      </c>
      <c r="AN83" s="115">
        <v>68.58</v>
      </c>
      <c r="AO83" s="115">
        <v>45.83</v>
      </c>
      <c r="AP83" s="115">
        <v>28.81</v>
      </c>
      <c r="AQ83" s="115">
        <v>14.3259</v>
      </c>
      <c r="AR83" s="115">
        <v>0.653</v>
      </c>
      <c r="AS83" s="115">
        <v>13.6729</v>
      </c>
      <c r="AT83" s="115">
        <v>12.0799</v>
      </c>
      <c r="AU83" s="115">
        <v>0.2371</v>
      </c>
    </row>
    <row r="84" ht="15.75" customHeight="1">
      <c r="A84" s="116">
        <v>46181.0</v>
      </c>
      <c r="B84" s="115" t="s">
        <v>9</v>
      </c>
      <c r="C84" s="115" t="s">
        <v>132</v>
      </c>
      <c r="D84" s="115">
        <v>4955.0</v>
      </c>
      <c r="E84" s="115">
        <v>5.72</v>
      </c>
      <c r="F84" s="115">
        <v>9958.84</v>
      </c>
      <c r="G84" s="115">
        <v>2.0099</v>
      </c>
      <c r="H84" s="115">
        <v>14.51</v>
      </c>
      <c r="I84" s="115">
        <v>13.851</v>
      </c>
      <c r="J84" s="115">
        <v>144.52</v>
      </c>
      <c r="K84" s="115">
        <v>82.61</v>
      </c>
      <c r="L84" s="115">
        <v>63.81</v>
      </c>
      <c r="M84" s="115">
        <v>0.7723</v>
      </c>
      <c r="N84" s="115">
        <v>0.3748</v>
      </c>
      <c r="O84" s="115">
        <v>0.2458</v>
      </c>
      <c r="P84" s="115">
        <v>1.2948</v>
      </c>
      <c r="Q84" s="115">
        <v>553.48</v>
      </c>
      <c r="R84" s="115">
        <v>511.91</v>
      </c>
      <c r="S84" s="115">
        <v>41.57</v>
      </c>
      <c r="T84" s="115">
        <v>129.07</v>
      </c>
      <c r="U84" s="115">
        <v>424.41</v>
      </c>
      <c r="V84" s="115">
        <v>528.5</v>
      </c>
      <c r="W84" s="115">
        <v>6.3971</v>
      </c>
      <c r="X84" s="115">
        <v>23.32</v>
      </c>
      <c r="Y84" s="115">
        <v>239.0</v>
      </c>
      <c r="Z84" s="115">
        <v>1441.0</v>
      </c>
      <c r="AA84" s="115">
        <v>7757.0</v>
      </c>
      <c r="AB84" s="115">
        <v>58.6066</v>
      </c>
      <c r="AC84" s="115">
        <v>0.6996</v>
      </c>
      <c r="AD84" s="115">
        <v>38.59</v>
      </c>
      <c r="AE84" s="115">
        <v>17.0</v>
      </c>
      <c r="AF84" s="115">
        <v>33.0</v>
      </c>
      <c r="AG84" s="115">
        <v>50.0</v>
      </c>
      <c r="AH84" s="115">
        <v>79.0</v>
      </c>
      <c r="AI84" s="115">
        <v>57.26</v>
      </c>
      <c r="AJ84" s="115">
        <v>19.31</v>
      </c>
      <c r="AK84" s="115">
        <v>4.6</v>
      </c>
      <c r="AL84" s="115">
        <v>0.1304</v>
      </c>
      <c r="AM84" s="115">
        <v>72.45</v>
      </c>
      <c r="AN84" s="115">
        <v>72.45</v>
      </c>
      <c r="AO84" s="115">
        <v>51.83</v>
      </c>
      <c r="AP84" s="115">
        <v>34.75</v>
      </c>
      <c r="AQ84" s="115">
        <v>22.7047</v>
      </c>
      <c r="AR84" s="115">
        <v>2.2301</v>
      </c>
      <c r="AS84" s="115">
        <v>20.4747</v>
      </c>
      <c r="AT84" s="115">
        <v>19.3647</v>
      </c>
      <c r="AU84" s="115">
        <v>0.2344</v>
      </c>
    </row>
    <row r="85" ht="15.75" customHeight="1">
      <c r="A85" s="116">
        <v>46181.0</v>
      </c>
      <c r="B85" s="115" t="s">
        <v>9</v>
      </c>
      <c r="C85" s="115" t="s">
        <v>133</v>
      </c>
      <c r="D85" s="115">
        <v>532.0</v>
      </c>
      <c r="E85" s="115">
        <v>0.61</v>
      </c>
      <c r="F85" s="115">
        <v>1927.93</v>
      </c>
      <c r="G85" s="115">
        <v>3.6239</v>
      </c>
      <c r="H85" s="115">
        <v>18.98</v>
      </c>
      <c r="I85" s="115">
        <v>19.0884</v>
      </c>
      <c r="J85" s="115">
        <v>251.47</v>
      </c>
      <c r="K85" s="115">
        <v>154.84</v>
      </c>
      <c r="L85" s="115">
        <v>129.79</v>
      </c>
      <c r="M85" s="115">
        <v>0.8382</v>
      </c>
      <c r="N85" s="115">
        <v>0.2904</v>
      </c>
      <c r="O85" s="115">
        <v>0.1967</v>
      </c>
      <c r="P85" s="115">
        <v>1.193</v>
      </c>
      <c r="Q85" s="115">
        <v>946.61</v>
      </c>
      <c r="R85" s="115">
        <v>844.9</v>
      </c>
      <c r="S85" s="115">
        <v>101.71</v>
      </c>
      <c r="T85" s="115">
        <v>211.18</v>
      </c>
      <c r="U85" s="115">
        <v>735.42</v>
      </c>
      <c r="V85" s="115">
        <v>918.42</v>
      </c>
      <c r="W85" s="115">
        <v>5.9313</v>
      </c>
      <c r="X85" s="115">
        <v>22.31</v>
      </c>
      <c r="Y85" s="115">
        <v>404.0</v>
      </c>
      <c r="Z85" s="115">
        <v>2892.0</v>
      </c>
      <c r="AA85" s="115">
        <v>11692.0</v>
      </c>
      <c r="AB85" s="115">
        <v>62.476</v>
      </c>
      <c r="AC85" s="115">
        <v>0.8579</v>
      </c>
      <c r="AD85" s="115">
        <v>93.18</v>
      </c>
      <c r="AE85" s="115">
        <v>38.0</v>
      </c>
      <c r="AF85" s="115">
        <v>80.0</v>
      </c>
      <c r="AG85" s="115">
        <v>132.0</v>
      </c>
      <c r="AH85" s="115">
        <v>184.0</v>
      </c>
      <c r="AI85" s="115">
        <v>51.13</v>
      </c>
      <c r="AJ85" s="115">
        <v>12.22</v>
      </c>
      <c r="AK85" s="115">
        <v>1.5</v>
      </c>
      <c r="AL85" s="115">
        <v>0.1184</v>
      </c>
      <c r="AM85" s="115">
        <v>74.44</v>
      </c>
      <c r="AN85" s="115">
        <v>74.44</v>
      </c>
      <c r="AO85" s="115">
        <v>52.63</v>
      </c>
      <c r="AP85" s="115">
        <v>39.1</v>
      </c>
      <c r="AQ85" s="115">
        <v>39.594</v>
      </c>
      <c r="AR85" s="115">
        <v>3.0</v>
      </c>
      <c r="AS85" s="115">
        <v>36.594</v>
      </c>
      <c r="AT85" s="115">
        <v>35.8045</v>
      </c>
      <c r="AU85" s="115">
        <v>0.2312</v>
      </c>
    </row>
    <row r="86" ht="15.75" customHeight="1">
      <c r="A86" s="116">
        <v>46182.0</v>
      </c>
      <c r="B86" s="115" t="s">
        <v>8</v>
      </c>
      <c r="C86" s="115" t="s">
        <v>128</v>
      </c>
      <c r="D86" s="115">
        <v>17158.0</v>
      </c>
      <c r="E86" s="115">
        <v>19.93</v>
      </c>
      <c r="F86" s="115">
        <v>30.4</v>
      </c>
      <c r="G86" s="115">
        <v>0.0018</v>
      </c>
      <c r="H86" s="115">
        <v>0.07</v>
      </c>
      <c r="I86" s="115">
        <v>2.5333</v>
      </c>
      <c r="J86" s="115">
        <v>6.52</v>
      </c>
      <c r="K86" s="115">
        <v>2.84</v>
      </c>
      <c r="L86" s="115">
        <v>0.07</v>
      </c>
      <c r="M86" s="115">
        <v>0.0249</v>
      </c>
      <c r="N86" s="115">
        <v>0.9781</v>
      </c>
      <c r="O86" s="115">
        <v>0.73</v>
      </c>
      <c r="P86" s="115">
        <v>40.0988</v>
      </c>
      <c r="Q86" s="115">
        <v>25.21</v>
      </c>
      <c r="R86" s="115">
        <v>25.1</v>
      </c>
      <c r="S86" s="115">
        <v>0.11</v>
      </c>
      <c r="T86" s="115">
        <v>0.12</v>
      </c>
      <c r="U86" s="115">
        <v>25.08</v>
      </c>
      <c r="V86" s="115">
        <v>2.35</v>
      </c>
      <c r="W86" s="115">
        <v>0.8279</v>
      </c>
      <c r="X86" s="115">
        <v>0.49</v>
      </c>
      <c r="Y86" s="115">
        <v>221.0</v>
      </c>
      <c r="Z86" s="115">
        <v>2555.0</v>
      </c>
      <c r="AA86" s="115">
        <v>12849.0</v>
      </c>
      <c r="AB86" s="115">
        <v>49.3107</v>
      </c>
      <c r="AC86" s="115">
        <v>0.5183</v>
      </c>
      <c r="AI86" s="115">
        <v>0.0</v>
      </c>
      <c r="AJ86" s="115">
        <v>0.0</v>
      </c>
      <c r="AK86" s="115">
        <v>0.0</v>
      </c>
      <c r="AL86" s="115">
        <v>0.268</v>
      </c>
      <c r="AQ86" s="115">
        <v>1.0454</v>
      </c>
      <c r="AR86" s="115">
        <v>0.0029</v>
      </c>
      <c r="AS86" s="115">
        <v>1.0425</v>
      </c>
      <c r="AT86" s="115">
        <v>0.3946</v>
      </c>
      <c r="AU86" s="115">
        <v>0.1391</v>
      </c>
    </row>
    <row r="87" ht="15.75" customHeight="1">
      <c r="A87" s="116">
        <v>46182.0</v>
      </c>
      <c r="B87" s="115" t="s">
        <v>8</v>
      </c>
      <c r="C87" s="115" t="s">
        <v>129</v>
      </c>
      <c r="D87" s="115">
        <v>33133.0</v>
      </c>
      <c r="E87" s="115">
        <v>38.48</v>
      </c>
      <c r="F87" s="115">
        <v>3008.87</v>
      </c>
      <c r="G87" s="115">
        <v>0.0908</v>
      </c>
      <c r="H87" s="115">
        <v>2.82</v>
      </c>
      <c r="I87" s="115">
        <v>3.218</v>
      </c>
      <c r="J87" s="115">
        <v>29.11</v>
      </c>
      <c r="K87" s="115">
        <v>14.21</v>
      </c>
      <c r="L87" s="115">
        <v>5.3</v>
      </c>
      <c r="M87" s="115">
        <v>0.3732</v>
      </c>
      <c r="N87" s="115">
        <v>0.7526</v>
      </c>
      <c r="O87" s="115">
        <v>0.536</v>
      </c>
      <c r="P87" s="115">
        <v>2.6794</v>
      </c>
      <c r="Q87" s="115">
        <v>59.04</v>
      </c>
      <c r="R87" s="115">
        <v>47.92</v>
      </c>
      <c r="S87" s="115">
        <v>11.12</v>
      </c>
      <c r="T87" s="115">
        <v>6.07</v>
      </c>
      <c r="U87" s="115">
        <v>52.97</v>
      </c>
      <c r="V87" s="115">
        <v>63.02</v>
      </c>
      <c r="W87" s="115">
        <v>4.4335</v>
      </c>
      <c r="X87" s="115">
        <v>10.28</v>
      </c>
      <c r="Y87" s="115">
        <v>112.0</v>
      </c>
      <c r="Z87" s="115">
        <v>454.0</v>
      </c>
      <c r="AA87" s="115">
        <v>3381.0</v>
      </c>
      <c r="AB87" s="115">
        <v>49.3324</v>
      </c>
      <c r="AC87" s="115">
        <v>0.4872</v>
      </c>
      <c r="AD87" s="115">
        <v>3.81</v>
      </c>
      <c r="AE87" s="115">
        <v>1.0</v>
      </c>
      <c r="AF87" s="115">
        <v>2.0</v>
      </c>
      <c r="AG87" s="115">
        <v>5.0</v>
      </c>
      <c r="AH87" s="115">
        <v>9.0</v>
      </c>
      <c r="AI87" s="115">
        <v>69.69</v>
      </c>
      <c r="AJ87" s="115">
        <v>27.84</v>
      </c>
      <c r="AK87" s="115">
        <v>8.12</v>
      </c>
      <c r="AL87" s="115">
        <v>0.2262</v>
      </c>
      <c r="AQ87" s="115">
        <v>3.1273</v>
      </c>
      <c r="AR87" s="115">
        <v>0.0637</v>
      </c>
      <c r="AS87" s="115">
        <v>3.0636</v>
      </c>
      <c r="AT87" s="115">
        <v>3.2048</v>
      </c>
      <c r="AU87" s="115">
        <v>0.2255</v>
      </c>
    </row>
    <row r="88" ht="15.75" customHeight="1">
      <c r="A88" s="116">
        <v>46182.0</v>
      </c>
      <c r="B88" s="115" t="s">
        <v>8</v>
      </c>
      <c r="C88" s="115" t="s">
        <v>130</v>
      </c>
      <c r="D88" s="115">
        <v>19819.0</v>
      </c>
      <c r="E88" s="115">
        <v>23.02</v>
      </c>
      <c r="F88" s="115">
        <v>7149.37</v>
      </c>
      <c r="G88" s="115">
        <v>0.3607</v>
      </c>
      <c r="H88" s="115">
        <v>8.05</v>
      </c>
      <c r="I88" s="115">
        <v>4.4796</v>
      </c>
      <c r="J88" s="115">
        <v>55.01</v>
      </c>
      <c r="K88" s="115">
        <v>27.86</v>
      </c>
      <c r="L88" s="115">
        <v>14.46</v>
      </c>
      <c r="M88" s="115">
        <v>0.5191</v>
      </c>
      <c r="N88" s="115">
        <v>0.6251</v>
      </c>
      <c r="O88" s="115">
        <v>0.4</v>
      </c>
      <c r="P88" s="115">
        <v>1.9266</v>
      </c>
      <c r="Q88" s="115">
        <v>130.46</v>
      </c>
      <c r="R88" s="115">
        <v>101.19</v>
      </c>
      <c r="S88" s="115">
        <v>29.27</v>
      </c>
      <c r="T88" s="115">
        <v>23.55</v>
      </c>
      <c r="U88" s="115">
        <v>106.9</v>
      </c>
      <c r="V88" s="115">
        <v>132.24</v>
      </c>
      <c r="W88" s="115">
        <v>4.7466</v>
      </c>
      <c r="X88" s="115">
        <v>18.06</v>
      </c>
      <c r="Y88" s="115">
        <v>112.0</v>
      </c>
      <c r="Z88" s="115">
        <v>453.0</v>
      </c>
      <c r="AA88" s="115">
        <v>3333.0</v>
      </c>
      <c r="AB88" s="115">
        <v>52.5404</v>
      </c>
      <c r="AC88" s="115">
        <v>0.5719</v>
      </c>
      <c r="AD88" s="115">
        <v>9.65</v>
      </c>
      <c r="AE88" s="115">
        <v>3.0</v>
      </c>
      <c r="AF88" s="115">
        <v>8.0</v>
      </c>
      <c r="AG88" s="115">
        <v>14.0</v>
      </c>
      <c r="AH88" s="115">
        <v>21.0</v>
      </c>
      <c r="AI88" s="115">
        <v>60.2</v>
      </c>
      <c r="AJ88" s="115">
        <v>28.28</v>
      </c>
      <c r="AK88" s="115">
        <v>5.13</v>
      </c>
      <c r="AL88" s="115">
        <v>0.1757</v>
      </c>
      <c r="AQ88" s="115">
        <v>6.2206</v>
      </c>
      <c r="AR88" s="115">
        <v>0.2725</v>
      </c>
      <c r="AS88" s="115">
        <v>5.9481</v>
      </c>
      <c r="AT88" s="115">
        <v>6.2771</v>
      </c>
      <c r="AU88" s="115">
        <v>0.2253</v>
      </c>
    </row>
    <row r="89" ht="15.75" customHeight="1">
      <c r="A89" s="116">
        <v>46182.0</v>
      </c>
      <c r="B89" s="115" t="s">
        <v>8</v>
      </c>
      <c r="C89" s="115" t="s">
        <v>131</v>
      </c>
      <c r="D89" s="115">
        <v>11371.0</v>
      </c>
      <c r="E89" s="115">
        <v>13.21</v>
      </c>
      <c r="F89" s="115">
        <v>10369.76</v>
      </c>
      <c r="G89" s="115">
        <v>0.9119</v>
      </c>
      <c r="H89" s="115">
        <v>12.04</v>
      </c>
      <c r="I89" s="115">
        <v>7.5747</v>
      </c>
      <c r="J89" s="115">
        <v>81.72</v>
      </c>
      <c r="K89" s="115">
        <v>44.35</v>
      </c>
      <c r="L89" s="115">
        <v>28.88</v>
      </c>
      <c r="M89" s="115">
        <v>0.6513</v>
      </c>
      <c r="N89" s="115">
        <v>0.4949</v>
      </c>
      <c r="O89" s="115">
        <v>0.3098</v>
      </c>
      <c r="P89" s="115">
        <v>1.5353</v>
      </c>
      <c r="Q89" s="115">
        <v>244.66</v>
      </c>
      <c r="R89" s="115">
        <v>191.04</v>
      </c>
      <c r="S89" s="115">
        <v>53.62</v>
      </c>
      <c r="T89" s="115">
        <v>55.98</v>
      </c>
      <c r="U89" s="115">
        <v>188.68</v>
      </c>
      <c r="V89" s="115">
        <v>241.84</v>
      </c>
      <c r="W89" s="115">
        <v>5.4533</v>
      </c>
      <c r="X89" s="115">
        <v>22.88</v>
      </c>
      <c r="Y89" s="115">
        <v>141.0</v>
      </c>
      <c r="Z89" s="115">
        <v>618.0</v>
      </c>
      <c r="AA89" s="115">
        <v>4559.0</v>
      </c>
      <c r="AB89" s="115">
        <v>55.3617</v>
      </c>
      <c r="AC89" s="115">
        <v>0.6629</v>
      </c>
      <c r="AD89" s="115">
        <v>17.67</v>
      </c>
      <c r="AE89" s="115">
        <v>7.0</v>
      </c>
      <c r="AF89" s="115">
        <v>14.0</v>
      </c>
      <c r="AG89" s="115">
        <v>25.0</v>
      </c>
      <c r="AH89" s="115">
        <v>37.0</v>
      </c>
      <c r="AI89" s="115">
        <v>59.81</v>
      </c>
      <c r="AJ89" s="115">
        <v>23.89</v>
      </c>
      <c r="AK89" s="115">
        <v>6.85</v>
      </c>
      <c r="AL89" s="115">
        <v>0.166</v>
      </c>
      <c r="AQ89" s="115">
        <v>9.6094</v>
      </c>
      <c r="AR89" s="115">
        <v>0.6873</v>
      </c>
      <c r="AS89" s="115">
        <v>8.9222</v>
      </c>
      <c r="AT89" s="115">
        <v>9.8574</v>
      </c>
      <c r="AU89" s="115">
        <v>0.2223</v>
      </c>
    </row>
    <row r="90" ht="15.75" customHeight="1">
      <c r="A90" s="116">
        <v>46182.0</v>
      </c>
      <c r="B90" s="115" t="s">
        <v>8</v>
      </c>
      <c r="C90" s="115" t="s">
        <v>132</v>
      </c>
      <c r="D90" s="115">
        <v>4172.0</v>
      </c>
      <c r="E90" s="115">
        <v>4.85</v>
      </c>
      <c r="F90" s="115">
        <v>7299.85</v>
      </c>
      <c r="G90" s="115">
        <v>1.7497</v>
      </c>
      <c r="H90" s="115">
        <v>14.31</v>
      </c>
      <c r="I90" s="115">
        <v>12.2276</v>
      </c>
      <c r="J90" s="115">
        <v>122.98</v>
      </c>
      <c r="K90" s="115">
        <v>70.19</v>
      </c>
      <c r="L90" s="115">
        <v>53.82</v>
      </c>
      <c r="M90" s="115">
        <v>0.7668</v>
      </c>
      <c r="N90" s="115">
        <v>0.3816</v>
      </c>
      <c r="O90" s="115">
        <v>0.2536</v>
      </c>
      <c r="P90" s="115">
        <v>1.3041</v>
      </c>
      <c r="Q90" s="115">
        <v>449.28</v>
      </c>
      <c r="R90" s="115">
        <v>336.54</v>
      </c>
      <c r="S90" s="115">
        <v>112.74</v>
      </c>
      <c r="T90" s="115">
        <v>110.02</v>
      </c>
      <c r="U90" s="115">
        <v>339.26</v>
      </c>
      <c r="V90" s="115">
        <v>441.08</v>
      </c>
      <c r="W90" s="115">
        <v>6.2843</v>
      </c>
      <c r="X90" s="115">
        <v>24.49</v>
      </c>
      <c r="Y90" s="115">
        <v>199.0</v>
      </c>
      <c r="Z90" s="115">
        <v>1199.0</v>
      </c>
      <c r="AA90" s="115">
        <v>6356.0</v>
      </c>
      <c r="AB90" s="115">
        <v>59.1128</v>
      </c>
      <c r="AC90" s="115">
        <v>0.8093</v>
      </c>
      <c r="AD90" s="115">
        <v>37.73</v>
      </c>
      <c r="AE90" s="115">
        <v>16.0</v>
      </c>
      <c r="AF90" s="115">
        <v>31.0</v>
      </c>
      <c r="AG90" s="115">
        <v>52.0</v>
      </c>
      <c r="AH90" s="115">
        <v>77.0</v>
      </c>
      <c r="AI90" s="115">
        <v>54.53</v>
      </c>
      <c r="AJ90" s="115">
        <v>19.63</v>
      </c>
      <c r="AK90" s="115">
        <v>3.84</v>
      </c>
      <c r="AL90" s="115">
        <v>0.1517</v>
      </c>
      <c r="AQ90" s="115">
        <v>16.1139</v>
      </c>
      <c r="AR90" s="115">
        <v>1.3365</v>
      </c>
      <c r="AS90" s="115">
        <v>14.7773</v>
      </c>
      <c r="AT90" s="115">
        <v>16.5671</v>
      </c>
      <c r="AU90" s="115">
        <v>0.236</v>
      </c>
    </row>
    <row r="91" ht="15.75" customHeight="1">
      <c r="A91" s="116">
        <v>46182.0</v>
      </c>
      <c r="B91" s="115" t="s">
        <v>8</v>
      </c>
      <c r="C91" s="115" t="s">
        <v>133</v>
      </c>
      <c r="D91" s="115">
        <v>448.0</v>
      </c>
      <c r="E91" s="115">
        <v>0.52</v>
      </c>
      <c r="F91" s="115">
        <v>1310.0</v>
      </c>
      <c r="G91" s="115">
        <v>2.9241</v>
      </c>
      <c r="H91" s="115">
        <v>17.41</v>
      </c>
      <c r="I91" s="115">
        <v>16.7949</v>
      </c>
      <c r="J91" s="115">
        <v>228.47</v>
      </c>
      <c r="K91" s="115">
        <v>143.55</v>
      </c>
      <c r="L91" s="115">
        <v>125.01</v>
      </c>
      <c r="M91" s="115">
        <v>0.8708</v>
      </c>
      <c r="N91" s="115">
        <v>0.2555</v>
      </c>
      <c r="O91" s="115">
        <v>0.1787</v>
      </c>
      <c r="P91" s="115">
        <v>1.1483</v>
      </c>
      <c r="Q91" s="115">
        <v>907.02</v>
      </c>
      <c r="R91" s="115">
        <v>641.78</v>
      </c>
      <c r="S91" s="115">
        <v>265.25</v>
      </c>
      <c r="T91" s="115">
        <v>201.12</v>
      </c>
      <c r="U91" s="115">
        <v>705.91</v>
      </c>
      <c r="V91" s="115">
        <v>867.41</v>
      </c>
      <c r="W91" s="115">
        <v>6.0427</v>
      </c>
      <c r="X91" s="115">
        <v>22.17</v>
      </c>
      <c r="Y91" s="115">
        <v>469.0</v>
      </c>
      <c r="Z91" s="115">
        <v>3039.0</v>
      </c>
      <c r="AA91" s="115">
        <v>9963.0</v>
      </c>
      <c r="AB91" s="115">
        <v>62.4732</v>
      </c>
      <c r="AC91" s="115">
        <v>0.8784</v>
      </c>
      <c r="AD91" s="115">
        <v>92.3</v>
      </c>
      <c r="AE91" s="115">
        <v>40.0</v>
      </c>
      <c r="AF91" s="115">
        <v>82.0</v>
      </c>
      <c r="AG91" s="115">
        <v>129.0</v>
      </c>
      <c r="AH91" s="115">
        <v>184.0</v>
      </c>
      <c r="AI91" s="115">
        <v>51.56</v>
      </c>
      <c r="AJ91" s="115">
        <v>12.28</v>
      </c>
      <c r="AK91" s="115">
        <v>0.45</v>
      </c>
      <c r="AL91" s="115">
        <v>0.1071</v>
      </c>
      <c r="AQ91" s="115">
        <v>33.125</v>
      </c>
      <c r="AR91" s="115">
        <v>2.9933</v>
      </c>
      <c r="AS91" s="115">
        <v>30.1317</v>
      </c>
      <c r="AT91" s="115">
        <v>31.4241</v>
      </c>
      <c r="AU91" s="115">
        <v>0.2189</v>
      </c>
    </row>
    <row r="92" ht="15.75" customHeight="1">
      <c r="A92" s="116">
        <v>46182.0</v>
      </c>
      <c r="B92" s="115" t="s">
        <v>9</v>
      </c>
      <c r="C92" s="115" t="s">
        <v>128</v>
      </c>
      <c r="D92" s="115">
        <v>17510.0</v>
      </c>
      <c r="E92" s="115">
        <v>20.45</v>
      </c>
      <c r="F92" s="115">
        <v>86.48</v>
      </c>
      <c r="G92" s="115">
        <v>0.0049</v>
      </c>
      <c r="H92" s="115">
        <v>0.06</v>
      </c>
      <c r="I92" s="115">
        <v>7.8618</v>
      </c>
      <c r="J92" s="115">
        <v>6.58</v>
      </c>
      <c r="K92" s="115">
        <v>2.86</v>
      </c>
      <c r="L92" s="115">
        <v>0.08</v>
      </c>
      <c r="M92" s="115">
        <v>0.0291</v>
      </c>
      <c r="N92" s="115">
        <v>0.9735</v>
      </c>
      <c r="O92" s="115">
        <v>0.6826</v>
      </c>
      <c r="P92" s="115">
        <v>34.4141</v>
      </c>
      <c r="Q92" s="115">
        <v>21.67</v>
      </c>
      <c r="R92" s="115">
        <v>21.61</v>
      </c>
      <c r="S92" s="115">
        <v>0.05</v>
      </c>
      <c r="T92" s="115">
        <v>0.24</v>
      </c>
      <c r="U92" s="115">
        <v>21.43</v>
      </c>
      <c r="V92" s="115">
        <v>2.11</v>
      </c>
      <c r="W92" s="115">
        <v>0.7384</v>
      </c>
      <c r="X92" s="115">
        <v>1.09</v>
      </c>
      <c r="Y92" s="115">
        <v>211.0</v>
      </c>
      <c r="Z92" s="115">
        <v>2519.0</v>
      </c>
      <c r="AA92" s="115">
        <v>11872.0</v>
      </c>
      <c r="AB92" s="115">
        <v>49.4254</v>
      </c>
      <c r="AC92" s="115">
        <v>0.5218</v>
      </c>
      <c r="AI92" s="115">
        <v>0.0</v>
      </c>
      <c r="AJ92" s="115">
        <v>0.0</v>
      </c>
      <c r="AK92" s="115">
        <v>0.0</v>
      </c>
      <c r="AL92" s="115">
        <v>0.2663</v>
      </c>
      <c r="AM92" s="115">
        <v>0.2</v>
      </c>
      <c r="AN92" s="115">
        <v>0.2</v>
      </c>
      <c r="AO92" s="115">
        <v>0.1</v>
      </c>
      <c r="AP92" s="115">
        <v>0.05</v>
      </c>
      <c r="AQ92" s="115">
        <v>1.0212</v>
      </c>
      <c r="AR92" s="115">
        <v>0.0021</v>
      </c>
      <c r="AS92" s="115">
        <v>1.0191</v>
      </c>
      <c r="AT92" s="115">
        <v>0.4091</v>
      </c>
      <c r="AU92" s="115">
        <v>0.143</v>
      </c>
    </row>
    <row r="93" ht="15.75" customHeight="1">
      <c r="A93" s="116">
        <v>46182.0</v>
      </c>
      <c r="B93" s="115" t="s">
        <v>9</v>
      </c>
      <c r="C93" s="115" t="s">
        <v>129</v>
      </c>
      <c r="D93" s="115">
        <v>31548.0</v>
      </c>
      <c r="E93" s="115">
        <v>36.85</v>
      </c>
      <c r="F93" s="115">
        <v>3054.5</v>
      </c>
      <c r="G93" s="115">
        <v>0.0968</v>
      </c>
      <c r="H93" s="115">
        <v>2.89</v>
      </c>
      <c r="I93" s="115">
        <v>3.3529</v>
      </c>
      <c r="J93" s="115">
        <v>30.32</v>
      </c>
      <c r="K93" s="115">
        <v>14.76</v>
      </c>
      <c r="L93" s="115">
        <v>5.35</v>
      </c>
      <c r="M93" s="115">
        <v>0.3624</v>
      </c>
      <c r="N93" s="115">
        <v>0.7552</v>
      </c>
      <c r="O93" s="115">
        <v>0.5299</v>
      </c>
      <c r="P93" s="115">
        <v>2.7591</v>
      </c>
      <c r="Q93" s="115">
        <v>53.55</v>
      </c>
      <c r="R93" s="115">
        <v>49.37</v>
      </c>
      <c r="S93" s="115">
        <v>4.18</v>
      </c>
      <c r="T93" s="115">
        <v>6.57</v>
      </c>
      <c r="U93" s="115">
        <v>46.98</v>
      </c>
      <c r="V93" s="115">
        <v>58.62</v>
      </c>
      <c r="W93" s="115">
        <v>3.9713</v>
      </c>
      <c r="X93" s="115">
        <v>12.26</v>
      </c>
      <c r="Y93" s="115">
        <v>104.0</v>
      </c>
      <c r="Z93" s="115">
        <v>420.0</v>
      </c>
      <c r="AA93" s="115">
        <v>3141.0</v>
      </c>
      <c r="AB93" s="115">
        <v>49.431</v>
      </c>
      <c r="AC93" s="115">
        <v>0.4897</v>
      </c>
      <c r="AD93" s="115">
        <v>3.82</v>
      </c>
      <c r="AE93" s="115">
        <v>1.0</v>
      </c>
      <c r="AF93" s="115">
        <v>2.0</v>
      </c>
      <c r="AG93" s="115">
        <v>5.0</v>
      </c>
      <c r="AH93" s="115">
        <v>9.0</v>
      </c>
      <c r="AI93" s="115">
        <v>69.53</v>
      </c>
      <c r="AJ93" s="115">
        <v>28.05</v>
      </c>
      <c r="AK93" s="115">
        <v>8.19</v>
      </c>
      <c r="AL93" s="115">
        <v>0.2282</v>
      </c>
      <c r="AM93" s="115">
        <v>56.28</v>
      </c>
      <c r="AN93" s="115">
        <v>56.28</v>
      </c>
      <c r="AO93" s="115">
        <v>23.74</v>
      </c>
      <c r="AP93" s="115">
        <v>6.76</v>
      </c>
      <c r="AQ93" s="115">
        <v>3.5582</v>
      </c>
      <c r="AR93" s="115">
        <v>0.0723</v>
      </c>
      <c r="AS93" s="115">
        <v>3.486</v>
      </c>
      <c r="AT93" s="115">
        <v>3.4519</v>
      </c>
      <c r="AU93" s="115">
        <v>0.2339</v>
      </c>
    </row>
    <row r="94" ht="15.75" customHeight="1">
      <c r="A94" s="116">
        <v>46182.0</v>
      </c>
      <c r="B94" s="115" t="s">
        <v>9</v>
      </c>
      <c r="C94" s="115" t="s">
        <v>130</v>
      </c>
      <c r="D94" s="115">
        <v>20088.0</v>
      </c>
      <c r="E94" s="115">
        <v>23.46</v>
      </c>
      <c r="F94" s="115">
        <v>7096.53</v>
      </c>
      <c r="G94" s="115">
        <v>0.3533</v>
      </c>
      <c r="H94" s="115">
        <v>7.96</v>
      </c>
      <c r="I94" s="115">
        <v>4.4353</v>
      </c>
      <c r="J94" s="115">
        <v>57.26</v>
      </c>
      <c r="K94" s="115">
        <v>29.2</v>
      </c>
      <c r="L94" s="115">
        <v>14.64</v>
      </c>
      <c r="M94" s="115">
        <v>0.5013</v>
      </c>
      <c r="N94" s="115">
        <v>0.6369</v>
      </c>
      <c r="O94" s="115">
        <v>0.4041</v>
      </c>
      <c r="P94" s="115">
        <v>1.9949</v>
      </c>
      <c r="Q94" s="115">
        <v>122.62</v>
      </c>
      <c r="R94" s="115">
        <v>111.39</v>
      </c>
      <c r="S94" s="115">
        <v>11.23</v>
      </c>
      <c r="T94" s="115">
        <v>22.91</v>
      </c>
      <c r="U94" s="115">
        <v>99.71</v>
      </c>
      <c r="V94" s="115">
        <v>125.64</v>
      </c>
      <c r="W94" s="115">
        <v>4.3026</v>
      </c>
      <c r="X94" s="115">
        <v>18.68</v>
      </c>
      <c r="Y94" s="115">
        <v>108.0</v>
      </c>
      <c r="Z94" s="115">
        <v>453.0</v>
      </c>
      <c r="AA94" s="115">
        <v>3494.0</v>
      </c>
      <c r="AB94" s="115">
        <v>52.3555</v>
      </c>
      <c r="AC94" s="115">
        <v>0.5662</v>
      </c>
      <c r="AD94" s="115">
        <v>9.52</v>
      </c>
      <c r="AE94" s="115">
        <v>3.0</v>
      </c>
      <c r="AF94" s="115">
        <v>7.0</v>
      </c>
      <c r="AG94" s="115">
        <v>13.0</v>
      </c>
      <c r="AH94" s="115">
        <v>21.0</v>
      </c>
      <c r="AI94" s="115">
        <v>58.6</v>
      </c>
      <c r="AJ94" s="115">
        <v>27.22</v>
      </c>
      <c r="AK94" s="115">
        <v>5.57</v>
      </c>
      <c r="AL94" s="115">
        <v>0.175</v>
      </c>
      <c r="AM94" s="115">
        <v>64.46</v>
      </c>
      <c r="AN94" s="115">
        <v>64.46</v>
      </c>
      <c r="AO94" s="115">
        <v>41.65</v>
      </c>
      <c r="AP94" s="115">
        <v>22.6</v>
      </c>
      <c r="AQ94" s="115">
        <v>7.0355</v>
      </c>
      <c r="AR94" s="115">
        <v>0.2657</v>
      </c>
      <c r="AS94" s="115">
        <v>6.7698</v>
      </c>
      <c r="AT94" s="115">
        <v>6.7438</v>
      </c>
      <c r="AU94" s="115">
        <v>0.2309</v>
      </c>
    </row>
    <row r="95" ht="15.75" customHeight="1">
      <c r="A95" s="116">
        <v>46182.0</v>
      </c>
      <c r="B95" s="115" t="s">
        <v>9</v>
      </c>
      <c r="C95" s="115" t="s">
        <v>131</v>
      </c>
      <c r="D95" s="115">
        <v>11565.0</v>
      </c>
      <c r="E95" s="115">
        <v>13.51</v>
      </c>
      <c r="F95" s="115">
        <v>9637.36</v>
      </c>
      <c r="G95" s="115">
        <v>0.8333</v>
      </c>
      <c r="H95" s="115">
        <v>11.53</v>
      </c>
      <c r="I95" s="115">
        <v>7.2244</v>
      </c>
      <c r="J95" s="115">
        <v>82.43</v>
      </c>
      <c r="K95" s="115">
        <v>44.87</v>
      </c>
      <c r="L95" s="115">
        <v>29.33</v>
      </c>
      <c r="M95" s="115">
        <v>0.6536</v>
      </c>
      <c r="N95" s="115">
        <v>0.49</v>
      </c>
      <c r="O95" s="115">
        <v>0.3028</v>
      </c>
      <c r="P95" s="115">
        <v>1.5299</v>
      </c>
      <c r="Q95" s="115">
        <v>240.99</v>
      </c>
      <c r="R95" s="115">
        <v>221.34</v>
      </c>
      <c r="S95" s="115">
        <v>19.65</v>
      </c>
      <c r="T95" s="115">
        <v>53.49</v>
      </c>
      <c r="U95" s="115">
        <v>187.5</v>
      </c>
      <c r="V95" s="115">
        <v>228.64</v>
      </c>
      <c r="W95" s="115">
        <v>5.0952</v>
      </c>
      <c r="X95" s="115">
        <v>22.2</v>
      </c>
      <c r="Y95" s="115">
        <v>135.0</v>
      </c>
      <c r="Z95" s="115">
        <v>646.0</v>
      </c>
      <c r="AA95" s="115">
        <v>4401.0</v>
      </c>
      <c r="AB95" s="115">
        <v>55.2362</v>
      </c>
      <c r="AC95" s="115">
        <v>0.669</v>
      </c>
      <c r="AD95" s="115">
        <v>17.88</v>
      </c>
      <c r="AE95" s="115">
        <v>6.0</v>
      </c>
      <c r="AF95" s="115">
        <v>14.0</v>
      </c>
      <c r="AG95" s="115">
        <v>25.0</v>
      </c>
      <c r="AH95" s="115">
        <v>38.0</v>
      </c>
      <c r="AI95" s="115">
        <v>59.12</v>
      </c>
      <c r="AJ95" s="115">
        <v>24.63</v>
      </c>
      <c r="AK95" s="115">
        <v>7.51</v>
      </c>
      <c r="AL95" s="115">
        <v>0.1709</v>
      </c>
      <c r="AM95" s="115">
        <v>67.56</v>
      </c>
      <c r="AN95" s="115">
        <v>67.56</v>
      </c>
      <c r="AO95" s="115">
        <v>46.31</v>
      </c>
      <c r="AP95" s="115">
        <v>28.83</v>
      </c>
      <c r="AQ95" s="115">
        <v>10.7139</v>
      </c>
      <c r="AR95" s="115">
        <v>0.673</v>
      </c>
      <c r="AS95" s="115">
        <v>10.0409</v>
      </c>
      <c r="AT95" s="115">
        <v>10.4397</v>
      </c>
      <c r="AU95" s="115">
        <v>0.2326</v>
      </c>
    </row>
    <row r="96" ht="15.75" customHeight="1">
      <c r="A96" s="116">
        <v>46182.0</v>
      </c>
      <c r="B96" s="115" t="s">
        <v>9</v>
      </c>
      <c r="C96" s="115" t="s">
        <v>132</v>
      </c>
      <c r="D96" s="115">
        <v>4385.0</v>
      </c>
      <c r="E96" s="115">
        <v>5.12</v>
      </c>
      <c r="F96" s="115">
        <v>6997.08</v>
      </c>
      <c r="G96" s="115">
        <v>1.5957</v>
      </c>
      <c r="H96" s="115">
        <v>13.98</v>
      </c>
      <c r="I96" s="115">
        <v>11.4145</v>
      </c>
      <c r="J96" s="115">
        <v>124.7</v>
      </c>
      <c r="K96" s="115">
        <v>71.3</v>
      </c>
      <c r="L96" s="115">
        <v>54.56</v>
      </c>
      <c r="M96" s="115">
        <v>0.7652</v>
      </c>
      <c r="N96" s="115">
        <v>0.3804</v>
      </c>
      <c r="O96" s="115">
        <v>0.2489</v>
      </c>
      <c r="P96" s="115">
        <v>1.3068</v>
      </c>
      <c r="Q96" s="115">
        <v>436.63</v>
      </c>
      <c r="R96" s="115">
        <v>394.99</v>
      </c>
      <c r="S96" s="115">
        <v>41.64</v>
      </c>
      <c r="T96" s="115">
        <v>96.76</v>
      </c>
      <c r="U96" s="115">
        <v>339.87</v>
      </c>
      <c r="V96" s="115">
        <v>428.8</v>
      </c>
      <c r="W96" s="115">
        <v>6.0141</v>
      </c>
      <c r="X96" s="115">
        <v>22.16</v>
      </c>
      <c r="Y96" s="115">
        <v>197.0</v>
      </c>
      <c r="Z96" s="115">
        <v>1049.0</v>
      </c>
      <c r="AA96" s="115">
        <v>6337.0</v>
      </c>
      <c r="AB96" s="115">
        <v>59.3571</v>
      </c>
      <c r="AC96" s="115">
        <v>0.8154</v>
      </c>
      <c r="AD96" s="115">
        <v>39.21</v>
      </c>
      <c r="AE96" s="115">
        <v>15.0</v>
      </c>
      <c r="AF96" s="115">
        <v>31.0</v>
      </c>
      <c r="AG96" s="115">
        <v>54.0</v>
      </c>
      <c r="AH96" s="115">
        <v>83.0</v>
      </c>
      <c r="AI96" s="115">
        <v>54.55</v>
      </c>
      <c r="AJ96" s="115">
        <v>22.1</v>
      </c>
      <c r="AK96" s="115">
        <v>5.66</v>
      </c>
      <c r="AL96" s="115">
        <v>0.1396</v>
      </c>
      <c r="AM96" s="115">
        <v>71.01</v>
      </c>
      <c r="AN96" s="115">
        <v>71.01</v>
      </c>
      <c r="AO96" s="115">
        <v>50.74</v>
      </c>
      <c r="AP96" s="115">
        <v>34.64</v>
      </c>
      <c r="AQ96" s="115">
        <v>17.2714</v>
      </c>
      <c r="AR96" s="115">
        <v>1.2176</v>
      </c>
      <c r="AS96" s="115">
        <v>16.0538</v>
      </c>
      <c r="AT96" s="115">
        <v>17.0753</v>
      </c>
      <c r="AU96" s="115">
        <v>0.2395</v>
      </c>
    </row>
    <row r="97" ht="15.75" customHeight="1">
      <c r="A97" s="116">
        <v>46182.0</v>
      </c>
      <c r="B97" s="115" t="s">
        <v>9</v>
      </c>
      <c r="C97" s="115" t="s">
        <v>133</v>
      </c>
      <c r="D97" s="115">
        <v>518.0</v>
      </c>
      <c r="E97" s="115">
        <v>0.61</v>
      </c>
      <c r="F97" s="115">
        <v>1798.5</v>
      </c>
      <c r="G97" s="115">
        <v>3.472</v>
      </c>
      <c r="H97" s="115">
        <v>16.6</v>
      </c>
      <c r="I97" s="115">
        <v>20.9128</v>
      </c>
      <c r="J97" s="115">
        <v>238.51</v>
      </c>
      <c r="K97" s="115">
        <v>146.33</v>
      </c>
      <c r="L97" s="115">
        <v>125.61</v>
      </c>
      <c r="M97" s="115">
        <v>0.8584</v>
      </c>
      <c r="N97" s="115">
        <v>0.2742</v>
      </c>
      <c r="O97" s="115">
        <v>0.1925</v>
      </c>
      <c r="P97" s="115">
        <v>1.1649</v>
      </c>
      <c r="Q97" s="115">
        <v>946.58</v>
      </c>
      <c r="R97" s="115">
        <v>849.77</v>
      </c>
      <c r="S97" s="115">
        <v>96.81</v>
      </c>
      <c r="T97" s="115">
        <v>234.85</v>
      </c>
      <c r="U97" s="115">
        <v>711.73</v>
      </c>
      <c r="V97" s="115">
        <v>887.07</v>
      </c>
      <c r="W97" s="115">
        <v>6.062</v>
      </c>
      <c r="X97" s="115">
        <v>24.81</v>
      </c>
      <c r="Y97" s="115">
        <v>552.0</v>
      </c>
      <c r="Z97" s="115">
        <v>3212.0</v>
      </c>
      <c r="AA97" s="115">
        <v>10777.0</v>
      </c>
      <c r="AB97" s="115">
        <v>62.6136</v>
      </c>
      <c r="AC97" s="115">
        <v>0.8792</v>
      </c>
      <c r="AD97" s="115">
        <v>93.57</v>
      </c>
      <c r="AE97" s="115">
        <v>35.0</v>
      </c>
      <c r="AF97" s="115">
        <v>81.0</v>
      </c>
      <c r="AG97" s="115">
        <v>133.0</v>
      </c>
      <c r="AH97" s="115">
        <v>191.0</v>
      </c>
      <c r="AI97" s="115">
        <v>51.74</v>
      </c>
      <c r="AJ97" s="115">
        <v>13.32</v>
      </c>
      <c r="AK97" s="115">
        <v>2.51</v>
      </c>
      <c r="AL97" s="115">
        <v>0.1042</v>
      </c>
      <c r="AM97" s="115">
        <v>73.55</v>
      </c>
      <c r="AN97" s="115">
        <v>73.55</v>
      </c>
      <c r="AO97" s="115">
        <v>53.86</v>
      </c>
      <c r="AP97" s="115">
        <v>40.35</v>
      </c>
      <c r="AQ97" s="115">
        <v>34.9672</v>
      </c>
      <c r="AR97" s="115">
        <v>2.7432</v>
      </c>
      <c r="AS97" s="115">
        <v>32.2239</v>
      </c>
      <c r="AT97" s="115">
        <v>35.1815</v>
      </c>
      <c r="AU97" s="115">
        <v>0.2404</v>
      </c>
    </row>
    <row r="98" ht="15.75" customHeight="1">
      <c r="A98" s="116">
        <v>46183.0</v>
      </c>
      <c r="B98" s="115" t="s">
        <v>8</v>
      </c>
      <c r="C98" s="115" t="s">
        <v>128</v>
      </c>
      <c r="D98" s="115">
        <v>17188.0</v>
      </c>
      <c r="E98" s="115">
        <v>20.36</v>
      </c>
      <c r="F98" s="115">
        <v>39.68</v>
      </c>
      <c r="G98" s="115">
        <v>0.0023</v>
      </c>
      <c r="H98" s="115">
        <v>0.09</v>
      </c>
      <c r="I98" s="115">
        <v>2.6453</v>
      </c>
      <c r="J98" s="115">
        <v>6.96</v>
      </c>
      <c r="K98" s="115">
        <v>3.1</v>
      </c>
      <c r="L98" s="115">
        <v>0.05</v>
      </c>
      <c r="M98" s="115">
        <v>0.017</v>
      </c>
      <c r="N98" s="115">
        <v>0.986</v>
      </c>
      <c r="O98" s="115">
        <v>0.7928</v>
      </c>
      <c r="P98" s="115">
        <v>58.8354</v>
      </c>
      <c r="Q98" s="115">
        <v>21.13</v>
      </c>
      <c r="R98" s="115">
        <v>21.05</v>
      </c>
      <c r="S98" s="115">
        <v>0.07</v>
      </c>
      <c r="T98" s="115">
        <v>0.18</v>
      </c>
      <c r="U98" s="115">
        <v>20.94</v>
      </c>
      <c r="V98" s="115">
        <v>1.78</v>
      </c>
      <c r="W98" s="115">
        <v>0.5747</v>
      </c>
      <c r="X98" s="115">
        <v>0.87</v>
      </c>
      <c r="Y98" s="115">
        <v>215.0</v>
      </c>
      <c r="Z98" s="115">
        <v>2645.0</v>
      </c>
      <c r="AA98" s="115">
        <v>13277.0</v>
      </c>
      <c r="AB98" s="115">
        <v>49.5379</v>
      </c>
      <c r="AC98" s="115">
        <v>0.5288</v>
      </c>
      <c r="AI98" s="115">
        <v>0.0</v>
      </c>
      <c r="AJ98" s="115">
        <v>0.0</v>
      </c>
      <c r="AK98" s="115">
        <v>0.0</v>
      </c>
      <c r="AL98" s="115">
        <v>0.2637</v>
      </c>
      <c r="AQ98" s="115">
        <v>0.7559</v>
      </c>
      <c r="AR98" s="115">
        <v>0.0045</v>
      </c>
      <c r="AS98" s="115">
        <v>0.7514</v>
      </c>
      <c r="AT98" s="115">
        <v>0.3722</v>
      </c>
      <c r="AU98" s="115">
        <v>0.1201</v>
      </c>
    </row>
    <row r="99" ht="15.75" customHeight="1">
      <c r="A99" s="116">
        <v>46183.0</v>
      </c>
      <c r="B99" s="115" t="s">
        <v>8</v>
      </c>
      <c r="C99" s="115" t="s">
        <v>129</v>
      </c>
      <c r="D99" s="115">
        <v>32801.0</v>
      </c>
      <c r="E99" s="115">
        <v>38.86</v>
      </c>
      <c r="F99" s="115">
        <v>3506.69</v>
      </c>
      <c r="G99" s="115">
        <v>0.1069</v>
      </c>
      <c r="H99" s="115">
        <v>2.91</v>
      </c>
      <c r="I99" s="115">
        <v>3.6681</v>
      </c>
      <c r="J99" s="115">
        <v>32.69</v>
      </c>
      <c r="K99" s="115">
        <v>16.39</v>
      </c>
      <c r="L99" s="115">
        <v>5.42</v>
      </c>
      <c r="M99" s="115">
        <v>0.3304</v>
      </c>
      <c r="N99" s="115">
        <v>0.7779</v>
      </c>
      <c r="O99" s="115">
        <v>0.5442</v>
      </c>
      <c r="P99" s="115">
        <v>3.0263</v>
      </c>
      <c r="Q99" s="115">
        <v>52.92</v>
      </c>
      <c r="R99" s="115">
        <v>41.45</v>
      </c>
      <c r="S99" s="115">
        <v>11.48</v>
      </c>
      <c r="T99" s="115">
        <v>6.75</v>
      </c>
      <c r="U99" s="115">
        <v>46.18</v>
      </c>
      <c r="V99" s="115">
        <v>58.8</v>
      </c>
      <c r="W99" s="115">
        <v>3.587</v>
      </c>
      <c r="X99" s="115">
        <v>12.75</v>
      </c>
      <c r="Y99" s="115">
        <v>106.0</v>
      </c>
      <c r="Z99" s="115">
        <v>458.0</v>
      </c>
      <c r="AA99" s="115">
        <v>3388.0</v>
      </c>
      <c r="AB99" s="115">
        <v>49.2895</v>
      </c>
      <c r="AC99" s="115">
        <v>0.4895</v>
      </c>
      <c r="AD99" s="115">
        <v>3.75</v>
      </c>
      <c r="AE99" s="115">
        <v>1.0</v>
      </c>
      <c r="AF99" s="115">
        <v>2.0</v>
      </c>
      <c r="AG99" s="115">
        <v>5.0</v>
      </c>
      <c r="AH99" s="115">
        <v>8.0</v>
      </c>
      <c r="AI99" s="115">
        <v>69.7</v>
      </c>
      <c r="AJ99" s="115">
        <v>27.17</v>
      </c>
      <c r="AK99" s="115">
        <v>7.46</v>
      </c>
      <c r="AL99" s="115">
        <v>0.2268</v>
      </c>
      <c r="AQ99" s="115">
        <v>2.5857</v>
      </c>
      <c r="AR99" s="115">
        <v>0.0781</v>
      </c>
      <c r="AS99" s="115">
        <v>2.5076</v>
      </c>
      <c r="AT99" s="115">
        <v>3.0538</v>
      </c>
      <c r="AU99" s="115">
        <v>0.1863</v>
      </c>
    </row>
    <row r="100" ht="15.75" customHeight="1">
      <c r="A100" s="116">
        <v>46183.0</v>
      </c>
      <c r="B100" s="115" t="s">
        <v>8</v>
      </c>
      <c r="C100" s="115" t="s">
        <v>130</v>
      </c>
      <c r="D100" s="115">
        <v>19488.0</v>
      </c>
      <c r="E100" s="115">
        <v>23.09</v>
      </c>
      <c r="F100" s="115">
        <v>7083.86</v>
      </c>
      <c r="G100" s="115">
        <v>0.3635</v>
      </c>
      <c r="H100" s="115">
        <v>7.97</v>
      </c>
      <c r="I100" s="115">
        <v>4.5614</v>
      </c>
      <c r="J100" s="115">
        <v>60.62</v>
      </c>
      <c r="K100" s="115">
        <v>31.69</v>
      </c>
      <c r="L100" s="115">
        <v>14.8</v>
      </c>
      <c r="M100" s="115">
        <v>0.467</v>
      </c>
      <c r="N100" s="115">
        <v>0.6594</v>
      </c>
      <c r="O100" s="115">
        <v>0.4061</v>
      </c>
      <c r="P100" s="115">
        <v>2.1412</v>
      </c>
      <c r="Q100" s="115">
        <v>108.12</v>
      </c>
      <c r="R100" s="115">
        <v>79.79</v>
      </c>
      <c r="S100" s="115">
        <v>28.33</v>
      </c>
      <c r="T100" s="115">
        <v>23.43</v>
      </c>
      <c r="U100" s="115">
        <v>84.69</v>
      </c>
      <c r="V100" s="115">
        <v>121.34</v>
      </c>
      <c r="W100" s="115">
        <v>3.8292</v>
      </c>
      <c r="X100" s="115">
        <v>21.67</v>
      </c>
      <c r="Y100" s="115">
        <v>100.0</v>
      </c>
      <c r="Z100" s="115">
        <v>421.0</v>
      </c>
      <c r="AA100" s="115">
        <v>3202.0</v>
      </c>
      <c r="AB100" s="115">
        <v>52.3969</v>
      </c>
      <c r="AC100" s="115">
        <v>0.5753</v>
      </c>
      <c r="AD100" s="115">
        <v>8.96</v>
      </c>
      <c r="AE100" s="115">
        <v>3.0</v>
      </c>
      <c r="AF100" s="115">
        <v>7.0</v>
      </c>
      <c r="AG100" s="115">
        <v>12.0</v>
      </c>
      <c r="AH100" s="115">
        <v>20.0</v>
      </c>
      <c r="AI100" s="115">
        <v>56.41</v>
      </c>
      <c r="AJ100" s="115">
        <v>24.33</v>
      </c>
      <c r="AK100" s="115">
        <v>4.71</v>
      </c>
      <c r="AL100" s="115">
        <v>0.1815</v>
      </c>
      <c r="AQ100" s="115">
        <v>5.1277</v>
      </c>
      <c r="AR100" s="115">
        <v>0.2861</v>
      </c>
      <c r="AS100" s="115">
        <v>4.8415</v>
      </c>
      <c r="AT100" s="115">
        <v>5.925</v>
      </c>
      <c r="AU100" s="115">
        <v>0.187</v>
      </c>
    </row>
    <row r="101" ht="15.75" customHeight="1">
      <c r="A101" s="116">
        <v>46183.0</v>
      </c>
      <c r="B101" s="115" t="s">
        <v>8</v>
      </c>
      <c r="C101" s="115" t="s">
        <v>131</v>
      </c>
      <c r="D101" s="115">
        <v>10451.0</v>
      </c>
      <c r="E101" s="115">
        <v>12.38</v>
      </c>
      <c r="F101" s="115">
        <v>8388.24</v>
      </c>
      <c r="G101" s="115">
        <v>0.8026</v>
      </c>
      <c r="H101" s="115">
        <v>11.48</v>
      </c>
      <c r="I101" s="115">
        <v>6.9902</v>
      </c>
      <c r="J101" s="115">
        <v>79.68</v>
      </c>
      <c r="K101" s="115">
        <v>43.46</v>
      </c>
      <c r="L101" s="115">
        <v>25.86</v>
      </c>
      <c r="M101" s="115">
        <v>0.5949</v>
      </c>
      <c r="N101" s="115">
        <v>0.5397</v>
      </c>
      <c r="O101" s="115">
        <v>0.3311</v>
      </c>
      <c r="P101" s="115">
        <v>1.6809</v>
      </c>
      <c r="Q101" s="115">
        <v>183.52</v>
      </c>
      <c r="R101" s="115">
        <v>129.83</v>
      </c>
      <c r="S101" s="115">
        <v>53.69</v>
      </c>
      <c r="T101" s="115">
        <v>50.03</v>
      </c>
      <c r="U101" s="115">
        <v>133.49</v>
      </c>
      <c r="V101" s="115">
        <v>206.81</v>
      </c>
      <c r="W101" s="115">
        <v>4.7583</v>
      </c>
      <c r="X101" s="115">
        <v>27.26</v>
      </c>
      <c r="Y101" s="115">
        <v>116.0</v>
      </c>
      <c r="Z101" s="115">
        <v>557.0</v>
      </c>
      <c r="AA101" s="115">
        <v>4132.0</v>
      </c>
      <c r="AB101" s="115">
        <v>55.6297</v>
      </c>
      <c r="AC101" s="115">
        <v>0.7163</v>
      </c>
      <c r="AD101" s="115">
        <v>17.2</v>
      </c>
      <c r="AE101" s="115">
        <v>6.0</v>
      </c>
      <c r="AF101" s="115">
        <v>13.0</v>
      </c>
      <c r="AG101" s="115">
        <v>24.0</v>
      </c>
      <c r="AH101" s="115">
        <v>37.0</v>
      </c>
      <c r="AI101" s="115">
        <v>57.0</v>
      </c>
      <c r="AJ101" s="115">
        <v>22.73</v>
      </c>
      <c r="AK101" s="115">
        <v>6.95</v>
      </c>
      <c r="AL101" s="115">
        <v>0.1801</v>
      </c>
      <c r="AQ101" s="115">
        <v>8.3854</v>
      </c>
      <c r="AR101" s="115">
        <v>0.6158</v>
      </c>
      <c r="AS101" s="115">
        <v>7.7696</v>
      </c>
      <c r="AT101" s="115">
        <v>9.0852</v>
      </c>
      <c r="AU101" s="115">
        <v>0.209</v>
      </c>
    </row>
    <row r="102" ht="15.75" customHeight="1">
      <c r="A102" s="116">
        <v>46183.0</v>
      </c>
      <c r="B102" s="115" t="s">
        <v>8</v>
      </c>
      <c r="C102" s="115" t="s">
        <v>132</v>
      </c>
      <c r="D102" s="115">
        <v>4082.0</v>
      </c>
      <c r="E102" s="115">
        <v>4.84</v>
      </c>
      <c r="F102" s="115">
        <v>8086.11</v>
      </c>
      <c r="G102" s="115">
        <v>1.9809</v>
      </c>
      <c r="H102" s="115">
        <v>15.75</v>
      </c>
      <c r="I102" s="115">
        <v>12.5756</v>
      </c>
      <c r="J102" s="115">
        <v>125.96</v>
      </c>
      <c r="K102" s="115">
        <v>72.71</v>
      </c>
      <c r="L102" s="115">
        <v>53.16</v>
      </c>
      <c r="M102" s="115">
        <v>0.7311</v>
      </c>
      <c r="N102" s="115">
        <v>0.4074</v>
      </c>
      <c r="O102" s="115">
        <v>0.2579</v>
      </c>
      <c r="P102" s="115">
        <v>1.3679</v>
      </c>
      <c r="Q102" s="115">
        <v>362.3</v>
      </c>
      <c r="R102" s="115">
        <v>250.15</v>
      </c>
      <c r="S102" s="115">
        <v>112.15</v>
      </c>
      <c r="T102" s="115">
        <v>119.7</v>
      </c>
      <c r="U102" s="115">
        <v>242.59</v>
      </c>
      <c r="V102" s="115">
        <v>399.04</v>
      </c>
      <c r="W102" s="115">
        <v>5.4881</v>
      </c>
      <c r="X102" s="115">
        <v>33.04</v>
      </c>
      <c r="Y102" s="115">
        <v>157.0</v>
      </c>
      <c r="Z102" s="115">
        <v>1115.0</v>
      </c>
      <c r="AA102" s="115">
        <v>6146.0</v>
      </c>
      <c r="AB102" s="115">
        <v>59.0191</v>
      </c>
      <c r="AC102" s="115">
        <v>0.8175</v>
      </c>
      <c r="AD102" s="115">
        <v>36.14</v>
      </c>
      <c r="AE102" s="115">
        <v>13.0</v>
      </c>
      <c r="AF102" s="115">
        <v>28.0</v>
      </c>
      <c r="AG102" s="115">
        <v>51.0</v>
      </c>
      <c r="AH102" s="115">
        <v>76.0</v>
      </c>
      <c r="AI102" s="115">
        <v>50.34</v>
      </c>
      <c r="AJ102" s="115">
        <v>18.86</v>
      </c>
      <c r="AK102" s="115">
        <v>4.14</v>
      </c>
      <c r="AL102" s="115">
        <v>0.158</v>
      </c>
      <c r="AQ102" s="115">
        <v>15.6455</v>
      </c>
      <c r="AR102" s="115">
        <v>1.4302</v>
      </c>
      <c r="AS102" s="115">
        <v>14.2153</v>
      </c>
      <c r="AT102" s="115">
        <v>16.7886</v>
      </c>
      <c r="AU102" s="115">
        <v>0.2309</v>
      </c>
    </row>
    <row r="103" ht="15.75" customHeight="1">
      <c r="A103" s="116">
        <v>46183.0</v>
      </c>
      <c r="B103" s="115" t="s">
        <v>8</v>
      </c>
      <c r="C103" s="115" t="s">
        <v>133</v>
      </c>
      <c r="D103" s="115">
        <v>405.0</v>
      </c>
      <c r="E103" s="115">
        <v>0.48</v>
      </c>
      <c r="F103" s="115">
        <v>1111.98</v>
      </c>
      <c r="G103" s="115">
        <v>2.7456</v>
      </c>
      <c r="H103" s="115">
        <v>15.31</v>
      </c>
      <c r="I103" s="115">
        <v>17.9352</v>
      </c>
      <c r="J103" s="115">
        <v>235.36</v>
      </c>
      <c r="K103" s="115">
        <v>147.43</v>
      </c>
      <c r="L103" s="115">
        <v>126.55</v>
      </c>
      <c r="M103" s="115">
        <v>0.8583</v>
      </c>
      <c r="N103" s="115">
        <v>0.2676</v>
      </c>
      <c r="O103" s="115">
        <v>0.1867</v>
      </c>
      <c r="P103" s="115">
        <v>1.165</v>
      </c>
      <c r="Q103" s="115">
        <v>712.36</v>
      </c>
      <c r="R103" s="115">
        <v>442.79</v>
      </c>
      <c r="S103" s="115">
        <v>269.57</v>
      </c>
      <c r="T103" s="115">
        <v>185.42</v>
      </c>
      <c r="U103" s="115">
        <v>526.94</v>
      </c>
      <c r="V103" s="115">
        <v>806.91</v>
      </c>
      <c r="W103" s="115">
        <v>5.4731</v>
      </c>
      <c r="X103" s="115">
        <v>26.03</v>
      </c>
      <c r="Y103" s="115">
        <v>481.0</v>
      </c>
      <c r="Z103" s="115">
        <v>3240.0</v>
      </c>
      <c r="AA103" s="115">
        <v>9793.0</v>
      </c>
      <c r="AB103" s="115">
        <v>63.4352</v>
      </c>
      <c r="AC103" s="115">
        <v>0.8995</v>
      </c>
      <c r="AD103" s="115">
        <v>90.8</v>
      </c>
      <c r="AE103" s="115">
        <v>35.0</v>
      </c>
      <c r="AF103" s="115">
        <v>76.0</v>
      </c>
      <c r="AG103" s="115">
        <v>126.0</v>
      </c>
      <c r="AH103" s="115">
        <v>189.0</v>
      </c>
      <c r="AI103" s="115">
        <v>48.89</v>
      </c>
      <c r="AJ103" s="115">
        <v>11.85</v>
      </c>
      <c r="AK103" s="115">
        <v>1.23</v>
      </c>
      <c r="AL103" s="115">
        <v>0.0988</v>
      </c>
      <c r="AQ103" s="115">
        <v>33.2642</v>
      </c>
      <c r="AR103" s="115">
        <v>3.1185</v>
      </c>
      <c r="AS103" s="115">
        <v>30.1457</v>
      </c>
      <c r="AT103" s="115">
        <v>32.4272</v>
      </c>
      <c r="AU103" s="115">
        <v>0.2199</v>
      </c>
    </row>
    <row r="104" ht="15.75" customHeight="1">
      <c r="A104" s="116">
        <v>46183.0</v>
      </c>
      <c r="B104" s="115" t="s">
        <v>9</v>
      </c>
      <c r="C104" s="115" t="s">
        <v>128</v>
      </c>
      <c r="D104" s="115">
        <v>17690.0</v>
      </c>
      <c r="E104" s="115">
        <v>21.11</v>
      </c>
      <c r="F104" s="115">
        <v>27.85</v>
      </c>
      <c r="G104" s="115">
        <v>0.0016</v>
      </c>
      <c r="H104" s="115">
        <v>0.08</v>
      </c>
      <c r="I104" s="115">
        <v>1.9893</v>
      </c>
      <c r="J104" s="115">
        <v>7.17</v>
      </c>
      <c r="K104" s="115">
        <v>3.23</v>
      </c>
      <c r="L104" s="115">
        <v>0.05</v>
      </c>
      <c r="M104" s="115">
        <v>0.0166</v>
      </c>
      <c r="N104" s="115">
        <v>0.9857</v>
      </c>
      <c r="O104" s="115">
        <v>0.7747</v>
      </c>
      <c r="P104" s="115">
        <v>60.1979</v>
      </c>
      <c r="Q104" s="115">
        <v>17.49</v>
      </c>
      <c r="R104" s="115">
        <v>17.43</v>
      </c>
      <c r="S104" s="115">
        <v>0.06</v>
      </c>
      <c r="T104" s="115">
        <v>0.16</v>
      </c>
      <c r="U104" s="115">
        <v>17.33</v>
      </c>
      <c r="V104" s="115">
        <v>1.91</v>
      </c>
      <c r="W104" s="115">
        <v>0.5902</v>
      </c>
      <c r="X104" s="115">
        <v>0.9</v>
      </c>
      <c r="Y104" s="115">
        <v>180.0</v>
      </c>
      <c r="Z104" s="115">
        <v>1834.0</v>
      </c>
      <c r="AA104" s="115">
        <v>11914.0</v>
      </c>
      <c r="AB104" s="115">
        <v>49.5229</v>
      </c>
      <c r="AC104" s="115">
        <v>0.5237</v>
      </c>
      <c r="AI104" s="115">
        <v>0.0</v>
      </c>
      <c r="AJ104" s="115">
        <v>0.0</v>
      </c>
      <c r="AK104" s="115">
        <v>0.0</v>
      </c>
      <c r="AL104" s="115">
        <v>0.2659</v>
      </c>
      <c r="AM104" s="115">
        <v>0.2</v>
      </c>
      <c r="AN104" s="115">
        <v>0.2</v>
      </c>
      <c r="AO104" s="115">
        <v>0.08</v>
      </c>
      <c r="AP104" s="115">
        <v>0.04</v>
      </c>
      <c r="AQ104" s="115">
        <v>0.7387</v>
      </c>
      <c r="AR104" s="115">
        <v>0.0022</v>
      </c>
      <c r="AS104" s="115">
        <v>0.7365</v>
      </c>
      <c r="AT104" s="115">
        <v>0.3917</v>
      </c>
      <c r="AU104" s="115">
        <v>0.1212</v>
      </c>
    </row>
    <row r="105" ht="15.75" customHeight="1">
      <c r="A105" s="116">
        <v>46183.0</v>
      </c>
      <c r="B105" s="115" t="s">
        <v>9</v>
      </c>
      <c r="C105" s="115" t="s">
        <v>129</v>
      </c>
      <c r="D105" s="115">
        <v>31130.0</v>
      </c>
      <c r="E105" s="115">
        <v>37.16</v>
      </c>
      <c r="F105" s="115">
        <v>3432.73</v>
      </c>
      <c r="G105" s="115">
        <v>0.1103</v>
      </c>
      <c r="H105" s="115">
        <v>3.07</v>
      </c>
      <c r="I105" s="115">
        <v>3.587</v>
      </c>
      <c r="J105" s="115">
        <v>33.06</v>
      </c>
      <c r="K105" s="115">
        <v>16.56</v>
      </c>
      <c r="L105" s="115">
        <v>5.35</v>
      </c>
      <c r="M105" s="115">
        <v>0.3233</v>
      </c>
      <c r="N105" s="115">
        <v>0.7804</v>
      </c>
      <c r="O105" s="115">
        <v>0.5427</v>
      </c>
      <c r="P105" s="115">
        <v>3.0935</v>
      </c>
      <c r="Q105" s="115">
        <v>45.71</v>
      </c>
      <c r="R105" s="115">
        <v>41.49</v>
      </c>
      <c r="S105" s="115">
        <v>4.22</v>
      </c>
      <c r="T105" s="115">
        <v>7.13</v>
      </c>
      <c r="U105" s="115">
        <v>38.59</v>
      </c>
      <c r="V105" s="115">
        <v>52.87</v>
      </c>
      <c r="W105" s="115">
        <v>3.1927</v>
      </c>
      <c r="X105" s="115">
        <v>15.59</v>
      </c>
      <c r="Y105" s="115">
        <v>97.0</v>
      </c>
      <c r="Z105" s="115">
        <v>407.0</v>
      </c>
      <c r="AA105" s="115">
        <v>3176.0</v>
      </c>
      <c r="AB105" s="115">
        <v>49.3133</v>
      </c>
      <c r="AC105" s="115">
        <v>0.4901</v>
      </c>
      <c r="AD105" s="115">
        <v>3.7</v>
      </c>
      <c r="AE105" s="115">
        <v>1.0</v>
      </c>
      <c r="AF105" s="115">
        <v>2.0</v>
      </c>
      <c r="AG105" s="115">
        <v>5.0</v>
      </c>
      <c r="AH105" s="115">
        <v>8.0</v>
      </c>
      <c r="AI105" s="115">
        <v>68.5</v>
      </c>
      <c r="AJ105" s="115">
        <v>26.86</v>
      </c>
      <c r="AK105" s="115">
        <v>7.43</v>
      </c>
      <c r="AL105" s="115">
        <v>0.2265</v>
      </c>
      <c r="AM105" s="115">
        <v>55.29</v>
      </c>
      <c r="AN105" s="115">
        <v>55.29</v>
      </c>
      <c r="AO105" s="115">
        <v>22.66</v>
      </c>
      <c r="AP105" s="115">
        <v>6.07</v>
      </c>
      <c r="AQ105" s="115">
        <v>2.9308</v>
      </c>
      <c r="AR105" s="115">
        <v>0.084</v>
      </c>
      <c r="AS105" s="115">
        <v>2.8468</v>
      </c>
      <c r="AT105" s="115">
        <v>3.2405</v>
      </c>
      <c r="AU105" s="115">
        <v>0.1957</v>
      </c>
    </row>
    <row r="106" ht="15.75" customHeight="1">
      <c r="A106" s="116">
        <v>46183.0</v>
      </c>
      <c r="B106" s="115" t="s">
        <v>9</v>
      </c>
      <c r="C106" s="115" t="s">
        <v>130</v>
      </c>
      <c r="D106" s="115">
        <v>19621.0</v>
      </c>
      <c r="E106" s="115">
        <v>23.42</v>
      </c>
      <c r="F106" s="115">
        <v>7416.85</v>
      </c>
      <c r="G106" s="115">
        <v>0.378</v>
      </c>
      <c r="H106" s="115">
        <v>8.08</v>
      </c>
      <c r="I106" s="115">
        <v>4.6794</v>
      </c>
      <c r="J106" s="115">
        <v>61.76</v>
      </c>
      <c r="K106" s="115">
        <v>32.01</v>
      </c>
      <c r="L106" s="115">
        <v>14.79</v>
      </c>
      <c r="M106" s="115">
        <v>0.4622</v>
      </c>
      <c r="N106" s="115">
        <v>0.6606</v>
      </c>
      <c r="O106" s="115">
        <v>0.4008</v>
      </c>
      <c r="P106" s="115">
        <v>2.1637</v>
      </c>
      <c r="Q106" s="115">
        <v>103.35</v>
      </c>
      <c r="R106" s="115">
        <v>93.0</v>
      </c>
      <c r="S106" s="115">
        <v>10.35</v>
      </c>
      <c r="T106" s="115">
        <v>24.06</v>
      </c>
      <c r="U106" s="115">
        <v>79.29</v>
      </c>
      <c r="V106" s="115">
        <v>115.54</v>
      </c>
      <c r="W106" s="115">
        <v>3.6098</v>
      </c>
      <c r="X106" s="115">
        <v>23.28</v>
      </c>
      <c r="Y106" s="115">
        <v>98.0</v>
      </c>
      <c r="Z106" s="115">
        <v>398.0</v>
      </c>
      <c r="AA106" s="115">
        <v>3357.0</v>
      </c>
      <c r="AB106" s="115">
        <v>52.29</v>
      </c>
      <c r="AC106" s="115">
        <v>0.5739</v>
      </c>
      <c r="AD106" s="115">
        <v>9.03</v>
      </c>
      <c r="AE106" s="115">
        <v>3.0</v>
      </c>
      <c r="AF106" s="115">
        <v>7.0</v>
      </c>
      <c r="AG106" s="115">
        <v>13.0</v>
      </c>
      <c r="AH106" s="115">
        <v>20.0</v>
      </c>
      <c r="AI106" s="115">
        <v>56.03</v>
      </c>
      <c r="AJ106" s="115">
        <v>24.88</v>
      </c>
      <c r="AK106" s="115">
        <v>4.91</v>
      </c>
      <c r="AL106" s="115">
        <v>0.1767</v>
      </c>
      <c r="AM106" s="115">
        <v>64.72</v>
      </c>
      <c r="AN106" s="115">
        <v>64.72</v>
      </c>
      <c r="AO106" s="115">
        <v>41.62</v>
      </c>
      <c r="AP106" s="115">
        <v>21.35</v>
      </c>
      <c r="AQ106" s="115">
        <v>5.9646</v>
      </c>
      <c r="AR106" s="115">
        <v>0.2926</v>
      </c>
      <c r="AS106" s="115">
        <v>5.672</v>
      </c>
      <c r="AT106" s="115">
        <v>6.4194</v>
      </c>
      <c r="AU106" s="115">
        <v>0.2006</v>
      </c>
    </row>
    <row r="107" ht="15.75" customHeight="1">
      <c r="A107" s="116">
        <v>46183.0</v>
      </c>
      <c r="B107" s="115" t="s">
        <v>9</v>
      </c>
      <c r="C107" s="115" t="s">
        <v>131</v>
      </c>
      <c r="D107" s="115">
        <v>10532.0</v>
      </c>
      <c r="E107" s="115">
        <v>12.57</v>
      </c>
      <c r="F107" s="115">
        <v>7917.38</v>
      </c>
      <c r="G107" s="115">
        <v>0.7517</v>
      </c>
      <c r="H107" s="115">
        <v>11.32</v>
      </c>
      <c r="I107" s="115">
        <v>6.6421</v>
      </c>
      <c r="J107" s="115">
        <v>81.3</v>
      </c>
      <c r="K107" s="115">
        <v>44.29</v>
      </c>
      <c r="L107" s="115">
        <v>25.99</v>
      </c>
      <c r="M107" s="115">
        <v>0.5869</v>
      </c>
      <c r="N107" s="115">
        <v>0.5444</v>
      </c>
      <c r="O107" s="115">
        <v>0.3308</v>
      </c>
      <c r="P107" s="115">
        <v>1.7039</v>
      </c>
      <c r="Q107" s="115">
        <v>170.97</v>
      </c>
      <c r="R107" s="115">
        <v>151.38</v>
      </c>
      <c r="S107" s="115">
        <v>19.59</v>
      </c>
      <c r="T107" s="115">
        <v>46.91</v>
      </c>
      <c r="U107" s="115">
        <v>124.06</v>
      </c>
      <c r="V107" s="115">
        <v>194.78</v>
      </c>
      <c r="W107" s="115">
        <v>4.3981</v>
      </c>
      <c r="X107" s="115">
        <v>27.44</v>
      </c>
      <c r="Y107" s="115">
        <v>105.0</v>
      </c>
      <c r="Z107" s="115">
        <v>525.0</v>
      </c>
      <c r="AA107" s="115">
        <v>3822.0</v>
      </c>
      <c r="AB107" s="115">
        <v>55.5353</v>
      </c>
      <c r="AC107" s="115">
        <v>0.7172</v>
      </c>
      <c r="AD107" s="115">
        <v>17.49</v>
      </c>
      <c r="AE107" s="115">
        <v>6.0</v>
      </c>
      <c r="AF107" s="115">
        <v>13.0</v>
      </c>
      <c r="AG107" s="115">
        <v>25.0</v>
      </c>
      <c r="AH107" s="115">
        <v>38.0</v>
      </c>
      <c r="AI107" s="115">
        <v>57.03</v>
      </c>
      <c r="AJ107" s="115">
        <v>23.69</v>
      </c>
      <c r="AK107" s="115">
        <v>7.43</v>
      </c>
      <c r="AL107" s="115">
        <v>0.1774</v>
      </c>
      <c r="AM107" s="115">
        <v>65.58</v>
      </c>
      <c r="AN107" s="115">
        <v>65.58</v>
      </c>
      <c r="AO107" s="115">
        <v>44.95</v>
      </c>
      <c r="AP107" s="115">
        <v>27.76</v>
      </c>
      <c r="AQ107" s="115">
        <v>9.4956</v>
      </c>
      <c r="AR107" s="115">
        <v>0.5881</v>
      </c>
      <c r="AS107" s="115">
        <v>8.9075</v>
      </c>
      <c r="AT107" s="115">
        <v>9.7887</v>
      </c>
      <c r="AU107" s="115">
        <v>0.221</v>
      </c>
    </row>
    <row r="108" ht="15.75" customHeight="1">
      <c r="A108" s="116">
        <v>46183.0</v>
      </c>
      <c r="B108" s="115" t="s">
        <v>9</v>
      </c>
      <c r="C108" s="115" t="s">
        <v>132</v>
      </c>
      <c r="D108" s="115">
        <v>4288.0</v>
      </c>
      <c r="E108" s="115">
        <v>5.12</v>
      </c>
      <c r="F108" s="115">
        <v>8483.21</v>
      </c>
      <c r="G108" s="115">
        <v>1.9784</v>
      </c>
      <c r="H108" s="115">
        <v>14.81</v>
      </c>
      <c r="I108" s="115">
        <v>13.3594</v>
      </c>
      <c r="J108" s="115">
        <v>126.38</v>
      </c>
      <c r="K108" s="115">
        <v>71.99</v>
      </c>
      <c r="L108" s="115">
        <v>53.23</v>
      </c>
      <c r="M108" s="115">
        <v>0.7393</v>
      </c>
      <c r="N108" s="115">
        <v>0.4006</v>
      </c>
      <c r="O108" s="115">
        <v>0.2543</v>
      </c>
      <c r="P108" s="115">
        <v>1.3525</v>
      </c>
      <c r="Q108" s="115">
        <v>353.68</v>
      </c>
      <c r="R108" s="115">
        <v>312.81</v>
      </c>
      <c r="S108" s="115">
        <v>40.87</v>
      </c>
      <c r="T108" s="115">
        <v>122.98</v>
      </c>
      <c r="U108" s="115">
        <v>230.69</v>
      </c>
      <c r="V108" s="115">
        <v>388.74</v>
      </c>
      <c r="W108" s="115">
        <v>5.3997</v>
      </c>
      <c r="X108" s="115">
        <v>34.77</v>
      </c>
      <c r="Y108" s="115">
        <v>151.0</v>
      </c>
      <c r="Z108" s="115">
        <v>1037.0</v>
      </c>
      <c r="AA108" s="115">
        <v>6443.0</v>
      </c>
      <c r="AB108" s="115">
        <v>59.3469</v>
      </c>
      <c r="AC108" s="115">
        <v>0.8167</v>
      </c>
      <c r="AD108" s="115">
        <v>37.29</v>
      </c>
      <c r="AE108" s="115">
        <v>14.0</v>
      </c>
      <c r="AF108" s="115">
        <v>29.0</v>
      </c>
      <c r="AG108" s="115">
        <v>53.0</v>
      </c>
      <c r="AH108" s="115">
        <v>80.0</v>
      </c>
      <c r="AI108" s="115">
        <v>51.31</v>
      </c>
      <c r="AJ108" s="115">
        <v>19.96</v>
      </c>
      <c r="AK108" s="115">
        <v>5.25</v>
      </c>
      <c r="AL108" s="115">
        <v>0.142</v>
      </c>
      <c r="AM108" s="115">
        <v>69.45</v>
      </c>
      <c r="AN108" s="115">
        <v>69.45</v>
      </c>
      <c r="AO108" s="115">
        <v>49.23</v>
      </c>
      <c r="AP108" s="115">
        <v>34.49</v>
      </c>
      <c r="AQ108" s="115">
        <v>17.1285</v>
      </c>
      <c r="AR108" s="115">
        <v>1.6395</v>
      </c>
      <c r="AS108" s="115">
        <v>15.489</v>
      </c>
      <c r="AT108" s="115">
        <v>17.142</v>
      </c>
      <c r="AU108" s="115">
        <v>0.2381</v>
      </c>
    </row>
    <row r="109" ht="15.75" customHeight="1">
      <c r="A109" s="116">
        <v>46183.0</v>
      </c>
      <c r="B109" s="115" t="s">
        <v>9</v>
      </c>
      <c r="C109" s="115" t="s">
        <v>133</v>
      </c>
      <c r="D109" s="115">
        <v>523.0</v>
      </c>
      <c r="E109" s="115">
        <v>0.62</v>
      </c>
      <c r="F109" s="115">
        <v>2310.55</v>
      </c>
      <c r="G109" s="115">
        <v>4.4179</v>
      </c>
      <c r="H109" s="115">
        <v>17.21</v>
      </c>
      <c r="I109" s="115">
        <v>25.6728</v>
      </c>
      <c r="J109" s="115">
        <v>239.67</v>
      </c>
      <c r="K109" s="115">
        <v>146.95</v>
      </c>
      <c r="L109" s="115">
        <v>121.7</v>
      </c>
      <c r="M109" s="115">
        <v>0.8282</v>
      </c>
      <c r="N109" s="115">
        <v>0.3024</v>
      </c>
      <c r="O109" s="115">
        <v>0.2024</v>
      </c>
      <c r="P109" s="115">
        <v>1.2074</v>
      </c>
      <c r="Q109" s="115">
        <v>746.78</v>
      </c>
      <c r="R109" s="115">
        <v>654.39</v>
      </c>
      <c r="S109" s="115">
        <v>92.39</v>
      </c>
      <c r="T109" s="115">
        <v>270.46</v>
      </c>
      <c r="U109" s="115">
        <v>476.33</v>
      </c>
      <c r="V109" s="115">
        <v>826.1</v>
      </c>
      <c r="W109" s="115">
        <v>5.6217</v>
      </c>
      <c r="X109" s="115">
        <v>36.22</v>
      </c>
      <c r="Y109" s="115">
        <v>381.0</v>
      </c>
      <c r="Z109" s="115">
        <v>3033.0</v>
      </c>
      <c r="AA109" s="115">
        <v>11489.0</v>
      </c>
      <c r="AB109" s="115">
        <v>62.6091</v>
      </c>
      <c r="AC109" s="115">
        <v>0.8826</v>
      </c>
      <c r="AD109" s="115">
        <v>85.8</v>
      </c>
      <c r="AE109" s="115">
        <v>33.0</v>
      </c>
      <c r="AF109" s="115">
        <v>75.0</v>
      </c>
      <c r="AG109" s="115">
        <v>119.0</v>
      </c>
      <c r="AH109" s="115">
        <v>173.0</v>
      </c>
      <c r="AI109" s="115">
        <v>47.42</v>
      </c>
      <c r="AJ109" s="115">
        <v>9.75</v>
      </c>
      <c r="AK109" s="115">
        <v>1.91</v>
      </c>
      <c r="AL109" s="115">
        <v>0.086</v>
      </c>
      <c r="AM109" s="115">
        <v>70.94</v>
      </c>
      <c r="AN109" s="115">
        <v>70.94</v>
      </c>
      <c r="AO109" s="115">
        <v>54.11</v>
      </c>
      <c r="AP109" s="115">
        <v>41.87</v>
      </c>
      <c r="AQ109" s="115">
        <v>33.8929</v>
      </c>
      <c r="AR109" s="115">
        <v>3.5545</v>
      </c>
      <c r="AS109" s="115">
        <v>30.3384</v>
      </c>
      <c r="AT109" s="115">
        <v>34.0516</v>
      </c>
      <c r="AU109" s="115">
        <v>0.2317</v>
      </c>
    </row>
    <row r="110" ht="15.75" customHeight="1">
      <c r="A110" s="116">
        <v>46184.0</v>
      </c>
      <c r="B110" s="115" t="s">
        <v>8</v>
      </c>
      <c r="C110" s="115" t="s">
        <v>128</v>
      </c>
      <c r="D110" s="115">
        <v>18146.0</v>
      </c>
      <c r="E110" s="115">
        <v>21.78</v>
      </c>
      <c r="F110" s="115">
        <v>18.71</v>
      </c>
      <c r="G110" s="115">
        <v>0.001</v>
      </c>
      <c r="H110" s="115">
        <v>0.07</v>
      </c>
      <c r="I110" s="115">
        <v>1.4392</v>
      </c>
      <c r="J110" s="115">
        <v>7.05</v>
      </c>
      <c r="K110" s="115">
        <v>3.0</v>
      </c>
      <c r="L110" s="115">
        <v>0.06</v>
      </c>
      <c r="M110" s="115">
        <v>0.0213</v>
      </c>
      <c r="N110" s="115">
        <v>0.9825</v>
      </c>
      <c r="O110" s="115">
        <v>0.7608</v>
      </c>
      <c r="P110" s="115">
        <v>46.919</v>
      </c>
      <c r="Q110" s="115">
        <v>21.7</v>
      </c>
      <c r="R110" s="115">
        <v>21.6</v>
      </c>
      <c r="S110" s="115">
        <v>0.1</v>
      </c>
      <c r="T110" s="115">
        <v>0.22</v>
      </c>
      <c r="U110" s="115">
        <v>21.48</v>
      </c>
      <c r="V110" s="115">
        <v>2.16</v>
      </c>
      <c r="W110" s="115">
        <v>0.7205</v>
      </c>
      <c r="X110" s="115">
        <v>1.01</v>
      </c>
      <c r="Y110" s="115">
        <v>174.0</v>
      </c>
      <c r="Z110" s="115">
        <v>2225.0</v>
      </c>
      <c r="AA110" s="115">
        <v>12070.0</v>
      </c>
      <c r="AB110" s="115">
        <v>49.3707</v>
      </c>
      <c r="AC110" s="115">
        <v>0.5178</v>
      </c>
      <c r="AI110" s="115">
        <v>0.0</v>
      </c>
      <c r="AJ110" s="115">
        <v>0.0</v>
      </c>
      <c r="AK110" s="115">
        <v>0.0</v>
      </c>
      <c r="AL110" s="115">
        <v>0.2769</v>
      </c>
      <c r="AQ110" s="115">
        <v>0.8198</v>
      </c>
      <c r="AR110" s="115">
        <v>0.0025</v>
      </c>
      <c r="AS110" s="115">
        <v>0.8173</v>
      </c>
      <c r="AT110" s="115">
        <v>0.3752</v>
      </c>
      <c r="AU110" s="115">
        <v>0.125</v>
      </c>
    </row>
    <row r="111" ht="15.75" customHeight="1">
      <c r="A111" s="116">
        <v>46184.0</v>
      </c>
      <c r="B111" s="115" t="s">
        <v>8</v>
      </c>
      <c r="C111" s="115" t="s">
        <v>129</v>
      </c>
      <c r="D111" s="115">
        <v>32125.0</v>
      </c>
      <c r="E111" s="115">
        <v>38.55</v>
      </c>
      <c r="F111" s="115">
        <v>3182.96</v>
      </c>
      <c r="G111" s="115">
        <v>0.0991</v>
      </c>
      <c r="H111" s="115">
        <v>2.96</v>
      </c>
      <c r="I111" s="115">
        <v>3.3505</v>
      </c>
      <c r="J111" s="115">
        <v>28.73</v>
      </c>
      <c r="K111" s="115">
        <v>13.97</v>
      </c>
      <c r="L111" s="115">
        <v>5.14</v>
      </c>
      <c r="M111" s="115">
        <v>0.3677</v>
      </c>
      <c r="N111" s="115">
        <v>0.7552</v>
      </c>
      <c r="O111" s="115">
        <v>0.5341</v>
      </c>
      <c r="P111" s="115">
        <v>2.7193</v>
      </c>
      <c r="Q111" s="115">
        <v>53.27</v>
      </c>
      <c r="R111" s="115">
        <v>42.37</v>
      </c>
      <c r="S111" s="115">
        <v>10.9</v>
      </c>
      <c r="T111" s="115">
        <v>6.53</v>
      </c>
      <c r="U111" s="115">
        <v>46.74</v>
      </c>
      <c r="V111" s="115">
        <v>56.63</v>
      </c>
      <c r="W111" s="115">
        <v>4.0535</v>
      </c>
      <c r="X111" s="115">
        <v>12.25</v>
      </c>
      <c r="Y111" s="115">
        <v>108.0</v>
      </c>
      <c r="Z111" s="115">
        <v>469.0</v>
      </c>
      <c r="AA111" s="115">
        <v>3361.0</v>
      </c>
      <c r="AB111" s="115">
        <v>49.3442</v>
      </c>
      <c r="AC111" s="115">
        <v>0.4936</v>
      </c>
      <c r="AD111" s="115">
        <v>3.67</v>
      </c>
      <c r="AE111" s="115">
        <v>1.0</v>
      </c>
      <c r="AF111" s="115">
        <v>2.0</v>
      </c>
      <c r="AG111" s="115">
        <v>5.0</v>
      </c>
      <c r="AH111" s="115">
        <v>8.0</v>
      </c>
      <c r="AI111" s="115">
        <v>68.26</v>
      </c>
      <c r="AJ111" s="115">
        <v>26.66</v>
      </c>
      <c r="AK111" s="115">
        <v>7.39</v>
      </c>
      <c r="AL111" s="115">
        <v>0.243</v>
      </c>
      <c r="AQ111" s="115">
        <v>2.6126</v>
      </c>
      <c r="AR111" s="115">
        <v>0.0754</v>
      </c>
      <c r="AS111" s="115">
        <v>2.5373</v>
      </c>
      <c r="AT111" s="115">
        <v>2.8674</v>
      </c>
      <c r="AU111" s="115">
        <v>0.2053</v>
      </c>
    </row>
    <row r="112" ht="15.75" customHeight="1">
      <c r="A112" s="116">
        <v>46184.0</v>
      </c>
      <c r="B112" s="115" t="s">
        <v>8</v>
      </c>
      <c r="C112" s="115" t="s">
        <v>130</v>
      </c>
      <c r="D112" s="115">
        <v>18624.0</v>
      </c>
      <c r="E112" s="115">
        <v>22.35</v>
      </c>
      <c r="F112" s="115">
        <v>7517.85</v>
      </c>
      <c r="G112" s="115">
        <v>0.4037</v>
      </c>
      <c r="H112" s="115">
        <v>8.21</v>
      </c>
      <c r="I112" s="115">
        <v>4.9168</v>
      </c>
      <c r="J112" s="115">
        <v>52.17</v>
      </c>
      <c r="K112" s="115">
        <v>26.9</v>
      </c>
      <c r="L112" s="115">
        <v>13.6</v>
      </c>
      <c r="M112" s="115">
        <v>0.5057</v>
      </c>
      <c r="N112" s="115">
        <v>0.631</v>
      </c>
      <c r="O112" s="115">
        <v>0.3971</v>
      </c>
      <c r="P112" s="115">
        <v>1.9773</v>
      </c>
      <c r="Q112" s="115">
        <v>121.0</v>
      </c>
      <c r="R112" s="115">
        <v>93.88</v>
      </c>
      <c r="S112" s="115">
        <v>27.12</v>
      </c>
      <c r="T112" s="115">
        <v>25.16</v>
      </c>
      <c r="U112" s="115">
        <v>95.84</v>
      </c>
      <c r="V112" s="115">
        <v>121.65</v>
      </c>
      <c r="W112" s="115">
        <v>4.5227</v>
      </c>
      <c r="X112" s="115">
        <v>20.8</v>
      </c>
      <c r="Y112" s="115">
        <v>107.0</v>
      </c>
      <c r="Z112" s="115">
        <v>435.0</v>
      </c>
      <c r="AA112" s="115">
        <v>3318.0</v>
      </c>
      <c r="AB112" s="115">
        <v>52.6056</v>
      </c>
      <c r="AC112" s="115">
        <v>0.5987</v>
      </c>
      <c r="AD112" s="115">
        <v>8.89</v>
      </c>
      <c r="AE112" s="115">
        <v>3.0</v>
      </c>
      <c r="AF112" s="115">
        <v>7.0</v>
      </c>
      <c r="AG112" s="115">
        <v>12.0</v>
      </c>
      <c r="AH112" s="115">
        <v>19.0</v>
      </c>
      <c r="AI112" s="115">
        <v>56.44</v>
      </c>
      <c r="AJ112" s="115">
        <v>24.53</v>
      </c>
      <c r="AK112" s="115">
        <v>4.28</v>
      </c>
      <c r="AL112" s="115">
        <v>0.2002</v>
      </c>
      <c r="AQ112" s="115">
        <v>5.2533</v>
      </c>
      <c r="AR112" s="115">
        <v>0.3064</v>
      </c>
      <c r="AS112" s="115">
        <v>4.947</v>
      </c>
      <c r="AT112" s="115">
        <v>5.5478</v>
      </c>
      <c r="AU112" s="115">
        <v>0.2063</v>
      </c>
    </row>
    <row r="113" ht="15.75" customHeight="1">
      <c r="A113" s="116">
        <v>46184.0</v>
      </c>
      <c r="B113" s="115" t="s">
        <v>8</v>
      </c>
      <c r="C113" s="115" t="s">
        <v>131</v>
      </c>
      <c r="D113" s="115">
        <v>10171.0</v>
      </c>
      <c r="E113" s="115">
        <v>12.21</v>
      </c>
      <c r="F113" s="115">
        <v>8201.8</v>
      </c>
      <c r="G113" s="115">
        <v>0.8064</v>
      </c>
      <c r="H113" s="115">
        <v>11.75</v>
      </c>
      <c r="I113" s="115">
        <v>6.8634</v>
      </c>
      <c r="J113" s="115">
        <v>72.92</v>
      </c>
      <c r="K113" s="115">
        <v>39.27</v>
      </c>
      <c r="L113" s="115">
        <v>24.38</v>
      </c>
      <c r="M113" s="115">
        <v>0.6207</v>
      </c>
      <c r="N113" s="115">
        <v>0.5239</v>
      </c>
      <c r="O113" s="115">
        <v>0.3319</v>
      </c>
      <c r="P113" s="115">
        <v>1.611</v>
      </c>
      <c r="Q113" s="115">
        <v>209.63</v>
      </c>
      <c r="R113" s="115">
        <v>158.05</v>
      </c>
      <c r="S113" s="115">
        <v>51.58</v>
      </c>
      <c r="T113" s="115">
        <v>50.24</v>
      </c>
      <c r="U113" s="115">
        <v>159.39</v>
      </c>
      <c r="V113" s="115">
        <v>213.22</v>
      </c>
      <c r="W113" s="115">
        <v>5.4291</v>
      </c>
      <c r="X113" s="115">
        <v>23.96</v>
      </c>
      <c r="Y113" s="115">
        <v>120.0</v>
      </c>
      <c r="Z113" s="115">
        <v>565.0</v>
      </c>
      <c r="AA113" s="115">
        <v>3805.0</v>
      </c>
      <c r="AB113" s="115">
        <v>55.569</v>
      </c>
      <c r="AC113" s="115">
        <v>0.7174</v>
      </c>
      <c r="AD113" s="115">
        <v>16.89</v>
      </c>
      <c r="AE113" s="115">
        <v>6.0</v>
      </c>
      <c r="AF113" s="115">
        <v>13.0</v>
      </c>
      <c r="AG113" s="115">
        <v>24.0</v>
      </c>
      <c r="AH113" s="115">
        <v>36.0</v>
      </c>
      <c r="AI113" s="115">
        <v>57.16</v>
      </c>
      <c r="AJ113" s="115">
        <v>21.95</v>
      </c>
      <c r="AK113" s="115">
        <v>6.27</v>
      </c>
      <c r="AL113" s="115">
        <v>0.1948</v>
      </c>
      <c r="AQ113" s="115">
        <v>8.2413</v>
      </c>
      <c r="AR113" s="115">
        <v>0.6556</v>
      </c>
      <c r="AS113" s="115">
        <v>7.5857</v>
      </c>
      <c r="AT113" s="115">
        <v>8.8454</v>
      </c>
      <c r="AU113" s="115">
        <v>0.2252</v>
      </c>
    </row>
    <row r="114" ht="15.75" customHeight="1">
      <c r="A114" s="116">
        <v>46184.0</v>
      </c>
      <c r="B114" s="115" t="s">
        <v>8</v>
      </c>
      <c r="C114" s="115" t="s">
        <v>132</v>
      </c>
      <c r="D114" s="115">
        <v>3862.0</v>
      </c>
      <c r="E114" s="115">
        <v>4.63</v>
      </c>
      <c r="F114" s="115">
        <v>6740.36</v>
      </c>
      <c r="G114" s="115">
        <v>1.7453</v>
      </c>
      <c r="H114" s="115">
        <v>14.27</v>
      </c>
      <c r="I114" s="115">
        <v>12.233</v>
      </c>
      <c r="J114" s="115">
        <v>119.15</v>
      </c>
      <c r="K114" s="115">
        <v>68.14</v>
      </c>
      <c r="L114" s="115">
        <v>51.77</v>
      </c>
      <c r="M114" s="115">
        <v>0.7597</v>
      </c>
      <c r="N114" s="115">
        <v>0.3902</v>
      </c>
      <c r="O114" s="115">
        <v>0.2588</v>
      </c>
      <c r="P114" s="115">
        <v>1.3163</v>
      </c>
      <c r="Q114" s="115">
        <v>408.09</v>
      </c>
      <c r="R114" s="115">
        <v>298.82</v>
      </c>
      <c r="S114" s="115">
        <v>109.27</v>
      </c>
      <c r="T114" s="115">
        <v>105.55</v>
      </c>
      <c r="U114" s="115">
        <v>302.54</v>
      </c>
      <c r="V114" s="115">
        <v>408.38</v>
      </c>
      <c r="W114" s="115">
        <v>5.9931</v>
      </c>
      <c r="X114" s="115">
        <v>25.86</v>
      </c>
      <c r="Y114" s="115">
        <v>174.0</v>
      </c>
      <c r="Z114" s="115">
        <v>1164.0</v>
      </c>
      <c r="AA114" s="115">
        <v>6547.0</v>
      </c>
      <c r="AB114" s="115">
        <v>59.1923</v>
      </c>
      <c r="AC114" s="115">
        <v>0.8058</v>
      </c>
      <c r="AD114" s="115">
        <v>35.75</v>
      </c>
      <c r="AE114" s="115">
        <v>14.0</v>
      </c>
      <c r="AF114" s="115">
        <v>28.0</v>
      </c>
      <c r="AG114" s="115">
        <v>50.0</v>
      </c>
      <c r="AH114" s="115">
        <v>75.0</v>
      </c>
      <c r="AI114" s="115">
        <v>50.96</v>
      </c>
      <c r="AJ114" s="115">
        <v>17.45</v>
      </c>
      <c r="AK114" s="115">
        <v>3.75</v>
      </c>
      <c r="AL114" s="115">
        <v>0.1481</v>
      </c>
      <c r="AQ114" s="115">
        <v>14.4656</v>
      </c>
      <c r="AR114" s="115">
        <v>1.3615</v>
      </c>
      <c r="AS114" s="115">
        <v>13.1041</v>
      </c>
      <c r="AT114" s="115">
        <v>15.4663</v>
      </c>
      <c r="AU114" s="115">
        <v>0.227</v>
      </c>
    </row>
    <row r="115" ht="15.75" customHeight="1">
      <c r="A115" s="116">
        <v>46184.0</v>
      </c>
      <c r="B115" s="115" t="s">
        <v>8</v>
      </c>
      <c r="C115" s="115" t="s">
        <v>133</v>
      </c>
      <c r="D115" s="115">
        <v>405.0</v>
      </c>
      <c r="E115" s="115">
        <v>0.49</v>
      </c>
      <c r="F115" s="115">
        <v>1639.28</v>
      </c>
      <c r="G115" s="115">
        <v>4.0476</v>
      </c>
      <c r="H115" s="115">
        <v>17.78</v>
      </c>
      <c r="I115" s="115">
        <v>22.7678</v>
      </c>
      <c r="J115" s="115">
        <v>228.76</v>
      </c>
      <c r="K115" s="115">
        <v>143.78</v>
      </c>
      <c r="L115" s="115">
        <v>122.11</v>
      </c>
      <c r="M115" s="115">
        <v>0.8493</v>
      </c>
      <c r="N115" s="115">
        <v>0.2824</v>
      </c>
      <c r="O115" s="115">
        <v>0.1973</v>
      </c>
      <c r="P115" s="115">
        <v>1.1775</v>
      </c>
      <c r="Q115" s="115">
        <v>848.77</v>
      </c>
      <c r="R115" s="115">
        <v>587.47</v>
      </c>
      <c r="S115" s="115">
        <v>261.3</v>
      </c>
      <c r="T115" s="115">
        <v>251.54</v>
      </c>
      <c r="U115" s="115">
        <v>597.23</v>
      </c>
      <c r="V115" s="115">
        <v>969.26</v>
      </c>
      <c r="W115" s="115">
        <v>6.7413</v>
      </c>
      <c r="X115" s="115">
        <v>29.64</v>
      </c>
      <c r="Y115" s="115">
        <v>366.0</v>
      </c>
      <c r="Z115" s="115">
        <v>2986.0</v>
      </c>
      <c r="AA115" s="115">
        <v>10258.0</v>
      </c>
      <c r="AB115" s="115">
        <v>62.4966</v>
      </c>
      <c r="AC115" s="115">
        <v>0.8876</v>
      </c>
      <c r="AD115" s="115">
        <v>84.91</v>
      </c>
      <c r="AE115" s="115">
        <v>34.0</v>
      </c>
      <c r="AF115" s="115">
        <v>67.0</v>
      </c>
      <c r="AG115" s="115">
        <v>119.0</v>
      </c>
      <c r="AH115" s="115">
        <v>179.0</v>
      </c>
      <c r="AI115" s="115">
        <v>43.7</v>
      </c>
      <c r="AJ115" s="115">
        <v>10.86</v>
      </c>
      <c r="AK115" s="115">
        <v>1.73</v>
      </c>
      <c r="AL115" s="115">
        <v>0.1185</v>
      </c>
      <c r="AQ115" s="115">
        <v>30.9358</v>
      </c>
      <c r="AR115" s="115">
        <v>4.9407</v>
      </c>
      <c r="AS115" s="115">
        <v>25.9951</v>
      </c>
      <c r="AT115" s="115">
        <v>39.4173</v>
      </c>
      <c r="AU115" s="115">
        <v>0.2741</v>
      </c>
    </row>
    <row r="116" ht="15.75" customHeight="1">
      <c r="A116" s="116">
        <v>46184.0</v>
      </c>
      <c r="B116" s="115" t="s">
        <v>9</v>
      </c>
      <c r="C116" s="115" t="s">
        <v>128</v>
      </c>
      <c r="D116" s="115">
        <v>18355.0</v>
      </c>
      <c r="E116" s="115">
        <v>22.12</v>
      </c>
      <c r="F116" s="115">
        <v>34.58</v>
      </c>
      <c r="G116" s="115">
        <v>0.0019</v>
      </c>
      <c r="H116" s="115">
        <v>0.1</v>
      </c>
      <c r="I116" s="115">
        <v>1.82</v>
      </c>
      <c r="J116" s="115">
        <v>7.01</v>
      </c>
      <c r="K116" s="115">
        <v>3.11</v>
      </c>
      <c r="L116" s="115">
        <v>0.07</v>
      </c>
      <c r="M116" s="115">
        <v>0.0223</v>
      </c>
      <c r="N116" s="115">
        <v>0.9799</v>
      </c>
      <c r="O116" s="115">
        <v>0.7241</v>
      </c>
      <c r="P116" s="115">
        <v>44.7694</v>
      </c>
      <c r="Q116" s="115">
        <v>17.55</v>
      </c>
      <c r="R116" s="115">
        <v>17.49</v>
      </c>
      <c r="S116" s="115">
        <v>0.06</v>
      </c>
      <c r="T116" s="115">
        <v>0.14</v>
      </c>
      <c r="U116" s="115">
        <v>17.41</v>
      </c>
      <c r="V116" s="115">
        <v>1.86</v>
      </c>
      <c r="W116" s="115">
        <v>0.5974</v>
      </c>
      <c r="X116" s="115">
        <v>0.79</v>
      </c>
      <c r="Y116" s="115">
        <v>152.0</v>
      </c>
      <c r="Z116" s="115">
        <v>1735.0</v>
      </c>
      <c r="AA116" s="115">
        <v>11285.0</v>
      </c>
      <c r="AB116" s="115">
        <v>49.2599</v>
      </c>
      <c r="AC116" s="115">
        <v>0.5163</v>
      </c>
      <c r="AI116" s="115">
        <v>0.0</v>
      </c>
      <c r="AJ116" s="115">
        <v>0.0</v>
      </c>
      <c r="AK116" s="115">
        <v>0.0</v>
      </c>
      <c r="AL116" s="115">
        <v>0.2768</v>
      </c>
      <c r="AM116" s="115">
        <v>0.23</v>
      </c>
      <c r="AN116" s="115">
        <v>0.23</v>
      </c>
      <c r="AO116" s="115">
        <v>0.09</v>
      </c>
      <c r="AP116" s="115">
        <v>0.04</v>
      </c>
      <c r="AQ116" s="115">
        <v>0.809</v>
      </c>
      <c r="AR116" s="115">
        <v>0.002</v>
      </c>
      <c r="AS116" s="115">
        <v>0.8071</v>
      </c>
      <c r="AT116" s="115">
        <v>0.3958</v>
      </c>
      <c r="AU116" s="115">
        <v>0.1273</v>
      </c>
    </row>
    <row r="117" ht="15.75" customHeight="1">
      <c r="A117" s="116">
        <v>46184.0</v>
      </c>
      <c r="B117" s="115" t="s">
        <v>9</v>
      </c>
      <c r="C117" s="115" t="s">
        <v>129</v>
      </c>
      <c r="D117" s="115">
        <v>30899.0</v>
      </c>
      <c r="E117" s="115">
        <v>37.24</v>
      </c>
      <c r="F117" s="115">
        <v>3162.09</v>
      </c>
      <c r="G117" s="115">
        <v>0.1023</v>
      </c>
      <c r="H117" s="115">
        <v>3.02</v>
      </c>
      <c r="I117" s="115">
        <v>3.3892</v>
      </c>
      <c r="J117" s="115">
        <v>29.88</v>
      </c>
      <c r="K117" s="115">
        <v>14.44</v>
      </c>
      <c r="L117" s="115">
        <v>5.15</v>
      </c>
      <c r="M117" s="115">
        <v>0.3564</v>
      </c>
      <c r="N117" s="115">
        <v>0.7585</v>
      </c>
      <c r="O117" s="115">
        <v>0.5319</v>
      </c>
      <c r="P117" s="115">
        <v>2.8059</v>
      </c>
      <c r="Q117" s="115">
        <v>45.94</v>
      </c>
      <c r="R117" s="115">
        <v>42.0</v>
      </c>
      <c r="S117" s="115">
        <v>3.94</v>
      </c>
      <c r="T117" s="115">
        <v>6.96</v>
      </c>
      <c r="U117" s="115">
        <v>38.98</v>
      </c>
      <c r="V117" s="115">
        <v>51.6</v>
      </c>
      <c r="W117" s="115">
        <v>3.5736</v>
      </c>
      <c r="X117" s="115">
        <v>15.16</v>
      </c>
      <c r="Y117" s="115">
        <v>98.0</v>
      </c>
      <c r="Z117" s="115">
        <v>403.0</v>
      </c>
      <c r="AA117" s="115">
        <v>2922.0</v>
      </c>
      <c r="AB117" s="115">
        <v>49.3406</v>
      </c>
      <c r="AC117" s="115">
        <v>0.4923</v>
      </c>
      <c r="AD117" s="115">
        <v>3.63</v>
      </c>
      <c r="AE117" s="115">
        <v>1.0</v>
      </c>
      <c r="AF117" s="115">
        <v>2.0</v>
      </c>
      <c r="AG117" s="115">
        <v>5.0</v>
      </c>
      <c r="AH117" s="115">
        <v>8.0</v>
      </c>
      <c r="AI117" s="115">
        <v>67.38</v>
      </c>
      <c r="AJ117" s="115">
        <v>25.99</v>
      </c>
      <c r="AK117" s="115">
        <v>7.29</v>
      </c>
      <c r="AL117" s="115">
        <v>0.2465</v>
      </c>
      <c r="AM117" s="115">
        <v>53.9</v>
      </c>
      <c r="AN117" s="115">
        <v>53.9</v>
      </c>
      <c r="AO117" s="115">
        <v>21.89</v>
      </c>
      <c r="AP117" s="115">
        <v>6.12</v>
      </c>
      <c r="AQ117" s="115">
        <v>2.923</v>
      </c>
      <c r="AR117" s="115">
        <v>0.0829</v>
      </c>
      <c r="AS117" s="115">
        <v>2.84</v>
      </c>
      <c r="AT117" s="115">
        <v>3.0548</v>
      </c>
      <c r="AU117" s="115">
        <v>0.2116</v>
      </c>
    </row>
    <row r="118" ht="15.75" customHeight="1">
      <c r="A118" s="116">
        <v>46184.0</v>
      </c>
      <c r="B118" s="115" t="s">
        <v>9</v>
      </c>
      <c r="C118" s="115" t="s">
        <v>130</v>
      </c>
      <c r="D118" s="115">
        <v>18615.0</v>
      </c>
      <c r="E118" s="115">
        <v>22.43</v>
      </c>
      <c r="F118" s="115">
        <v>7596.97</v>
      </c>
      <c r="G118" s="115">
        <v>0.4081</v>
      </c>
      <c r="H118" s="115">
        <v>8.51</v>
      </c>
      <c r="I118" s="115">
        <v>4.793</v>
      </c>
      <c r="J118" s="115">
        <v>54.61</v>
      </c>
      <c r="K118" s="115">
        <v>27.94</v>
      </c>
      <c r="L118" s="115">
        <v>13.77</v>
      </c>
      <c r="M118" s="115">
        <v>0.4927</v>
      </c>
      <c r="N118" s="115">
        <v>0.6396</v>
      </c>
      <c r="O118" s="115">
        <v>0.4013</v>
      </c>
      <c r="P118" s="115">
        <v>2.0295</v>
      </c>
      <c r="Q118" s="115">
        <v>114.25</v>
      </c>
      <c r="R118" s="115">
        <v>104.42</v>
      </c>
      <c r="S118" s="115">
        <v>9.83</v>
      </c>
      <c r="T118" s="115">
        <v>26.25</v>
      </c>
      <c r="U118" s="115">
        <v>88.0</v>
      </c>
      <c r="V118" s="115">
        <v>115.18</v>
      </c>
      <c r="W118" s="115">
        <v>4.1215</v>
      </c>
      <c r="X118" s="115">
        <v>22.98</v>
      </c>
      <c r="Y118" s="115">
        <v>100.0</v>
      </c>
      <c r="Z118" s="115">
        <v>419.0</v>
      </c>
      <c r="AA118" s="115">
        <v>3093.0</v>
      </c>
      <c r="AB118" s="115">
        <v>52.4247</v>
      </c>
      <c r="AC118" s="115">
        <v>0.5959</v>
      </c>
      <c r="AD118" s="115">
        <v>8.86</v>
      </c>
      <c r="AE118" s="115">
        <v>3.0</v>
      </c>
      <c r="AF118" s="115">
        <v>6.0</v>
      </c>
      <c r="AG118" s="115">
        <v>12.0</v>
      </c>
      <c r="AH118" s="115">
        <v>19.0</v>
      </c>
      <c r="AI118" s="115">
        <v>55.5</v>
      </c>
      <c r="AJ118" s="115">
        <v>24.53</v>
      </c>
      <c r="AK118" s="115">
        <v>4.59</v>
      </c>
      <c r="AL118" s="115">
        <v>0.1979</v>
      </c>
      <c r="AM118" s="115">
        <v>65.0</v>
      </c>
      <c r="AN118" s="115">
        <v>65.0</v>
      </c>
      <c r="AO118" s="115">
        <v>41.22</v>
      </c>
      <c r="AP118" s="115">
        <v>21.95</v>
      </c>
      <c r="AQ118" s="115">
        <v>6.1043</v>
      </c>
      <c r="AR118" s="115">
        <v>0.3063</v>
      </c>
      <c r="AS118" s="115">
        <v>5.798</v>
      </c>
      <c r="AT118" s="115">
        <v>6.0453</v>
      </c>
      <c r="AU118" s="115">
        <v>0.2163</v>
      </c>
    </row>
    <row r="119" ht="15.75" customHeight="1">
      <c r="A119" s="116">
        <v>46184.0</v>
      </c>
      <c r="B119" s="115" t="s">
        <v>9</v>
      </c>
      <c r="C119" s="115" t="s">
        <v>131</v>
      </c>
      <c r="D119" s="115">
        <v>10399.0</v>
      </c>
      <c r="E119" s="115">
        <v>12.53</v>
      </c>
      <c r="F119" s="115">
        <v>7982.76</v>
      </c>
      <c r="G119" s="115">
        <v>0.7676</v>
      </c>
      <c r="H119" s="115">
        <v>11.55</v>
      </c>
      <c r="I119" s="115">
        <v>6.6468</v>
      </c>
      <c r="J119" s="115">
        <v>74.91</v>
      </c>
      <c r="K119" s="115">
        <v>40.24</v>
      </c>
      <c r="L119" s="115">
        <v>24.79</v>
      </c>
      <c r="M119" s="115">
        <v>0.616</v>
      </c>
      <c r="N119" s="115">
        <v>0.5239</v>
      </c>
      <c r="O119" s="115">
        <v>0.3261</v>
      </c>
      <c r="P119" s="115">
        <v>1.6234</v>
      </c>
      <c r="Q119" s="115">
        <v>197.47</v>
      </c>
      <c r="R119" s="115">
        <v>178.34</v>
      </c>
      <c r="S119" s="115">
        <v>19.13</v>
      </c>
      <c r="T119" s="115">
        <v>47.11</v>
      </c>
      <c r="U119" s="115">
        <v>150.37</v>
      </c>
      <c r="V119" s="115">
        <v>199.98</v>
      </c>
      <c r="W119" s="115">
        <v>4.9694</v>
      </c>
      <c r="X119" s="115">
        <v>23.85</v>
      </c>
      <c r="Y119" s="115">
        <v>112.0</v>
      </c>
      <c r="Z119" s="115">
        <v>525.0</v>
      </c>
      <c r="AA119" s="115">
        <v>3766.0</v>
      </c>
      <c r="AB119" s="115">
        <v>55.5051</v>
      </c>
      <c r="AC119" s="115">
        <v>0.7182</v>
      </c>
      <c r="AD119" s="115">
        <v>17.36</v>
      </c>
      <c r="AE119" s="115">
        <v>6.0</v>
      </c>
      <c r="AF119" s="115">
        <v>13.0</v>
      </c>
      <c r="AG119" s="115">
        <v>24.0</v>
      </c>
      <c r="AH119" s="115">
        <v>37.0</v>
      </c>
      <c r="AI119" s="115">
        <v>57.16</v>
      </c>
      <c r="AJ119" s="115">
        <v>23.17</v>
      </c>
      <c r="AK119" s="115">
        <v>6.98</v>
      </c>
      <c r="AL119" s="115">
        <v>0.1898</v>
      </c>
      <c r="AM119" s="115">
        <v>65.87</v>
      </c>
      <c r="AN119" s="115">
        <v>65.87</v>
      </c>
      <c r="AO119" s="115">
        <v>44.84</v>
      </c>
      <c r="AP119" s="115">
        <v>27.94</v>
      </c>
      <c r="AQ119" s="115">
        <v>9.1328</v>
      </c>
      <c r="AR119" s="115">
        <v>0.5751</v>
      </c>
      <c r="AS119" s="115">
        <v>8.5577</v>
      </c>
      <c r="AT119" s="115">
        <v>9.5355</v>
      </c>
      <c r="AU119" s="115">
        <v>0.237</v>
      </c>
    </row>
    <row r="120" ht="15.75" customHeight="1">
      <c r="A120" s="116">
        <v>46184.0</v>
      </c>
      <c r="B120" s="115" t="s">
        <v>9</v>
      </c>
      <c r="C120" s="115" t="s">
        <v>132</v>
      </c>
      <c r="D120" s="115">
        <v>4203.0</v>
      </c>
      <c r="E120" s="115">
        <v>5.07</v>
      </c>
      <c r="F120" s="115">
        <v>7876.17</v>
      </c>
      <c r="G120" s="115">
        <v>1.8739</v>
      </c>
      <c r="H120" s="115">
        <v>14.3</v>
      </c>
      <c r="I120" s="115">
        <v>13.1051</v>
      </c>
      <c r="J120" s="115">
        <v>121.67</v>
      </c>
      <c r="K120" s="115">
        <v>68.63</v>
      </c>
      <c r="L120" s="115">
        <v>51.83</v>
      </c>
      <c r="M120" s="115">
        <v>0.7552</v>
      </c>
      <c r="N120" s="115">
        <v>0.3887</v>
      </c>
      <c r="O120" s="115">
        <v>0.2513</v>
      </c>
      <c r="P120" s="115">
        <v>1.3241</v>
      </c>
      <c r="Q120" s="115">
        <v>412.71</v>
      </c>
      <c r="R120" s="115">
        <v>372.85</v>
      </c>
      <c r="S120" s="115">
        <v>39.87</v>
      </c>
      <c r="T120" s="115">
        <v>117.95</v>
      </c>
      <c r="U120" s="115">
        <v>294.77</v>
      </c>
      <c r="V120" s="115">
        <v>406.5</v>
      </c>
      <c r="W120" s="115">
        <v>5.9228</v>
      </c>
      <c r="X120" s="115">
        <v>28.58</v>
      </c>
      <c r="Y120" s="115">
        <v>171.0</v>
      </c>
      <c r="Z120" s="115">
        <v>1121.0</v>
      </c>
      <c r="AA120" s="115">
        <v>6244.0</v>
      </c>
      <c r="AB120" s="115">
        <v>59.3289</v>
      </c>
      <c r="AC120" s="115">
        <v>0.8114</v>
      </c>
      <c r="AD120" s="115">
        <v>37.02</v>
      </c>
      <c r="AE120" s="115">
        <v>14.0</v>
      </c>
      <c r="AF120" s="115">
        <v>29.0</v>
      </c>
      <c r="AG120" s="115">
        <v>52.0</v>
      </c>
      <c r="AH120" s="115">
        <v>78.0</v>
      </c>
      <c r="AI120" s="115">
        <v>52.15</v>
      </c>
      <c r="AJ120" s="115">
        <v>19.91</v>
      </c>
      <c r="AK120" s="115">
        <v>5.0</v>
      </c>
      <c r="AL120" s="115">
        <v>0.1437</v>
      </c>
      <c r="AM120" s="115">
        <v>69.69</v>
      </c>
      <c r="AN120" s="115">
        <v>69.69</v>
      </c>
      <c r="AO120" s="115">
        <v>50.18</v>
      </c>
      <c r="AP120" s="115">
        <v>33.9</v>
      </c>
      <c r="AQ120" s="115">
        <v>16.134</v>
      </c>
      <c r="AR120" s="115">
        <v>1.744</v>
      </c>
      <c r="AS120" s="115">
        <v>14.39</v>
      </c>
      <c r="AT120" s="115">
        <v>16.3895</v>
      </c>
      <c r="AU120" s="115">
        <v>0.2388</v>
      </c>
    </row>
    <row r="121" ht="15.75" customHeight="1">
      <c r="A121" s="116">
        <v>46184.0</v>
      </c>
      <c r="B121" s="115" t="s">
        <v>9</v>
      </c>
      <c r="C121" s="115" t="s">
        <v>133</v>
      </c>
      <c r="D121" s="115">
        <v>507.0</v>
      </c>
      <c r="E121" s="115">
        <v>0.61</v>
      </c>
      <c r="F121" s="115">
        <v>1867.11</v>
      </c>
      <c r="G121" s="115">
        <v>3.6827</v>
      </c>
      <c r="H121" s="115">
        <v>15.98</v>
      </c>
      <c r="I121" s="115">
        <v>23.0507</v>
      </c>
      <c r="J121" s="115">
        <v>229.99</v>
      </c>
      <c r="K121" s="115">
        <v>138.19</v>
      </c>
      <c r="L121" s="115">
        <v>117.29</v>
      </c>
      <c r="M121" s="115">
        <v>0.8488</v>
      </c>
      <c r="N121" s="115">
        <v>0.2854</v>
      </c>
      <c r="O121" s="115">
        <v>0.1999</v>
      </c>
      <c r="P121" s="115">
        <v>1.1782</v>
      </c>
      <c r="Q121" s="115">
        <v>773.69</v>
      </c>
      <c r="R121" s="115">
        <v>684.25</v>
      </c>
      <c r="S121" s="115">
        <v>89.44</v>
      </c>
      <c r="T121" s="115">
        <v>240.58</v>
      </c>
      <c r="U121" s="115">
        <v>533.11</v>
      </c>
      <c r="V121" s="115">
        <v>776.63</v>
      </c>
      <c r="W121" s="115">
        <v>5.62</v>
      </c>
      <c r="X121" s="115">
        <v>31.1</v>
      </c>
      <c r="Y121" s="115">
        <v>356.0</v>
      </c>
      <c r="Z121" s="115">
        <v>2797.0</v>
      </c>
      <c r="AA121" s="115">
        <v>10313.0</v>
      </c>
      <c r="AB121" s="115">
        <v>62.3554</v>
      </c>
      <c r="AC121" s="115">
        <v>0.8704</v>
      </c>
      <c r="AD121" s="115">
        <v>82.24</v>
      </c>
      <c r="AE121" s="115">
        <v>32.0</v>
      </c>
      <c r="AF121" s="115">
        <v>68.0</v>
      </c>
      <c r="AG121" s="115">
        <v>116.0</v>
      </c>
      <c r="AH121" s="115">
        <v>170.0</v>
      </c>
      <c r="AI121" s="115">
        <v>44.58</v>
      </c>
      <c r="AJ121" s="115">
        <v>9.07</v>
      </c>
      <c r="AK121" s="115">
        <v>1.18</v>
      </c>
      <c r="AL121" s="115">
        <v>0.0966</v>
      </c>
      <c r="AM121" s="115">
        <v>72.78</v>
      </c>
      <c r="AN121" s="115">
        <v>72.78</v>
      </c>
      <c r="AO121" s="115">
        <v>52.47</v>
      </c>
      <c r="AP121" s="115">
        <v>40.83</v>
      </c>
      <c r="AQ121" s="115">
        <v>29.0118</v>
      </c>
      <c r="AR121" s="115">
        <v>2.9014</v>
      </c>
      <c r="AS121" s="115">
        <v>26.1105</v>
      </c>
      <c r="AT121" s="115">
        <v>30.4398</v>
      </c>
      <c r="AU121" s="115">
        <v>0.2203</v>
      </c>
    </row>
    <row r="122" ht="15.75" customHeight="1">
      <c r="A122" s="116">
        <v>46185.0</v>
      </c>
      <c r="B122" s="115" t="s">
        <v>8</v>
      </c>
      <c r="C122" s="115" t="s">
        <v>128</v>
      </c>
      <c r="D122" s="115">
        <v>15366.0</v>
      </c>
      <c r="E122" s="115">
        <v>18.89</v>
      </c>
      <c r="F122" s="115">
        <v>159.96</v>
      </c>
      <c r="G122" s="115">
        <v>0.0104</v>
      </c>
      <c r="H122" s="115">
        <v>0.2</v>
      </c>
      <c r="I122" s="115">
        <v>5.332</v>
      </c>
      <c r="J122" s="115">
        <v>6.28</v>
      </c>
      <c r="K122" s="115">
        <v>2.58</v>
      </c>
      <c r="L122" s="115">
        <v>0.03</v>
      </c>
      <c r="M122" s="115">
        <v>0.0115</v>
      </c>
      <c r="N122" s="115">
        <v>0.9908</v>
      </c>
      <c r="O122" s="115">
        <v>0.8621</v>
      </c>
      <c r="P122" s="115">
        <v>86.864</v>
      </c>
      <c r="Q122" s="115">
        <v>31.73</v>
      </c>
      <c r="R122" s="115">
        <v>31.64</v>
      </c>
      <c r="S122" s="115">
        <v>0.09</v>
      </c>
      <c r="T122" s="115">
        <v>0.66</v>
      </c>
      <c r="U122" s="115">
        <v>31.07</v>
      </c>
      <c r="V122" s="115">
        <v>1.72</v>
      </c>
      <c r="W122" s="115">
        <v>0.669</v>
      </c>
      <c r="X122" s="115">
        <v>2.08</v>
      </c>
      <c r="Y122" s="115">
        <v>279.0</v>
      </c>
      <c r="Z122" s="115">
        <v>3315.0</v>
      </c>
      <c r="AA122" s="115">
        <v>13863.0</v>
      </c>
      <c r="AB122" s="115">
        <v>49.4773</v>
      </c>
      <c r="AC122" s="115">
        <v>0.5283</v>
      </c>
      <c r="AI122" s="115">
        <v>0.0</v>
      </c>
      <c r="AJ122" s="115">
        <v>0.0</v>
      </c>
      <c r="AK122" s="115">
        <v>0.0</v>
      </c>
      <c r="AL122" s="115">
        <v>0.2996</v>
      </c>
      <c r="AQ122" s="115">
        <v>1.8405</v>
      </c>
      <c r="AR122" s="115">
        <v>0.0147</v>
      </c>
      <c r="AS122" s="115">
        <v>1.8258</v>
      </c>
      <c r="AT122" s="115">
        <v>0.4698</v>
      </c>
      <c r="AU122" s="115">
        <v>0.1823</v>
      </c>
    </row>
    <row r="123" ht="15.75" customHeight="1">
      <c r="A123" s="116">
        <v>46185.0</v>
      </c>
      <c r="B123" s="115" t="s">
        <v>8</v>
      </c>
      <c r="C123" s="115" t="s">
        <v>129</v>
      </c>
      <c r="D123" s="115">
        <v>32775.0</v>
      </c>
      <c r="E123" s="115">
        <v>40.28</v>
      </c>
      <c r="F123" s="115">
        <v>4099.87</v>
      </c>
      <c r="G123" s="115">
        <v>0.1251</v>
      </c>
      <c r="H123" s="115">
        <v>3.44</v>
      </c>
      <c r="I123" s="115">
        <v>3.6379</v>
      </c>
      <c r="J123" s="115">
        <v>32.81</v>
      </c>
      <c r="K123" s="115">
        <v>16.11</v>
      </c>
      <c r="L123" s="115">
        <v>5.9</v>
      </c>
      <c r="M123" s="115">
        <v>0.3659</v>
      </c>
      <c r="N123" s="115">
        <v>0.7511</v>
      </c>
      <c r="O123" s="115">
        <v>0.521</v>
      </c>
      <c r="P123" s="115">
        <v>2.733</v>
      </c>
      <c r="Q123" s="115">
        <v>77.55</v>
      </c>
      <c r="R123" s="115">
        <v>65.3</v>
      </c>
      <c r="S123" s="115">
        <v>12.25</v>
      </c>
      <c r="T123" s="115">
        <v>8.34</v>
      </c>
      <c r="U123" s="115">
        <v>69.21</v>
      </c>
      <c r="V123" s="115">
        <v>67.05</v>
      </c>
      <c r="W123" s="115">
        <v>4.1612</v>
      </c>
      <c r="X123" s="115">
        <v>10.75</v>
      </c>
      <c r="Y123" s="115">
        <v>112.0</v>
      </c>
      <c r="Z123" s="115">
        <v>425.0</v>
      </c>
      <c r="AA123" s="115">
        <v>2983.0</v>
      </c>
      <c r="AB123" s="115">
        <v>49.1286</v>
      </c>
      <c r="AC123" s="115">
        <v>0.4893</v>
      </c>
      <c r="AD123" s="115">
        <v>3.97</v>
      </c>
      <c r="AE123" s="115">
        <v>1.0</v>
      </c>
      <c r="AF123" s="115">
        <v>3.0</v>
      </c>
      <c r="AG123" s="115">
        <v>5.0</v>
      </c>
      <c r="AH123" s="115">
        <v>9.0</v>
      </c>
      <c r="AI123" s="115">
        <v>72.29</v>
      </c>
      <c r="AJ123" s="115">
        <v>30.47</v>
      </c>
      <c r="AK123" s="115">
        <v>8.57</v>
      </c>
      <c r="AL123" s="115">
        <v>0.2563</v>
      </c>
      <c r="AQ123" s="115">
        <v>4.6701</v>
      </c>
      <c r="AR123" s="115">
        <v>0.105</v>
      </c>
      <c r="AS123" s="115">
        <v>4.5651</v>
      </c>
      <c r="AT123" s="115">
        <v>3.7158</v>
      </c>
      <c r="AU123" s="115">
        <v>0.2306</v>
      </c>
    </row>
    <row r="124" ht="15.75" customHeight="1">
      <c r="A124" s="116">
        <v>46185.0</v>
      </c>
      <c r="B124" s="115" t="s">
        <v>8</v>
      </c>
      <c r="C124" s="115" t="s">
        <v>130</v>
      </c>
      <c r="D124" s="115">
        <v>18590.0</v>
      </c>
      <c r="E124" s="115">
        <v>22.85</v>
      </c>
      <c r="F124" s="115">
        <v>7046.2</v>
      </c>
      <c r="G124" s="115">
        <v>0.379</v>
      </c>
      <c r="H124" s="115">
        <v>8.1</v>
      </c>
      <c r="I124" s="115">
        <v>4.6788</v>
      </c>
      <c r="J124" s="115">
        <v>58.35</v>
      </c>
      <c r="K124" s="115">
        <v>29.95</v>
      </c>
      <c r="L124" s="115">
        <v>14.55</v>
      </c>
      <c r="M124" s="115">
        <v>0.486</v>
      </c>
      <c r="N124" s="115">
        <v>0.6472</v>
      </c>
      <c r="O124" s="115">
        <v>0.413</v>
      </c>
      <c r="P124" s="115">
        <v>2.0578</v>
      </c>
      <c r="Q124" s="115">
        <v>139.88</v>
      </c>
      <c r="R124" s="115">
        <v>109.86</v>
      </c>
      <c r="S124" s="115">
        <v>30.03</v>
      </c>
      <c r="T124" s="115">
        <v>24.1</v>
      </c>
      <c r="U124" s="115">
        <v>115.79</v>
      </c>
      <c r="V124" s="115">
        <v>131.36</v>
      </c>
      <c r="W124" s="115">
        <v>4.3867</v>
      </c>
      <c r="X124" s="115">
        <v>17.23</v>
      </c>
      <c r="Y124" s="115">
        <v>106.0</v>
      </c>
      <c r="Z124" s="115">
        <v>393.0</v>
      </c>
      <c r="AA124" s="115">
        <v>2892.0</v>
      </c>
      <c r="AB124" s="115">
        <v>52.5709</v>
      </c>
      <c r="AC124" s="115">
        <v>0.6013</v>
      </c>
      <c r="AD124" s="115">
        <v>9.49</v>
      </c>
      <c r="AE124" s="115">
        <v>4.0</v>
      </c>
      <c r="AF124" s="115">
        <v>8.0</v>
      </c>
      <c r="AG124" s="115">
        <v>13.0</v>
      </c>
      <c r="AH124" s="115">
        <v>20.0</v>
      </c>
      <c r="AI124" s="115">
        <v>61.64</v>
      </c>
      <c r="AJ124" s="115">
        <v>26.45</v>
      </c>
      <c r="AK124" s="115">
        <v>4.6</v>
      </c>
      <c r="AL124" s="115">
        <v>0.2199</v>
      </c>
      <c r="AQ124" s="115">
        <v>7.7922</v>
      </c>
      <c r="AR124" s="115">
        <v>0.3193</v>
      </c>
      <c r="AS124" s="115">
        <v>7.4729</v>
      </c>
      <c r="AT124" s="115">
        <v>6.7105</v>
      </c>
      <c r="AU124" s="115">
        <v>0.2241</v>
      </c>
    </row>
    <row r="125" ht="15.75" customHeight="1">
      <c r="A125" s="116">
        <v>46185.0</v>
      </c>
      <c r="B125" s="115" t="s">
        <v>8</v>
      </c>
      <c r="C125" s="115" t="s">
        <v>131</v>
      </c>
      <c r="D125" s="115">
        <v>10261.0</v>
      </c>
      <c r="E125" s="115">
        <v>12.61</v>
      </c>
      <c r="F125" s="115">
        <v>8971.23</v>
      </c>
      <c r="G125" s="115">
        <v>0.8743</v>
      </c>
      <c r="H125" s="115">
        <v>11.87</v>
      </c>
      <c r="I125" s="115">
        <v>7.3655</v>
      </c>
      <c r="J125" s="115">
        <v>81.86</v>
      </c>
      <c r="K125" s="115">
        <v>43.77</v>
      </c>
      <c r="L125" s="115">
        <v>26.46</v>
      </c>
      <c r="M125" s="115">
        <v>0.6044</v>
      </c>
      <c r="N125" s="115">
        <v>0.537</v>
      </c>
      <c r="O125" s="115">
        <v>0.3383</v>
      </c>
      <c r="P125" s="115">
        <v>1.6546</v>
      </c>
      <c r="Q125" s="115">
        <v>221.85</v>
      </c>
      <c r="R125" s="115">
        <v>165.87</v>
      </c>
      <c r="S125" s="115">
        <v>55.98</v>
      </c>
      <c r="T125" s="115">
        <v>54.1</v>
      </c>
      <c r="U125" s="115">
        <v>167.75</v>
      </c>
      <c r="V125" s="115">
        <v>223.31</v>
      </c>
      <c r="W125" s="115">
        <v>5.1017</v>
      </c>
      <c r="X125" s="115">
        <v>24.39</v>
      </c>
      <c r="Y125" s="115">
        <v>117.0</v>
      </c>
      <c r="Z125" s="115">
        <v>516.0</v>
      </c>
      <c r="AA125" s="115">
        <v>3584.0</v>
      </c>
      <c r="AB125" s="115">
        <v>55.4394</v>
      </c>
      <c r="AC125" s="115">
        <v>0.714</v>
      </c>
      <c r="AD125" s="115">
        <v>17.72</v>
      </c>
      <c r="AE125" s="115">
        <v>7.0</v>
      </c>
      <c r="AF125" s="115">
        <v>14.0</v>
      </c>
      <c r="AG125" s="115">
        <v>25.0</v>
      </c>
      <c r="AH125" s="115">
        <v>37.0</v>
      </c>
      <c r="AI125" s="115">
        <v>60.37</v>
      </c>
      <c r="AJ125" s="115">
        <v>23.27</v>
      </c>
      <c r="AK125" s="115">
        <v>6.67</v>
      </c>
      <c r="AL125" s="115">
        <v>0.2067</v>
      </c>
      <c r="AQ125" s="115">
        <v>11.7927</v>
      </c>
      <c r="AR125" s="115">
        <v>0.7797</v>
      </c>
      <c r="AS125" s="115">
        <v>11.0131</v>
      </c>
      <c r="AT125" s="115">
        <v>10.5001</v>
      </c>
      <c r="AU125" s="115">
        <v>0.2399</v>
      </c>
    </row>
    <row r="126" ht="15.75" customHeight="1">
      <c r="A126" s="116">
        <v>46185.0</v>
      </c>
      <c r="B126" s="115" t="s">
        <v>8</v>
      </c>
      <c r="C126" s="115" t="s">
        <v>132</v>
      </c>
      <c r="D126" s="115">
        <v>3958.0</v>
      </c>
      <c r="E126" s="115">
        <v>4.86</v>
      </c>
      <c r="F126" s="115">
        <v>7635.88</v>
      </c>
      <c r="G126" s="115">
        <v>1.9292</v>
      </c>
      <c r="H126" s="115">
        <v>15.54</v>
      </c>
      <c r="I126" s="115">
        <v>12.4161</v>
      </c>
      <c r="J126" s="115">
        <v>133.21</v>
      </c>
      <c r="K126" s="115">
        <v>75.56</v>
      </c>
      <c r="L126" s="115">
        <v>55.36</v>
      </c>
      <c r="M126" s="115">
        <v>0.7326</v>
      </c>
      <c r="N126" s="115">
        <v>0.4094</v>
      </c>
      <c r="O126" s="115">
        <v>0.2642</v>
      </c>
      <c r="P126" s="115">
        <v>1.3649</v>
      </c>
      <c r="Q126" s="115">
        <v>395.73</v>
      </c>
      <c r="R126" s="115">
        <v>278.25</v>
      </c>
      <c r="S126" s="115">
        <v>117.49</v>
      </c>
      <c r="T126" s="115">
        <v>118.36</v>
      </c>
      <c r="U126" s="115">
        <v>277.38</v>
      </c>
      <c r="V126" s="115">
        <v>417.52</v>
      </c>
      <c r="W126" s="115">
        <v>5.5259</v>
      </c>
      <c r="X126" s="115">
        <v>29.91</v>
      </c>
      <c r="Y126" s="115">
        <v>171.0</v>
      </c>
      <c r="Z126" s="115">
        <v>1215.0</v>
      </c>
      <c r="AA126" s="115">
        <v>6852.0</v>
      </c>
      <c r="AB126" s="115">
        <v>59.1746</v>
      </c>
      <c r="AC126" s="115">
        <v>0.8093</v>
      </c>
      <c r="AD126" s="115">
        <v>36.72</v>
      </c>
      <c r="AE126" s="115">
        <v>14.0</v>
      </c>
      <c r="AF126" s="115">
        <v>29.0</v>
      </c>
      <c r="AG126" s="115">
        <v>50.0</v>
      </c>
      <c r="AH126" s="115">
        <v>78.0</v>
      </c>
      <c r="AI126" s="115">
        <v>51.67</v>
      </c>
      <c r="AJ126" s="115">
        <v>18.27</v>
      </c>
      <c r="AK126" s="115">
        <v>4.52</v>
      </c>
      <c r="AL126" s="115">
        <v>0.1647</v>
      </c>
      <c r="AQ126" s="115">
        <v>19.9149</v>
      </c>
      <c r="AR126" s="115">
        <v>1.64</v>
      </c>
      <c r="AS126" s="115">
        <v>18.2749</v>
      </c>
      <c r="AT126" s="115">
        <v>18.5659</v>
      </c>
      <c r="AU126" s="115">
        <v>0.2457</v>
      </c>
    </row>
    <row r="127" ht="15.75" customHeight="1">
      <c r="A127" s="116">
        <v>46185.0</v>
      </c>
      <c r="B127" s="115" t="s">
        <v>8</v>
      </c>
      <c r="C127" s="115" t="s">
        <v>133</v>
      </c>
      <c r="D127" s="115">
        <v>413.0</v>
      </c>
      <c r="E127" s="115">
        <v>0.51</v>
      </c>
      <c r="F127" s="115">
        <v>1595.46</v>
      </c>
      <c r="G127" s="115">
        <v>3.8631</v>
      </c>
      <c r="H127" s="115">
        <v>20.58</v>
      </c>
      <c r="I127" s="115">
        <v>18.7701</v>
      </c>
      <c r="J127" s="115">
        <v>249.24</v>
      </c>
      <c r="K127" s="115">
        <v>151.61</v>
      </c>
      <c r="L127" s="115">
        <v>130.41</v>
      </c>
      <c r="M127" s="115">
        <v>0.8602</v>
      </c>
      <c r="N127" s="115">
        <v>0.2701</v>
      </c>
      <c r="O127" s="115">
        <v>0.1911</v>
      </c>
      <c r="P127" s="115">
        <v>1.1626</v>
      </c>
      <c r="Q127" s="115">
        <v>813.82</v>
      </c>
      <c r="R127" s="115">
        <v>537.09</v>
      </c>
      <c r="S127" s="115">
        <v>276.73</v>
      </c>
      <c r="T127" s="115">
        <v>264.41</v>
      </c>
      <c r="U127" s="115">
        <v>549.41</v>
      </c>
      <c r="V127" s="115">
        <v>869.98</v>
      </c>
      <c r="W127" s="115">
        <v>5.7384</v>
      </c>
      <c r="X127" s="115">
        <v>32.49</v>
      </c>
      <c r="Y127" s="115">
        <v>374.0</v>
      </c>
      <c r="Z127" s="115">
        <v>3089.0</v>
      </c>
      <c r="AA127" s="115">
        <v>10361.0</v>
      </c>
      <c r="AB127" s="115">
        <v>62.6115</v>
      </c>
      <c r="AC127" s="115">
        <v>0.8847</v>
      </c>
      <c r="AD127" s="115">
        <v>92.53</v>
      </c>
      <c r="AE127" s="115">
        <v>39.0</v>
      </c>
      <c r="AF127" s="115">
        <v>80.0</v>
      </c>
      <c r="AG127" s="115">
        <v>127.0</v>
      </c>
      <c r="AH127" s="115">
        <v>174.0</v>
      </c>
      <c r="AI127" s="115">
        <v>49.39</v>
      </c>
      <c r="AJ127" s="115">
        <v>9.69</v>
      </c>
      <c r="AK127" s="115">
        <v>2.18</v>
      </c>
      <c r="AL127" s="115">
        <v>0.1259</v>
      </c>
      <c r="AQ127" s="115">
        <v>38.6053</v>
      </c>
      <c r="AR127" s="115">
        <v>3.6271</v>
      </c>
      <c r="AS127" s="115">
        <v>34.9782</v>
      </c>
      <c r="AT127" s="115">
        <v>39.0242</v>
      </c>
      <c r="AU127" s="115">
        <v>0.2574</v>
      </c>
    </row>
    <row r="128" ht="15.75" customHeight="1">
      <c r="A128" s="116">
        <v>46185.0</v>
      </c>
      <c r="B128" s="115" t="s">
        <v>9</v>
      </c>
      <c r="C128" s="115" t="s">
        <v>128</v>
      </c>
      <c r="D128" s="115">
        <v>15649.0</v>
      </c>
      <c r="E128" s="115">
        <v>19.32</v>
      </c>
      <c r="F128" s="115">
        <v>116.05</v>
      </c>
      <c r="G128" s="115">
        <v>0.0074</v>
      </c>
      <c r="H128" s="115">
        <v>0.17</v>
      </c>
      <c r="I128" s="115">
        <v>4.4635</v>
      </c>
      <c r="J128" s="115">
        <v>6.24</v>
      </c>
      <c r="K128" s="115">
        <v>2.57</v>
      </c>
      <c r="L128" s="115">
        <v>0.07</v>
      </c>
      <c r="M128" s="115">
        <v>0.0276</v>
      </c>
      <c r="N128" s="115">
        <v>0.9763</v>
      </c>
      <c r="O128" s="115">
        <v>0.7212</v>
      </c>
      <c r="P128" s="115">
        <v>36.1748</v>
      </c>
      <c r="Q128" s="115">
        <v>27.43</v>
      </c>
      <c r="R128" s="115">
        <v>27.36</v>
      </c>
      <c r="S128" s="115">
        <v>0.07</v>
      </c>
      <c r="T128" s="115">
        <v>0.5</v>
      </c>
      <c r="U128" s="115">
        <v>26.92</v>
      </c>
      <c r="V128" s="115">
        <v>1.84</v>
      </c>
      <c r="W128" s="115">
        <v>0.7172</v>
      </c>
      <c r="X128" s="115">
        <v>1.84</v>
      </c>
      <c r="Y128" s="115">
        <v>227.0</v>
      </c>
      <c r="Z128" s="115">
        <v>2694.0</v>
      </c>
      <c r="AA128" s="115">
        <v>12632.0</v>
      </c>
      <c r="AB128" s="115">
        <v>49.5159</v>
      </c>
      <c r="AC128" s="115">
        <v>0.5316</v>
      </c>
      <c r="AI128" s="115">
        <v>0.0</v>
      </c>
      <c r="AJ128" s="115">
        <v>0.0</v>
      </c>
      <c r="AK128" s="115">
        <v>0.0</v>
      </c>
      <c r="AL128" s="115">
        <v>0.3028</v>
      </c>
      <c r="AM128" s="115">
        <v>0.29</v>
      </c>
      <c r="AN128" s="115">
        <v>0.29</v>
      </c>
      <c r="AO128" s="115">
        <v>0.17</v>
      </c>
      <c r="AP128" s="115">
        <v>0.08</v>
      </c>
      <c r="AQ128" s="115">
        <v>1.7953</v>
      </c>
      <c r="AR128" s="115">
        <v>0.0096</v>
      </c>
      <c r="AS128" s="115">
        <v>1.7857</v>
      </c>
      <c r="AT128" s="115">
        <v>0.4772</v>
      </c>
      <c r="AU128" s="115">
        <v>0.186</v>
      </c>
    </row>
    <row r="129" ht="15.75" customHeight="1">
      <c r="A129" s="116">
        <v>46185.0</v>
      </c>
      <c r="B129" s="115" t="s">
        <v>9</v>
      </c>
      <c r="C129" s="115" t="s">
        <v>129</v>
      </c>
      <c r="D129" s="115">
        <v>31567.0</v>
      </c>
      <c r="E129" s="115">
        <v>38.96</v>
      </c>
      <c r="F129" s="115">
        <v>3285.29</v>
      </c>
      <c r="G129" s="115">
        <v>0.1041</v>
      </c>
      <c r="H129" s="115">
        <v>3.19</v>
      </c>
      <c r="I129" s="115">
        <v>3.2625</v>
      </c>
      <c r="J129" s="115">
        <v>33.6</v>
      </c>
      <c r="K129" s="115">
        <v>16.51</v>
      </c>
      <c r="L129" s="115">
        <v>5.87</v>
      </c>
      <c r="M129" s="115">
        <v>0.3555</v>
      </c>
      <c r="N129" s="115">
        <v>0.7552</v>
      </c>
      <c r="O129" s="115">
        <v>0.5198</v>
      </c>
      <c r="P129" s="115">
        <v>2.8131</v>
      </c>
      <c r="Q129" s="115">
        <v>69.74</v>
      </c>
      <c r="R129" s="115">
        <v>65.31</v>
      </c>
      <c r="S129" s="115">
        <v>4.43</v>
      </c>
      <c r="T129" s="115">
        <v>7.0</v>
      </c>
      <c r="U129" s="115">
        <v>62.75</v>
      </c>
      <c r="V129" s="115">
        <v>60.28</v>
      </c>
      <c r="W129" s="115">
        <v>3.6505</v>
      </c>
      <c r="X129" s="115">
        <v>10.03</v>
      </c>
      <c r="Y129" s="115">
        <v>103.0</v>
      </c>
      <c r="Z129" s="115">
        <v>395.0</v>
      </c>
      <c r="AA129" s="115">
        <v>3007.0</v>
      </c>
      <c r="AB129" s="115">
        <v>49.2076</v>
      </c>
      <c r="AC129" s="115">
        <v>0.4903</v>
      </c>
      <c r="AD129" s="115">
        <v>3.93</v>
      </c>
      <c r="AE129" s="115">
        <v>1.0</v>
      </c>
      <c r="AF129" s="115">
        <v>3.0</v>
      </c>
      <c r="AG129" s="115">
        <v>5.0</v>
      </c>
      <c r="AH129" s="115">
        <v>9.0</v>
      </c>
      <c r="AI129" s="115">
        <v>71.47</v>
      </c>
      <c r="AJ129" s="115">
        <v>29.64</v>
      </c>
      <c r="AK129" s="115">
        <v>8.39</v>
      </c>
      <c r="AL129" s="115">
        <v>0.2584</v>
      </c>
      <c r="AM129" s="115">
        <v>59.53</v>
      </c>
      <c r="AN129" s="115">
        <v>59.53</v>
      </c>
      <c r="AO129" s="115">
        <v>26.46</v>
      </c>
      <c r="AP129" s="115">
        <v>8.19</v>
      </c>
      <c r="AQ129" s="115">
        <v>5.0601</v>
      </c>
      <c r="AR129" s="115">
        <v>0.0942</v>
      </c>
      <c r="AS129" s="115">
        <v>4.9659</v>
      </c>
      <c r="AT129" s="115">
        <v>3.948</v>
      </c>
      <c r="AU129" s="115">
        <v>0.2391</v>
      </c>
    </row>
    <row r="130" ht="15.75" customHeight="1">
      <c r="A130" s="116">
        <v>46185.0</v>
      </c>
      <c r="B130" s="115" t="s">
        <v>9</v>
      </c>
      <c r="C130" s="115" t="s">
        <v>130</v>
      </c>
      <c r="D130" s="115">
        <v>18639.0</v>
      </c>
      <c r="E130" s="115">
        <v>23.01</v>
      </c>
      <c r="F130" s="115">
        <v>6963.78</v>
      </c>
      <c r="G130" s="115">
        <v>0.3736</v>
      </c>
      <c r="H130" s="115">
        <v>8.24</v>
      </c>
      <c r="I130" s="115">
        <v>4.5367</v>
      </c>
      <c r="J130" s="115">
        <v>59.68</v>
      </c>
      <c r="K130" s="115">
        <v>30.51</v>
      </c>
      <c r="L130" s="115">
        <v>14.46</v>
      </c>
      <c r="M130" s="115">
        <v>0.4741</v>
      </c>
      <c r="N130" s="115">
        <v>0.6541</v>
      </c>
      <c r="O130" s="115">
        <v>0.4143</v>
      </c>
      <c r="P130" s="115">
        <v>2.1094</v>
      </c>
      <c r="Q130" s="115">
        <v>131.66</v>
      </c>
      <c r="R130" s="115">
        <v>120.88</v>
      </c>
      <c r="S130" s="115">
        <v>10.78</v>
      </c>
      <c r="T130" s="115">
        <v>24.09</v>
      </c>
      <c r="U130" s="115">
        <v>107.56</v>
      </c>
      <c r="V130" s="115">
        <v>123.26</v>
      </c>
      <c r="W130" s="115">
        <v>4.0397</v>
      </c>
      <c r="X130" s="115">
        <v>18.3</v>
      </c>
      <c r="Y130" s="115">
        <v>100.0</v>
      </c>
      <c r="Z130" s="115">
        <v>369.0</v>
      </c>
      <c r="AA130" s="115">
        <v>2659.0</v>
      </c>
      <c r="AB130" s="115">
        <v>52.3238</v>
      </c>
      <c r="AC130" s="115">
        <v>0.5963</v>
      </c>
      <c r="AD130" s="115">
        <v>9.43</v>
      </c>
      <c r="AE130" s="115">
        <v>4.0</v>
      </c>
      <c r="AF130" s="115">
        <v>7.0</v>
      </c>
      <c r="AG130" s="115">
        <v>13.0</v>
      </c>
      <c r="AH130" s="115">
        <v>20.0</v>
      </c>
      <c r="AI130" s="115">
        <v>60.34</v>
      </c>
      <c r="AJ130" s="115">
        <v>25.99</v>
      </c>
      <c r="AK130" s="115">
        <v>5.01</v>
      </c>
      <c r="AL130" s="115">
        <v>0.2159</v>
      </c>
      <c r="AM130" s="115">
        <v>65.56</v>
      </c>
      <c r="AN130" s="115">
        <v>65.56</v>
      </c>
      <c r="AO130" s="115">
        <v>39.51</v>
      </c>
      <c r="AP130" s="115">
        <v>18.77</v>
      </c>
      <c r="AQ130" s="115">
        <v>8.5472</v>
      </c>
      <c r="AR130" s="115">
        <v>0.3185</v>
      </c>
      <c r="AS130" s="115">
        <v>8.2287</v>
      </c>
      <c r="AT130" s="115">
        <v>7.2511</v>
      </c>
      <c r="AU130" s="115">
        <v>0.2377</v>
      </c>
    </row>
    <row r="131" ht="15.75" customHeight="1">
      <c r="A131" s="116">
        <v>46185.0</v>
      </c>
      <c r="B131" s="115" t="s">
        <v>9</v>
      </c>
      <c r="C131" s="115" t="s">
        <v>131</v>
      </c>
      <c r="D131" s="115">
        <v>10423.0</v>
      </c>
      <c r="E131" s="115">
        <v>12.87</v>
      </c>
      <c r="F131" s="115">
        <v>8406.36</v>
      </c>
      <c r="G131" s="115">
        <v>0.8065</v>
      </c>
      <c r="H131" s="115">
        <v>12.2</v>
      </c>
      <c r="I131" s="115">
        <v>6.6088</v>
      </c>
      <c r="J131" s="115">
        <v>82.62</v>
      </c>
      <c r="K131" s="115">
        <v>44.46</v>
      </c>
      <c r="L131" s="115">
        <v>26.42</v>
      </c>
      <c r="M131" s="115">
        <v>0.5941</v>
      </c>
      <c r="N131" s="115">
        <v>0.5415</v>
      </c>
      <c r="O131" s="115">
        <v>0.3356</v>
      </c>
      <c r="P131" s="115">
        <v>1.6832</v>
      </c>
      <c r="Q131" s="115">
        <v>211.01</v>
      </c>
      <c r="R131" s="115">
        <v>190.37</v>
      </c>
      <c r="S131" s="115">
        <v>20.64</v>
      </c>
      <c r="T131" s="115">
        <v>50.83</v>
      </c>
      <c r="U131" s="115">
        <v>160.18</v>
      </c>
      <c r="V131" s="115">
        <v>210.84</v>
      </c>
      <c r="W131" s="115">
        <v>4.7419</v>
      </c>
      <c r="X131" s="115">
        <v>24.09</v>
      </c>
      <c r="Y131" s="115">
        <v>110.0</v>
      </c>
      <c r="Z131" s="115">
        <v>504.0</v>
      </c>
      <c r="AA131" s="115">
        <v>3619.0</v>
      </c>
      <c r="AB131" s="115">
        <v>55.4281</v>
      </c>
      <c r="AC131" s="115">
        <v>0.7083</v>
      </c>
      <c r="AD131" s="115">
        <v>17.79</v>
      </c>
      <c r="AE131" s="115">
        <v>7.0</v>
      </c>
      <c r="AF131" s="115">
        <v>14.0</v>
      </c>
      <c r="AG131" s="115">
        <v>25.0</v>
      </c>
      <c r="AH131" s="115">
        <v>37.0</v>
      </c>
      <c r="AI131" s="115">
        <v>59.58</v>
      </c>
      <c r="AJ131" s="115">
        <v>23.33</v>
      </c>
      <c r="AK131" s="115">
        <v>7.42</v>
      </c>
      <c r="AL131" s="115">
        <v>0.2031</v>
      </c>
      <c r="AM131" s="115">
        <v>62.8</v>
      </c>
      <c r="AN131" s="115">
        <v>62.8</v>
      </c>
      <c r="AO131" s="115">
        <v>38.68</v>
      </c>
      <c r="AP131" s="115">
        <v>19.12</v>
      </c>
      <c r="AQ131" s="115">
        <v>12.3837</v>
      </c>
      <c r="AR131" s="115">
        <v>0.6808</v>
      </c>
      <c r="AS131" s="115">
        <v>11.7029</v>
      </c>
      <c r="AT131" s="115">
        <v>10.9596</v>
      </c>
      <c r="AU131" s="115">
        <v>0.2465</v>
      </c>
    </row>
    <row r="132" ht="15.75" customHeight="1">
      <c r="A132" s="116">
        <v>46185.0</v>
      </c>
      <c r="B132" s="115" t="s">
        <v>9</v>
      </c>
      <c r="C132" s="115" t="s">
        <v>132</v>
      </c>
      <c r="D132" s="115">
        <v>4244.0</v>
      </c>
      <c r="E132" s="115">
        <v>5.24</v>
      </c>
      <c r="F132" s="115">
        <v>8333.74</v>
      </c>
      <c r="G132" s="115">
        <v>1.9637</v>
      </c>
      <c r="H132" s="115">
        <v>14.99</v>
      </c>
      <c r="I132" s="115">
        <v>13.1034</v>
      </c>
      <c r="J132" s="115">
        <v>130.74</v>
      </c>
      <c r="K132" s="115">
        <v>73.29</v>
      </c>
      <c r="L132" s="115">
        <v>53.8</v>
      </c>
      <c r="M132" s="115">
        <v>0.734</v>
      </c>
      <c r="N132" s="115">
        <v>0.4073</v>
      </c>
      <c r="O132" s="115">
        <v>0.2612</v>
      </c>
      <c r="P132" s="115">
        <v>1.3623</v>
      </c>
      <c r="Q132" s="115">
        <v>381.75</v>
      </c>
      <c r="R132" s="115">
        <v>340.7</v>
      </c>
      <c r="S132" s="115">
        <v>41.05</v>
      </c>
      <c r="T132" s="115">
        <v>120.46</v>
      </c>
      <c r="U132" s="115">
        <v>261.29</v>
      </c>
      <c r="V132" s="115">
        <v>411.71</v>
      </c>
      <c r="W132" s="115">
        <v>5.6176</v>
      </c>
      <c r="X132" s="115">
        <v>31.56</v>
      </c>
      <c r="Y132" s="115">
        <v>163.0</v>
      </c>
      <c r="Z132" s="115">
        <v>1080.0</v>
      </c>
      <c r="AA132" s="115">
        <v>6532.0</v>
      </c>
      <c r="AB132" s="115">
        <v>59.2445</v>
      </c>
      <c r="AC132" s="115">
        <v>0.815</v>
      </c>
      <c r="AD132" s="115">
        <v>37.07</v>
      </c>
      <c r="AE132" s="115">
        <v>14.0</v>
      </c>
      <c r="AF132" s="115">
        <v>28.0</v>
      </c>
      <c r="AG132" s="115">
        <v>51.0</v>
      </c>
      <c r="AH132" s="115">
        <v>78.0</v>
      </c>
      <c r="AI132" s="115">
        <v>51.39</v>
      </c>
      <c r="AJ132" s="115">
        <v>19.49</v>
      </c>
      <c r="AK132" s="115">
        <v>5.49</v>
      </c>
      <c r="AL132" s="115">
        <v>0.1704</v>
      </c>
      <c r="AM132" s="115">
        <v>62.3</v>
      </c>
      <c r="AN132" s="115">
        <v>62.3</v>
      </c>
      <c r="AO132" s="115">
        <v>39.33</v>
      </c>
      <c r="AP132" s="115">
        <v>25.28</v>
      </c>
      <c r="AQ132" s="115">
        <v>20.5108</v>
      </c>
      <c r="AR132" s="115">
        <v>1.75</v>
      </c>
      <c r="AS132" s="115">
        <v>18.7608</v>
      </c>
      <c r="AT132" s="115">
        <v>18.9767</v>
      </c>
      <c r="AU132" s="115">
        <v>0.2589</v>
      </c>
    </row>
    <row r="133" ht="15.75" customHeight="1">
      <c r="A133" s="116">
        <v>46185.0</v>
      </c>
      <c r="B133" s="115" t="s">
        <v>9</v>
      </c>
      <c r="C133" s="115" t="s">
        <v>133</v>
      </c>
      <c r="D133" s="115">
        <v>496.0</v>
      </c>
      <c r="E133" s="115">
        <v>0.61</v>
      </c>
      <c r="F133" s="115">
        <v>2356.63</v>
      </c>
      <c r="G133" s="115">
        <v>4.7513</v>
      </c>
      <c r="H133" s="115">
        <v>17.54</v>
      </c>
      <c r="I133" s="115">
        <v>27.0877</v>
      </c>
      <c r="J133" s="115">
        <v>259.71</v>
      </c>
      <c r="K133" s="115">
        <v>151.03</v>
      </c>
      <c r="L133" s="115">
        <v>126.35</v>
      </c>
      <c r="M133" s="115">
        <v>0.8365</v>
      </c>
      <c r="N133" s="115">
        <v>0.302</v>
      </c>
      <c r="O133" s="115">
        <v>0.2081</v>
      </c>
      <c r="P133" s="115">
        <v>1.1954</v>
      </c>
      <c r="Q133" s="115">
        <v>792.34</v>
      </c>
      <c r="R133" s="115">
        <v>696.3</v>
      </c>
      <c r="S133" s="115">
        <v>96.04</v>
      </c>
      <c r="T133" s="115">
        <v>289.36</v>
      </c>
      <c r="U133" s="115">
        <v>502.98</v>
      </c>
      <c r="V133" s="115">
        <v>894.35</v>
      </c>
      <c r="W133" s="115">
        <v>5.9215</v>
      </c>
      <c r="X133" s="115">
        <v>36.52</v>
      </c>
      <c r="Y133" s="115">
        <v>427.0</v>
      </c>
      <c r="Z133" s="115">
        <v>2610.0</v>
      </c>
      <c r="AA133" s="115">
        <v>9564.0</v>
      </c>
      <c r="AB133" s="115">
        <v>62.7378</v>
      </c>
      <c r="AC133" s="115">
        <v>0.883</v>
      </c>
      <c r="AD133" s="115">
        <v>86.46</v>
      </c>
      <c r="AE133" s="115">
        <v>36.0</v>
      </c>
      <c r="AF133" s="115">
        <v>78.0</v>
      </c>
      <c r="AG133" s="115">
        <v>124.0</v>
      </c>
      <c r="AH133" s="115">
        <v>170.0</v>
      </c>
      <c r="AI133" s="115">
        <v>49.6</v>
      </c>
      <c r="AJ133" s="115">
        <v>8.47</v>
      </c>
      <c r="AK133" s="115">
        <v>0.81</v>
      </c>
      <c r="AL133" s="115">
        <v>0.1028</v>
      </c>
      <c r="AM133" s="115">
        <v>66.73</v>
      </c>
      <c r="AN133" s="115">
        <v>66.73</v>
      </c>
      <c r="AO133" s="115">
        <v>41.94</v>
      </c>
      <c r="AP133" s="115">
        <v>29.03</v>
      </c>
      <c r="AQ133" s="115">
        <v>38.6048</v>
      </c>
      <c r="AR133" s="115">
        <v>3.9052</v>
      </c>
      <c r="AS133" s="115">
        <v>34.6996</v>
      </c>
      <c r="AT133" s="115">
        <v>38.2883</v>
      </c>
      <c r="AU133" s="115">
        <v>0.2535</v>
      </c>
    </row>
    <row r="134" ht="15.75" customHeight="1">
      <c r="A134" s="116">
        <v>46186.0</v>
      </c>
      <c r="B134" s="115" t="s">
        <v>8</v>
      </c>
      <c r="C134" s="115" t="s">
        <v>128</v>
      </c>
      <c r="D134" s="115">
        <v>15994.0</v>
      </c>
      <c r="E134" s="115">
        <v>20.17</v>
      </c>
      <c r="F134" s="115">
        <v>124.78</v>
      </c>
      <c r="G134" s="115">
        <v>0.0078</v>
      </c>
      <c r="H134" s="115">
        <v>0.12</v>
      </c>
      <c r="I134" s="115">
        <v>6.5674</v>
      </c>
      <c r="J134" s="115">
        <v>6.44</v>
      </c>
      <c r="K134" s="115">
        <v>2.73</v>
      </c>
      <c r="L134" s="115">
        <v>0.03</v>
      </c>
      <c r="M134" s="115">
        <v>0.0118</v>
      </c>
      <c r="N134" s="115">
        <v>0.9899</v>
      </c>
      <c r="O134" s="115">
        <v>0.8578</v>
      </c>
      <c r="P134" s="115">
        <v>84.8738</v>
      </c>
      <c r="Q134" s="115">
        <v>25.96</v>
      </c>
      <c r="R134" s="115">
        <v>25.9</v>
      </c>
      <c r="S134" s="115">
        <v>0.06</v>
      </c>
      <c r="T134" s="115">
        <v>0.54</v>
      </c>
      <c r="U134" s="115">
        <v>25.42</v>
      </c>
      <c r="V134" s="115">
        <v>2.19</v>
      </c>
      <c r="W134" s="115">
        <v>0.803</v>
      </c>
      <c r="X134" s="115">
        <v>2.08</v>
      </c>
      <c r="Y134" s="115">
        <v>208.0</v>
      </c>
      <c r="Z134" s="115">
        <v>2449.0</v>
      </c>
      <c r="AA134" s="115">
        <v>12708.0</v>
      </c>
      <c r="AB134" s="115">
        <v>49.3504</v>
      </c>
      <c r="AC134" s="115">
        <v>0.5185</v>
      </c>
      <c r="AI134" s="115">
        <v>0.0</v>
      </c>
      <c r="AJ134" s="115">
        <v>0.0</v>
      </c>
      <c r="AK134" s="115">
        <v>0.0</v>
      </c>
      <c r="AL134" s="115">
        <v>0.2749</v>
      </c>
      <c r="AQ134" s="115">
        <v>1.1185</v>
      </c>
      <c r="AR134" s="115">
        <v>0.0103</v>
      </c>
      <c r="AS134" s="115">
        <v>1.1082</v>
      </c>
      <c r="AT134" s="115">
        <v>0.4158</v>
      </c>
      <c r="AU134" s="115">
        <v>0.1522</v>
      </c>
    </row>
    <row r="135" ht="15.75" customHeight="1">
      <c r="A135" s="116">
        <v>46186.0</v>
      </c>
      <c r="B135" s="115" t="s">
        <v>8</v>
      </c>
      <c r="C135" s="115" t="s">
        <v>129</v>
      </c>
      <c r="D135" s="115">
        <v>31187.0</v>
      </c>
      <c r="E135" s="115">
        <v>39.34</v>
      </c>
      <c r="F135" s="115">
        <v>3406.69</v>
      </c>
      <c r="G135" s="115">
        <v>0.1092</v>
      </c>
      <c r="H135" s="115">
        <v>3.18</v>
      </c>
      <c r="I135" s="115">
        <v>3.4342</v>
      </c>
      <c r="J135" s="115">
        <v>30.69</v>
      </c>
      <c r="K135" s="115">
        <v>15.18</v>
      </c>
      <c r="L135" s="115">
        <v>5.68</v>
      </c>
      <c r="M135" s="115">
        <v>0.3742</v>
      </c>
      <c r="N135" s="115">
        <v>0.7473</v>
      </c>
      <c r="O135" s="115">
        <v>0.5224</v>
      </c>
      <c r="P135" s="115">
        <v>2.6726</v>
      </c>
      <c r="Q135" s="115">
        <v>63.52</v>
      </c>
      <c r="R135" s="115">
        <v>51.79</v>
      </c>
      <c r="S135" s="115">
        <v>11.73</v>
      </c>
      <c r="T135" s="115">
        <v>7.14</v>
      </c>
      <c r="U135" s="115">
        <v>56.37</v>
      </c>
      <c r="V135" s="115">
        <v>65.21</v>
      </c>
      <c r="W135" s="115">
        <v>4.2958</v>
      </c>
      <c r="X135" s="115">
        <v>11.25</v>
      </c>
      <c r="Y135" s="115">
        <v>109.0</v>
      </c>
      <c r="Z135" s="115">
        <v>436.0</v>
      </c>
      <c r="AA135" s="115">
        <v>3429.0</v>
      </c>
      <c r="AB135" s="115">
        <v>49.1977</v>
      </c>
      <c r="AC135" s="115">
        <v>0.4948</v>
      </c>
      <c r="AD135" s="115">
        <v>3.9</v>
      </c>
      <c r="AE135" s="115">
        <v>1.0</v>
      </c>
      <c r="AF135" s="115">
        <v>2.0</v>
      </c>
      <c r="AG135" s="115">
        <v>5.0</v>
      </c>
      <c r="AH135" s="115">
        <v>9.0</v>
      </c>
      <c r="AI135" s="115">
        <v>70.77</v>
      </c>
      <c r="AJ135" s="115">
        <v>28.91</v>
      </c>
      <c r="AK135" s="115">
        <v>8.33</v>
      </c>
      <c r="AL135" s="115">
        <v>0.2311</v>
      </c>
      <c r="AQ135" s="115">
        <v>3.3457</v>
      </c>
      <c r="AR135" s="115">
        <v>0.0932</v>
      </c>
      <c r="AS135" s="115">
        <v>3.2524</v>
      </c>
      <c r="AT135" s="115">
        <v>3.4166</v>
      </c>
      <c r="AU135" s="115">
        <v>0.2251</v>
      </c>
    </row>
    <row r="136" ht="15.75" customHeight="1">
      <c r="A136" s="116">
        <v>46186.0</v>
      </c>
      <c r="B136" s="115" t="s">
        <v>8</v>
      </c>
      <c r="C136" s="115" t="s">
        <v>130</v>
      </c>
      <c r="D136" s="115">
        <v>17894.0</v>
      </c>
      <c r="E136" s="115">
        <v>22.57</v>
      </c>
      <c r="F136" s="115">
        <v>7049.1</v>
      </c>
      <c r="G136" s="115">
        <v>0.3939</v>
      </c>
      <c r="H136" s="115">
        <v>8.24</v>
      </c>
      <c r="I136" s="115">
        <v>4.7823</v>
      </c>
      <c r="J136" s="115">
        <v>53.9</v>
      </c>
      <c r="K136" s="115">
        <v>27.67</v>
      </c>
      <c r="L136" s="115">
        <v>13.86</v>
      </c>
      <c r="M136" s="115">
        <v>0.5009</v>
      </c>
      <c r="N136" s="115">
        <v>0.64</v>
      </c>
      <c r="O136" s="115">
        <v>0.4171</v>
      </c>
      <c r="P136" s="115">
        <v>1.9966</v>
      </c>
      <c r="Q136" s="115">
        <v>128.44</v>
      </c>
      <c r="R136" s="115">
        <v>99.26</v>
      </c>
      <c r="S136" s="115">
        <v>29.18</v>
      </c>
      <c r="T136" s="115">
        <v>25.19</v>
      </c>
      <c r="U136" s="115">
        <v>103.25</v>
      </c>
      <c r="V136" s="115">
        <v>130.82</v>
      </c>
      <c r="W136" s="115">
        <v>4.7283</v>
      </c>
      <c r="X136" s="115">
        <v>19.61</v>
      </c>
      <c r="Y136" s="115">
        <v>108.0</v>
      </c>
      <c r="Z136" s="115">
        <v>443.0</v>
      </c>
      <c r="AA136" s="115">
        <v>3119.0</v>
      </c>
      <c r="AB136" s="115">
        <v>52.7641</v>
      </c>
      <c r="AC136" s="115">
        <v>0.6146</v>
      </c>
      <c r="AD136" s="115">
        <v>9.41</v>
      </c>
      <c r="AE136" s="115">
        <v>3.0</v>
      </c>
      <c r="AF136" s="115">
        <v>7.0</v>
      </c>
      <c r="AG136" s="115">
        <v>13.0</v>
      </c>
      <c r="AH136" s="115">
        <v>20.0</v>
      </c>
      <c r="AI136" s="115">
        <v>59.73</v>
      </c>
      <c r="AJ136" s="115">
        <v>26.39</v>
      </c>
      <c r="AK136" s="115">
        <v>4.83</v>
      </c>
      <c r="AL136" s="115">
        <v>0.2039</v>
      </c>
      <c r="AQ136" s="115">
        <v>6.3278</v>
      </c>
      <c r="AR136" s="115">
        <v>0.3228</v>
      </c>
      <c r="AS136" s="115">
        <v>6.0049</v>
      </c>
      <c r="AT136" s="115">
        <v>6.3745</v>
      </c>
      <c r="AU136" s="115">
        <v>0.2304</v>
      </c>
    </row>
    <row r="137" ht="15.75" customHeight="1">
      <c r="A137" s="116">
        <v>46186.0</v>
      </c>
      <c r="B137" s="115" t="s">
        <v>8</v>
      </c>
      <c r="C137" s="115" t="s">
        <v>131</v>
      </c>
      <c r="D137" s="115">
        <v>9938.0</v>
      </c>
      <c r="E137" s="115">
        <v>12.53</v>
      </c>
      <c r="F137" s="115">
        <v>7901.41</v>
      </c>
      <c r="G137" s="115">
        <v>0.7951</v>
      </c>
      <c r="H137" s="115">
        <v>11.3</v>
      </c>
      <c r="I137" s="115">
        <v>7.036</v>
      </c>
      <c r="J137" s="115">
        <v>77.34</v>
      </c>
      <c r="K137" s="115">
        <v>41.61</v>
      </c>
      <c r="L137" s="115">
        <v>25.91</v>
      </c>
      <c r="M137" s="115">
        <v>0.6226</v>
      </c>
      <c r="N137" s="115">
        <v>0.5232</v>
      </c>
      <c r="O137" s="115">
        <v>0.3364</v>
      </c>
      <c r="P137" s="115">
        <v>1.6062</v>
      </c>
      <c r="Q137" s="115">
        <v>213.79</v>
      </c>
      <c r="R137" s="115">
        <v>158.52</v>
      </c>
      <c r="S137" s="115">
        <v>55.27</v>
      </c>
      <c r="T137" s="115">
        <v>48.63</v>
      </c>
      <c r="U137" s="115">
        <v>165.16</v>
      </c>
      <c r="V137" s="115">
        <v>220.83</v>
      </c>
      <c r="W137" s="115">
        <v>5.307</v>
      </c>
      <c r="X137" s="115">
        <v>22.75</v>
      </c>
      <c r="Y137" s="115">
        <v>121.0</v>
      </c>
      <c r="Z137" s="115">
        <v>525.0</v>
      </c>
      <c r="AA137" s="115">
        <v>3753.0</v>
      </c>
      <c r="AB137" s="115">
        <v>55.5244</v>
      </c>
      <c r="AC137" s="115">
        <v>0.7169</v>
      </c>
      <c r="AD137" s="115">
        <v>17.56</v>
      </c>
      <c r="AE137" s="115">
        <v>7.0</v>
      </c>
      <c r="AF137" s="115">
        <v>13.0</v>
      </c>
      <c r="AG137" s="115">
        <v>24.0</v>
      </c>
      <c r="AH137" s="115">
        <v>37.0</v>
      </c>
      <c r="AI137" s="115">
        <v>58.57</v>
      </c>
      <c r="AJ137" s="115">
        <v>23.07</v>
      </c>
      <c r="AK137" s="115">
        <v>6.99</v>
      </c>
      <c r="AL137" s="115">
        <v>0.1893</v>
      </c>
      <c r="AQ137" s="115">
        <v>9.8265</v>
      </c>
      <c r="AR137" s="115">
        <v>0.6397</v>
      </c>
      <c r="AS137" s="115">
        <v>9.1869</v>
      </c>
      <c r="AT137" s="115">
        <v>10.0704</v>
      </c>
      <c r="AU137" s="115">
        <v>0.242</v>
      </c>
    </row>
    <row r="138" ht="15.75" customHeight="1">
      <c r="A138" s="116">
        <v>46186.0</v>
      </c>
      <c r="B138" s="115" t="s">
        <v>8</v>
      </c>
      <c r="C138" s="115" t="s">
        <v>132</v>
      </c>
      <c r="D138" s="115">
        <v>3833.0</v>
      </c>
      <c r="E138" s="115">
        <v>4.83</v>
      </c>
      <c r="F138" s="115">
        <v>7405.95</v>
      </c>
      <c r="G138" s="115">
        <v>1.9322</v>
      </c>
      <c r="H138" s="115">
        <v>14.61</v>
      </c>
      <c r="I138" s="115">
        <v>13.2249</v>
      </c>
      <c r="J138" s="115">
        <v>125.77</v>
      </c>
      <c r="K138" s="115">
        <v>71.48</v>
      </c>
      <c r="L138" s="115">
        <v>54.65</v>
      </c>
      <c r="M138" s="115">
        <v>0.7645</v>
      </c>
      <c r="N138" s="115">
        <v>0.387</v>
      </c>
      <c r="O138" s="115">
        <v>0.2605</v>
      </c>
      <c r="P138" s="115">
        <v>1.308</v>
      </c>
      <c r="Q138" s="115">
        <v>422.72</v>
      </c>
      <c r="R138" s="115">
        <v>307.44</v>
      </c>
      <c r="S138" s="115">
        <v>115.27</v>
      </c>
      <c r="T138" s="115">
        <v>115.22</v>
      </c>
      <c r="U138" s="115">
        <v>307.49</v>
      </c>
      <c r="V138" s="115">
        <v>435.69</v>
      </c>
      <c r="W138" s="115">
        <v>6.0951</v>
      </c>
      <c r="X138" s="115">
        <v>27.26</v>
      </c>
      <c r="Y138" s="115">
        <v>178.0</v>
      </c>
      <c r="Z138" s="115">
        <v>1215.0</v>
      </c>
      <c r="AA138" s="115">
        <v>6749.0</v>
      </c>
      <c r="AB138" s="115">
        <v>59.2403</v>
      </c>
      <c r="AC138" s="115">
        <v>0.8139</v>
      </c>
      <c r="AD138" s="115">
        <v>37.77</v>
      </c>
      <c r="AE138" s="115">
        <v>14.0</v>
      </c>
      <c r="AF138" s="115">
        <v>29.0</v>
      </c>
      <c r="AG138" s="115">
        <v>51.0</v>
      </c>
      <c r="AH138" s="115">
        <v>81.0</v>
      </c>
      <c r="AI138" s="115">
        <v>52.26</v>
      </c>
      <c r="AJ138" s="115">
        <v>19.7</v>
      </c>
      <c r="AK138" s="115">
        <v>4.85</v>
      </c>
      <c r="AL138" s="115">
        <v>0.1558</v>
      </c>
      <c r="AQ138" s="115">
        <v>16.5941</v>
      </c>
      <c r="AR138" s="115">
        <v>1.443</v>
      </c>
      <c r="AS138" s="115">
        <v>15.1511</v>
      </c>
      <c r="AT138" s="115">
        <v>17.923</v>
      </c>
      <c r="AU138" s="115">
        <v>0.2507</v>
      </c>
    </row>
    <row r="139" ht="15.75" customHeight="1">
      <c r="A139" s="116">
        <v>46186.0</v>
      </c>
      <c r="B139" s="115" t="s">
        <v>8</v>
      </c>
      <c r="C139" s="115" t="s">
        <v>133</v>
      </c>
      <c r="D139" s="115">
        <v>437.0</v>
      </c>
      <c r="E139" s="115">
        <v>0.55</v>
      </c>
      <c r="F139" s="115">
        <v>1660.57</v>
      </c>
      <c r="G139" s="115">
        <v>3.7999</v>
      </c>
      <c r="H139" s="115">
        <v>17.39</v>
      </c>
      <c r="I139" s="115">
        <v>21.8496</v>
      </c>
      <c r="J139" s="115">
        <v>225.72</v>
      </c>
      <c r="K139" s="115">
        <v>139.92</v>
      </c>
      <c r="L139" s="115">
        <v>121.0</v>
      </c>
      <c r="M139" s="115">
        <v>0.8647</v>
      </c>
      <c r="N139" s="115">
        <v>0.2659</v>
      </c>
      <c r="O139" s="115">
        <v>0.1914</v>
      </c>
      <c r="P139" s="115">
        <v>1.1564</v>
      </c>
      <c r="Q139" s="115">
        <v>854.17</v>
      </c>
      <c r="R139" s="115">
        <v>597.66</v>
      </c>
      <c r="S139" s="115">
        <v>256.51</v>
      </c>
      <c r="T139" s="115">
        <v>256.05</v>
      </c>
      <c r="U139" s="115">
        <v>598.12</v>
      </c>
      <c r="V139" s="115">
        <v>849.77</v>
      </c>
      <c r="W139" s="115">
        <v>6.0733</v>
      </c>
      <c r="X139" s="115">
        <v>29.98</v>
      </c>
      <c r="Y139" s="115">
        <v>392.0</v>
      </c>
      <c r="Z139" s="115">
        <v>2782.0</v>
      </c>
      <c r="AA139" s="115">
        <v>10143.0</v>
      </c>
      <c r="AB139" s="115">
        <v>62.6311</v>
      </c>
      <c r="AC139" s="115">
        <v>0.878</v>
      </c>
      <c r="AD139" s="115">
        <v>87.84</v>
      </c>
      <c r="AE139" s="115">
        <v>35.0</v>
      </c>
      <c r="AF139" s="115">
        <v>77.0</v>
      </c>
      <c r="AG139" s="115">
        <v>125.0</v>
      </c>
      <c r="AH139" s="115">
        <v>171.0</v>
      </c>
      <c r="AI139" s="115">
        <v>49.89</v>
      </c>
      <c r="AJ139" s="115">
        <v>9.38</v>
      </c>
      <c r="AK139" s="115">
        <v>1.14</v>
      </c>
      <c r="AL139" s="115">
        <v>0.1373</v>
      </c>
      <c r="AQ139" s="115">
        <v>31.5378</v>
      </c>
      <c r="AR139" s="115">
        <v>3.3135</v>
      </c>
      <c r="AS139" s="115">
        <v>28.2243</v>
      </c>
      <c r="AT139" s="115">
        <v>30.762</v>
      </c>
      <c r="AU139" s="115">
        <v>0.2199</v>
      </c>
    </row>
    <row r="140" ht="15.75" customHeight="1">
      <c r="A140" s="116">
        <v>46186.0</v>
      </c>
      <c r="B140" s="115" t="s">
        <v>9</v>
      </c>
      <c r="C140" s="115" t="s">
        <v>128</v>
      </c>
      <c r="D140" s="115">
        <v>16232.0</v>
      </c>
      <c r="E140" s="115">
        <v>20.49</v>
      </c>
      <c r="F140" s="115">
        <v>50.83</v>
      </c>
      <c r="G140" s="115">
        <v>0.0031</v>
      </c>
      <c r="H140" s="115">
        <v>0.1</v>
      </c>
      <c r="I140" s="115">
        <v>2.99</v>
      </c>
      <c r="J140" s="115">
        <v>6.29</v>
      </c>
      <c r="K140" s="115">
        <v>2.74</v>
      </c>
      <c r="L140" s="115">
        <v>0.04</v>
      </c>
      <c r="M140" s="115">
        <v>0.0153</v>
      </c>
      <c r="N140" s="115">
        <v>0.9864</v>
      </c>
      <c r="O140" s="115">
        <v>0.8042</v>
      </c>
      <c r="P140" s="115">
        <v>65.1757</v>
      </c>
      <c r="Q140" s="115">
        <v>21.51</v>
      </c>
      <c r="R140" s="115">
        <v>21.47</v>
      </c>
      <c r="S140" s="115">
        <v>0.04</v>
      </c>
      <c r="T140" s="115">
        <v>0.29</v>
      </c>
      <c r="U140" s="115">
        <v>21.22</v>
      </c>
      <c r="V140" s="115">
        <v>1.9</v>
      </c>
      <c r="W140" s="115">
        <v>0.6941</v>
      </c>
      <c r="X140" s="115">
        <v>1.33</v>
      </c>
      <c r="Y140" s="115">
        <v>200.0</v>
      </c>
      <c r="Z140" s="115">
        <v>1879.0</v>
      </c>
      <c r="AA140" s="115">
        <v>11684.0</v>
      </c>
      <c r="AB140" s="115">
        <v>49.374</v>
      </c>
      <c r="AC140" s="115">
        <v>0.5196</v>
      </c>
      <c r="AI140" s="115">
        <v>0.0</v>
      </c>
      <c r="AJ140" s="115">
        <v>0.0</v>
      </c>
      <c r="AK140" s="115">
        <v>0.0</v>
      </c>
      <c r="AL140" s="115">
        <v>0.2741</v>
      </c>
      <c r="AM140" s="115">
        <v>0.12</v>
      </c>
      <c r="AN140" s="115">
        <v>0.12</v>
      </c>
      <c r="AO140" s="115">
        <v>0.09</v>
      </c>
      <c r="AP140" s="115">
        <v>0.04</v>
      </c>
      <c r="AQ140" s="115">
        <v>1.1238</v>
      </c>
      <c r="AR140" s="115">
        <v>0.0043</v>
      </c>
      <c r="AS140" s="115">
        <v>1.1195</v>
      </c>
      <c r="AT140" s="115">
        <v>0.4392</v>
      </c>
      <c r="AU140" s="115">
        <v>0.1601</v>
      </c>
    </row>
    <row r="141" ht="15.75" customHeight="1">
      <c r="A141" s="116">
        <v>46186.0</v>
      </c>
      <c r="B141" s="115" t="s">
        <v>9</v>
      </c>
      <c r="C141" s="115" t="s">
        <v>129</v>
      </c>
      <c r="D141" s="115">
        <v>30077.0</v>
      </c>
      <c r="E141" s="115">
        <v>37.97</v>
      </c>
      <c r="F141" s="115">
        <v>3376.2</v>
      </c>
      <c r="G141" s="115">
        <v>0.1123</v>
      </c>
      <c r="H141" s="115">
        <v>3.26</v>
      </c>
      <c r="I141" s="115">
        <v>3.4381</v>
      </c>
      <c r="J141" s="115">
        <v>31.72</v>
      </c>
      <c r="K141" s="115">
        <v>15.6</v>
      </c>
      <c r="L141" s="115">
        <v>5.65</v>
      </c>
      <c r="M141" s="115">
        <v>0.3619</v>
      </c>
      <c r="N141" s="115">
        <v>0.7525</v>
      </c>
      <c r="O141" s="115">
        <v>0.5223</v>
      </c>
      <c r="P141" s="115">
        <v>2.7629</v>
      </c>
      <c r="Q141" s="115">
        <v>56.07</v>
      </c>
      <c r="R141" s="115">
        <v>51.88</v>
      </c>
      <c r="S141" s="115">
        <v>4.19</v>
      </c>
      <c r="T141" s="115">
        <v>7.26</v>
      </c>
      <c r="U141" s="115">
        <v>48.81</v>
      </c>
      <c r="V141" s="115">
        <v>58.31</v>
      </c>
      <c r="W141" s="115">
        <v>3.7372</v>
      </c>
      <c r="X141" s="115">
        <v>12.95</v>
      </c>
      <c r="Y141" s="115">
        <v>99.0</v>
      </c>
      <c r="Z141" s="115">
        <v>426.0</v>
      </c>
      <c r="AA141" s="115">
        <v>2976.0</v>
      </c>
      <c r="AB141" s="115">
        <v>49.2387</v>
      </c>
      <c r="AC141" s="115">
        <v>0.495</v>
      </c>
      <c r="AD141" s="115">
        <v>3.86</v>
      </c>
      <c r="AE141" s="115">
        <v>1.0</v>
      </c>
      <c r="AF141" s="115">
        <v>2.0</v>
      </c>
      <c r="AG141" s="115">
        <v>5.0</v>
      </c>
      <c r="AH141" s="115">
        <v>9.0</v>
      </c>
      <c r="AI141" s="115">
        <v>69.91</v>
      </c>
      <c r="AJ141" s="115">
        <v>28.64</v>
      </c>
      <c r="AK141" s="115">
        <v>8.46</v>
      </c>
      <c r="AL141" s="115">
        <v>0.2384</v>
      </c>
      <c r="AM141" s="115">
        <v>57.45</v>
      </c>
      <c r="AN141" s="115">
        <v>57.45</v>
      </c>
      <c r="AO141" s="115">
        <v>24.96</v>
      </c>
      <c r="AP141" s="115">
        <v>8.01</v>
      </c>
      <c r="AQ141" s="115">
        <v>3.7684</v>
      </c>
      <c r="AR141" s="115">
        <v>0.0959</v>
      </c>
      <c r="AS141" s="115">
        <v>3.6725</v>
      </c>
      <c r="AT141" s="115">
        <v>3.6424</v>
      </c>
      <c r="AU141" s="115">
        <v>0.2334</v>
      </c>
    </row>
    <row r="142" ht="15.75" customHeight="1">
      <c r="A142" s="116">
        <v>46186.0</v>
      </c>
      <c r="B142" s="115" t="s">
        <v>9</v>
      </c>
      <c r="C142" s="115" t="s">
        <v>130</v>
      </c>
      <c r="D142" s="115">
        <v>17948.0</v>
      </c>
      <c r="E142" s="115">
        <v>22.66</v>
      </c>
      <c r="F142" s="115">
        <v>6758.04</v>
      </c>
      <c r="G142" s="115">
        <v>0.3765</v>
      </c>
      <c r="H142" s="115">
        <v>8.3</v>
      </c>
      <c r="I142" s="115">
        <v>4.5386</v>
      </c>
      <c r="J142" s="115">
        <v>56.46</v>
      </c>
      <c r="K142" s="115">
        <v>28.71</v>
      </c>
      <c r="L142" s="115">
        <v>13.88</v>
      </c>
      <c r="M142" s="115">
        <v>0.4835</v>
      </c>
      <c r="N142" s="115">
        <v>0.65</v>
      </c>
      <c r="O142" s="115">
        <v>0.4186</v>
      </c>
      <c r="P142" s="115">
        <v>2.0682</v>
      </c>
      <c r="Q142" s="115">
        <v>118.09</v>
      </c>
      <c r="R142" s="115">
        <v>107.45</v>
      </c>
      <c r="S142" s="115">
        <v>10.65</v>
      </c>
      <c r="T142" s="115">
        <v>23.76</v>
      </c>
      <c r="U142" s="115">
        <v>94.34</v>
      </c>
      <c r="V142" s="115">
        <v>121.64</v>
      </c>
      <c r="W142" s="115">
        <v>4.2369</v>
      </c>
      <c r="X142" s="115">
        <v>20.12</v>
      </c>
      <c r="Y142" s="115">
        <v>100.0</v>
      </c>
      <c r="Z142" s="115">
        <v>408.0</v>
      </c>
      <c r="AA142" s="115">
        <v>2949.0</v>
      </c>
      <c r="AB142" s="115">
        <v>52.4378</v>
      </c>
      <c r="AC142" s="115">
        <v>0.6064</v>
      </c>
      <c r="AD142" s="115">
        <v>9.38</v>
      </c>
      <c r="AE142" s="115">
        <v>3.0</v>
      </c>
      <c r="AF142" s="115">
        <v>7.0</v>
      </c>
      <c r="AG142" s="115">
        <v>13.0</v>
      </c>
      <c r="AH142" s="115">
        <v>20.0</v>
      </c>
      <c r="AI142" s="115">
        <v>58.85</v>
      </c>
      <c r="AJ142" s="115">
        <v>26.29</v>
      </c>
      <c r="AK142" s="115">
        <v>5.02</v>
      </c>
      <c r="AL142" s="115">
        <v>0.197</v>
      </c>
      <c r="AM142" s="115">
        <v>64.14</v>
      </c>
      <c r="AN142" s="115">
        <v>64.14</v>
      </c>
      <c r="AO142" s="115">
        <v>39.48</v>
      </c>
      <c r="AP142" s="115">
        <v>18.66</v>
      </c>
      <c r="AQ142" s="115">
        <v>7.0819</v>
      </c>
      <c r="AR142" s="115">
        <v>0.317</v>
      </c>
      <c r="AS142" s="115">
        <v>6.7649</v>
      </c>
      <c r="AT142" s="115">
        <v>6.9604</v>
      </c>
      <c r="AU142" s="115">
        <v>0.2424</v>
      </c>
    </row>
    <row r="143" ht="15.75" customHeight="1">
      <c r="A143" s="116">
        <v>46186.0</v>
      </c>
      <c r="B143" s="115" t="s">
        <v>9</v>
      </c>
      <c r="C143" s="115" t="s">
        <v>131</v>
      </c>
      <c r="D143" s="115">
        <v>10310.0</v>
      </c>
      <c r="E143" s="115">
        <v>13.01</v>
      </c>
      <c r="F143" s="115">
        <v>9073.69</v>
      </c>
      <c r="G143" s="115">
        <v>0.8801</v>
      </c>
      <c r="H143" s="115">
        <v>12.42</v>
      </c>
      <c r="I143" s="115">
        <v>7.0833</v>
      </c>
      <c r="J143" s="115">
        <v>79.98</v>
      </c>
      <c r="K143" s="115">
        <v>42.87</v>
      </c>
      <c r="L143" s="115">
        <v>26.32</v>
      </c>
      <c r="M143" s="115">
        <v>0.614</v>
      </c>
      <c r="N143" s="115">
        <v>0.5275</v>
      </c>
      <c r="O143" s="115">
        <v>0.333</v>
      </c>
      <c r="P143" s="115">
        <v>1.6287</v>
      </c>
      <c r="Q143" s="115">
        <v>218.25</v>
      </c>
      <c r="R143" s="115">
        <v>198.18</v>
      </c>
      <c r="S143" s="115">
        <v>20.07</v>
      </c>
      <c r="T143" s="115">
        <v>56.57</v>
      </c>
      <c r="U143" s="115">
        <v>161.67</v>
      </c>
      <c r="V143" s="115">
        <v>217.66</v>
      </c>
      <c r="W143" s="115">
        <v>5.0773</v>
      </c>
      <c r="X143" s="115">
        <v>25.92</v>
      </c>
      <c r="Y143" s="115">
        <v>116.0</v>
      </c>
      <c r="Z143" s="115">
        <v>523.0</v>
      </c>
      <c r="AA143" s="115">
        <v>4081.0</v>
      </c>
      <c r="AB143" s="115">
        <v>55.5901</v>
      </c>
      <c r="AC143" s="115">
        <v>0.7152</v>
      </c>
      <c r="AD143" s="115">
        <v>17.99</v>
      </c>
      <c r="AE143" s="115">
        <v>6.0</v>
      </c>
      <c r="AF143" s="115">
        <v>14.0</v>
      </c>
      <c r="AG143" s="115">
        <v>25.0</v>
      </c>
      <c r="AH143" s="115">
        <v>38.0</v>
      </c>
      <c r="AI143" s="115">
        <v>59.46</v>
      </c>
      <c r="AJ143" s="115">
        <v>23.92</v>
      </c>
      <c r="AK143" s="115">
        <v>7.93</v>
      </c>
      <c r="AL143" s="115">
        <v>0.1941</v>
      </c>
      <c r="AM143" s="115">
        <v>63.1</v>
      </c>
      <c r="AN143" s="115">
        <v>63.1</v>
      </c>
      <c r="AO143" s="115">
        <v>40.35</v>
      </c>
      <c r="AP143" s="115">
        <v>21.43</v>
      </c>
      <c r="AQ143" s="115">
        <v>10.8392</v>
      </c>
      <c r="AR143" s="115">
        <v>0.737</v>
      </c>
      <c r="AS143" s="115">
        <v>10.1022</v>
      </c>
      <c r="AT143" s="115">
        <v>10.9252</v>
      </c>
      <c r="AU143" s="115">
        <v>0.2549</v>
      </c>
    </row>
    <row r="144" ht="15.75" customHeight="1">
      <c r="A144" s="116">
        <v>46186.0</v>
      </c>
      <c r="B144" s="115" t="s">
        <v>9</v>
      </c>
      <c r="C144" s="115" t="s">
        <v>132</v>
      </c>
      <c r="D144" s="115">
        <v>4163.0</v>
      </c>
      <c r="E144" s="115">
        <v>5.25</v>
      </c>
      <c r="F144" s="115">
        <v>8621.96</v>
      </c>
      <c r="G144" s="115">
        <v>2.0711</v>
      </c>
      <c r="H144" s="115">
        <v>14.56</v>
      </c>
      <c r="I144" s="115">
        <v>14.2277</v>
      </c>
      <c r="J144" s="115">
        <v>126.61</v>
      </c>
      <c r="K144" s="115">
        <v>72.06</v>
      </c>
      <c r="L144" s="115">
        <v>53.9</v>
      </c>
      <c r="M144" s="115">
        <v>0.748</v>
      </c>
      <c r="N144" s="115">
        <v>0.3969</v>
      </c>
      <c r="O144" s="115">
        <v>0.2581</v>
      </c>
      <c r="P144" s="115">
        <v>1.337</v>
      </c>
      <c r="Q144" s="115">
        <v>433.09</v>
      </c>
      <c r="R144" s="115">
        <v>391.91</v>
      </c>
      <c r="S144" s="115">
        <v>41.18</v>
      </c>
      <c r="T144" s="115">
        <v>128.75</v>
      </c>
      <c r="U144" s="115">
        <v>304.34</v>
      </c>
      <c r="V144" s="115">
        <v>425.71</v>
      </c>
      <c r="W144" s="115">
        <v>5.9079</v>
      </c>
      <c r="X144" s="115">
        <v>29.73</v>
      </c>
      <c r="Y144" s="115">
        <v>176.0</v>
      </c>
      <c r="Z144" s="115">
        <v>1146.0</v>
      </c>
      <c r="AA144" s="115">
        <v>6497.0</v>
      </c>
      <c r="AB144" s="115">
        <v>59.3476</v>
      </c>
      <c r="AC144" s="115">
        <v>0.8152</v>
      </c>
      <c r="AD144" s="115">
        <v>37.87</v>
      </c>
      <c r="AE144" s="115">
        <v>14.0</v>
      </c>
      <c r="AF144" s="115">
        <v>29.0</v>
      </c>
      <c r="AG144" s="115">
        <v>53.0</v>
      </c>
      <c r="AH144" s="115">
        <v>82.0</v>
      </c>
      <c r="AI144" s="115">
        <v>52.13</v>
      </c>
      <c r="AJ144" s="115">
        <v>20.37</v>
      </c>
      <c r="AK144" s="115">
        <v>5.62</v>
      </c>
      <c r="AL144" s="115">
        <v>0.1554</v>
      </c>
      <c r="AM144" s="115">
        <v>64.04</v>
      </c>
      <c r="AN144" s="115">
        <v>64.04</v>
      </c>
      <c r="AO144" s="115">
        <v>42.59</v>
      </c>
      <c r="AP144" s="115">
        <v>27.72</v>
      </c>
      <c r="AQ144" s="115">
        <v>17.9817</v>
      </c>
      <c r="AR144" s="115">
        <v>1.9443</v>
      </c>
      <c r="AS144" s="115">
        <v>16.0375</v>
      </c>
      <c r="AT144" s="115">
        <v>18.4951</v>
      </c>
      <c r="AU144" s="115">
        <v>0.2567</v>
      </c>
    </row>
    <row r="145" ht="15.75" customHeight="1">
      <c r="A145" s="116">
        <v>46186.0</v>
      </c>
      <c r="B145" s="115" t="s">
        <v>9</v>
      </c>
      <c r="C145" s="115" t="s">
        <v>133</v>
      </c>
      <c r="D145" s="115">
        <v>490.0</v>
      </c>
      <c r="E145" s="115">
        <v>0.62</v>
      </c>
      <c r="F145" s="115">
        <v>1984.53</v>
      </c>
      <c r="G145" s="115">
        <v>4.0501</v>
      </c>
      <c r="H145" s="115">
        <v>14.9</v>
      </c>
      <c r="I145" s="115">
        <v>27.1853</v>
      </c>
      <c r="J145" s="115">
        <v>233.63</v>
      </c>
      <c r="K145" s="115">
        <v>139.15</v>
      </c>
      <c r="L145" s="115">
        <v>119.07</v>
      </c>
      <c r="M145" s="115">
        <v>0.8557</v>
      </c>
      <c r="N145" s="115">
        <v>0.2851</v>
      </c>
      <c r="O145" s="115">
        <v>0.2031</v>
      </c>
      <c r="P145" s="115">
        <v>1.1687</v>
      </c>
      <c r="Q145" s="115">
        <v>819.08</v>
      </c>
      <c r="R145" s="115">
        <v>728.37</v>
      </c>
      <c r="S145" s="115">
        <v>90.7</v>
      </c>
      <c r="T145" s="115">
        <v>266.99</v>
      </c>
      <c r="U145" s="115">
        <v>552.09</v>
      </c>
      <c r="V145" s="115">
        <v>842.14</v>
      </c>
      <c r="W145" s="115">
        <v>6.052</v>
      </c>
      <c r="X145" s="115">
        <v>32.6</v>
      </c>
      <c r="Y145" s="115">
        <v>391.0</v>
      </c>
      <c r="Z145" s="115">
        <v>2321.0</v>
      </c>
      <c r="AA145" s="115">
        <v>8514.0</v>
      </c>
      <c r="AB145" s="115">
        <v>62.7147</v>
      </c>
      <c r="AC145" s="115">
        <v>0.8859</v>
      </c>
      <c r="AD145" s="115">
        <v>84.37</v>
      </c>
      <c r="AE145" s="115">
        <v>32.0</v>
      </c>
      <c r="AF145" s="115">
        <v>70.0</v>
      </c>
      <c r="AG145" s="115">
        <v>117.0</v>
      </c>
      <c r="AH145" s="115">
        <v>179.0</v>
      </c>
      <c r="AI145" s="115">
        <v>46.53</v>
      </c>
      <c r="AJ145" s="115">
        <v>11.02</v>
      </c>
      <c r="AK145" s="115">
        <v>1.22</v>
      </c>
      <c r="AL145" s="115">
        <v>0.1122</v>
      </c>
      <c r="AM145" s="115">
        <v>66.53</v>
      </c>
      <c r="AN145" s="115">
        <v>66.53</v>
      </c>
      <c r="AO145" s="115">
        <v>45.1</v>
      </c>
      <c r="AP145" s="115">
        <v>31.02</v>
      </c>
      <c r="AQ145" s="115">
        <v>31.1449</v>
      </c>
      <c r="AR145" s="115">
        <v>3.0714</v>
      </c>
      <c r="AS145" s="115">
        <v>28.0735</v>
      </c>
      <c r="AT145" s="115">
        <v>31.7347</v>
      </c>
      <c r="AU145" s="115">
        <v>0.2281</v>
      </c>
    </row>
    <row r="146" ht="15.75" customHeight="1">
      <c r="A146" s="116">
        <v>46187.0</v>
      </c>
      <c r="B146" s="115" t="s">
        <v>8</v>
      </c>
      <c r="C146" s="115" t="s">
        <v>128</v>
      </c>
      <c r="D146" s="115">
        <v>16037.0</v>
      </c>
      <c r="E146" s="115">
        <v>19.78</v>
      </c>
      <c r="F146" s="115">
        <v>23.79</v>
      </c>
      <c r="G146" s="115">
        <v>0.0015</v>
      </c>
      <c r="H146" s="115">
        <v>0.06</v>
      </c>
      <c r="I146" s="115">
        <v>2.379</v>
      </c>
      <c r="J146" s="115">
        <v>6.73</v>
      </c>
      <c r="K146" s="115">
        <v>2.87</v>
      </c>
      <c r="L146" s="115">
        <v>0.05</v>
      </c>
      <c r="M146" s="115">
        <v>0.0183</v>
      </c>
      <c r="N146" s="115">
        <v>0.9848</v>
      </c>
      <c r="O146" s="115">
        <v>0.7872</v>
      </c>
      <c r="P146" s="115">
        <v>54.7015</v>
      </c>
      <c r="Q146" s="115">
        <v>23.45</v>
      </c>
      <c r="R146" s="115">
        <v>23.37</v>
      </c>
      <c r="S146" s="115">
        <v>0.08</v>
      </c>
      <c r="T146" s="115">
        <v>0.15</v>
      </c>
      <c r="U146" s="115">
        <v>23.3</v>
      </c>
      <c r="V146" s="115">
        <v>2.09</v>
      </c>
      <c r="W146" s="115">
        <v>0.7293</v>
      </c>
      <c r="X146" s="115">
        <v>0.66</v>
      </c>
      <c r="Y146" s="115">
        <v>227.0</v>
      </c>
      <c r="Z146" s="115">
        <v>2717.0</v>
      </c>
      <c r="AA146" s="115">
        <v>13144.0</v>
      </c>
      <c r="AB146" s="115">
        <v>49.6959</v>
      </c>
      <c r="AC146" s="115">
        <v>0.5353</v>
      </c>
      <c r="AI146" s="115">
        <v>0.0</v>
      </c>
      <c r="AJ146" s="115">
        <v>0.0</v>
      </c>
      <c r="AK146" s="115">
        <v>0.0</v>
      </c>
      <c r="AL146" s="115">
        <v>0.2754</v>
      </c>
      <c r="AQ146" s="115">
        <v>0.8216</v>
      </c>
      <c r="AR146" s="115">
        <v>0.0042</v>
      </c>
      <c r="AS146" s="115">
        <v>0.8174</v>
      </c>
      <c r="AT146" s="115">
        <v>0.393</v>
      </c>
      <c r="AU146" s="115">
        <v>0.137</v>
      </c>
    </row>
    <row r="147" ht="15.75" customHeight="1">
      <c r="A147" s="116">
        <v>46187.0</v>
      </c>
      <c r="B147" s="115" t="s">
        <v>8</v>
      </c>
      <c r="C147" s="115" t="s">
        <v>129</v>
      </c>
      <c r="D147" s="115">
        <v>32074.0</v>
      </c>
      <c r="E147" s="115">
        <v>39.56</v>
      </c>
      <c r="F147" s="115">
        <v>3453.49</v>
      </c>
      <c r="G147" s="115">
        <v>0.1077</v>
      </c>
      <c r="H147" s="115">
        <v>3.1</v>
      </c>
      <c r="I147" s="115">
        <v>3.4708</v>
      </c>
      <c r="J147" s="115">
        <v>34.12</v>
      </c>
      <c r="K147" s="115">
        <v>17.21</v>
      </c>
      <c r="L147" s="115">
        <v>5.69</v>
      </c>
      <c r="M147" s="115">
        <v>0.3308</v>
      </c>
      <c r="N147" s="115">
        <v>0.7767</v>
      </c>
      <c r="O147" s="115">
        <v>0.5435</v>
      </c>
      <c r="P147" s="115">
        <v>3.0233</v>
      </c>
      <c r="Q147" s="115">
        <v>56.36</v>
      </c>
      <c r="R147" s="115">
        <v>44.55</v>
      </c>
      <c r="S147" s="115">
        <v>11.8</v>
      </c>
      <c r="T147" s="115">
        <v>7.18</v>
      </c>
      <c r="U147" s="115">
        <v>49.18</v>
      </c>
      <c r="V147" s="115">
        <v>61.66</v>
      </c>
      <c r="W147" s="115">
        <v>3.5833</v>
      </c>
      <c r="X147" s="115">
        <v>12.74</v>
      </c>
      <c r="Y147" s="115">
        <v>102.0</v>
      </c>
      <c r="Z147" s="115">
        <v>425.0</v>
      </c>
      <c r="AA147" s="115">
        <v>3238.0</v>
      </c>
      <c r="AB147" s="115">
        <v>49.1679</v>
      </c>
      <c r="AC147" s="115">
        <v>0.4938</v>
      </c>
      <c r="AD147" s="115">
        <v>3.8</v>
      </c>
      <c r="AE147" s="115">
        <v>1.0</v>
      </c>
      <c r="AF147" s="115">
        <v>2.0</v>
      </c>
      <c r="AG147" s="115">
        <v>5.0</v>
      </c>
      <c r="AH147" s="115">
        <v>8.0</v>
      </c>
      <c r="AI147" s="115">
        <v>71.26</v>
      </c>
      <c r="AJ147" s="115">
        <v>28.33</v>
      </c>
      <c r="AK147" s="115">
        <v>7.44</v>
      </c>
      <c r="AL147" s="115">
        <v>0.2441</v>
      </c>
      <c r="AQ147" s="115">
        <v>2.8047</v>
      </c>
      <c r="AR147" s="115">
        <v>0.0809</v>
      </c>
      <c r="AS147" s="115">
        <v>2.7238</v>
      </c>
      <c r="AT147" s="115">
        <v>3.2625</v>
      </c>
      <c r="AU147" s="115">
        <v>0.1896</v>
      </c>
    </row>
    <row r="148" ht="15.75" customHeight="1">
      <c r="A148" s="116">
        <v>46187.0</v>
      </c>
      <c r="B148" s="115" t="s">
        <v>8</v>
      </c>
      <c r="C148" s="115" t="s">
        <v>130</v>
      </c>
      <c r="D148" s="115">
        <v>18508.0</v>
      </c>
      <c r="E148" s="115">
        <v>22.83</v>
      </c>
      <c r="F148" s="115">
        <v>6939.18</v>
      </c>
      <c r="G148" s="115">
        <v>0.3749</v>
      </c>
      <c r="H148" s="115">
        <v>8.13</v>
      </c>
      <c r="I148" s="115">
        <v>4.6138</v>
      </c>
      <c r="J148" s="115">
        <v>60.52</v>
      </c>
      <c r="K148" s="115">
        <v>31.46</v>
      </c>
      <c r="L148" s="115">
        <v>14.33</v>
      </c>
      <c r="M148" s="115">
        <v>0.4553</v>
      </c>
      <c r="N148" s="115">
        <v>0.6727</v>
      </c>
      <c r="O148" s="115">
        <v>0.4339</v>
      </c>
      <c r="P148" s="115">
        <v>2.1961</v>
      </c>
      <c r="Q148" s="115">
        <v>110.17</v>
      </c>
      <c r="R148" s="115">
        <v>79.97</v>
      </c>
      <c r="S148" s="115">
        <v>30.2</v>
      </c>
      <c r="T148" s="115">
        <v>23.83</v>
      </c>
      <c r="U148" s="115">
        <v>86.34</v>
      </c>
      <c r="V148" s="115">
        <v>124.03</v>
      </c>
      <c r="W148" s="115">
        <v>3.9426</v>
      </c>
      <c r="X148" s="115">
        <v>21.63</v>
      </c>
      <c r="Y148" s="115">
        <v>98.0</v>
      </c>
      <c r="Z148" s="115">
        <v>385.0</v>
      </c>
      <c r="AA148" s="115">
        <v>2806.0</v>
      </c>
      <c r="AB148" s="115">
        <v>52.7011</v>
      </c>
      <c r="AC148" s="115">
        <v>0.6115</v>
      </c>
      <c r="AD148" s="115">
        <v>9.29</v>
      </c>
      <c r="AE148" s="115">
        <v>3.0</v>
      </c>
      <c r="AF148" s="115">
        <v>7.0</v>
      </c>
      <c r="AG148" s="115">
        <v>13.0</v>
      </c>
      <c r="AH148" s="115">
        <v>20.0</v>
      </c>
      <c r="AI148" s="115">
        <v>59.1</v>
      </c>
      <c r="AJ148" s="115">
        <v>25.36</v>
      </c>
      <c r="AK148" s="115">
        <v>4.75</v>
      </c>
      <c r="AL148" s="115">
        <v>0.2174</v>
      </c>
      <c r="AQ148" s="115">
        <v>5.7824</v>
      </c>
      <c r="AR148" s="115">
        <v>0.2981</v>
      </c>
      <c r="AS148" s="115">
        <v>5.4843</v>
      </c>
      <c r="AT148" s="115">
        <v>6.3864</v>
      </c>
      <c r="AU148" s="115">
        <v>0.203</v>
      </c>
    </row>
    <row r="149" ht="15.75" customHeight="1">
      <c r="A149" s="116">
        <v>46187.0</v>
      </c>
      <c r="B149" s="115" t="s">
        <v>8</v>
      </c>
      <c r="C149" s="115" t="s">
        <v>131</v>
      </c>
      <c r="D149" s="115">
        <v>10061.0</v>
      </c>
      <c r="E149" s="115">
        <v>12.41</v>
      </c>
      <c r="F149" s="115">
        <v>9008.71</v>
      </c>
      <c r="G149" s="115">
        <v>0.8954</v>
      </c>
      <c r="H149" s="115">
        <v>12.18</v>
      </c>
      <c r="I149" s="115">
        <v>7.354</v>
      </c>
      <c r="J149" s="115">
        <v>85.6</v>
      </c>
      <c r="K149" s="115">
        <v>46.21</v>
      </c>
      <c r="L149" s="115">
        <v>27.49</v>
      </c>
      <c r="M149" s="115">
        <v>0.5949</v>
      </c>
      <c r="N149" s="115">
        <v>0.5428</v>
      </c>
      <c r="O149" s="115">
        <v>0.3414</v>
      </c>
      <c r="P149" s="115">
        <v>1.6811</v>
      </c>
      <c r="Q149" s="115">
        <v>190.75</v>
      </c>
      <c r="R149" s="115">
        <v>132.63</v>
      </c>
      <c r="S149" s="115">
        <v>58.12</v>
      </c>
      <c r="T149" s="115">
        <v>55.14</v>
      </c>
      <c r="U149" s="115">
        <v>135.61</v>
      </c>
      <c r="V149" s="115">
        <v>217.31</v>
      </c>
      <c r="W149" s="115">
        <v>4.7024</v>
      </c>
      <c r="X149" s="115">
        <v>28.91</v>
      </c>
      <c r="Y149" s="115">
        <v>105.0</v>
      </c>
      <c r="Z149" s="115">
        <v>494.0</v>
      </c>
      <c r="AA149" s="115">
        <v>3685.0</v>
      </c>
      <c r="AB149" s="115">
        <v>55.5777</v>
      </c>
      <c r="AC149" s="115">
        <v>0.7173</v>
      </c>
      <c r="AD149" s="115">
        <v>18.0</v>
      </c>
      <c r="AE149" s="115">
        <v>7.0</v>
      </c>
      <c r="AF149" s="115">
        <v>14.0</v>
      </c>
      <c r="AG149" s="115">
        <v>25.0</v>
      </c>
      <c r="AH149" s="115">
        <v>38.0</v>
      </c>
      <c r="AI149" s="115">
        <v>59.13</v>
      </c>
      <c r="AJ149" s="115">
        <v>23.96</v>
      </c>
      <c r="AK149" s="115">
        <v>7.77</v>
      </c>
      <c r="AL149" s="115">
        <v>0.213</v>
      </c>
      <c r="AQ149" s="115">
        <v>9.4824</v>
      </c>
      <c r="AR149" s="115">
        <v>0.7019</v>
      </c>
      <c r="AS149" s="115">
        <v>8.7804</v>
      </c>
      <c r="AT149" s="115">
        <v>10.3058</v>
      </c>
      <c r="AU149" s="115">
        <v>0.223</v>
      </c>
    </row>
    <row r="150" ht="15.75" customHeight="1">
      <c r="A150" s="116">
        <v>46187.0</v>
      </c>
      <c r="B150" s="115" t="s">
        <v>8</v>
      </c>
      <c r="C150" s="115" t="s">
        <v>132</v>
      </c>
      <c r="D150" s="115">
        <v>3925.0</v>
      </c>
      <c r="E150" s="115">
        <v>4.84</v>
      </c>
      <c r="F150" s="115">
        <v>8437.75</v>
      </c>
      <c r="G150" s="115">
        <v>2.1497</v>
      </c>
      <c r="H150" s="115">
        <v>16.38</v>
      </c>
      <c r="I150" s="115">
        <v>13.1225</v>
      </c>
      <c r="J150" s="115">
        <v>132.23</v>
      </c>
      <c r="K150" s="115">
        <v>76.39</v>
      </c>
      <c r="L150" s="115">
        <v>56.47</v>
      </c>
      <c r="M150" s="115">
        <v>0.7393</v>
      </c>
      <c r="N150" s="115">
        <v>0.4029</v>
      </c>
      <c r="O150" s="115">
        <v>0.2623</v>
      </c>
      <c r="P150" s="115">
        <v>1.3526</v>
      </c>
      <c r="Q150" s="115">
        <v>363.84</v>
      </c>
      <c r="R150" s="115">
        <v>244.05</v>
      </c>
      <c r="S150" s="115">
        <v>119.79</v>
      </c>
      <c r="T150" s="115">
        <v>133.46</v>
      </c>
      <c r="U150" s="115">
        <v>230.38</v>
      </c>
      <c r="V150" s="115">
        <v>429.83</v>
      </c>
      <c r="W150" s="115">
        <v>5.6272</v>
      </c>
      <c r="X150" s="115">
        <v>36.68</v>
      </c>
      <c r="Y150" s="115">
        <v>149.0</v>
      </c>
      <c r="Z150" s="115">
        <v>1126.0</v>
      </c>
      <c r="AA150" s="115">
        <v>7652.0</v>
      </c>
      <c r="AB150" s="115">
        <v>59.2528</v>
      </c>
      <c r="AC150" s="115">
        <v>0.8152</v>
      </c>
      <c r="AD150" s="115">
        <v>37.63</v>
      </c>
      <c r="AE150" s="115">
        <v>14.0</v>
      </c>
      <c r="AF150" s="115">
        <v>28.0</v>
      </c>
      <c r="AG150" s="115">
        <v>52.0</v>
      </c>
      <c r="AH150" s="115">
        <v>82.0</v>
      </c>
      <c r="AI150" s="115">
        <v>51.26</v>
      </c>
      <c r="AJ150" s="115">
        <v>19.9</v>
      </c>
      <c r="AK150" s="115">
        <v>5.32</v>
      </c>
      <c r="AL150" s="115">
        <v>0.1773</v>
      </c>
      <c r="AQ150" s="115">
        <v>16.5312</v>
      </c>
      <c r="AR150" s="115">
        <v>1.6782</v>
      </c>
      <c r="AS150" s="115">
        <v>14.853</v>
      </c>
      <c r="AT150" s="115">
        <v>18.8341</v>
      </c>
      <c r="AU150" s="115">
        <v>0.2466</v>
      </c>
    </row>
    <row r="151" ht="15.75" customHeight="1">
      <c r="A151" s="116">
        <v>46187.0</v>
      </c>
      <c r="B151" s="115" t="s">
        <v>8</v>
      </c>
      <c r="C151" s="115" t="s">
        <v>133</v>
      </c>
      <c r="D151" s="115">
        <v>468.0</v>
      </c>
      <c r="E151" s="115">
        <v>0.58</v>
      </c>
      <c r="F151" s="115">
        <v>1439.64</v>
      </c>
      <c r="G151" s="115">
        <v>3.0762</v>
      </c>
      <c r="H151" s="115">
        <v>17.52</v>
      </c>
      <c r="I151" s="115">
        <v>17.5566</v>
      </c>
      <c r="J151" s="115">
        <v>248.68</v>
      </c>
      <c r="K151" s="115">
        <v>154.35</v>
      </c>
      <c r="L151" s="115">
        <v>130.4</v>
      </c>
      <c r="M151" s="115">
        <v>0.8448</v>
      </c>
      <c r="N151" s="115">
        <v>0.2833</v>
      </c>
      <c r="O151" s="115">
        <v>0.1974</v>
      </c>
      <c r="P151" s="115">
        <v>1.1837</v>
      </c>
      <c r="Q151" s="115">
        <v>666.4</v>
      </c>
      <c r="R151" s="115">
        <v>390.45</v>
      </c>
      <c r="S151" s="115">
        <v>275.95</v>
      </c>
      <c r="T151" s="115">
        <v>199.47</v>
      </c>
      <c r="U151" s="115">
        <v>466.93</v>
      </c>
      <c r="V151" s="115">
        <v>851.71</v>
      </c>
      <c r="W151" s="115">
        <v>5.5181</v>
      </c>
      <c r="X151" s="115">
        <v>29.93</v>
      </c>
      <c r="Y151" s="115">
        <v>261.0</v>
      </c>
      <c r="Z151" s="115">
        <v>2150.0</v>
      </c>
      <c r="AA151" s="115">
        <v>9414.0</v>
      </c>
      <c r="AB151" s="115">
        <v>62.1668</v>
      </c>
      <c r="AC151" s="115">
        <v>0.8761</v>
      </c>
      <c r="AD151" s="115">
        <v>88.3</v>
      </c>
      <c r="AE151" s="115">
        <v>33.0</v>
      </c>
      <c r="AF151" s="115">
        <v>74.0</v>
      </c>
      <c r="AG151" s="115">
        <v>128.0</v>
      </c>
      <c r="AH151" s="115">
        <v>184.0</v>
      </c>
      <c r="AI151" s="115">
        <v>47.22</v>
      </c>
      <c r="AJ151" s="115">
        <v>13.03</v>
      </c>
      <c r="AK151" s="115">
        <v>0.85</v>
      </c>
      <c r="AL151" s="115">
        <v>0.156</v>
      </c>
      <c r="AQ151" s="115">
        <v>32.9274</v>
      </c>
      <c r="AR151" s="115">
        <v>3.1239</v>
      </c>
      <c r="AS151" s="115">
        <v>29.8034</v>
      </c>
      <c r="AT151" s="115">
        <v>33.985</v>
      </c>
      <c r="AU151" s="115">
        <v>0.2202</v>
      </c>
    </row>
    <row r="152" ht="15.75" customHeight="1">
      <c r="A152" s="116">
        <v>46187.0</v>
      </c>
      <c r="B152" s="115" t="s">
        <v>9</v>
      </c>
      <c r="C152" s="115" t="s">
        <v>128</v>
      </c>
      <c r="D152" s="115">
        <v>16537.0</v>
      </c>
      <c r="E152" s="115">
        <v>20.44</v>
      </c>
      <c r="F152" s="115">
        <v>66.44</v>
      </c>
      <c r="G152" s="115">
        <v>0.004</v>
      </c>
      <c r="H152" s="115">
        <v>0.07</v>
      </c>
      <c r="I152" s="115">
        <v>5.5367</v>
      </c>
      <c r="J152" s="115">
        <v>6.65</v>
      </c>
      <c r="K152" s="115">
        <v>2.97</v>
      </c>
      <c r="L152" s="115">
        <v>0.05</v>
      </c>
      <c r="M152" s="115">
        <v>0.0182</v>
      </c>
      <c r="N152" s="115">
        <v>0.9845</v>
      </c>
      <c r="O152" s="115">
        <v>0.792</v>
      </c>
      <c r="P152" s="115">
        <v>55.0932</v>
      </c>
      <c r="Q152" s="115">
        <v>19.69</v>
      </c>
      <c r="R152" s="115">
        <v>19.65</v>
      </c>
      <c r="S152" s="115">
        <v>0.04</v>
      </c>
      <c r="T152" s="115">
        <v>0.31</v>
      </c>
      <c r="U152" s="115">
        <v>19.39</v>
      </c>
      <c r="V152" s="115">
        <v>1.71</v>
      </c>
      <c r="W152" s="115">
        <v>0.5775</v>
      </c>
      <c r="X152" s="115">
        <v>1.56</v>
      </c>
      <c r="Y152" s="115">
        <v>202.0</v>
      </c>
      <c r="Z152" s="115">
        <v>2795.0</v>
      </c>
      <c r="AA152" s="115">
        <v>11894.0</v>
      </c>
      <c r="AB152" s="115">
        <v>49.6996</v>
      </c>
      <c r="AC152" s="115">
        <v>0.5315</v>
      </c>
      <c r="AI152" s="115">
        <v>0.0</v>
      </c>
      <c r="AJ152" s="115">
        <v>0.0</v>
      </c>
      <c r="AK152" s="115">
        <v>0.0</v>
      </c>
      <c r="AL152" s="115">
        <v>0.2748</v>
      </c>
      <c r="AM152" s="115">
        <v>0.22</v>
      </c>
      <c r="AN152" s="115">
        <v>0.22</v>
      </c>
      <c r="AO152" s="115">
        <v>0.14</v>
      </c>
      <c r="AP152" s="115">
        <v>0.05</v>
      </c>
      <c r="AQ152" s="115">
        <v>0.7726</v>
      </c>
      <c r="AR152" s="115">
        <v>0.0048</v>
      </c>
      <c r="AS152" s="115">
        <v>0.7678</v>
      </c>
      <c r="AT152" s="115">
        <v>0.4071</v>
      </c>
      <c r="AU152" s="115">
        <v>0.1371</v>
      </c>
    </row>
    <row r="153" ht="15.75" customHeight="1">
      <c r="A153" s="116">
        <v>46187.0</v>
      </c>
      <c r="B153" s="115" t="s">
        <v>9</v>
      </c>
      <c r="C153" s="115" t="s">
        <v>129</v>
      </c>
      <c r="D153" s="115">
        <v>31012.0</v>
      </c>
      <c r="E153" s="115">
        <v>38.33</v>
      </c>
      <c r="F153" s="115">
        <v>3573.43</v>
      </c>
      <c r="G153" s="115">
        <v>0.1152</v>
      </c>
      <c r="H153" s="115">
        <v>3.27</v>
      </c>
      <c r="I153" s="115">
        <v>3.5206</v>
      </c>
      <c r="J153" s="115">
        <v>34.87</v>
      </c>
      <c r="K153" s="115">
        <v>17.34</v>
      </c>
      <c r="L153" s="115">
        <v>5.72</v>
      </c>
      <c r="M153" s="115">
        <v>0.3298</v>
      </c>
      <c r="N153" s="115">
        <v>0.7756</v>
      </c>
      <c r="O153" s="115">
        <v>0.5415</v>
      </c>
      <c r="P153" s="115">
        <v>3.0318</v>
      </c>
      <c r="Q153" s="115">
        <v>49.5</v>
      </c>
      <c r="R153" s="115">
        <v>45.2</v>
      </c>
      <c r="S153" s="115">
        <v>4.3</v>
      </c>
      <c r="T153" s="115">
        <v>7.87</v>
      </c>
      <c r="U153" s="115">
        <v>41.63</v>
      </c>
      <c r="V153" s="115">
        <v>55.52</v>
      </c>
      <c r="W153" s="115">
        <v>3.2013</v>
      </c>
      <c r="X153" s="115">
        <v>15.89</v>
      </c>
      <c r="Y153" s="115">
        <v>96.0</v>
      </c>
      <c r="Z153" s="115">
        <v>390.0</v>
      </c>
      <c r="AA153" s="115">
        <v>3048.0</v>
      </c>
      <c r="AB153" s="115">
        <v>49.3589</v>
      </c>
      <c r="AC153" s="115">
        <v>0.4977</v>
      </c>
      <c r="AD153" s="115">
        <v>3.81</v>
      </c>
      <c r="AE153" s="115">
        <v>1.0</v>
      </c>
      <c r="AF153" s="115">
        <v>2.0</v>
      </c>
      <c r="AG153" s="115">
        <v>5.0</v>
      </c>
      <c r="AH153" s="115">
        <v>9.0</v>
      </c>
      <c r="AI153" s="115">
        <v>70.56</v>
      </c>
      <c r="AJ153" s="115">
        <v>27.8</v>
      </c>
      <c r="AK153" s="115">
        <v>7.8</v>
      </c>
      <c r="AL153" s="115">
        <v>0.2556</v>
      </c>
      <c r="AM153" s="115">
        <v>56.7</v>
      </c>
      <c r="AN153" s="115">
        <v>56.7</v>
      </c>
      <c r="AO153" s="115">
        <v>23.96</v>
      </c>
      <c r="AP153" s="115">
        <v>7.2</v>
      </c>
      <c r="AQ153" s="115">
        <v>3.2141</v>
      </c>
      <c r="AR153" s="115">
        <v>0.09</v>
      </c>
      <c r="AS153" s="115">
        <v>3.1241</v>
      </c>
      <c r="AT153" s="115">
        <v>3.5247</v>
      </c>
      <c r="AU153" s="115">
        <v>0.2032</v>
      </c>
    </row>
    <row r="154" ht="15.75" customHeight="1">
      <c r="A154" s="116">
        <v>46187.0</v>
      </c>
      <c r="B154" s="115" t="s">
        <v>9</v>
      </c>
      <c r="C154" s="115" t="s">
        <v>130</v>
      </c>
      <c r="D154" s="115">
        <v>18370.0</v>
      </c>
      <c r="E154" s="115">
        <v>22.71</v>
      </c>
      <c r="F154" s="115">
        <v>7105.74</v>
      </c>
      <c r="G154" s="115">
        <v>0.3868</v>
      </c>
      <c r="H154" s="115">
        <v>8.33</v>
      </c>
      <c r="I154" s="115">
        <v>4.6412</v>
      </c>
      <c r="J154" s="115">
        <v>62.0</v>
      </c>
      <c r="K154" s="115">
        <v>32.21</v>
      </c>
      <c r="L154" s="115">
        <v>14.33</v>
      </c>
      <c r="M154" s="115">
        <v>0.445</v>
      </c>
      <c r="N154" s="115">
        <v>0.6778</v>
      </c>
      <c r="O154" s="115">
        <v>0.4333</v>
      </c>
      <c r="P154" s="115">
        <v>2.2474</v>
      </c>
      <c r="Q154" s="115">
        <v>101.52</v>
      </c>
      <c r="R154" s="115">
        <v>90.51</v>
      </c>
      <c r="S154" s="115">
        <v>11.01</v>
      </c>
      <c r="T154" s="115">
        <v>24.64</v>
      </c>
      <c r="U154" s="115">
        <v>76.88</v>
      </c>
      <c r="V154" s="115">
        <v>117.62</v>
      </c>
      <c r="W154" s="115">
        <v>3.6515</v>
      </c>
      <c r="X154" s="115">
        <v>24.27</v>
      </c>
      <c r="Y154" s="115">
        <v>93.0</v>
      </c>
      <c r="Z154" s="115">
        <v>370.0</v>
      </c>
      <c r="AA154" s="115">
        <v>2824.0</v>
      </c>
      <c r="AB154" s="115">
        <v>52.5333</v>
      </c>
      <c r="AC154" s="115">
        <v>0.6063</v>
      </c>
      <c r="AD154" s="115">
        <v>9.26</v>
      </c>
      <c r="AE154" s="115">
        <v>3.0</v>
      </c>
      <c r="AF154" s="115">
        <v>7.0</v>
      </c>
      <c r="AG154" s="115">
        <v>13.0</v>
      </c>
      <c r="AH154" s="115">
        <v>20.0</v>
      </c>
      <c r="AI154" s="115">
        <v>58.42</v>
      </c>
      <c r="AJ154" s="115">
        <v>25.65</v>
      </c>
      <c r="AK154" s="115">
        <v>5.01</v>
      </c>
      <c r="AL154" s="115">
        <v>0.2129</v>
      </c>
      <c r="AM154" s="115">
        <v>63.94</v>
      </c>
      <c r="AN154" s="115">
        <v>63.94</v>
      </c>
      <c r="AO154" s="115">
        <v>38.58</v>
      </c>
      <c r="AP154" s="115">
        <v>17.92</v>
      </c>
      <c r="AQ154" s="115">
        <v>6.4414</v>
      </c>
      <c r="AR154" s="115">
        <v>0.3192</v>
      </c>
      <c r="AS154" s="115">
        <v>6.1223</v>
      </c>
      <c r="AT154" s="115">
        <v>6.9164</v>
      </c>
      <c r="AU154" s="115">
        <v>0.2147</v>
      </c>
    </row>
    <row r="155" ht="15.75" customHeight="1">
      <c r="A155" s="116">
        <v>46187.0</v>
      </c>
      <c r="B155" s="115" t="s">
        <v>9</v>
      </c>
      <c r="C155" s="115" t="s">
        <v>131</v>
      </c>
      <c r="D155" s="115">
        <v>10262.0</v>
      </c>
      <c r="E155" s="115">
        <v>12.69</v>
      </c>
      <c r="F155" s="115">
        <v>9380.6</v>
      </c>
      <c r="G155" s="115">
        <v>0.9141</v>
      </c>
      <c r="H155" s="115">
        <v>12.31</v>
      </c>
      <c r="I155" s="115">
        <v>7.4272</v>
      </c>
      <c r="J155" s="115">
        <v>86.26</v>
      </c>
      <c r="K155" s="115">
        <v>46.27</v>
      </c>
      <c r="L155" s="115">
        <v>27.3</v>
      </c>
      <c r="M155" s="115">
        <v>0.5899</v>
      </c>
      <c r="N155" s="115">
        <v>0.5455</v>
      </c>
      <c r="O155" s="115">
        <v>0.3392</v>
      </c>
      <c r="P155" s="115">
        <v>1.6951</v>
      </c>
      <c r="Q155" s="115">
        <v>184.41</v>
      </c>
      <c r="R155" s="115">
        <v>163.38</v>
      </c>
      <c r="S155" s="115">
        <v>21.03</v>
      </c>
      <c r="T155" s="115">
        <v>57.58</v>
      </c>
      <c r="U155" s="115">
        <v>126.82</v>
      </c>
      <c r="V155" s="115">
        <v>208.77</v>
      </c>
      <c r="W155" s="115">
        <v>4.5123</v>
      </c>
      <c r="X155" s="115">
        <v>31.23</v>
      </c>
      <c r="Y155" s="115">
        <v>100.0</v>
      </c>
      <c r="Z155" s="115">
        <v>468.0</v>
      </c>
      <c r="AA155" s="115">
        <v>3575.0</v>
      </c>
      <c r="AB155" s="115">
        <v>55.5578</v>
      </c>
      <c r="AC155" s="115">
        <v>0.7182</v>
      </c>
      <c r="AD155" s="115">
        <v>18.15</v>
      </c>
      <c r="AE155" s="115">
        <v>7.0</v>
      </c>
      <c r="AF155" s="115">
        <v>14.0</v>
      </c>
      <c r="AG155" s="115">
        <v>25.0</v>
      </c>
      <c r="AH155" s="115">
        <v>39.0</v>
      </c>
      <c r="AI155" s="115">
        <v>58.57</v>
      </c>
      <c r="AJ155" s="115">
        <v>24.24</v>
      </c>
      <c r="AK155" s="115">
        <v>8.2</v>
      </c>
      <c r="AL155" s="115">
        <v>0.2013</v>
      </c>
      <c r="AM155" s="115">
        <v>63.56</v>
      </c>
      <c r="AN155" s="115">
        <v>63.56</v>
      </c>
      <c r="AO155" s="115">
        <v>41.41</v>
      </c>
      <c r="AP155" s="115">
        <v>22.11</v>
      </c>
      <c r="AQ155" s="115">
        <v>10.1937</v>
      </c>
      <c r="AR155" s="115">
        <v>0.7273</v>
      </c>
      <c r="AS155" s="115">
        <v>9.4664</v>
      </c>
      <c r="AT155" s="115">
        <v>10.8246</v>
      </c>
      <c r="AU155" s="115">
        <v>0.234</v>
      </c>
    </row>
    <row r="156" ht="15.75" customHeight="1">
      <c r="A156" s="116">
        <v>46187.0</v>
      </c>
      <c r="B156" s="115" t="s">
        <v>9</v>
      </c>
      <c r="C156" s="115" t="s">
        <v>132</v>
      </c>
      <c r="D156" s="115">
        <v>4227.0</v>
      </c>
      <c r="E156" s="115">
        <v>5.23</v>
      </c>
      <c r="F156" s="115">
        <v>8554.22</v>
      </c>
      <c r="G156" s="115">
        <v>2.0237</v>
      </c>
      <c r="H156" s="115">
        <v>15.61</v>
      </c>
      <c r="I156" s="115">
        <v>12.9609</v>
      </c>
      <c r="J156" s="115">
        <v>132.07</v>
      </c>
      <c r="K156" s="115">
        <v>76.15</v>
      </c>
      <c r="L156" s="115">
        <v>56.05</v>
      </c>
      <c r="M156" s="115">
        <v>0.7361</v>
      </c>
      <c r="N156" s="115">
        <v>0.4026</v>
      </c>
      <c r="O156" s="115">
        <v>0.2577</v>
      </c>
      <c r="P156" s="115">
        <v>1.3586</v>
      </c>
      <c r="Q156" s="115">
        <v>350.01</v>
      </c>
      <c r="R156" s="115">
        <v>307.01</v>
      </c>
      <c r="S156" s="115">
        <v>42.99</v>
      </c>
      <c r="T156" s="115">
        <v>127.44</v>
      </c>
      <c r="U156" s="115">
        <v>222.57</v>
      </c>
      <c r="V156" s="115">
        <v>407.18</v>
      </c>
      <c r="W156" s="115">
        <v>5.3468</v>
      </c>
      <c r="X156" s="115">
        <v>36.41</v>
      </c>
      <c r="Y156" s="115">
        <v>147.0</v>
      </c>
      <c r="Z156" s="115">
        <v>1048.0</v>
      </c>
      <c r="AA156" s="115">
        <v>6635.0</v>
      </c>
      <c r="AB156" s="115">
        <v>59.3288</v>
      </c>
      <c r="AC156" s="115">
        <v>0.8138</v>
      </c>
      <c r="AD156" s="115">
        <v>38.46</v>
      </c>
      <c r="AE156" s="115">
        <v>14.0</v>
      </c>
      <c r="AF156" s="115">
        <v>29.0</v>
      </c>
      <c r="AG156" s="115">
        <v>53.0</v>
      </c>
      <c r="AH156" s="115">
        <v>84.0</v>
      </c>
      <c r="AI156" s="115">
        <v>52.52</v>
      </c>
      <c r="AJ156" s="115">
        <v>21.2</v>
      </c>
      <c r="AK156" s="115">
        <v>6.03</v>
      </c>
      <c r="AL156" s="115">
        <v>0.1658</v>
      </c>
      <c r="AM156" s="115">
        <v>65.91</v>
      </c>
      <c r="AN156" s="115">
        <v>65.91</v>
      </c>
      <c r="AO156" s="115">
        <v>45.14</v>
      </c>
      <c r="AP156" s="115">
        <v>30.04</v>
      </c>
      <c r="AQ156" s="115">
        <v>17.4978</v>
      </c>
      <c r="AR156" s="115">
        <v>1.7845</v>
      </c>
      <c r="AS156" s="115">
        <v>15.7133</v>
      </c>
      <c r="AT156" s="115">
        <v>19.2922</v>
      </c>
      <c r="AU156" s="115">
        <v>0.2533</v>
      </c>
    </row>
    <row r="157" ht="15.75" customHeight="1">
      <c r="A157" s="116">
        <v>46187.0</v>
      </c>
      <c r="B157" s="115" t="s">
        <v>9</v>
      </c>
      <c r="C157" s="115" t="s">
        <v>133</v>
      </c>
      <c r="D157" s="115">
        <v>490.0</v>
      </c>
      <c r="E157" s="115">
        <v>0.61</v>
      </c>
      <c r="F157" s="115">
        <v>2247.32</v>
      </c>
      <c r="G157" s="115">
        <v>4.5864</v>
      </c>
      <c r="H157" s="115">
        <v>17.14</v>
      </c>
      <c r="I157" s="115">
        <v>26.7538</v>
      </c>
      <c r="J157" s="115">
        <v>262.79</v>
      </c>
      <c r="K157" s="115">
        <v>157.58</v>
      </c>
      <c r="L157" s="115">
        <v>129.41</v>
      </c>
      <c r="M157" s="115">
        <v>0.8213</v>
      </c>
      <c r="N157" s="115">
        <v>0.3084</v>
      </c>
      <c r="O157" s="115">
        <v>0.2096</v>
      </c>
      <c r="P157" s="115">
        <v>1.2176</v>
      </c>
      <c r="Q157" s="115">
        <v>707.79</v>
      </c>
      <c r="R157" s="115">
        <v>609.22</v>
      </c>
      <c r="S157" s="115">
        <v>98.57</v>
      </c>
      <c r="T157" s="115">
        <v>280.2</v>
      </c>
      <c r="U157" s="115">
        <v>427.59</v>
      </c>
      <c r="V157" s="115">
        <v>858.88</v>
      </c>
      <c r="W157" s="115">
        <v>5.4505</v>
      </c>
      <c r="X157" s="115">
        <v>39.59</v>
      </c>
      <c r="Y157" s="115">
        <v>324.0</v>
      </c>
      <c r="Z157" s="115">
        <v>2389.0</v>
      </c>
      <c r="AA157" s="115">
        <v>9501.0</v>
      </c>
      <c r="AB157" s="115">
        <v>62.7286</v>
      </c>
      <c r="AC157" s="115">
        <v>0.8737</v>
      </c>
      <c r="AD157" s="115">
        <v>84.93</v>
      </c>
      <c r="AE157" s="115">
        <v>32.0</v>
      </c>
      <c r="AF157" s="115">
        <v>74.0</v>
      </c>
      <c r="AG157" s="115">
        <v>118.0</v>
      </c>
      <c r="AH157" s="115">
        <v>178.0</v>
      </c>
      <c r="AI157" s="115">
        <v>47.55</v>
      </c>
      <c r="AJ157" s="115">
        <v>10.61</v>
      </c>
      <c r="AK157" s="115">
        <v>1.02</v>
      </c>
      <c r="AL157" s="115">
        <v>0.1306</v>
      </c>
      <c r="AM157" s="115">
        <v>71.22</v>
      </c>
      <c r="AN157" s="115">
        <v>71.22</v>
      </c>
      <c r="AO157" s="115">
        <v>50.2</v>
      </c>
      <c r="AP157" s="115">
        <v>37.96</v>
      </c>
      <c r="AQ157" s="115">
        <v>33.8857</v>
      </c>
      <c r="AR157" s="115">
        <v>3.5755</v>
      </c>
      <c r="AS157" s="115">
        <v>30.3102</v>
      </c>
      <c r="AT157" s="115">
        <v>37.1429</v>
      </c>
      <c r="AU157" s="115">
        <v>0.2357</v>
      </c>
    </row>
    <row r="158" ht="15.75" customHeight="1">
      <c r="A158" s="116">
        <v>46188.0</v>
      </c>
      <c r="B158" s="115" t="s">
        <v>8</v>
      </c>
      <c r="C158" s="115" t="s">
        <v>128</v>
      </c>
      <c r="D158" s="115">
        <v>15473.0</v>
      </c>
      <c r="E158" s="115">
        <v>18.12</v>
      </c>
      <c r="F158" s="115">
        <v>164.01</v>
      </c>
      <c r="G158" s="115">
        <v>0.0106</v>
      </c>
      <c r="H158" s="115">
        <v>0.09</v>
      </c>
      <c r="I158" s="115">
        <v>11.715</v>
      </c>
      <c r="J158" s="115">
        <v>5.78</v>
      </c>
      <c r="K158" s="115">
        <v>2.33</v>
      </c>
      <c r="L158" s="115">
        <v>0.08</v>
      </c>
      <c r="M158" s="115">
        <v>0.0357</v>
      </c>
      <c r="N158" s="115">
        <v>0.9695</v>
      </c>
      <c r="O158" s="115">
        <v>0.6951</v>
      </c>
      <c r="P158" s="115">
        <v>28.0062</v>
      </c>
      <c r="Q158" s="115">
        <v>38.2</v>
      </c>
      <c r="R158" s="115">
        <v>38.1</v>
      </c>
      <c r="S158" s="115">
        <v>0.1</v>
      </c>
      <c r="T158" s="115">
        <v>0.34</v>
      </c>
      <c r="U158" s="115">
        <v>37.86</v>
      </c>
      <c r="V158" s="115">
        <v>2.28</v>
      </c>
      <c r="W158" s="115">
        <v>0.9807</v>
      </c>
      <c r="X158" s="115">
        <v>0.89</v>
      </c>
      <c r="Y158" s="115">
        <v>361.0</v>
      </c>
      <c r="Z158" s="115">
        <v>3496.0</v>
      </c>
      <c r="AA158" s="115">
        <v>14374.0</v>
      </c>
      <c r="AB158" s="115">
        <v>49.9236</v>
      </c>
      <c r="AC158" s="115">
        <v>0.541</v>
      </c>
      <c r="AI158" s="115">
        <v>0.0</v>
      </c>
      <c r="AJ158" s="115">
        <v>0.0</v>
      </c>
      <c r="AK158" s="115">
        <v>0.0</v>
      </c>
      <c r="AL158" s="115">
        <v>0.2689</v>
      </c>
      <c r="AQ158" s="115">
        <v>1.5824</v>
      </c>
      <c r="AR158" s="115">
        <v>0.0061</v>
      </c>
      <c r="AS158" s="115">
        <v>1.5762</v>
      </c>
      <c r="AT158" s="115">
        <v>0.341</v>
      </c>
      <c r="AU158" s="115">
        <v>0.1464</v>
      </c>
    </row>
    <row r="159" ht="15.75" customHeight="1">
      <c r="A159" s="116">
        <v>46188.0</v>
      </c>
      <c r="B159" s="115" t="s">
        <v>8</v>
      </c>
      <c r="C159" s="115" t="s">
        <v>129</v>
      </c>
      <c r="D159" s="115">
        <v>33595.0</v>
      </c>
      <c r="E159" s="115">
        <v>39.33</v>
      </c>
      <c r="F159" s="115">
        <v>2998.9</v>
      </c>
      <c r="G159" s="115">
        <v>0.0893</v>
      </c>
      <c r="H159" s="115">
        <v>2.72</v>
      </c>
      <c r="I159" s="115">
        <v>3.2811</v>
      </c>
      <c r="J159" s="115">
        <v>34.07</v>
      </c>
      <c r="K159" s="115">
        <v>16.89</v>
      </c>
      <c r="L159" s="115">
        <v>5.84</v>
      </c>
      <c r="M159" s="115">
        <v>0.3458</v>
      </c>
      <c r="N159" s="115">
        <v>0.7707</v>
      </c>
      <c r="O159" s="115">
        <v>0.5522</v>
      </c>
      <c r="P159" s="115">
        <v>2.8922</v>
      </c>
      <c r="Q159" s="115">
        <v>85.36</v>
      </c>
      <c r="R159" s="115">
        <v>73.8</v>
      </c>
      <c r="S159" s="115">
        <v>11.55</v>
      </c>
      <c r="T159" s="115">
        <v>6.04</v>
      </c>
      <c r="U159" s="115">
        <v>79.31</v>
      </c>
      <c r="V159" s="115">
        <v>72.09</v>
      </c>
      <c r="W159" s="115">
        <v>4.2692</v>
      </c>
      <c r="X159" s="115">
        <v>7.08</v>
      </c>
      <c r="Y159" s="115">
        <v>119.0</v>
      </c>
      <c r="Z159" s="115">
        <v>426.0</v>
      </c>
      <c r="AA159" s="115">
        <v>3304.0</v>
      </c>
      <c r="AB159" s="115">
        <v>49.185</v>
      </c>
      <c r="AC159" s="115">
        <v>0.4805</v>
      </c>
      <c r="AD159" s="115">
        <v>3.83</v>
      </c>
      <c r="AE159" s="115">
        <v>1.0</v>
      </c>
      <c r="AF159" s="115">
        <v>2.0</v>
      </c>
      <c r="AG159" s="115">
        <v>5.0</v>
      </c>
      <c r="AH159" s="115">
        <v>9.0</v>
      </c>
      <c r="AI159" s="115">
        <v>71.74</v>
      </c>
      <c r="AJ159" s="115">
        <v>28.2</v>
      </c>
      <c r="AK159" s="115">
        <v>7.63</v>
      </c>
      <c r="AL159" s="115">
        <v>0.2198</v>
      </c>
      <c r="AQ159" s="115">
        <v>4.449</v>
      </c>
      <c r="AR159" s="115">
        <v>0.0639</v>
      </c>
      <c r="AS159" s="115">
        <v>4.3851</v>
      </c>
      <c r="AT159" s="115">
        <v>3.6365</v>
      </c>
      <c r="AU159" s="115">
        <v>0.2153</v>
      </c>
    </row>
    <row r="160" ht="15.75" customHeight="1">
      <c r="A160" s="116">
        <v>46188.0</v>
      </c>
      <c r="B160" s="115" t="s">
        <v>8</v>
      </c>
      <c r="C160" s="115" t="s">
        <v>130</v>
      </c>
      <c r="D160" s="115">
        <v>20294.0</v>
      </c>
      <c r="E160" s="115">
        <v>23.76</v>
      </c>
      <c r="F160" s="115">
        <v>7100.1</v>
      </c>
      <c r="G160" s="115">
        <v>0.3499</v>
      </c>
      <c r="H160" s="115">
        <v>7.46</v>
      </c>
      <c r="I160" s="115">
        <v>4.6927</v>
      </c>
      <c r="J160" s="115">
        <v>62.44</v>
      </c>
      <c r="K160" s="115">
        <v>31.74</v>
      </c>
      <c r="L160" s="115">
        <v>15.23</v>
      </c>
      <c r="M160" s="115">
        <v>0.4798</v>
      </c>
      <c r="N160" s="115">
        <v>0.6592</v>
      </c>
      <c r="O160" s="115">
        <v>0.4328</v>
      </c>
      <c r="P160" s="115">
        <v>2.084</v>
      </c>
      <c r="Q160" s="115">
        <v>159.81</v>
      </c>
      <c r="R160" s="115">
        <v>130.39</v>
      </c>
      <c r="S160" s="115">
        <v>29.42</v>
      </c>
      <c r="T160" s="115">
        <v>22.58</v>
      </c>
      <c r="U160" s="115">
        <v>137.23</v>
      </c>
      <c r="V160" s="115">
        <v>145.6</v>
      </c>
      <c r="W160" s="115">
        <v>4.5878</v>
      </c>
      <c r="X160" s="115">
        <v>14.13</v>
      </c>
      <c r="Y160" s="115">
        <v>110.0</v>
      </c>
      <c r="Z160" s="115">
        <v>410.0</v>
      </c>
      <c r="AA160" s="115">
        <v>3213.0</v>
      </c>
      <c r="AB160" s="115">
        <v>52.4494</v>
      </c>
      <c r="AC160" s="115">
        <v>0.5603</v>
      </c>
      <c r="AD160" s="115">
        <v>9.53</v>
      </c>
      <c r="AE160" s="115">
        <v>3.0</v>
      </c>
      <c r="AF160" s="115">
        <v>7.0</v>
      </c>
      <c r="AG160" s="115">
        <v>13.0</v>
      </c>
      <c r="AH160" s="115">
        <v>21.0</v>
      </c>
      <c r="AI160" s="115">
        <v>59.43</v>
      </c>
      <c r="AJ160" s="115">
        <v>27.15</v>
      </c>
      <c r="AK160" s="115">
        <v>5.33</v>
      </c>
      <c r="AL160" s="115">
        <v>0.1786</v>
      </c>
      <c r="AQ160" s="115">
        <v>8.235</v>
      </c>
      <c r="AR160" s="115">
        <v>0.2717</v>
      </c>
      <c r="AS160" s="115">
        <v>7.9633</v>
      </c>
      <c r="AT160" s="115">
        <v>6.9381</v>
      </c>
      <c r="AU160" s="115">
        <v>0.2186</v>
      </c>
    </row>
    <row r="161" ht="15.75" customHeight="1">
      <c r="A161" s="116">
        <v>46188.0</v>
      </c>
      <c r="B161" s="115" t="s">
        <v>8</v>
      </c>
      <c r="C161" s="115" t="s">
        <v>131</v>
      </c>
      <c r="D161" s="115">
        <v>11165.0</v>
      </c>
      <c r="E161" s="115">
        <v>13.07</v>
      </c>
      <c r="F161" s="115">
        <v>10925.48</v>
      </c>
      <c r="G161" s="115">
        <v>0.9785</v>
      </c>
      <c r="H161" s="115">
        <v>11.88</v>
      </c>
      <c r="I161" s="115">
        <v>8.2394</v>
      </c>
      <c r="J161" s="115">
        <v>90.21</v>
      </c>
      <c r="K161" s="115">
        <v>48.09</v>
      </c>
      <c r="L161" s="115">
        <v>30.56</v>
      </c>
      <c r="M161" s="115">
        <v>0.6356</v>
      </c>
      <c r="N161" s="115">
        <v>0.5144</v>
      </c>
      <c r="O161" s="115">
        <v>0.3318</v>
      </c>
      <c r="P161" s="115">
        <v>1.5734</v>
      </c>
      <c r="Q161" s="115">
        <v>281.67</v>
      </c>
      <c r="R161" s="115">
        <v>222.12</v>
      </c>
      <c r="S161" s="115">
        <v>59.55</v>
      </c>
      <c r="T161" s="115">
        <v>61.57</v>
      </c>
      <c r="U161" s="115">
        <v>220.1</v>
      </c>
      <c r="V161" s="115">
        <v>266.09</v>
      </c>
      <c r="W161" s="115">
        <v>5.5334</v>
      </c>
      <c r="X161" s="115">
        <v>21.86</v>
      </c>
      <c r="Y161" s="115">
        <v>125.0</v>
      </c>
      <c r="Z161" s="115">
        <v>581.0</v>
      </c>
      <c r="AA161" s="115">
        <v>4475.0</v>
      </c>
      <c r="AB161" s="115">
        <v>55.3849</v>
      </c>
      <c r="AC161" s="115">
        <v>0.6444</v>
      </c>
      <c r="AD161" s="115">
        <v>19.1</v>
      </c>
      <c r="AE161" s="115">
        <v>8.0</v>
      </c>
      <c r="AF161" s="115">
        <v>16.0</v>
      </c>
      <c r="AG161" s="115">
        <v>27.0</v>
      </c>
      <c r="AH161" s="115">
        <v>39.0</v>
      </c>
      <c r="AI161" s="115">
        <v>63.78</v>
      </c>
      <c r="AJ161" s="115">
        <v>27.73</v>
      </c>
      <c r="AK161" s="115">
        <v>6.64</v>
      </c>
      <c r="AL161" s="115">
        <v>0.1654</v>
      </c>
      <c r="AQ161" s="115">
        <v>12.5592</v>
      </c>
      <c r="AR161" s="115">
        <v>0.7264</v>
      </c>
      <c r="AS161" s="115">
        <v>11.8328</v>
      </c>
      <c r="AT161" s="115">
        <v>10.9651</v>
      </c>
      <c r="AU161" s="115">
        <v>0.228</v>
      </c>
    </row>
    <row r="162" ht="15.75" customHeight="1">
      <c r="A162" s="116">
        <v>46188.0</v>
      </c>
      <c r="B162" s="115" t="s">
        <v>8</v>
      </c>
      <c r="C162" s="115" t="s">
        <v>132</v>
      </c>
      <c r="D162" s="115">
        <v>4450.0</v>
      </c>
      <c r="E162" s="115">
        <v>5.21</v>
      </c>
      <c r="F162" s="115">
        <v>9944.86</v>
      </c>
      <c r="G162" s="115">
        <v>2.2348</v>
      </c>
      <c r="H162" s="115">
        <v>15.12</v>
      </c>
      <c r="I162" s="115">
        <v>14.7769</v>
      </c>
      <c r="J162" s="115">
        <v>142.8</v>
      </c>
      <c r="K162" s="115">
        <v>81.12</v>
      </c>
      <c r="L162" s="115">
        <v>62.76</v>
      </c>
      <c r="M162" s="115">
        <v>0.7737</v>
      </c>
      <c r="N162" s="115">
        <v>0.3779</v>
      </c>
      <c r="O162" s="115">
        <v>0.2551</v>
      </c>
      <c r="P162" s="115">
        <v>1.2925</v>
      </c>
      <c r="Q162" s="115">
        <v>515.54</v>
      </c>
      <c r="R162" s="115">
        <v>397.06</v>
      </c>
      <c r="S162" s="115">
        <v>118.49</v>
      </c>
      <c r="T162" s="115">
        <v>140.26</v>
      </c>
      <c r="U162" s="115">
        <v>375.28</v>
      </c>
      <c r="V162" s="115">
        <v>495.52</v>
      </c>
      <c r="W162" s="115">
        <v>6.1087</v>
      </c>
      <c r="X162" s="115">
        <v>27.21</v>
      </c>
      <c r="Y162" s="115">
        <v>197.0</v>
      </c>
      <c r="Z162" s="115">
        <v>1534.0</v>
      </c>
      <c r="AA162" s="115">
        <v>9556.0</v>
      </c>
      <c r="AB162" s="115">
        <v>58.6714</v>
      </c>
      <c r="AC162" s="115">
        <v>0.6992</v>
      </c>
      <c r="AD162" s="115">
        <v>38.52</v>
      </c>
      <c r="AE162" s="115">
        <v>17.0</v>
      </c>
      <c r="AF162" s="115">
        <v>32.0</v>
      </c>
      <c r="AG162" s="115">
        <v>50.0</v>
      </c>
      <c r="AH162" s="115">
        <v>78.0</v>
      </c>
      <c r="AI162" s="115">
        <v>57.84</v>
      </c>
      <c r="AJ162" s="115">
        <v>18.85</v>
      </c>
      <c r="AK162" s="115">
        <v>4.7</v>
      </c>
      <c r="AL162" s="115">
        <v>0.1209</v>
      </c>
      <c r="AQ162" s="115">
        <v>19.8476</v>
      </c>
      <c r="AR162" s="115">
        <v>1.784</v>
      </c>
      <c r="AS162" s="115">
        <v>18.0636</v>
      </c>
      <c r="AT162" s="115">
        <v>18.604</v>
      </c>
      <c r="AU162" s="115">
        <v>0.2293</v>
      </c>
    </row>
    <row r="163" ht="15.75" customHeight="1">
      <c r="A163" s="116">
        <v>46188.0</v>
      </c>
      <c r="B163" s="115" t="s">
        <v>8</v>
      </c>
      <c r="C163" s="115" t="s">
        <v>133</v>
      </c>
      <c r="D163" s="115">
        <v>437.0</v>
      </c>
      <c r="E163" s="115">
        <v>0.51</v>
      </c>
      <c r="F163" s="115">
        <v>1253.1</v>
      </c>
      <c r="G163" s="115">
        <v>2.8675</v>
      </c>
      <c r="H163" s="115">
        <v>14.65</v>
      </c>
      <c r="I163" s="115">
        <v>19.5797</v>
      </c>
      <c r="J163" s="115">
        <v>250.3</v>
      </c>
      <c r="K163" s="115">
        <v>151.71</v>
      </c>
      <c r="L163" s="115">
        <v>128.49</v>
      </c>
      <c r="M163" s="115">
        <v>0.847</v>
      </c>
      <c r="N163" s="115">
        <v>0.2867</v>
      </c>
      <c r="O163" s="115">
        <v>0.2001</v>
      </c>
      <c r="P163" s="115">
        <v>1.1807</v>
      </c>
      <c r="Q163" s="115">
        <v>853.43</v>
      </c>
      <c r="R163" s="115">
        <v>580.93</v>
      </c>
      <c r="S163" s="115">
        <v>272.49</v>
      </c>
      <c r="T163" s="115">
        <v>184.5</v>
      </c>
      <c r="U163" s="115">
        <v>668.93</v>
      </c>
      <c r="V163" s="115">
        <v>855.49</v>
      </c>
      <c r="W163" s="115">
        <v>5.6388</v>
      </c>
      <c r="X163" s="115">
        <v>21.62</v>
      </c>
      <c r="Y163" s="115">
        <v>364.0</v>
      </c>
      <c r="Z163" s="115">
        <v>2388.0</v>
      </c>
      <c r="AA163" s="115">
        <v>8604.0</v>
      </c>
      <c r="AB163" s="115">
        <v>63.0742</v>
      </c>
      <c r="AC163" s="115">
        <v>0.8633</v>
      </c>
      <c r="AD163" s="115">
        <v>89.8</v>
      </c>
      <c r="AE163" s="115">
        <v>37.0</v>
      </c>
      <c r="AF163" s="115">
        <v>75.0</v>
      </c>
      <c r="AG163" s="115">
        <v>123.0</v>
      </c>
      <c r="AH163" s="115">
        <v>182.0</v>
      </c>
      <c r="AI163" s="115">
        <v>47.37</v>
      </c>
      <c r="AJ163" s="115">
        <v>11.67</v>
      </c>
      <c r="AK163" s="115">
        <v>1.37</v>
      </c>
      <c r="AL163" s="115">
        <v>0.0778</v>
      </c>
      <c r="AQ163" s="115">
        <v>34.7529</v>
      </c>
      <c r="AR163" s="115">
        <v>2.5446</v>
      </c>
      <c r="AS163" s="115">
        <v>32.2082</v>
      </c>
      <c r="AT163" s="115">
        <v>32.4439</v>
      </c>
      <c r="AU163" s="115">
        <v>0.2138</v>
      </c>
    </row>
    <row r="164" ht="15.75" customHeight="1">
      <c r="A164" s="116">
        <v>46188.0</v>
      </c>
      <c r="B164" s="115" t="s">
        <v>9</v>
      </c>
      <c r="C164" s="115" t="s">
        <v>128</v>
      </c>
      <c r="D164" s="115">
        <v>15985.0</v>
      </c>
      <c r="E164" s="115">
        <v>18.71</v>
      </c>
      <c r="F164" s="115">
        <v>80.03</v>
      </c>
      <c r="G164" s="115">
        <v>0.005</v>
      </c>
      <c r="H164" s="115">
        <v>0.08</v>
      </c>
      <c r="I164" s="115">
        <v>6.1562</v>
      </c>
      <c r="J164" s="115">
        <v>6.04</v>
      </c>
      <c r="K164" s="115">
        <v>2.56</v>
      </c>
      <c r="L164" s="115">
        <v>0.1</v>
      </c>
      <c r="M164" s="115">
        <v>0.0382</v>
      </c>
      <c r="N164" s="115">
        <v>0.9669</v>
      </c>
      <c r="O164" s="115">
        <v>0.6455</v>
      </c>
      <c r="P164" s="115">
        <v>26.1746</v>
      </c>
      <c r="Q164" s="115">
        <v>35.15</v>
      </c>
      <c r="R164" s="115">
        <v>35.09</v>
      </c>
      <c r="S164" s="115">
        <v>0.06</v>
      </c>
      <c r="T164" s="115">
        <v>0.44</v>
      </c>
      <c r="U164" s="115">
        <v>34.7</v>
      </c>
      <c r="V164" s="115">
        <v>2.3</v>
      </c>
      <c r="W164" s="115">
        <v>0.8965</v>
      </c>
      <c r="X164" s="115">
        <v>1.27</v>
      </c>
      <c r="Y164" s="115">
        <v>268.0</v>
      </c>
      <c r="Z164" s="115">
        <v>3237.0</v>
      </c>
      <c r="AA164" s="115">
        <v>13309.0</v>
      </c>
      <c r="AB164" s="115">
        <v>49.8246</v>
      </c>
      <c r="AC164" s="115">
        <v>0.5415</v>
      </c>
      <c r="AI164" s="115">
        <v>0.0</v>
      </c>
      <c r="AJ164" s="115">
        <v>0.0</v>
      </c>
      <c r="AK164" s="115">
        <v>0.0</v>
      </c>
      <c r="AL164" s="115">
        <v>0.2677</v>
      </c>
      <c r="AM164" s="115">
        <v>0.38</v>
      </c>
      <c r="AN164" s="115">
        <v>0.38</v>
      </c>
      <c r="AO164" s="115">
        <v>0.22</v>
      </c>
      <c r="AP164" s="115">
        <v>0.12</v>
      </c>
      <c r="AQ164" s="115">
        <v>1.5859</v>
      </c>
      <c r="AR164" s="115">
        <v>0.005</v>
      </c>
      <c r="AS164" s="115">
        <v>1.5809</v>
      </c>
      <c r="AT164" s="115">
        <v>0.4044</v>
      </c>
      <c r="AU164" s="115">
        <v>0.1579</v>
      </c>
    </row>
    <row r="165" ht="15.75" customHeight="1">
      <c r="A165" s="116">
        <v>46188.0</v>
      </c>
      <c r="B165" s="115" t="s">
        <v>9</v>
      </c>
      <c r="C165" s="115" t="s">
        <v>129</v>
      </c>
      <c r="D165" s="115">
        <v>32105.0</v>
      </c>
      <c r="E165" s="115">
        <v>37.58</v>
      </c>
      <c r="F165" s="115">
        <v>2537.26</v>
      </c>
      <c r="G165" s="115">
        <v>0.079</v>
      </c>
      <c r="H165" s="115">
        <v>2.64</v>
      </c>
      <c r="I165" s="115">
        <v>2.9991</v>
      </c>
      <c r="J165" s="115">
        <v>34.87</v>
      </c>
      <c r="K165" s="115">
        <v>17.17</v>
      </c>
      <c r="L165" s="115">
        <v>5.85</v>
      </c>
      <c r="M165" s="115">
        <v>0.3408</v>
      </c>
      <c r="N165" s="115">
        <v>0.7718</v>
      </c>
      <c r="O165" s="115">
        <v>0.5497</v>
      </c>
      <c r="P165" s="115">
        <v>2.9341</v>
      </c>
      <c r="Q165" s="115">
        <v>78.01</v>
      </c>
      <c r="R165" s="115">
        <v>73.77</v>
      </c>
      <c r="S165" s="115">
        <v>4.24</v>
      </c>
      <c r="T165" s="115">
        <v>5.57</v>
      </c>
      <c r="U165" s="115">
        <v>72.45</v>
      </c>
      <c r="V165" s="115">
        <v>66.73</v>
      </c>
      <c r="W165" s="115">
        <v>3.8875</v>
      </c>
      <c r="X165" s="115">
        <v>7.13</v>
      </c>
      <c r="Y165" s="115">
        <v>106.0</v>
      </c>
      <c r="Z165" s="115">
        <v>375.0</v>
      </c>
      <c r="AA165" s="115">
        <v>2809.0</v>
      </c>
      <c r="AB165" s="115">
        <v>49.2688</v>
      </c>
      <c r="AC165" s="115">
        <v>0.4804</v>
      </c>
      <c r="AD165" s="115">
        <v>3.8</v>
      </c>
      <c r="AE165" s="115">
        <v>1.0</v>
      </c>
      <c r="AF165" s="115">
        <v>2.0</v>
      </c>
      <c r="AG165" s="115">
        <v>5.0</v>
      </c>
      <c r="AH165" s="115">
        <v>8.0</v>
      </c>
      <c r="AI165" s="115">
        <v>71.33</v>
      </c>
      <c r="AJ165" s="115">
        <v>27.97</v>
      </c>
      <c r="AK165" s="115">
        <v>7.35</v>
      </c>
      <c r="AL165" s="115">
        <v>0.2234</v>
      </c>
      <c r="AM165" s="115">
        <v>55.2</v>
      </c>
      <c r="AN165" s="115">
        <v>55.2</v>
      </c>
      <c r="AO165" s="115">
        <v>22.64</v>
      </c>
      <c r="AP165" s="115">
        <v>6.46</v>
      </c>
      <c r="AQ165" s="115">
        <v>4.7951</v>
      </c>
      <c r="AR165" s="115">
        <v>0.0596</v>
      </c>
      <c r="AS165" s="115">
        <v>4.7355</v>
      </c>
      <c r="AT165" s="115">
        <v>3.8621</v>
      </c>
      <c r="AU165" s="115">
        <v>0.225</v>
      </c>
    </row>
    <row r="166" ht="15.75" customHeight="1">
      <c r="A166" s="116">
        <v>46188.0</v>
      </c>
      <c r="B166" s="115" t="s">
        <v>9</v>
      </c>
      <c r="C166" s="115" t="s">
        <v>130</v>
      </c>
      <c r="D166" s="115">
        <v>20247.0</v>
      </c>
      <c r="E166" s="115">
        <v>23.7</v>
      </c>
      <c r="F166" s="115">
        <v>7579.28</v>
      </c>
      <c r="G166" s="115">
        <v>0.3743</v>
      </c>
      <c r="H166" s="115">
        <v>7.74</v>
      </c>
      <c r="I166" s="115">
        <v>4.8337</v>
      </c>
      <c r="J166" s="115">
        <v>64.63</v>
      </c>
      <c r="K166" s="115">
        <v>32.92</v>
      </c>
      <c r="L166" s="115">
        <v>15.33</v>
      </c>
      <c r="M166" s="115">
        <v>0.4656</v>
      </c>
      <c r="N166" s="115">
        <v>0.667</v>
      </c>
      <c r="O166" s="115">
        <v>0.4331</v>
      </c>
      <c r="P166" s="115">
        <v>2.1479</v>
      </c>
      <c r="Q166" s="115">
        <v>154.38</v>
      </c>
      <c r="R166" s="115">
        <v>143.38</v>
      </c>
      <c r="S166" s="115">
        <v>10.99</v>
      </c>
      <c r="T166" s="115">
        <v>23.51</v>
      </c>
      <c r="U166" s="115">
        <v>130.87</v>
      </c>
      <c r="V166" s="115">
        <v>140.57</v>
      </c>
      <c r="W166" s="115">
        <v>4.2696</v>
      </c>
      <c r="X166" s="115">
        <v>15.23</v>
      </c>
      <c r="Y166" s="115">
        <v>105.0</v>
      </c>
      <c r="Z166" s="115">
        <v>387.0</v>
      </c>
      <c r="AA166" s="115">
        <v>2915.0</v>
      </c>
      <c r="AB166" s="115">
        <v>52.2979</v>
      </c>
      <c r="AC166" s="115">
        <v>0.5545</v>
      </c>
      <c r="AD166" s="115">
        <v>9.55</v>
      </c>
      <c r="AE166" s="115">
        <v>3.0</v>
      </c>
      <c r="AF166" s="115">
        <v>7.0</v>
      </c>
      <c r="AG166" s="115">
        <v>13.0</v>
      </c>
      <c r="AH166" s="115">
        <v>21.0</v>
      </c>
      <c r="AI166" s="115">
        <v>58.59</v>
      </c>
      <c r="AJ166" s="115">
        <v>26.86</v>
      </c>
      <c r="AK166" s="115">
        <v>5.68</v>
      </c>
      <c r="AL166" s="115">
        <v>0.1727</v>
      </c>
      <c r="AM166" s="115">
        <v>62.94</v>
      </c>
      <c r="AN166" s="115">
        <v>62.94</v>
      </c>
      <c r="AO166" s="115">
        <v>37.53</v>
      </c>
      <c r="AP166" s="115">
        <v>17.32</v>
      </c>
      <c r="AQ166" s="115">
        <v>8.9845</v>
      </c>
      <c r="AR166" s="115">
        <v>0.2708</v>
      </c>
      <c r="AS166" s="115">
        <v>8.7137</v>
      </c>
      <c r="AT166" s="115">
        <v>7.4741</v>
      </c>
      <c r="AU166" s="115">
        <v>0.227</v>
      </c>
    </row>
    <row r="167" ht="15.75" customHeight="1">
      <c r="A167" s="116">
        <v>46188.0</v>
      </c>
      <c r="B167" s="115" t="s">
        <v>9</v>
      </c>
      <c r="C167" s="115" t="s">
        <v>131</v>
      </c>
      <c r="D167" s="115">
        <v>11702.0</v>
      </c>
      <c r="E167" s="115">
        <v>13.7</v>
      </c>
      <c r="F167" s="115">
        <v>11139.66</v>
      </c>
      <c r="G167" s="115">
        <v>0.9519</v>
      </c>
      <c r="H167" s="115">
        <v>11.86</v>
      </c>
      <c r="I167" s="115">
        <v>8.0257</v>
      </c>
      <c r="J167" s="115">
        <v>92.37</v>
      </c>
      <c r="K167" s="115">
        <v>49.31</v>
      </c>
      <c r="L167" s="115">
        <v>31.15</v>
      </c>
      <c r="M167" s="115">
        <v>0.6318</v>
      </c>
      <c r="N167" s="115">
        <v>0.5173</v>
      </c>
      <c r="O167" s="115">
        <v>0.3297</v>
      </c>
      <c r="P167" s="115">
        <v>1.5829</v>
      </c>
      <c r="Q167" s="115">
        <v>286.07</v>
      </c>
      <c r="R167" s="115">
        <v>264.59</v>
      </c>
      <c r="S167" s="115">
        <v>21.48</v>
      </c>
      <c r="T167" s="115">
        <v>60.34</v>
      </c>
      <c r="U167" s="115">
        <v>225.72</v>
      </c>
      <c r="V167" s="115">
        <v>264.92</v>
      </c>
      <c r="W167" s="115">
        <v>5.373</v>
      </c>
      <c r="X167" s="115">
        <v>21.09</v>
      </c>
      <c r="Y167" s="115">
        <v>119.0</v>
      </c>
      <c r="Z167" s="115">
        <v>586.0</v>
      </c>
      <c r="AA167" s="115">
        <v>4749.0</v>
      </c>
      <c r="AB167" s="115">
        <v>55.3225</v>
      </c>
      <c r="AC167" s="115">
        <v>0.6414</v>
      </c>
      <c r="AD167" s="115">
        <v>19.25</v>
      </c>
      <c r="AE167" s="115">
        <v>8.0</v>
      </c>
      <c r="AF167" s="115">
        <v>15.0</v>
      </c>
      <c r="AG167" s="115">
        <v>27.0</v>
      </c>
      <c r="AH167" s="115">
        <v>40.0</v>
      </c>
      <c r="AI167" s="115">
        <v>63.9</v>
      </c>
      <c r="AJ167" s="115">
        <v>27.95</v>
      </c>
      <c r="AK167" s="115">
        <v>7.39</v>
      </c>
      <c r="AL167" s="115">
        <v>0.1603</v>
      </c>
      <c r="AM167" s="115">
        <v>66.37</v>
      </c>
      <c r="AN167" s="115">
        <v>66.37</v>
      </c>
      <c r="AO167" s="115">
        <v>43.59</v>
      </c>
      <c r="AP167" s="115">
        <v>23.11</v>
      </c>
      <c r="AQ167" s="115">
        <v>13.4525</v>
      </c>
      <c r="AR167" s="115">
        <v>0.734</v>
      </c>
      <c r="AS167" s="115">
        <v>12.7185</v>
      </c>
      <c r="AT167" s="115">
        <v>11.5826</v>
      </c>
      <c r="AU167" s="115">
        <v>0.2349</v>
      </c>
    </row>
    <row r="168" ht="15.75" customHeight="1">
      <c r="A168" s="116">
        <v>46188.0</v>
      </c>
      <c r="B168" s="115" t="s">
        <v>9</v>
      </c>
      <c r="C168" s="115" t="s">
        <v>132</v>
      </c>
      <c r="D168" s="115">
        <v>4918.0</v>
      </c>
      <c r="E168" s="115">
        <v>5.76</v>
      </c>
      <c r="F168" s="115">
        <v>9300.72</v>
      </c>
      <c r="G168" s="115">
        <v>1.8912</v>
      </c>
      <c r="H168" s="115">
        <v>14.66</v>
      </c>
      <c r="I168" s="115">
        <v>12.8998</v>
      </c>
      <c r="J168" s="115">
        <v>147.6</v>
      </c>
      <c r="K168" s="115">
        <v>83.26</v>
      </c>
      <c r="L168" s="115">
        <v>64.97</v>
      </c>
      <c r="M168" s="115">
        <v>0.7803</v>
      </c>
      <c r="N168" s="115">
        <v>0.3709</v>
      </c>
      <c r="O168" s="115">
        <v>0.2487</v>
      </c>
      <c r="P168" s="115">
        <v>1.2815</v>
      </c>
      <c r="Q168" s="115">
        <v>529.47</v>
      </c>
      <c r="R168" s="115">
        <v>487.25</v>
      </c>
      <c r="S168" s="115">
        <v>42.22</v>
      </c>
      <c r="T168" s="115">
        <v>122.79</v>
      </c>
      <c r="U168" s="115">
        <v>406.68</v>
      </c>
      <c r="V168" s="115">
        <v>522.53</v>
      </c>
      <c r="W168" s="115">
        <v>6.2759</v>
      </c>
      <c r="X168" s="115">
        <v>23.19</v>
      </c>
      <c r="Y168" s="115">
        <v>235.0</v>
      </c>
      <c r="Z168" s="115">
        <v>1465.0</v>
      </c>
      <c r="AA168" s="115">
        <v>8199.0</v>
      </c>
      <c r="AB168" s="115">
        <v>58.8597</v>
      </c>
      <c r="AC168" s="115">
        <v>0.6869</v>
      </c>
      <c r="AD168" s="115">
        <v>39.23</v>
      </c>
      <c r="AE168" s="115">
        <v>17.0</v>
      </c>
      <c r="AF168" s="115">
        <v>34.0</v>
      </c>
      <c r="AG168" s="115">
        <v>51.0</v>
      </c>
      <c r="AH168" s="115">
        <v>79.0</v>
      </c>
      <c r="AI168" s="115">
        <v>58.78</v>
      </c>
      <c r="AJ168" s="115">
        <v>19.54</v>
      </c>
      <c r="AK168" s="115">
        <v>5.27</v>
      </c>
      <c r="AL168" s="115">
        <v>0.1181</v>
      </c>
      <c r="AM168" s="115">
        <v>71.7</v>
      </c>
      <c r="AN168" s="115">
        <v>71.7</v>
      </c>
      <c r="AO168" s="115">
        <v>49.51</v>
      </c>
      <c r="AP168" s="115">
        <v>31.07</v>
      </c>
      <c r="AQ168" s="115">
        <v>21.1812</v>
      </c>
      <c r="AR168" s="115">
        <v>2.0266</v>
      </c>
      <c r="AS168" s="115">
        <v>19.1545</v>
      </c>
      <c r="AT168" s="115">
        <v>19.4386</v>
      </c>
      <c r="AU168" s="115">
        <v>0.2335</v>
      </c>
    </row>
    <row r="169" ht="15.75" customHeight="1">
      <c r="A169" s="116">
        <v>46188.0</v>
      </c>
      <c r="B169" s="115" t="s">
        <v>9</v>
      </c>
      <c r="C169" s="115" t="s">
        <v>133</v>
      </c>
      <c r="D169" s="115">
        <v>478.0</v>
      </c>
      <c r="E169" s="115">
        <v>0.56</v>
      </c>
      <c r="F169" s="115">
        <v>2229.31</v>
      </c>
      <c r="G169" s="115">
        <v>4.6638</v>
      </c>
      <c r="H169" s="115">
        <v>16.11</v>
      </c>
      <c r="I169" s="115">
        <v>28.9521</v>
      </c>
      <c r="J169" s="115">
        <v>262.01</v>
      </c>
      <c r="K169" s="115">
        <v>155.86</v>
      </c>
      <c r="L169" s="115">
        <v>131.49</v>
      </c>
      <c r="M169" s="115">
        <v>0.8437</v>
      </c>
      <c r="N169" s="115">
        <v>0.2941</v>
      </c>
      <c r="O169" s="115">
        <v>0.2091</v>
      </c>
      <c r="P169" s="115">
        <v>1.1853</v>
      </c>
      <c r="Q169" s="115">
        <v>939.64</v>
      </c>
      <c r="R169" s="115">
        <v>840.39</v>
      </c>
      <c r="S169" s="115">
        <v>99.25</v>
      </c>
      <c r="T169" s="115">
        <v>300.42</v>
      </c>
      <c r="U169" s="115">
        <v>639.22</v>
      </c>
      <c r="V169" s="115">
        <v>936.4</v>
      </c>
      <c r="W169" s="115">
        <v>6.008</v>
      </c>
      <c r="X169" s="115">
        <v>31.97</v>
      </c>
      <c r="Y169" s="115">
        <v>280.0</v>
      </c>
      <c r="Z169" s="115">
        <v>2466.0</v>
      </c>
      <c r="AA169" s="115">
        <v>8893.0</v>
      </c>
      <c r="AB169" s="115">
        <v>62.4476</v>
      </c>
      <c r="AC169" s="115">
        <v>0.8553</v>
      </c>
      <c r="AD169" s="115">
        <v>88.97</v>
      </c>
      <c r="AE169" s="115">
        <v>38.0</v>
      </c>
      <c r="AF169" s="115">
        <v>78.0</v>
      </c>
      <c r="AG169" s="115">
        <v>123.0</v>
      </c>
      <c r="AH169" s="115">
        <v>173.0</v>
      </c>
      <c r="AI169" s="115">
        <v>49.37</v>
      </c>
      <c r="AJ169" s="115">
        <v>10.25</v>
      </c>
      <c r="AK169" s="115">
        <v>1.67</v>
      </c>
      <c r="AL169" s="115">
        <v>0.1172</v>
      </c>
      <c r="AM169" s="115">
        <v>74.69</v>
      </c>
      <c r="AN169" s="115">
        <v>74.69</v>
      </c>
      <c r="AO169" s="115">
        <v>53.77</v>
      </c>
      <c r="AP169" s="115">
        <v>40.59</v>
      </c>
      <c r="AQ169" s="115">
        <v>38.1444</v>
      </c>
      <c r="AR169" s="115">
        <v>4.1276</v>
      </c>
      <c r="AS169" s="115">
        <v>34.0167</v>
      </c>
      <c r="AT169" s="115">
        <v>34.7155</v>
      </c>
      <c r="AU169" s="115">
        <v>0.2227</v>
      </c>
    </row>
    <row r="170" ht="15.75" customHeight="1">
      <c r="A170" s="116">
        <v>46189.0</v>
      </c>
      <c r="B170" s="115" t="s">
        <v>8</v>
      </c>
      <c r="C170" s="115" t="s">
        <v>128</v>
      </c>
      <c r="D170" s="115">
        <v>16582.0</v>
      </c>
      <c r="E170" s="115">
        <v>19.5</v>
      </c>
      <c r="F170" s="115">
        <v>28.69</v>
      </c>
      <c r="G170" s="115">
        <v>0.0017</v>
      </c>
      <c r="H170" s="115">
        <v>0.09</v>
      </c>
      <c r="I170" s="115">
        <v>1.9127</v>
      </c>
      <c r="J170" s="115">
        <v>6.51</v>
      </c>
      <c r="K170" s="115">
        <v>2.79</v>
      </c>
      <c r="L170" s="115">
        <v>0.11</v>
      </c>
      <c r="M170" s="115">
        <v>0.0377</v>
      </c>
      <c r="N170" s="115">
        <v>0.9669</v>
      </c>
      <c r="O170" s="115">
        <v>0.6633</v>
      </c>
      <c r="P170" s="115">
        <v>26.494</v>
      </c>
      <c r="Q170" s="115">
        <v>25.22</v>
      </c>
      <c r="R170" s="115">
        <v>25.13</v>
      </c>
      <c r="S170" s="115">
        <v>0.09</v>
      </c>
      <c r="T170" s="115">
        <v>0.28</v>
      </c>
      <c r="U170" s="115">
        <v>24.94</v>
      </c>
      <c r="V170" s="115">
        <v>2.67</v>
      </c>
      <c r="W170" s="115">
        <v>0.955</v>
      </c>
      <c r="X170" s="115">
        <v>1.11</v>
      </c>
      <c r="Y170" s="115">
        <v>233.0</v>
      </c>
      <c r="Z170" s="115">
        <v>2753.0</v>
      </c>
      <c r="AA170" s="115">
        <v>13324.0</v>
      </c>
      <c r="AB170" s="115">
        <v>49.4308</v>
      </c>
      <c r="AC170" s="115">
        <v>0.5202</v>
      </c>
      <c r="AI170" s="115">
        <v>0.0</v>
      </c>
      <c r="AJ170" s="115">
        <v>0.0</v>
      </c>
      <c r="AK170" s="115">
        <v>0.0</v>
      </c>
      <c r="AL170" s="115">
        <v>0.2603</v>
      </c>
      <c r="AQ170" s="115">
        <v>1.03</v>
      </c>
      <c r="AR170" s="115">
        <v>0.0057</v>
      </c>
      <c r="AS170" s="115">
        <v>1.0242</v>
      </c>
      <c r="AT170" s="115">
        <v>0.3778</v>
      </c>
      <c r="AU170" s="115">
        <v>0.1354</v>
      </c>
    </row>
    <row r="171" ht="15.75" customHeight="1">
      <c r="A171" s="116">
        <v>46189.0</v>
      </c>
      <c r="B171" s="115" t="s">
        <v>8</v>
      </c>
      <c r="C171" s="115" t="s">
        <v>129</v>
      </c>
      <c r="D171" s="115">
        <v>33234.0</v>
      </c>
      <c r="E171" s="115">
        <v>39.09</v>
      </c>
      <c r="F171" s="115">
        <v>2680.95</v>
      </c>
      <c r="G171" s="115">
        <v>0.0807</v>
      </c>
      <c r="H171" s="115">
        <v>2.68</v>
      </c>
      <c r="I171" s="115">
        <v>3.0089</v>
      </c>
      <c r="J171" s="115">
        <v>28.9</v>
      </c>
      <c r="K171" s="115">
        <v>14.02</v>
      </c>
      <c r="L171" s="115">
        <v>5.27</v>
      </c>
      <c r="M171" s="115">
        <v>0.3755</v>
      </c>
      <c r="N171" s="115">
        <v>0.7513</v>
      </c>
      <c r="O171" s="115">
        <v>0.5416</v>
      </c>
      <c r="P171" s="115">
        <v>2.6628</v>
      </c>
      <c r="Q171" s="115">
        <v>58.03</v>
      </c>
      <c r="R171" s="115">
        <v>47.02</v>
      </c>
      <c r="S171" s="115">
        <v>11.01</v>
      </c>
      <c r="T171" s="115">
        <v>5.76</v>
      </c>
      <c r="U171" s="115">
        <v>52.27</v>
      </c>
      <c r="V171" s="115">
        <v>61.91</v>
      </c>
      <c r="W171" s="115">
        <v>4.4146</v>
      </c>
      <c r="X171" s="115">
        <v>9.92</v>
      </c>
      <c r="Y171" s="115">
        <v>110.0</v>
      </c>
      <c r="Z171" s="115">
        <v>441.0</v>
      </c>
      <c r="AA171" s="115">
        <v>3241.0</v>
      </c>
      <c r="AB171" s="115">
        <v>49.3438</v>
      </c>
      <c r="AC171" s="115">
        <v>0.4855</v>
      </c>
      <c r="AD171" s="115">
        <v>3.75</v>
      </c>
      <c r="AE171" s="115">
        <v>1.0</v>
      </c>
      <c r="AF171" s="115">
        <v>2.0</v>
      </c>
      <c r="AG171" s="115">
        <v>5.0</v>
      </c>
      <c r="AH171" s="115">
        <v>9.0</v>
      </c>
      <c r="AI171" s="115">
        <v>69.29</v>
      </c>
      <c r="AJ171" s="115">
        <v>27.27</v>
      </c>
      <c r="AK171" s="115">
        <v>7.91</v>
      </c>
      <c r="AL171" s="115">
        <v>0.2255</v>
      </c>
      <c r="AQ171" s="115">
        <v>3.0608</v>
      </c>
      <c r="AR171" s="115">
        <v>0.0671</v>
      </c>
      <c r="AS171" s="115">
        <v>2.9937</v>
      </c>
      <c r="AT171" s="115">
        <v>3.1899</v>
      </c>
      <c r="AU171" s="115">
        <v>0.2275</v>
      </c>
    </row>
    <row r="172" ht="15.75" customHeight="1">
      <c r="A172" s="116">
        <v>46189.0</v>
      </c>
      <c r="B172" s="115" t="s">
        <v>8</v>
      </c>
      <c r="C172" s="115" t="s">
        <v>130</v>
      </c>
      <c r="D172" s="115">
        <v>20153.0</v>
      </c>
      <c r="E172" s="115">
        <v>23.7</v>
      </c>
      <c r="F172" s="115">
        <v>7275.34</v>
      </c>
      <c r="G172" s="115">
        <v>0.361</v>
      </c>
      <c r="H172" s="115">
        <v>7.92</v>
      </c>
      <c r="I172" s="115">
        <v>4.5556</v>
      </c>
      <c r="J172" s="115">
        <v>54.66</v>
      </c>
      <c r="K172" s="115">
        <v>27.69</v>
      </c>
      <c r="L172" s="115">
        <v>14.46</v>
      </c>
      <c r="M172" s="115">
        <v>0.5222</v>
      </c>
      <c r="N172" s="115">
        <v>0.624</v>
      </c>
      <c r="O172" s="115">
        <v>0.4059</v>
      </c>
      <c r="P172" s="115">
        <v>1.9149</v>
      </c>
      <c r="Q172" s="115">
        <v>128.74</v>
      </c>
      <c r="R172" s="115">
        <v>99.25</v>
      </c>
      <c r="S172" s="115">
        <v>29.49</v>
      </c>
      <c r="T172" s="115">
        <v>23.78</v>
      </c>
      <c r="U172" s="115">
        <v>104.96</v>
      </c>
      <c r="V172" s="115">
        <v>132.13</v>
      </c>
      <c r="W172" s="115">
        <v>4.7714</v>
      </c>
      <c r="X172" s="115">
        <v>18.47</v>
      </c>
      <c r="Y172" s="115">
        <v>112.0</v>
      </c>
      <c r="Z172" s="115">
        <v>451.0</v>
      </c>
      <c r="AA172" s="115">
        <v>3479.0</v>
      </c>
      <c r="AB172" s="115">
        <v>52.6713</v>
      </c>
      <c r="AC172" s="115">
        <v>0.5726</v>
      </c>
      <c r="AD172" s="115">
        <v>9.55</v>
      </c>
      <c r="AE172" s="115">
        <v>3.0</v>
      </c>
      <c r="AF172" s="115">
        <v>7.0</v>
      </c>
      <c r="AG172" s="115">
        <v>13.0</v>
      </c>
      <c r="AH172" s="115">
        <v>21.0</v>
      </c>
      <c r="AI172" s="115">
        <v>59.28</v>
      </c>
      <c r="AJ172" s="115">
        <v>27.34</v>
      </c>
      <c r="AK172" s="115">
        <v>5.36</v>
      </c>
      <c r="AL172" s="115">
        <v>0.177</v>
      </c>
      <c r="AQ172" s="115">
        <v>5.8935</v>
      </c>
      <c r="AR172" s="115">
        <v>0.284</v>
      </c>
      <c r="AS172" s="115">
        <v>5.6094</v>
      </c>
      <c r="AT172" s="115">
        <v>6.0212</v>
      </c>
      <c r="AU172" s="115">
        <v>0.2174</v>
      </c>
    </row>
    <row r="173" ht="15.75" customHeight="1">
      <c r="A173" s="116">
        <v>46189.0</v>
      </c>
      <c r="B173" s="115" t="s">
        <v>8</v>
      </c>
      <c r="C173" s="115" t="s">
        <v>131</v>
      </c>
      <c r="D173" s="115">
        <v>10700.0</v>
      </c>
      <c r="E173" s="115">
        <v>12.59</v>
      </c>
      <c r="F173" s="115">
        <v>9829.92</v>
      </c>
      <c r="G173" s="115">
        <v>0.9187</v>
      </c>
      <c r="H173" s="115">
        <v>11.95</v>
      </c>
      <c r="I173" s="115">
        <v>7.6856</v>
      </c>
      <c r="J173" s="115">
        <v>80.59</v>
      </c>
      <c r="K173" s="115">
        <v>43.26</v>
      </c>
      <c r="L173" s="115">
        <v>28.58</v>
      </c>
      <c r="M173" s="115">
        <v>0.6607</v>
      </c>
      <c r="N173" s="115">
        <v>0.4901</v>
      </c>
      <c r="O173" s="115">
        <v>0.3142</v>
      </c>
      <c r="P173" s="115">
        <v>1.5136</v>
      </c>
      <c r="Q173" s="115">
        <v>237.38</v>
      </c>
      <c r="R173" s="115">
        <v>182.45</v>
      </c>
      <c r="S173" s="115">
        <v>54.93</v>
      </c>
      <c r="T173" s="115">
        <v>58.45</v>
      </c>
      <c r="U173" s="115">
        <v>178.92</v>
      </c>
      <c r="V173" s="115">
        <v>236.84</v>
      </c>
      <c r="W173" s="115">
        <v>5.4753</v>
      </c>
      <c r="X173" s="115">
        <v>24.63</v>
      </c>
      <c r="Y173" s="115">
        <v>125.0</v>
      </c>
      <c r="Z173" s="115">
        <v>603.0</v>
      </c>
      <c r="AA173" s="115">
        <v>4553.0</v>
      </c>
      <c r="AB173" s="115">
        <v>55.549</v>
      </c>
      <c r="AC173" s="115">
        <v>0.664</v>
      </c>
      <c r="AD173" s="115">
        <v>17.59</v>
      </c>
      <c r="AE173" s="115">
        <v>7.0</v>
      </c>
      <c r="AF173" s="115">
        <v>14.0</v>
      </c>
      <c r="AG173" s="115">
        <v>25.0</v>
      </c>
      <c r="AH173" s="115">
        <v>37.0</v>
      </c>
      <c r="AI173" s="115">
        <v>59.93</v>
      </c>
      <c r="AJ173" s="115">
        <v>23.62</v>
      </c>
      <c r="AK173" s="115">
        <v>6.41</v>
      </c>
      <c r="AL173" s="115">
        <v>0.1651</v>
      </c>
      <c r="AQ173" s="115">
        <v>9.0299</v>
      </c>
      <c r="AR173" s="115">
        <v>0.715</v>
      </c>
      <c r="AS173" s="115">
        <v>8.315</v>
      </c>
      <c r="AT173" s="115">
        <v>9.4847</v>
      </c>
      <c r="AU173" s="115">
        <v>0.2193</v>
      </c>
    </row>
    <row r="174" ht="15.75" customHeight="1">
      <c r="A174" s="116">
        <v>46189.0</v>
      </c>
      <c r="B174" s="115" t="s">
        <v>8</v>
      </c>
      <c r="C174" s="115" t="s">
        <v>132</v>
      </c>
      <c r="D174" s="115">
        <v>3904.0</v>
      </c>
      <c r="E174" s="115">
        <v>4.59</v>
      </c>
      <c r="F174" s="115">
        <v>7176.58</v>
      </c>
      <c r="G174" s="115">
        <v>1.8383</v>
      </c>
      <c r="H174" s="115">
        <v>14.65</v>
      </c>
      <c r="I174" s="115">
        <v>12.5465</v>
      </c>
      <c r="J174" s="115">
        <v>126.68</v>
      </c>
      <c r="K174" s="115">
        <v>72.69</v>
      </c>
      <c r="L174" s="115">
        <v>55.77</v>
      </c>
      <c r="M174" s="115">
        <v>0.7672</v>
      </c>
      <c r="N174" s="115">
        <v>0.3823</v>
      </c>
      <c r="O174" s="115">
        <v>0.2569</v>
      </c>
      <c r="P174" s="115">
        <v>1.3035</v>
      </c>
      <c r="Q174" s="115">
        <v>447.1</v>
      </c>
      <c r="R174" s="115">
        <v>330.17</v>
      </c>
      <c r="S174" s="115">
        <v>116.93</v>
      </c>
      <c r="T174" s="115">
        <v>116.03</v>
      </c>
      <c r="U174" s="115">
        <v>331.07</v>
      </c>
      <c r="V174" s="115">
        <v>450.0</v>
      </c>
      <c r="W174" s="115">
        <v>6.1906</v>
      </c>
      <c r="X174" s="115">
        <v>25.95</v>
      </c>
      <c r="Y174" s="115">
        <v>187.0</v>
      </c>
      <c r="Z174" s="115">
        <v>1246.0</v>
      </c>
      <c r="AA174" s="115">
        <v>7434.0</v>
      </c>
      <c r="AB174" s="115">
        <v>59.4932</v>
      </c>
      <c r="AC174" s="115">
        <v>0.8108</v>
      </c>
      <c r="AD174" s="115">
        <v>38.66</v>
      </c>
      <c r="AE174" s="115">
        <v>16.0</v>
      </c>
      <c r="AF174" s="115">
        <v>31.0</v>
      </c>
      <c r="AG174" s="115">
        <v>54.0</v>
      </c>
      <c r="AH174" s="115">
        <v>81.0</v>
      </c>
      <c r="AI174" s="115">
        <v>54.33</v>
      </c>
      <c r="AJ174" s="115">
        <v>20.72</v>
      </c>
      <c r="AK174" s="115">
        <v>5.46</v>
      </c>
      <c r="AL174" s="115">
        <v>0.1445</v>
      </c>
      <c r="AQ174" s="115">
        <v>15.479</v>
      </c>
      <c r="AR174" s="115">
        <v>1.4039</v>
      </c>
      <c r="AS174" s="115">
        <v>14.0751</v>
      </c>
      <c r="AT174" s="115">
        <v>16.5881</v>
      </c>
      <c r="AU174" s="115">
        <v>0.2282</v>
      </c>
    </row>
    <row r="175" ht="15.75" customHeight="1">
      <c r="A175" s="116">
        <v>46189.0</v>
      </c>
      <c r="B175" s="115" t="s">
        <v>8</v>
      </c>
      <c r="C175" s="115" t="s">
        <v>133</v>
      </c>
      <c r="D175" s="115">
        <v>443.0</v>
      </c>
      <c r="E175" s="115">
        <v>0.52</v>
      </c>
      <c r="F175" s="115">
        <v>1359.57</v>
      </c>
      <c r="G175" s="115">
        <v>3.069</v>
      </c>
      <c r="H175" s="115">
        <v>14.67</v>
      </c>
      <c r="I175" s="115">
        <v>20.9165</v>
      </c>
      <c r="J175" s="115">
        <v>238.39</v>
      </c>
      <c r="K175" s="115">
        <v>146.4</v>
      </c>
      <c r="L175" s="115">
        <v>122.79</v>
      </c>
      <c r="M175" s="115">
        <v>0.8387</v>
      </c>
      <c r="N175" s="115">
        <v>0.2956</v>
      </c>
      <c r="O175" s="115">
        <v>0.2047</v>
      </c>
      <c r="P175" s="115">
        <v>1.1923</v>
      </c>
      <c r="Q175" s="115">
        <v>826.19</v>
      </c>
      <c r="R175" s="115">
        <v>564.13</v>
      </c>
      <c r="S175" s="115">
        <v>262.07</v>
      </c>
      <c r="T175" s="115">
        <v>207.56</v>
      </c>
      <c r="U175" s="115">
        <v>618.63</v>
      </c>
      <c r="V175" s="115">
        <v>881.6</v>
      </c>
      <c r="W175" s="115">
        <v>6.0218</v>
      </c>
      <c r="X175" s="115">
        <v>25.12</v>
      </c>
      <c r="Y175" s="115">
        <v>319.0</v>
      </c>
      <c r="Z175" s="115">
        <v>2250.0</v>
      </c>
      <c r="AA175" s="115">
        <v>8765.0</v>
      </c>
      <c r="AB175" s="115">
        <v>63.1243</v>
      </c>
      <c r="AC175" s="115">
        <v>0.878</v>
      </c>
      <c r="AD175" s="115">
        <v>83.63</v>
      </c>
      <c r="AE175" s="115">
        <v>31.0</v>
      </c>
      <c r="AF175" s="115">
        <v>70.0</v>
      </c>
      <c r="AG175" s="115">
        <v>113.0</v>
      </c>
      <c r="AH175" s="115">
        <v>177.0</v>
      </c>
      <c r="AI175" s="115">
        <v>44.92</v>
      </c>
      <c r="AJ175" s="115">
        <v>9.93</v>
      </c>
      <c r="AK175" s="115">
        <v>1.13</v>
      </c>
      <c r="AL175" s="115">
        <v>0.0926</v>
      </c>
      <c r="AQ175" s="115">
        <v>30.8014</v>
      </c>
      <c r="AR175" s="115">
        <v>3.535</v>
      </c>
      <c r="AS175" s="115">
        <v>27.2664</v>
      </c>
      <c r="AT175" s="115">
        <v>34.5214</v>
      </c>
      <c r="AU175" s="115">
        <v>0.2358</v>
      </c>
    </row>
    <row r="176" ht="15.75" customHeight="1">
      <c r="A176" s="116">
        <v>46189.0</v>
      </c>
      <c r="B176" s="115" t="s">
        <v>9</v>
      </c>
      <c r="C176" s="115" t="s">
        <v>128</v>
      </c>
      <c r="D176" s="115">
        <v>16834.0</v>
      </c>
      <c r="E176" s="115">
        <v>19.86</v>
      </c>
      <c r="F176" s="115">
        <v>63.54</v>
      </c>
      <c r="G176" s="115">
        <v>0.0038</v>
      </c>
      <c r="H176" s="115">
        <v>0.08</v>
      </c>
      <c r="I176" s="115">
        <v>4.5386</v>
      </c>
      <c r="J176" s="115">
        <v>6.53</v>
      </c>
      <c r="K176" s="115">
        <v>2.76</v>
      </c>
      <c r="L176" s="115">
        <v>0.06</v>
      </c>
      <c r="M176" s="115">
        <v>0.0235</v>
      </c>
      <c r="N176" s="115">
        <v>0.9791</v>
      </c>
      <c r="O176" s="115">
        <v>0.7358</v>
      </c>
      <c r="P176" s="115">
        <v>42.5435</v>
      </c>
      <c r="Q176" s="115">
        <v>21.14</v>
      </c>
      <c r="R176" s="115">
        <v>21.1</v>
      </c>
      <c r="S176" s="115">
        <v>0.04</v>
      </c>
      <c r="T176" s="115">
        <v>0.32</v>
      </c>
      <c r="U176" s="115">
        <v>20.82</v>
      </c>
      <c r="V176" s="115">
        <v>2.14</v>
      </c>
      <c r="W176" s="115">
        <v>0.7753</v>
      </c>
      <c r="X176" s="115">
        <v>1.53</v>
      </c>
      <c r="Y176" s="115">
        <v>200.0</v>
      </c>
      <c r="Z176" s="115">
        <v>2407.0</v>
      </c>
      <c r="AA176" s="115">
        <v>11926.0</v>
      </c>
      <c r="AB176" s="115">
        <v>49.3455</v>
      </c>
      <c r="AC176" s="115">
        <v>0.5198</v>
      </c>
      <c r="AI176" s="115">
        <v>0.0</v>
      </c>
      <c r="AJ176" s="115">
        <v>0.0</v>
      </c>
      <c r="AK176" s="115">
        <v>0.0</v>
      </c>
      <c r="AL176" s="115">
        <v>0.2658</v>
      </c>
      <c r="AM176" s="115">
        <v>0.14</v>
      </c>
      <c r="AN176" s="115">
        <v>0.14</v>
      </c>
      <c r="AO176" s="115">
        <v>0.07</v>
      </c>
      <c r="AP176" s="115">
        <v>0.03</v>
      </c>
      <c r="AQ176" s="115">
        <v>1.0191</v>
      </c>
      <c r="AR176" s="115">
        <v>0.0046</v>
      </c>
      <c r="AS176" s="115">
        <v>1.0146</v>
      </c>
      <c r="AT176" s="115">
        <v>0.3945</v>
      </c>
      <c r="AU176" s="115">
        <v>0.1428</v>
      </c>
    </row>
    <row r="177" ht="15.75" customHeight="1">
      <c r="A177" s="116">
        <v>46189.0</v>
      </c>
      <c r="B177" s="115" t="s">
        <v>9</v>
      </c>
      <c r="C177" s="115" t="s">
        <v>129</v>
      </c>
      <c r="D177" s="115">
        <v>31975.0</v>
      </c>
      <c r="E177" s="115">
        <v>37.72</v>
      </c>
      <c r="F177" s="115">
        <v>2850.08</v>
      </c>
      <c r="G177" s="115">
        <v>0.0891</v>
      </c>
      <c r="H177" s="115">
        <v>2.91</v>
      </c>
      <c r="I177" s="115">
        <v>3.0613</v>
      </c>
      <c r="J177" s="115">
        <v>30.36</v>
      </c>
      <c r="K177" s="115">
        <v>14.82</v>
      </c>
      <c r="L177" s="115">
        <v>5.31</v>
      </c>
      <c r="M177" s="115">
        <v>0.3582</v>
      </c>
      <c r="N177" s="115">
        <v>0.7589</v>
      </c>
      <c r="O177" s="115">
        <v>0.5442</v>
      </c>
      <c r="P177" s="115">
        <v>2.7914</v>
      </c>
      <c r="Q177" s="115">
        <v>51.11</v>
      </c>
      <c r="R177" s="115">
        <v>47.14</v>
      </c>
      <c r="S177" s="115">
        <v>3.97</v>
      </c>
      <c r="T177" s="115">
        <v>6.04</v>
      </c>
      <c r="U177" s="115">
        <v>45.07</v>
      </c>
      <c r="V177" s="115">
        <v>56.66</v>
      </c>
      <c r="W177" s="115">
        <v>3.8225</v>
      </c>
      <c r="X177" s="115">
        <v>11.82</v>
      </c>
      <c r="Y177" s="115">
        <v>99.0</v>
      </c>
      <c r="Z177" s="115">
        <v>376.0</v>
      </c>
      <c r="AA177" s="115">
        <v>3047.0</v>
      </c>
      <c r="AB177" s="115">
        <v>49.4153</v>
      </c>
      <c r="AC177" s="115">
        <v>0.4836</v>
      </c>
      <c r="AD177" s="115">
        <v>3.72</v>
      </c>
      <c r="AE177" s="115">
        <v>1.0</v>
      </c>
      <c r="AF177" s="115">
        <v>2.0</v>
      </c>
      <c r="AG177" s="115">
        <v>5.0</v>
      </c>
      <c r="AH177" s="115">
        <v>8.0</v>
      </c>
      <c r="AI177" s="115">
        <v>68.77</v>
      </c>
      <c r="AJ177" s="115">
        <v>26.75</v>
      </c>
      <c r="AK177" s="115">
        <v>7.78</v>
      </c>
      <c r="AL177" s="115">
        <v>0.2311</v>
      </c>
      <c r="AM177" s="115">
        <v>51.86</v>
      </c>
      <c r="AN177" s="115">
        <v>51.86</v>
      </c>
      <c r="AO177" s="115">
        <v>20.67</v>
      </c>
      <c r="AP177" s="115">
        <v>5.87</v>
      </c>
      <c r="AQ177" s="115">
        <v>3.3902</v>
      </c>
      <c r="AR177" s="115">
        <v>0.0677</v>
      </c>
      <c r="AS177" s="115">
        <v>3.3225</v>
      </c>
      <c r="AT177" s="115">
        <v>3.4558</v>
      </c>
      <c r="AU177" s="115">
        <v>0.2331</v>
      </c>
    </row>
    <row r="178" ht="15.75" customHeight="1">
      <c r="A178" s="116">
        <v>46189.0</v>
      </c>
      <c r="B178" s="115" t="s">
        <v>9</v>
      </c>
      <c r="C178" s="115" t="s">
        <v>130</v>
      </c>
      <c r="D178" s="115">
        <v>20042.0</v>
      </c>
      <c r="E178" s="115">
        <v>23.64</v>
      </c>
      <c r="F178" s="115">
        <v>7156.98</v>
      </c>
      <c r="G178" s="115">
        <v>0.3571</v>
      </c>
      <c r="H178" s="115">
        <v>7.84</v>
      </c>
      <c r="I178" s="115">
        <v>4.5528</v>
      </c>
      <c r="J178" s="115">
        <v>56.3</v>
      </c>
      <c r="K178" s="115">
        <v>28.75</v>
      </c>
      <c r="L178" s="115">
        <v>14.34</v>
      </c>
      <c r="M178" s="115">
        <v>0.4988</v>
      </c>
      <c r="N178" s="115">
        <v>0.6374</v>
      </c>
      <c r="O178" s="115">
        <v>0.4085</v>
      </c>
      <c r="P178" s="115">
        <v>2.0046</v>
      </c>
      <c r="Q178" s="115">
        <v>119.26</v>
      </c>
      <c r="R178" s="115">
        <v>108.86</v>
      </c>
      <c r="S178" s="115">
        <v>10.4</v>
      </c>
      <c r="T178" s="115">
        <v>23.3</v>
      </c>
      <c r="U178" s="115">
        <v>95.95</v>
      </c>
      <c r="V178" s="115">
        <v>122.21</v>
      </c>
      <c r="W178" s="115">
        <v>4.2508</v>
      </c>
      <c r="X178" s="115">
        <v>19.54</v>
      </c>
      <c r="Y178" s="115">
        <v>104.0</v>
      </c>
      <c r="Z178" s="115">
        <v>402.0</v>
      </c>
      <c r="AA178" s="115">
        <v>3140.0</v>
      </c>
      <c r="AB178" s="115">
        <v>52.6405</v>
      </c>
      <c r="AC178" s="115">
        <v>0.5683</v>
      </c>
      <c r="AD178" s="115">
        <v>9.34</v>
      </c>
      <c r="AE178" s="115">
        <v>3.0</v>
      </c>
      <c r="AF178" s="115">
        <v>7.0</v>
      </c>
      <c r="AG178" s="115">
        <v>13.0</v>
      </c>
      <c r="AH178" s="115">
        <v>20.0</v>
      </c>
      <c r="AI178" s="115">
        <v>58.0</v>
      </c>
      <c r="AJ178" s="115">
        <v>26.43</v>
      </c>
      <c r="AK178" s="115">
        <v>5.23</v>
      </c>
      <c r="AL178" s="115">
        <v>0.1761</v>
      </c>
      <c r="AM178" s="115">
        <v>62.67</v>
      </c>
      <c r="AN178" s="115">
        <v>62.67</v>
      </c>
      <c r="AO178" s="115">
        <v>36.77</v>
      </c>
      <c r="AP178" s="115">
        <v>17.58</v>
      </c>
      <c r="AQ178" s="115">
        <v>6.6012</v>
      </c>
      <c r="AR178" s="115">
        <v>0.2816</v>
      </c>
      <c r="AS178" s="115">
        <v>6.3196</v>
      </c>
      <c r="AT178" s="115">
        <v>6.5614</v>
      </c>
      <c r="AU178" s="115">
        <v>0.2282</v>
      </c>
    </row>
    <row r="179" ht="15.75" customHeight="1">
      <c r="A179" s="116">
        <v>46189.0</v>
      </c>
      <c r="B179" s="115" t="s">
        <v>9</v>
      </c>
      <c r="C179" s="115" t="s">
        <v>131</v>
      </c>
      <c r="D179" s="115">
        <v>11164.0</v>
      </c>
      <c r="E179" s="115">
        <v>13.17</v>
      </c>
      <c r="F179" s="115">
        <v>9478.87</v>
      </c>
      <c r="G179" s="115">
        <v>0.8491</v>
      </c>
      <c r="H179" s="115">
        <v>11.55</v>
      </c>
      <c r="I179" s="115">
        <v>7.348</v>
      </c>
      <c r="J179" s="115">
        <v>82.76</v>
      </c>
      <c r="K179" s="115">
        <v>44.63</v>
      </c>
      <c r="L179" s="115">
        <v>29.42</v>
      </c>
      <c r="M179" s="115">
        <v>0.6592</v>
      </c>
      <c r="N179" s="115">
        <v>0.4885</v>
      </c>
      <c r="O179" s="115">
        <v>0.3089</v>
      </c>
      <c r="P179" s="115">
        <v>1.5169</v>
      </c>
      <c r="Q179" s="115">
        <v>231.89</v>
      </c>
      <c r="R179" s="115">
        <v>211.77</v>
      </c>
      <c r="S179" s="115">
        <v>20.12</v>
      </c>
      <c r="T179" s="115">
        <v>53.94</v>
      </c>
      <c r="U179" s="115">
        <v>177.95</v>
      </c>
      <c r="V179" s="115">
        <v>230.92</v>
      </c>
      <c r="W179" s="115">
        <v>5.1745</v>
      </c>
      <c r="X179" s="115">
        <v>23.26</v>
      </c>
      <c r="Y179" s="115">
        <v>127.0</v>
      </c>
      <c r="Z179" s="115">
        <v>578.0</v>
      </c>
      <c r="AA179" s="115">
        <v>4658.0</v>
      </c>
      <c r="AB179" s="115">
        <v>55.611</v>
      </c>
      <c r="AC179" s="115">
        <v>0.6649</v>
      </c>
      <c r="AD179" s="115">
        <v>18.09</v>
      </c>
      <c r="AE179" s="115">
        <v>7.0</v>
      </c>
      <c r="AF179" s="115">
        <v>14.0</v>
      </c>
      <c r="AG179" s="115">
        <v>25.0</v>
      </c>
      <c r="AH179" s="115">
        <v>38.0</v>
      </c>
      <c r="AI179" s="115">
        <v>59.88</v>
      </c>
      <c r="AJ179" s="115">
        <v>24.94</v>
      </c>
      <c r="AK179" s="115">
        <v>7.94</v>
      </c>
      <c r="AL179" s="115">
        <v>0.165</v>
      </c>
      <c r="AM179" s="115">
        <v>66.51</v>
      </c>
      <c r="AN179" s="115">
        <v>66.51</v>
      </c>
      <c r="AO179" s="115">
        <v>43.26</v>
      </c>
      <c r="AP179" s="115">
        <v>23.15</v>
      </c>
      <c r="AQ179" s="115">
        <v>9.8116</v>
      </c>
      <c r="AR179" s="115">
        <v>0.6128</v>
      </c>
      <c r="AS179" s="115">
        <v>9.1989</v>
      </c>
      <c r="AT179" s="115">
        <v>10.0797</v>
      </c>
      <c r="AU179" s="115">
        <v>0.2259</v>
      </c>
    </row>
    <row r="180" ht="15.75" customHeight="1">
      <c r="A180" s="116">
        <v>46189.0</v>
      </c>
      <c r="B180" s="115" t="s">
        <v>9</v>
      </c>
      <c r="C180" s="115" t="s">
        <v>132</v>
      </c>
      <c r="D180" s="115">
        <v>4253.0</v>
      </c>
      <c r="E180" s="115">
        <v>5.02</v>
      </c>
      <c r="F180" s="115">
        <v>7472.93</v>
      </c>
      <c r="G180" s="115">
        <v>1.7571</v>
      </c>
      <c r="H180" s="115">
        <v>14.74</v>
      </c>
      <c r="I180" s="115">
        <v>11.9185</v>
      </c>
      <c r="J180" s="115">
        <v>128.24</v>
      </c>
      <c r="K180" s="115">
        <v>73.14</v>
      </c>
      <c r="L180" s="115">
        <v>55.95</v>
      </c>
      <c r="M180" s="115">
        <v>0.7651</v>
      </c>
      <c r="N180" s="115">
        <v>0.3844</v>
      </c>
      <c r="O180" s="115">
        <v>0.2553</v>
      </c>
      <c r="P180" s="115">
        <v>1.3071</v>
      </c>
      <c r="Q180" s="115">
        <v>435.06</v>
      </c>
      <c r="R180" s="115">
        <v>392.9</v>
      </c>
      <c r="S180" s="115">
        <v>42.16</v>
      </c>
      <c r="T180" s="115">
        <v>111.02</v>
      </c>
      <c r="U180" s="115">
        <v>324.04</v>
      </c>
      <c r="V180" s="115">
        <v>440.59</v>
      </c>
      <c r="W180" s="115">
        <v>6.0243</v>
      </c>
      <c r="X180" s="115">
        <v>25.52</v>
      </c>
      <c r="Y180" s="115">
        <v>171.0</v>
      </c>
      <c r="Z180" s="115">
        <v>1020.0</v>
      </c>
      <c r="AA180" s="115">
        <v>6782.0</v>
      </c>
      <c r="AB180" s="115">
        <v>59.4009</v>
      </c>
      <c r="AC180" s="115">
        <v>0.8035</v>
      </c>
      <c r="AD180" s="115">
        <v>39.53</v>
      </c>
      <c r="AE180" s="115">
        <v>15.0</v>
      </c>
      <c r="AF180" s="115">
        <v>31.0</v>
      </c>
      <c r="AG180" s="115">
        <v>55.0</v>
      </c>
      <c r="AH180" s="115">
        <v>82.0</v>
      </c>
      <c r="AI180" s="115">
        <v>55.37</v>
      </c>
      <c r="AJ180" s="115">
        <v>21.75</v>
      </c>
      <c r="AK180" s="115">
        <v>5.88</v>
      </c>
      <c r="AL180" s="115">
        <v>0.1406</v>
      </c>
      <c r="AM180" s="115">
        <v>69.29</v>
      </c>
      <c r="AN180" s="115">
        <v>69.29</v>
      </c>
      <c r="AO180" s="115">
        <v>48.53</v>
      </c>
      <c r="AP180" s="115">
        <v>31.62</v>
      </c>
      <c r="AQ180" s="115">
        <v>16.5765</v>
      </c>
      <c r="AR180" s="115">
        <v>1.4994</v>
      </c>
      <c r="AS180" s="115">
        <v>15.0771</v>
      </c>
      <c r="AT180" s="115">
        <v>17.5001</v>
      </c>
      <c r="AU180" s="115">
        <v>0.2393</v>
      </c>
    </row>
    <row r="181" ht="15.75" customHeight="1">
      <c r="A181" s="116">
        <v>46189.0</v>
      </c>
      <c r="B181" s="115" t="s">
        <v>9</v>
      </c>
      <c r="C181" s="115" t="s">
        <v>133</v>
      </c>
      <c r="D181" s="115">
        <v>510.0</v>
      </c>
      <c r="E181" s="115">
        <v>0.6</v>
      </c>
      <c r="F181" s="115">
        <v>1758.59</v>
      </c>
      <c r="G181" s="115">
        <v>3.4482</v>
      </c>
      <c r="H181" s="115">
        <v>14.71</v>
      </c>
      <c r="I181" s="115">
        <v>23.4479</v>
      </c>
      <c r="J181" s="115">
        <v>248.6</v>
      </c>
      <c r="K181" s="115">
        <v>149.45</v>
      </c>
      <c r="L181" s="115">
        <v>126.7</v>
      </c>
      <c r="M181" s="115">
        <v>0.8478</v>
      </c>
      <c r="N181" s="115">
        <v>0.2904</v>
      </c>
      <c r="O181" s="115">
        <v>0.205</v>
      </c>
      <c r="P181" s="115">
        <v>1.1795</v>
      </c>
      <c r="Q181" s="115">
        <v>812.99</v>
      </c>
      <c r="R181" s="115">
        <v>716.34</v>
      </c>
      <c r="S181" s="115">
        <v>96.66</v>
      </c>
      <c r="T181" s="115">
        <v>202.55</v>
      </c>
      <c r="U181" s="115">
        <v>610.45</v>
      </c>
      <c r="V181" s="115">
        <v>849.12</v>
      </c>
      <c r="W181" s="115">
        <v>5.6817</v>
      </c>
      <c r="X181" s="115">
        <v>24.91</v>
      </c>
      <c r="Y181" s="115">
        <v>368.0</v>
      </c>
      <c r="Z181" s="115">
        <v>2850.0</v>
      </c>
      <c r="AA181" s="115">
        <v>11613.0</v>
      </c>
      <c r="AB181" s="115">
        <v>63.3409</v>
      </c>
      <c r="AC181" s="115">
        <v>0.8803</v>
      </c>
      <c r="AD181" s="115">
        <v>88.98</v>
      </c>
      <c r="AE181" s="115">
        <v>35.0</v>
      </c>
      <c r="AF181" s="115">
        <v>78.0</v>
      </c>
      <c r="AG181" s="115">
        <v>126.0</v>
      </c>
      <c r="AH181" s="115">
        <v>177.0</v>
      </c>
      <c r="AI181" s="115">
        <v>49.41</v>
      </c>
      <c r="AJ181" s="115">
        <v>11.57</v>
      </c>
      <c r="AK181" s="115">
        <v>1.18</v>
      </c>
      <c r="AL181" s="115">
        <v>0.0902</v>
      </c>
      <c r="AM181" s="115">
        <v>75.69</v>
      </c>
      <c r="AN181" s="115">
        <v>75.69</v>
      </c>
      <c r="AO181" s="115">
        <v>56.47</v>
      </c>
      <c r="AP181" s="115">
        <v>44.51</v>
      </c>
      <c r="AQ181" s="115">
        <v>31.9431</v>
      </c>
      <c r="AR181" s="115">
        <v>2.3098</v>
      </c>
      <c r="AS181" s="115">
        <v>29.6333</v>
      </c>
      <c r="AT181" s="115">
        <v>34.6745</v>
      </c>
      <c r="AU181" s="115">
        <v>0.232</v>
      </c>
    </row>
    <row r="182" ht="15.75" customHeight="1">
      <c r="A182" s="116">
        <v>46190.0</v>
      </c>
      <c r="B182" s="115" t="s">
        <v>8</v>
      </c>
      <c r="C182" s="115" t="s">
        <v>128</v>
      </c>
      <c r="D182" s="115">
        <v>16775.0</v>
      </c>
      <c r="E182" s="115">
        <v>20.05</v>
      </c>
      <c r="F182" s="115">
        <v>37.26</v>
      </c>
      <c r="G182" s="115">
        <v>0.0022</v>
      </c>
      <c r="H182" s="115">
        <v>0.08</v>
      </c>
      <c r="I182" s="115">
        <v>2.6614</v>
      </c>
      <c r="J182" s="115">
        <v>6.7</v>
      </c>
      <c r="K182" s="115">
        <v>2.85</v>
      </c>
      <c r="L182" s="115">
        <v>0.06</v>
      </c>
      <c r="M182" s="115">
        <v>0.0218</v>
      </c>
      <c r="N182" s="115">
        <v>0.981</v>
      </c>
      <c r="O182" s="115">
        <v>0.7539</v>
      </c>
      <c r="P182" s="115">
        <v>45.9099</v>
      </c>
      <c r="Q182" s="115">
        <v>21.14</v>
      </c>
      <c r="R182" s="115">
        <v>21.05</v>
      </c>
      <c r="S182" s="115">
        <v>0.09</v>
      </c>
      <c r="T182" s="115">
        <v>0.15</v>
      </c>
      <c r="U182" s="115">
        <v>20.99</v>
      </c>
      <c r="V182" s="115">
        <v>1.85</v>
      </c>
      <c r="W182" s="115">
        <v>0.6464</v>
      </c>
      <c r="X182" s="115">
        <v>0.73</v>
      </c>
      <c r="Y182" s="115">
        <v>226.0</v>
      </c>
      <c r="Z182" s="115">
        <v>2735.0</v>
      </c>
      <c r="AA182" s="115">
        <v>13235.0</v>
      </c>
      <c r="AB182" s="115">
        <v>49.5986</v>
      </c>
      <c r="AC182" s="115">
        <v>0.5356</v>
      </c>
      <c r="AI182" s="115">
        <v>0.0</v>
      </c>
      <c r="AJ182" s="115">
        <v>0.0</v>
      </c>
      <c r="AK182" s="115">
        <v>0.0</v>
      </c>
      <c r="AL182" s="115">
        <v>0.2649</v>
      </c>
      <c r="AQ182" s="115">
        <v>0.7567</v>
      </c>
      <c r="AR182" s="115">
        <v>0.0031</v>
      </c>
      <c r="AS182" s="115">
        <v>0.7536</v>
      </c>
      <c r="AT182" s="115">
        <v>0.347</v>
      </c>
      <c r="AU182" s="115">
        <v>0.1216</v>
      </c>
    </row>
    <row r="183" ht="15.75" customHeight="1">
      <c r="A183" s="116">
        <v>46190.0</v>
      </c>
      <c r="B183" s="115" t="s">
        <v>8</v>
      </c>
      <c r="C183" s="115" t="s">
        <v>129</v>
      </c>
      <c r="D183" s="115">
        <v>32885.0</v>
      </c>
      <c r="E183" s="115">
        <v>39.3</v>
      </c>
      <c r="F183" s="115">
        <v>3274.58</v>
      </c>
      <c r="G183" s="115">
        <v>0.0996</v>
      </c>
      <c r="H183" s="115">
        <v>2.92</v>
      </c>
      <c r="I183" s="115">
        <v>3.4075</v>
      </c>
      <c r="J183" s="115">
        <v>32.66</v>
      </c>
      <c r="K183" s="115">
        <v>16.36</v>
      </c>
      <c r="L183" s="115">
        <v>5.43</v>
      </c>
      <c r="M183" s="115">
        <v>0.3322</v>
      </c>
      <c r="N183" s="115">
        <v>0.7775</v>
      </c>
      <c r="O183" s="115">
        <v>0.5506</v>
      </c>
      <c r="P183" s="115">
        <v>3.0107</v>
      </c>
      <c r="Q183" s="115">
        <v>52.53</v>
      </c>
      <c r="R183" s="115">
        <v>41.04</v>
      </c>
      <c r="S183" s="115">
        <v>11.49</v>
      </c>
      <c r="T183" s="115">
        <v>6.8</v>
      </c>
      <c r="U183" s="115">
        <v>45.74</v>
      </c>
      <c r="V183" s="115">
        <v>58.22</v>
      </c>
      <c r="W183" s="115">
        <v>3.5592</v>
      </c>
      <c r="X183" s="115">
        <v>12.94</v>
      </c>
      <c r="Y183" s="115">
        <v>105.0</v>
      </c>
      <c r="Z183" s="115">
        <v>440.0</v>
      </c>
      <c r="AA183" s="115">
        <v>3195.0</v>
      </c>
      <c r="AB183" s="115">
        <v>49.3826</v>
      </c>
      <c r="AC183" s="115">
        <v>0.4869</v>
      </c>
      <c r="AD183" s="115">
        <v>3.69</v>
      </c>
      <c r="AE183" s="115">
        <v>1.0</v>
      </c>
      <c r="AF183" s="115">
        <v>2.0</v>
      </c>
      <c r="AG183" s="115">
        <v>5.0</v>
      </c>
      <c r="AH183" s="115">
        <v>8.0</v>
      </c>
      <c r="AI183" s="115">
        <v>69.23</v>
      </c>
      <c r="AJ183" s="115">
        <v>26.64</v>
      </c>
      <c r="AK183" s="115">
        <v>7.26</v>
      </c>
      <c r="AL183" s="115">
        <v>0.2298</v>
      </c>
      <c r="AQ183" s="115">
        <v>2.524</v>
      </c>
      <c r="AR183" s="115">
        <v>0.0776</v>
      </c>
      <c r="AS183" s="115">
        <v>2.4464</v>
      </c>
      <c r="AT183" s="115">
        <v>3.0108</v>
      </c>
      <c r="AU183" s="115">
        <v>0.1841</v>
      </c>
    </row>
    <row r="184" ht="15.75" customHeight="1">
      <c r="A184" s="116">
        <v>46190.0</v>
      </c>
      <c r="B184" s="115" t="s">
        <v>8</v>
      </c>
      <c r="C184" s="115" t="s">
        <v>130</v>
      </c>
      <c r="D184" s="115">
        <v>19819.0</v>
      </c>
      <c r="E184" s="115">
        <v>23.68</v>
      </c>
      <c r="F184" s="115">
        <v>7895.5</v>
      </c>
      <c r="G184" s="115">
        <v>0.3984</v>
      </c>
      <c r="H184" s="115">
        <v>8.3</v>
      </c>
      <c r="I184" s="115">
        <v>4.7997</v>
      </c>
      <c r="J184" s="115">
        <v>59.9</v>
      </c>
      <c r="K184" s="115">
        <v>31.02</v>
      </c>
      <c r="L184" s="115">
        <v>14.72</v>
      </c>
      <c r="M184" s="115">
        <v>0.4744</v>
      </c>
      <c r="N184" s="115">
        <v>0.6545</v>
      </c>
      <c r="O184" s="115">
        <v>0.4103</v>
      </c>
      <c r="P184" s="115">
        <v>2.1079</v>
      </c>
      <c r="Q184" s="115">
        <v>107.86</v>
      </c>
      <c r="R184" s="115">
        <v>78.92</v>
      </c>
      <c r="S184" s="115">
        <v>28.94</v>
      </c>
      <c r="T184" s="115">
        <v>25.68</v>
      </c>
      <c r="U184" s="115">
        <v>82.18</v>
      </c>
      <c r="V184" s="115">
        <v>121.88</v>
      </c>
      <c r="W184" s="115">
        <v>3.9286</v>
      </c>
      <c r="X184" s="115">
        <v>23.81</v>
      </c>
      <c r="Y184" s="115">
        <v>99.0</v>
      </c>
      <c r="Z184" s="115">
        <v>387.0</v>
      </c>
      <c r="AA184" s="115">
        <v>3083.0</v>
      </c>
      <c r="AB184" s="115">
        <v>52.7175</v>
      </c>
      <c r="AC184" s="115">
        <v>0.5776</v>
      </c>
      <c r="AD184" s="115">
        <v>8.99</v>
      </c>
      <c r="AE184" s="115">
        <v>3.0</v>
      </c>
      <c r="AF184" s="115">
        <v>7.0</v>
      </c>
      <c r="AG184" s="115">
        <v>12.0</v>
      </c>
      <c r="AH184" s="115">
        <v>19.0</v>
      </c>
      <c r="AI184" s="115">
        <v>56.94</v>
      </c>
      <c r="AJ184" s="115">
        <v>24.75</v>
      </c>
      <c r="AK184" s="115">
        <v>4.64</v>
      </c>
      <c r="AL184" s="115">
        <v>0.1762</v>
      </c>
      <c r="AQ184" s="115">
        <v>4.8551</v>
      </c>
      <c r="AR184" s="115">
        <v>0.2936</v>
      </c>
      <c r="AS184" s="115">
        <v>4.5615</v>
      </c>
      <c r="AT184" s="115">
        <v>5.6681</v>
      </c>
      <c r="AU184" s="115">
        <v>0.1827</v>
      </c>
    </row>
    <row r="185" ht="15.75" customHeight="1">
      <c r="A185" s="116">
        <v>46190.0</v>
      </c>
      <c r="B185" s="115" t="s">
        <v>8</v>
      </c>
      <c r="C185" s="115" t="s">
        <v>131</v>
      </c>
      <c r="D185" s="115">
        <v>9882.0</v>
      </c>
      <c r="E185" s="115">
        <v>11.81</v>
      </c>
      <c r="F185" s="115">
        <v>8985.34</v>
      </c>
      <c r="G185" s="115">
        <v>0.9093</v>
      </c>
      <c r="H185" s="115">
        <v>12.19</v>
      </c>
      <c r="I185" s="115">
        <v>7.4567</v>
      </c>
      <c r="J185" s="115">
        <v>81.0</v>
      </c>
      <c r="K185" s="115">
        <v>43.91</v>
      </c>
      <c r="L185" s="115">
        <v>26.41</v>
      </c>
      <c r="M185" s="115">
        <v>0.6016</v>
      </c>
      <c r="N185" s="115">
        <v>0.5371</v>
      </c>
      <c r="O185" s="115">
        <v>0.3359</v>
      </c>
      <c r="P185" s="115">
        <v>1.6623</v>
      </c>
      <c r="Q185" s="115">
        <v>183.63</v>
      </c>
      <c r="R185" s="115">
        <v>128.53</v>
      </c>
      <c r="S185" s="115">
        <v>55.1</v>
      </c>
      <c r="T185" s="115">
        <v>57.15</v>
      </c>
      <c r="U185" s="115">
        <v>126.49</v>
      </c>
      <c r="V185" s="115">
        <v>208.03</v>
      </c>
      <c r="W185" s="115">
        <v>4.738</v>
      </c>
      <c r="X185" s="115">
        <v>31.12</v>
      </c>
      <c r="Y185" s="115">
        <v>108.0</v>
      </c>
      <c r="Z185" s="115">
        <v>549.0</v>
      </c>
      <c r="AA185" s="115">
        <v>3689.0</v>
      </c>
      <c r="AB185" s="115">
        <v>55.7981</v>
      </c>
      <c r="AC185" s="115">
        <v>0.7137</v>
      </c>
      <c r="AD185" s="115">
        <v>17.43</v>
      </c>
      <c r="AE185" s="115">
        <v>7.0</v>
      </c>
      <c r="AF185" s="115">
        <v>13.0</v>
      </c>
      <c r="AG185" s="115">
        <v>24.0</v>
      </c>
      <c r="AH185" s="115">
        <v>37.0</v>
      </c>
      <c r="AI185" s="115">
        <v>58.84</v>
      </c>
      <c r="AJ185" s="115">
        <v>22.78</v>
      </c>
      <c r="AK185" s="115">
        <v>6.76</v>
      </c>
      <c r="AL185" s="115">
        <v>0.1753</v>
      </c>
      <c r="AQ185" s="115">
        <v>8.0173</v>
      </c>
      <c r="AR185" s="115">
        <v>0.681</v>
      </c>
      <c r="AS185" s="115">
        <v>7.3363</v>
      </c>
      <c r="AT185" s="115">
        <v>9.0005</v>
      </c>
      <c r="AU185" s="115">
        <v>0.205</v>
      </c>
    </row>
    <row r="186" ht="15.75" customHeight="1">
      <c r="A186" s="116">
        <v>46190.0</v>
      </c>
      <c r="B186" s="115" t="s">
        <v>8</v>
      </c>
      <c r="C186" s="115" t="s">
        <v>132</v>
      </c>
      <c r="D186" s="115">
        <v>3873.0</v>
      </c>
      <c r="E186" s="115">
        <v>4.63</v>
      </c>
      <c r="F186" s="115">
        <v>8677.89</v>
      </c>
      <c r="G186" s="115">
        <v>2.2406</v>
      </c>
      <c r="H186" s="115">
        <v>15.36</v>
      </c>
      <c r="I186" s="115">
        <v>14.5847</v>
      </c>
      <c r="J186" s="115">
        <v>129.51</v>
      </c>
      <c r="K186" s="115">
        <v>73.81</v>
      </c>
      <c r="L186" s="115">
        <v>54.04</v>
      </c>
      <c r="M186" s="115">
        <v>0.7322</v>
      </c>
      <c r="N186" s="115">
        <v>0.4094</v>
      </c>
      <c r="O186" s="115">
        <v>0.2629</v>
      </c>
      <c r="P186" s="115">
        <v>1.3657</v>
      </c>
      <c r="Q186" s="115">
        <v>354.85</v>
      </c>
      <c r="R186" s="115">
        <v>240.1</v>
      </c>
      <c r="S186" s="115">
        <v>114.75</v>
      </c>
      <c r="T186" s="115">
        <v>137.26</v>
      </c>
      <c r="U186" s="115">
        <v>217.59</v>
      </c>
      <c r="V186" s="115">
        <v>411.81</v>
      </c>
      <c r="W186" s="115">
        <v>5.5797</v>
      </c>
      <c r="X186" s="115">
        <v>38.68</v>
      </c>
      <c r="Y186" s="115">
        <v>144.0</v>
      </c>
      <c r="Z186" s="115">
        <v>1186.0</v>
      </c>
      <c r="AA186" s="115">
        <v>7063.0</v>
      </c>
      <c r="AB186" s="115">
        <v>59.6216</v>
      </c>
      <c r="AC186" s="115">
        <v>0.8192</v>
      </c>
      <c r="AD186" s="115">
        <v>36.86</v>
      </c>
      <c r="AE186" s="115">
        <v>13.0</v>
      </c>
      <c r="AF186" s="115">
        <v>28.0</v>
      </c>
      <c r="AG186" s="115">
        <v>53.0</v>
      </c>
      <c r="AH186" s="115">
        <v>79.0</v>
      </c>
      <c r="AI186" s="115">
        <v>50.01</v>
      </c>
      <c r="AJ186" s="115">
        <v>19.88</v>
      </c>
      <c r="AK186" s="115">
        <v>4.96</v>
      </c>
      <c r="AL186" s="115">
        <v>0.1418</v>
      </c>
      <c r="AQ186" s="115">
        <v>14.9907</v>
      </c>
      <c r="AR186" s="115">
        <v>1.765</v>
      </c>
      <c r="AS186" s="115">
        <v>13.2257</v>
      </c>
      <c r="AT186" s="115">
        <v>16.8686</v>
      </c>
      <c r="AU186" s="115">
        <v>0.2286</v>
      </c>
    </row>
    <row r="187" ht="15.75" customHeight="1">
      <c r="A187" s="116">
        <v>46190.0</v>
      </c>
      <c r="B187" s="115" t="s">
        <v>8</v>
      </c>
      <c r="C187" s="115" t="s">
        <v>133</v>
      </c>
      <c r="D187" s="115">
        <v>449.0</v>
      </c>
      <c r="E187" s="115">
        <v>0.54</v>
      </c>
      <c r="F187" s="115">
        <v>1636.02</v>
      </c>
      <c r="G187" s="115">
        <v>3.6437</v>
      </c>
      <c r="H187" s="115">
        <v>14.92</v>
      </c>
      <c r="I187" s="115">
        <v>24.4182</v>
      </c>
      <c r="J187" s="115">
        <v>249.62</v>
      </c>
      <c r="K187" s="115">
        <v>151.19</v>
      </c>
      <c r="L187" s="115">
        <v>125.71</v>
      </c>
      <c r="M187" s="115">
        <v>0.8315</v>
      </c>
      <c r="N187" s="115">
        <v>0.3018</v>
      </c>
      <c r="O187" s="115">
        <v>0.2047</v>
      </c>
      <c r="P187" s="115">
        <v>1.2027</v>
      </c>
      <c r="Q187" s="115">
        <v>670.85</v>
      </c>
      <c r="R187" s="115">
        <v>404.94</v>
      </c>
      <c r="S187" s="115">
        <v>265.91</v>
      </c>
      <c r="T187" s="115">
        <v>226.06</v>
      </c>
      <c r="U187" s="115">
        <v>444.79</v>
      </c>
      <c r="V187" s="115">
        <v>838.98</v>
      </c>
      <c r="W187" s="115">
        <v>5.5493</v>
      </c>
      <c r="X187" s="115">
        <v>33.7</v>
      </c>
      <c r="Y187" s="115">
        <v>273.0</v>
      </c>
      <c r="Z187" s="115">
        <v>1973.0</v>
      </c>
      <c r="AA187" s="115">
        <v>7806.0</v>
      </c>
      <c r="AB187" s="115">
        <v>62.7079</v>
      </c>
      <c r="AC187" s="115">
        <v>0.8706</v>
      </c>
      <c r="AD187" s="115">
        <v>83.06</v>
      </c>
      <c r="AE187" s="115">
        <v>30.0</v>
      </c>
      <c r="AF187" s="115">
        <v>72.0</v>
      </c>
      <c r="AG187" s="115">
        <v>121.0</v>
      </c>
      <c r="AH187" s="115">
        <v>163.0</v>
      </c>
      <c r="AI187" s="115">
        <v>46.1</v>
      </c>
      <c r="AJ187" s="115">
        <v>7.13</v>
      </c>
      <c r="AK187" s="115">
        <v>0.89</v>
      </c>
      <c r="AL187" s="115">
        <v>0.0913</v>
      </c>
      <c r="AQ187" s="115">
        <v>31.2071</v>
      </c>
      <c r="AR187" s="115">
        <v>3.5479</v>
      </c>
      <c r="AS187" s="115">
        <v>27.6592</v>
      </c>
      <c r="AT187" s="115">
        <v>35.4967</v>
      </c>
      <c r="AU187" s="115">
        <v>0.2348</v>
      </c>
    </row>
    <row r="188" ht="15.75" customHeight="1">
      <c r="A188" s="116">
        <v>46190.0</v>
      </c>
      <c r="B188" s="115" t="s">
        <v>9</v>
      </c>
      <c r="C188" s="115" t="s">
        <v>128</v>
      </c>
      <c r="D188" s="115">
        <v>17431.0</v>
      </c>
      <c r="E188" s="115">
        <v>20.96</v>
      </c>
      <c r="F188" s="115">
        <v>63.61</v>
      </c>
      <c r="G188" s="115">
        <v>0.0036</v>
      </c>
      <c r="H188" s="115">
        <v>0.09</v>
      </c>
      <c r="I188" s="115">
        <v>3.9756</v>
      </c>
      <c r="J188" s="115">
        <v>6.95</v>
      </c>
      <c r="K188" s="115">
        <v>2.96</v>
      </c>
      <c r="L188" s="115">
        <v>0.08</v>
      </c>
      <c r="M188" s="115">
        <v>0.0273</v>
      </c>
      <c r="N188" s="115">
        <v>0.9764</v>
      </c>
      <c r="O188" s="115">
        <v>0.7001</v>
      </c>
      <c r="P188" s="115">
        <v>36.6861</v>
      </c>
      <c r="Q188" s="115">
        <v>17.21</v>
      </c>
      <c r="R188" s="115">
        <v>17.17</v>
      </c>
      <c r="S188" s="115">
        <v>0.04</v>
      </c>
      <c r="T188" s="115">
        <v>0.28</v>
      </c>
      <c r="U188" s="115">
        <v>16.93</v>
      </c>
      <c r="V188" s="115">
        <v>1.66</v>
      </c>
      <c r="W188" s="115">
        <v>0.5614</v>
      </c>
      <c r="X188" s="115">
        <v>1.63</v>
      </c>
      <c r="Y188" s="115">
        <v>190.0</v>
      </c>
      <c r="Z188" s="115">
        <v>2450.0</v>
      </c>
      <c r="AA188" s="115">
        <v>12191.0</v>
      </c>
      <c r="AB188" s="115">
        <v>49.5329</v>
      </c>
      <c r="AC188" s="115">
        <v>0.5272</v>
      </c>
      <c r="AI188" s="115">
        <v>0.0</v>
      </c>
      <c r="AJ188" s="115">
        <v>0.0</v>
      </c>
      <c r="AK188" s="115">
        <v>0.0</v>
      </c>
      <c r="AL188" s="115">
        <v>0.2752</v>
      </c>
      <c r="AM188" s="115">
        <v>0.19</v>
      </c>
      <c r="AN188" s="115">
        <v>0.19</v>
      </c>
      <c r="AO188" s="115">
        <v>0.13</v>
      </c>
      <c r="AP188" s="115">
        <v>0.07</v>
      </c>
      <c r="AQ188" s="115">
        <v>0.73</v>
      </c>
      <c r="AR188" s="115">
        <v>0.0033</v>
      </c>
      <c r="AS188" s="115">
        <v>0.7267</v>
      </c>
      <c r="AT188" s="115">
        <v>0.3484</v>
      </c>
      <c r="AU188" s="115">
        <v>0.1176</v>
      </c>
    </row>
    <row r="189" ht="15.75" customHeight="1">
      <c r="A189" s="116">
        <v>46190.0</v>
      </c>
      <c r="B189" s="115" t="s">
        <v>9</v>
      </c>
      <c r="C189" s="115" t="s">
        <v>129</v>
      </c>
      <c r="D189" s="115">
        <v>31230.0</v>
      </c>
      <c r="E189" s="115">
        <v>37.56</v>
      </c>
      <c r="F189" s="115">
        <v>3283.81</v>
      </c>
      <c r="G189" s="115">
        <v>0.1051</v>
      </c>
      <c r="H189" s="115">
        <v>3.04</v>
      </c>
      <c r="I189" s="115">
        <v>3.4566</v>
      </c>
      <c r="J189" s="115">
        <v>33.27</v>
      </c>
      <c r="K189" s="115">
        <v>16.52</v>
      </c>
      <c r="L189" s="115">
        <v>5.43</v>
      </c>
      <c r="M189" s="115">
        <v>0.3284</v>
      </c>
      <c r="N189" s="115">
        <v>0.7776</v>
      </c>
      <c r="O189" s="115">
        <v>0.5467</v>
      </c>
      <c r="P189" s="115">
        <v>3.0452</v>
      </c>
      <c r="Q189" s="115">
        <v>45.51</v>
      </c>
      <c r="R189" s="115">
        <v>41.4</v>
      </c>
      <c r="S189" s="115">
        <v>4.12</v>
      </c>
      <c r="T189" s="115">
        <v>7.06</v>
      </c>
      <c r="U189" s="115">
        <v>38.45</v>
      </c>
      <c r="V189" s="115">
        <v>52.21</v>
      </c>
      <c r="W189" s="115">
        <v>3.1593</v>
      </c>
      <c r="X189" s="115">
        <v>15.52</v>
      </c>
      <c r="Y189" s="115">
        <v>99.0</v>
      </c>
      <c r="Z189" s="115">
        <v>396.0</v>
      </c>
      <c r="AA189" s="115">
        <v>3135.0</v>
      </c>
      <c r="AB189" s="115">
        <v>49.5255</v>
      </c>
      <c r="AC189" s="115">
        <v>0.4882</v>
      </c>
      <c r="AD189" s="115">
        <v>3.68</v>
      </c>
      <c r="AE189" s="115">
        <v>1.0</v>
      </c>
      <c r="AF189" s="115">
        <v>2.0</v>
      </c>
      <c r="AG189" s="115">
        <v>5.0</v>
      </c>
      <c r="AH189" s="115">
        <v>8.0</v>
      </c>
      <c r="AI189" s="115">
        <v>68.82</v>
      </c>
      <c r="AJ189" s="115">
        <v>26.47</v>
      </c>
      <c r="AK189" s="115">
        <v>7.19</v>
      </c>
      <c r="AL189" s="115">
        <v>0.2317</v>
      </c>
      <c r="AM189" s="115">
        <v>50.59</v>
      </c>
      <c r="AN189" s="115">
        <v>50.59</v>
      </c>
      <c r="AO189" s="115">
        <v>19.58</v>
      </c>
      <c r="AP189" s="115">
        <v>5.4</v>
      </c>
      <c r="AQ189" s="115">
        <v>2.8714</v>
      </c>
      <c r="AR189" s="115">
        <v>0.0833</v>
      </c>
      <c r="AS189" s="115">
        <v>2.7881</v>
      </c>
      <c r="AT189" s="115">
        <v>3.2388</v>
      </c>
      <c r="AU189" s="115">
        <v>0.196</v>
      </c>
    </row>
    <row r="190" ht="15.75" customHeight="1">
      <c r="A190" s="116">
        <v>46190.0</v>
      </c>
      <c r="B190" s="115" t="s">
        <v>9</v>
      </c>
      <c r="C190" s="115" t="s">
        <v>130</v>
      </c>
      <c r="D190" s="115">
        <v>19573.0</v>
      </c>
      <c r="E190" s="115">
        <v>23.54</v>
      </c>
      <c r="F190" s="115">
        <v>7764.04</v>
      </c>
      <c r="G190" s="115">
        <v>0.3967</v>
      </c>
      <c r="H190" s="115">
        <v>8.19</v>
      </c>
      <c r="I190" s="115">
        <v>4.8404</v>
      </c>
      <c r="J190" s="115">
        <v>61.55</v>
      </c>
      <c r="K190" s="115">
        <v>31.88</v>
      </c>
      <c r="L190" s="115">
        <v>14.72</v>
      </c>
      <c r="M190" s="115">
        <v>0.4618</v>
      </c>
      <c r="N190" s="115">
        <v>0.6616</v>
      </c>
      <c r="O190" s="115">
        <v>0.4118</v>
      </c>
      <c r="P190" s="115">
        <v>2.1656</v>
      </c>
      <c r="Q190" s="115">
        <v>99.64</v>
      </c>
      <c r="R190" s="115">
        <v>89.13</v>
      </c>
      <c r="S190" s="115">
        <v>10.51</v>
      </c>
      <c r="T190" s="115">
        <v>25.11</v>
      </c>
      <c r="U190" s="115">
        <v>74.53</v>
      </c>
      <c r="V190" s="115">
        <v>111.86</v>
      </c>
      <c r="W190" s="115">
        <v>3.5087</v>
      </c>
      <c r="X190" s="115">
        <v>25.2</v>
      </c>
      <c r="Y190" s="115">
        <v>94.0</v>
      </c>
      <c r="Z190" s="115">
        <v>367.0</v>
      </c>
      <c r="AA190" s="115">
        <v>2883.0</v>
      </c>
      <c r="AB190" s="115">
        <v>52.5548</v>
      </c>
      <c r="AC190" s="115">
        <v>0.5749</v>
      </c>
      <c r="AD190" s="115">
        <v>9.0</v>
      </c>
      <c r="AE190" s="115">
        <v>3.0</v>
      </c>
      <c r="AF190" s="115">
        <v>7.0</v>
      </c>
      <c r="AG190" s="115">
        <v>13.0</v>
      </c>
      <c r="AH190" s="115">
        <v>20.0</v>
      </c>
      <c r="AI190" s="115">
        <v>56.26</v>
      </c>
      <c r="AJ190" s="115">
        <v>24.76</v>
      </c>
      <c r="AK190" s="115">
        <v>4.89</v>
      </c>
      <c r="AL190" s="115">
        <v>0.1812</v>
      </c>
      <c r="AM190" s="115">
        <v>61.73</v>
      </c>
      <c r="AN190" s="115">
        <v>61.73</v>
      </c>
      <c r="AO190" s="115">
        <v>36.14</v>
      </c>
      <c r="AP190" s="115">
        <v>16.29</v>
      </c>
      <c r="AQ190" s="115">
        <v>5.6124</v>
      </c>
      <c r="AR190" s="115">
        <v>0.3105</v>
      </c>
      <c r="AS190" s="115">
        <v>5.3019</v>
      </c>
      <c r="AT190" s="115">
        <v>6.244</v>
      </c>
      <c r="AU190" s="115">
        <v>0.1959</v>
      </c>
    </row>
    <row r="191" ht="15.75" customHeight="1">
      <c r="A191" s="116">
        <v>46190.0</v>
      </c>
      <c r="B191" s="115" t="s">
        <v>9</v>
      </c>
      <c r="C191" s="115" t="s">
        <v>131</v>
      </c>
      <c r="D191" s="115">
        <v>10256.0</v>
      </c>
      <c r="E191" s="115">
        <v>12.33</v>
      </c>
      <c r="F191" s="115">
        <v>9105.41</v>
      </c>
      <c r="G191" s="115">
        <v>0.8878</v>
      </c>
      <c r="H191" s="115">
        <v>12.04</v>
      </c>
      <c r="I191" s="115">
        <v>7.3728</v>
      </c>
      <c r="J191" s="115">
        <v>81.74</v>
      </c>
      <c r="K191" s="115">
        <v>44.34</v>
      </c>
      <c r="L191" s="115">
        <v>26.26</v>
      </c>
      <c r="M191" s="115">
        <v>0.5922</v>
      </c>
      <c r="N191" s="115">
        <v>0.542</v>
      </c>
      <c r="O191" s="115">
        <v>0.3337</v>
      </c>
      <c r="P191" s="115">
        <v>1.6886</v>
      </c>
      <c r="Q191" s="115">
        <v>172.08</v>
      </c>
      <c r="R191" s="115">
        <v>152.17</v>
      </c>
      <c r="S191" s="115">
        <v>19.91</v>
      </c>
      <c r="T191" s="115">
        <v>55.35</v>
      </c>
      <c r="U191" s="115">
        <v>116.73</v>
      </c>
      <c r="V191" s="115">
        <v>199.27</v>
      </c>
      <c r="W191" s="115">
        <v>4.4939</v>
      </c>
      <c r="X191" s="115">
        <v>32.16</v>
      </c>
      <c r="Y191" s="115">
        <v>101.0</v>
      </c>
      <c r="Z191" s="115">
        <v>499.0</v>
      </c>
      <c r="AA191" s="115">
        <v>3975.0</v>
      </c>
      <c r="AB191" s="115">
        <v>55.8253</v>
      </c>
      <c r="AC191" s="115">
        <v>0.713</v>
      </c>
      <c r="AD191" s="115">
        <v>17.41</v>
      </c>
      <c r="AE191" s="115">
        <v>6.0</v>
      </c>
      <c r="AF191" s="115">
        <v>13.0</v>
      </c>
      <c r="AG191" s="115">
        <v>24.0</v>
      </c>
      <c r="AH191" s="115">
        <v>38.0</v>
      </c>
      <c r="AI191" s="115">
        <v>57.42</v>
      </c>
      <c r="AJ191" s="115">
        <v>23.22</v>
      </c>
      <c r="AK191" s="115">
        <v>7.19</v>
      </c>
      <c r="AL191" s="115">
        <v>0.1801</v>
      </c>
      <c r="AM191" s="115">
        <v>63.5</v>
      </c>
      <c r="AN191" s="115">
        <v>63.5</v>
      </c>
      <c r="AO191" s="115">
        <v>41.68</v>
      </c>
      <c r="AP191" s="115">
        <v>21.97</v>
      </c>
      <c r="AQ191" s="115">
        <v>8.8739</v>
      </c>
      <c r="AR191" s="115">
        <v>0.6754</v>
      </c>
      <c r="AS191" s="115">
        <v>8.1985</v>
      </c>
      <c r="AT191" s="115">
        <v>9.6751</v>
      </c>
      <c r="AU191" s="115">
        <v>0.2182</v>
      </c>
    </row>
    <row r="192" ht="15.75" customHeight="1">
      <c r="A192" s="116">
        <v>46190.0</v>
      </c>
      <c r="B192" s="115" t="s">
        <v>9</v>
      </c>
      <c r="C192" s="115" t="s">
        <v>132</v>
      </c>
      <c r="D192" s="115">
        <v>4184.0</v>
      </c>
      <c r="E192" s="115">
        <v>5.03</v>
      </c>
      <c r="F192" s="115">
        <v>8925.99</v>
      </c>
      <c r="G192" s="115">
        <v>2.1334</v>
      </c>
      <c r="H192" s="115">
        <v>15.42</v>
      </c>
      <c r="I192" s="115">
        <v>13.8387</v>
      </c>
      <c r="J192" s="115">
        <v>132.94</v>
      </c>
      <c r="K192" s="115">
        <v>75.66</v>
      </c>
      <c r="L192" s="115">
        <v>55.3</v>
      </c>
      <c r="M192" s="115">
        <v>0.7309</v>
      </c>
      <c r="N192" s="115">
        <v>0.4084</v>
      </c>
      <c r="O192" s="115">
        <v>0.2591</v>
      </c>
      <c r="P192" s="115">
        <v>1.3682</v>
      </c>
      <c r="Q192" s="115">
        <v>344.11</v>
      </c>
      <c r="R192" s="115">
        <v>302.1</v>
      </c>
      <c r="S192" s="115">
        <v>42.01</v>
      </c>
      <c r="T192" s="115">
        <v>127.75</v>
      </c>
      <c r="U192" s="115">
        <v>216.35</v>
      </c>
      <c r="V192" s="115">
        <v>392.64</v>
      </c>
      <c r="W192" s="115">
        <v>5.1897</v>
      </c>
      <c r="X192" s="115">
        <v>37.13</v>
      </c>
      <c r="Y192" s="115">
        <v>139.0</v>
      </c>
      <c r="Z192" s="115">
        <v>976.0</v>
      </c>
      <c r="AA192" s="115">
        <v>6134.0</v>
      </c>
      <c r="AB192" s="115">
        <v>59.4869</v>
      </c>
      <c r="AC192" s="115">
        <v>0.8213</v>
      </c>
      <c r="AD192" s="115">
        <v>38.24</v>
      </c>
      <c r="AE192" s="115">
        <v>14.0</v>
      </c>
      <c r="AF192" s="115">
        <v>29.0</v>
      </c>
      <c r="AG192" s="115">
        <v>54.0</v>
      </c>
      <c r="AH192" s="115">
        <v>81.0</v>
      </c>
      <c r="AI192" s="115">
        <v>51.34</v>
      </c>
      <c r="AJ192" s="115">
        <v>21.44</v>
      </c>
      <c r="AK192" s="115">
        <v>6.02</v>
      </c>
      <c r="AL192" s="115">
        <v>0.1334</v>
      </c>
      <c r="AM192" s="115">
        <v>66.83</v>
      </c>
      <c r="AN192" s="115">
        <v>66.83</v>
      </c>
      <c r="AO192" s="115">
        <v>46.99</v>
      </c>
      <c r="AP192" s="115">
        <v>31.12</v>
      </c>
      <c r="AQ192" s="115">
        <v>16.3074</v>
      </c>
      <c r="AR192" s="115">
        <v>1.6788</v>
      </c>
      <c r="AS192" s="115">
        <v>14.6286</v>
      </c>
      <c r="AT192" s="115">
        <v>17.211</v>
      </c>
      <c r="AU192" s="115">
        <v>0.2275</v>
      </c>
    </row>
    <row r="193" ht="15.75" customHeight="1">
      <c r="A193" s="116">
        <v>46190.0</v>
      </c>
      <c r="B193" s="115" t="s">
        <v>9</v>
      </c>
      <c r="C193" s="115" t="s">
        <v>133</v>
      </c>
      <c r="D193" s="115">
        <v>484.0</v>
      </c>
      <c r="E193" s="115">
        <v>0.58</v>
      </c>
      <c r="F193" s="115">
        <v>2285.35</v>
      </c>
      <c r="G193" s="115">
        <v>4.7218</v>
      </c>
      <c r="H193" s="115">
        <v>18.18</v>
      </c>
      <c r="I193" s="115">
        <v>25.9699</v>
      </c>
      <c r="J193" s="115">
        <v>253.51</v>
      </c>
      <c r="K193" s="115">
        <v>148.94</v>
      </c>
      <c r="L193" s="115">
        <v>123.52</v>
      </c>
      <c r="M193" s="115">
        <v>0.8293</v>
      </c>
      <c r="N193" s="115">
        <v>0.3053</v>
      </c>
      <c r="O193" s="115">
        <v>0.2103</v>
      </c>
      <c r="P193" s="115">
        <v>1.2058</v>
      </c>
      <c r="Q193" s="115">
        <v>703.24</v>
      </c>
      <c r="R193" s="115">
        <v>608.14</v>
      </c>
      <c r="S193" s="115">
        <v>95.1</v>
      </c>
      <c r="T193" s="115">
        <v>299.57</v>
      </c>
      <c r="U193" s="115">
        <v>403.68</v>
      </c>
      <c r="V193" s="115">
        <v>821.49</v>
      </c>
      <c r="W193" s="115">
        <v>5.5154</v>
      </c>
      <c r="X193" s="115">
        <v>42.6</v>
      </c>
      <c r="Y193" s="115">
        <v>281.0</v>
      </c>
      <c r="Z193" s="115">
        <v>3066.0</v>
      </c>
      <c r="AA193" s="115">
        <v>11645.0</v>
      </c>
      <c r="AB193" s="115">
        <v>62.8332</v>
      </c>
      <c r="AC193" s="115">
        <v>0.8842</v>
      </c>
      <c r="AD193" s="115">
        <v>82.53</v>
      </c>
      <c r="AE193" s="115">
        <v>31.0</v>
      </c>
      <c r="AF193" s="115">
        <v>78.0</v>
      </c>
      <c r="AG193" s="115">
        <v>118.0</v>
      </c>
      <c r="AH193" s="115">
        <v>163.0</v>
      </c>
      <c r="AI193" s="115">
        <v>48.76</v>
      </c>
      <c r="AJ193" s="115">
        <v>8.06</v>
      </c>
      <c r="AK193" s="115">
        <v>1.03</v>
      </c>
      <c r="AL193" s="115">
        <v>0.1281</v>
      </c>
      <c r="AM193" s="115">
        <v>73.97</v>
      </c>
      <c r="AN193" s="115">
        <v>73.97</v>
      </c>
      <c r="AO193" s="115">
        <v>56.2</v>
      </c>
      <c r="AP193" s="115">
        <v>46.28</v>
      </c>
      <c r="AQ193" s="115">
        <v>32.4194</v>
      </c>
      <c r="AR193" s="115">
        <v>4.1963</v>
      </c>
      <c r="AS193" s="115">
        <v>28.2231</v>
      </c>
      <c r="AT193" s="115">
        <v>35.1777</v>
      </c>
      <c r="AU193" s="115">
        <v>0.2362</v>
      </c>
    </row>
    <row r="194" ht="15.75" customHeight="1">
      <c r="A194" s="116">
        <v>46191.0</v>
      </c>
      <c r="B194" s="115" t="s">
        <v>8</v>
      </c>
      <c r="C194" s="115" t="s">
        <v>128</v>
      </c>
      <c r="D194" s="115">
        <v>18068.0</v>
      </c>
      <c r="E194" s="115">
        <v>21.89</v>
      </c>
      <c r="F194" s="115">
        <v>57.05</v>
      </c>
      <c r="G194" s="115">
        <v>0.0032</v>
      </c>
      <c r="H194" s="115">
        <v>0.09</v>
      </c>
      <c r="I194" s="115">
        <v>3.5656</v>
      </c>
      <c r="J194" s="115">
        <v>6.66</v>
      </c>
      <c r="K194" s="115">
        <v>2.75</v>
      </c>
      <c r="L194" s="115">
        <v>0.05</v>
      </c>
      <c r="M194" s="115">
        <v>0.0193</v>
      </c>
      <c r="N194" s="115">
        <v>0.9848</v>
      </c>
      <c r="O194" s="115">
        <v>0.7974</v>
      </c>
      <c r="P194" s="115">
        <v>51.8017</v>
      </c>
      <c r="Q194" s="115">
        <v>22.43</v>
      </c>
      <c r="R194" s="115">
        <v>22.33</v>
      </c>
      <c r="S194" s="115">
        <v>0.11</v>
      </c>
      <c r="T194" s="115">
        <v>0.23</v>
      </c>
      <c r="U194" s="115">
        <v>22.2</v>
      </c>
      <c r="V194" s="115">
        <v>2.1</v>
      </c>
      <c r="W194" s="115">
        <v>0.7657</v>
      </c>
      <c r="X194" s="115">
        <v>1.02</v>
      </c>
      <c r="Y194" s="115">
        <v>191.0</v>
      </c>
      <c r="Z194" s="115">
        <v>2260.0</v>
      </c>
      <c r="AA194" s="115">
        <v>12267.0</v>
      </c>
      <c r="AB194" s="115">
        <v>49.5732</v>
      </c>
      <c r="AC194" s="115">
        <v>0.5257</v>
      </c>
      <c r="AI194" s="115">
        <v>0.0</v>
      </c>
      <c r="AJ194" s="115">
        <v>0.0</v>
      </c>
      <c r="AK194" s="115">
        <v>0.0</v>
      </c>
      <c r="AL194" s="115">
        <v>0.2874</v>
      </c>
      <c r="AQ194" s="115">
        <v>0.8339</v>
      </c>
      <c r="AR194" s="115">
        <v>0.0044</v>
      </c>
      <c r="AS194" s="115">
        <v>0.8295</v>
      </c>
      <c r="AT194" s="115">
        <v>0.341</v>
      </c>
      <c r="AU194" s="115">
        <v>0.1242</v>
      </c>
    </row>
    <row r="195" ht="15.75" customHeight="1">
      <c r="A195" s="116">
        <v>46191.0</v>
      </c>
      <c r="B195" s="115" t="s">
        <v>8</v>
      </c>
      <c r="C195" s="115" t="s">
        <v>129</v>
      </c>
      <c r="D195" s="115">
        <v>31576.0</v>
      </c>
      <c r="E195" s="115">
        <v>38.25</v>
      </c>
      <c r="F195" s="115">
        <v>3191.13</v>
      </c>
      <c r="G195" s="115">
        <v>0.1011</v>
      </c>
      <c r="H195" s="115">
        <v>3.02</v>
      </c>
      <c r="I195" s="115">
        <v>3.3485</v>
      </c>
      <c r="J195" s="115">
        <v>29.12</v>
      </c>
      <c r="K195" s="115">
        <v>13.86</v>
      </c>
      <c r="L195" s="115">
        <v>5.26</v>
      </c>
      <c r="M195" s="115">
        <v>0.3791</v>
      </c>
      <c r="N195" s="115">
        <v>0.7464</v>
      </c>
      <c r="O195" s="115">
        <v>0.5282</v>
      </c>
      <c r="P195" s="115">
        <v>2.6377</v>
      </c>
      <c r="Q195" s="115">
        <v>56.26</v>
      </c>
      <c r="R195" s="115">
        <v>45.36</v>
      </c>
      <c r="S195" s="115">
        <v>10.91</v>
      </c>
      <c r="T195" s="115">
        <v>6.99</v>
      </c>
      <c r="U195" s="115">
        <v>49.27</v>
      </c>
      <c r="V195" s="115">
        <v>58.53</v>
      </c>
      <c r="W195" s="115">
        <v>4.2225</v>
      </c>
      <c r="X195" s="115">
        <v>12.43</v>
      </c>
      <c r="Y195" s="115">
        <v>110.0</v>
      </c>
      <c r="Z195" s="115">
        <v>443.0</v>
      </c>
      <c r="AA195" s="115">
        <v>3456.0</v>
      </c>
      <c r="AB195" s="115">
        <v>49.4208</v>
      </c>
      <c r="AC195" s="115">
        <v>0.492</v>
      </c>
      <c r="AD195" s="115">
        <v>3.74</v>
      </c>
      <c r="AE195" s="115">
        <v>1.0</v>
      </c>
      <c r="AF195" s="115">
        <v>2.0</v>
      </c>
      <c r="AG195" s="115">
        <v>5.0</v>
      </c>
      <c r="AH195" s="115">
        <v>9.0</v>
      </c>
      <c r="AI195" s="115">
        <v>68.16</v>
      </c>
      <c r="AJ195" s="115">
        <v>27.4</v>
      </c>
      <c r="AK195" s="115">
        <v>8.03</v>
      </c>
      <c r="AL195" s="115">
        <v>0.2441</v>
      </c>
      <c r="AQ195" s="115">
        <v>2.7952</v>
      </c>
      <c r="AR195" s="115">
        <v>0.0858</v>
      </c>
      <c r="AS195" s="115">
        <v>2.7094</v>
      </c>
      <c r="AT195" s="115">
        <v>2.8509</v>
      </c>
      <c r="AU195" s="115">
        <v>0.2057</v>
      </c>
    </row>
    <row r="196" ht="15.75" customHeight="1">
      <c r="A196" s="116">
        <v>46191.0</v>
      </c>
      <c r="B196" s="115" t="s">
        <v>8</v>
      </c>
      <c r="C196" s="115" t="s">
        <v>130</v>
      </c>
      <c r="D196" s="115">
        <v>18928.0</v>
      </c>
      <c r="E196" s="115">
        <v>22.93</v>
      </c>
      <c r="F196" s="115">
        <v>7206.51</v>
      </c>
      <c r="G196" s="115">
        <v>0.3807</v>
      </c>
      <c r="H196" s="115">
        <v>7.99</v>
      </c>
      <c r="I196" s="115">
        <v>4.7631</v>
      </c>
      <c r="J196" s="115">
        <v>52.41</v>
      </c>
      <c r="K196" s="115">
        <v>26.38</v>
      </c>
      <c r="L196" s="115">
        <v>13.68</v>
      </c>
      <c r="M196" s="115">
        <v>0.5188</v>
      </c>
      <c r="N196" s="115">
        <v>0.6234</v>
      </c>
      <c r="O196" s="115">
        <v>0.4025</v>
      </c>
      <c r="P196" s="115">
        <v>1.9277</v>
      </c>
      <c r="Q196" s="115">
        <v>122.96</v>
      </c>
      <c r="R196" s="115">
        <v>95.25</v>
      </c>
      <c r="S196" s="115">
        <v>27.71</v>
      </c>
      <c r="T196" s="115">
        <v>24.35</v>
      </c>
      <c r="U196" s="115">
        <v>98.61</v>
      </c>
      <c r="V196" s="115">
        <v>121.83</v>
      </c>
      <c r="W196" s="115">
        <v>4.6187</v>
      </c>
      <c r="X196" s="115">
        <v>19.81</v>
      </c>
      <c r="Y196" s="115">
        <v>106.0</v>
      </c>
      <c r="Z196" s="115">
        <v>410.0</v>
      </c>
      <c r="AA196" s="115">
        <v>2994.0</v>
      </c>
      <c r="AB196" s="115">
        <v>52.7821</v>
      </c>
      <c r="AC196" s="115">
        <v>0.5943</v>
      </c>
      <c r="AD196" s="115">
        <v>9.06</v>
      </c>
      <c r="AE196" s="115">
        <v>3.0</v>
      </c>
      <c r="AF196" s="115">
        <v>7.0</v>
      </c>
      <c r="AG196" s="115">
        <v>13.0</v>
      </c>
      <c r="AH196" s="115">
        <v>20.0</v>
      </c>
      <c r="AI196" s="115">
        <v>56.12</v>
      </c>
      <c r="AJ196" s="115">
        <v>24.81</v>
      </c>
      <c r="AK196" s="115">
        <v>4.92</v>
      </c>
      <c r="AL196" s="115">
        <v>0.1984</v>
      </c>
      <c r="AQ196" s="115">
        <v>5.4716</v>
      </c>
      <c r="AR196" s="115">
        <v>0.2934</v>
      </c>
      <c r="AS196" s="115">
        <v>5.1783</v>
      </c>
      <c r="AT196" s="115">
        <v>5.4014</v>
      </c>
      <c r="AU196" s="115">
        <v>0.2048</v>
      </c>
    </row>
    <row r="197" ht="15.75" customHeight="1">
      <c r="A197" s="116">
        <v>46191.0</v>
      </c>
      <c r="B197" s="115" t="s">
        <v>8</v>
      </c>
      <c r="C197" s="115" t="s">
        <v>131</v>
      </c>
      <c r="D197" s="115">
        <v>9614.0</v>
      </c>
      <c r="E197" s="115">
        <v>11.65</v>
      </c>
      <c r="F197" s="115">
        <v>7591.92</v>
      </c>
      <c r="G197" s="115">
        <v>0.7897</v>
      </c>
      <c r="H197" s="115">
        <v>11.57</v>
      </c>
      <c r="I197" s="115">
        <v>6.8273</v>
      </c>
      <c r="J197" s="115">
        <v>74.53</v>
      </c>
      <c r="K197" s="115">
        <v>39.78</v>
      </c>
      <c r="L197" s="115">
        <v>25.65</v>
      </c>
      <c r="M197" s="115">
        <v>0.6448</v>
      </c>
      <c r="N197" s="115">
        <v>0.5032</v>
      </c>
      <c r="O197" s="115">
        <v>0.3213</v>
      </c>
      <c r="P197" s="115">
        <v>1.5509</v>
      </c>
      <c r="Q197" s="115">
        <v>226.01</v>
      </c>
      <c r="R197" s="115">
        <v>171.56</v>
      </c>
      <c r="S197" s="115">
        <v>54.45</v>
      </c>
      <c r="T197" s="115">
        <v>49.23</v>
      </c>
      <c r="U197" s="115">
        <v>176.78</v>
      </c>
      <c r="V197" s="115">
        <v>220.11</v>
      </c>
      <c r="W197" s="115">
        <v>5.5334</v>
      </c>
      <c r="X197" s="115">
        <v>21.78</v>
      </c>
      <c r="Y197" s="115">
        <v>118.0</v>
      </c>
      <c r="Z197" s="115">
        <v>540.0</v>
      </c>
      <c r="AA197" s="115">
        <v>3699.0</v>
      </c>
      <c r="AB197" s="115">
        <v>55.742</v>
      </c>
      <c r="AC197" s="115">
        <v>0.7143</v>
      </c>
      <c r="AD197" s="115">
        <v>17.96</v>
      </c>
      <c r="AE197" s="115">
        <v>6.0</v>
      </c>
      <c r="AF197" s="115">
        <v>14.0</v>
      </c>
      <c r="AG197" s="115">
        <v>25.0</v>
      </c>
      <c r="AH197" s="115">
        <v>39.0</v>
      </c>
      <c r="AI197" s="115">
        <v>59.53</v>
      </c>
      <c r="AJ197" s="115">
        <v>24.16</v>
      </c>
      <c r="AK197" s="115">
        <v>7.79</v>
      </c>
      <c r="AL197" s="115">
        <v>0.1926</v>
      </c>
      <c r="AQ197" s="115">
        <v>8.9775</v>
      </c>
      <c r="AR197" s="115">
        <v>0.6854</v>
      </c>
      <c r="AS197" s="115">
        <v>8.2922</v>
      </c>
      <c r="AT197" s="115">
        <v>8.6157</v>
      </c>
      <c r="AU197" s="115">
        <v>0.2166</v>
      </c>
    </row>
    <row r="198" ht="15.75" customHeight="1">
      <c r="A198" s="116">
        <v>46191.0</v>
      </c>
      <c r="B198" s="115" t="s">
        <v>8</v>
      </c>
      <c r="C198" s="115" t="s">
        <v>132</v>
      </c>
      <c r="D198" s="115">
        <v>3907.0</v>
      </c>
      <c r="E198" s="115">
        <v>4.73</v>
      </c>
      <c r="F198" s="115">
        <v>6802.23</v>
      </c>
      <c r="G198" s="115">
        <v>1.741</v>
      </c>
      <c r="H198" s="115">
        <v>13.57</v>
      </c>
      <c r="I198" s="115">
        <v>12.8344</v>
      </c>
      <c r="J198" s="115">
        <v>126.51</v>
      </c>
      <c r="K198" s="115">
        <v>72.58</v>
      </c>
      <c r="L198" s="115">
        <v>56.39</v>
      </c>
      <c r="M198" s="115">
        <v>0.7768</v>
      </c>
      <c r="N198" s="115">
        <v>0.3703</v>
      </c>
      <c r="O198" s="115">
        <v>0.2463</v>
      </c>
      <c r="P198" s="115">
        <v>1.2873</v>
      </c>
      <c r="Q198" s="115">
        <v>492.78</v>
      </c>
      <c r="R198" s="115">
        <v>373.59</v>
      </c>
      <c r="S198" s="115">
        <v>119.18</v>
      </c>
      <c r="T198" s="115">
        <v>104.0</v>
      </c>
      <c r="U198" s="115">
        <v>388.78</v>
      </c>
      <c r="V198" s="115">
        <v>442.0</v>
      </c>
      <c r="W198" s="115">
        <v>6.0897</v>
      </c>
      <c r="X198" s="115">
        <v>21.1</v>
      </c>
      <c r="Y198" s="115">
        <v>195.0</v>
      </c>
      <c r="Z198" s="115">
        <v>1254.0</v>
      </c>
      <c r="AA198" s="115">
        <v>7110.0</v>
      </c>
      <c r="AB198" s="115">
        <v>59.3917</v>
      </c>
      <c r="AC198" s="115">
        <v>0.8049</v>
      </c>
      <c r="AD198" s="115">
        <v>40.21</v>
      </c>
      <c r="AE198" s="115">
        <v>15.0</v>
      </c>
      <c r="AF198" s="115">
        <v>32.0</v>
      </c>
      <c r="AG198" s="115">
        <v>57.0</v>
      </c>
      <c r="AH198" s="115">
        <v>83.0</v>
      </c>
      <c r="AI198" s="115">
        <v>55.72</v>
      </c>
      <c r="AJ198" s="115">
        <v>23.06</v>
      </c>
      <c r="AK198" s="115">
        <v>5.5</v>
      </c>
      <c r="AL198" s="115">
        <v>0.1569</v>
      </c>
      <c r="AQ198" s="115">
        <v>16.8851</v>
      </c>
      <c r="AR198" s="115">
        <v>1.3417</v>
      </c>
      <c r="AS198" s="115">
        <v>15.5434</v>
      </c>
      <c r="AT198" s="115">
        <v>15.9578</v>
      </c>
      <c r="AU198" s="115">
        <v>0.2199</v>
      </c>
    </row>
    <row r="199" ht="15.75" customHeight="1">
      <c r="A199" s="116">
        <v>46191.0</v>
      </c>
      <c r="B199" s="115" t="s">
        <v>8</v>
      </c>
      <c r="C199" s="115" t="s">
        <v>133</v>
      </c>
      <c r="D199" s="115">
        <v>453.0</v>
      </c>
      <c r="E199" s="115">
        <v>0.55</v>
      </c>
      <c r="F199" s="115">
        <v>1409.75</v>
      </c>
      <c r="G199" s="115">
        <v>3.112</v>
      </c>
      <c r="H199" s="115">
        <v>13.25</v>
      </c>
      <c r="I199" s="115">
        <v>23.4958</v>
      </c>
      <c r="J199" s="115">
        <v>234.35</v>
      </c>
      <c r="K199" s="115">
        <v>144.91</v>
      </c>
      <c r="L199" s="115">
        <v>123.96</v>
      </c>
      <c r="M199" s="115">
        <v>0.8555</v>
      </c>
      <c r="N199" s="115">
        <v>0.2799</v>
      </c>
      <c r="O199" s="115">
        <v>0.1969</v>
      </c>
      <c r="P199" s="115">
        <v>1.169</v>
      </c>
      <c r="Q199" s="115">
        <v>962.61</v>
      </c>
      <c r="R199" s="115">
        <v>699.66</v>
      </c>
      <c r="S199" s="115">
        <v>262.95</v>
      </c>
      <c r="T199" s="115">
        <v>190.07</v>
      </c>
      <c r="U199" s="115">
        <v>772.54</v>
      </c>
      <c r="V199" s="115">
        <v>853.75</v>
      </c>
      <c r="W199" s="115">
        <v>5.8916</v>
      </c>
      <c r="X199" s="115">
        <v>19.74</v>
      </c>
      <c r="Y199" s="115">
        <v>434.0</v>
      </c>
      <c r="Z199" s="115">
        <v>2050.0</v>
      </c>
      <c r="AA199" s="115">
        <v>9683.0</v>
      </c>
      <c r="AB199" s="115">
        <v>62.5742</v>
      </c>
      <c r="AC199" s="115">
        <v>0.8757</v>
      </c>
      <c r="AD199" s="115">
        <v>86.44</v>
      </c>
      <c r="AE199" s="115">
        <v>34.0</v>
      </c>
      <c r="AF199" s="115">
        <v>77.0</v>
      </c>
      <c r="AG199" s="115">
        <v>121.0</v>
      </c>
      <c r="AH199" s="115">
        <v>177.0</v>
      </c>
      <c r="AI199" s="115">
        <v>48.12</v>
      </c>
      <c r="AJ199" s="115">
        <v>10.82</v>
      </c>
      <c r="AK199" s="115">
        <v>1.32</v>
      </c>
      <c r="AL199" s="115">
        <v>0.1236</v>
      </c>
      <c r="AQ199" s="115">
        <v>32.5453</v>
      </c>
      <c r="AR199" s="115">
        <v>2.8631</v>
      </c>
      <c r="AS199" s="115">
        <v>29.6821</v>
      </c>
      <c r="AT199" s="115">
        <v>31.2759</v>
      </c>
      <c r="AU199" s="115">
        <v>0.2158</v>
      </c>
    </row>
    <row r="200" ht="15.75" customHeight="1">
      <c r="A200" s="116">
        <v>46191.0</v>
      </c>
      <c r="B200" s="115" t="s">
        <v>9</v>
      </c>
      <c r="C200" s="115" t="s">
        <v>128</v>
      </c>
      <c r="D200" s="115">
        <v>18403.0</v>
      </c>
      <c r="E200" s="115">
        <v>22.47</v>
      </c>
      <c r="F200" s="115">
        <v>25.99</v>
      </c>
      <c r="G200" s="115">
        <v>0.0014</v>
      </c>
      <c r="H200" s="115">
        <v>0.05</v>
      </c>
      <c r="I200" s="115">
        <v>2.8878</v>
      </c>
      <c r="J200" s="115">
        <v>6.78</v>
      </c>
      <c r="K200" s="115">
        <v>2.84</v>
      </c>
      <c r="L200" s="115">
        <v>0.05</v>
      </c>
      <c r="M200" s="115">
        <v>0.0177</v>
      </c>
      <c r="N200" s="115">
        <v>0.9836</v>
      </c>
      <c r="O200" s="115">
        <v>0.7639</v>
      </c>
      <c r="P200" s="115">
        <v>56.419</v>
      </c>
      <c r="Q200" s="115">
        <v>18.45</v>
      </c>
      <c r="R200" s="115">
        <v>18.4</v>
      </c>
      <c r="S200" s="115">
        <v>0.04</v>
      </c>
      <c r="T200" s="115">
        <v>0.1</v>
      </c>
      <c r="U200" s="115">
        <v>18.35</v>
      </c>
      <c r="V200" s="115">
        <v>1.71</v>
      </c>
      <c r="W200" s="115">
        <v>0.602</v>
      </c>
      <c r="X200" s="115">
        <v>0.54</v>
      </c>
      <c r="Y200" s="115">
        <v>161.0</v>
      </c>
      <c r="Z200" s="115">
        <v>1927.0</v>
      </c>
      <c r="AA200" s="115">
        <v>11229.0</v>
      </c>
      <c r="AB200" s="115">
        <v>49.5885</v>
      </c>
      <c r="AC200" s="115">
        <v>0.5275</v>
      </c>
      <c r="AI200" s="115">
        <v>0.0</v>
      </c>
      <c r="AJ200" s="115">
        <v>0.0</v>
      </c>
      <c r="AK200" s="115">
        <v>0.0</v>
      </c>
      <c r="AL200" s="115">
        <v>0.2849</v>
      </c>
      <c r="AM200" s="115">
        <v>0.16</v>
      </c>
      <c r="AN200" s="115">
        <v>0.16</v>
      </c>
      <c r="AO200" s="115">
        <v>0.09</v>
      </c>
      <c r="AP200" s="115">
        <v>0.05</v>
      </c>
      <c r="AQ200" s="115">
        <v>0.8444</v>
      </c>
      <c r="AR200" s="115">
        <v>0.0014</v>
      </c>
      <c r="AS200" s="115">
        <v>0.843</v>
      </c>
      <c r="AT200" s="115">
        <v>0.364</v>
      </c>
      <c r="AU200" s="115">
        <v>0.1282</v>
      </c>
    </row>
    <row r="201" ht="15.75" customHeight="1">
      <c r="A201" s="116">
        <v>46191.0</v>
      </c>
      <c r="B201" s="115" t="s">
        <v>9</v>
      </c>
      <c r="C201" s="115" t="s">
        <v>129</v>
      </c>
      <c r="D201" s="115">
        <v>30370.0</v>
      </c>
      <c r="E201" s="115">
        <v>37.08</v>
      </c>
      <c r="F201" s="115">
        <v>3072.16</v>
      </c>
      <c r="G201" s="115">
        <v>0.1012</v>
      </c>
      <c r="H201" s="115">
        <v>3.18</v>
      </c>
      <c r="I201" s="115">
        <v>3.1803</v>
      </c>
      <c r="J201" s="115">
        <v>30.05</v>
      </c>
      <c r="K201" s="115">
        <v>14.47</v>
      </c>
      <c r="L201" s="115">
        <v>5.26</v>
      </c>
      <c r="M201" s="115">
        <v>0.3637</v>
      </c>
      <c r="N201" s="115">
        <v>0.7532</v>
      </c>
      <c r="O201" s="115">
        <v>0.5304</v>
      </c>
      <c r="P201" s="115">
        <v>2.7494</v>
      </c>
      <c r="Q201" s="115">
        <v>47.83</v>
      </c>
      <c r="R201" s="115">
        <v>43.89</v>
      </c>
      <c r="S201" s="115">
        <v>3.95</v>
      </c>
      <c r="T201" s="115">
        <v>6.86</v>
      </c>
      <c r="U201" s="115">
        <v>40.97</v>
      </c>
      <c r="V201" s="115">
        <v>52.31</v>
      </c>
      <c r="W201" s="115">
        <v>3.616</v>
      </c>
      <c r="X201" s="115">
        <v>14.35</v>
      </c>
      <c r="Y201" s="115">
        <v>99.0</v>
      </c>
      <c r="Z201" s="115">
        <v>395.0</v>
      </c>
      <c r="AA201" s="115">
        <v>3191.0</v>
      </c>
      <c r="AB201" s="115">
        <v>49.5389</v>
      </c>
      <c r="AC201" s="115">
        <v>0.4926</v>
      </c>
      <c r="AD201" s="115">
        <v>3.7</v>
      </c>
      <c r="AE201" s="115">
        <v>1.0</v>
      </c>
      <c r="AF201" s="115">
        <v>2.0</v>
      </c>
      <c r="AG201" s="115">
        <v>5.0</v>
      </c>
      <c r="AH201" s="115">
        <v>8.0</v>
      </c>
      <c r="AI201" s="115">
        <v>67.95</v>
      </c>
      <c r="AJ201" s="115">
        <v>26.85</v>
      </c>
      <c r="AK201" s="115">
        <v>7.76</v>
      </c>
      <c r="AL201" s="115">
        <v>0.2497</v>
      </c>
      <c r="AM201" s="115">
        <v>46.08</v>
      </c>
      <c r="AN201" s="115">
        <v>46.08</v>
      </c>
      <c r="AO201" s="115">
        <v>18.15</v>
      </c>
      <c r="AP201" s="115">
        <v>5.3</v>
      </c>
      <c r="AQ201" s="115">
        <v>3.0775</v>
      </c>
      <c r="AR201" s="115">
        <v>0.075</v>
      </c>
      <c r="AS201" s="115">
        <v>3.0025</v>
      </c>
      <c r="AT201" s="115">
        <v>3.0639</v>
      </c>
      <c r="AU201" s="115">
        <v>0.2118</v>
      </c>
    </row>
    <row r="202" ht="15.75" customHeight="1">
      <c r="A202" s="116">
        <v>46191.0</v>
      </c>
      <c r="B202" s="115" t="s">
        <v>9</v>
      </c>
      <c r="C202" s="115" t="s">
        <v>130</v>
      </c>
      <c r="D202" s="115">
        <v>18468.0</v>
      </c>
      <c r="E202" s="115">
        <v>22.55</v>
      </c>
      <c r="F202" s="115">
        <v>7420.98</v>
      </c>
      <c r="G202" s="115">
        <v>0.4018</v>
      </c>
      <c r="H202" s="115">
        <v>8.25</v>
      </c>
      <c r="I202" s="115">
        <v>4.8726</v>
      </c>
      <c r="J202" s="115">
        <v>54.28</v>
      </c>
      <c r="K202" s="115">
        <v>27.53</v>
      </c>
      <c r="L202" s="115">
        <v>13.86</v>
      </c>
      <c r="M202" s="115">
        <v>0.5035</v>
      </c>
      <c r="N202" s="115">
        <v>0.6325</v>
      </c>
      <c r="O202" s="115">
        <v>0.4017</v>
      </c>
      <c r="P202" s="115">
        <v>1.9862</v>
      </c>
      <c r="Q202" s="115">
        <v>116.23</v>
      </c>
      <c r="R202" s="115">
        <v>106.12</v>
      </c>
      <c r="S202" s="115">
        <v>10.11</v>
      </c>
      <c r="T202" s="115">
        <v>25.45</v>
      </c>
      <c r="U202" s="115">
        <v>90.78</v>
      </c>
      <c r="V202" s="115">
        <v>116.45</v>
      </c>
      <c r="W202" s="115">
        <v>4.2305</v>
      </c>
      <c r="X202" s="115">
        <v>21.89</v>
      </c>
      <c r="Y202" s="115">
        <v>99.0</v>
      </c>
      <c r="Z202" s="115">
        <v>371.0</v>
      </c>
      <c r="AA202" s="115">
        <v>2912.0</v>
      </c>
      <c r="AB202" s="115">
        <v>52.6092</v>
      </c>
      <c r="AC202" s="115">
        <v>0.5882</v>
      </c>
      <c r="AD202" s="115">
        <v>9.12</v>
      </c>
      <c r="AE202" s="115">
        <v>3.0</v>
      </c>
      <c r="AF202" s="115">
        <v>7.0</v>
      </c>
      <c r="AG202" s="115">
        <v>13.0</v>
      </c>
      <c r="AH202" s="115">
        <v>20.0</v>
      </c>
      <c r="AI202" s="115">
        <v>55.9</v>
      </c>
      <c r="AJ202" s="115">
        <v>24.93</v>
      </c>
      <c r="AK202" s="115">
        <v>5.23</v>
      </c>
      <c r="AL202" s="115">
        <v>0.1943</v>
      </c>
      <c r="AM202" s="115">
        <v>58.82</v>
      </c>
      <c r="AN202" s="115">
        <v>58.82</v>
      </c>
      <c r="AO202" s="115">
        <v>35.05</v>
      </c>
      <c r="AP202" s="115">
        <v>16.66</v>
      </c>
      <c r="AQ202" s="115">
        <v>6.1733</v>
      </c>
      <c r="AR202" s="115">
        <v>0.3047</v>
      </c>
      <c r="AS202" s="115">
        <v>5.8686</v>
      </c>
      <c r="AT202" s="115">
        <v>5.9861</v>
      </c>
      <c r="AU202" s="115">
        <v>0.2175</v>
      </c>
    </row>
    <row r="203" ht="15.75" customHeight="1">
      <c r="A203" s="116">
        <v>46191.0</v>
      </c>
      <c r="B203" s="115" t="s">
        <v>9</v>
      </c>
      <c r="C203" s="115" t="s">
        <v>131</v>
      </c>
      <c r="D203" s="115">
        <v>9913.0</v>
      </c>
      <c r="E203" s="115">
        <v>12.1</v>
      </c>
      <c r="F203" s="115">
        <v>8631.97</v>
      </c>
      <c r="G203" s="115">
        <v>0.8708</v>
      </c>
      <c r="H203" s="115">
        <v>11.3</v>
      </c>
      <c r="I203" s="115">
        <v>7.7071</v>
      </c>
      <c r="J203" s="115">
        <v>76.64</v>
      </c>
      <c r="K203" s="115">
        <v>40.58</v>
      </c>
      <c r="L203" s="115">
        <v>25.74</v>
      </c>
      <c r="M203" s="115">
        <v>0.6341</v>
      </c>
      <c r="N203" s="115">
        <v>0.5114</v>
      </c>
      <c r="O203" s="115">
        <v>0.3263</v>
      </c>
      <c r="P203" s="115">
        <v>1.577</v>
      </c>
      <c r="Q203" s="115">
        <v>222.06</v>
      </c>
      <c r="R203" s="115">
        <v>201.93</v>
      </c>
      <c r="S203" s="115">
        <v>20.12</v>
      </c>
      <c r="T203" s="115">
        <v>54.35</v>
      </c>
      <c r="U203" s="115">
        <v>167.71</v>
      </c>
      <c r="V203" s="115">
        <v>207.71</v>
      </c>
      <c r="W203" s="115">
        <v>5.118</v>
      </c>
      <c r="X203" s="115">
        <v>24.47</v>
      </c>
      <c r="Y203" s="115">
        <v>108.0</v>
      </c>
      <c r="Z203" s="115">
        <v>524.0</v>
      </c>
      <c r="AA203" s="115">
        <v>3695.0</v>
      </c>
      <c r="AB203" s="115">
        <v>55.6908</v>
      </c>
      <c r="AC203" s="115">
        <v>0.7129</v>
      </c>
      <c r="AD203" s="115">
        <v>18.02</v>
      </c>
      <c r="AE203" s="115">
        <v>6.0</v>
      </c>
      <c r="AF203" s="115">
        <v>13.0</v>
      </c>
      <c r="AG203" s="115">
        <v>25.0</v>
      </c>
      <c r="AH203" s="115">
        <v>39.0</v>
      </c>
      <c r="AI203" s="115">
        <v>58.29</v>
      </c>
      <c r="AJ203" s="115">
        <v>24.86</v>
      </c>
      <c r="AK203" s="115">
        <v>8.42</v>
      </c>
      <c r="AL203" s="115">
        <v>0.1851</v>
      </c>
      <c r="AM203" s="115">
        <v>62.15</v>
      </c>
      <c r="AN203" s="115">
        <v>62.15</v>
      </c>
      <c r="AO203" s="115">
        <v>40.33</v>
      </c>
      <c r="AP203" s="115">
        <v>22.3</v>
      </c>
      <c r="AQ203" s="115">
        <v>9.8513</v>
      </c>
      <c r="AR203" s="115">
        <v>0.6957</v>
      </c>
      <c r="AS203" s="115">
        <v>9.1557</v>
      </c>
      <c r="AT203" s="115">
        <v>9.4192</v>
      </c>
      <c r="AU203" s="115">
        <v>0.2321</v>
      </c>
    </row>
    <row r="204" ht="15.75" customHeight="1">
      <c r="A204" s="116">
        <v>46191.0</v>
      </c>
      <c r="B204" s="115" t="s">
        <v>9</v>
      </c>
      <c r="C204" s="115" t="s">
        <v>132</v>
      </c>
      <c r="D204" s="115">
        <v>4271.0</v>
      </c>
      <c r="E204" s="115">
        <v>5.21</v>
      </c>
      <c r="F204" s="115">
        <v>7637.45</v>
      </c>
      <c r="G204" s="115">
        <v>1.7882</v>
      </c>
      <c r="H204" s="115">
        <v>14.59</v>
      </c>
      <c r="I204" s="115">
        <v>12.2591</v>
      </c>
      <c r="J204" s="115">
        <v>127.73</v>
      </c>
      <c r="K204" s="115">
        <v>72.61</v>
      </c>
      <c r="L204" s="115">
        <v>56.31</v>
      </c>
      <c r="M204" s="115">
        <v>0.7756</v>
      </c>
      <c r="N204" s="115">
        <v>0.3724</v>
      </c>
      <c r="O204" s="115">
        <v>0.2475</v>
      </c>
      <c r="P204" s="115">
        <v>1.2893</v>
      </c>
      <c r="Q204" s="115">
        <v>500.09</v>
      </c>
      <c r="R204" s="115">
        <v>457.09</v>
      </c>
      <c r="S204" s="115">
        <v>43.0</v>
      </c>
      <c r="T204" s="115">
        <v>114.79</v>
      </c>
      <c r="U204" s="115">
        <v>385.3</v>
      </c>
      <c r="V204" s="115">
        <v>453.11</v>
      </c>
      <c r="W204" s="115">
        <v>6.2408</v>
      </c>
      <c r="X204" s="115">
        <v>22.95</v>
      </c>
      <c r="Y204" s="115">
        <v>189.0</v>
      </c>
      <c r="Z204" s="115">
        <v>1056.0</v>
      </c>
      <c r="AA204" s="115">
        <v>6036.0</v>
      </c>
      <c r="AB204" s="115">
        <v>59.2948</v>
      </c>
      <c r="AC204" s="115">
        <v>0.8055</v>
      </c>
      <c r="AD204" s="115">
        <v>40.82</v>
      </c>
      <c r="AE204" s="115">
        <v>15.0</v>
      </c>
      <c r="AF204" s="115">
        <v>33.0</v>
      </c>
      <c r="AG204" s="115">
        <v>58.0</v>
      </c>
      <c r="AH204" s="115">
        <v>85.0</v>
      </c>
      <c r="AI204" s="115">
        <v>56.12</v>
      </c>
      <c r="AJ204" s="115">
        <v>24.09</v>
      </c>
      <c r="AK204" s="115">
        <v>6.44</v>
      </c>
      <c r="AL204" s="115">
        <v>0.1515</v>
      </c>
      <c r="AM204" s="115">
        <v>69.12</v>
      </c>
      <c r="AN204" s="115">
        <v>69.12</v>
      </c>
      <c r="AO204" s="115">
        <v>48.75</v>
      </c>
      <c r="AP204" s="115">
        <v>33.48</v>
      </c>
      <c r="AQ204" s="115">
        <v>18.3233</v>
      </c>
      <c r="AR204" s="115">
        <v>1.6277</v>
      </c>
      <c r="AS204" s="115">
        <v>16.6956</v>
      </c>
      <c r="AT204" s="115">
        <v>16.8244</v>
      </c>
      <c r="AU204" s="115">
        <v>0.2317</v>
      </c>
    </row>
    <row r="205" ht="15.75" customHeight="1">
      <c r="A205" s="116">
        <v>46191.0</v>
      </c>
      <c r="B205" s="115" t="s">
        <v>9</v>
      </c>
      <c r="C205" s="115" t="s">
        <v>133</v>
      </c>
      <c r="D205" s="115">
        <v>479.0</v>
      </c>
      <c r="E205" s="115">
        <v>0.58</v>
      </c>
      <c r="F205" s="115">
        <v>1126.2</v>
      </c>
      <c r="G205" s="115">
        <v>2.3511</v>
      </c>
      <c r="H205" s="115">
        <v>14.61</v>
      </c>
      <c r="I205" s="115">
        <v>16.0886</v>
      </c>
      <c r="J205" s="115">
        <v>234.03</v>
      </c>
      <c r="K205" s="115">
        <v>138.63</v>
      </c>
      <c r="L205" s="115">
        <v>118.45</v>
      </c>
      <c r="M205" s="115">
        <v>0.8544</v>
      </c>
      <c r="N205" s="115">
        <v>0.2873</v>
      </c>
      <c r="O205" s="115">
        <v>0.2075</v>
      </c>
      <c r="P205" s="115">
        <v>1.1704</v>
      </c>
      <c r="Q205" s="115">
        <v>863.38</v>
      </c>
      <c r="R205" s="115">
        <v>772.92</v>
      </c>
      <c r="S205" s="115">
        <v>90.46</v>
      </c>
      <c r="T205" s="115">
        <v>137.68</v>
      </c>
      <c r="U205" s="115">
        <v>725.7</v>
      </c>
      <c r="V205" s="115">
        <v>939.25</v>
      </c>
      <c r="W205" s="115">
        <v>6.7751</v>
      </c>
      <c r="X205" s="115">
        <v>15.95</v>
      </c>
      <c r="Y205" s="115">
        <v>486.0</v>
      </c>
      <c r="Z205" s="115">
        <v>2503.0</v>
      </c>
      <c r="AA205" s="115">
        <v>13122.0</v>
      </c>
      <c r="AB205" s="115">
        <v>62.5782</v>
      </c>
      <c r="AC205" s="115">
        <v>0.8682</v>
      </c>
      <c r="AD205" s="115">
        <v>84.45</v>
      </c>
      <c r="AE205" s="115">
        <v>35.0</v>
      </c>
      <c r="AF205" s="115">
        <v>74.0</v>
      </c>
      <c r="AG205" s="115">
        <v>115.0</v>
      </c>
      <c r="AH205" s="115">
        <v>163.0</v>
      </c>
      <c r="AI205" s="115">
        <v>47.6</v>
      </c>
      <c r="AJ205" s="115">
        <v>8.77</v>
      </c>
      <c r="AK205" s="115">
        <v>1.46</v>
      </c>
      <c r="AL205" s="115">
        <v>0.1232</v>
      </c>
      <c r="AM205" s="115">
        <v>77.87</v>
      </c>
      <c r="AN205" s="115">
        <v>77.87</v>
      </c>
      <c r="AO205" s="115">
        <v>59.08</v>
      </c>
      <c r="AP205" s="115">
        <v>44.05</v>
      </c>
      <c r="AQ205" s="115">
        <v>35.2797</v>
      </c>
      <c r="AR205" s="115">
        <v>5.7787</v>
      </c>
      <c r="AS205" s="115">
        <v>29.501</v>
      </c>
      <c r="AT205" s="115">
        <v>29.8706</v>
      </c>
      <c r="AU205" s="115">
        <v>0.2155</v>
      </c>
    </row>
    <row r="206" ht="15.75" customHeight="1">
      <c r="A206" s="116">
        <v>46192.0</v>
      </c>
      <c r="B206" s="115" t="s">
        <v>8</v>
      </c>
      <c r="C206" s="115" t="s">
        <v>128</v>
      </c>
      <c r="D206" s="115">
        <v>15783.0</v>
      </c>
      <c r="E206" s="115">
        <v>19.61</v>
      </c>
      <c r="F206" s="115">
        <v>126.7</v>
      </c>
      <c r="G206" s="115">
        <v>0.008</v>
      </c>
      <c r="H206" s="115">
        <v>0.16</v>
      </c>
      <c r="I206" s="115">
        <v>5.068</v>
      </c>
      <c r="J206" s="115">
        <v>6.22</v>
      </c>
      <c r="K206" s="115">
        <v>2.42</v>
      </c>
      <c r="L206" s="115">
        <v>0.06</v>
      </c>
      <c r="M206" s="115">
        <v>0.0239</v>
      </c>
      <c r="N206" s="115">
        <v>0.9798</v>
      </c>
      <c r="O206" s="115">
        <v>0.7635</v>
      </c>
      <c r="P206" s="115">
        <v>41.8125</v>
      </c>
      <c r="Q206" s="115">
        <v>31.13</v>
      </c>
      <c r="R206" s="115">
        <v>30.93</v>
      </c>
      <c r="S206" s="115">
        <v>0.2</v>
      </c>
      <c r="T206" s="115">
        <v>0.54</v>
      </c>
      <c r="U206" s="115">
        <v>30.58</v>
      </c>
      <c r="V206" s="115">
        <v>2.12</v>
      </c>
      <c r="W206" s="115">
        <v>0.8759</v>
      </c>
      <c r="X206" s="115">
        <v>1.75</v>
      </c>
      <c r="Y206" s="115">
        <v>249.0</v>
      </c>
      <c r="Z206" s="115">
        <v>2922.0</v>
      </c>
      <c r="AA206" s="115">
        <v>13345.0</v>
      </c>
      <c r="AB206" s="115">
        <v>49.5219</v>
      </c>
      <c r="AC206" s="115">
        <v>0.5357</v>
      </c>
      <c r="AI206" s="115">
        <v>0.0</v>
      </c>
      <c r="AJ206" s="115">
        <v>0.0</v>
      </c>
      <c r="AK206" s="115">
        <v>0.0</v>
      </c>
      <c r="AL206" s="115">
        <v>0.306</v>
      </c>
      <c r="AQ206" s="115">
        <v>1.6528</v>
      </c>
      <c r="AR206" s="115">
        <v>0.0077</v>
      </c>
      <c r="AS206" s="115">
        <v>1.6451</v>
      </c>
      <c r="AT206" s="115">
        <v>0.451</v>
      </c>
      <c r="AU206" s="115">
        <v>0.1867</v>
      </c>
    </row>
    <row r="207" ht="15.75" customHeight="1">
      <c r="A207" s="116">
        <v>46192.0</v>
      </c>
      <c r="B207" s="115" t="s">
        <v>8</v>
      </c>
      <c r="C207" s="115" t="s">
        <v>129</v>
      </c>
      <c r="D207" s="115">
        <v>32050.0</v>
      </c>
      <c r="E207" s="115">
        <v>39.83</v>
      </c>
      <c r="F207" s="115">
        <v>3930.04</v>
      </c>
      <c r="G207" s="115">
        <v>0.1226</v>
      </c>
      <c r="H207" s="115">
        <v>3.3</v>
      </c>
      <c r="I207" s="115">
        <v>3.7111</v>
      </c>
      <c r="J207" s="115">
        <v>32.86</v>
      </c>
      <c r="K207" s="115">
        <v>16.09</v>
      </c>
      <c r="L207" s="115">
        <v>5.84</v>
      </c>
      <c r="M207" s="115">
        <v>0.3631</v>
      </c>
      <c r="N207" s="115">
        <v>0.7548</v>
      </c>
      <c r="O207" s="115">
        <v>0.5214</v>
      </c>
      <c r="P207" s="115">
        <v>2.7543</v>
      </c>
      <c r="Q207" s="115">
        <v>79.96</v>
      </c>
      <c r="R207" s="115">
        <v>67.83</v>
      </c>
      <c r="S207" s="115">
        <v>12.13</v>
      </c>
      <c r="T207" s="115">
        <v>8.45</v>
      </c>
      <c r="U207" s="115">
        <v>71.51</v>
      </c>
      <c r="V207" s="115">
        <v>68.81</v>
      </c>
      <c r="W207" s="115">
        <v>4.275</v>
      </c>
      <c r="X207" s="115">
        <v>10.57</v>
      </c>
      <c r="Y207" s="115">
        <v>110.0</v>
      </c>
      <c r="Z207" s="115">
        <v>422.0</v>
      </c>
      <c r="AA207" s="115">
        <v>3297.0</v>
      </c>
      <c r="AB207" s="115">
        <v>49.2915</v>
      </c>
      <c r="AC207" s="115">
        <v>0.4907</v>
      </c>
      <c r="AD207" s="115">
        <v>3.96</v>
      </c>
      <c r="AE207" s="115">
        <v>1.0</v>
      </c>
      <c r="AF207" s="115">
        <v>3.0</v>
      </c>
      <c r="AG207" s="115">
        <v>5.0</v>
      </c>
      <c r="AH207" s="115">
        <v>9.0</v>
      </c>
      <c r="AI207" s="115">
        <v>71.43</v>
      </c>
      <c r="AJ207" s="115">
        <v>29.88</v>
      </c>
      <c r="AK207" s="115">
        <v>8.66</v>
      </c>
      <c r="AL207" s="115">
        <v>0.251</v>
      </c>
      <c r="AQ207" s="115">
        <v>4.6035</v>
      </c>
      <c r="AR207" s="115">
        <v>0.1067</v>
      </c>
      <c r="AS207" s="115">
        <v>4.4968</v>
      </c>
      <c r="AT207" s="115">
        <v>3.6806</v>
      </c>
      <c r="AU207" s="115">
        <v>0.2287</v>
      </c>
    </row>
    <row r="208" ht="15.75" customHeight="1">
      <c r="A208" s="116">
        <v>46192.0</v>
      </c>
      <c r="B208" s="115" t="s">
        <v>8</v>
      </c>
      <c r="C208" s="115" t="s">
        <v>130</v>
      </c>
      <c r="D208" s="115">
        <v>18593.0</v>
      </c>
      <c r="E208" s="115">
        <v>23.1</v>
      </c>
      <c r="F208" s="115">
        <v>7205.93</v>
      </c>
      <c r="G208" s="115">
        <v>0.3876</v>
      </c>
      <c r="H208" s="115">
        <v>8.26</v>
      </c>
      <c r="I208" s="115">
        <v>4.6944</v>
      </c>
      <c r="J208" s="115">
        <v>58.93</v>
      </c>
      <c r="K208" s="115">
        <v>30.02</v>
      </c>
      <c r="L208" s="115">
        <v>14.51</v>
      </c>
      <c r="M208" s="115">
        <v>0.4835</v>
      </c>
      <c r="N208" s="115">
        <v>0.6514</v>
      </c>
      <c r="O208" s="115">
        <v>0.4169</v>
      </c>
      <c r="P208" s="115">
        <v>2.0681</v>
      </c>
      <c r="Q208" s="115">
        <v>140.52</v>
      </c>
      <c r="R208" s="115">
        <v>110.24</v>
      </c>
      <c r="S208" s="115">
        <v>30.28</v>
      </c>
      <c r="T208" s="115">
        <v>24.72</v>
      </c>
      <c r="U208" s="115">
        <v>115.8</v>
      </c>
      <c r="V208" s="115">
        <v>135.52</v>
      </c>
      <c r="W208" s="115">
        <v>4.5151</v>
      </c>
      <c r="X208" s="115">
        <v>17.59</v>
      </c>
      <c r="Y208" s="115">
        <v>104.0</v>
      </c>
      <c r="Z208" s="115">
        <v>384.0</v>
      </c>
      <c r="AA208" s="115">
        <v>2640.0</v>
      </c>
      <c r="AB208" s="115">
        <v>52.667</v>
      </c>
      <c r="AC208" s="115">
        <v>0.5989</v>
      </c>
      <c r="AD208" s="115">
        <v>9.62</v>
      </c>
      <c r="AE208" s="115">
        <v>3.0</v>
      </c>
      <c r="AF208" s="115">
        <v>7.0</v>
      </c>
      <c r="AG208" s="115">
        <v>13.0</v>
      </c>
      <c r="AH208" s="115">
        <v>20.0</v>
      </c>
      <c r="AI208" s="115">
        <v>60.94</v>
      </c>
      <c r="AJ208" s="115">
        <v>27.01</v>
      </c>
      <c r="AK208" s="115">
        <v>5.07</v>
      </c>
      <c r="AL208" s="115">
        <v>0.2059</v>
      </c>
      <c r="AQ208" s="115">
        <v>7.653</v>
      </c>
      <c r="AR208" s="115">
        <v>0.3335</v>
      </c>
      <c r="AS208" s="115">
        <v>7.3195</v>
      </c>
      <c r="AT208" s="115">
        <v>6.6181</v>
      </c>
      <c r="AU208" s="115">
        <v>0.2205</v>
      </c>
    </row>
    <row r="209" ht="15.75" customHeight="1">
      <c r="A209" s="116">
        <v>46192.0</v>
      </c>
      <c r="B209" s="115" t="s">
        <v>8</v>
      </c>
      <c r="C209" s="115" t="s">
        <v>131</v>
      </c>
      <c r="D209" s="115">
        <v>9717.0</v>
      </c>
      <c r="E209" s="115">
        <v>12.08</v>
      </c>
      <c r="F209" s="115">
        <v>7761.09</v>
      </c>
      <c r="G209" s="115">
        <v>0.7987</v>
      </c>
      <c r="H209" s="115">
        <v>11.5</v>
      </c>
      <c r="I209" s="115">
        <v>6.9482</v>
      </c>
      <c r="J209" s="115">
        <v>83.06</v>
      </c>
      <c r="K209" s="115">
        <v>44.49</v>
      </c>
      <c r="L209" s="115">
        <v>27.26</v>
      </c>
      <c r="M209" s="115">
        <v>0.6127</v>
      </c>
      <c r="N209" s="115">
        <v>0.5307</v>
      </c>
      <c r="O209" s="115">
        <v>0.3347</v>
      </c>
      <c r="P209" s="115">
        <v>1.6321</v>
      </c>
      <c r="Q209" s="115">
        <v>225.33</v>
      </c>
      <c r="R209" s="115">
        <v>167.4</v>
      </c>
      <c r="S209" s="115">
        <v>57.93</v>
      </c>
      <c r="T209" s="115">
        <v>50.99</v>
      </c>
      <c r="U209" s="115">
        <v>174.35</v>
      </c>
      <c r="V209" s="115">
        <v>229.89</v>
      </c>
      <c r="W209" s="115">
        <v>5.1673</v>
      </c>
      <c r="X209" s="115">
        <v>22.63</v>
      </c>
      <c r="Y209" s="115">
        <v>111.0</v>
      </c>
      <c r="Z209" s="115">
        <v>502.0</v>
      </c>
      <c r="AA209" s="115">
        <v>3461.0</v>
      </c>
      <c r="AB209" s="115">
        <v>55.7017</v>
      </c>
      <c r="AC209" s="115">
        <v>0.7176</v>
      </c>
      <c r="AD209" s="115">
        <v>18.32</v>
      </c>
      <c r="AE209" s="115">
        <v>7.0</v>
      </c>
      <c r="AF209" s="115">
        <v>14.0</v>
      </c>
      <c r="AG209" s="115">
        <v>26.0</v>
      </c>
      <c r="AH209" s="115">
        <v>38.0</v>
      </c>
      <c r="AI209" s="115">
        <v>61.18</v>
      </c>
      <c r="AJ209" s="115">
        <v>24.94</v>
      </c>
      <c r="AK209" s="115">
        <v>7.76</v>
      </c>
      <c r="AL209" s="115">
        <v>0.2076</v>
      </c>
      <c r="AQ209" s="115">
        <v>11.7818</v>
      </c>
      <c r="AR209" s="115">
        <v>0.6854</v>
      </c>
      <c r="AS209" s="115">
        <v>11.0964</v>
      </c>
      <c r="AT209" s="115">
        <v>10.4907</v>
      </c>
      <c r="AU209" s="115">
        <v>0.2358</v>
      </c>
    </row>
    <row r="210" ht="15.75" customHeight="1">
      <c r="A210" s="116">
        <v>46192.0</v>
      </c>
      <c r="B210" s="115" t="s">
        <v>8</v>
      </c>
      <c r="C210" s="115" t="s">
        <v>132</v>
      </c>
      <c r="D210" s="115">
        <v>3912.0</v>
      </c>
      <c r="E210" s="115">
        <v>4.86</v>
      </c>
      <c r="F210" s="115">
        <v>6926.4</v>
      </c>
      <c r="G210" s="115">
        <v>1.7706</v>
      </c>
      <c r="H210" s="115">
        <v>14.93</v>
      </c>
      <c r="I210" s="115">
        <v>11.8603</v>
      </c>
      <c r="J210" s="115">
        <v>129.7</v>
      </c>
      <c r="K210" s="115">
        <v>73.21</v>
      </c>
      <c r="L210" s="115">
        <v>55.04</v>
      </c>
      <c r="M210" s="115">
        <v>0.7518</v>
      </c>
      <c r="N210" s="115">
        <v>0.3929</v>
      </c>
      <c r="O210" s="115">
        <v>0.2571</v>
      </c>
      <c r="P210" s="115">
        <v>1.3301</v>
      </c>
      <c r="Q210" s="115">
        <v>400.95</v>
      </c>
      <c r="R210" s="115">
        <v>284.2</v>
      </c>
      <c r="S210" s="115">
        <v>116.75</v>
      </c>
      <c r="T210" s="115">
        <v>109.03</v>
      </c>
      <c r="U210" s="115">
        <v>291.92</v>
      </c>
      <c r="V210" s="115">
        <v>443.84</v>
      </c>
      <c r="W210" s="115">
        <v>6.0625</v>
      </c>
      <c r="X210" s="115">
        <v>27.19</v>
      </c>
      <c r="Y210" s="115">
        <v>175.0</v>
      </c>
      <c r="Z210" s="115">
        <v>1129.0</v>
      </c>
      <c r="AA210" s="115">
        <v>6840.0</v>
      </c>
      <c r="AB210" s="115">
        <v>59.2955</v>
      </c>
      <c r="AC210" s="115">
        <v>0.8202</v>
      </c>
      <c r="AD210" s="115">
        <v>37.99</v>
      </c>
      <c r="AE210" s="115">
        <v>15.0</v>
      </c>
      <c r="AF210" s="115">
        <v>30.0</v>
      </c>
      <c r="AG210" s="115">
        <v>53.0</v>
      </c>
      <c r="AH210" s="115">
        <v>80.0</v>
      </c>
      <c r="AI210" s="115">
        <v>53.09</v>
      </c>
      <c r="AJ210" s="115">
        <v>19.91</v>
      </c>
      <c r="AK210" s="115">
        <v>5.27</v>
      </c>
      <c r="AL210" s="115">
        <v>0.1679</v>
      </c>
      <c r="AQ210" s="115">
        <v>20.7002</v>
      </c>
      <c r="AR210" s="115">
        <v>1.9018</v>
      </c>
      <c r="AS210" s="115">
        <v>18.7983</v>
      </c>
      <c r="AT210" s="115">
        <v>18.1028</v>
      </c>
      <c r="AU210" s="115">
        <v>0.2473</v>
      </c>
    </row>
    <row r="211" ht="15.75" customHeight="1">
      <c r="A211" s="116">
        <v>46192.0</v>
      </c>
      <c r="B211" s="115" t="s">
        <v>8</v>
      </c>
      <c r="C211" s="115" t="s">
        <v>133</v>
      </c>
      <c r="D211" s="115">
        <v>417.0</v>
      </c>
      <c r="E211" s="115">
        <v>0.52</v>
      </c>
      <c r="F211" s="115">
        <v>1122.85</v>
      </c>
      <c r="G211" s="115">
        <v>2.6927</v>
      </c>
      <c r="H211" s="115">
        <v>15.11</v>
      </c>
      <c r="I211" s="115">
        <v>17.823</v>
      </c>
      <c r="J211" s="115">
        <v>258.04</v>
      </c>
      <c r="K211" s="115">
        <v>156.72</v>
      </c>
      <c r="L211" s="115">
        <v>131.35</v>
      </c>
      <c r="M211" s="115">
        <v>0.8381</v>
      </c>
      <c r="N211" s="115">
        <v>0.2854</v>
      </c>
      <c r="O211" s="115">
        <v>0.1894</v>
      </c>
      <c r="P211" s="115">
        <v>1.1932</v>
      </c>
      <c r="Q211" s="115">
        <v>780.04</v>
      </c>
      <c r="R211" s="115">
        <v>500.94</v>
      </c>
      <c r="S211" s="115">
        <v>279.1</v>
      </c>
      <c r="T211" s="115">
        <v>164.63</v>
      </c>
      <c r="U211" s="115">
        <v>615.41</v>
      </c>
      <c r="V211" s="115">
        <v>816.55</v>
      </c>
      <c r="W211" s="115">
        <v>5.2101</v>
      </c>
      <c r="X211" s="115">
        <v>21.11</v>
      </c>
      <c r="Y211" s="115">
        <v>365.0</v>
      </c>
      <c r="Z211" s="115">
        <v>1857.0</v>
      </c>
      <c r="AA211" s="115">
        <v>8633.0</v>
      </c>
      <c r="AB211" s="115">
        <v>61.9239</v>
      </c>
      <c r="AC211" s="115">
        <v>0.8744</v>
      </c>
      <c r="AD211" s="115">
        <v>90.4</v>
      </c>
      <c r="AE211" s="115">
        <v>34.0</v>
      </c>
      <c r="AF211" s="115">
        <v>80.0</v>
      </c>
      <c r="AG211" s="115">
        <v>131.0</v>
      </c>
      <c r="AH211" s="115">
        <v>185.0</v>
      </c>
      <c r="AI211" s="115">
        <v>50.84</v>
      </c>
      <c r="AJ211" s="115">
        <v>12.23</v>
      </c>
      <c r="AK211" s="115">
        <v>1.44</v>
      </c>
      <c r="AL211" s="115">
        <v>0.1007</v>
      </c>
      <c r="AQ211" s="115">
        <v>40.6235</v>
      </c>
      <c r="AR211" s="115">
        <v>2.8801</v>
      </c>
      <c r="AS211" s="115">
        <v>37.7434</v>
      </c>
      <c r="AT211" s="115">
        <v>37.6523</v>
      </c>
      <c r="AU211" s="115">
        <v>0.2402</v>
      </c>
    </row>
    <row r="212" ht="15.75" customHeight="1">
      <c r="A212" s="116">
        <v>46192.0</v>
      </c>
      <c r="B212" s="115" t="s">
        <v>9</v>
      </c>
      <c r="C212" s="115" t="s">
        <v>128</v>
      </c>
      <c r="D212" s="115">
        <v>16109.0</v>
      </c>
      <c r="E212" s="115">
        <v>20.15</v>
      </c>
      <c r="F212" s="115">
        <v>133.2</v>
      </c>
      <c r="G212" s="115">
        <v>0.0083</v>
      </c>
      <c r="H212" s="115">
        <v>0.2</v>
      </c>
      <c r="I212" s="115">
        <v>4.1625</v>
      </c>
      <c r="J212" s="115">
        <v>6.17</v>
      </c>
      <c r="K212" s="115">
        <v>2.52</v>
      </c>
      <c r="L212" s="115">
        <v>0.06</v>
      </c>
      <c r="M212" s="115">
        <v>0.0251</v>
      </c>
      <c r="N212" s="115">
        <v>0.9789</v>
      </c>
      <c r="O212" s="115">
        <v>0.7345</v>
      </c>
      <c r="P212" s="115">
        <v>39.8265</v>
      </c>
      <c r="Q212" s="115">
        <v>26.89</v>
      </c>
      <c r="R212" s="115">
        <v>26.85</v>
      </c>
      <c r="S212" s="115">
        <v>0.04</v>
      </c>
      <c r="T212" s="115">
        <v>0.53</v>
      </c>
      <c r="U212" s="115">
        <v>26.36</v>
      </c>
      <c r="V212" s="115">
        <v>1.93</v>
      </c>
      <c r="W212" s="115">
        <v>0.7656</v>
      </c>
      <c r="X212" s="115">
        <v>1.97</v>
      </c>
      <c r="Y212" s="115">
        <v>218.0</v>
      </c>
      <c r="Z212" s="115">
        <v>2457.0</v>
      </c>
      <c r="AA212" s="115">
        <v>11955.0</v>
      </c>
      <c r="AB212" s="115">
        <v>49.6836</v>
      </c>
      <c r="AC212" s="115">
        <v>0.536</v>
      </c>
      <c r="AI212" s="115">
        <v>0.0</v>
      </c>
      <c r="AJ212" s="115">
        <v>0.0</v>
      </c>
      <c r="AK212" s="115">
        <v>0.0</v>
      </c>
      <c r="AL212" s="115">
        <v>0.3119</v>
      </c>
      <c r="AM212" s="115">
        <v>0.18</v>
      </c>
      <c r="AN212" s="115">
        <v>0.18</v>
      </c>
      <c r="AO212" s="115">
        <v>0.11</v>
      </c>
      <c r="AP212" s="115">
        <v>0.07</v>
      </c>
      <c r="AQ212" s="115">
        <v>1.622</v>
      </c>
      <c r="AR212" s="115">
        <v>0.0096</v>
      </c>
      <c r="AS212" s="115">
        <v>1.6123</v>
      </c>
      <c r="AT212" s="115">
        <v>0.4565</v>
      </c>
      <c r="AU212" s="115">
        <v>0.181</v>
      </c>
    </row>
    <row r="213" ht="15.75" customHeight="1">
      <c r="A213" s="116">
        <v>46192.0</v>
      </c>
      <c r="B213" s="115" t="s">
        <v>9</v>
      </c>
      <c r="C213" s="115" t="s">
        <v>129</v>
      </c>
      <c r="D213" s="115">
        <v>30753.0</v>
      </c>
      <c r="E213" s="115">
        <v>38.47</v>
      </c>
      <c r="F213" s="115">
        <v>3578.69</v>
      </c>
      <c r="G213" s="115">
        <v>0.1164</v>
      </c>
      <c r="H213" s="115">
        <v>3.54</v>
      </c>
      <c r="I213" s="115">
        <v>3.2862</v>
      </c>
      <c r="J213" s="115">
        <v>33.77</v>
      </c>
      <c r="K213" s="115">
        <v>16.45</v>
      </c>
      <c r="L213" s="115">
        <v>5.89</v>
      </c>
      <c r="M213" s="115">
        <v>0.358</v>
      </c>
      <c r="N213" s="115">
        <v>0.7533</v>
      </c>
      <c r="O213" s="115">
        <v>0.5171</v>
      </c>
      <c r="P213" s="115">
        <v>2.7935</v>
      </c>
      <c r="Q213" s="115">
        <v>71.61</v>
      </c>
      <c r="R213" s="115">
        <v>67.24</v>
      </c>
      <c r="S213" s="115">
        <v>4.37</v>
      </c>
      <c r="T213" s="115">
        <v>7.87</v>
      </c>
      <c r="U213" s="115">
        <v>63.75</v>
      </c>
      <c r="V213" s="115">
        <v>62.41</v>
      </c>
      <c r="W213" s="115">
        <v>3.795</v>
      </c>
      <c r="X213" s="115">
        <v>10.98</v>
      </c>
      <c r="Y213" s="115">
        <v>100.0</v>
      </c>
      <c r="Z213" s="115">
        <v>389.0</v>
      </c>
      <c r="AA213" s="115">
        <v>3148.0</v>
      </c>
      <c r="AB213" s="115">
        <v>49.4036</v>
      </c>
      <c r="AC213" s="115">
        <v>0.4893</v>
      </c>
      <c r="AD213" s="115">
        <v>3.96</v>
      </c>
      <c r="AE213" s="115">
        <v>1.0</v>
      </c>
      <c r="AF213" s="115">
        <v>3.0</v>
      </c>
      <c r="AG213" s="115">
        <v>5.0</v>
      </c>
      <c r="AH213" s="115">
        <v>9.0</v>
      </c>
      <c r="AI213" s="115">
        <v>71.47</v>
      </c>
      <c r="AJ213" s="115">
        <v>29.79</v>
      </c>
      <c r="AK213" s="115">
        <v>8.72</v>
      </c>
      <c r="AL213" s="115">
        <v>0.2521</v>
      </c>
      <c r="AM213" s="115">
        <v>51.37</v>
      </c>
      <c r="AN213" s="115">
        <v>51.37</v>
      </c>
      <c r="AO213" s="115">
        <v>21.17</v>
      </c>
      <c r="AP213" s="115">
        <v>6.34</v>
      </c>
      <c r="AQ213" s="115">
        <v>4.9519</v>
      </c>
      <c r="AR213" s="115">
        <v>0.0964</v>
      </c>
      <c r="AS213" s="115">
        <v>4.8556</v>
      </c>
      <c r="AT213" s="115">
        <v>3.9492</v>
      </c>
      <c r="AU213" s="115">
        <v>0.2401</v>
      </c>
    </row>
    <row r="214" ht="15.75" customHeight="1">
      <c r="A214" s="116">
        <v>46192.0</v>
      </c>
      <c r="B214" s="115" t="s">
        <v>9</v>
      </c>
      <c r="C214" s="115" t="s">
        <v>130</v>
      </c>
      <c r="D214" s="115">
        <v>18493.0</v>
      </c>
      <c r="E214" s="115">
        <v>23.13</v>
      </c>
      <c r="F214" s="115">
        <v>7448.55</v>
      </c>
      <c r="G214" s="115">
        <v>0.4028</v>
      </c>
      <c r="H214" s="115">
        <v>8.22</v>
      </c>
      <c r="I214" s="115">
        <v>4.8971</v>
      </c>
      <c r="J214" s="115">
        <v>59.1</v>
      </c>
      <c r="K214" s="115">
        <v>30.25</v>
      </c>
      <c r="L214" s="115">
        <v>14.32</v>
      </c>
      <c r="M214" s="115">
        <v>0.4733</v>
      </c>
      <c r="N214" s="115">
        <v>0.6568</v>
      </c>
      <c r="O214" s="115">
        <v>0.4171</v>
      </c>
      <c r="P214" s="115">
        <v>2.1128</v>
      </c>
      <c r="Q214" s="115">
        <v>130.88</v>
      </c>
      <c r="R214" s="115">
        <v>120.11</v>
      </c>
      <c r="S214" s="115">
        <v>10.76</v>
      </c>
      <c r="T214" s="115">
        <v>25.79</v>
      </c>
      <c r="U214" s="115">
        <v>105.08</v>
      </c>
      <c r="V214" s="115">
        <v>124.94</v>
      </c>
      <c r="W214" s="115">
        <v>4.1301</v>
      </c>
      <c r="X214" s="115">
        <v>19.71</v>
      </c>
      <c r="Y214" s="115">
        <v>96.0</v>
      </c>
      <c r="Z214" s="115">
        <v>374.0</v>
      </c>
      <c r="AA214" s="115">
        <v>2797.0</v>
      </c>
      <c r="AB214" s="115">
        <v>52.512</v>
      </c>
      <c r="AC214" s="115">
        <v>0.5967</v>
      </c>
      <c r="AD214" s="115">
        <v>9.46</v>
      </c>
      <c r="AE214" s="115">
        <v>3.0</v>
      </c>
      <c r="AF214" s="115">
        <v>7.0</v>
      </c>
      <c r="AG214" s="115">
        <v>13.0</v>
      </c>
      <c r="AH214" s="115">
        <v>20.0</v>
      </c>
      <c r="AI214" s="115">
        <v>59.16</v>
      </c>
      <c r="AJ214" s="115">
        <v>25.74</v>
      </c>
      <c r="AK214" s="115">
        <v>5.38</v>
      </c>
      <c r="AL214" s="115">
        <v>0.2149</v>
      </c>
      <c r="AM214" s="115">
        <v>62.41</v>
      </c>
      <c r="AN214" s="115">
        <v>62.41</v>
      </c>
      <c r="AO214" s="115">
        <v>37.45</v>
      </c>
      <c r="AP214" s="115">
        <v>17.29</v>
      </c>
      <c r="AQ214" s="115">
        <v>8.2914</v>
      </c>
      <c r="AR214" s="115">
        <v>0.3462</v>
      </c>
      <c r="AS214" s="115">
        <v>7.9452</v>
      </c>
      <c r="AT214" s="115">
        <v>7.0832</v>
      </c>
      <c r="AU214" s="115">
        <v>0.2342</v>
      </c>
    </row>
    <row r="215" ht="15.75" customHeight="1">
      <c r="A215" s="116">
        <v>46192.0</v>
      </c>
      <c r="B215" s="115" t="s">
        <v>9</v>
      </c>
      <c r="C215" s="115" t="s">
        <v>131</v>
      </c>
      <c r="D215" s="115">
        <v>9975.0</v>
      </c>
      <c r="E215" s="115">
        <v>12.48</v>
      </c>
      <c r="F215" s="115">
        <v>8649.85</v>
      </c>
      <c r="G215" s="115">
        <v>0.8672</v>
      </c>
      <c r="H215" s="115">
        <v>11.88</v>
      </c>
      <c r="I215" s="115">
        <v>7.2995</v>
      </c>
      <c r="J215" s="115">
        <v>84.86</v>
      </c>
      <c r="K215" s="115">
        <v>45.27</v>
      </c>
      <c r="L215" s="115">
        <v>27.15</v>
      </c>
      <c r="M215" s="115">
        <v>0.5996</v>
      </c>
      <c r="N215" s="115">
        <v>0.5373</v>
      </c>
      <c r="O215" s="115">
        <v>0.3334</v>
      </c>
      <c r="P215" s="115">
        <v>1.6677</v>
      </c>
      <c r="Q215" s="115">
        <v>216.42</v>
      </c>
      <c r="R215" s="115">
        <v>195.57</v>
      </c>
      <c r="S215" s="115">
        <v>20.86</v>
      </c>
      <c r="T215" s="115">
        <v>54.32</v>
      </c>
      <c r="U215" s="115">
        <v>162.1</v>
      </c>
      <c r="V215" s="115">
        <v>216.9</v>
      </c>
      <c r="W215" s="115">
        <v>4.7908</v>
      </c>
      <c r="X215" s="115">
        <v>25.1</v>
      </c>
      <c r="Y215" s="115">
        <v>112.0</v>
      </c>
      <c r="Z215" s="115">
        <v>516.0</v>
      </c>
      <c r="AA215" s="115">
        <v>3630.0</v>
      </c>
      <c r="AB215" s="115">
        <v>55.6015</v>
      </c>
      <c r="AC215" s="115">
        <v>0.7118</v>
      </c>
      <c r="AD215" s="115">
        <v>18.29</v>
      </c>
      <c r="AE215" s="115">
        <v>7.0</v>
      </c>
      <c r="AF215" s="115">
        <v>14.0</v>
      </c>
      <c r="AG215" s="115">
        <v>25.0</v>
      </c>
      <c r="AH215" s="115">
        <v>39.0</v>
      </c>
      <c r="AI215" s="115">
        <v>60.02</v>
      </c>
      <c r="AJ215" s="115">
        <v>24.42</v>
      </c>
      <c r="AK215" s="115">
        <v>8.37</v>
      </c>
      <c r="AL215" s="115">
        <v>0.2041</v>
      </c>
      <c r="AM215" s="115">
        <v>64.57</v>
      </c>
      <c r="AN215" s="115">
        <v>64.57</v>
      </c>
      <c r="AO215" s="115">
        <v>42.65</v>
      </c>
      <c r="AP215" s="115">
        <v>22.64</v>
      </c>
      <c r="AQ215" s="115">
        <v>12.6108</v>
      </c>
      <c r="AR215" s="115">
        <v>0.7645</v>
      </c>
      <c r="AS215" s="115">
        <v>11.8463</v>
      </c>
      <c r="AT215" s="115">
        <v>11.133</v>
      </c>
      <c r="AU215" s="115">
        <v>0.2459</v>
      </c>
    </row>
    <row r="216" ht="15.75" customHeight="1">
      <c r="A216" s="116">
        <v>46192.0</v>
      </c>
      <c r="B216" s="115" t="s">
        <v>9</v>
      </c>
      <c r="C216" s="115" t="s">
        <v>132</v>
      </c>
      <c r="D216" s="115">
        <v>4148.0</v>
      </c>
      <c r="E216" s="115">
        <v>5.19</v>
      </c>
      <c r="F216" s="115">
        <v>7621.14</v>
      </c>
      <c r="G216" s="115">
        <v>1.8373</v>
      </c>
      <c r="H216" s="115">
        <v>14.37</v>
      </c>
      <c r="I216" s="115">
        <v>12.7871</v>
      </c>
      <c r="J216" s="115">
        <v>132.8</v>
      </c>
      <c r="K216" s="115">
        <v>74.97</v>
      </c>
      <c r="L216" s="115">
        <v>55.86</v>
      </c>
      <c r="M216" s="115">
        <v>0.7451</v>
      </c>
      <c r="N216" s="115">
        <v>0.3974</v>
      </c>
      <c r="O216" s="115">
        <v>0.2564</v>
      </c>
      <c r="P216" s="115">
        <v>1.3421</v>
      </c>
      <c r="Q216" s="115">
        <v>399.67</v>
      </c>
      <c r="R216" s="115">
        <v>357.31</v>
      </c>
      <c r="S216" s="115">
        <v>42.36</v>
      </c>
      <c r="T216" s="115">
        <v>113.56</v>
      </c>
      <c r="U216" s="115">
        <v>286.11</v>
      </c>
      <c r="V216" s="115">
        <v>411.03</v>
      </c>
      <c r="W216" s="115">
        <v>5.4826</v>
      </c>
      <c r="X216" s="115">
        <v>28.41</v>
      </c>
      <c r="Y216" s="115">
        <v>177.0</v>
      </c>
      <c r="Z216" s="115">
        <v>1083.0</v>
      </c>
      <c r="AA216" s="115">
        <v>6261.0</v>
      </c>
      <c r="AB216" s="115">
        <v>59.2355</v>
      </c>
      <c r="AC216" s="115">
        <v>0.8195</v>
      </c>
      <c r="AD216" s="115">
        <v>38.9</v>
      </c>
      <c r="AE216" s="115">
        <v>14.0</v>
      </c>
      <c r="AF216" s="115">
        <v>30.0</v>
      </c>
      <c r="AG216" s="115">
        <v>52.0</v>
      </c>
      <c r="AH216" s="115">
        <v>81.0</v>
      </c>
      <c r="AI216" s="115">
        <v>53.45</v>
      </c>
      <c r="AJ216" s="115">
        <v>20.78</v>
      </c>
      <c r="AK216" s="115">
        <v>5.91</v>
      </c>
      <c r="AL216" s="115">
        <v>0.1695</v>
      </c>
      <c r="AM216" s="115">
        <v>68.44</v>
      </c>
      <c r="AN216" s="115">
        <v>68.44</v>
      </c>
      <c r="AO216" s="115">
        <v>48.77</v>
      </c>
      <c r="AP216" s="115">
        <v>32.09</v>
      </c>
      <c r="AQ216" s="115">
        <v>21.7604</v>
      </c>
      <c r="AR216" s="115">
        <v>1.6767</v>
      </c>
      <c r="AS216" s="115">
        <v>20.0837</v>
      </c>
      <c r="AT216" s="115">
        <v>18.9479</v>
      </c>
      <c r="AU216" s="115">
        <v>0.2527</v>
      </c>
    </row>
    <row r="217" ht="15.75" customHeight="1">
      <c r="A217" s="116">
        <v>46192.0</v>
      </c>
      <c r="B217" s="115" t="s">
        <v>9</v>
      </c>
      <c r="C217" s="115" t="s">
        <v>133</v>
      </c>
      <c r="D217" s="115">
        <v>469.0</v>
      </c>
      <c r="E217" s="115">
        <v>0.59</v>
      </c>
      <c r="F217" s="115">
        <v>1731.62</v>
      </c>
      <c r="G217" s="115">
        <v>3.6922</v>
      </c>
      <c r="H217" s="115">
        <v>18.76</v>
      </c>
      <c r="I217" s="115">
        <v>19.6775</v>
      </c>
      <c r="J217" s="115">
        <v>255.88</v>
      </c>
      <c r="K217" s="115">
        <v>149.72</v>
      </c>
      <c r="L217" s="115">
        <v>125.72</v>
      </c>
      <c r="M217" s="115">
        <v>0.8397</v>
      </c>
      <c r="N217" s="115">
        <v>0.2947</v>
      </c>
      <c r="O217" s="115">
        <v>0.2047</v>
      </c>
      <c r="P217" s="115">
        <v>1.1909</v>
      </c>
      <c r="Q217" s="115">
        <v>821.62</v>
      </c>
      <c r="R217" s="115">
        <v>724.96</v>
      </c>
      <c r="S217" s="115">
        <v>96.65</v>
      </c>
      <c r="T217" s="115">
        <v>247.55</v>
      </c>
      <c r="U217" s="115">
        <v>574.07</v>
      </c>
      <c r="V217" s="115">
        <v>999.89</v>
      </c>
      <c r="W217" s="115">
        <v>6.6785</v>
      </c>
      <c r="X217" s="115">
        <v>30.13</v>
      </c>
      <c r="Y217" s="115">
        <v>341.0</v>
      </c>
      <c r="Z217" s="115">
        <v>2639.0</v>
      </c>
      <c r="AA217" s="115">
        <v>13239.0</v>
      </c>
      <c r="AB217" s="115">
        <v>62.6829</v>
      </c>
      <c r="AC217" s="115">
        <v>0.8844</v>
      </c>
      <c r="AD217" s="115">
        <v>88.48</v>
      </c>
      <c r="AE217" s="115">
        <v>35.0</v>
      </c>
      <c r="AF217" s="115">
        <v>73.0</v>
      </c>
      <c r="AG217" s="115">
        <v>128.0</v>
      </c>
      <c r="AH217" s="115">
        <v>185.0</v>
      </c>
      <c r="AI217" s="115">
        <v>46.7</v>
      </c>
      <c r="AJ217" s="115">
        <v>11.94</v>
      </c>
      <c r="AK217" s="115">
        <v>1.07</v>
      </c>
      <c r="AL217" s="115">
        <v>0.1173</v>
      </c>
      <c r="AM217" s="115">
        <v>76.97</v>
      </c>
      <c r="AN217" s="115">
        <v>76.97</v>
      </c>
      <c r="AO217" s="115">
        <v>62.05</v>
      </c>
      <c r="AP217" s="115">
        <v>48.61</v>
      </c>
      <c r="AQ217" s="115">
        <v>43.4243</v>
      </c>
      <c r="AR217" s="115">
        <v>5.145</v>
      </c>
      <c r="AS217" s="115">
        <v>38.2793</v>
      </c>
      <c r="AT217" s="115">
        <v>36.8422</v>
      </c>
      <c r="AU217" s="115">
        <v>0.2461</v>
      </c>
    </row>
    <row r="218" ht="15.75" customHeight="1">
      <c r="A218" s="116">
        <v>46193.0</v>
      </c>
      <c r="B218" s="115" t="s">
        <v>8</v>
      </c>
      <c r="C218" s="115" t="s">
        <v>128</v>
      </c>
      <c r="D218" s="115">
        <v>16318.0</v>
      </c>
      <c r="E218" s="115">
        <v>20.68</v>
      </c>
      <c r="F218" s="115">
        <v>64.36</v>
      </c>
      <c r="G218" s="115">
        <v>0.0039</v>
      </c>
      <c r="H218" s="115">
        <v>0.07</v>
      </c>
      <c r="I218" s="115">
        <v>5.8509</v>
      </c>
      <c r="J218" s="115">
        <v>6.18</v>
      </c>
      <c r="K218" s="115">
        <v>2.61</v>
      </c>
      <c r="L218" s="115">
        <v>0.02</v>
      </c>
      <c r="M218" s="115">
        <v>0.0081</v>
      </c>
      <c r="N218" s="115">
        <v>0.9931</v>
      </c>
      <c r="O218" s="115">
        <v>0.9006</v>
      </c>
      <c r="P218" s="115">
        <v>123.8372</v>
      </c>
      <c r="Q218" s="115">
        <v>26.02</v>
      </c>
      <c r="R218" s="115">
        <v>25.94</v>
      </c>
      <c r="S218" s="115">
        <v>0.08</v>
      </c>
      <c r="T218" s="115">
        <v>0.26</v>
      </c>
      <c r="U218" s="115">
        <v>25.76</v>
      </c>
      <c r="V218" s="115">
        <v>2.22</v>
      </c>
      <c r="W218" s="115">
        <v>0.8521</v>
      </c>
      <c r="X218" s="115">
        <v>0.99</v>
      </c>
      <c r="Y218" s="115">
        <v>203.0</v>
      </c>
      <c r="Z218" s="115">
        <v>2443.0</v>
      </c>
      <c r="AA218" s="115">
        <v>12356.0</v>
      </c>
      <c r="AB218" s="115">
        <v>49.3825</v>
      </c>
      <c r="AC218" s="115">
        <v>0.5231</v>
      </c>
      <c r="AI218" s="115">
        <v>0.0</v>
      </c>
      <c r="AJ218" s="115">
        <v>0.0</v>
      </c>
      <c r="AK218" s="115">
        <v>0.0</v>
      </c>
      <c r="AL218" s="115">
        <v>0.2826</v>
      </c>
      <c r="AQ218" s="115">
        <v>1.092</v>
      </c>
      <c r="AR218" s="115">
        <v>0.0063</v>
      </c>
      <c r="AS218" s="115">
        <v>1.0857</v>
      </c>
      <c r="AT218" s="115">
        <v>0.3998</v>
      </c>
      <c r="AU218" s="115">
        <v>0.1531</v>
      </c>
    </row>
    <row r="219" ht="15.75" customHeight="1">
      <c r="A219" s="116">
        <v>46193.0</v>
      </c>
      <c r="B219" s="115" t="s">
        <v>8</v>
      </c>
      <c r="C219" s="115" t="s">
        <v>129</v>
      </c>
      <c r="D219" s="115">
        <v>30747.0</v>
      </c>
      <c r="E219" s="115">
        <v>38.96</v>
      </c>
      <c r="F219" s="115">
        <v>3313.57</v>
      </c>
      <c r="G219" s="115">
        <v>0.1078</v>
      </c>
      <c r="H219" s="115">
        <v>3.18</v>
      </c>
      <c r="I219" s="115">
        <v>3.3881</v>
      </c>
      <c r="J219" s="115">
        <v>30.53</v>
      </c>
      <c r="K219" s="115">
        <v>15.02</v>
      </c>
      <c r="L219" s="115">
        <v>5.65</v>
      </c>
      <c r="M219" s="115">
        <v>0.3765</v>
      </c>
      <c r="N219" s="115">
        <v>0.7456</v>
      </c>
      <c r="O219" s="115">
        <v>0.5193</v>
      </c>
      <c r="P219" s="115">
        <v>2.6562</v>
      </c>
      <c r="Q219" s="115">
        <v>64.59</v>
      </c>
      <c r="R219" s="115">
        <v>52.99</v>
      </c>
      <c r="S219" s="115">
        <v>11.6</v>
      </c>
      <c r="T219" s="115">
        <v>7.5</v>
      </c>
      <c r="U219" s="115">
        <v>57.09</v>
      </c>
      <c r="V219" s="115">
        <v>65.93</v>
      </c>
      <c r="W219" s="115">
        <v>4.3907</v>
      </c>
      <c r="X219" s="115">
        <v>11.62</v>
      </c>
      <c r="Y219" s="115">
        <v>108.0</v>
      </c>
      <c r="Z219" s="115">
        <v>445.0</v>
      </c>
      <c r="AA219" s="115">
        <v>3433.0</v>
      </c>
      <c r="AB219" s="115">
        <v>49.4175</v>
      </c>
      <c r="AC219" s="115">
        <v>0.497</v>
      </c>
      <c r="AD219" s="115">
        <v>3.9</v>
      </c>
      <c r="AE219" s="115">
        <v>1.0</v>
      </c>
      <c r="AF219" s="115">
        <v>2.0</v>
      </c>
      <c r="AG219" s="115">
        <v>5.0</v>
      </c>
      <c r="AH219" s="115">
        <v>9.0</v>
      </c>
      <c r="AI219" s="115">
        <v>70.1</v>
      </c>
      <c r="AJ219" s="115">
        <v>28.75</v>
      </c>
      <c r="AK219" s="115">
        <v>8.77</v>
      </c>
      <c r="AL219" s="115">
        <v>0.2375</v>
      </c>
      <c r="AQ219" s="115">
        <v>3.3882</v>
      </c>
      <c r="AR219" s="115">
        <v>0.0995</v>
      </c>
      <c r="AS219" s="115">
        <v>3.2887</v>
      </c>
      <c r="AT219" s="115">
        <v>3.4019</v>
      </c>
      <c r="AU219" s="115">
        <v>0.2265</v>
      </c>
    </row>
    <row r="220" ht="15.75" customHeight="1">
      <c r="A220" s="116">
        <v>46193.0</v>
      </c>
      <c r="B220" s="115" t="s">
        <v>8</v>
      </c>
      <c r="C220" s="115" t="s">
        <v>130</v>
      </c>
      <c r="D220" s="115">
        <v>18075.0</v>
      </c>
      <c r="E220" s="115">
        <v>22.9</v>
      </c>
      <c r="F220" s="115">
        <v>6901.7</v>
      </c>
      <c r="G220" s="115">
        <v>0.3818</v>
      </c>
      <c r="H220" s="115">
        <v>8.16</v>
      </c>
      <c r="I220" s="115">
        <v>4.6791</v>
      </c>
      <c r="J220" s="115">
        <v>54.54</v>
      </c>
      <c r="K220" s="115">
        <v>27.69</v>
      </c>
      <c r="L220" s="115">
        <v>13.84</v>
      </c>
      <c r="M220" s="115">
        <v>0.4999</v>
      </c>
      <c r="N220" s="115">
        <v>0.641</v>
      </c>
      <c r="O220" s="115">
        <v>0.4148</v>
      </c>
      <c r="P220" s="115">
        <v>2.0005</v>
      </c>
      <c r="Q220" s="115">
        <v>127.12</v>
      </c>
      <c r="R220" s="115">
        <v>98.1</v>
      </c>
      <c r="S220" s="115">
        <v>29.02</v>
      </c>
      <c r="T220" s="115">
        <v>24.54</v>
      </c>
      <c r="U220" s="115">
        <v>102.58</v>
      </c>
      <c r="V220" s="115">
        <v>128.48</v>
      </c>
      <c r="W220" s="115">
        <v>4.6398</v>
      </c>
      <c r="X220" s="115">
        <v>19.3</v>
      </c>
      <c r="Y220" s="115">
        <v>103.0</v>
      </c>
      <c r="Z220" s="115">
        <v>396.0</v>
      </c>
      <c r="AA220" s="115">
        <v>2934.0</v>
      </c>
      <c r="AB220" s="115">
        <v>52.7408</v>
      </c>
      <c r="AC220" s="115">
        <v>0.6097</v>
      </c>
      <c r="AD220" s="115">
        <v>9.44</v>
      </c>
      <c r="AE220" s="115">
        <v>3.0</v>
      </c>
      <c r="AF220" s="115">
        <v>7.0</v>
      </c>
      <c r="AG220" s="115">
        <v>13.0</v>
      </c>
      <c r="AH220" s="115">
        <v>21.0</v>
      </c>
      <c r="AI220" s="115">
        <v>58.58</v>
      </c>
      <c r="AJ220" s="115">
        <v>26.13</v>
      </c>
      <c r="AK220" s="115">
        <v>5.58</v>
      </c>
      <c r="AL220" s="115">
        <v>0.1992</v>
      </c>
      <c r="AQ220" s="115">
        <v>6.3106</v>
      </c>
      <c r="AR220" s="115">
        <v>0.3254</v>
      </c>
      <c r="AS220" s="115">
        <v>5.9852</v>
      </c>
      <c r="AT220" s="115">
        <v>6.3381</v>
      </c>
      <c r="AU220" s="115">
        <v>0.2289</v>
      </c>
    </row>
    <row r="221" ht="15.75" customHeight="1">
      <c r="A221" s="116">
        <v>46193.0</v>
      </c>
      <c r="B221" s="115" t="s">
        <v>8</v>
      </c>
      <c r="C221" s="115" t="s">
        <v>131</v>
      </c>
      <c r="D221" s="115">
        <v>9348.0</v>
      </c>
      <c r="E221" s="115">
        <v>11.84</v>
      </c>
      <c r="F221" s="115">
        <v>8380.75</v>
      </c>
      <c r="G221" s="115">
        <v>0.8965</v>
      </c>
      <c r="H221" s="115">
        <v>11.93</v>
      </c>
      <c r="I221" s="115">
        <v>7.5164</v>
      </c>
      <c r="J221" s="115">
        <v>79.95</v>
      </c>
      <c r="K221" s="115">
        <v>42.74</v>
      </c>
      <c r="L221" s="115">
        <v>27.07</v>
      </c>
      <c r="M221" s="115">
        <v>0.6334</v>
      </c>
      <c r="N221" s="115">
        <v>0.5139</v>
      </c>
      <c r="O221" s="115">
        <v>0.329</v>
      </c>
      <c r="P221" s="115">
        <v>1.5787</v>
      </c>
      <c r="Q221" s="115">
        <v>229.46</v>
      </c>
      <c r="R221" s="115">
        <v>172.23</v>
      </c>
      <c r="S221" s="115">
        <v>57.23</v>
      </c>
      <c r="T221" s="115">
        <v>56.79</v>
      </c>
      <c r="U221" s="115">
        <v>172.67</v>
      </c>
      <c r="V221" s="115">
        <v>232.7</v>
      </c>
      <c r="W221" s="115">
        <v>5.4451</v>
      </c>
      <c r="X221" s="115">
        <v>24.75</v>
      </c>
      <c r="Y221" s="115">
        <v>122.0</v>
      </c>
      <c r="Z221" s="115">
        <v>553.0</v>
      </c>
      <c r="AA221" s="115">
        <v>4013.0</v>
      </c>
      <c r="AB221" s="115">
        <v>55.6973</v>
      </c>
      <c r="AC221" s="115">
        <v>0.7241</v>
      </c>
      <c r="AD221" s="115">
        <v>18.43</v>
      </c>
      <c r="AE221" s="115">
        <v>7.0</v>
      </c>
      <c r="AF221" s="115">
        <v>14.0</v>
      </c>
      <c r="AG221" s="115">
        <v>26.0</v>
      </c>
      <c r="AH221" s="115">
        <v>39.0</v>
      </c>
      <c r="AI221" s="115">
        <v>61.08</v>
      </c>
      <c r="AJ221" s="115">
        <v>24.97</v>
      </c>
      <c r="AK221" s="115">
        <v>8.25</v>
      </c>
      <c r="AL221" s="115">
        <v>0.1957</v>
      </c>
      <c r="AQ221" s="115">
        <v>10.4097</v>
      </c>
      <c r="AR221" s="115">
        <v>0.8314</v>
      </c>
      <c r="AS221" s="115">
        <v>9.5783</v>
      </c>
      <c r="AT221" s="115">
        <v>10.3916</v>
      </c>
      <c r="AU221" s="115">
        <v>0.2432</v>
      </c>
    </row>
    <row r="222" ht="15.75" customHeight="1">
      <c r="A222" s="116">
        <v>46193.0</v>
      </c>
      <c r="B222" s="115" t="s">
        <v>8</v>
      </c>
      <c r="C222" s="115" t="s">
        <v>132</v>
      </c>
      <c r="D222" s="115">
        <v>3979.0</v>
      </c>
      <c r="E222" s="115">
        <v>5.04</v>
      </c>
      <c r="F222" s="115">
        <v>7468.33</v>
      </c>
      <c r="G222" s="115">
        <v>1.8769</v>
      </c>
      <c r="H222" s="115">
        <v>14.58</v>
      </c>
      <c r="I222" s="115">
        <v>12.8764</v>
      </c>
      <c r="J222" s="115">
        <v>124.94</v>
      </c>
      <c r="K222" s="115">
        <v>70.95</v>
      </c>
      <c r="L222" s="115">
        <v>54.47</v>
      </c>
      <c r="M222" s="115">
        <v>0.7677</v>
      </c>
      <c r="N222" s="115">
        <v>0.3819</v>
      </c>
      <c r="O222" s="115">
        <v>0.2556</v>
      </c>
      <c r="P222" s="115">
        <v>1.3026</v>
      </c>
      <c r="Q222" s="115">
        <v>438.32</v>
      </c>
      <c r="R222" s="115">
        <v>323.25</v>
      </c>
      <c r="S222" s="115">
        <v>115.06</v>
      </c>
      <c r="T222" s="115">
        <v>117.38</v>
      </c>
      <c r="U222" s="115">
        <v>320.94</v>
      </c>
      <c r="V222" s="115">
        <v>452.35</v>
      </c>
      <c r="W222" s="115">
        <v>6.3758</v>
      </c>
      <c r="X222" s="115">
        <v>26.78</v>
      </c>
      <c r="Y222" s="115">
        <v>179.0</v>
      </c>
      <c r="Z222" s="115">
        <v>1232.0</v>
      </c>
      <c r="AA222" s="115">
        <v>6807.0</v>
      </c>
      <c r="AB222" s="115">
        <v>59.1039</v>
      </c>
      <c r="AC222" s="115">
        <v>0.8127</v>
      </c>
      <c r="AD222" s="115">
        <v>37.72</v>
      </c>
      <c r="AE222" s="115">
        <v>15.0</v>
      </c>
      <c r="AF222" s="115">
        <v>29.0</v>
      </c>
      <c r="AG222" s="115">
        <v>52.0</v>
      </c>
      <c r="AH222" s="115">
        <v>80.0</v>
      </c>
      <c r="AI222" s="115">
        <v>51.8</v>
      </c>
      <c r="AJ222" s="115">
        <v>19.65</v>
      </c>
      <c r="AK222" s="115">
        <v>5.0</v>
      </c>
      <c r="AL222" s="115">
        <v>0.1603</v>
      </c>
      <c r="AQ222" s="115">
        <v>18.0088</v>
      </c>
      <c r="AR222" s="115">
        <v>1.8454</v>
      </c>
      <c r="AS222" s="115">
        <v>16.1634</v>
      </c>
      <c r="AT222" s="115">
        <v>17.8331</v>
      </c>
      <c r="AU222" s="115">
        <v>0.2514</v>
      </c>
    </row>
    <row r="223" ht="15.75" customHeight="1">
      <c r="A223" s="116">
        <v>46193.0</v>
      </c>
      <c r="B223" s="115" t="s">
        <v>8</v>
      </c>
      <c r="C223" s="115" t="s">
        <v>133</v>
      </c>
      <c r="D223" s="115">
        <v>457.0</v>
      </c>
      <c r="E223" s="115">
        <v>0.58</v>
      </c>
      <c r="F223" s="115">
        <v>1196.3</v>
      </c>
      <c r="G223" s="115">
        <v>2.6177</v>
      </c>
      <c r="H223" s="115">
        <v>12.25</v>
      </c>
      <c r="I223" s="115">
        <v>21.3625</v>
      </c>
      <c r="J223" s="115">
        <v>238.68</v>
      </c>
      <c r="K223" s="115">
        <v>145.41</v>
      </c>
      <c r="L223" s="115">
        <v>124.07</v>
      </c>
      <c r="M223" s="115">
        <v>0.8533</v>
      </c>
      <c r="N223" s="115">
        <v>0.2762</v>
      </c>
      <c r="O223" s="115">
        <v>0.1901</v>
      </c>
      <c r="P223" s="115">
        <v>1.172</v>
      </c>
      <c r="Q223" s="115">
        <v>817.32</v>
      </c>
      <c r="R223" s="115">
        <v>553.87</v>
      </c>
      <c r="S223" s="115">
        <v>263.45</v>
      </c>
      <c r="T223" s="115">
        <v>169.69</v>
      </c>
      <c r="U223" s="115">
        <v>647.63</v>
      </c>
      <c r="V223" s="115">
        <v>793.44</v>
      </c>
      <c r="W223" s="115">
        <v>5.4566</v>
      </c>
      <c r="X223" s="115">
        <v>20.76</v>
      </c>
      <c r="Y223" s="115">
        <v>387.0</v>
      </c>
      <c r="Z223" s="115">
        <v>1842.0</v>
      </c>
      <c r="AA223" s="115">
        <v>8297.0</v>
      </c>
      <c r="AB223" s="115">
        <v>62.753</v>
      </c>
      <c r="AC223" s="115">
        <v>0.8789</v>
      </c>
      <c r="AD223" s="115">
        <v>89.95</v>
      </c>
      <c r="AE223" s="115">
        <v>35.0</v>
      </c>
      <c r="AF223" s="115">
        <v>79.0</v>
      </c>
      <c r="AG223" s="115">
        <v>131.0</v>
      </c>
      <c r="AH223" s="115">
        <v>184.0</v>
      </c>
      <c r="AI223" s="115">
        <v>49.02</v>
      </c>
      <c r="AJ223" s="115">
        <v>12.25</v>
      </c>
      <c r="AK223" s="115">
        <v>0.88</v>
      </c>
      <c r="AL223" s="115">
        <v>0.1116</v>
      </c>
      <c r="AQ223" s="115">
        <v>32.7002</v>
      </c>
      <c r="AR223" s="115">
        <v>2.5624</v>
      </c>
      <c r="AS223" s="115">
        <v>30.1379</v>
      </c>
      <c r="AT223" s="115">
        <v>33.5602</v>
      </c>
      <c r="AU223" s="115">
        <v>0.2308</v>
      </c>
    </row>
    <row r="224" ht="15.75" customHeight="1">
      <c r="A224" s="116">
        <v>46193.0</v>
      </c>
      <c r="B224" s="115" t="s">
        <v>9</v>
      </c>
      <c r="C224" s="115" t="s">
        <v>128</v>
      </c>
      <c r="D224" s="115">
        <v>16684.0</v>
      </c>
      <c r="E224" s="115">
        <v>21.26</v>
      </c>
      <c r="F224" s="115">
        <v>58.64</v>
      </c>
      <c r="G224" s="115">
        <v>0.0035</v>
      </c>
      <c r="H224" s="115">
        <v>0.08</v>
      </c>
      <c r="I224" s="115">
        <v>4.1886</v>
      </c>
      <c r="J224" s="115">
        <v>6.46</v>
      </c>
      <c r="K224" s="115">
        <v>2.7</v>
      </c>
      <c r="L224" s="115">
        <v>0.04</v>
      </c>
      <c r="M224" s="115">
        <v>0.0152</v>
      </c>
      <c r="N224" s="115">
        <v>0.9878</v>
      </c>
      <c r="O224" s="115">
        <v>0.8278</v>
      </c>
      <c r="P224" s="115">
        <v>65.7391</v>
      </c>
      <c r="Q224" s="115">
        <v>22.55</v>
      </c>
      <c r="R224" s="115">
        <v>22.51</v>
      </c>
      <c r="S224" s="115">
        <v>0.04</v>
      </c>
      <c r="T224" s="115">
        <v>0.31</v>
      </c>
      <c r="U224" s="115">
        <v>22.24</v>
      </c>
      <c r="V224" s="115">
        <v>2.07</v>
      </c>
      <c r="W224" s="115">
        <v>0.7661</v>
      </c>
      <c r="X224" s="115">
        <v>1.36</v>
      </c>
      <c r="Y224" s="115">
        <v>181.0</v>
      </c>
      <c r="Z224" s="115">
        <v>2085.0</v>
      </c>
      <c r="AA224" s="115">
        <v>11931.0</v>
      </c>
      <c r="AB224" s="115">
        <v>49.3702</v>
      </c>
      <c r="AC224" s="115">
        <v>0.5193</v>
      </c>
      <c r="AI224" s="115">
        <v>0.0</v>
      </c>
      <c r="AJ224" s="115">
        <v>0.0</v>
      </c>
      <c r="AK224" s="115">
        <v>0.0</v>
      </c>
      <c r="AL224" s="115">
        <v>0.2818</v>
      </c>
      <c r="AM224" s="115">
        <v>0.2</v>
      </c>
      <c r="AN224" s="115">
        <v>0.2</v>
      </c>
      <c r="AO224" s="115">
        <v>0.11</v>
      </c>
      <c r="AP224" s="115">
        <v>0.05</v>
      </c>
      <c r="AQ224" s="115">
        <v>1.1309</v>
      </c>
      <c r="AR224" s="115">
        <v>0.0052</v>
      </c>
      <c r="AS224" s="115">
        <v>1.1257</v>
      </c>
      <c r="AT224" s="115">
        <v>0.432</v>
      </c>
      <c r="AU224" s="115">
        <v>0.1598</v>
      </c>
    </row>
    <row r="225" ht="15.75" customHeight="1">
      <c r="A225" s="116">
        <v>46193.0</v>
      </c>
      <c r="B225" s="115" t="s">
        <v>9</v>
      </c>
      <c r="C225" s="115" t="s">
        <v>129</v>
      </c>
      <c r="D225" s="115">
        <v>29554.0</v>
      </c>
      <c r="E225" s="115">
        <v>37.66</v>
      </c>
      <c r="F225" s="115">
        <v>3060.43</v>
      </c>
      <c r="G225" s="115">
        <v>0.1036</v>
      </c>
      <c r="H225" s="115">
        <v>3.27</v>
      </c>
      <c r="I225" s="115">
        <v>3.1714</v>
      </c>
      <c r="J225" s="115">
        <v>31.45</v>
      </c>
      <c r="K225" s="115">
        <v>15.4</v>
      </c>
      <c r="L225" s="115">
        <v>5.62</v>
      </c>
      <c r="M225" s="115">
        <v>0.3646</v>
      </c>
      <c r="N225" s="115">
        <v>0.7511</v>
      </c>
      <c r="O225" s="115">
        <v>0.5206</v>
      </c>
      <c r="P225" s="115">
        <v>2.7425</v>
      </c>
      <c r="Q225" s="115">
        <v>55.78</v>
      </c>
      <c r="R225" s="115">
        <v>51.67</v>
      </c>
      <c r="S225" s="115">
        <v>4.11</v>
      </c>
      <c r="T225" s="115">
        <v>7.06</v>
      </c>
      <c r="U225" s="115">
        <v>48.72</v>
      </c>
      <c r="V225" s="115">
        <v>59.17</v>
      </c>
      <c r="W225" s="115">
        <v>3.8414</v>
      </c>
      <c r="X225" s="115">
        <v>12.66</v>
      </c>
      <c r="Y225" s="115">
        <v>96.0</v>
      </c>
      <c r="Z225" s="115">
        <v>396.0</v>
      </c>
      <c r="AA225" s="115">
        <v>3225.0</v>
      </c>
      <c r="AB225" s="115">
        <v>49.4723</v>
      </c>
      <c r="AC225" s="115">
        <v>0.4964</v>
      </c>
      <c r="AD225" s="115">
        <v>3.85</v>
      </c>
      <c r="AE225" s="115">
        <v>1.0</v>
      </c>
      <c r="AF225" s="115">
        <v>2.0</v>
      </c>
      <c r="AG225" s="115">
        <v>5.0</v>
      </c>
      <c r="AH225" s="115">
        <v>9.0</v>
      </c>
      <c r="AI225" s="115">
        <v>69.6</v>
      </c>
      <c r="AJ225" s="115">
        <v>28.39</v>
      </c>
      <c r="AK225" s="115">
        <v>8.42</v>
      </c>
      <c r="AL225" s="115">
        <v>0.2436</v>
      </c>
      <c r="AM225" s="115">
        <v>51.26</v>
      </c>
      <c r="AN225" s="115">
        <v>51.26</v>
      </c>
      <c r="AO225" s="115">
        <v>21.23</v>
      </c>
      <c r="AP225" s="115">
        <v>6.42</v>
      </c>
      <c r="AQ225" s="115">
        <v>3.7018</v>
      </c>
      <c r="AR225" s="115">
        <v>0.0889</v>
      </c>
      <c r="AS225" s="115">
        <v>3.6129</v>
      </c>
      <c r="AT225" s="115">
        <v>3.6288</v>
      </c>
      <c r="AU225" s="115">
        <v>0.2356</v>
      </c>
    </row>
    <row r="226" ht="15.75" customHeight="1">
      <c r="A226" s="116">
        <v>46193.0</v>
      </c>
      <c r="B226" s="115" t="s">
        <v>9</v>
      </c>
      <c r="C226" s="115" t="s">
        <v>130</v>
      </c>
      <c r="D226" s="115">
        <v>17791.0</v>
      </c>
      <c r="E226" s="115">
        <v>22.67</v>
      </c>
      <c r="F226" s="115">
        <v>6824.1</v>
      </c>
      <c r="G226" s="115">
        <v>0.3836</v>
      </c>
      <c r="H226" s="115">
        <v>8.36</v>
      </c>
      <c r="I226" s="115">
        <v>4.5861</v>
      </c>
      <c r="J226" s="115">
        <v>57.11</v>
      </c>
      <c r="K226" s="115">
        <v>29.17</v>
      </c>
      <c r="L226" s="115">
        <v>14.13</v>
      </c>
      <c r="M226" s="115">
        <v>0.4845</v>
      </c>
      <c r="N226" s="115">
        <v>0.6479</v>
      </c>
      <c r="O226" s="115">
        <v>0.4138</v>
      </c>
      <c r="P226" s="115">
        <v>2.0639</v>
      </c>
      <c r="Q226" s="115">
        <v>119.31</v>
      </c>
      <c r="R226" s="115">
        <v>108.49</v>
      </c>
      <c r="S226" s="115">
        <v>10.82</v>
      </c>
      <c r="T226" s="115">
        <v>24.6</v>
      </c>
      <c r="U226" s="115">
        <v>94.71</v>
      </c>
      <c r="V226" s="115">
        <v>121.65</v>
      </c>
      <c r="W226" s="115">
        <v>4.17</v>
      </c>
      <c r="X226" s="115">
        <v>20.62</v>
      </c>
      <c r="Y226" s="115">
        <v>97.0</v>
      </c>
      <c r="Z226" s="115">
        <v>378.0</v>
      </c>
      <c r="AA226" s="115">
        <v>2921.0</v>
      </c>
      <c r="AB226" s="115">
        <v>52.5344</v>
      </c>
      <c r="AC226" s="115">
        <v>0.6041</v>
      </c>
      <c r="AD226" s="115">
        <v>9.61</v>
      </c>
      <c r="AE226" s="115">
        <v>3.0</v>
      </c>
      <c r="AF226" s="115">
        <v>7.0</v>
      </c>
      <c r="AG226" s="115">
        <v>13.0</v>
      </c>
      <c r="AH226" s="115">
        <v>21.0</v>
      </c>
      <c r="AI226" s="115">
        <v>58.55</v>
      </c>
      <c r="AJ226" s="115">
        <v>27.18</v>
      </c>
      <c r="AK226" s="115">
        <v>5.9</v>
      </c>
      <c r="AL226" s="115">
        <v>0.1981</v>
      </c>
      <c r="AM226" s="115">
        <v>62.9</v>
      </c>
      <c r="AN226" s="115">
        <v>62.9</v>
      </c>
      <c r="AO226" s="115">
        <v>38.84</v>
      </c>
      <c r="AP226" s="115">
        <v>18.58</v>
      </c>
      <c r="AQ226" s="115">
        <v>7.0992</v>
      </c>
      <c r="AR226" s="115">
        <v>0.3301</v>
      </c>
      <c r="AS226" s="115">
        <v>6.769</v>
      </c>
      <c r="AT226" s="115">
        <v>6.9746</v>
      </c>
      <c r="AU226" s="115">
        <v>0.2391</v>
      </c>
    </row>
    <row r="227" ht="15.75" customHeight="1">
      <c r="A227" s="116">
        <v>46193.0</v>
      </c>
      <c r="B227" s="115" t="s">
        <v>9</v>
      </c>
      <c r="C227" s="115" t="s">
        <v>131</v>
      </c>
      <c r="D227" s="115">
        <v>9808.0</v>
      </c>
      <c r="E227" s="115">
        <v>12.5</v>
      </c>
      <c r="F227" s="115">
        <v>8079.8</v>
      </c>
      <c r="G227" s="115">
        <v>0.8238</v>
      </c>
      <c r="H227" s="115">
        <v>11.85</v>
      </c>
      <c r="I227" s="115">
        <v>6.9534</v>
      </c>
      <c r="J227" s="115">
        <v>79.77</v>
      </c>
      <c r="K227" s="115">
        <v>42.46</v>
      </c>
      <c r="L227" s="115">
        <v>26.78</v>
      </c>
      <c r="M227" s="115">
        <v>0.6306</v>
      </c>
      <c r="N227" s="115">
        <v>0.5145</v>
      </c>
      <c r="O227" s="115">
        <v>0.3249</v>
      </c>
      <c r="P227" s="115">
        <v>1.5859</v>
      </c>
      <c r="Q227" s="115">
        <v>216.14</v>
      </c>
      <c r="R227" s="115">
        <v>195.72</v>
      </c>
      <c r="S227" s="115">
        <v>20.42</v>
      </c>
      <c r="T227" s="115">
        <v>52.12</v>
      </c>
      <c r="U227" s="115">
        <v>164.01</v>
      </c>
      <c r="V227" s="115">
        <v>219.15</v>
      </c>
      <c r="W227" s="115">
        <v>5.1611</v>
      </c>
      <c r="X227" s="115">
        <v>24.12</v>
      </c>
      <c r="Y227" s="115">
        <v>111.0</v>
      </c>
      <c r="Z227" s="115">
        <v>562.0</v>
      </c>
      <c r="AA227" s="115">
        <v>4084.0</v>
      </c>
      <c r="AB227" s="115">
        <v>55.6291</v>
      </c>
      <c r="AC227" s="115">
        <v>0.7184</v>
      </c>
      <c r="AD227" s="115">
        <v>18.76</v>
      </c>
      <c r="AE227" s="115">
        <v>6.0</v>
      </c>
      <c r="AF227" s="115">
        <v>14.0</v>
      </c>
      <c r="AG227" s="115">
        <v>26.0</v>
      </c>
      <c r="AH227" s="115">
        <v>40.0</v>
      </c>
      <c r="AI227" s="115">
        <v>59.94</v>
      </c>
      <c r="AJ227" s="115">
        <v>26.42</v>
      </c>
      <c r="AK227" s="115">
        <v>9.38</v>
      </c>
      <c r="AL227" s="115">
        <v>0.1967</v>
      </c>
      <c r="AM227" s="115">
        <v>64.89</v>
      </c>
      <c r="AN227" s="115">
        <v>64.89</v>
      </c>
      <c r="AO227" s="115">
        <v>44.44</v>
      </c>
      <c r="AP227" s="115">
        <v>25.13</v>
      </c>
      <c r="AQ227" s="115">
        <v>11.2039</v>
      </c>
      <c r="AR227" s="115">
        <v>0.6947</v>
      </c>
      <c r="AS227" s="115">
        <v>10.5092</v>
      </c>
      <c r="AT227" s="115">
        <v>10.8716</v>
      </c>
      <c r="AU227" s="115">
        <v>0.256</v>
      </c>
    </row>
    <row r="228" ht="15.75" customHeight="1">
      <c r="A228" s="116">
        <v>46193.0</v>
      </c>
      <c r="B228" s="115" t="s">
        <v>9</v>
      </c>
      <c r="C228" s="115" t="s">
        <v>132</v>
      </c>
      <c r="D228" s="115">
        <v>4140.0</v>
      </c>
      <c r="E228" s="115">
        <v>5.28</v>
      </c>
      <c r="F228" s="115">
        <v>6828.27</v>
      </c>
      <c r="G228" s="115">
        <v>1.6493</v>
      </c>
      <c r="H228" s="115">
        <v>14.13</v>
      </c>
      <c r="I228" s="115">
        <v>11.6723</v>
      </c>
      <c r="J228" s="115">
        <v>126.21</v>
      </c>
      <c r="K228" s="115">
        <v>71.37</v>
      </c>
      <c r="L228" s="115">
        <v>54.96</v>
      </c>
      <c r="M228" s="115">
        <v>0.7701</v>
      </c>
      <c r="N228" s="115">
        <v>0.3784</v>
      </c>
      <c r="O228" s="115">
        <v>0.2494</v>
      </c>
      <c r="P228" s="115">
        <v>1.2986</v>
      </c>
      <c r="Q228" s="115">
        <v>425.69</v>
      </c>
      <c r="R228" s="115">
        <v>384.03</v>
      </c>
      <c r="S228" s="115">
        <v>41.65</v>
      </c>
      <c r="T228" s="115">
        <v>104.0</v>
      </c>
      <c r="U228" s="115">
        <v>321.69</v>
      </c>
      <c r="V228" s="115">
        <v>415.53</v>
      </c>
      <c r="W228" s="115">
        <v>5.8223</v>
      </c>
      <c r="X228" s="115">
        <v>24.43</v>
      </c>
      <c r="Y228" s="115">
        <v>199.0</v>
      </c>
      <c r="Z228" s="115">
        <v>1147.0</v>
      </c>
      <c r="AA228" s="115">
        <v>6302.0</v>
      </c>
      <c r="AB228" s="115">
        <v>59.3047</v>
      </c>
      <c r="AC228" s="115">
        <v>0.8246</v>
      </c>
      <c r="AD228" s="115">
        <v>39.69</v>
      </c>
      <c r="AE228" s="115">
        <v>15.0</v>
      </c>
      <c r="AF228" s="115">
        <v>31.0</v>
      </c>
      <c r="AG228" s="115">
        <v>55.0</v>
      </c>
      <c r="AH228" s="115">
        <v>83.0</v>
      </c>
      <c r="AI228" s="115">
        <v>54.03</v>
      </c>
      <c r="AJ228" s="115">
        <v>22.32</v>
      </c>
      <c r="AK228" s="115">
        <v>6.21</v>
      </c>
      <c r="AL228" s="115">
        <v>0.1601</v>
      </c>
      <c r="AM228" s="115">
        <v>69.54</v>
      </c>
      <c r="AN228" s="115">
        <v>69.54</v>
      </c>
      <c r="AO228" s="115">
        <v>51.01</v>
      </c>
      <c r="AP228" s="115">
        <v>35.24</v>
      </c>
      <c r="AQ228" s="115">
        <v>18.6734</v>
      </c>
      <c r="AR228" s="115">
        <v>1.3205</v>
      </c>
      <c r="AS228" s="115">
        <v>17.3529</v>
      </c>
      <c r="AT228" s="115">
        <v>18.0345</v>
      </c>
      <c r="AU228" s="115">
        <v>0.2527</v>
      </c>
    </row>
    <row r="229" ht="15.75" customHeight="1">
      <c r="A229" s="116">
        <v>46193.0</v>
      </c>
      <c r="B229" s="115" t="s">
        <v>9</v>
      </c>
      <c r="C229" s="115" t="s">
        <v>133</v>
      </c>
      <c r="D229" s="115">
        <v>494.0</v>
      </c>
      <c r="E229" s="115">
        <v>0.63</v>
      </c>
      <c r="F229" s="115">
        <v>1309.68</v>
      </c>
      <c r="G229" s="115">
        <v>2.6512</v>
      </c>
      <c r="H229" s="115">
        <v>15.59</v>
      </c>
      <c r="I229" s="115">
        <v>17.0088</v>
      </c>
      <c r="J229" s="115">
        <v>236.99</v>
      </c>
      <c r="K229" s="115">
        <v>143.05</v>
      </c>
      <c r="L229" s="115">
        <v>121.47</v>
      </c>
      <c r="M229" s="115">
        <v>0.8491</v>
      </c>
      <c r="N229" s="115">
        <v>0.2854</v>
      </c>
      <c r="O229" s="115">
        <v>0.1989</v>
      </c>
      <c r="P229" s="115">
        <v>1.1777</v>
      </c>
      <c r="Q229" s="115">
        <v>787.31</v>
      </c>
      <c r="R229" s="115">
        <v>695.54</v>
      </c>
      <c r="S229" s="115">
        <v>91.77</v>
      </c>
      <c r="T229" s="115">
        <v>165.18</v>
      </c>
      <c r="U229" s="115">
        <v>622.13</v>
      </c>
      <c r="V229" s="115">
        <v>972.87</v>
      </c>
      <c r="W229" s="115">
        <v>6.801</v>
      </c>
      <c r="X229" s="115">
        <v>20.98</v>
      </c>
      <c r="Y229" s="115">
        <v>395.0</v>
      </c>
      <c r="Z229" s="115">
        <v>2216.0</v>
      </c>
      <c r="AA229" s="115">
        <v>11303.0</v>
      </c>
      <c r="AB229" s="115">
        <v>62.2212</v>
      </c>
      <c r="AC229" s="115">
        <v>0.8723</v>
      </c>
      <c r="AD229" s="115">
        <v>83.89</v>
      </c>
      <c r="AE229" s="115">
        <v>32.0</v>
      </c>
      <c r="AF229" s="115">
        <v>74.0</v>
      </c>
      <c r="AG229" s="115">
        <v>117.0</v>
      </c>
      <c r="AH229" s="115">
        <v>173.0</v>
      </c>
      <c r="AI229" s="115">
        <v>47.77</v>
      </c>
      <c r="AJ229" s="115">
        <v>9.72</v>
      </c>
      <c r="AK229" s="115">
        <v>1.01</v>
      </c>
      <c r="AL229" s="115">
        <v>0.1356</v>
      </c>
      <c r="AM229" s="115">
        <v>76.92</v>
      </c>
      <c r="AN229" s="115">
        <v>76.92</v>
      </c>
      <c r="AO229" s="115">
        <v>61.74</v>
      </c>
      <c r="AP229" s="115">
        <v>50.0</v>
      </c>
      <c r="AQ229" s="115">
        <v>38.0992</v>
      </c>
      <c r="AR229" s="115">
        <v>6.2753</v>
      </c>
      <c r="AS229" s="115">
        <v>31.8239</v>
      </c>
      <c r="AT229" s="115">
        <v>34.7874</v>
      </c>
      <c r="AU229" s="115">
        <v>0.2432</v>
      </c>
    </row>
    <row r="230" ht="15.75" customHeight="1">
      <c r="A230" s="116">
        <v>46194.0</v>
      </c>
      <c r="B230" s="115" t="s">
        <v>8</v>
      </c>
      <c r="C230" s="115" t="s">
        <v>128</v>
      </c>
      <c r="D230" s="115">
        <v>16344.0</v>
      </c>
      <c r="E230" s="115">
        <v>20.5</v>
      </c>
      <c r="F230" s="115">
        <v>72.38</v>
      </c>
      <c r="G230" s="115">
        <v>0.0044</v>
      </c>
      <c r="H230" s="115">
        <v>0.11</v>
      </c>
      <c r="I230" s="115">
        <v>4.0211</v>
      </c>
      <c r="J230" s="115">
        <v>6.48</v>
      </c>
      <c r="K230" s="115">
        <v>2.81</v>
      </c>
      <c r="L230" s="115">
        <v>0.04</v>
      </c>
      <c r="M230" s="115">
        <v>0.0136</v>
      </c>
      <c r="N230" s="115">
        <v>0.9889</v>
      </c>
      <c r="O230" s="115">
        <v>0.8271</v>
      </c>
      <c r="P230" s="115">
        <v>73.625</v>
      </c>
      <c r="Q230" s="115">
        <v>23.66</v>
      </c>
      <c r="R230" s="115">
        <v>23.58</v>
      </c>
      <c r="S230" s="115">
        <v>0.08</v>
      </c>
      <c r="T230" s="115">
        <v>0.28</v>
      </c>
      <c r="U230" s="115">
        <v>23.38</v>
      </c>
      <c r="V230" s="115">
        <v>1.9</v>
      </c>
      <c r="W230" s="115">
        <v>0.6759</v>
      </c>
      <c r="X230" s="115">
        <v>1.18</v>
      </c>
      <c r="Y230" s="115">
        <v>208.0</v>
      </c>
      <c r="Z230" s="115">
        <v>2600.0</v>
      </c>
      <c r="AA230" s="115">
        <v>12979.0</v>
      </c>
      <c r="AB230" s="115">
        <v>49.6775</v>
      </c>
      <c r="AC230" s="115">
        <v>0.5352</v>
      </c>
      <c r="AI230" s="115">
        <v>0.0</v>
      </c>
      <c r="AJ230" s="115">
        <v>0.0</v>
      </c>
      <c r="AK230" s="115">
        <v>0.0</v>
      </c>
      <c r="AL230" s="115">
        <v>0.2827</v>
      </c>
      <c r="AQ230" s="115">
        <v>0.8089</v>
      </c>
      <c r="AR230" s="115">
        <v>0.0058</v>
      </c>
      <c r="AS230" s="115">
        <v>0.8031</v>
      </c>
      <c r="AT230" s="115">
        <v>0.3695</v>
      </c>
      <c r="AU230" s="115">
        <v>0.1314</v>
      </c>
    </row>
    <row r="231" ht="15.75" customHeight="1">
      <c r="A231" s="116">
        <v>46194.0</v>
      </c>
      <c r="B231" s="115" t="s">
        <v>8</v>
      </c>
      <c r="C231" s="115" t="s">
        <v>129</v>
      </c>
      <c r="D231" s="115">
        <v>31259.0</v>
      </c>
      <c r="E231" s="115">
        <v>39.2</v>
      </c>
      <c r="F231" s="115">
        <v>2977.12</v>
      </c>
      <c r="G231" s="115">
        <v>0.0952</v>
      </c>
      <c r="H231" s="115">
        <v>2.99</v>
      </c>
      <c r="I231" s="115">
        <v>3.1807</v>
      </c>
      <c r="J231" s="115">
        <v>33.65</v>
      </c>
      <c r="K231" s="115">
        <v>16.9</v>
      </c>
      <c r="L231" s="115">
        <v>5.66</v>
      </c>
      <c r="M231" s="115">
        <v>0.335</v>
      </c>
      <c r="N231" s="115">
        <v>0.7745</v>
      </c>
      <c r="O231" s="115">
        <v>0.5417</v>
      </c>
      <c r="P231" s="115">
        <v>2.9847</v>
      </c>
      <c r="Q231" s="115">
        <v>56.93</v>
      </c>
      <c r="R231" s="115">
        <v>45.18</v>
      </c>
      <c r="S231" s="115">
        <v>11.75</v>
      </c>
      <c r="T231" s="115">
        <v>6.73</v>
      </c>
      <c r="U231" s="115">
        <v>50.2</v>
      </c>
      <c r="V231" s="115">
        <v>62.34</v>
      </c>
      <c r="W231" s="115">
        <v>3.6886</v>
      </c>
      <c r="X231" s="115">
        <v>11.83</v>
      </c>
      <c r="Y231" s="115">
        <v>107.0</v>
      </c>
      <c r="Z231" s="115">
        <v>433.0</v>
      </c>
      <c r="AA231" s="115">
        <v>3336.0</v>
      </c>
      <c r="AB231" s="115">
        <v>49.2508</v>
      </c>
      <c r="AC231" s="115">
        <v>0.4972</v>
      </c>
      <c r="AD231" s="115">
        <v>3.8</v>
      </c>
      <c r="AE231" s="115">
        <v>1.0</v>
      </c>
      <c r="AF231" s="115">
        <v>2.0</v>
      </c>
      <c r="AG231" s="115">
        <v>5.0</v>
      </c>
      <c r="AH231" s="115">
        <v>9.0</v>
      </c>
      <c r="AI231" s="115">
        <v>70.15</v>
      </c>
      <c r="AJ231" s="115">
        <v>27.73</v>
      </c>
      <c r="AK231" s="115">
        <v>7.79</v>
      </c>
      <c r="AL231" s="115">
        <v>0.2472</v>
      </c>
      <c r="AQ231" s="115">
        <v>2.8032</v>
      </c>
      <c r="AR231" s="115">
        <v>0.0775</v>
      </c>
      <c r="AS231" s="115">
        <v>2.7257</v>
      </c>
      <c r="AT231" s="115">
        <v>3.2569</v>
      </c>
      <c r="AU231" s="115">
        <v>0.1927</v>
      </c>
    </row>
    <row r="232" ht="15.75" customHeight="1">
      <c r="A232" s="116">
        <v>46194.0</v>
      </c>
      <c r="B232" s="115" t="s">
        <v>8</v>
      </c>
      <c r="C232" s="115" t="s">
        <v>130</v>
      </c>
      <c r="D232" s="115">
        <v>18135.0</v>
      </c>
      <c r="E232" s="115">
        <v>22.74</v>
      </c>
      <c r="F232" s="115">
        <v>6371.42</v>
      </c>
      <c r="G232" s="115">
        <v>0.3513</v>
      </c>
      <c r="H232" s="115">
        <v>7.99</v>
      </c>
      <c r="I232" s="115">
        <v>4.3971</v>
      </c>
      <c r="J232" s="115">
        <v>59.66</v>
      </c>
      <c r="K232" s="115">
        <v>30.81</v>
      </c>
      <c r="L232" s="115">
        <v>14.22</v>
      </c>
      <c r="M232" s="115">
        <v>0.4616</v>
      </c>
      <c r="N232" s="115">
        <v>0.6697</v>
      </c>
      <c r="O232" s="115">
        <v>0.4331</v>
      </c>
      <c r="P232" s="115">
        <v>2.1666</v>
      </c>
      <c r="Q232" s="115">
        <v>108.28</v>
      </c>
      <c r="R232" s="115">
        <v>78.61</v>
      </c>
      <c r="S232" s="115">
        <v>29.67</v>
      </c>
      <c r="T232" s="115">
        <v>22.79</v>
      </c>
      <c r="U232" s="115">
        <v>85.49</v>
      </c>
      <c r="V232" s="115">
        <v>124.37</v>
      </c>
      <c r="W232" s="115">
        <v>4.0365</v>
      </c>
      <c r="X232" s="115">
        <v>21.05</v>
      </c>
      <c r="Y232" s="115">
        <v>100.0</v>
      </c>
      <c r="Z232" s="115">
        <v>375.0</v>
      </c>
      <c r="AA232" s="115">
        <v>2762.0</v>
      </c>
      <c r="AB232" s="115">
        <v>52.7052</v>
      </c>
      <c r="AC232" s="115">
        <v>0.6112</v>
      </c>
      <c r="AD232" s="115">
        <v>9.32</v>
      </c>
      <c r="AE232" s="115">
        <v>3.0</v>
      </c>
      <c r="AF232" s="115">
        <v>7.0</v>
      </c>
      <c r="AG232" s="115">
        <v>13.0</v>
      </c>
      <c r="AH232" s="115">
        <v>20.0</v>
      </c>
      <c r="AI232" s="115">
        <v>58.2</v>
      </c>
      <c r="AJ232" s="115">
        <v>26.18</v>
      </c>
      <c r="AK232" s="115">
        <v>5.04</v>
      </c>
      <c r="AL232" s="115">
        <v>0.2046</v>
      </c>
      <c r="AQ232" s="115">
        <v>5.6143</v>
      </c>
      <c r="AR232" s="115">
        <v>0.283</v>
      </c>
      <c r="AS232" s="115">
        <v>5.3313</v>
      </c>
      <c r="AT232" s="115">
        <v>6.1785</v>
      </c>
      <c r="AU232" s="115">
        <v>0.2005</v>
      </c>
    </row>
    <row r="233" ht="15.75" customHeight="1">
      <c r="A233" s="116">
        <v>46194.0</v>
      </c>
      <c r="B233" s="115" t="s">
        <v>8</v>
      </c>
      <c r="C233" s="115" t="s">
        <v>131</v>
      </c>
      <c r="D233" s="115">
        <v>9541.0</v>
      </c>
      <c r="E233" s="115">
        <v>11.96</v>
      </c>
      <c r="F233" s="115">
        <v>8209.27</v>
      </c>
      <c r="G233" s="115">
        <v>0.8604</v>
      </c>
      <c r="H233" s="115">
        <v>11.79</v>
      </c>
      <c r="I233" s="115">
        <v>7.2971</v>
      </c>
      <c r="J233" s="115">
        <v>84.73</v>
      </c>
      <c r="K233" s="115">
        <v>45.63</v>
      </c>
      <c r="L233" s="115">
        <v>27.57</v>
      </c>
      <c r="M233" s="115">
        <v>0.6043</v>
      </c>
      <c r="N233" s="115">
        <v>0.5374</v>
      </c>
      <c r="O233" s="115">
        <v>0.3361</v>
      </c>
      <c r="P233" s="115">
        <v>1.6549</v>
      </c>
      <c r="Q233" s="115">
        <v>193.19</v>
      </c>
      <c r="R233" s="115">
        <v>134.17</v>
      </c>
      <c r="S233" s="115">
        <v>59.02</v>
      </c>
      <c r="T233" s="115">
        <v>53.34</v>
      </c>
      <c r="U233" s="115">
        <v>139.85</v>
      </c>
      <c r="V233" s="115">
        <v>221.05</v>
      </c>
      <c r="W233" s="115">
        <v>4.8442</v>
      </c>
      <c r="X233" s="115">
        <v>27.61</v>
      </c>
      <c r="Y233" s="115">
        <v>108.0</v>
      </c>
      <c r="Z233" s="115">
        <v>492.0</v>
      </c>
      <c r="AA233" s="115">
        <v>3718.0</v>
      </c>
      <c r="AB233" s="115">
        <v>55.7532</v>
      </c>
      <c r="AC233" s="115">
        <v>0.7234</v>
      </c>
      <c r="AD233" s="115">
        <v>18.49</v>
      </c>
      <c r="AE233" s="115">
        <v>7.0</v>
      </c>
      <c r="AF233" s="115">
        <v>14.0</v>
      </c>
      <c r="AG233" s="115">
        <v>26.0</v>
      </c>
      <c r="AH233" s="115">
        <v>39.0</v>
      </c>
      <c r="AI233" s="115">
        <v>59.78</v>
      </c>
      <c r="AJ233" s="115">
        <v>25.08</v>
      </c>
      <c r="AK233" s="115">
        <v>8.47</v>
      </c>
      <c r="AL233" s="115">
        <v>0.2042</v>
      </c>
      <c r="AQ233" s="115">
        <v>9.6296</v>
      </c>
      <c r="AR233" s="115">
        <v>0.6763</v>
      </c>
      <c r="AS233" s="115">
        <v>8.9533</v>
      </c>
      <c r="AT233" s="115">
        <v>10.0792</v>
      </c>
      <c r="AU233" s="115">
        <v>0.2209</v>
      </c>
    </row>
    <row r="234" ht="15.75" customHeight="1">
      <c r="A234" s="116">
        <v>46194.0</v>
      </c>
      <c r="B234" s="115" t="s">
        <v>8</v>
      </c>
      <c r="C234" s="115" t="s">
        <v>132</v>
      </c>
      <c r="D234" s="115">
        <v>4012.0</v>
      </c>
      <c r="E234" s="115">
        <v>5.03</v>
      </c>
      <c r="F234" s="115">
        <v>6695.19</v>
      </c>
      <c r="G234" s="115">
        <v>1.6688</v>
      </c>
      <c r="H234" s="115">
        <v>14.71</v>
      </c>
      <c r="I234" s="115">
        <v>11.3478</v>
      </c>
      <c r="J234" s="115">
        <v>129.38</v>
      </c>
      <c r="K234" s="115">
        <v>74.64</v>
      </c>
      <c r="L234" s="115">
        <v>55.38</v>
      </c>
      <c r="M234" s="115">
        <v>0.742</v>
      </c>
      <c r="N234" s="115">
        <v>0.3983</v>
      </c>
      <c r="O234" s="115">
        <v>0.2571</v>
      </c>
      <c r="P234" s="115">
        <v>1.3478</v>
      </c>
      <c r="Q234" s="115">
        <v>350.45</v>
      </c>
      <c r="R234" s="115">
        <v>233.54</v>
      </c>
      <c r="S234" s="115">
        <v>116.91</v>
      </c>
      <c r="T234" s="115">
        <v>106.53</v>
      </c>
      <c r="U234" s="115">
        <v>243.92</v>
      </c>
      <c r="V234" s="115">
        <v>409.12</v>
      </c>
      <c r="W234" s="115">
        <v>5.481</v>
      </c>
      <c r="X234" s="115">
        <v>30.4</v>
      </c>
      <c r="Y234" s="115">
        <v>158.0</v>
      </c>
      <c r="Z234" s="115">
        <v>1147.0</v>
      </c>
      <c r="AA234" s="115">
        <v>7060.0</v>
      </c>
      <c r="AB234" s="115">
        <v>59.2801</v>
      </c>
      <c r="AC234" s="115">
        <v>0.8196</v>
      </c>
      <c r="AD234" s="115">
        <v>37.52</v>
      </c>
      <c r="AE234" s="115">
        <v>14.0</v>
      </c>
      <c r="AF234" s="115">
        <v>29.0</v>
      </c>
      <c r="AG234" s="115">
        <v>52.0</v>
      </c>
      <c r="AH234" s="115">
        <v>80.0</v>
      </c>
      <c r="AI234" s="115">
        <v>51.45</v>
      </c>
      <c r="AJ234" s="115">
        <v>19.82</v>
      </c>
      <c r="AK234" s="115">
        <v>5.38</v>
      </c>
      <c r="AL234" s="115">
        <v>0.1792</v>
      </c>
      <c r="AQ234" s="115">
        <v>16.6889</v>
      </c>
      <c r="AR234" s="115">
        <v>1.4035</v>
      </c>
      <c r="AS234" s="115">
        <v>15.2854</v>
      </c>
      <c r="AT234" s="115">
        <v>17.1994</v>
      </c>
      <c r="AU234" s="115">
        <v>0.2304</v>
      </c>
    </row>
    <row r="235" ht="15.75" customHeight="1">
      <c r="A235" s="116">
        <v>46194.0</v>
      </c>
      <c r="B235" s="115" t="s">
        <v>8</v>
      </c>
      <c r="C235" s="115" t="s">
        <v>133</v>
      </c>
      <c r="D235" s="115">
        <v>454.0</v>
      </c>
      <c r="E235" s="115">
        <v>0.57</v>
      </c>
      <c r="F235" s="115">
        <v>1818.62</v>
      </c>
      <c r="G235" s="115">
        <v>4.0058</v>
      </c>
      <c r="H235" s="115">
        <v>16.3</v>
      </c>
      <c r="I235" s="115">
        <v>24.5759</v>
      </c>
      <c r="J235" s="115">
        <v>242.9</v>
      </c>
      <c r="K235" s="115">
        <v>149.9</v>
      </c>
      <c r="L235" s="115">
        <v>126.97</v>
      </c>
      <c r="M235" s="115">
        <v>0.847</v>
      </c>
      <c r="N235" s="115">
        <v>0.2824</v>
      </c>
      <c r="O235" s="115">
        <v>0.1945</v>
      </c>
      <c r="P235" s="115">
        <v>1.1806</v>
      </c>
      <c r="Q235" s="115">
        <v>754.8</v>
      </c>
      <c r="R235" s="115">
        <v>484.59</v>
      </c>
      <c r="S235" s="115">
        <v>270.21</v>
      </c>
      <c r="T235" s="115">
        <v>247.36</v>
      </c>
      <c r="U235" s="115">
        <v>507.44</v>
      </c>
      <c r="V235" s="115">
        <v>942.07</v>
      </c>
      <c r="W235" s="115">
        <v>6.2847</v>
      </c>
      <c r="X235" s="115">
        <v>32.77</v>
      </c>
      <c r="Y235" s="115">
        <v>374.0</v>
      </c>
      <c r="Z235" s="115">
        <v>1895.0</v>
      </c>
      <c r="AA235" s="115">
        <v>9162.0</v>
      </c>
      <c r="AB235" s="115">
        <v>62.9021</v>
      </c>
      <c r="AC235" s="115">
        <v>0.8733</v>
      </c>
      <c r="AD235" s="115">
        <v>89.66</v>
      </c>
      <c r="AE235" s="115">
        <v>34.0</v>
      </c>
      <c r="AF235" s="115">
        <v>78.0</v>
      </c>
      <c r="AG235" s="115">
        <v>125.0</v>
      </c>
      <c r="AH235" s="115">
        <v>176.0</v>
      </c>
      <c r="AI235" s="115">
        <v>48.68</v>
      </c>
      <c r="AJ235" s="115">
        <v>10.57</v>
      </c>
      <c r="AK235" s="115">
        <v>1.76</v>
      </c>
      <c r="AL235" s="115">
        <v>0.1278</v>
      </c>
      <c r="AQ235" s="115">
        <v>36.7533</v>
      </c>
      <c r="AR235" s="115">
        <v>5.5441</v>
      </c>
      <c r="AS235" s="115">
        <v>31.2093</v>
      </c>
      <c r="AT235" s="115">
        <v>36.0264</v>
      </c>
      <c r="AU235" s="115">
        <v>0.2403</v>
      </c>
    </row>
    <row r="236" ht="15.75" customHeight="1">
      <c r="A236" s="116">
        <v>46194.0</v>
      </c>
      <c r="B236" s="115" t="s">
        <v>9</v>
      </c>
      <c r="C236" s="115" t="s">
        <v>128</v>
      </c>
      <c r="D236" s="115">
        <v>16754.0</v>
      </c>
      <c r="E236" s="115">
        <v>21.1</v>
      </c>
      <c r="F236" s="115">
        <v>13.53</v>
      </c>
      <c r="G236" s="115">
        <v>8.0E-4</v>
      </c>
      <c r="H236" s="115">
        <v>0.07</v>
      </c>
      <c r="I236" s="115">
        <v>1.23</v>
      </c>
      <c r="J236" s="115">
        <v>6.74</v>
      </c>
      <c r="K236" s="115">
        <v>2.91</v>
      </c>
      <c r="L236" s="115">
        <v>0.03</v>
      </c>
      <c r="M236" s="115">
        <v>0.0092</v>
      </c>
      <c r="N236" s="115">
        <v>0.9915</v>
      </c>
      <c r="O236" s="115">
        <v>0.8608</v>
      </c>
      <c r="P236" s="115">
        <v>108.8281</v>
      </c>
      <c r="Q236" s="115">
        <v>19.03</v>
      </c>
      <c r="R236" s="115">
        <v>18.98</v>
      </c>
      <c r="S236" s="115">
        <v>0.05</v>
      </c>
      <c r="T236" s="115">
        <v>0.09</v>
      </c>
      <c r="U236" s="115">
        <v>18.94</v>
      </c>
      <c r="V236" s="115">
        <v>1.5</v>
      </c>
      <c r="W236" s="115">
        <v>0.5169</v>
      </c>
      <c r="X236" s="115">
        <v>0.47</v>
      </c>
      <c r="Y236" s="115">
        <v>176.0</v>
      </c>
      <c r="Z236" s="115">
        <v>2586.0</v>
      </c>
      <c r="AA236" s="115">
        <v>11695.0</v>
      </c>
      <c r="AB236" s="115">
        <v>49.5211</v>
      </c>
      <c r="AC236" s="115">
        <v>0.5303</v>
      </c>
      <c r="AI236" s="115">
        <v>0.0</v>
      </c>
      <c r="AJ236" s="115">
        <v>0.0</v>
      </c>
      <c r="AK236" s="115">
        <v>0.0</v>
      </c>
      <c r="AL236" s="115">
        <v>0.2783</v>
      </c>
      <c r="AM236" s="115">
        <v>0.19</v>
      </c>
      <c r="AN236" s="115">
        <v>0.19</v>
      </c>
      <c r="AO236" s="115">
        <v>0.1</v>
      </c>
      <c r="AP236" s="115">
        <v>0.06</v>
      </c>
      <c r="AQ236" s="115">
        <v>0.7846</v>
      </c>
      <c r="AR236" s="115">
        <v>0.0026</v>
      </c>
      <c r="AS236" s="115">
        <v>0.782</v>
      </c>
      <c r="AT236" s="115">
        <v>0.3998</v>
      </c>
      <c r="AU236" s="115">
        <v>0.1374</v>
      </c>
    </row>
    <row r="237" ht="15.75" customHeight="1">
      <c r="A237" s="116">
        <v>46194.0</v>
      </c>
      <c r="B237" s="115" t="s">
        <v>9</v>
      </c>
      <c r="C237" s="115" t="s">
        <v>129</v>
      </c>
      <c r="D237" s="115">
        <v>29850.0</v>
      </c>
      <c r="E237" s="115">
        <v>37.59</v>
      </c>
      <c r="F237" s="115">
        <v>3548.9</v>
      </c>
      <c r="G237" s="115">
        <v>0.1189</v>
      </c>
      <c r="H237" s="115">
        <v>3.39</v>
      </c>
      <c r="I237" s="115">
        <v>3.5034</v>
      </c>
      <c r="J237" s="115">
        <v>34.63</v>
      </c>
      <c r="K237" s="115">
        <v>17.29</v>
      </c>
      <c r="L237" s="115">
        <v>5.72</v>
      </c>
      <c r="M237" s="115">
        <v>0.3305</v>
      </c>
      <c r="N237" s="115">
        <v>0.7738</v>
      </c>
      <c r="O237" s="115">
        <v>0.537</v>
      </c>
      <c r="P237" s="115">
        <v>3.0254</v>
      </c>
      <c r="Q237" s="115">
        <v>50.23</v>
      </c>
      <c r="R237" s="115">
        <v>45.99</v>
      </c>
      <c r="S237" s="115">
        <v>4.23</v>
      </c>
      <c r="T237" s="115">
        <v>8.06</v>
      </c>
      <c r="U237" s="115">
        <v>42.17</v>
      </c>
      <c r="V237" s="115">
        <v>55.3</v>
      </c>
      <c r="W237" s="115">
        <v>3.1978</v>
      </c>
      <c r="X237" s="115">
        <v>16.04</v>
      </c>
      <c r="Y237" s="115">
        <v>96.0</v>
      </c>
      <c r="Z237" s="115">
        <v>377.0</v>
      </c>
      <c r="AA237" s="115">
        <v>3019.0</v>
      </c>
      <c r="AB237" s="115">
        <v>49.3757</v>
      </c>
      <c r="AC237" s="115">
        <v>0.4936</v>
      </c>
      <c r="AD237" s="115">
        <v>3.82</v>
      </c>
      <c r="AE237" s="115">
        <v>1.0</v>
      </c>
      <c r="AF237" s="115">
        <v>2.0</v>
      </c>
      <c r="AG237" s="115">
        <v>5.0</v>
      </c>
      <c r="AH237" s="115">
        <v>9.0</v>
      </c>
      <c r="AI237" s="115">
        <v>70.17</v>
      </c>
      <c r="AJ237" s="115">
        <v>27.64</v>
      </c>
      <c r="AK237" s="115">
        <v>8.09</v>
      </c>
      <c r="AL237" s="115">
        <v>0.2511</v>
      </c>
      <c r="AM237" s="115">
        <v>52.26</v>
      </c>
      <c r="AN237" s="115">
        <v>52.26</v>
      </c>
      <c r="AO237" s="115">
        <v>20.93</v>
      </c>
      <c r="AP237" s="115">
        <v>6.23</v>
      </c>
      <c r="AQ237" s="115">
        <v>3.1889</v>
      </c>
      <c r="AR237" s="115">
        <v>0.0973</v>
      </c>
      <c r="AS237" s="115">
        <v>3.0916</v>
      </c>
      <c r="AT237" s="115">
        <v>3.5099</v>
      </c>
      <c r="AU237" s="115">
        <v>0.203</v>
      </c>
    </row>
    <row r="238" ht="15.75" customHeight="1">
      <c r="A238" s="116">
        <v>46194.0</v>
      </c>
      <c r="B238" s="115" t="s">
        <v>9</v>
      </c>
      <c r="C238" s="115" t="s">
        <v>130</v>
      </c>
      <c r="D238" s="115">
        <v>18056.0</v>
      </c>
      <c r="E238" s="115">
        <v>22.74</v>
      </c>
      <c r="F238" s="115">
        <v>6829.33</v>
      </c>
      <c r="G238" s="115">
        <v>0.3782</v>
      </c>
      <c r="H238" s="115">
        <v>8.26</v>
      </c>
      <c r="I238" s="115">
        <v>4.5804</v>
      </c>
      <c r="J238" s="115">
        <v>61.84</v>
      </c>
      <c r="K238" s="115">
        <v>31.95</v>
      </c>
      <c r="L238" s="115">
        <v>14.22</v>
      </c>
      <c r="M238" s="115">
        <v>0.4451</v>
      </c>
      <c r="N238" s="115">
        <v>0.6789</v>
      </c>
      <c r="O238" s="115">
        <v>0.4338</v>
      </c>
      <c r="P238" s="115">
        <v>2.2468</v>
      </c>
      <c r="Q238" s="115">
        <v>101.85</v>
      </c>
      <c r="R238" s="115">
        <v>90.99</v>
      </c>
      <c r="S238" s="115">
        <v>10.86</v>
      </c>
      <c r="T238" s="115">
        <v>24.7</v>
      </c>
      <c r="U238" s="115">
        <v>77.14</v>
      </c>
      <c r="V238" s="115">
        <v>115.0</v>
      </c>
      <c r="W238" s="115">
        <v>3.5992</v>
      </c>
      <c r="X238" s="115">
        <v>24.25</v>
      </c>
      <c r="Y238" s="115">
        <v>93.0</v>
      </c>
      <c r="Z238" s="115">
        <v>344.0</v>
      </c>
      <c r="AA238" s="115">
        <v>2757.0</v>
      </c>
      <c r="AB238" s="115">
        <v>52.4354</v>
      </c>
      <c r="AC238" s="115">
        <v>0.6012</v>
      </c>
      <c r="AD238" s="115">
        <v>9.3</v>
      </c>
      <c r="AE238" s="115">
        <v>3.0</v>
      </c>
      <c r="AF238" s="115">
        <v>7.0</v>
      </c>
      <c r="AG238" s="115">
        <v>13.0</v>
      </c>
      <c r="AH238" s="115">
        <v>20.0</v>
      </c>
      <c r="AI238" s="115">
        <v>58.09</v>
      </c>
      <c r="AJ238" s="115">
        <v>25.63</v>
      </c>
      <c r="AK238" s="115">
        <v>5.22</v>
      </c>
      <c r="AL238" s="115">
        <v>0.2028</v>
      </c>
      <c r="AM238" s="115">
        <v>63.0</v>
      </c>
      <c r="AN238" s="115">
        <v>63.0</v>
      </c>
      <c r="AO238" s="115">
        <v>38.18</v>
      </c>
      <c r="AP238" s="115">
        <v>17.34</v>
      </c>
      <c r="AQ238" s="115">
        <v>6.3856</v>
      </c>
      <c r="AR238" s="115">
        <v>0.3111</v>
      </c>
      <c r="AS238" s="115">
        <v>6.0745</v>
      </c>
      <c r="AT238" s="115">
        <v>6.7583</v>
      </c>
      <c r="AU238" s="115">
        <v>0.2115</v>
      </c>
    </row>
    <row r="239" ht="15.75" customHeight="1">
      <c r="A239" s="116">
        <v>46194.0</v>
      </c>
      <c r="B239" s="115" t="s">
        <v>9</v>
      </c>
      <c r="C239" s="115" t="s">
        <v>131</v>
      </c>
      <c r="D239" s="115">
        <v>10015.0</v>
      </c>
      <c r="E239" s="115">
        <v>12.61</v>
      </c>
      <c r="F239" s="115">
        <v>8863.03</v>
      </c>
      <c r="G239" s="115">
        <v>0.885</v>
      </c>
      <c r="H239" s="115">
        <v>11.49</v>
      </c>
      <c r="I239" s="115">
        <v>7.7003</v>
      </c>
      <c r="J239" s="115">
        <v>85.68</v>
      </c>
      <c r="K239" s="115">
        <v>45.95</v>
      </c>
      <c r="L239" s="115">
        <v>27.63</v>
      </c>
      <c r="M239" s="115">
        <v>0.6012</v>
      </c>
      <c r="N239" s="115">
        <v>0.5367</v>
      </c>
      <c r="O239" s="115">
        <v>0.3318</v>
      </c>
      <c r="P239" s="115">
        <v>1.6634</v>
      </c>
      <c r="Q239" s="115">
        <v>187.05</v>
      </c>
      <c r="R239" s="115">
        <v>165.84</v>
      </c>
      <c r="S239" s="115">
        <v>21.21</v>
      </c>
      <c r="T239" s="115">
        <v>55.45</v>
      </c>
      <c r="U239" s="115">
        <v>131.6</v>
      </c>
      <c r="V239" s="115">
        <v>210.29</v>
      </c>
      <c r="W239" s="115">
        <v>4.5764</v>
      </c>
      <c r="X239" s="115">
        <v>29.64</v>
      </c>
      <c r="Y239" s="115">
        <v>102.0</v>
      </c>
      <c r="Z239" s="115">
        <v>547.0</v>
      </c>
      <c r="AA239" s="115">
        <v>4019.0</v>
      </c>
      <c r="AB239" s="115">
        <v>55.6778</v>
      </c>
      <c r="AC239" s="115">
        <v>0.722</v>
      </c>
      <c r="AD239" s="115">
        <v>18.71</v>
      </c>
      <c r="AE239" s="115">
        <v>6.0</v>
      </c>
      <c r="AF239" s="115">
        <v>14.0</v>
      </c>
      <c r="AG239" s="115">
        <v>26.0</v>
      </c>
      <c r="AH239" s="115">
        <v>41.0</v>
      </c>
      <c r="AI239" s="115">
        <v>59.23</v>
      </c>
      <c r="AJ239" s="115">
        <v>25.75</v>
      </c>
      <c r="AK239" s="115">
        <v>9.6</v>
      </c>
      <c r="AL239" s="115">
        <v>0.2034</v>
      </c>
      <c r="AM239" s="115">
        <v>65.09</v>
      </c>
      <c r="AN239" s="115">
        <v>65.09</v>
      </c>
      <c r="AO239" s="115">
        <v>44.48</v>
      </c>
      <c r="AP239" s="115">
        <v>24.35</v>
      </c>
      <c r="AQ239" s="115">
        <v>10.5099</v>
      </c>
      <c r="AR239" s="115">
        <v>0.7183</v>
      </c>
      <c r="AS239" s="115">
        <v>9.7916</v>
      </c>
      <c r="AT239" s="115">
        <v>10.793</v>
      </c>
      <c r="AU239" s="115">
        <v>0.2349</v>
      </c>
    </row>
    <row r="240" ht="15.75" customHeight="1">
      <c r="A240" s="116">
        <v>46194.0</v>
      </c>
      <c r="B240" s="115" t="s">
        <v>9</v>
      </c>
      <c r="C240" s="115" t="s">
        <v>132</v>
      </c>
      <c r="D240" s="115">
        <v>4242.0</v>
      </c>
      <c r="E240" s="115">
        <v>5.34</v>
      </c>
      <c r="F240" s="115">
        <v>8015.24</v>
      </c>
      <c r="G240" s="115">
        <v>1.8895</v>
      </c>
      <c r="H240" s="115">
        <v>14.38</v>
      </c>
      <c r="I240" s="115">
        <v>13.1397</v>
      </c>
      <c r="J240" s="115">
        <v>132.27</v>
      </c>
      <c r="K240" s="115">
        <v>75.87</v>
      </c>
      <c r="L240" s="115">
        <v>55.83</v>
      </c>
      <c r="M240" s="115">
        <v>0.7358</v>
      </c>
      <c r="N240" s="115">
        <v>0.4024</v>
      </c>
      <c r="O240" s="115">
        <v>0.2535</v>
      </c>
      <c r="P240" s="115">
        <v>1.3591</v>
      </c>
      <c r="Q240" s="115">
        <v>358.42</v>
      </c>
      <c r="R240" s="115">
        <v>315.86</v>
      </c>
      <c r="S240" s="115">
        <v>42.56</v>
      </c>
      <c r="T240" s="115">
        <v>119.57</v>
      </c>
      <c r="U240" s="115">
        <v>238.85</v>
      </c>
      <c r="V240" s="115">
        <v>401.08</v>
      </c>
      <c r="W240" s="115">
        <v>5.2862</v>
      </c>
      <c r="X240" s="115">
        <v>33.36</v>
      </c>
      <c r="Y240" s="115">
        <v>158.0</v>
      </c>
      <c r="Z240" s="115">
        <v>1030.0</v>
      </c>
      <c r="AA240" s="115">
        <v>6116.0</v>
      </c>
      <c r="AB240" s="115">
        <v>59.211</v>
      </c>
      <c r="AC240" s="115">
        <v>0.8183</v>
      </c>
      <c r="AD240" s="115">
        <v>38.66</v>
      </c>
      <c r="AE240" s="115">
        <v>14.0</v>
      </c>
      <c r="AF240" s="115">
        <v>29.0</v>
      </c>
      <c r="AG240" s="115">
        <v>54.0</v>
      </c>
      <c r="AH240" s="115">
        <v>85.0</v>
      </c>
      <c r="AI240" s="115">
        <v>51.41</v>
      </c>
      <c r="AJ240" s="115">
        <v>20.7</v>
      </c>
      <c r="AK240" s="115">
        <v>6.46</v>
      </c>
      <c r="AL240" s="115">
        <v>0.1686</v>
      </c>
      <c r="AM240" s="115">
        <v>69.61</v>
      </c>
      <c r="AN240" s="115">
        <v>69.61</v>
      </c>
      <c r="AO240" s="115">
        <v>50.68</v>
      </c>
      <c r="AP240" s="115">
        <v>36.07</v>
      </c>
      <c r="AQ240" s="115">
        <v>18.261</v>
      </c>
      <c r="AR240" s="115">
        <v>1.5441</v>
      </c>
      <c r="AS240" s="115">
        <v>16.7169</v>
      </c>
      <c r="AT240" s="115">
        <v>18.7713</v>
      </c>
      <c r="AU240" s="115">
        <v>0.2474</v>
      </c>
    </row>
    <row r="241" ht="15.75" customHeight="1">
      <c r="A241" s="116">
        <v>46194.0</v>
      </c>
      <c r="B241" s="115" t="s">
        <v>9</v>
      </c>
      <c r="C241" s="115" t="s">
        <v>133</v>
      </c>
      <c r="D241" s="115">
        <v>484.0</v>
      </c>
      <c r="E241" s="115">
        <v>0.61</v>
      </c>
      <c r="F241" s="115">
        <v>1775.68</v>
      </c>
      <c r="G241" s="115">
        <v>3.6688</v>
      </c>
      <c r="H241" s="115">
        <v>18.8</v>
      </c>
      <c r="I241" s="115">
        <v>19.513</v>
      </c>
      <c r="J241" s="115">
        <v>237.9</v>
      </c>
      <c r="K241" s="115">
        <v>142.58</v>
      </c>
      <c r="L241" s="115">
        <v>120.05</v>
      </c>
      <c r="M241" s="115">
        <v>0.842</v>
      </c>
      <c r="N241" s="115">
        <v>0.2897</v>
      </c>
      <c r="O241" s="115">
        <v>0.1978</v>
      </c>
      <c r="P241" s="115">
        <v>1.1876</v>
      </c>
      <c r="Q241" s="115">
        <v>679.1</v>
      </c>
      <c r="R241" s="115">
        <v>586.89</v>
      </c>
      <c r="S241" s="115">
        <v>92.2</v>
      </c>
      <c r="T241" s="115">
        <v>234.32</v>
      </c>
      <c r="U241" s="115">
        <v>444.78</v>
      </c>
      <c r="V241" s="115">
        <v>967.36</v>
      </c>
      <c r="W241" s="115">
        <v>6.7846</v>
      </c>
      <c r="X241" s="115">
        <v>34.5</v>
      </c>
      <c r="Y241" s="115">
        <v>326.0</v>
      </c>
      <c r="Z241" s="115">
        <v>2041.0</v>
      </c>
      <c r="AA241" s="115">
        <v>10037.0</v>
      </c>
      <c r="AB241" s="115">
        <v>62.0844</v>
      </c>
      <c r="AC241" s="115">
        <v>0.8643</v>
      </c>
      <c r="AD241" s="115">
        <v>87.81</v>
      </c>
      <c r="AE241" s="115">
        <v>32.0</v>
      </c>
      <c r="AF241" s="115">
        <v>77.0</v>
      </c>
      <c r="AG241" s="115">
        <v>125.0</v>
      </c>
      <c r="AH241" s="115">
        <v>184.0</v>
      </c>
      <c r="AI241" s="115">
        <v>48.76</v>
      </c>
      <c r="AJ241" s="115">
        <v>12.19</v>
      </c>
      <c r="AK241" s="115">
        <v>1.45</v>
      </c>
      <c r="AL241" s="115">
        <v>0.1488</v>
      </c>
      <c r="AM241" s="115">
        <v>79.96</v>
      </c>
      <c r="AN241" s="115">
        <v>79.96</v>
      </c>
      <c r="AO241" s="115">
        <v>63.43</v>
      </c>
      <c r="AP241" s="115">
        <v>51.45</v>
      </c>
      <c r="AQ241" s="115">
        <v>37.3946</v>
      </c>
      <c r="AR241" s="115">
        <v>6.4029</v>
      </c>
      <c r="AS241" s="115">
        <v>30.9917</v>
      </c>
      <c r="AT241" s="115">
        <v>41.2831</v>
      </c>
      <c r="AU241" s="115">
        <v>0.2895</v>
      </c>
    </row>
    <row r="242" ht="15.75" customHeight="1">
      <c r="A242" s="116">
        <v>46195.0</v>
      </c>
      <c r="B242" s="115" t="s">
        <v>8</v>
      </c>
      <c r="C242" s="115" t="s">
        <v>128</v>
      </c>
      <c r="D242" s="115">
        <v>16413.0</v>
      </c>
      <c r="E242" s="115">
        <v>19.39</v>
      </c>
      <c r="F242" s="115">
        <v>90.91</v>
      </c>
      <c r="G242" s="115">
        <v>0.0055</v>
      </c>
      <c r="H242" s="115">
        <v>0.08</v>
      </c>
      <c r="I242" s="115">
        <v>6.9931</v>
      </c>
      <c r="J242" s="115">
        <v>5.76</v>
      </c>
      <c r="K242" s="115">
        <v>2.27</v>
      </c>
      <c r="L242" s="115">
        <v>0.08</v>
      </c>
      <c r="M242" s="115">
        <v>0.0338</v>
      </c>
      <c r="N242" s="115">
        <v>0.9724</v>
      </c>
      <c r="O242" s="115">
        <v>0.7125</v>
      </c>
      <c r="P242" s="115">
        <v>29.6153</v>
      </c>
      <c r="Q242" s="115">
        <v>36.89</v>
      </c>
      <c r="R242" s="115">
        <v>36.79</v>
      </c>
      <c r="S242" s="115">
        <v>0.1</v>
      </c>
      <c r="T242" s="115">
        <v>0.5</v>
      </c>
      <c r="U242" s="115">
        <v>36.39</v>
      </c>
      <c r="V242" s="115">
        <v>2.3</v>
      </c>
      <c r="W242" s="115">
        <v>1.0133</v>
      </c>
      <c r="X242" s="115">
        <v>1.34</v>
      </c>
      <c r="Y242" s="115">
        <v>271.0</v>
      </c>
      <c r="Z242" s="115">
        <v>3089.0</v>
      </c>
      <c r="AA242" s="115">
        <v>13757.0</v>
      </c>
      <c r="AB242" s="115">
        <v>49.9429</v>
      </c>
      <c r="AC242" s="115">
        <v>0.5453</v>
      </c>
      <c r="AI242" s="115">
        <v>0.0</v>
      </c>
      <c r="AJ242" s="115">
        <v>0.0</v>
      </c>
      <c r="AK242" s="115">
        <v>0.0</v>
      </c>
      <c r="AL242" s="115">
        <v>0.2859</v>
      </c>
      <c r="AQ242" s="115">
        <v>1.5366</v>
      </c>
      <c r="AR242" s="115">
        <v>0.0054</v>
      </c>
      <c r="AS242" s="115">
        <v>1.5312</v>
      </c>
      <c r="AT242" s="115">
        <v>0.3815</v>
      </c>
      <c r="AU242" s="115">
        <v>0.1681</v>
      </c>
    </row>
    <row r="243" ht="15.75" customHeight="1">
      <c r="A243" s="116">
        <v>46195.0</v>
      </c>
      <c r="B243" s="115" t="s">
        <v>8</v>
      </c>
      <c r="C243" s="115" t="s">
        <v>129</v>
      </c>
      <c r="D243" s="115">
        <v>32587.0</v>
      </c>
      <c r="E243" s="115">
        <v>38.5</v>
      </c>
      <c r="F243" s="115">
        <v>3061.38</v>
      </c>
      <c r="G243" s="115">
        <v>0.0939</v>
      </c>
      <c r="H243" s="115">
        <v>2.82</v>
      </c>
      <c r="I243" s="115">
        <v>3.3276</v>
      </c>
      <c r="J243" s="115">
        <v>34.23</v>
      </c>
      <c r="K243" s="115">
        <v>16.93</v>
      </c>
      <c r="L243" s="115">
        <v>5.73</v>
      </c>
      <c r="M243" s="115">
        <v>0.3386</v>
      </c>
      <c r="N243" s="115">
        <v>0.7773</v>
      </c>
      <c r="O243" s="115">
        <v>0.5517</v>
      </c>
      <c r="P243" s="115">
        <v>2.9533</v>
      </c>
      <c r="Q243" s="115">
        <v>86.65</v>
      </c>
      <c r="R243" s="115">
        <v>75.13</v>
      </c>
      <c r="S243" s="115">
        <v>11.52</v>
      </c>
      <c r="T243" s="115">
        <v>6.57</v>
      </c>
      <c r="U243" s="115">
        <v>80.08</v>
      </c>
      <c r="V243" s="115">
        <v>73.34</v>
      </c>
      <c r="W243" s="115">
        <v>4.3329</v>
      </c>
      <c r="X243" s="115">
        <v>7.58</v>
      </c>
      <c r="Y243" s="115">
        <v>118.0</v>
      </c>
      <c r="Z243" s="115">
        <v>340.0</v>
      </c>
      <c r="AA243" s="115">
        <v>3093.0</v>
      </c>
      <c r="AB243" s="115">
        <v>49.1429</v>
      </c>
      <c r="AC243" s="115">
        <v>0.4792</v>
      </c>
      <c r="AD243" s="115">
        <v>3.81</v>
      </c>
      <c r="AE243" s="115">
        <v>1.0</v>
      </c>
      <c r="AF243" s="115">
        <v>2.0</v>
      </c>
      <c r="AG243" s="115">
        <v>5.0</v>
      </c>
      <c r="AH243" s="115">
        <v>9.0</v>
      </c>
      <c r="AI243" s="115">
        <v>70.78</v>
      </c>
      <c r="AJ243" s="115">
        <v>27.87</v>
      </c>
      <c r="AK243" s="115">
        <v>7.73</v>
      </c>
      <c r="AL243" s="115">
        <v>0.2196</v>
      </c>
      <c r="AQ243" s="115">
        <v>4.4849</v>
      </c>
      <c r="AR243" s="115">
        <v>0.0739</v>
      </c>
      <c r="AS243" s="115">
        <v>4.4109</v>
      </c>
      <c r="AT243" s="115">
        <v>3.6121</v>
      </c>
      <c r="AU243" s="115">
        <v>0.2134</v>
      </c>
    </row>
    <row r="244" ht="15.75" customHeight="1">
      <c r="A244" s="116">
        <v>46195.0</v>
      </c>
      <c r="B244" s="115" t="s">
        <v>8</v>
      </c>
      <c r="C244" s="115" t="s">
        <v>130</v>
      </c>
      <c r="D244" s="115">
        <v>19727.0</v>
      </c>
      <c r="E244" s="115">
        <v>23.31</v>
      </c>
      <c r="F244" s="115">
        <v>6515.19</v>
      </c>
      <c r="G244" s="115">
        <v>0.3303</v>
      </c>
      <c r="H244" s="115">
        <v>7.53</v>
      </c>
      <c r="I244" s="115">
        <v>4.3873</v>
      </c>
      <c r="J244" s="115">
        <v>61.84</v>
      </c>
      <c r="K244" s="115">
        <v>31.38</v>
      </c>
      <c r="L244" s="115">
        <v>14.98</v>
      </c>
      <c r="M244" s="115">
        <v>0.4773</v>
      </c>
      <c r="N244" s="115">
        <v>0.6626</v>
      </c>
      <c r="O244" s="115">
        <v>0.4299</v>
      </c>
      <c r="P244" s="115">
        <v>2.0951</v>
      </c>
      <c r="Q244" s="115">
        <v>161.58</v>
      </c>
      <c r="R244" s="115">
        <v>132.18</v>
      </c>
      <c r="S244" s="115">
        <v>29.39</v>
      </c>
      <c r="T244" s="115">
        <v>21.59</v>
      </c>
      <c r="U244" s="115">
        <v>139.99</v>
      </c>
      <c r="V244" s="115">
        <v>145.48</v>
      </c>
      <c r="W244" s="115">
        <v>4.6355</v>
      </c>
      <c r="X244" s="115">
        <v>13.36</v>
      </c>
      <c r="Y244" s="115">
        <v>110.0</v>
      </c>
      <c r="Z244" s="115">
        <v>418.0</v>
      </c>
      <c r="AA244" s="115">
        <v>3246.0</v>
      </c>
      <c r="AB244" s="115">
        <v>52.3717</v>
      </c>
      <c r="AC244" s="115">
        <v>0.5587</v>
      </c>
      <c r="AD244" s="115">
        <v>9.57</v>
      </c>
      <c r="AE244" s="115">
        <v>3.0</v>
      </c>
      <c r="AF244" s="115">
        <v>7.0</v>
      </c>
      <c r="AG244" s="115">
        <v>13.0</v>
      </c>
      <c r="AH244" s="115">
        <v>21.0</v>
      </c>
      <c r="AI244" s="115">
        <v>58.92</v>
      </c>
      <c r="AJ244" s="115">
        <v>26.74</v>
      </c>
      <c r="AK244" s="115">
        <v>5.64</v>
      </c>
      <c r="AL244" s="115">
        <v>0.1752</v>
      </c>
      <c r="AQ244" s="115">
        <v>8.4433</v>
      </c>
      <c r="AR244" s="115">
        <v>0.262</v>
      </c>
      <c r="AS244" s="115">
        <v>8.1813</v>
      </c>
      <c r="AT244" s="115">
        <v>6.9561</v>
      </c>
      <c r="AU244" s="115">
        <v>0.2216</v>
      </c>
    </row>
    <row r="245" ht="15.75" customHeight="1">
      <c r="A245" s="116">
        <v>46195.0</v>
      </c>
      <c r="B245" s="115" t="s">
        <v>8</v>
      </c>
      <c r="C245" s="115" t="s">
        <v>131</v>
      </c>
      <c r="D245" s="115">
        <v>11008.0</v>
      </c>
      <c r="E245" s="115">
        <v>13.01</v>
      </c>
      <c r="F245" s="115">
        <v>9420.11</v>
      </c>
      <c r="G245" s="115">
        <v>0.8558</v>
      </c>
      <c r="H245" s="115">
        <v>11.23</v>
      </c>
      <c r="I245" s="115">
        <v>7.6214</v>
      </c>
      <c r="J245" s="115">
        <v>90.02</v>
      </c>
      <c r="K245" s="115">
        <v>47.89</v>
      </c>
      <c r="L245" s="115">
        <v>30.28</v>
      </c>
      <c r="M245" s="115">
        <v>0.6324</v>
      </c>
      <c r="N245" s="115">
        <v>0.521</v>
      </c>
      <c r="O245" s="115">
        <v>0.3319</v>
      </c>
      <c r="P245" s="115">
        <v>1.5813</v>
      </c>
      <c r="Q245" s="115">
        <v>291.11</v>
      </c>
      <c r="R245" s="115">
        <v>233.39</v>
      </c>
      <c r="S245" s="115">
        <v>57.72</v>
      </c>
      <c r="T245" s="115">
        <v>55.35</v>
      </c>
      <c r="U245" s="115">
        <v>235.76</v>
      </c>
      <c r="V245" s="115">
        <v>268.71</v>
      </c>
      <c r="W245" s="115">
        <v>5.6111</v>
      </c>
      <c r="X245" s="115">
        <v>19.01</v>
      </c>
      <c r="Y245" s="115">
        <v>129.0</v>
      </c>
      <c r="Z245" s="115">
        <v>558.0</v>
      </c>
      <c r="AA245" s="115">
        <v>4205.0</v>
      </c>
      <c r="AB245" s="115">
        <v>55.133</v>
      </c>
      <c r="AC245" s="115">
        <v>0.6358</v>
      </c>
      <c r="AD245" s="115">
        <v>19.18</v>
      </c>
      <c r="AE245" s="115">
        <v>8.0</v>
      </c>
      <c r="AF245" s="115">
        <v>16.0</v>
      </c>
      <c r="AG245" s="115">
        <v>27.0</v>
      </c>
      <c r="AH245" s="115">
        <v>39.0</v>
      </c>
      <c r="AI245" s="115">
        <v>64.14</v>
      </c>
      <c r="AJ245" s="115">
        <v>28.33</v>
      </c>
      <c r="AK245" s="115">
        <v>6.85</v>
      </c>
      <c r="AL245" s="115">
        <v>0.1636</v>
      </c>
      <c r="AQ245" s="115">
        <v>13.0901</v>
      </c>
      <c r="AR245" s="115">
        <v>0.6528</v>
      </c>
      <c r="AS245" s="115">
        <v>12.4373</v>
      </c>
      <c r="AT245" s="115">
        <v>11.0228</v>
      </c>
      <c r="AU245" s="115">
        <v>0.2302</v>
      </c>
    </row>
    <row r="246" ht="15.75" customHeight="1">
      <c r="A246" s="116">
        <v>46195.0</v>
      </c>
      <c r="B246" s="115" t="s">
        <v>8</v>
      </c>
      <c r="C246" s="115" t="s">
        <v>132</v>
      </c>
      <c r="D246" s="115">
        <v>4450.0</v>
      </c>
      <c r="E246" s="115">
        <v>5.26</v>
      </c>
      <c r="F246" s="115">
        <v>9373.21</v>
      </c>
      <c r="G246" s="115">
        <v>2.1063</v>
      </c>
      <c r="H246" s="115">
        <v>14.18</v>
      </c>
      <c r="I246" s="115">
        <v>14.8545</v>
      </c>
      <c r="J246" s="115">
        <v>145.04</v>
      </c>
      <c r="K246" s="115">
        <v>82.13</v>
      </c>
      <c r="L246" s="115">
        <v>63.76</v>
      </c>
      <c r="M246" s="115">
        <v>0.7763</v>
      </c>
      <c r="N246" s="115">
        <v>0.3786</v>
      </c>
      <c r="O246" s="115">
        <v>0.2531</v>
      </c>
      <c r="P246" s="115">
        <v>1.2882</v>
      </c>
      <c r="Q246" s="115">
        <v>546.17</v>
      </c>
      <c r="R246" s="115">
        <v>427.45</v>
      </c>
      <c r="S246" s="115">
        <v>118.72</v>
      </c>
      <c r="T246" s="115">
        <v>134.14</v>
      </c>
      <c r="U246" s="115">
        <v>412.02</v>
      </c>
      <c r="V246" s="115">
        <v>522.84</v>
      </c>
      <c r="W246" s="115">
        <v>6.3661</v>
      </c>
      <c r="X246" s="115">
        <v>24.56</v>
      </c>
      <c r="Y246" s="115">
        <v>225.0</v>
      </c>
      <c r="Z246" s="115">
        <v>1518.0</v>
      </c>
      <c r="AA246" s="115">
        <v>9397.0</v>
      </c>
      <c r="AB246" s="115">
        <v>58.4707</v>
      </c>
      <c r="AC246" s="115">
        <v>0.7135</v>
      </c>
      <c r="AD246" s="115">
        <v>39.47</v>
      </c>
      <c r="AE246" s="115">
        <v>17.0</v>
      </c>
      <c r="AF246" s="115">
        <v>33.0</v>
      </c>
      <c r="AG246" s="115">
        <v>50.0</v>
      </c>
      <c r="AH246" s="115">
        <v>82.0</v>
      </c>
      <c r="AI246" s="115">
        <v>57.33</v>
      </c>
      <c r="AJ246" s="115">
        <v>19.42</v>
      </c>
      <c r="AK246" s="115">
        <v>5.53</v>
      </c>
      <c r="AL246" s="115">
        <v>0.1362</v>
      </c>
      <c r="AQ246" s="115">
        <v>21.4811</v>
      </c>
      <c r="AR246" s="115">
        <v>1.8002</v>
      </c>
      <c r="AS246" s="115">
        <v>19.6809</v>
      </c>
      <c r="AT246" s="115">
        <v>18.7481</v>
      </c>
      <c r="AU246" s="115">
        <v>0.2283</v>
      </c>
    </row>
    <row r="247" ht="15.75" customHeight="1">
      <c r="A247" s="116">
        <v>46195.0</v>
      </c>
      <c r="B247" s="115" t="s">
        <v>8</v>
      </c>
      <c r="C247" s="115" t="s">
        <v>133</v>
      </c>
      <c r="D247" s="115">
        <v>452.0</v>
      </c>
      <c r="E247" s="115">
        <v>0.53</v>
      </c>
      <c r="F247" s="115">
        <v>1559.01</v>
      </c>
      <c r="G247" s="115">
        <v>3.4491</v>
      </c>
      <c r="H247" s="115">
        <v>16.59</v>
      </c>
      <c r="I247" s="115">
        <v>20.7868</v>
      </c>
      <c r="J247" s="115">
        <v>254.22</v>
      </c>
      <c r="K247" s="115">
        <v>160.03</v>
      </c>
      <c r="L247" s="115">
        <v>132.26</v>
      </c>
      <c r="M247" s="115">
        <v>0.8265</v>
      </c>
      <c r="N247" s="115">
        <v>0.3027</v>
      </c>
      <c r="O247" s="115">
        <v>0.2027</v>
      </c>
      <c r="P247" s="115">
        <v>1.2099</v>
      </c>
      <c r="Q247" s="115">
        <v>961.32</v>
      </c>
      <c r="R247" s="115">
        <v>679.18</v>
      </c>
      <c r="S247" s="115">
        <v>282.15</v>
      </c>
      <c r="T247" s="115">
        <v>214.87</v>
      </c>
      <c r="U247" s="115">
        <v>746.46</v>
      </c>
      <c r="V247" s="115">
        <v>1123.23</v>
      </c>
      <c r="W247" s="115">
        <v>7.0189</v>
      </c>
      <c r="X247" s="115">
        <v>22.35</v>
      </c>
      <c r="Y247" s="115">
        <v>385.0</v>
      </c>
      <c r="Z247" s="115">
        <v>1904.0</v>
      </c>
      <c r="AA247" s="115">
        <v>8547.0</v>
      </c>
      <c r="AB247" s="115">
        <v>62.609</v>
      </c>
      <c r="AC247" s="115">
        <v>0.8535</v>
      </c>
      <c r="AD247" s="115">
        <v>88.06</v>
      </c>
      <c r="AE247" s="115">
        <v>35.0</v>
      </c>
      <c r="AF247" s="115">
        <v>69.0</v>
      </c>
      <c r="AG247" s="115">
        <v>123.0</v>
      </c>
      <c r="AH247" s="115">
        <v>188.0</v>
      </c>
      <c r="AI247" s="115">
        <v>44.25</v>
      </c>
      <c r="AJ247" s="115">
        <v>12.61</v>
      </c>
      <c r="AK247" s="115">
        <v>1.11</v>
      </c>
      <c r="AL247" s="115">
        <v>0.1128</v>
      </c>
      <c r="AQ247" s="115">
        <v>42.6438</v>
      </c>
      <c r="AR247" s="115">
        <v>7.8252</v>
      </c>
      <c r="AS247" s="115">
        <v>34.8186</v>
      </c>
      <c r="AT247" s="115">
        <v>36.1239</v>
      </c>
      <c r="AU247" s="115">
        <v>0.2257</v>
      </c>
    </row>
    <row r="248" ht="15.75" customHeight="1">
      <c r="A248" s="116">
        <v>46195.0</v>
      </c>
      <c r="B248" s="115" t="s">
        <v>9</v>
      </c>
      <c r="C248" s="115" t="s">
        <v>128</v>
      </c>
      <c r="D248" s="115">
        <v>16758.0</v>
      </c>
      <c r="E248" s="115">
        <v>19.79</v>
      </c>
      <c r="F248" s="115">
        <v>54.43</v>
      </c>
      <c r="G248" s="115">
        <v>0.0032</v>
      </c>
      <c r="H248" s="115">
        <v>0.09</v>
      </c>
      <c r="I248" s="115">
        <v>3.6287</v>
      </c>
      <c r="J248" s="115">
        <v>5.99</v>
      </c>
      <c r="K248" s="115">
        <v>2.44</v>
      </c>
      <c r="L248" s="115">
        <v>0.08</v>
      </c>
      <c r="M248" s="115">
        <v>0.033</v>
      </c>
      <c r="N248" s="115">
        <v>0.9727</v>
      </c>
      <c r="O248" s="115">
        <v>0.6961</v>
      </c>
      <c r="P248" s="115">
        <v>30.3445</v>
      </c>
      <c r="Q248" s="115">
        <v>33.86</v>
      </c>
      <c r="R248" s="115">
        <v>33.82</v>
      </c>
      <c r="S248" s="115">
        <v>0.04</v>
      </c>
      <c r="T248" s="115">
        <v>0.22</v>
      </c>
      <c r="U248" s="115">
        <v>33.64</v>
      </c>
      <c r="V248" s="115">
        <v>2.15</v>
      </c>
      <c r="W248" s="115">
        <v>0.8795</v>
      </c>
      <c r="X248" s="115">
        <v>0.64</v>
      </c>
      <c r="Y248" s="115">
        <v>244.0</v>
      </c>
      <c r="Z248" s="115">
        <v>2756.0</v>
      </c>
      <c r="AA248" s="115">
        <v>11422.0</v>
      </c>
      <c r="AB248" s="115">
        <v>49.9296</v>
      </c>
      <c r="AC248" s="115">
        <v>0.539</v>
      </c>
      <c r="AI248" s="115">
        <v>0.0</v>
      </c>
      <c r="AJ248" s="115">
        <v>0.0</v>
      </c>
      <c r="AK248" s="115">
        <v>0.0</v>
      </c>
      <c r="AL248" s="115">
        <v>0.2873</v>
      </c>
      <c r="AM248" s="115">
        <v>0.35</v>
      </c>
      <c r="AN248" s="115">
        <v>0.35</v>
      </c>
      <c r="AO248" s="115">
        <v>0.2</v>
      </c>
      <c r="AP248" s="115">
        <v>0.1</v>
      </c>
      <c r="AQ248" s="115">
        <v>1.5448</v>
      </c>
      <c r="AR248" s="115">
        <v>0.0025</v>
      </c>
      <c r="AS248" s="115">
        <v>1.5422</v>
      </c>
      <c r="AT248" s="115">
        <v>0.3729</v>
      </c>
      <c r="AU248" s="115">
        <v>0.1529</v>
      </c>
    </row>
    <row r="249" ht="15.75" customHeight="1">
      <c r="A249" s="116">
        <v>46195.0</v>
      </c>
      <c r="B249" s="115" t="s">
        <v>9</v>
      </c>
      <c r="C249" s="115" t="s">
        <v>129</v>
      </c>
      <c r="D249" s="115">
        <v>31260.0</v>
      </c>
      <c r="E249" s="115">
        <v>36.92</v>
      </c>
      <c r="F249" s="115">
        <v>2758.8</v>
      </c>
      <c r="G249" s="115">
        <v>0.0883</v>
      </c>
      <c r="H249" s="115">
        <v>2.82</v>
      </c>
      <c r="I249" s="115">
        <v>3.135</v>
      </c>
      <c r="J249" s="115">
        <v>35.11</v>
      </c>
      <c r="K249" s="115">
        <v>17.26</v>
      </c>
      <c r="L249" s="115">
        <v>5.75</v>
      </c>
      <c r="M249" s="115">
        <v>0.3328</v>
      </c>
      <c r="N249" s="115">
        <v>0.7775</v>
      </c>
      <c r="O249" s="115">
        <v>0.5453</v>
      </c>
      <c r="P249" s="115">
        <v>3.0046</v>
      </c>
      <c r="Q249" s="115">
        <v>78.84</v>
      </c>
      <c r="R249" s="115">
        <v>74.73</v>
      </c>
      <c r="S249" s="115">
        <v>4.11</v>
      </c>
      <c r="T249" s="115">
        <v>6.23</v>
      </c>
      <c r="U249" s="115">
        <v>72.61</v>
      </c>
      <c r="V249" s="115">
        <v>67.03</v>
      </c>
      <c r="W249" s="115">
        <v>3.8827</v>
      </c>
      <c r="X249" s="115">
        <v>7.9</v>
      </c>
      <c r="Y249" s="115">
        <v>104.0</v>
      </c>
      <c r="Z249" s="115">
        <v>392.0</v>
      </c>
      <c r="AA249" s="115">
        <v>2947.0</v>
      </c>
      <c r="AB249" s="115">
        <v>49.2195</v>
      </c>
      <c r="AC249" s="115">
        <v>0.478</v>
      </c>
      <c r="AD249" s="115">
        <v>3.79</v>
      </c>
      <c r="AE249" s="115">
        <v>1.0</v>
      </c>
      <c r="AF249" s="115">
        <v>2.0</v>
      </c>
      <c r="AG249" s="115">
        <v>5.0</v>
      </c>
      <c r="AH249" s="115">
        <v>9.0</v>
      </c>
      <c r="AI249" s="115">
        <v>70.63</v>
      </c>
      <c r="AJ249" s="115">
        <v>27.29</v>
      </c>
      <c r="AK249" s="115">
        <v>7.61</v>
      </c>
      <c r="AL249" s="115">
        <v>0.2224</v>
      </c>
      <c r="AM249" s="115">
        <v>51.8</v>
      </c>
      <c r="AN249" s="115">
        <v>51.8</v>
      </c>
      <c r="AO249" s="115">
        <v>20.27</v>
      </c>
      <c r="AP249" s="115">
        <v>5.67</v>
      </c>
      <c r="AQ249" s="115">
        <v>4.7661</v>
      </c>
      <c r="AR249" s="115">
        <v>0.064</v>
      </c>
      <c r="AS249" s="115">
        <v>4.7021</v>
      </c>
      <c r="AT249" s="115">
        <v>3.8288</v>
      </c>
      <c r="AU249" s="115">
        <v>0.2218</v>
      </c>
    </row>
    <row r="250" ht="15.75" customHeight="1">
      <c r="A250" s="116">
        <v>46195.0</v>
      </c>
      <c r="B250" s="115" t="s">
        <v>9</v>
      </c>
      <c r="C250" s="115" t="s">
        <v>130</v>
      </c>
      <c r="D250" s="115">
        <v>19821.0</v>
      </c>
      <c r="E250" s="115">
        <v>23.41</v>
      </c>
      <c r="F250" s="115">
        <v>6911.15</v>
      </c>
      <c r="G250" s="115">
        <v>0.3487</v>
      </c>
      <c r="H250" s="115">
        <v>7.52</v>
      </c>
      <c r="I250" s="115">
        <v>4.6384</v>
      </c>
      <c r="J250" s="115">
        <v>63.53</v>
      </c>
      <c r="K250" s="115">
        <v>32.38</v>
      </c>
      <c r="L250" s="115">
        <v>15.23</v>
      </c>
      <c r="M250" s="115">
        <v>0.4702</v>
      </c>
      <c r="N250" s="115">
        <v>0.6636</v>
      </c>
      <c r="O250" s="115">
        <v>0.4244</v>
      </c>
      <c r="P250" s="115">
        <v>2.1266</v>
      </c>
      <c r="Q250" s="115">
        <v>156.98</v>
      </c>
      <c r="R250" s="115">
        <v>146.41</v>
      </c>
      <c r="S250" s="115">
        <v>10.57</v>
      </c>
      <c r="T250" s="115">
        <v>22.68</v>
      </c>
      <c r="U250" s="115">
        <v>134.3</v>
      </c>
      <c r="V250" s="115">
        <v>142.14</v>
      </c>
      <c r="W250" s="115">
        <v>4.3893</v>
      </c>
      <c r="X250" s="115">
        <v>14.45</v>
      </c>
      <c r="Y250" s="115">
        <v>105.0</v>
      </c>
      <c r="Z250" s="115">
        <v>384.0</v>
      </c>
      <c r="AA250" s="115">
        <v>2912.0</v>
      </c>
      <c r="AB250" s="115">
        <v>52.3015</v>
      </c>
      <c r="AC250" s="115">
        <v>0.5542</v>
      </c>
      <c r="AD250" s="115">
        <v>9.65</v>
      </c>
      <c r="AE250" s="115">
        <v>3.0</v>
      </c>
      <c r="AF250" s="115">
        <v>7.0</v>
      </c>
      <c r="AG250" s="115">
        <v>13.0</v>
      </c>
      <c r="AH250" s="115">
        <v>21.0</v>
      </c>
      <c r="AI250" s="115">
        <v>58.27</v>
      </c>
      <c r="AJ250" s="115">
        <v>27.39</v>
      </c>
      <c r="AK250" s="115">
        <v>6.25</v>
      </c>
      <c r="AL250" s="115">
        <v>0.1714</v>
      </c>
      <c r="AM250" s="115">
        <v>62.25</v>
      </c>
      <c r="AN250" s="115">
        <v>62.25</v>
      </c>
      <c r="AO250" s="115">
        <v>37.25</v>
      </c>
      <c r="AP250" s="115">
        <v>17.29</v>
      </c>
      <c r="AQ250" s="115">
        <v>9.138</v>
      </c>
      <c r="AR250" s="115">
        <v>0.2733</v>
      </c>
      <c r="AS250" s="115">
        <v>8.8647</v>
      </c>
      <c r="AT250" s="115">
        <v>7.5075</v>
      </c>
      <c r="AU250" s="115">
        <v>0.2318</v>
      </c>
    </row>
    <row r="251" ht="15.75" customHeight="1">
      <c r="A251" s="116">
        <v>46195.0</v>
      </c>
      <c r="B251" s="115" t="s">
        <v>9</v>
      </c>
      <c r="C251" s="115" t="s">
        <v>131</v>
      </c>
      <c r="D251" s="115">
        <v>11365.0</v>
      </c>
      <c r="E251" s="115">
        <v>13.42</v>
      </c>
      <c r="F251" s="115">
        <v>9654.03</v>
      </c>
      <c r="G251" s="115">
        <v>0.8495</v>
      </c>
      <c r="H251" s="115">
        <v>11.21</v>
      </c>
      <c r="I251" s="115">
        <v>7.5777</v>
      </c>
      <c r="J251" s="115">
        <v>92.33</v>
      </c>
      <c r="K251" s="115">
        <v>48.73</v>
      </c>
      <c r="L251" s="115">
        <v>31.07</v>
      </c>
      <c r="M251" s="115">
        <v>0.6375</v>
      </c>
      <c r="N251" s="115">
        <v>0.5155</v>
      </c>
      <c r="O251" s="115">
        <v>0.3258</v>
      </c>
      <c r="P251" s="115">
        <v>1.5686</v>
      </c>
      <c r="Q251" s="115">
        <v>293.62</v>
      </c>
      <c r="R251" s="115">
        <v>272.41</v>
      </c>
      <c r="S251" s="115">
        <v>21.2</v>
      </c>
      <c r="T251" s="115">
        <v>53.78</v>
      </c>
      <c r="U251" s="115">
        <v>239.84</v>
      </c>
      <c r="V251" s="115">
        <v>267.25</v>
      </c>
      <c r="W251" s="115">
        <v>5.484</v>
      </c>
      <c r="X251" s="115">
        <v>18.32</v>
      </c>
      <c r="Y251" s="115">
        <v>132.0</v>
      </c>
      <c r="Z251" s="115">
        <v>665.0</v>
      </c>
      <c r="AA251" s="115">
        <v>4778.0</v>
      </c>
      <c r="AB251" s="115">
        <v>55.235</v>
      </c>
      <c r="AC251" s="115">
        <v>0.6318</v>
      </c>
      <c r="AD251" s="115">
        <v>19.81</v>
      </c>
      <c r="AE251" s="115">
        <v>8.0</v>
      </c>
      <c r="AF251" s="115">
        <v>16.0</v>
      </c>
      <c r="AG251" s="115">
        <v>28.0</v>
      </c>
      <c r="AH251" s="115">
        <v>40.0</v>
      </c>
      <c r="AI251" s="115">
        <v>64.22</v>
      </c>
      <c r="AJ251" s="115">
        <v>30.01</v>
      </c>
      <c r="AK251" s="115">
        <v>7.91</v>
      </c>
      <c r="AL251" s="115">
        <v>0.1593</v>
      </c>
      <c r="AM251" s="115">
        <v>67.65</v>
      </c>
      <c r="AN251" s="115">
        <v>67.65</v>
      </c>
      <c r="AO251" s="115">
        <v>45.07</v>
      </c>
      <c r="AP251" s="115">
        <v>24.6</v>
      </c>
      <c r="AQ251" s="115">
        <v>14.211</v>
      </c>
      <c r="AR251" s="115">
        <v>0.6847</v>
      </c>
      <c r="AS251" s="115">
        <v>13.5263</v>
      </c>
      <c r="AT251" s="115">
        <v>11.7371</v>
      </c>
      <c r="AU251" s="115">
        <v>0.2408</v>
      </c>
    </row>
    <row r="252" ht="15.75" customHeight="1">
      <c r="A252" s="116">
        <v>46195.0</v>
      </c>
      <c r="B252" s="115" t="s">
        <v>9</v>
      </c>
      <c r="C252" s="115" t="s">
        <v>132</v>
      </c>
      <c r="D252" s="115">
        <v>4990.0</v>
      </c>
      <c r="E252" s="115">
        <v>5.89</v>
      </c>
      <c r="F252" s="115">
        <v>9757.18</v>
      </c>
      <c r="G252" s="115">
        <v>1.9553</v>
      </c>
      <c r="H252" s="115">
        <v>14.19</v>
      </c>
      <c r="I252" s="115">
        <v>13.7813</v>
      </c>
      <c r="J252" s="115">
        <v>145.92</v>
      </c>
      <c r="K252" s="115">
        <v>83.27</v>
      </c>
      <c r="L252" s="115">
        <v>65.89</v>
      </c>
      <c r="M252" s="115">
        <v>0.7913</v>
      </c>
      <c r="N252" s="115">
        <v>0.3619</v>
      </c>
      <c r="O252" s="115">
        <v>0.2431</v>
      </c>
      <c r="P252" s="115">
        <v>1.2637</v>
      </c>
      <c r="Q252" s="115">
        <v>570.29</v>
      </c>
      <c r="R252" s="115">
        <v>527.24</v>
      </c>
      <c r="S252" s="115">
        <v>43.06</v>
      </c>
      <c r="T252" s="115">
        <v>125.05</v>
      </c>
      <c r="U252" s="115">
        <v>445.24</v>
      </c>
      <c r="V252" s="115">
        <v>539.83</v>
      </c>
      <c r="W252" s="115">
        <v>6.4832</v>
      </c>
      <c r="X252" s="115">
        <v>21.93</v>
      </c>
      <c r="Y252" s="115">
        <v>269.0</v>
      </c>
      <c r="Z252" s="115">
        <v>1653.0</v>
      </c>
      <c r="AA252" s="115">
        <v>9049.0</v>
      </c>
      <c r="AB252" s="115">
        <v>58.6432</v>
      </c>
      <c r="AC252" s="115">
        <v>0.6972</v>
      </c>
      <c r="AD252" s="115">
        <v>40.45</v>
      </c>
      <c r="AE252" s="115">
        <v>18.0</v>
      </c>
      <c r="AF252" s="115">
        <v>36.0</v>
      </c>
      <c r="AG252" s="115">
        <v>52.0</v>
      </c>
      <c r="AH252" s="115">
        <v>81.0</v>
      </c>
      <c r="AI252" s="115">
        <v>61.36</v>
      </c>
      <c r="AJ252" s="115">
        <v>20.32</v>
      </c>
      <c r="AK252" s="115">
        <v>5.39</v>
      </c>
      <c r="AL252" s="115">
        <v>0.1228</v>
      </c>
      <c r="AM252" s="115">
        <v>75.37</v>
      </c>
      <c r="AN252" s="115">
        <v>75.37</v>
      </c>
      <c r="AO252" s="115">
        <v>54.75</v>
      </c>
      <c r="AP252" s="115">
        <v>37.23</v>
      </c>
      <c r="AQ252" s="115">
        <v>23.0088</v>
      </c>
      <c r="AR252" s="115">
        <v>1.9188</v>
      </c>
      <c r="AS252" s="115">
        <v>21.09</v>
      </c>
      <c r="AT252" s="115">
        <v>20.2675</v>
      </c>
      <c r="AU252" s="115">
        <v>0.2434</v>
      </c>
    </row>
    <row r="253" ht="15.75" customHeight="1">
      <c r="A253" s="116">
        <v>46195.0</v>
      </c>
      <c r="B253" s="115" t="s">
        <v>9</v>
      </c>
      <c r="C253" s="115" t="s">
        <v>133</v>
      </c>
      <c r="D253" s="115">
        <v>479.0</v>
      </c>
      <c r="E253" s="115">
        <v>0.57</v>
      </c>
      <c r="F253" s="115">
        <v>1719.31</v>
      </c>
      <c r="G253" s="115">
        <v>3.5894</v>
      </c>
      <c r="H253" s="115">
        <v>15.66</v>
      </c>
      <c r="I253" s="115">
        <v>22.9241</v>
      </c>
      <c r="J253" s="115">
        <v>262.72</v>
      </c>
      <c r="K253" s="115">
        <v>161.56</v>
      </c>
      <c r="L253" s="115">
        <v>139.05</v>
      </c>
      <c r="M253" s="115">
        <v>0.8607</v>
      </c>
      <c r="N253" s="115">
        <v>0.2712</v>
      </c>
      <c r="O253" s="115">
        <v>0.1881</v>
      </c>
      <c r="P253" s="115">
        <v>1.1618</v>
      </c>
      <c r="Q253" s="115">
        <v>975.83</v>
      </c>
      <c r="R253" s="115">
        <v>872.18</v>
      </c>
      <c r="S253" s="115">
        <v>103.65</v>
      </c>
      <c r="T253" s="115">
        <v>222.7</v>
      </c>
      <c r="U253" s="115">
        <v>753.13</v>
      </c>
      <c r="V253" s="115">
        <v>1063.05</v>
      </c>
      <c r="W253" s="115">
        <v>6.5799</v>
      </c>
      <c r="X253" s="115">
        <v>22.82</v>
      </c>
      <c r="Y253" s="115">
        <v>424.0</v>
      </c>
      <c r="Z253" s="115">
        <v>2120.0</v>
      </c>
      <c r="AA253" s="115">
        <v>9914.0</v>
      </c>
      <c r="AB253" s="115">
        <v>63.1785</v>
      </c>
      <c r="AC253" s="115">
        <v>0.8727</v>
      </c>
      <c r="AD253" s="115">
        <v>98.03</v>
      </c>
      <c r="AE253" s="115">
        <v>41.0</v>
      </c>
      <c r="AF253" s="115">
        <v>86.0</v>
      </c>
      <c r="AG253" s="115">
        <v>138.0</v>
      </c>
      <c r="AH253" s="115">
        <v>193.0</v>
      </c>
      <c r="AI253" s="115">
        <v>53.44</v>
      </c>
      <c r="AJ253" s="115">
        <v>16.08</v>
      </c>
      <c r="AK253" s="115">
        <v>1.88</v>
      </c>
      <c r="AL253" s="115">
        <v>0.1086</v>
      </c>
      <c r="AM253" s="115">
        <v>82.46</v>
      </c>
      <c r="AN253" s="115">
        <v>82.46</v>
      </c>
      <c r="AO253" s="115">
        <v>69.73</v>
      </c>
      <c r="AP253" s="115">
        <v>57.2</v>
      </c>
      <c r="AQ253" s="115">
        <v>44.8351</v>
      </c>
      <c r="AR253" s="115">
        <v>6.4823</v>
      </c>
      <c r="AS253" s="115">
        <v>38.3528</v>
      </c>
      <c r="AT253" s="115">
        <v>37.4509</v>
      </c>
      <c r="AU253" s="115">
        <v>0.2318</v>
      </c>
    </row>
    <row r="254" ht="15.75" customHeight="1">
      <c r="A254" s="116">
        <v>46196.0</v>
      </c>
      <c r="B254" s="115" t="s">
        <v>8</v>
      </c>
      <c r="C254" s="115" t="s">
        <v>128</v>
      </c>
      <c r="D254" s="115">
        <v>15431.0</v>
      </c>
      <c r="E254" s="115">
        <v>18.39</v>
      </c>
      <c r="F254" s="115">
        <v>127.18</v>
      </c>
      <c r="G254" s="115">
        <v>0.0082</v>
      </c>
      <c r="H254" s="115">
        <v>0.27</v>
      </c>
      <c r="I254" s="115">
        <v>3.0281</v>
      </c>
      <c r="J254" s="115">
        <v>6.24</v>
      </c>
      <c r="K254" s="115">
        <v>2.59</v>
      </c>
      <c r="L254" s="115">
        <v>0.04</v>
      </c>
      <c r="M254" s="115">
        <v>0.0164</v>
      </c>
      <c r="N254" s="115">
        <v>0.9854</v>
      </c>
      <c r="O254" s="115">
        <v>0.8024</v>
      </c>
      <c r="P254" s="115">
        <v>61.1516</v>
      </c>
      <c r="Q254" s="115">
        <v>31.08</v>
      </c>
      <c r="R254" s="115">
        <v>31.0</v>
      </c>
      <c r="S254" s="115">
        <v>0.08</v>
      </c>
      <c r="T254" s="115">
        <v>0.12</v>
      </c>
      <c r="U254" s="115">
        <v>30.96</v>
      </c>
      <c r="V254" s="115">
        <v>2.3</v>
      </c>
      <c r="W254" s="115">
        <v>0.8903</v>
      </c>
      <c r="X254" s="115">
        <v>0.4</v>
      </c>
      <c r="Y254" s="115">
        <v>232.0</v>
      </c>
      <c r="Z254" s="115">
        <v>2649.0</v>
      </c>
      <c r="AA254" s="115">
        <v>13124.0</v>
      </c>
      <c r="AB254" s="115">
        <v>49.467</v>
      </c>
      <c r="AC254" s="115">
        <v>0.5176</v>
      </c>
      <c r="AI254" s="115">
        <v>0.0</v>
      </c>
      <c r="AJ254" s="115">
        <v>0.0</v>
      </c>
      <c r="AK254" s="115">
        <v>0.0</v>
      </c>
      <c r="AL254" s="115">
        <v>0.2862</v>
      </c>
      <c r="AQ254" s="115">
        <v>1.7062</v>
      </c>
      <c r="AR254" s="115">
        <v>0.0017</v>
      </c>
      <c r="AS254" s="115">
        <v>1.7044</v>
      </c>
      <c r="AT254" s="115">
        <v>0.3824</v>
      </c>
      <c r="AU254" s="115">
        <v>0.1478</v>
      </c>
    </row>
    <row r="255" ht="15.75" customHeight="1">
      <c r="A255" s="116">
        <v>46196.0</v>
      </c>
      <c r="B255" s="115" t="s">
        <v>8</v>
      </c>
      <c r="C255" s="115" t="s">
        <v>129</v>
      </c>
      <c r="D255" s="115">
        <v>31927.0</v>
      </c>
      <c r="E255" s="115">
        <v>38.04</v>
      </c>
      <c r="F255" s="115">
        <v>4483.85</v>
      </c>
      <c r="G255" s="115">
        <v>0.1404</v>
      </c>
      <c r="H255" s="115">
        <v>3.94</v>
      </c>
      <c r="I255" s="115">
        <v>3.5614</v>
      </c>
      <c r="J255" s="115">
        <v>31.74</v>
      </c>
      <c r="K255" s="115">
        <v>15.56</v>
      </c>
      <c r="L255" s="115">
        <v>5.97</v>
      </c>
      <c r="M255" s="115">
        <v>0.384</v>
      </c>
      <c r="N255" s="115">
        <v>0.7379</v>
      </c>
      <c r="O255" s="115">
        <v>0.5032</v>
      </c>
      <c r="P255" s="115">
        <v>2.6044</v>
      </c>
      <c r="Q255" s="115">
        <v>79.65</v>
      </c>
      <c r="R255" s="115">
        <v>67.06</v>
      </c>
      <c r="S255" s="115">
        <v>12.59</v>
      </c>
      <c r="T255" s="115">
        <v>5.73</v>
      </c>
      <c r="U255" s="115">
        <v>73.93</v>
      </c>
      <c r="V255" s="115">
        <v>70.02</v>
      </c>
      <c r="W255" s="115">
        <v>4.4997</v>
      </c>
      <c r="X255" s="115">
        <v>7.19</v>
      </c>
      <c r="Y255" s="115">
        <v>124.0</v>
      </c>
      <c r="Z255" s="115">
        <v>485.0</v>
      </c>
      <c r="AA255" s="115">
        <v>3634.0</v>
      </c>
      <c r="AB255" s="115">
        <v>49.1446</v>
      </c>
      <c r="AC255" s="115">
        <v>0.488</v>
      </c>
      <c r="AD255" s="115">
        <v>4.3</v>
      </c>
      <c r="AE255" s="115">
        <v>1.0</v>
      </c>
      <c r="AF255" s="115">
        <v>3.0</v>
      </c>
      <c r="AG255" s="115">
        <v>6.0</v>
      </c>
      <c r="AH255" s="115">
        <v>10.0</v>
      </c>
      <c r="AI255" s="115">
        <v>73.21</v>
      </c>
      <c r="AJ255" s="115">
        <v>32.57</v>
      </c>
      <c r="AK255" s="115">
        <v>10.91</v>
      </c>
      <c r="AL255" s="115">
        <v>0.221</v>
      </c>
      <c r="AQ255" s="115">
        <v>5.6544</v>
      </c>
      <c r="AR255" s="115">
        <v>0.0708</v>
      </c>
      <c r="AS255" s="115">
        <v>5.5836</v>
      </c>
      <c r="AT255" s="115">
        <v>3.4452</v>
      </c>
      <c r="AU255" s="115">
        <v>0.2214</v>
      </c>
    </row>
    <row r="256" ht="15.75" customHeight="1">
      <c r="A256" s="116">
        <v>46196.0</v>
      </c>
      <c r="B256" s="115" t="s">
        <v>8</v>
      </c>
      <c r="C256" s="115" t="s">
        <v>130</v>
      </c>
      <c r="D256" s="115">
        <v>20694.0</v>
      </c>
      <c r="E256" s="115">
        <v>24.66</v>
      </c>
      <c r="F256" s="115">
        <v>9135.81</v>
      </c>
      <c r="G256" s="115">
        <v>0.4415</v>
      </c>
      <c r="H256" s="115">
        <v>9.74</v>
      </c>
      <c r="I256" s="115">
        <v>4.5317</v>
      </c>
      <c r="J256" s="115">
        <v>61.01</v>
      </c>
      <c r="K256" s="115">
        <v>31.47</v>
      </c>
      <c r="L256" s="115">
        <v>16.44</v>
      </c>
      <c r="M256" s="115">
        <v>0.5222</v>
      </c>
      <c r="N256" s="115">
        <v>0.6175</v>
      </c>
      <c r="O256" s="115">
        <v>0.3848</v>
      </c>
      <c r="P256" s="115">
        <v>1.9148</v>
      </c>
      <c r="Q256" s="115">
        <v>169.61</v>
      </c>
      <c r="R256" s="115">
        <v>136.3</v>
      </c>
      <c r="S256" s="115">
        <v>33.31</v>
      </c>
      <c r="T256" s="115">
        <v>19.45</v>
      </c>
      <c r="U256" s="115">
        <v>150.15</v>
      </c>
      <c r="V256" s="115">
        <v>146.65</v>
      </c>
      <c r="W256" s="115">
        <v>4.6596</v>
      </c>
      <c r="X256" s="115">
        <v>11.47</v>
      </c>
      <c r="Y256" s="115">
        <v>121.0</v>
      </c>
      <c r="Z256" s="115">
        <v>472.0</v>
      </c>
      <c r="AA256" s="115">
        <v>3766.0</v>
      </c>
      <c r="AB256" s="115">
        <v>52.3251</v>
      </c>
      <c r="AC256" s="115">
        <v>0.5664</v>
      </c>
      <c r="AD256" s="115">
        <v>10.81</v>
      </c>
      <c r="AE256" s="115">
        <v>4.0</v>
      </c>
      <c r="AF256" s="115">
        <v>9.0</v>
      </c>
      <c r="AG256" s="115">
        <v>14.0</v>
      </c>
      <c r="AH256" s="115">
        <v>23.0</v>
      </c>
      <c r="AI256" s="115">
        <v>65.15</v>
      </c>
      <c r="AJ256" s="115">
        <v>32.9</v>
      </c>
      <c r="AK256" s="115">
        <v>7.59</v>
      </c>
      <c r="AL256" s="115">
        <v>0.1718</v>
      </c>
      <c r="AQ256" s="115">
        <v>10.0396</v>
      </c>
      <c r="AR256" s="115">
        <v>0.2116</v>
      </c>
      <c r="AS256" s="115">
        <v>9.8281</v>
      </c>
      <c r="AT256" s="115">
        <v>6.6832</v>
      </c>
      <c r="AU256" s="115">
        <v>0.2123</v>
      </c>
    </row>
    <row r="257" ht="15.75" customHeight="1">
      <c r="A257" s="116">
        <v>46196.0</v>
      </c>
      <c r="B257" s="115" t="s">
        <v>8</v>
      </c>
      <c r="C257" s="115" t="s">
        <v>131</v>
      </c>
      <c r="D257" s="115">
        <v>11278.0</v>
      </c>
      <c r="E257" s="115">
        <v>13.44</v>
      </c>
      <c r="F257" s="115">
        <v>10613.3</v>
      </c>
      <c r="G257" s="115">
        <v>0.9411</v>
      </c>
      <c r="H257" s="115">
        <v>13.8</v>
      </c>
      <c r="I257" s="115">
        <v>6.8209</v>
      </c>
      <c r="J257" s="115">
        <v>89.91</v>
      </c>
      <c r="K257" s="115">
        <v>49.26</v>
      </c>
      <c r="L257" s="115">
        <v>32.78</v>
      </c>
      <c r="M257" s="115">
        <v>0.6654</v>
      </c>
      <c r="N257" s="115">
        <v>0.4797</v>
      </c>
      <c r="O257" s="115">
        <v>0.2954</v>
      </c>
      <c r="P257" s="115">
        <v>1.5028</v>
      </c>
      <c r="Q257" s="115">
        <v>310.75</v>
      </c>
      <c r="R257" s="115">
        <v>249.53</v>
      </c>
      <c r="S257" s="115">
        <v>61.22</v>
      </c>
      <c r="T257" s="115">
        <v>48.33</v>
      </c>
      <c r="U257" s="115">
        <v>262.42</v>
      </c>
      <c r="V257" s="115">
        <v>269.04</v>
      </c>
      <c r="W257" s="115">
        <v>5.4612</v>
      </c>
      <c r="X257" s="115">
        <v>15.55</v>
      </c>
      <c r="Y257" s="115">
        <v>152.0</v>
      </c>
      <c r="Z257" s="115">
        <v>627.0</v>
      </c>
      <c r="AA257" s="115">
        <v>4512.0</v>
      </c>
      <c r="AB257" s="115">
        <v>55.2424</v>
      </c>
      <c r="AC257" s="115">
        <v>0.6533</v>
      </c>
      <c r="AD257" s="115">
        <v>19.77</v>
      </c>
      <c r="AE257" s="115">
        <v>8.0</v>
      </c>
      <c r="AF257" s="115">
        <v>16.0</v>
      </c>
      <c r="AG257" s="115">
        <v>28.0</v>
      </c>
      <c r="AH257" s="115">
        <v>40.0</v>
      </c>
      <c r="AI257" s="115">
        <v>64.92</v>
      </c>
      <c r="AJ257" s="115">
        <v>28.62</v>
      </c>
      <c r="AK257" s="115">
        <v>8.66</v>
      </c>
      <c r="AL257" s="115">
        <v>0.1725</v>
      </c>
      <c r="AQ257" s="115">
        <v>14.6441</v>
      </c>
      <c r="AR257" s="115">
        <v>0.5804</v>
      </c>
      <c r="AS257" s="115">
        <v>14.0637</v>
      </c>
      <c r="AT257" s="115">
        <v>10.6223</v>
      </c>
      <c r="AU257" s="115">
        <v>0.2156</v>
      </c>
    </row>
    <row r="258" ht="15.75" customHeight="1">
      <c r="A258" s="116">
        <v>46196.0</v>
      </c>
      <c r="B258" s="115" t="s">
        <v>8</v>
      </c>
      <c r="C258" s="115" t="s">
        <v>132</v>
      </c>
      <c r="D258" s="115">
        <v>4114.0</v>
      </c>
      <c r="E258" s="115">
        <v>4.9</v>
      </c>
      <c r="F258" s="115">
        <v>6240.73</v>
      </c>
      <c r="G258" s="115">
        <v>1.5169</v>
      </c>
      <c r="H258" s="115">
        <v>15.7</v>
      </c>
      <c r="I258" s="115">
        <v>9.6606</v>
      </c>
      <c r="J258" s="115">
        <v>134.57</v>
      </c>
      <c r="K258" s="115">
        <v>78.18</v>
      </c>
      <c r="L258" s="115">
        <v>60.87</v>
      </c>
      <c r="M258" s="115">
        <v>0.7786</v>
      </c>
      <c r="N258" s="115">
        <v>0.3652</v>
      </c>
      <c r="O258" s="115">
        <v>0.2401</v>
      </c>
      <c r="P258" s="115">
        <v>1.2844</v>
      </c>
      <c r="Q258" s="115">
        <v>597.38</v>
      </c>
      <c r="R258" s="115">
        <v>469.41</v>
      </c>
      <c r="S258" s="115">
        <v>127.97</v>
      </c>
      <c r="T258" s="115">
        <v>81.51</v>
      </c>
      <c r="U258" s="115">
        <v>515.87</v>
      </c>
      <c r="V258" s="115">
        <v>493.89</v>
      </c>
      <c r="W258" s="115">
        <v>6.3174</v>
      </c>
      <c r="X258" s="115">
        <v>13.65</v>
      </c>
      <c r="Y258" s="115">
        <v>269.0</v>
      </c>
      <c r="Z258" s="115">
        <v>1269.0</v>
      </c>
      <c r="AA258" s="115">
        <v>6452.0</v>
      </c>
      <c r="AB258" s="115">
        <v>59.1034</v>
      </c>
      <c r="AC258" s="115">
        <v>0.8068</v>
      </c>
      <c r="AD258" s="115">
        <v>42.88</v>
      </c>
      <c r="AE258" s="115">
        <v>18.0</v>
      </c>
      <c r="AF258" s="115">
        <v>36.0</v>
      </c>
      <c r="AG258" s="115">
        <v>58.0</v>
      </c>
      <c r="AH258" s="115">
        <v>86.0</v>
      </c>
      <c r="AI258" s="115">
        <v>60.5</v>
      </c>
      <c r="AJ258" s="115">
        <v>23.85</v>
      </c>
      <c r="AK258" s="115">
        <v>6.42</v>
      </c>
      <c r="AL258" s="115">
        <v>0.1371</v>
      </c>
      <c r="AQ258" s="115">
        <v>23.1208</v>
      </c>
      <c r="AR258" s="115">
        <v>0.9762</v>
      </c>
      <c r="AS258" s="115">
        <v>22.1446</v>
      </c>
      <c r="AT258" s="115">
        <v>17.3717</v>
      </c>
      <c r="AU258" s="115">
        <v>0.2222</v>
      </c>
    </row>
    <row r="259" ht="15.75" customHeight="1">
      <c r="A259" s="116">
        <v>46196.0</v>
      </c>
      <c r="B259" s="115" t="s">
        <v>8</v>
      </c>
      <c r="C259" s="115" t="s">
        <v>133</v>
      </c>
      <c r="D259" s="115">
        <v>477.0</v>
      </c>
      <c r="E259" s="115">
        <v>0.57</v>
      </c>
      <c r="F259" s="115">
        <v>1106.34</v>
      </c>
      <c r="G259" s="115">
        <v>2.3194</v>
      </c>
      <c r="H259" s="115">
        <v>13.84</v>
      </c>
      <c r="I259" s="115">
        <v>16.7627</v>
      </c>
      <c r="J259" s="115">
        <v>256.04</v>
      </c>
      <c r="K259" s="115">
        <v>161.48</v>
      </c>
      <c r="L259" s="115">
        <v>139.76</v>
      </c>
      <c r="M259" s="115">
        <v>0.8655</v>
      </c>
      <c r="N259" s="115">
        <v>0.2704</v>
      </c>
      <c r="O259" s="115">
        <v>0.1918</v>
      </c>
      <c r="P259" s="115">
        <v>1.1554</v>
      </c>
      <c r="Q259" s="115">
        <v>1241.56</v>
      </c>
      <c r="R259" s="115">
        <v>945.5</v>
      </c>
      <c r="S259" s="115">
        <v>296.06</v>
      </c>
      <c r="T259" s="115">
        <v>136.79</v>
      </c>
      <c r="U259" s="115">
        <v>1104.77</v>
      </c>
      <c r="V259" s="115">
        <v>1137.53</v>
      </c>
      <c r="W259" s="115">
        <v>7.0443</v>
      </c>
      <c r="X259" s="115">
        <v>11.02</v>
      </c>
      <c r="Y259" s="115">
        <v>664.0</v>
      </c>
      <c r="Z259" s="115">
        <v>2114.0</v>
      </c>
      <c r="AA259" s="115">
        <v>8213.0</v>
      </c>
      <c r="AB259" s="115">
        <v>62.4281</v>
      </c>
      <c r="AC259" s="115">
        <v>0.8682</v>
      </c>
      <c r="AD259" s="115">
        <v>101.94</v>
      </c>
      <c r="AE259" s="115">
        <v>49.0</v>
      </c>
      <c r="AF259" s="115">
        <v>93.0</v>
      </c>
      <c r="AG259" s="115">
        <v>142.0</v>
      </c>
      <c r="AH259" s="115">
        <v>191.0</v>
      </c>
      <c r="AI259" s="115">
        <v>57.65</v>
      </c>
      <c r="AJ259" s="115">
        <v>13.84</v>
      </c>
      <c r="AK259" s="115">
        <v>1.47</v>
      </c>
      <c r="AL259" s="115">
        <v>0.1027</v>
      </c>
      <c r="AQ259" s="115">
        <v>47.304</v>
      </c>
      <c r="AR259" s="115">
        <v>5.1216</v>
      </c>
      <c r="AS259" s="115">
        <v>42.1824</v>
      </c>
      <c r="AT259" s="115">
        <v>35.826</v>
      </c>
      <c r="AU259" s="115">
        <v>0.2219</v>
      </c>
    </row>
    <row r="260" ht="15.75" customHeight="1">
      <c r="A260" s="116">
        <v>46196.0</v>
      </c>
      <c r="B260" s="115" t="s">
        <v>9</v>
      </c>
      <c r="C260" s="115" t="s">
        <v>128</v>
      </c>
      <c r="D260" s="115">
        <v>15650.0</v>
      </c>
      <c r="E260" s="115">
        <v>18.69</v>
      </c>
      <c r="F260" s="115">
        <v>214.64</v>
      </c>
      <c r="G260" s="115">
        <v>0.0137</v>
      </c>
      <c r="H260" s="115">
        <v>0.39</v>
      </c>
      <c r="I260" s="115">
        <v>3.5187</v>
      </c>
      <c r="J260" s="115">
        <v>6.37</v>
      </c>
      <c r="K260" s="115">
        <v>2.65</v>
      </c>
      <c r="L260" s="115">
        <v>0.06</v>
      </c>
      <c r="M260" s="115">
        <v>0.0222</v>
      </c>
      <c r="N260" s="115">
        <v>0.98</v>
      </c>
      <c r="O260" s="115">
        <v>0.7325</v>
      </c>
      <c r="P260" s="115">
        <v>45.0467</v>
      </c>
      <c r="Q260" s="115">
        <v>28.22</v>
      </c>
      <c r="R260" s="115">
        <v>28.18</v>
      </c>
      <c r="S260" s="115">
        <v>0.04</v>
      </c>
      <c r="T260" s="115">
        <v>0.23</v>
      </c>
      <c r="U260" s="115">
        <v>27.99</v>
      </c>
      <c r="V260" s="115">
        <v>2.13</v>
      </c>
      <c r="W260" s="115">
        <v>0.8051</v>
      </c>
      <c r="X260" s="115">
        <v>0.82</v>
      </c>
      <c r="Y260" s="115">
        <v>206.0</v>
      </c>
      <c r="Z260" s="115">
        <v>2331.0</v>
      </c>
      <c r="AA260" s="115">
        <v>12421.0</v>
      </c>
      <c r="AB260" s="115">
        <v>49.5257</v>
      </c>
      <c r="AC260" s="115">
        <v>0.5194</v>
      </c>
      <c r="AI260" s="115">
        <v>0.0</v>
      </c>
      <c r="AJ260" s="115">
        <v>0.0</v>
      </c>
      <c r="AK260" s="115">
        <v>0.0</v>
      </c>
      <c r="AL260" s="115">
        <v>0.2871</v>
      </c>
      <c r="AM260" s="115">
        <v>0.19</v>
      </c>
      <c r="AN260" s="115">
        <v>0.19</v>
      </c>
      <c r="AO260" s="115">
        <v>0.09</v>
      </c>
      <c r="AP260" s="115">
        <v>0.03</v>
      </c>
      <c r="AQ260" s="115">
        <v>1.7266</v>
      </c>
      <c r="AR260" s="115">
        <v>0.004</v>
      </c>
      <c r="AS260" s="115">
        <v>1.7226</v>
      </c>
      <c r="AT260" s="115">
        <v>0.3706</v>
      </c>
      <c r="AU260" s="115">
        <v>0.1398</v>
      </c>
    </row>
    <row r="261" ht="15.75" customHeight="1">
      <c r="A261" s="116">
        <v>46196.0</v>
      </c>
      <c r="B261" s="115" t="s">
        <v>9</v>
      </c>
      <c r="C261" s="115" t="s">
        <v>129</v>
      </c>
      <c r="D261" s="115">
        <v>30863.0</v>
      </c>
      <c r="E261" s="115">
        <v>36.86</v>
      </c>
      <c r="F261" s="115">
        <v>4534.83</v>
      </c>
      <c r="G261" s="115">
        <v>0.1469</v>
      </c>
      <c r="H261" s="115">
        <v>4.22</v>
      </c>
      <c r="I261" s="115">
        <v>3.4856</v>
      </c>
      <c r="J261" s="115">
        <v>32.77</v>
      </c>
      <c r="K261" s="115">
        <v>16.06</v>
      </c>
      <c r="L261" s="115">
        <v>5.95</v>
      </c>
      <c r="M261" s="115">
        <v>0.3703</v>
      </c>
      <c r="N261" s="115">
        <v>0.7441</v>
      </c>
      <c r="O261" s="115">
        <v>0.5051</v>
      </c>
      <c r="P261" s="115">
        <v>2.7002</v>
      </c>
      <c r="Q261" s="115">
        <v>73.36</v>
      </c>
      <c r="R261" s="115">
        <v>68.83</v>
      </c>
      <c r="S261" s="115">
        <v>4.53</v>
      </c>
      <c r="T261" s="115">
        <v>6.16</v>
      </c>
      <c r="U261" s="115">
        <v>67.19</v>
      </c>
      <c r="V261" s="115">
        <v>63.13</v>
      </c>
      <c r="W261" s="115">
        <v>3.9321</v>
      </c>
      <c r="X261" s="115">
        <v>8.4</v>
      </c>
      <c r="Y261" s="115">
        <v>108.0</v>
      </c>
      <c r="Z261" s="115">
        <v>430.0</v>
      </c>
      <c r="AA261" s="115">
        <v>3279.0</v>
      </c>
      <c r="AB261" s="115">
        <v>49.1827</v>
      </c>
      <c r="AC261" s="115">
        <v>0.4839</v>
      </c>
      <c r="AD261" s="115">
        <v>4.24</v>
      </c>
      <c r="AE261" s="115">
        <v>1.0</v>
      </c>
      <c r="AF261" s="115">
        <v>3.0</v>
      </c>
      <c r="AG261" s="115">
        <v>5.0</v>
      </c>
      <c r="AH261" s="115">
        <v>10.0</v>
      </c>
      <c r="AI261" s="115">
        <v>72.54</v>
      </c>
      <c r="AJ261" s="115">
        <v>31.85</v>
      </c>
      <c r="AK261" s="115">
        <v>10.42</v>
      </c>
      <c r="AL261" s="115">
        <v>0.2257</v>
      </c>
      <c r="AM261" s="115">
        <v>54.86</v>
      </c>
      <c r="AN261" s="115">
        <v>54.86</v>
      </c>
      <c r="AO261" s="115">
        <v>24.3</v>
      </c>
      <c r="AP261" s="115">
        <v>8.03</v>
      </c>
      <c r="AQ261" s="115">
        <v>6.1192</v>
      </c>
      <c r="AR261" s="115">
        <v>0.0678</v>
      </c>
      <c r="AS261" s="115">
        <v>6.0514</v>
      </c>
      <c r="AT261" s="115">
        <v>3.6349</v>
      </c>
      <c r="AU261" s="115">
        <v>0.2264</v>
      </c>
    </row>
    <row r="262" ht="15.75" customHeight="1">
      <c r="A262" s="116">
        <v>46196.0</v>
      </c>
      <c r="B262" s="115" t="s">
        <v>9</v>
      </c>
      <c r="C262" s="115" t="s">
        <v>130</v>
      </c>
      <c r="D262" s="115">
        <v>20504.0</v>
      </c>
      <c r="E262" s="115">
        <v>24.49</v>
      </c>
      <c r="F262" s="115">
        <v>9749.66</v>
      </c>
      <c r="G262" s="115">
        <v>0.4755</v>
      </c>
      <c r="H262" s="115">
        <v>10.1</v>
      </c>
      <c r="I262" s="115">
        <v>4.71</v>
      </c>
      <c r="J262" s="115">
        <v>62.76</v>
      </c>
      <c r="K262" s="115">
        <v>32.26</v>
      </c>
      <c r="L262" s="115">
        <v>16.58</v>
      </c>
      <c r="M262" s="115">
        <v>0.5141</v>
      </c>
      <c r="N262" s="115">
        <v>0.6203</v>
      </c>
      <c r="O262" s="115">
        <v>0.383</v>
      </c>
      <c r="P262" s="115">
        <v>1.9452</v>
      </c>
      <c r="Q262" s="115">
        <v>165.74</v>
      </c>
      <c r="R262" s="115">
        <v>153.63</v>
      </c>
      <c r="S262" s="115">
        <v>12.11</v>
      </c>
      <c r="T262" s="115">
        <v>21.56</v>
      </c>
      <c r="U262" s="115">
        <v>144.19</v>
      </c>
      <c r="V262" s="115">
        <v>143.01</v>
      </c>
      <c r="W262" s="115">
        <v>4.4338</v>
      </c>
      <c r="X262" s="115">
        <v>13.01</v>
      </c>
      <c r="Y262" s="115">
        <v>113.0</v>
      </c>
      <c r="Z262" s="115">
        <v>456.0</v>
      </c>
      <c r="AA262" s="115">
        <v>3266.0</v>
      </c>
      <c r="AB262" s="115">
        <v>52.2778</v>
      </c>
      <c r="AC262" s="115">
        <v>0.5642</v>
      </c>
      <c r="AD262" s="115">
        <v>10.82</v>
      </c>
      <c r="AE262" s="115">
        <v>4.0</v>
      </c>
      <c r="AF262" s="115">
        <v>8.0</v>
      </c>
      <c r="AG262" s="115">
        <v>15.0</v>
      </c>
      <c r="AH262" s="115">
        <v>23.0</v>
      </c>
      <c r="AI262" s="115">
        <v>64.85</v>
      </c>
      <c r="AJ262" s="115">
        <v>32.81</v>
      </c>
      <c r="AK262" s="115">
        <v>7.56</v>
      </c>
      <c r="AL262" s="115">
        <v>0.1727</v>
      </c>
      <c r="AM262" s="115">
        <v>67.83</v>
      </c>
      <c r="AN262" s="115">
        <v>67.83</v>
      </c>
      <c r="AO262" s="115">
        <v>43.67</v>
      </c>
      <c r="AP262" s="115">
        <v>22.27</v>
      </c>
      <c r="AQ262" s="115">
        <v>10.885</v>
      </c>
      <c r="AR262" s="115">
        <v>0.2333</v>
      </c>
      <c r="AS262" s="115">
        <v>10.6517</v>
      </c>
      <c r="AT262" s="115">
        <v>7.2522</v>
      </c>
      <c r="AU262" s="115">
        <v>0.2248</v>
      </c>
    </row>
    <row r="263" ht="15.75" customHeight="1">
      <c r="A263" s="116">
        <v>46196.0</v>
      </c>
      <c r="B263" s="115" t="s">
        <v>9</v>
      </c>
      <c r="C263" s="115" t="s">
        <v>131</v>
      </c>
      <c r="D263" s="115">
        <v>11618.0</v>
      </c>
      <c r="E263" s="115">
        <v>13.87</v>
      </c>
      <c r="F263" s="115">
        <v>10840.03</v>
      </c>
      <c r="G263" s="115">
        <v>0.933</v>
      </c>
      <c r="H263" s="115">
        <v>13.38</v>
      </c>
      <c r="I263" s="115">
        <v>6.9756</v>
      </c>
      <c r="J263" s="115">
        <v>93.04</v>
      </c>
      <c r="K263" s="115">
        <v>51.1</v>
      </c>
      <c r="L263" s="115">
        <v>34.27</v>
      </c>
      <c r="M263" s="115">
        <v>0.6707</v>
      </c>
      <c r="N263" s="115">
        <v>0.4726</v>
      </c>
      <c r="O263" s="115">
        <v>0.2888</v>
      </c>
      <c r="P263" s="115">
        <v>1.4911</v>
      </c>
      <c r="Q263" s="115">
        <v>323.81</v>
      </c>
      <c r="R263" s="115">
        <v>300.27</v>
      </c>
      <c r="S263" s="115">
        <v>23.55</v>
      </c>
      <c r="T263" s="115">
        <v>47.35</v>
      </c>
      <c r="U263" s="115">
        <v>276.46</v>
      </c>
      <c r="V263" s="115">
        <v>272.08</v>
      </c>
      <c r="W263" s="115">
        <v>5.3242</v>
      </c>
      <c r="X263" s="115">
        <v>14.62</v>
      </c>
      <c r="Y263" s="115">
        <v>154.0</v>
      </c>
      <c r="Z263" s="115">
        <v>707.0</v>
      </c>
      <c r="AA263" s="115">
        <v>4820.0</v>
      </c>
      <c r="AB263" s="115">
        <v>55.2395</v>
      </c>
      <c r="AC263" s="115">
        <v>0.6513</v>
      </c>
      <c r="AD263" s="115">
        <v>20.55</v>
      </c>
      <c r="AE263" s="115">
        <v>8.0</v>
      </c>
      <c r="AF263" s="115">
        <v>17.0</v>
      </c>
      <c r="AG263" s="115">
        <v>29.0</v>
      </c>
      <c r="AH263" s="115">
        <v>42.0</v>
      </c>
      <c r="AI263" s="115">
        <v>65.61</v>
      </c>
      <c r="AJ263" s="115">
        <v>30.38</v>
      </c>
      <c r="AK263" s="115">
        <v>10.35</v>
      </c>
      <c r="AL263" s="115">
        <v>0.1617</v>
      </c>
      <c r="AM263" s="115">
        <v>73.22</v>
      </c>
      <c r="AN263" s="115">
        <v>73.22</v>
      </c>
      <c r="AO263" s="115">
        <v>51.64</v>
      </c>
      <c r="AP263" s="115">
        <v>30.8</v>
      </c>
      <c r="AQ263" s="115">
        <v>16.1581</v>
      </c>
      <c r="AR263" s="115">
        <v>0.5562</v>
      </c>
      <c r="AS263" s="115">
        <v>15.6019</v>
      </c>
      <c r="AT263" s="115">
        <v>11.563</v>
      </c>
      <c r="AU263" s="115">
        <v>0.2263</v>
      </c>
    </row>
    <row r="264" ht="15.75" customHeight="1">
      <c r="A264" s="116">
        <v>46196.0</v>
      </c>
      <c r="B264" s="115" t="s">
        <v>9</v>
      </c>
      <c r="C264" s="115" t="s">
        <v>132</v>
      </c>
      <c r="D264" s="115">
        <v>4571.0</v>
      </c>
      <c r="E264" s="115">
        <v>5.46</v>
      </c>
      <c r="F264" s="115">
        <v>8116.26</v>
      </c>
      <c r="G264" s="115">
        <v>1.7756</v>
      </c>
      <c r="H264" s="115">
        <v>15.64</v>
      </c>
      <c r="I264" s="115">
        <v>11.3514</v>
      </c>
      <c r="J264" s="115">
        <v>137.24</v>
      </c>
      <c r="K264" s="115">
        <v>79.07</v>
      </c>
      <c r="L264" s="115">
        <v>61.58</v>
      </c>
      <c r="M264" s="115">
        <v>0.7788</v>
      </c>
      <c r="N264" s="115">
        <v>0.367</v>
      </c>
      <c r="O264" s="115">
        <v>0.2406</v>
      </c>
      <c r="P264" s="115">
        <v>1.284</v>
      </c>
      <c r="Q264" s="115">
        <v>606.31</v>
      </c>
      <c r="R264" s="115">
        <v>560.05</v>
      </c>
      <c r="S264" s="115">
        <v>46.26</v>
      </c>
      <c r="T264" s="115">
        <v>95.58</v>
      </c>
      <c r="U264" s="115">
        <v>510.73</v>
      </c>
      <c r="V264" s="115">
        <v>514.07</v>
      </c>
      <c r="W264" s="115">
        <v>6.5016</v>
      </c>
      <c r="X264" s="115">
        <v>15.76</v>
      </c>
      <c r="Y264" s="115">
        <v>276.0</v>
      </c>
      <c r="Z264" s="115">
        <v>1164.0</v>
      </c>
      <c r="AA264" s="115">
        <v>5957.0</v>
      </c>
      <c r="AB264" s="115">
        <v>59.1589</v>
      </c>
      <c r="AC264" s="115">
        <v>0.8054</v>
      </c>
      <c r="AD264" s="115">
        <v>44.12</v>
      </c>
      <c r="AE264" s="115">
        <v>19.0</v>
      </c>
      <c r="AF264" s="115">
        <v>37.0</v>
      </c>
      <c r="AG264" s="115">
        <v>61.0</v>
      </c>
      <c r="AH264" s="115">
        <v>88.0</v>
      </c>
      <c r="AI264" s="115">
        <v>62.13</v>
      </c>
      <c r="AJ264" s="115">
        <v>26.62</v>
      </c>
      <c r="AK264" s="115">
        <v>7.04</v>
      </c>
      <c r="AL264" s="115">
        <v>0.1402</v>
      </c>
      <c r="AM264" s="115">
        <v>76.35</v>
      </c>
      <c r="AN264" s="115">
        <v>76.35</v>
      </c>
      <c r="AO264" s="115">
        <v>58.15</v>
      </c>
      <c r="AP264" s="115">
        <v>41.35</v>
      </c>
      <c r="AQ264" s="115">
        <v>24.8733</v>
      </c>
      <c r="AR264" s="115">
        <v>1.3802</v>
      </c>
      <c r="AS264" s="115">
        <v>23.4931</v>
      </c>
      <c r="AT264" s="115">
        <v>18.9204</v>
      </c>
      <c r="AU264" s="115">
        <v>0.2393</v>
      </c>
    </row>
    <row r="265" ht="15.75" customHeight="1">
      <c r="A265" s="116">
        <v>46196.0</v>
      </c>
      <c r="B265" s="115" t="s">
        <v>9</v>
      </c>
      <c r="C265" s="115" t="s">
        <v>133</v>
      </c>
      <c r="D265" s="115">
        <v>529.0</v>
      </c>
      <c r="E265" s="115">
        <v>0.63</v>
      </c>
      <c r="F265" s="115">
        <v>1473.62</v>
      </c>
      <c r="G265" s="115">
        <v>2.7857</v>
      </c>
      <c r="H265" s="115">
        <v>17.01</v>
      </c>
      <c r="I265" s="115">
        <v>16.3736</v>
      </c>
      <c r="J265" s="115">
        <v>251.76</v>
      </c>
      <c r="K265" s="115">
        <v>155.56</v>
      </c>
      <c r="L265" s="115">
        <v>135.75</v>
      </c>
      <c r="M265" s="115">
        <v>0.8727</v>
      </c>
      <c r="N265" s="115">
        <v>0.2577</v>
      </c>
      <c r="O265" s="115">
        <v>0.1836</v>
      </c>
      <c r="P265" s="115">
        <v>1.1459</v>
      </c>
      <c r="Q265" s="115">
        <v>1220.35</v>
      </c>
      <c r="R265" s="115">
        <v>1116.34</v>
      </c>
      <c r="S265" s="115">
        <v>104.01</v>
      </c>
      <c r="T265" s="115">
        <v>153.26</v>
      </c>
      <c r="U265" s="115">
        <v>1067.09</v>
      </c>
      <c r="V265" s="115">
        <v>1019.0</v>
      </c>
      <c r="W265" s="115">
        <v>6.5505</v>
      </c>
      <c r="X265" s="115">
        <v>12.56</v>
      </c>
      <c r="Y265" s="115">
        <v>765.0</v>
      </c>
      <c r="Z265" s="115">
        <v>2460.0</v>
      </c>
      <c r="AA265" s="115">
        <v>9437.0</v>
      </c>
      <c r="AB265" s="115">
        <v>63.1066</v>
      </c>
      <c r="AC265" s="115">
        <v>0.8864</v>
      </c>
      <c r="AD265" s="115">
        <v>99.47</v>
      </c>
      <c r="AE265" s="115">
        <v>51.0</v>
      </c>
      <c r="AF265" s="115">
        <v>90.0</v>
      </c>
      <c r="AG265" s="115">
        <v>132.0</v>
      </c>
      <c r="AH265" s="115">
        <v>175.0</v>
      </c>
      <c r="AI265" s="115">
        <v>57.47</v>
      </c>
      <c r="AJ265" s="115">
        <v>10.59</v>
      </c>
      <c r="AK265" s="115">
        <v>1.89</v>
      </c>
      <c r="AL265" s="115">
        <v>0.0662</v>
      </c>
      <c r="AM265" s="115">
        <v>87.15</v>
      </c>
      <c r="AN265" s="115">
        <v>87.15</v>
      </c>
      <c r="AO265" s="115">
        <v>73.72</v>
      </c>
      <c r="AP265" s="115">
        <v>59.92</v>
      </c>
      <c r="AQ265" s="115">
        <v>47.5633</v>
      </c>
      <c r="AR265" s="115">
        <v>3.8715</v>
      </c>
      <c r="AS265" s="115">
        <v>43.6919</v>
      </c>
      <c r="AT265" s="115">
        <v>33.8072</v>
      </c>
      <c r="AU265" s="115">
        <v>0.2173</v>
      </c>
    </row>
    <row r="266" ht="15.75" customHeight="1">
      <c r="A266" s="116">
        <v>46197.0</v>
      </c>
      <c r="B266" s="115" t="s">
        <v>8</v>
      </c>
      <c r="C266" s="115" t="s">
        <v>128</v>
      </c>
      <c r="D266" s="115">
        <v>15912.0</v>
      </c>
      <c r="E266" s="115">
        <v>19.38</v>
      </c>
      <c r="F266" s="115">
        <v>92.89</v>
      </c>
      <c r="G266" s="115">
        <v>0.0058</v>
      </c>
      <c r="H266" s="115">
        <v>0.21</v>
      </c>
      <c r="I266" s="115">
        <v>2.8148</v>
      </c>
      <c r="J266" s="115">
        <v>7.01</v>
      </c>
      <c r="K266" s="115">
        <v>3.02</v>
      </c>
      <c r="L266" s="115">
        <v>0.08</v>
      </c>
      <c r="M266" s="115">
        <v>0.0277</v>
      </c>
      <c r="N266" s="115">
        <v>0.9771</v>
      </c>
      <c r="O266" s="115">
        <v>0.7096</v>
      </c>
      <c r="P266" s="115">
        <v>36.1269</v>
      </c>
      <c r="Q266" s="115">
        <v>22.93</v>
      </c>
      <c r="R266" s="115">
        <v>22.82</v>
      </c>
      <c r="S266" s="115">
        <v>0.11</v>
      </c>
      <c r="T266" s="115">
        <v>0.15</v>
      </c>
      <c r="U266" s="115">
        <v>22.77</v>
      </c>
      <c r="V266" s="115">
        <v>2.19</v>
      </c>
      <c r="W266" s="115">
        <v>0.7232</v>
      </c>
      <c r="X266" s="115">
        <v>0.67</v>
      </c>
      <c r="Y266" s="115">
        <v>210.0</v>
      </c>
      <c r="Z266" s="115">
        <v>2791.0</v>
      </c>
      <c r="AA266" s="115">
        <v>13468.0</v>
      </c>
      <c r="AB266" s="115">
        <v>49.5425</v>
      </c>
      <c r="AC266" s="115">
        <v>0.5274</v>
      </c>
      <c r="AI266" s="115">
        <v>0.0</v>
      </c>
      <c r="AJ266" s="115">
        <v>0.0</v>
      </c>
      <c r="AK266" s="115">
        <v>0.0</v>
      </c>
      <c r="AL266" s="115">
        <v>0.2776</v>
      </c>
      <c r="AQ266" s="115">
        <v>1.0562</v>
      </c>
      <c r="AR266" s="115">
        <v>0.0035</v>
      </c>
      <c r="AS266" s="115">
        <v>1.0528</v>
      </c>
      <c r="AT266" s="115">
        <v>0.418</v>
      </c>
      <c r="AU266" s="115">
        <v>0.1382</v>
      </c>
    </row>
    <row r="267" ht="15.75" customHeight="1">
      <c r="A267" s="116">
        <v>46197.0</v>
      </c>
      <c r="B267" s="115" t="s">
        <v>8</v>
      </c>
      <c r="C267" s="115" t="s">
        <v>129</v>
      </c>
      <c r="D267" s="115">
        <v>31006.0</v>
      </c>
      <c r="E267" s="115">
        <v>37.77</v>
      </c>
      <c r="F267" s="115">
        <v>3658.73</v>
      </c>
      <c r="G267" s="115">
        <v>0.118</v>
      </c>
      <c r="H267" s="115">
        <v>3.62</v>
      </c>
      <c r="I267" s="115">
        <v>3.2638</v>
      </c>
      <c r="J267" s="115">
        <v>32.86</v>
      </c>
      <c r="K267" s="115">
        <v>16.45</v>
      </c>
      <c r="L267" s="115">
        <v>5.76</v>
      </c>
      <c r="M267" s="115">
        <v>0.3502</v>
      </c>
      <c r="N267" s="115">
        <v>0.7607</v>
      </c>
      <c r="O267" s="115">
        <v>0.5179</v>
      </c>
      <c r="P267" s="115">
        <v>2.8556</v>
      </c>
      <c r="Q267" s="115">
        <v>61.76</v>
      </c>
      <c r="R267" s="115">
        <v>49.62</v>
      </c>
      <c r="S267" s="115">
        <v>12.14</v>
      </c>
      <c r="T267" s="115">
        <v>5.93</v>
      </c>
      <c r="U267" s="115">
        <v>55.83</v>
      </c>
      <c r="V267" s="115">
        <v>63.5</v>
      </c>
      <c r="W267" s="115">
        <v>3.8594</v>
      </c>
      <c r="X267" s="115">
        <v>9.6</v>
      </c>
      <c r="Y267" s="115">
        <v>114.0</v>
      </c>
      <c r="Z267" s="115">
        <v>488.0</v>
      </c>
      <c r="AA267" s="115">
        <v>3612.0</v>
      </c>
      <c r="AB267" s="115">
        <v>49.1834</v>
      </c>
      <c r="AC267" s="115">
        <v>0.489</v>
      </c>
      <c r="AD267" s="115">
        <v>4.05</v>
      </c>
      <c r="AE267" s="115">
        <v>1.0</v>
      </c>
      <c r="AF267" s="115">
        <v>2.0</v>
      </c>
      <c r="AG267" s="115">
        <v>5.0</v>
      </c>
      <c r="AH267" s="115">
        <v>9.0</v>
      </c>
      <c r="AI267" s="115">
        <v>71.52</v>
      </c>
      <c r="AJ267" s="115">
        <v>30.03</v>
      </c>
      <c r="AK267" s="115">
        <v>9.52</v>
      </c>
      <c r="AL267" s="115">
        <v>0.2288</v>
      </c>
      <c r="AQ267" s="115">
        <v>3.6144</v>
      </c>
      <c r="AR267" s="115">
        <v>0.0631</v>
      </c>
      <c r="AS267" s="115">
        <v>3.5512</v>
      </c>
      <c r="AT267" s="115">
        <v>3.2017</v>
      </c>
      <c r="AU267" s="115">
        <v>0.1946</v>
      </c>
    </row>
    <row r="268" ht="15.75" customHeight="1">
      <c r="A268" s="116">
        <v>46197.0</v>
      </c>
      <c r="B268" s="115" t="s">
        <v>8</v>
      </c>
      <c r="C268" s="115" t="s">
        <v>130</v>
      </c>
      <c r="D268" s="115">
        <v>20154.0</v>
      </c>
      <c r="E268" s="115">
        <v>24.55</v>
      </c>
      <c r="F268" s="115">
        <v>8000.87</v>
      </c>
      <c r="G268" s="115">
        <v>0.397</v>
      </c>
      <c r="H268" s="115">
        <v>8.8</v>
      </c>
      <c r="I268" s="115">
        <v>4.5126</v>
      </c>
      <c r="J268" s="115">
        <v>61.59</v>
      </c>
      <c r="K268" s="115">
        <v>32.07</v>
      </c>
      <c r="L268" s="115">
        <v>15.64</v>
      </c>
      <c r="M268" s="115">
        <v>0.4878</v>
      </c>
      <c r="N268" s="115">
        <v>0.6418</v>
      </c>
      <c r="O268" s="115">
        <v>0.3921</v>
      </c>
      <c r="P268" s="115">
        <v>2.0502</v>
      </c>
      <c r="Q268" s="115">
        <v>120.5</v>
      </c>
      <c r="R268" s="115">
        <v>89.81</v>
      </c>
      <c r="S268" s="115">
        <v>30.69</v>
      </c>
      <c r="T268" s="115">
        <v>19.83</v>
      </c>
      <c r="U268" s="115">
        <v>100.67</v>
      </c>
      <c r="V268" s="115">
        <v>131.11</v>
      </c>
      <c r="W268" s="115">
        <v>4.0875</v>
      </c>
      <c r="X268" s="115">
        <v>16.45</v>
      </c>
      <c r="Y268" s="115">
        <v>105.0</v>
      </c>
      <c r="Z268" s="115">
        <v>428.0</v>
      </c>
      <c r="AA268" s="115">
        <v>3178.0</v>
      </c>
      <c r="AB268" s="115">
        <v>52.4339</v>
      </c>
      <c r="AC268" s="115">
        <v>0.5793</v>
      </c>
      <c r="AD268" s="115">
        <v>9.72</v>
      </c>
      <c r="AE268" s="115">
        <v>3.0</v>
      </c>
      <c r="AF268" s="115">
        <v>7.0</v>
      </c>
      <c r="AG268" s="115">
        <v>14.0</v>
      </c>
      <c r="AH268" s="115">
        <v>21.0</v>
      </c>
      <c r="AI268" s="115">
        <v>60.07</v>
      </c>
      <c r="AJ268" s="115">
        <v>28.15</v>
      </c>
      <c r="AK268" s="115">
        <v>5.59</v>
      </c>
      <c r="AL268" s="115">
        <v>0.1812</v>
      </c>
      <c r="AQ268" s="115">
        <v>6.6798</v>
      </c>
      <c r="AR268" s="115">
        <v>0.2234</v>
      </c>
      <c r="AS268" s="115">
        <v>6.4564</v>
      </c>
      <c r="AT268" s="115">
        <v>6.2547</v>
      </c>
      <c r="AU268" s="115">
        <v>0.195</v>
      </c>
    </row>
    <row r="269" ht="15.75" customHeight="1">
      <c r="A269" s="116">
        <v>46197.0</v>
      </c>
      <c r="B269" s="115" t="s">
        <v>8</v>
      </c>
      <c r="C269" s="115" t="s">
        <v>131</v>
      </c>
      <c r="D269" s="115">
        <v>10376.0</v>
      </c>
      <c r="E269" s="115">
        <v>12.64</v>
      </c>
      <c r="F269" s="115">
        <v>9341.87</v>
      </c>
      <c r="G269" s="115">
        <v>0.9003</v>
      </c>
      <c r="H269" s="115">
        <v>12.84</v>
      </c>
      <c r="I269" s="115">
        <v>7.0134</v>
      </c>
      <c r="J269" s="115">
        <v>83.34</v>
      </c>
      <c r="K269" s="115">
        <v>45.23</v>
      </c>
      <c r="L269" s="115">
        <v>28.0</v>
      </c>
      <c r="M269" s="115">
        <v>0.6191</v>
      </c>
      <c r="N269" s="115">
        <v>0.5221</v>
      </c>
      <c r="O269" s="115">
        <v>0.3225</v>
      </c>
      <c r="P269" s="115">
        <v>1.6152</v>
      </c>
      <c r="Q269" s="115">
        <v>207.73</v>
      </c>
      <c r="R269" s="115">
        <v>149.1</v>
      </c>
      <c r="S269" s="115">
        <v>58.63</v>
      </c>
      <c r="T269" s="115">
        <v>48.81</v>
      </c>
      <c r="U269" s="115">
        <v>158.91</v>
      </c>
      <c r="V269" s="115">
        <v>229.36</v>
      </c>
      <c r="W269" s="115">
        <v>5.0714</v>
      </c>
      <c r="X269" s="115">
        <v>23.5</v>
      </c>
      <c r="Y269" s="115">
        <v>118.0</v>
      </c>
      <c r="Z269" s="115">
        <v>506.0</v>
      </c>
      <c r="AA269" s="115">
        <v>3729.0</v>
      </c>
      <c r="AB269" s="115">
        <v>55.5833</v>
      </c>
      <c r="AC269" s="115">
        <v>0.7239</v>
      </c>
      <c r="AD269" s="115">
        <v>18.89</v>
      </c>
      <c r="AE269" s="115">
        <v>7.0</v>
      </c>
      <c r="AF269" s="115">
        <v>15.0</v>
      </c>
      <c r="AG269" s="115">
        <v>27.0</v>
      </c>
      <c r="AH269" s="115">
        <v>39.0</v>
      </c>
      <c r="AI269" s="115">
        <v>62.66</v>
      </c>
      <c r="AJ269" s="115">
        <v>26.46</v>
      </c>
      <c r="AK269" s="115">
        <v>8.26</v>
      </c>
      <c r="AL269" s="115">
        <v>0.1799</v>
      </c>
      <c r="AQ269" s="115">
        <v>10.902</v>
      </c>
      <c r="AR269" s="115">
        <v>0.5976</v>
      </c>
      <c r="AS269" s="115">
        <v>10.3044</v>
      </c>
      <c r="AT269" s="115">
        <v>10.086</v>
      </c>
      <c r="AU269" s="115">
        <v>0.223</v>
      </c>
    </row>
    <row r="270" ht="15.75" customHeight="1">
      <c r="A270" s="116">
        <v>46197.0</v>
      </c>
      <c r="B270" s="115" t="s">
        <v>8</v>
      </c>
      <c r="C270" s="115" t="s">
        <v>132</v>
      </c>
      <c r="D270" s="115">
        <v>4172.0</v>
      </c>
      <c r="E270" s="115">
        <v>5.08</v>
      </c>
      <c r="F270" s="115">
        <v>7077.59</v>
      </c>
      <c r="G270" s="115">
        <v>1.6965</v>
      </c>
      <c r="H270" s="115">
        <v>14.21</v>
      </c>
      <c r="I270" s="115">
        <v>11.9352</v>
      </c>
      <c r="J270" s="115">
        <v>130.1</v>
      </c>
      <c r="K270" s="115">
        <v>74.92</v>
      </c>
      <c r="L270" s="115">
        <v>55.71</v>
      </c>
      <c r="M270" s="115">
        <v>0.7436</v>
      </c>
      <c r="N270" s="115">
        <v>0.3969</v>
      </c>
      <c r="O270" s="115">
        <v>0.2547</v>
      </c>
      <c r="P270" s="115">
        <v>1.3448</v>
      </c>
      <c r="Q270" s="115">
        <v>380.72</v>
      </c>
      <c r="R270" s="115">
        <v>262.86</v>
      </c>
      <c r="S270" s="115">
        <v>117.86</v>
      </c>
      <c r="T270" s="115">
        <v>96.01</v>
      </c>
      <c r="U270" s="115">
        <v>284.71</v>
      </c>
      <c r="V270" s="115">
        <v>418.59</v>
      </c>
      <c r="W270" s="115">
        <v>5.5868</v>
      </c>
      <c r="X270" s="115">
        <v>25.22</v>
      </c>
      <c r="Y270" s="115">
        <v>180.0</v>
      </c>
      <c r="Z270" s="115">
        <v>1098.0</v>
      </c>
      <c r="AA270" s="115">
        <v>6345.0</v>
      </c>
      <c r="AB270" s="115">
        <v>59.2049</v>
      </c>
      <c r="AC270" s="115">
        <v>0.8266</v>
      </c>
      <c r="AD270" s="115">
        <v>38.68</v>
      </c>
      <c r="AE270" s="115">
        <v>14.0</v>
      </c>
      <c r="AF270" s="115">
        <v>30.0</v>
      </c>
      <c r="AG270" s="115">
        <v>54.0</v>
      </c>
      <c r="AH270" s="115">
        <v>82.0</v>
      </c>
      <c r="AI270" s="115">
        <v>52.83</v>
      </c>
      <c r="AJ270" s="115">
        <v>20.64</v>
      </c>
      <c r="AK270" s="115">
        <v>5.47</v>
      </c>
      <c r="AL270" s="115">
        <v>0.1467</v>
      </c>
      <c r="AQ270" s="115">
        <v>19.2601</v>
      </c>
      <c r="AR270" s="115">
        <v>1.1872</v>
      </c>
      <c r="AS270" s="115">
        <v>18.0729</v>
      </c>
      <c r="AT270" s="115">
        <v>17.8042</v>
      </c>
      <c r="AU270" s="115">
        <v>0.2376</v>
      </c>
    </row>
    <row r="271" ht="15.75" customHeight="1">
      <c r="A271" s="116">
        <v>46197.0</v>
      </c>
      <c r="B271" s="115" t="s">
        <v>8</v>
      </c>
      <c r="C271" s="115" t="s">
        <v>133</v>
      </c>
      <c r="D271" s="115">
        <v>478.0</v>
      </c>
      <c r="E271" s="115">
        <v>0.58</v>
      </c>
      <c r="F271" s="115">
        <v>1292.31</v>
      </c>
      <c r="G271" s="115">
        <v>2.7036</v>
      </c>
      <c r="H271" s="115">
        <v>15.48</v>
      </c>
      <c r="I271" s="115">
        <v>17.4636</v>
      </c>
      <c r="J271" s="115">
        <v>238.16</v>
      </c>
      <c r="K271" s="115">
        <v>146.16</v>
      </c>
      <c r="L271" s="115">
        <v>122.86</v>
      </c>
      <c r="M271" s="115">
        <v>0.8406</v>
      </c>
      <c r="N271" s="115">
        <v>0.2934</v>
      </c>
      <c r="O271" s="115">
        <v>0.2034</v>
      </c>
      <c r="P271" s="115">
        <v>1.1897</v>
      </c>
      <c r="Q271" s="115">
        <v>728.73</v>
      </c>
      <c r="R271" s="115">
        <v>467.02</v>
      </c>
      <c r="S271" s="115">
        <v>261.72</v>
      </c>
      <c r="T271" s="115">
        <v>169.15</v>
      </c>
      <c r="U271" s="115">
        <v>559.58</v>
      </c>
      <c r="V271" s="115">
        <v>966.32</v>
      </c>
      <c r="W271" s="115">
        <v>6.6112</v>
      </c>
      <c r="X271" s="115">
        <v>23.21</v>
      </c>
      <c r="Y271" s="115">
        <v>527.0</v>
      </c>
      <c r="Z271" s="115">
        <v>2137.0</v>
      </c>
      <c r="AA271" s="115">
        <v>7244.0</v>
      </c>
      <c r="AB271" s="115">
        <v>62.5877</v>
      </c>
      <c r="AC271" s="115">
        <v>0.8887</v>
      </c>
      <c r="AD271" s="115">
        <v>86.07</v>
      </c>
      <c r="AE271" s="115">
        <v>34.0</v>
      </c>
      <c r="AF271" s="115">
        <v>72.0</v>
      </c>
      <c r="AG271" s="115">
        <v>125.0</v>
      </c>
      <c r="AH271" s="115">
        <v>170.0</v>
      </c>
      <c r="AI271" s="115">
        <v>45.4</v>
      </c>
      <c r="AJ271" s="115">
        <v>9.21</v>
      </c>
      <c r="AK271" s="115">
        <v>1.46</v>
      </c>
      <c r="AL271" s="115">
        <v>0.0795</v>
      </c>
      <c r="AQ271" s="115">
        <v>39.2908</v>
      </c>
      <c r="AR271" s="115">
        <v>5.5502</v>
      </c>
      <c r="AS271" s="115">
        <v>33.7406</v>
      </c>
      <c r="AT271" s="115">
        <v>35.6151</v>
      </c>
      <c r="AU271" s="115">
        <v>0.2437</v>
      </c>
    </row>
    <row r="272" ht="15.75" customHeight="1">
      <c r="A272" s="116">
        <v>46197.0</v>
      </c>
      <c r="B272" s="115" t="s">
        <v>9</v>
      </c>
      <c r="C272" s="115" t="s">
        <v>128</v>
      </c>
      <c r="D272" s="115">
        <v>16102.0</v>
      </c>
      <c r="E272" s="115">
        <v>19.67</v>
      </c>
      <c r="F272" s="115">
        <v>165.18</v>
      </c>
      <c r="G272" s="115">
        <v>0.0103</v>
      </c>
      <c r="H272" s="115">
        <v>0.3</v>
      </c>
      <c r="I272" s="115">
        <v>3.371</v>
      </c>
      <c r="J272" s="115">
        <v>6.92</v>
      </c>
      <c r="K272" s="115">
        <v>2.99</v>
      </c>
      <c r="L272" s="115">
        <v>0.09</v>
      </c>
      <c r="M272" s="115">
        <v>0.0317</v>
      </c>
      <c r="N272" s="115">
        <v>0.9727</v>
      </c>
      <c r="O272" s="115">
        <v>0.6657</v>
      </c>
      <c r="P272" s="115">
        <v>31.5209</v>
      </c>
      <c r="Q272" s="115">
        <v>20.13</v>
      </c>
      <c r="R272" s="115">
        <v>20.08</v>
      </c>
      <c r="S272" s="115">
        <v>0.05</v>
      </c>
      <c r="T272" s="115">
        <v>0.24</v>
      </c>
      <c r="U272" s="115">
        <v>19.88</v>
      </c>
      <c r="V272" s="115">
        <v>1.78</v>
      </c>
      <c r="W272" s="115">
        <v>0.5948</v>
      </c>
      <c r="X272" s="115">
        <v>1.2</v>
      </c>
      <c r="Y272" s="115">
        <v>174.0</v>
      </c>
      <c r="Z272" s="115">
        <v>2176.0</v>
      </c>
      <c r="AA272" s="115">
        <v>12165.0</v>
      </c>
      <c r="AB272" s="115">
        <v>49.5174</v>
      </c>
      <c r="AC272" s="115">
        <v>0.5236</v>
      </c>
      <c r="AI272" s="115">
        <v>0.0</v>
      </c>
      <c r="AJ272" s="115">
        <v>0.0</v>
      </c>
      <c r="AK272" s="115">
        <v>0.0</v>
      </c>
      <c r="AL272" s="115">
        <v>0.2825</v>
      </c>
      <c r="AM272" s="115">
        <v>0.25</v>
      </c>
      <c r="AN272" s="115">
        <v>0.25</v>
      </c>
      <c r="AO272" s="115">
        <v>0.18</v>
      </c>
      <c r="AP272" s="115">
        <v>0.11</v>
      </c>
      <c r="AQ272" s="115">
        <v>1.0556</v>
      </c>
      <c r="AR272" s="115">
        <v>0.0048</v>
      </c>
      <c r="AS272" s="115">
        <v>1.0508</v>
      </c>
      <c r="AT272" s="115">
        <v>0.4329</v>
      </c>
      <c r="AU272" s="115">
        <v>0.1447</v>
      </c>
    </row>
    <row r="273" ht="15.75" customHeight="1">
      <c r="A273" s="116">
        <v>46197.0</v>
      </c>
      <c r="B273" s="115" t="s">
        <v>9</v>
      </c>
      <c r="C273" s="115" t="s">
        <v>129</v>
      </c>
      <c r="D273" s="115">
        <v>29793.0</v>
      </c>
      <c r="E273" s="115">
        <v>36.4</v>
      </c>
      <c r="F273" s="115">
        <v>3666.72</v>
      </c>
      <c r="G273" s="115">
        <v>0.1231</v>
      </c>
      <c r="H273" s="115">
        <v>3.71</v>
      </c>
      <c r="I273" s="115">
        <v>3.3153</v>
      </c>
      <c r="J273" s="115">
        <v>34.0</v>
      </c>
      <c r="K273" s="115">
        <v>16.86</v>
      </c>
      <c r="L273" s="115">
        <v>5.79</v>
      </c>
      <c r="M273" s="115">
        <v>0.3437</v>
      </c>
      <c r="N273" s="115">
        <v>0.7614</v>
      </c>
      <c r="O273" s="115">
        <v>0.5157</v>
      </c>
      <c r="P273" s="115">
        <v>2.9091</v>
      </c>
      <c r="Q273" s="115">
        <v>54.36</v>
      </c>
      <c r="R273" s="115">
        <v>49.9</v>
      </c>
      <c r="S273" s="115">
        <v>4.46</v>
      </c>
      <c r="T273" s="115">
        <v>5.84</v>
      </c>
      <c r="U273" s="115">
        <v>48.52</v>
      </c>
      <c r="V273" s="115">
        <v>57.52</v>
      </c>
      <c r="W273" s="115">
        <v>3.4126</v>
      </c>
      <c r="X273" s="115">
        <v>10.74</v>
      </c>
      <c r="Y273" s="115">
        <v>103.0</v>
      </c>
      <c r="Z273" s="115">
        <v>427.0</v>
      </c>
      <c r="AA273" s="115">
        <v>3333.0</v>
      </c>
      <c r="AB273" s="115">
        <v>49.1961</v>
      </c>
      <c r="AC273" s="115">
        <v>0.4872</v>
      </c>
      <c r="AD273" s="115">
        <v>4.06</v>
      </c>
      <c r="AE273" s="115">
        <v>1.0</v>
      </c>
      <c r="AF273" s="115">
        <v>2.0</v>
      </c>
      <c r="AG273" s="115">
        <v>5.0</v>
      </c>
      <c r="AH273" s="115">
        <v>9.0</v>
      </c>
      <c r="AI273" s="115">
        <v>71.34</v>
      </c>
      <c r="AJ273" s="115">
        <v>30.32</v>
      </c>
      <c r="AK273" s="115">
        <v>9.69</v>
      </c>
      <c r="AL273" s="115">
        <v>0.2296</v>
      </c>
      <c r="AM273" s="115">
        <v>53.75</v>
      </c>
      <c r="AN273" s="115">
        <v>53.75</v>
      </c>
      <c r="AO273" s="115">
        <v>22.71</v>
      </c>
      <c r="AP273" s="115">
        <v>7.22</v>
      </c>
      <c r="AQ273" s="115">
        <v>4.0276</v>
      </c>
      <c r="AR273" s="115">
        <v>0.0647</v>
      </c>
      <c r="AS273" s="115">
        <v>3.9629</v>
      </c>
      <c r="AT273" s="115">
        <v>3.5083</v>
      </c>
      <c r="AU273" s="115">
        <v>0.2081</v>
      </c>
    </row>
    <row r="274" ht="15.75" customHeight="1">
      <c r="A274" s="116">
        <v>46197.0</v>
      </c>
      <c r="B274" s="115" t="s">
        <v>9</v>
      </c>
      <c r="C274" s="115" t="s">
        <v>130</v>
      </c>
      <c r="D274" s="115">
        <v>19977.0</v>
      </c>
      <c r="E274" s="115">
        <v>24.41</v>
      </c>
      <c r="F274" s="115">
        <v>8403.63</v>
      </c>
      <c r="G274" s="115">
        <v>0.4207</v>
      </c>
      <c r="H274" s="115">
        <v>8.63</v>
      </c>
      <c r="I274" s="115">
        <v>4.8717</v>
      </c>
      <c r="J274" s="115">
        <v>62.45</v>
      </c>
      <c r="K274" s="115">
        <v>32.53</v>
      </c>
      <c r="L274" s="115">
        <v>15.57</v>
      </c>
      <c r="M274" s="115">
        <v>0.4786</v>
      </c>
      <c r="N274" s="115">
        <v>0.6467</v>
      </c>
      <c r="O274" s="115">
        <v>0.3923</v>
      </c>
      <c r="P274" s="115">
        <v>2.0894</v>
      </c>
      <c r="Q274" s="115">
        <v>114.87</v>
      </c>
      <c r="R274" s="115">
        <v>103.67</v>
      </c>
      <c r="S274" s="115">
        <v>11.2</v>
      </c>
      <c r="T274" s="115">
        <v>21.84</v>
      </c>
      <c r="U274" s="115">
        <v>93.03</v>
      </c>
      <c r="V274" s="115">
        <v>123.12</v>
      </c>
      <c r="W274" s="115">
        <v>3.7853</v>
      </c>
      <c r="X274" s="115">
        <v>19.01</v>
      </c>
      <c r="Y274" s="115">
        <v>101.0</v>
      </c>
      <c r="Z274" s="115">
        <v>414.0</v>
      </c>
      <c r="AA274" s="115">
        <v>2996.0</v>
      </c>
      <c r="AB274" s="115">
        <v>52.2472</v>
      </c>
      <c r="AC274" s="115">
        <v>0.5776</v>
      </c>
      <c r="AD274" s="115">
        <v>9.58</v>
      </c>
      <c r="AE274" s="115">
        <v>3.0</v>
      </c>
      <c r="AF274" s="115">
        <v>7.0</v>
      </c>
      <c r="AG274" s="115">
        <v>13.0</v>
      </c>
      <c r="AH274" s="115">
        <v>21.0</v>
      </c>
      <c r="AI274" s="115">
        <v>59.19</v>
      </c>
      <c r="AJ274" s="115">
        <v>27.3</v>
      </c>
      <c r="AK274" s="115">
        <v>5.57</v>
      </c>
      <c r="AL274" s="115">
        <v>0.1772</v>
      </c>
      <c r="AM274" s="115">
        <v>65.27</v>
      </c>
      <c r="AN274" s="115">
        <v>65.27</v>
      </c>
      <c r="AO274" s="115">
        <v>40.33</v>
      </c>
      <c r="AP274" s="115">
        <v>19.33</v>
      </c>
      <c r="AQ274" s="115">
        <v>7.4501</v>
      </c>
      <c r="AR274" s="115">
        <v>0.2435</v>
      </c>
      <c r="AS274" s="115">
        <v>7.2066</v>
      </c>
      <c r="AT274" s="115">
        <v>6.7845</v>
      </c>
      <c r="AU274" s="115">
        <v>0.2086</v>
      </c>
    </row>
    <row r="275" ht="15.75" customHeight="1">
      <c r="A275" s="116">
        <v>46197.0</v>
      </c>
      <c r="B275" s="115" t="s">
        <v>9</v>
      </c>
      <c r="C275" s="115" t="s">
        <v>131</v>
      </c>
      <c r="D275" s="115">
        <v>10836.0</v>
      </c>
      <c r="E275" s="115">
        <v>13.24</v>
      </c>
      <c r="F275" s="115">
        <v>8804.74</v>
      </c>
      <c r="G275" s="115">
        <v>0.8125</v>
      </c>
      <c r="H275" s="115">
        <v>11.84</v>
      </c>
      <c r="I275" s="115">
        <v>6.8626</v>
      </c>
      <c r="J275" s="115">
        <v>83.62</v>
      </c>
      <c r="K275" s="115">
        <v>45.32</v>
      </c>
      <c r="L275" s="115">
        <v>27.81</v>
      </c>
      <c r="M275" s="115">
        <v>0.6135</v>
      </c>
      <c r="N275" s="115">
        <v>0.5243</v>
      </c>
      <c r="O275" s="115">
        <v>0.3205</v>
      </c>
      <c r="P275" s="115">
        <v>1.63</v>
      </c>
      <c r="Q275" s="115">
        <v>195.72</v>
      </c>
      <c r="R275" s="115">
        <v>174.74</v>
      </c>
      <c r="S275" s="115">
        <v>20.98</v>
      </c>
      <c r="T275" s="115">
        <v>44.74</v>
      </c>
      <c r="U275" s="115">
        <v>150.99</v>
      </c>
      <c r="V275" s="115">
        <v>214.68</v>
      </c>
      <c r="W275" s="115">
        <v>4.7367</v>
      </c>
      <c r="X275" s="115">
        <v>22.86</v>
      </c>
      <c r="Y275" s="115">
        <v>114.0</v>
      </c>
      <c r="Z275" s="115">
        <v>556.0</v>
      </c>
      <c r="AA275" s="115">
        <v>3699.0</v>
      </c>
      <c r="AB275" s="115">
        <v>55.5742</v>
      </c>
      <c r="AC275" s="115">
        <v>0.7232</v>
      </c>
      <c r="AD275" s="115">
        <v>18.97</v>
      </c>
      <c r="AE275" s="115">
        <v>7.0</v>
      </c>
      <c r="AF275" s="115">
        <v>15.0</v>
      </c>
      <c r="AG275" s="115">
        <v>26.0</v>
      </c>
      <c r="AH275" s="115">
        <v>40.0</v>
      </c>
      <c r="AI275" s="115">
        <v>61.79</v>
      </c>
      <c r="AJ275" s="115">
        <v>26.38</v>
      </c>
      <c r="AK275" s="115">
        <v>9.23</v>
      </c>
      <c r="AL275" s="115">
        <v>0.1776</v>
      </c>
      <c r="AM275" s="115">
        <v>68.3</v>
      </c>
      <c r="AN275" s="115">
        <v>68.3</v>
      </c>
      <c r="AO275" s="115">
        <v>47.07</v>
      </c>
      <c r="AP275" s="115">
        <v>26.56</v>
      </c>
      <c r="AQ275" s="115">
        <v>11.7291</v>
      </c>
      <c r="AR275" s="115">
        <v>0.5143</v>
      </c>
      <c r="AS275" s="115">
        <v>11.2147</v>
      </c>
      <c r="AT275" s="115">
        <v>10.755</v>
      </c>
      <c r="AU275" s="115">
        <v>0.2373</v>
      </c>
    </row>
    <row r="276" ht="15.75" customHeight="1">
      <c r="A276" s="116">
        <v>46197.0</v>
      </c>
      <c r="B276" s="115" t="s">
        <v>9</v>
      </c>
      <c r="C276" s="115" t="s">
        <v>132</v>
      </c>
      <c r="D276" s="115">
        <v>4590.0</v>
      </c>
      <c r="E276" s="115">
        <v>5.61</v>
      </c>
      <c r="F276" s="115">
        <v>8347.63</v>
      </c>
      <c r="G276" s="115">
        <v>1.8187</v>
      </c>
      <c r="H276" s="115">
        <v>14.66</v>
      </c>
      <c r="I276" s="115">
        <v>12.4036</v>
      </c>
      <c r="J276" s="115">
        <v>130.83</v>
      </c>
      <c r="K276" s="115">
        <v>75.26</v>
      </c>
      <c r="L276" s="115">
        <v>56.29</v>
      </c>
      <c r="M276" s="115">
        <v>0.748</v>
      </c>
      <c r="N276" s="115">
        <v>0.393</v>
      </c>
      <c r="O276" s="115">
        <v>0.2502</v>
      </c>
      <c r="P276" s="115">
        <v>1.3369</v>
      </c>
      <c r="Q276" s="115">
        <v>392.82</v>
      </c>
      <c r="R276" s="115">
        <v>349.93</v>
      </c>
      <c r="S276" s="115">
        <v>42.9</v>
      </c>
      <c r="T276" s="115">
        <v>109.03</v>
      </c>
      <c r="U276" s="115">
        <v>283.79</v>
      </c>
      <c r="V276" s="115">
        <v>418.44</v>
      </c>
      <c r="W276" s="115">
        <v>5.5601</v>
      </c>
      <c r="X276" s="115">
        <v>27.76</v>
      </c>
      <c r="Y276" s="115">
        <v>205.0</v>
      </c>
      <c r="Z276" s="115">
        <v>1113.0</v>
      </c>
      <c r="AA276" s="115">
        <v>6054.0</v>
      </c>
      <c r="AB276" s="115">
        <v>59.5619</v>
      </c>
      <c r="AC276" s="115">
        <v>0.8346</v>
      </c>
      <c r="AD276" s="115">
        <v>40.02</v>
      </c>
      <c r="AE276" s="115">
        <v>16.0</v>
      </c>
      <c r="AF276" s="115">
        <v>32.0</v>
      </c>
      <c r="AG276" s="115">
        <v>56.0</v>
      </c>
      <c r="AH276" s="115">
        <v>85.0</v>
      </c>
      <c r="AI276" s="115">
        <v>55.08</v>
      </c>
      <c r="AJ276" s="115">
        <v>22.61</v>
      </c>
      <c r="AK276" s="115">
        <v>6.19</v>
      </c>
      <c r="AL276" s="115">
        <v>0.1407</v>
      </c>
      <c r="AM276" s="115">
        <v>72.55</v>
      </c>
      <c r="AN276" s="115">
        <v>72.55</v>
      </c>
      <c r="AO276" s="115">
        <v>53.97</v>
      </c>
      <c r="AP276" s="115">
        <v>37.82</v>
      </c>
      <c r="AQ276" s="115">
        <v>20.7706</v>
      </c>
      <c r="AR276" s="115">
        <v>1.2802</v>
      </c>
      <c r="AS276" s="115">
        <v>19.4904</v>
      </c>
      <c r="AT276" s="115">
        <v>18.7695</v>
      </c>
      <c r="AU276" s="115">
        <v>0.2494</v>
      </c>
    </row>
    <row r="277" ht="15.75" customHeight="1">
      <c r="A277" s="116">
        <v>46197.0</v>
      </c>
      <c r="B277" s="115" t="s">
        <v>9</v>
      </c>
      <c r="C277" s="115" t="s">
        <v>133</v>
      </c>
      <c r="D277" s="115">
        <v>554.0</v>
      </c>
      <c r="E277" s="115">
        <v>0.68</v>
      </c>
      <c r="F277" s="115">
        <v>1806.26</v>
      </c>
      <c r="G277" s="115">
        <v>3.2604</v>
      </c>
      <c r="H277" s="115">
        <v>16.06</v>
      </c>
      <c r="I277" s="115">
        <v>20.2951</v>
      </c>
      <c r="J277" s="115">
        <v>242.07</v>
      </c>
      <c r="K277" s="115">
        <v>149.76</v>
      </c>
      <c r="L277" s="115">
        <v>126.45</v>
      </c>
      <c r="M277" s="115">
        <v>0.8444</v>
      </c>
      <c r="N277" s="115">
        <v>0.2891</v>
      </c>
      <c r="O277" s="115">
        <v>0.1972</v>
      </c>
      <c r="P277" s="115">
        <v>1.1843</v>
      </c>
      <c r="Q277" s="115">
        <v>738.4</v>
      </c>
      <c r="R277" s="115">
        <v>642.24</v>
      </c>
      <c r="S277" s="115">
        <v>96.16</v>
      </c>
      <c r="T277" s="115">
        <v>196.93</v>
      </c>
      <c r="U277" s="115">
        <v>541.47</v>
      </c>
      <c r="V277" s="115">
        <v>892.51</v>
      </c>
      <c r="W277" s="115">
        <v>5.9597</v>
      </c>
      <c r="X277" s="115">
        <v>26.67</v>
      </c>
      <c r="Y277" s="115">
        <v>504.0</v>
      </c>
      <c r="Z277" s="115">
        <v>2047.0</v>
      </c>
      <c r="AA277" s="115">
        <v>9072.0</v>
      </c>
      <c r="AB277" s="115">
        <v>62.8493</v>
      </c>
      <c r="AC277" s="115">
        <v>0.907</v>
      </c>
      <c r="AD277" s="115">
        <v>91.22</v>
      </c>
      <c r="AE277" s="115">
        <v>39.0</v>
      </c>
      <c r="AF277" s="115">
        <v>82.0</v>
      </c>
      <c r="AG277" s="115">
        <v>129.0</v>
      </c>
      <c r="AH277" s="115">
        <v>180.0</v>
      </c>
      <c r="AI277" s="115">
        <v>51.26</v>
      </c>
      <c r="AJ277" s="115">
        <v>11.55</v>
      </c>
      <c r="AK277" s="115">
        <v>1.62</v>
      </c>
      <c r="AL277" s="115">
        <v>0.0939</v>
      </c>
      <c r="AM277" s="115">
        <v>84.84</v>
      </c>
      <c r="AN277" s="115">
        <v>84.84</v>
      </c>
      <c r="AO277" s="115">
        <v>68.41</v>
      </c>
      <c r="AP277" s="115">
        <v>57.04</v>
      </c>
      <c r="AQ277" s="115">
        <v>41.5903</v>
      </c>
      <c r="AR277" s="115">
        <v>4.9386</v>
      </c>
      <c r="AS277" s="115">
        <v>36.6516</v>
      </c>
      <c r="AT277" s="115">
        <v>36.861</v>
      </c>
      <c r="AU277" s="115">
        <v>0.2461</v>
      </c>
    </row>
    <row r="278" ht="15.75" customHeight="1">
      <c r="A278" s="116">
        <v>46198.0</v>
      </c>
      <c r="B278" s="115" t="s">
        <v>8</v>
      </c>
      <c r="C278" s="115" t="s">
        <v>128</v>
      </c>
      <c r="D278" s="115">
        <v>17103.0</v>
      </c>
      <c r="E278" s="115">
        <v>21.17</v>
      </c>
      <c r="F278" s="115">
        <v>204.1</v>
      </c>
      <c r="G278" s="115">
        <v>0.0119</v>
      </c>
      <c r="H278" s="115">
        <v>0.13</v>
      </c>
      <c r="I278" s="115">
        <v>9.2773</v>
      </c>
      <c r="J278" s="115">
        <v>6.75</v>
      </c>
      <c r="K278" s="115">
        <v>2.88</v>
      </c>
      <c r="L278" s="115">
        <v>0.07</v>
      </c>
      <c r="M278" s="115">
        <v>0.0258</v>
      </c>
      <c r="N278" s="115">
        <v>0.979</v>
      </c>
      <c r="O278" s="115">
        <v>0.7352</v>
      </c>
      <c r="P278" s="115">
        <v>38.8329</v>
      </c>
      <c r="Q278" s="115">
        <v>22.72</v>
      </c>
      <c r="R278" s="115">
        <v>22.64</v>
      </c>
      <c r="S278" s="115">
        <v>0.08</v>
      </c>
      <c r="T278" s="115">
        <v>0.73</v>
      </c>
      <c r="U278" s="115">
        <v>21.99</v>
      </c>
      <c r="V278" s="115">
        <v>2.83</v>
      </c>
      <c r="W278" s="115">
        <v>0.9811</v>
      </c>
      <c r="X278" s="115">
        <v>3.19</v>
      </c>
      <c r="Y278" s="115">
        <v>187.0</v>
      </c>
      <c r="Z278" s="115">
        <v>2448.0</v>
      </c>
      <c r="AA278" s="115">
        <v>12574.0</v>
      </c>
      <c r="AB278" s="115">
        <v>49.3755</v>
      </c>
      <c r="AC278" s="115">
        <v>0.5214</v>
      </c>
      <c r="AI278" s="115">
        <v>0.0</v>
      </c>
      <c r="AJ278" s="115">
        <v>0.0</v>
      </c>
      <c r="AK278" s="115">
        <v>0.0</v>
      </c>
      <c r="AL278" s="115">
        <v>0.2812</v>
      </c>
      <c r="AQ278" s="115">
        <v>0.9108</v>
      </c>
      <c r="AR278" s="115">
        <v>0.0024</v>
      </c>
      <c r="AS278" s="115">
        <v>0.9084</v>
      </c>
      <c r="AT278" s="115">
        <v>0.4009</v>
      </c>
      <c r="AU278" s="115">
        <v>0.1391</v>
      </c>
    </row>
    <row r="279" ht="15.75" customHeight="1">
      <c r="A279" s="116">
        <v>46198.0</v>
      </c>
      <c r="B279" s="115" t="s">
        <v>8</v>
      </c>
      <c r="C279" s="115" t="s">
        <v>129</v>
      </c>
      <c r="D279" s="115">
        <v>29851.0</v>
      </c>
      <c r="E279" s="115">
        <v>36.96</v>
      </c>
      <c r="F279" s="115">
        <v>3518.04</v>
      </c>
      <c r="G279" s="115">
        <v>0.1179</v>
      </c>
      <c r="H279" s="115">
        <v>3.48</v>
      </c>
      <c r="I279" s="115">
        <v>3.3892</v>
      </c>
      <c r="J279" s="115">
        <v>29.73</v>
      </c>
      <c r="K279" s="115">
        <v>14.64</v>
      </c>
      <c r="L279" s="115">
        <v>5.4</v>
      </c>
      <c r="M279" s="115">
        <v>0.369</v>
      </c>
      <c r="N279" s="115">
        <v>0.7506</v>
      </c>
      <c r="O279" s="115">
        <v>0.5193</v>
      </c>
      <c r="P279" s="115">
        <v>2.7098</v>
      </c>
      <c r="Q279" s="115">
        <v>56.95</v>
      </c>
      <c r="R279" s="115">
        <v>45.47</v>
      </c>
      <c r="S279" s="115">
        <v>11.48</v>
      </c>
      <c r="T279" s="115">
        <v>6.25</v>
      </c>
      <c r="U279" s="115">
        <v>50.7</v>
      </c>
      <c r="V279" s="115">
        <v>61.03</v>
      </c>
      <c r="W279" s="115">
        <v>4.1701</v>
      </c>
      <c r="X279" s="115">
        <v>10.97</v>
      </c>
      <c r="Y279" s="115">
        <v>112.0</v>
      </c>
      <c r="Z279" s="115">
        <v>474.0</v>
      </c>
      <c r="AA279" s="115">
        <v>3439.0</v>
      </c>
      <c r="AB279" s="115">
        <v>49.3445</v>
      </c>
      <c r="AC279" s="115">
        <v>0.4927</v>
      </c>
      <c r="AD279" s="115">
        <v>3.82</v>
      </c>
      <c r="AE279" s="115">
        <v>1.0</v>
      </c>
      <c r="AF279" s="115">
        <v>2.0</v>
      </c>
      <c r="AG279" s="115">
        <v>5.0</v>
      </c>
      <c r="AH279" s="115">
        <v>9.0</v>
      </c>
      <c r="AI279" s="115">
        <v>69.44</v>
      </c>
      <c r="AJ279" s="115">
        <v>28.22</v>
      </c>
      <c r="AK279" s="115">
        <v>8.43</v>
      </c>
      <c r="AL279" s="115">
        <v>0.2381</v>
      </c>
      <c r="AQ279" s="115">
        <v>2.9704</v>
      </c>
      <c r="AR279" s="115">
        <v>0.0672</v>
      </c>
      <c r="AS279" s="115">
        <v>2.9032</v>
      </c>
      <c r="AT279" s="115">
        <v>2.9956</v>
      </c>
      <c r="AU279" s="115">
        <v>0.2047</v>
      </c>
    </row>
    <row r="280" ht="15.75" customHeight="1">
      <c r="A280" s="116">
        <v>46198.0</v>
      </c>
      <c r="B280" s="115" t="s">
        <v>8</v>
      </c>
      <c r="C280" s="115" t="s">
        <v>130</v>
      </c>
      <c r="D280" s="115">
        <v>19014.0</v>
      </c>
      <c r="E280" s="115">
        <v>23.54</v>
      </c>
      <c r="F280" s="115">
        <v>7254.12</v>
      </c>
      <c r="G280" s="115">
        <v>0.3815</v>
      </c>
      <c r="H280" s="115">
        <v>8.12</v>
      </c>
      <c r="I280" s="115">
        <v>4.7013</v>
      </c>
      <c r="J280" s="115">
        <v>53.56</v>
      </c>
      <c r="K280" s="115">
        <v>27.36</v>
      </c>
      <c r="L280" s="115">
        <v>13.78</v>
      </c>
      <c r="M280" s="115">
        <v>0.5035</v>
      </c>
      <c r="N280" s="115">
        <v>0.6331</v>
      </c>
      <c r="O280" s="115">
        <v>0.3979</v>
      </c>
      <c r="P280" s="115">
        <v>1.9863</v>
      </c>
      <c r="Q280" s="115">
        <v>117.62</v>
      </c>
      <c r="R280" s="115">
        <v>89.56</v>
      </c>
      <c r="S280" s="115">
        <v>28.06</v>
      </c>
      <c r="T280" s="115">
        <v>21.01</v>
      </c>
      <c r="U280" s="115">
        <v>96.61</v>
      </c>
      <c r="V280" s="115">
        <v>121.25</v>
      </c>
      <c r="W280" s="115">
        <v>4.4315</v>
      </c>
      <c r="X280" s="115">
        <v>17.86</v>
      </c>
      <c r="Y280" s="115">
        <v>106.0</v>
      </c>
      <c r="Z280" s="115">
        <v>425.0</v>
      </c>
      <c r="AA280" s="115">
        <v>3177.0</v>
      </c>
      <c r="AB280" s="115">
        <v>52.5733</v>
      </c>
      <c r="AC280" s="115">
        <v>0.6034</v>
      </c>
      <c r="AD280" s="115">
        <v>9.02</v>
      </c>
      <c r="AE280" s="115">
        <v>3.0</v>
      </c>
      <c r="AF280" s="115">
        <v>7.0</v>
      </c>
      <c r="AG280" s="115">
        <v>13.0</v>
      </c>
      <c r="AH280" s="115">
        <v>19.0</v>
      </c>
      <c r="AI280" s="115">
        <v>57.12</v>
      </c>
      <c r="AJ280" s="115">
        <v>25.31</v>
      </c>
      <c r="AK280" s="115">
        <v>4.34</v>
      </c>
      <c r="AL280" s="115">
        <v>0.2007</v>
      </c>
      <c r="AQ280" s="115">
        <v>5.8236</v>
      </c>
      <c r="AR280" s="115">
        <v>0.2536</v>
      </c>
      <c r="AS280" s="115">
        <v>5.5701</v>
      </c>
      <c r="AT280" s="115">
        <v>5.7902</v>
      </c>
      <c r="AU280" s="115">
        <v>0.2116</v>
      </c>
    </row>
    <row r="281" ht="15.75" customHeight="1">
      <c r="A281" s="116">
        <v>46198.0</v>
      </c>
      <c r="B281" s="115" t="s">
        <v>8</v>
      </c>
      <c r="C281" s="115" t="s">
        <v>131</v>
      </c>
      <c r="D281" s="115">
        <v>10091.0</v>
      </c>
      <c r="E281" s="115">
        <v>12.49</v>
      </c>
      <c r="F281" s="115">
        <v>7813.56</v>
      </c>
      <c r="G281" s="115">
        <v>0.7743</v>
      </c>
      <c r="H281" s="115">
        <v>11.29</v>
      </c>
      <c r="I281" s="115">
        <v>6.86</v>
      </c>
      <c r="J281" s="115">
        <v>77.04</v>
      </c>
      <c r="K281" s="115">
        <v>41.66</v>
      </c>
      <c r="L281" s="115">
        <v>25.63</v>
      </c>
      <c r="M281" s="115">
        <v>0.6153</v>
      </c>
      <c r="N281" s="115">
        <v>0.5291</v>
      </c>
      <c r="O281" s="115">
        <v>0.3319</v>
      </c>
      <c r="P281" s="115">
        <v>1.6253</v>
      </c>
      <c r="Q281" s="115">
        <v>213.18</v>
      </c>
      <c r="R281" s="115">
        <v>159.27</v>
      </c>
      <c r="S281" s="115">
        <v>53.92</v>
      </c>
      <c r="T281" s="115">
        <v>44.64</v>
      </c>
      <c r="U281" s="115">
        <v>168.54</v>
      </c>
      <c r="V281" s="115">
        <v>217.14</v>
      </c>
      <c r="W281" s="115">
        <v>5.2126</v>
      </c>
      <c r="X281" s="115">
        <v>20.94</v>
      </c>
      <c r="Y281" s="115">
        <v>120.0</v>
      </c>
      <c r="Z281" s="115">
        <v>537.0</v>
      </c>
      <c r="AA281" s="115">
        <v>3712.0</v>
      </c>
      <c r="AB281" s="115">
        <v>55.5037</v>
      </c>
      <c r="AC281" s="115">
        <v>0.7224</v>
      </c>
      <c r="AD281" s="115">
        <v>17.52</v>
      </c>
      <c r="AE281" s="115">
        <v>7.0</v>
      </c>
      <c r="AF281" s="115">
        <v>14.0</v>
      </c>
      <c r="AG281" s="115">
        <v>25.0</v>
      </c>
      <c r="AH281" s="115">
        <v>37.0</v>
      </c>
      <c r="AI281" s="115">
        <v>59.13</v>
      </c>
      <c r="AJ281" s="115">
        <v>23.18</v>
      </c>
      <c r="AK281" s="115">
        <v>7.03</v>
      </c>
      <c r="AL281" s="115">
        <v>0.1887</v>
      </c>
      <c r="AQ281" s="115">
        <v>9.7062</v>
      </c>
      <c r="AR281" s="115">
        <v>0.5409</v>
      </c>
      <c r="AS281" s="115">
        <v>9.1653</v>
      </c>
      <c r="AT281" s="115">
        <v>9.4965</v>
      </c>
      <c r="AU281" s="115">
        <v>0.228</v>
      </c>
    </row>
    <row r="282" ht="15.75" customHeight="1">
      <c r="A282" s="116">
        <v>46198.0</v>
      </c>
      <c r="B282" s="115" t="s">
        <v>8</v>
      </c>
      <c r="C282" s="115" t="s">
        <v>132</v>
      </c>
      <c r="D282" s="115">
        <v>4234.0</v>
      </c>
      <c r="E282" s="115">
        <v>5.24</v>
      </c>
      <c r="F282" s="115">
        <v>6700.49</v>
      </c>
      <c r="G282" s="115">
        <v>1.5825</v>
      </c>
      <c r="H282" s="115">
        <v>14.64</v>
      </c>
      <c r="I282" s="115">
        <v>10.8072</v>
      </c>
      <c r="J282" s="115">
        <v>124.69</v>
      </c>
      <c r="K282" s="115">
        <v>71.75</v>
      </c>
      <c r="L282" s="115">
        <v>54.07</v>
      </c>
      <c r="M282" s="115">
        <v>0.7536</v>
      </c>
      <c r="N282" s="115">
        <v>0.3913</v>
      </c>
      <c r="O282" s="115">
        <v>0.2562</v>
      </c>
      <c r="P282" s="115">
        <v>1.327</v>
      </c>
      <c r="Q282" s="115">
        <v>429.42</v>
      </c>
      <c r="R282" s="115">
        <v>315.39</v>
      </c>
      <c r="S282" s="115">
        <v>114.04</v>
      </c>
      <c r="T282" s="115">
        <v>92.9</v>
      </c>
      <c r="U282" s="115">
        <v>336.52</v>
      </c>
      <c r="V282" s="115">
        <v>430.51</v>
      </c>
      <c r="W282" s="115">
        <v>6.0004</v>
      </c>
      <c r="X282" s="115">
        <v>21.63</v>
      </c>
      <c r="Y282" s="115">
        <v>197.0</v>
      </c>
      <c r="Z282" s="115">
        <v>1091.0</v>
      </c>
      <c r="AA282" s="115">
        <v>5914.0</v>
      </c>
      <c r="AB282" s="115">
        <v>59.2202</v>
      </c>
      <c r="AC282" s="115">
        <v>0.8146</v>
      </c>
      <c r="AD282" s="115">
        <v>37.14</v>
      </c>
      <c r="AE282" s="115">
        <v>15.0</v>
      </c>
      <c r="AF282" s="115">
        <v>29.0</v>
      </c>
      <c r="AG282" s="115">
        <v>52.0</v>
      </c>
      <c r="AH282" s="115">
        <v>77.0</v>
      </c>
      <c r="AI282" s="115">
        <v>52.34</v>
      </c>
      <c r="AJ282" s="115">
        <v>19.15</v>
      </c>
      <c r="AK282" s="115">
        <v>4.39</v>
      </c>
      <c r="AL282" s="115">
        <v>0.1479</v>
      </c>
      <c r="AQ282" s="115">
        <v>17.4705</v>
      </c>
      <c r="AR282" s="115">
        <v>1.2048</v>
      </c>
      <c r="AS282" s="115">
        <v>16.2657</v>
      </c>
      <c r="AT282" s="115">
        <v>17.2225</v>
      </c>
      <c r="AU282" s="115">
        <v>0.24</v>
      </c>
    </row>
    <row r="283" ht="15.75" customHeight="1">
      <c r="A283" s="116">
        <v>46198.0</v>
      </c>
      <c r="B283" s="115" t="s">
        <v>8</v>
      </c>
      <c r="C283" s="115" t="s">
        <v>133</v>
      </c>
      <c r="D283" s="115">
        <v>481.0</v>
      </c>
      <c r="E283" s="115">
        <v>0.6</v>
      </c>
      <c r="F283" s="115">
        <v>1466.13</v>
      </c>
      <c r="G283" s="115">
        <v>3.0481</v>
      </c>
      <c r="H283" s="115">
        <v>13.72</v>
      </c>
      <c r="I283" s="115">
        <v>22.2141</v>
      </c>
      <c r="J283" s="115">
        <v>235.25</v>
      </c>
      <c r="K283" s="115">
        <v>142.99</v>
      </c>
      <c r="L283" s="115">
        <v>120.84</v>
      </c>
      <c r="M283" s="115">
        <v>0.8451</v>
      </c>
      <c r="N283" s="115">
        <v>0.2952</v>
      </c>
      <c r="O283" s="115">
        <v>0.2074</v>
      </c>
      <c r="P283" s="115">
        <v>1.1833</v>
      </c>
      <c r="Q283" s="115">
        <v>819.31</v>
      </c>
      <c r="R283" s="115">
        <v>562.04</v>
      </c>
      <c r="S283" s="115">
        <v>257.27</v>
      </c>
      <c r="T283" s="115">
        <v>193.35</v>
      </c>
      <c r="U283" s="115">
        <v>625.96</v>
      </c>
      <c r="V283" s="115">
        <v>1029.52</v>
      </c>
      <c r="W283" s="115">
        <v>7.1998</v>
      </c>
      <c r="X283" s="115">
        <v>23.6</v>
      </c>
      <c r="Y283" s="115">
        <v>373.0</v>
      </c>
      <c r="Z283" s="115">
        <v>1882.0</v>
      </c>
      <c r="AA283" s="115">
        <v>7280.0</v>
      </c>
      <c r="AB283" s="115">
        <v>62.8299</v>
      </c>
      <c r="AC283" s="115">
        <v>0.8675</v>
      </c>
      <c r="AD283" s="115">
        <v>82.45</v>
      </c>
      <c r="AE283" s="115">
        <v>34.0</v>
      </c>
      <c r="AF283" s="115">
        <v>70.0</v>
      </c>
      <c r="AG283" s="115">
        <v>114.0</v>
      </c>
      <c r="AH283" s="115">
        <v>173.0</v>
      </c>
      <c r="AI283" s="115">
        <v>44.91</v>
      </c>
      <c r="AJ283" s="115">
        <v>9.98</v>
      </c>
      <c r="AK283" s="115">
        <v>0.42</v>
      </c>
      <c r="AL283" s="115">
        <v>0.0998</v>
      </c>
      <c r="AQ283" s="115">
        <v>34.3098</v>
      </c>
      <c r="AR283" s="115">
        <v>5.9938</v>
      </c>
      <c r="AS283" s="115">
        <v>28.316</v>
      </c>
      <c r="AT283" s="115">
        <v>35.6798</v>
      </c>
      <c r="AU283" s="115">
        <v>0.2495</v>
      </c>
    </row>
    <row r="284" ht="15.75" customHeight="1">
      <c r="A284" s="116">
        <v>46198.0</v>
      </c>
      <c r="B284" s="115" t="s">
        <v>9</v>
      </c>
      <c r="C284" s="115" t="s">
        <v>128</v>
      </c>
      <c r="D284" s="115">
        <v>17197.0</v>
      </c>
      <c r="E284" s="115">
        <v>21.34</v>
      </c>
      <c r="F284" s="115">
        <v>53.14</v>
      </c>
      <c r="G284" s="115">
        <v>0.0031</v>
      </c>
      <c r="H284" s="115">
        <v>0.11</v>
      </c>
      <c r="I284" s="115">
        <v>2.7968</v>
      </c>
      <c r="J284" s="115">
        <v>6.87</v>
      </c>
      <c r="K284" s="115">
        <v>2.98</v>
      </c>
      <c r="L284" s="115">
        <v>0.06</v>
      </c>
      <c r="M284" s="115">
        <v>0.0187</v>
      </c>
      <c r="N284" s="115">
        <v>0.9842</v>
      </c>
      <c r="O284" s="115">
        <v>0.7667</v>
      </c>
      <c r="P284" s="115">
        <v>53.4061</v>
      </c>
      <c r="Q284" s="115">
        <v>17.85</v>
      </c>
      <c r="R284" s="115">
        <v>17.82</v>
      </c>
      <c r="S284" s="115">
        <v>0.03</v>
      </c>
      <c r="T284" s="115">
        <v>0.13</v>
      </c>
      <c r="U284" s="115">
        <v>17.71</v>
      </c>
      <c r="V284" s="115">
        <v>1.85</v>
      </c>
      <c r="W284" s="115">
        <v>0.6235</v>
      </c>
      <c r="X284" s="115">
        <v>0.75</v>
      </c>
      <c r="Y284" s="115">
        <v>162.0</v>
      </c>
      <c r="Z284" s="115">
        <v>2190.0</v>
      </c>
      <c r="AA284" s="115">
        <v>11651.0</v>
      </c>
      <c r="AB284" s="115">
        <v>49.2698</v>
      </c>
      <c r="AC284" s="115">
        <v>0.5191</v>
      </c>
      <c r="AI284" s="115">
        <v>0.0</v>
      </c>
      <c r="AJ284" s="115">
        <v>0.0</v>
      </c>
      <c r="AK284" s="115">
        <v>0.0</v>
      </c>
      <c r="AL284" s="115">
        <v>0.2885</v>
      </c>
      <c r="AM284" s="115">
        <v>0.18</v>
      </c>
      <c r="AN284" s="115">
        <v>0.18</v>
      </c>
      <c r="AO284" s="115">
        <v>0.12</v>
      </c>
      <c r="AP284" s="115">
        <v>0.06</v>
      </c>
      <c r="AQ284" s="115">
        <v>0.8946</v>
      </c>
      <c r="AR284" s="115">
        <v>0.0027</v>
      </c>
      <c r="AS284" s="115">
        <v>0.892</v>
      </c>
      <c r="AT284" s="115">
        <v>0.4264</v>
      </c>
      <c r="AU284" s="115">
        <v>0.1433</v>
      </c>
    </row>
    <row r="285" ht="15.75" customHeight="1">
      <c r="A285" s="116">
        <v>46198.0</v>
      </c>
      <c r="B285" s="115" t="s">
        <v>9</v>
      </c>
      <c r="C285" s="115" t="s">
        <v>129</v>
      </c>
      <c r="D285" s="115">
        <v>28659.0</v>
      </c>
      <c r="E285" s="115">
        <v>35.57</v>
      </c>
      <c r="F285" s="115">
        <v>3414.73</v>
      </c>
      <c r="G285" s="115">
        <v>0.1192</v>
      </c>
      <c r="H285" s="115">
        <v>3.47</v>
      </c>
      <c r="I285" s="115">
        <v>3.4353</v>
      </c>
      <c r="J285" s="115">
        <v>30.26</v>
      </c>
      <c r="K285" s="115">
        <v>14.87</v>
      </c>
      <c r="L285" s="115">
        <v>5.35</v>
      </c>
      <c r="M285" s="115">
        <v>0.3601</v>
      </c>
      <c r="N285" s="115">
        <v>0.7531</v>
      </c>
      <c r="O285" s="115">
        <v>0.5172</v>
      </c>
      <c r="P285" s="115">
        <v>2.7768</v>
      </c>
      <c r="Q285" s="115">
        <v>49.35</v>
      </c>
      <c r="R285" s="115">
        <v>45.19</v>
      </c>
      <c r="S285" s="115">
        <v>4.16</v>
      </c>
      <c r="T285" s="115">
        <v>6.41</v>
      </c>
      <c r="U285" s="115">
        <v>42.94</v>
      </c>
      <c r="V285" s="115">
        <v>53.67</v>
      </c>
      <c r="W285" s="115">
        <v>3.6103</v>
      </c>
      <c r="X285" s="115">
        <v>12.98</v>
      </c>
      <c r="Y285" s="115">
        <v>98.0</v>
      </c>
      <c r="Z285" s="115">
        <v>401.0</v>
      </c>
      <c r="AA285" s="115">
        <v>3253.0</v>
      </c>
      <c r="AB285" s="115">
        <v>49.3434</v>
      </c>
      <c r="AC285" s="115">
        <v>0.4924</v>
      </c>
      <c r="AD285" s="115">
        <v>3.82</v>
      </c>
      <c r="AE285" s="115">
        <v>1.0</v>
      </c>
      <c r="AF285" s="115">
        <v>2.0</v>
      </c>
      <c r="AG285" s="115">
        <v>5.0</v>
      </c>
      <c r="AH285" s="115">
        <v>9.0</v>
      </c>
      <c r="AI285" s="115">
        <v>68.61</v>
      </c>
      <c r="AJ285" s="115">
        <v>28.06</v>
      </c>
      <c r="AK285" s="115">
        <v>8.39</v>
      </c>
      <c r="AL285" s="115">
        <v>0.2388</v>
      </c>
      <c r="AM285" s="115">
        <v>51.26</v>
      </c>
      <c r="AN285" s="115">
        <v>51.26</v>
      </c>
      <c r="AO285" s="115">
        <v>20.87</v>
      </c>
      <c r="AP285" s="115">
        <v>6.38</v>
      </c>
      <c r="AQ285" s="115">
        <v>3.2948</v>
      </c>
      <c r="AR285" s="115">
        <v>0.0619</v>
      </c>
      <c r="AS285" s="115">
        <v>3.2328</v>
      </c>
      <c r="AT285" s="115">
        <v>3.2234</v>
      </c>
      <c r="AU285" s="115">
        <v>0.2168</v>
      </c>
    </row>
    <row r="286" ht="15.75" customHeight="1">
      <c r="A286" s="116">
        <v>46198.0</v>
      </c>
      <c r="B286" s="115" t="s">
        <v>9</v>
      </c>
      <c r="C286" s="115" t="s">
        <v>130</v>
      </c>
      <c r="D286" s="115">
        <v>19107.0</v>
      </c>
      <c r="E286" s="115">
        <v>23.72</v>
      </c>
      <c r="F286" s="115">
        <v>7105.94</v>
      </c>
      <c r="G286" s="115">
        <v>0.3719</v>
      </c>
      <c r="H286" s="115">
        <v>8.26</v>
      </c>
      <c r="I286" s="115">
        <v>4.5031</v>
      </c>
      <c r="J286" s="115">
        <v>54.87</v>
      </c>
      <c r="K286" s="115">
        <v>28.19</v>
      </c>
      <c r="L286" s="115">
        <v>13.84</v>
      </c>
      <c r="M286" s="115">
        <v>0.491</v>
      </c>
      <c r="N286" s="115">
        <v>0.6418</v>
      </c>
      <c r="O286" s="115">
        <v>0.4021</v>
      </c>
      <c r="P286" s="115">
        <v>2.0367</v>
      </c>
      <c r="Q286" s="115">
        <v>109.61</v>
      </c>
      <c r="R286" s="115">
        <v>99.31</v>
      </c>
      <c r="S286" s="115">
        <v>10.3</v>
      </c>
      <c r="T286" s="115">
        <v>20.85</v>
      </c>
      <c r="U286" s="115">
        <v>88.76</v>
      </c>
      <c r="V286" s="115">
        <v>113.04</v>
      </c>
      <c r="W286" s="115">
        <v>4.0104</v>
      </c>
      <c r="X286" s="115">
        <v>19.03</v>
      </c>
      <c r="Y286" s="115">
        <v>101.0</v>
      </c>
      <c r="Z286" s="115">
        <v>392.0</v>
      </c>
      <c r="AA286" s="115">
        <v>2947.0</v>
      </c>
      <c r="AB286" s="115">
        <v>52.4456</v>
      </c>
      <c r="AC286" s="115">
        <v>0.6007</v>
      </c>
      <c r="AD286" s="115">
        <v>9.03</v>
      </c>
      <c r="AE286" s="115">
        <v>3.0</v>
      </c>
      <c r="AF286" s="115">
        <v>7.0</v>
      </c>
      <c r="AG286" s="115">
        <v>13.0</v>
      </c>
      <c r="AH286" s="115">
        <v>20.0</v>
      </c>
      <c r="AI286" s="115">
        <v>56.39</v>
      </c>
      <c r="AJ286" s="115">
        <v>25.25</v>
      </c>
      <c r="AK286" s="115">
        <v>4.77</v>
      </c>
      <c r="AL286" s="115">
        <v>0.2011</v>
      </c>
      <c r="AM286" s="115">
        <v>63.72</v>
      </c>
      <c r="AN286" s="115">
        <v>63.72</v>
      </c>
      <c r="AO286" s="115">
        <v>38.2</v>
      </c>
      <c r="AP286" s="115">
        <v>17.91</v>
      </c>
      <c r="AQ286" s="115">
        <v>6.554</v>
      </c>
      <c r="AR286" s="115">
        <v>0.2341</v>
      </c>
      <c r="AS286" s="115">
        <v>6.32</v>
      </c>
      <c r="AT286" s="115">
        <v>6.3793</v>
      </c>
      <c r="AU286" s="115">
        <v>0.2263</v>
      </c>
    </row>
    <row r="287" ht="15.75" customHeight="1">
      <c r="A287" s="116">
        <v>46198.0</v>
      </c>
      <c r="B287" s="115" t="s">
        <v>9</v>
      </c>
      <c r="C287" s="115" t="s">
        <v>131</v>
      </c>
      <c r="D287" s="115">
        <v>10492.0</v>
      </c>
      <c r="E287" s="115">
        <v>13.02</v>
      </c>
      <c r="F287" s="115">
        <v>8300.8</v>
      </c>
      <c r="G287" s="115">
        <v>0.7912</v>
      </c>
      <c r="H287" s="115">
        <v>11.18</v>
      </c>
      <c r="I287" s="115">
        <v>7.0766</v>
      </c>
      <c r="J287" s="115">
        <v>78.18</v>
      </c>
      <c r="K287" s="115">
        <v>41.93</v>
      </c>
      <c r="L287" s="115">
        <v>25.59</v>
      </c>
      <c r="M287" s="115">
        <v>0.6103</v>
      </c>
      <c r="N287" s="115">
        <v>0.5308</v>
      </c>
      <c r="O287" s="115">
        <v>0.3302</v>
      </c>
      <c r="P287" s="115">
        <v>1.6385</v>
      </c>
      <c r="Q287" s="115">
        <v>205.89</v>
      </c>
      <c r="R287" s="115">
        <v>186.48</v>
      </c>
      <c r="S287" s="115">
        <v>19.4</v>
      </c>
      <c r="T287" s="115">
        <v>47.03</v>
      </c>
      <c r="U287" s="115">
        <v>158.86</v>
      </c>
      <c r="V287" s="115">
        <v>210.32</v>
      </c>
      <c r="W287" s="115">
        <v>5.0161</v>
      </c>
      <c r="X287" s="115">
        <v>22.84</v>
      </c>
      <c r="Y287" s="115">
        <v>117.0</v>
      </c>
      <c r="Z287" s="115">
        <v>582.0</v>
      </c>
      <c r="AA287" s="115">
        <v>3934.0</v>
      </c>
      <c r="AB287" s="115">
        <v>55.599</v>
      </c>
      <c r="AC287" s="115">
        <v>0.728</v>
      </c>
      <c r="AD287" s="115">
        <v>17.63</v>
      </c>
      <c r="AE287" s="115">
        <v>7.0</v>
      </c>
      <c r="AF287" s="115">
        <v>14.0</v>
      </c>
      <c r="AG287" s="115">
        <v>25.0</v>
      </c>
      <c r="AH287" s="115">
        <v>37.0</v>
      </c>
      <c r="AI287" s="115">
        <v>59.02</v>
      </c>
      <c r="AJ287" s="115">
        <v>23.79</v>
      </c>
      <c r="AK287" s="115">
        <v>7.34</v>
      </c>
      <c r="AL287" s="115">
        <v>0.1911</v>
      </c>
      <c r="AM287" s="115">
        <v>66.89</v>
      </c>
      <c r="AN287" s="115">
        <v>66.89</v>
      </c>
      <c r="AO287" s="115">
        <v>44.86</v>
      </c>
      <c r="AP287" s="115">
        <v>23.93</v>
      </c>
      <c r="AQ287" s="115">
        <v>10.6753</v>
      </c>
      <c r="AR287" s="115">
        <v>0.6348</v>
      </c>
      <c r="AS287" s="115">
        <v>10.0405</v>
      </c>
      <c r="AT287" s="115">
        <v>10.3152</v>
      </c>
      <c r="AU287" s="115">
        <v>0.246</v>
      </c>
    </row>
    <row r="288" ht="15.75" customHeight="1">
      <c r="A288" s="116">
        <v>46198.0</v>
      </c>
      <c r="B288" s="115" t="s">
        <v>9</v>
      </c>
      <c r="C288" s="115" t="s">
        <v>132</v>
      </c>
      <c r="D288" s="115">
        <v>4567.0</v>
      </c>
      <c r="E288" s="115">
        <v>5.67</v>
      </c>
      <c r="F288" s="115">
        <v>8237.87</v>
      </c>
      <c r="G288" s="115">
        <v>1.8038</v>
      </c>
      <c r="H288" s="115">
        <v>13.82</v>
      </c>
      <c r="I288" s="115">
        <v>13.0553</v>
      </c>
      <c r="J288" s="115">
        <v>127.84</v>
      </c>
      <c r="K288" s="115">
        <v>73.36</v>
      </c>
      <c r="L288" s="115">
        <v>55.61</v>
      </c>
      <c r="M288" s="115">
        <v>0.758</v>
      </c>
      <c r="N288" s="115">
        <v>0.3872</v>
      </c>
      <c r="O288" s="115">
        <v>0.2521</v>
      </c>
      <c r="P288" s="115">
        <v>1.3192</v>
      </c>
      <c r="Q288" s="115">
        <v>441.87</v>
      </c>
      <c r="R288" s="115">
        <v>399.63</v>
      </c>
      <c r="S288" s="115">
        <v>42.24</v>
      </c>
      <c r="T288" s="115">
        <v>111.05</v>
      </c>
      <c r="U288" s="115">
        <v>330.82</v>
      </c>
      <c r="V288" s="115">
        <v>435.53</v>
      </c>
      <c r="W288" s="115">
        <v>5.9372</v>
      </c>
      <c r="X288" s="115">
        <v>25.13</v>
      </c>
      <c r="Y288" s="115">
        <v>192.0</v>
      </c>
      <c r="Z288" s="115">
        <v>1013.0</v>
      </c>
      <c r="AA288" s="115">
        <v>5799.0</v>
      </c>
      <c r="AB288" s="115">
        <v>59.496</v>
      </c>
      <c r="AC288" s="115">
        <v>0.8198</v>
      </c>
      <c r="AD288" s="115">
        <v>39.53</v>
      </c>
      <c r="AE288" s="115">
        <v>15.0</v>
      </c>
      <c r="AF288" s="115">
        <v>31.0</v>
      </c>
      <c r="AG288" s="115">
        <v>56.0</v>
      </c>
      <c r="AH288" s="115">
        <v>83.0</v>
      </c>
      <c r="AI288" s="115">
        <v>54.67</v>
      </c>
      <c r="AJ288" s="115">
        <v>22.86</v>
      </c>
      <c r="AK288" s="115">
        <v>5.63</v>
      </c>
      <c r="AL288" s="115">
        <v>0.1408</v>
      </c>
      <c r="AM288" s="115">
        <v>72.63</v>
      </c>
      <c r="AN288" s="115">
        <v>72.63</v>
      </c>
      <c r="AO288" s="115">
        <v>52.55</v>
      </c>
      <c r="AP288" s="115">
        <v>36.76</v>
      </c>
      <c r="AQ288" s="115">
        <v>19.2947</v>
      </c>
      <c r="AR288" s="115">
        <v>1.4421</v>
      </c>
      <c r="AS288" s="115">
        <v>17.8526</v>
      </c>
      <c r="AT288" s="115">
        <v>18.7259</v>
      </c>
      <c r="AU288" s="115">
        <v>0.2553</v>
      </c>
    </row>
    <row r="289" ht="15.75" customHeight="1">
      <c r="A289" s="116">
        <v>46198.0</v>
      </c>
      <c r="B289" s="115" t="s">
        <v>9</v>
      </c>
      <c r="C289" s="115" t="s">
        <v>133</v>
      </c>
      <c r="D289" s="115">
        <v>546.0</v>
      </c>
      <c r="E289" s="115">
        <v>0.68</v>
      </c>
      <c r="F289" s="115">
        <v>1695.48</v>
      </c>
      <c r="G289" s="115">
        <v>3.1053</v>
      </c>
      <c r="H289" s="115">
        <v>17.22</v>
      </c>
      <c r="I289" s="115">
        <v>18.037</v>
      </c>
      <c r="J289" s="115">
        <v>226.31</v>
      </c>
      <c r="K289" s="115">
        <v>141.11</v>
      </c>
      <c r="L289" s="115">
        <v>118.64</v>
      </c>
      <c r="M289" s="115">
        <v>0.8407</v>
      </c>
      <c r="N289" s="115">
        <v>0.2918</v>
      </c>
      <c r="O289" s="115">
        <v>0.2006</v>
      </c>
      <c r="P289" s="115">
        <v>1.1894</v>
      </c>
      <c r="Q289" s="115">
        <v>771.42</v>
      </c>
      <c r="R289" s="115">
        <v>680.78</v>
      </c>
      <c r="S289" s="115">
        <v>90.63</v>
      </c>
      <c r="T289" s="115">
        <v>193.5</v>
      </c>
      <c r="U289" s="115">
        <v>577.92</v>
      </c>
      <c r="V289" s="115">
        <v>851.92</v>
      </c>
      <c r="W289" s="115">
        <v>6.0372</v>
      </c>
      <c r="X289" s="115">
        <v>25.08</v>
      </c>
      <c r="Y289" s="115">
        <v>360.0</v>
      </c>
      <c r="Z289" s="115">
        <v>1966.0</v>
      </c>
      <c r="AA289" s="115">
        <v>9021.0</v>
      </c>
      <c r="AB289" s="115">
        <v>63.4384</v>
      </c>
      <c r="AC289" s="115">
        <v>0.8862</v>
      </c>
      <c r="AD289" s="115">
        <v>83.2</v>
      </c>
      <c r="AE289" s="115">
        <v>34.0</v>
      </c>
      <c r="AF289" s="115">
        <v>72.0</v>
      </c>
      <c r="AG289" s="115">
        <v>112.0</v>
      </c>
      <c r="AH289" s="115">
        <v>165.0</v>
      </c>
      <c r="AI289" s="115">
        <v>44.87</v>
      </c>
      <c r="AJ289" s="115">
        <v>8.61</v>
      </c>
      <c r="AK289" s="115">
        <v>1.65</v>
      </c>
      <c r="AL289" s="115">
        <v>0.1099</v>
      </c>
      <c r="AM289" s="115">
        <v>83.33</v>
      </c>
      <c r="AN289" s="115">
        <v>83.33</v>
      </c>
      <c r="AO289" s="115">
        <v>68.5</v>
      </c>
      <c r="AP289" s="115">
        <v>53.66</v>
      </c>
      <c r="AQ289" s="115">
        <v>32.9341</v>
      </c>
      <c r="AR289" s="115">
        <v>3.652</v>
      </c>
      <c r="AS289" s="115">
        <v>29.2821</v>
      </c>
      <c r="AT289" s="115">
        <v>33.0769</v>
      </c>
      <c r="AU289" s="115">
        <v>0.2344</v>
      </c>
    </row>
    <row r="290" ht="15.75" customHeight="1">
      <c r="A290" s="116">
        <v>46199.0</v>
      </c>
      <c r="B290" s="115" t="s">
        <v>8</v>
      </c>
      <c r="C290" s="115" t="s">
        <v>128</v>
      </c>
      <c r="D290" s="115">
        <v>14600.0</v>
      </c>
      <c r="E290" s="115">
        <v>18.42</v>
      </c>
      <c r="F290" s="115">
        <v>88.85</v>
      </c>
      <c r="G290" s="115">
        <v>0.0061</v>
      </c>
      <c r="H290" s="115">
        <v>0.16</v>
      </c>
      <c r="I290" s="115">
        <v>3.863</v>
      </c>
      <c r="J290" s="115">
        <v>5.92</v>
      </c>
      <c r="K290" s="115">
        <v>2.44</v>
      </c>
      <c r="L290" s="115">
        <v>0.05</v>
      </c>
      <c r="M290" s="115">
        <v>0.0197</v>
      </c>
      <c r="N290" s="115">
        <v>0.9839</v>
      </c>
      <c r="O290" s="115">
        <v>0.7892</v>
      </c>
      <c r="P290" s="115">
        <v>50.7596</v>
      </c>
      <c r="Q290" s="115">
        <v>31.83</v>
      </c>
      <c r="R290" s="115">
        <v>31.75</v>
      </c>
      <c r="S290" s="115">
        <v>0.08</v>
      </c>
      <c r="T290" s="115">
        <v>0.27</v>
      </c>
      <c r="U290" s="115">
        <v>31.56</v>
      </c>
      <c r="V290" s="115">
        <v>1.81</v>
      </c>
      <c r="W290" s="115">
        <v>0.7398</v>
      </c>
      <c r="X290" s="115">
        <v>0.85</v>
      </c>
      <c r="Y290" s="115">
        <v>273.0</v>
      </c>
      <c r="Z290" s="115">
        <v>3206.0</v>
      </c>
      <c r="AA290" s="115">
        <v>14153.0</v>
      </c>
      <c r="AB290" s="115">
        <v>49.6333</v>
      </c>
      <c r="AC290" s="115">
        <v>0.5377</v>
      </c>
      <c r="AI290" s="115">
        <v>0.0</v>
      </c>
      <c r="AJ290" s="115">
        <v>0.0</v>
      </c>
      <c r="AK290" s="115">
        <v>0.0</v>
      </c>
      <c r="AL290" s="115">
        <v>0.3042</v>
      </c>
      <c r="AQ290" s="115">
        <v>1.8521</v>
      </c>
      <c r="AR290" s="115">
        <v>0.0072</v>
      </c>
      <c r="AS290" s="115">
        <v>1.8449</v>
      </c>
      <c r="AT290" s="115">
        <v>0.4575</v>
      </c>
      <c r="AU290" s="115">
        <v>0.1872</v>
      </c>
    </row>
    <row r="291" ht="15.75" customHeight="1">
      <c r="A291" s="116">
        <v>46199.0</v>
      </c>
      <c r="B291" s="115" t="s">
        <v>8</v>
      </c>
      <c r="C291" s="115" t="s">
        <v>129</v>
      </c>
      <c r="D291" s="115">
        <v>30649.0</v>
      </c>
      <c r="E291" s="115">
        <v>38.67</v>
      </c>
      <c r="F291" s="115">
        <v>3471.2</v>
      </c>
      <c r="G291" s="115">
        <v>0.1133</v>
      </c>
      <c r="H291" s="115">
        <v>3.29</v>
      </c>
      <c r="I291" s="115">
        <v>3.4437</v>
      </c>
      <c r="J291" s="115">
        <v>32.81</v>
      </c>
      <c r="K291" s="115">
        <v>16.23</v>
      </c>
      <c r="L291" s="115">
        <v>5.92</v>
      </c>
      <c r="M291" s="115">
        <v>0.365</v>
      </c>
      <c r="N291" s="115">
        <v>0.7508</v>
      </c>
      <c r="O291" s="115">
        <v>0.5122</v>
      </c>
      <c r="P291" s="115">
        <v>2.7399</v>
      </c>
      <c r="Q291" s="115">
        <v>79.97</v>
      </c>
      <c r="R291" s="115">
        <v>67.6</v>
      </c>
      <c r="S291" s="115">
        <v>12.37</v>
      </c>
      <c r="T291" s="115">
        <v>6.73</v>
      </c>
      <c r="U291" s="115">
        <v>73.24</v>
      </c>
      <c r="V291" s="115">
        <v>69.26</v>
      </c>
      <c r="W291" s="115">
        <v>4.2682</v>
      </c>
      <c r="X291" s="115">
        <v>8.41</v>
      </c>
      <c r="Y291" s="115">
        <v>114.0</v>
      </c>
      <c r="Z291" s="115">
        <v>468.0</v>
      </c>
      <c r="AA291" s="115">
        <v>3242.0</v>
      </c>
      <c r="AB291" s="115">
        <v>49.1299</v>
      </c>
      <c r="AC291" s="115">
        <v>0.4909</v>
      </c>
      <c r="AD291" s="115">
        <v>4.06</v>
      </c>
      <c r="AE291" s="115">
        <v>1.0</v>
      </c>
      <c r="AF291" s="115">
        <v>3.0</v>
      </c>
      <c r="AG291" s="115">
        <v>5.0</v>
      </c>
      <c r="AH291" s="115">
        <v>9.0</v>
      </c>
      <c r="AI291" s="115">
        <v>72.87</v>
      </c>
      <c r="AJ291" s="115">
        <v>30.98</v>
      </c>
      <c r="AK291" s="115">
        <v>9.15</v>
      </c>
      <c r="AL291" s="115">
        <v>0.2492</v>
      </c>
      <c r="AQ291" s="115">
        <v>4.8857</v>
      </c>
      <c r="AR291" s="115">
        <v>0.0828</v>
      </c>
      <c r="AS291" s="115">
        <v>4.8029</v>
      </c>
      <c r="AT291" s="115">
        <v>3.7342</v>
      </c>
      <c r="AU291" s="115">
        <v>0.2301</v>
      </c>
    </row>
    <row r="292" ht="15.75" customHeight="1">
      <c r="A292" s="116">
        <v>46199.0</v>
      </c>
      <c r="B292" s="115" t="s">
        <v>8</v>
      </c>
      <c r="C292" s="115" t="s">
        <v>130</v>
      </c>
      <c r="D292" s="115">
        <v>19006.0</v>
      </c>
      <c r="E292" s="115">
        <v>23.98</v>
      </c>
      <c r="F292" s="115">
        <v>7605.95</v>
      </c>
      <c r="G292" s="115">
        <v>0.4002</v>
      </c>
      <c r="H292" s="115">
        <v>8.04</v>
      </c>
      <c r="I292" s="115">
        <v>4.9745</v>
      </c>
      <c r="J292" s="115">
        <v>58.19</v>
      </c>
      <c r="K292" s="115">
        <v>29.69</v>
      </c>
      <c r="L292" s="115">
        <v>14.26</v>
      </c>
      <c r="M292" s="115">
        <v>0.4802</v>
      </c>
      <c r="N292" s="115">
        <v>0.6536</v>
      </c>
      <c r="O292" s="115">
        <v>0.4192</v>
      </c>
      <c r="P292" s="115">
        <v>2.0825</v>
      </c>
      <c r="Q292" s="115">
        <v>141.33</v>
      </c>
      <c r="R292" s="115">
        <v>111.6</v>
      </c>
      <c r="S292" s="115">
        <v>29.73</v>
      </c>
      <c r="T292" s="115">
        <v>23.63</v>
      </c>
      <c r="U292" s="115">
        <v>117.69</v>
      </c>
      <c r="V292" s="115">
        <v>130.97</v>
      </c>
      <c r="W292" s="115">
        <v>4.4111</v>
      </c>
      <c r="X292" s="115">
        <v>16.72</v>
      </c>
      <c r="Y292" s="115">
        <v>103.0</v>
      </c>
      <c r="Z292" s="115">
        <v>391.0</v>
      </c>
      <c r="AA292" s="115">
        <v>3103.0</v>
      </c>
      <c r="AB292" s="115">
        <v>52.5074</v>
      </c>
      <c r="AC292" s="115">
        <v>0.6061</v>
      </c>
      <c r="AD292" s="115">
        <v>9.42</v>
      </c>
      <c r="AE292" s="115">
        <v>4.0</v>
      </c>
      <c r="AF292" s="115">
        <v>7.0</v>
      </c>
      <c r="AG292" s="115">
        <v>13.0</v>
      </c>
      <c r="AH292" s="115">
        <v>20.0</v>
      </c>
      <c r="AI292" s="115">
        <v>60.99</v>
      </c>
      <c r="AJ292" s="115">
        <v>26.29</v>
      </c>
      <c r="AK292" s="115">
        <v>4.42</v>
      </c>
      <c r="AL292" s="115">
        <v>0.2129</v>
      </c>
      <c r="AQ292" s="115">
        <v>8.1334</v>
      </c>
      <c r="AR292" s="115">
        <v>0.3167</v>
      </c>
      <c r="AS292" s="115">
        <v>7.8166</v>
      </c>
      <c r="AT292" s="115">
        <v>6.8084</v>
      </c>
      <c r="AU292" s="115">
        <v>0.2293</v>
      </c>
    </row>
    <row r="293" ht="15.75" customHeight="1">
      <c r="A293" s="116">
        <v>46199.0</v>
      </c>
      <c r="B293" s="115" t="s">
        <v>8</v>
      </c>
      <c r="C293" s="115" t="s">
        <v>131</v>
      </c>
      <c r="D293" s="115">
        <v>10266.0</v>
      </c>
      <c r="E293" s="115">
        <v>12.95</v>
      </c>
      <c r="F293" s="115">
        <v>8847.3</v>
      </c>
      <c r="G293" s="115">
        <v>0.8618</v>
      </c>
      <c r="H293" s="115">
        <v>11.69</v>
      </c>
      <c r="I293" s="115">
        <v>7.3727</v>
      </c>
      <c r="J293" s="115">
        <v>83.77</v>
      </c>
      <c r="K293" s="115">
        <v>45.09</v>
      </c>
      <c r="L293" s="115">
        <v>27.24</v>
      </c>
      <c r="M293" s="115">
        <v>0.6043</v>
      </c>
      <c r="N293" s="115">
        <v>0.5364</v>
      </c>
      <c r="O293" s="115">
        <v>0.3351</v>
      </c>
      <c r="P293" s="115">
        <v>1.6549</v>
      </c>
      <c r="Q293" s="115">
        <v>231.45</v>
      </c>
      <c r="R293" s="115">
        <v>173.71</v>
      </c>
      <c r="S293" s="115">
        <v>57.74</v>
      </c>
      <c r="T293" s="115">
        <v>51.6</v>
      </c>
      <c r="U293" s="115">
        <v>179.86</v>
      </c>
      <c r="V293" s="115">
        <v>229.8</v>
      </c>
      <c r="W293" s="115">
        <v>5.0968</v>
      </c>
      <c r="X293" s="115">
        <v>22.29</v>
      </c>
      <c r="Y293" s="115">
        <v>119.0</v>
      </c>
      <c r="Z293" s="115">
        <v>541.0</v>
      </c>
      <c r="AA293" s="115">
        <v>3637.0</v>
      </c>
      <c r="AB293" s="115">
        <v>55.5556</v>
      </c>
      <c r="AC293" s="115">
        <v>0.7168</v>
      </c>
      <c r="AD293" s="115">
        <v>18.27</v>
      </c>
      <c r="AE293" s="115">
        <v>7.0</v>
      </c>
      <c r="AF293" s="115">
        <v>14.0</v>
      </c>
      <c r="AG293" s="115">
        <v>25.0</v>
      </c>
      <c r="AH293" s="115">
        <v>38.0</v>
      </c>
      <c r="AI293" s="115">
        <v>61.84</v>
      </c>
      <c r="AJ293" s="115">
        <v>24.39</v>
      </c>
      <c r="AK293" s="115">
        <v>7.53</v>
      </c>
      <c r="AL293" s="115">
        <v>0.2044</v>
      </c>
      <c r="AQ293" s="115">
        <v>13.2155</v>
      </c>
      <c r="AR293" s="115">
        <v>0.7143</v>
      </c>
      <c r="AS293" s="115">
        <v>12.5012</v>
      </c>
      <c r="AT293" s="115">
        <v>11.2457</v>
      </c>
      <c r="AU293" s="115">
        <v>0.2494</v>
      </c>
    </row>
    <row r="294" ht="15.75" customHeight="1">
      <c r="A294" s="116">
        <v>46199.0</v>
      </c>
      <c r="B294" s="115" t="s">
        <v>8</v>
      </c>
      <c r="C294" s="115" t="s">
        <v>132</v>
      </c>
      <c r="D294" s="115">
        <v>4235.0</v>
      </c>
      <c r="E294" s="115">
        <v>5.34</v>
      </c>
      <c r="F294" s="115">
        <v>6769.38</v>
      </c>
      <c r="G294" s="115">
        <v>1.5984</v>
      </c>
      <c r="H294" s="115">
        <v>15.02</v>
      </c>
      <c r="I294" s="115">
        <v>10.6437</v>
      </c>
      <c r="J294" s="115">
        <v>133.48</v>
      </c>
      <c r="K294" s="115">
        <v>75.25</v>
      </c>
      <c r="L294" s="115">
        <v>55.14</v>
      </c>
      <c r="M294" s="115">
        <v>0.7327</v>
      </c>
      <c r="N294" s="115">
        <v>0.41</v>
      </c>
      <c r="O294" s="115">
        <v>0.2638</v>
      </c>
      <c r="P294" s="115">
        <v>1.3648</v>
      </c>
      <c r="Q294" s="115">
        <v>396.6</v>
      </c>
      <c r="R294" s="115">
        <v>279.65</v>
      </c>
      <c r="S294" s="115">
        <v>116.96</v>
      </c>
      <c r="T294" s="115">
        <v>99.94</v>
      </c>
      <c r="U294" s="115">
        <v>296.66</v>
      </c>
      <c r="V294" s="115">
        <v>419.01</v>
      </c>
      <c r="W294" s="115">
        <v>5.5683</v>
      </c>
      <c r="X294" s="115">
        <v>25.2</v>
      </c>
      <c r="Y294" s="115">
        <v>162.0</v>
      </c>
      <c r="Z294" s="115">
        <v>1040.0</v>
      </c>
      <c r="AA294" s="115">
        <v>5648.0</v>
      </c>
      <c r="AB294" s="115">
        <v>59.067</v>
      </c>
      <c r="AC294" s="115">
        <v>0.809</v>
      </c>
      <c r="AD294" s="115">
        <v>36.87</v>
      </c>
      <c r="AE294" s="115">
        <v>15.0</v>
      </c>
      <c r="AF294" s="115">
        <v>29.0</v>
      </c>
      <c r="AG294" s="115">
        <v>50.0</v>
      </c>
      <c r="AH294" s="115">
        <v>76.0</v>
      </c>
      <c r="AI294" s="115">
        <v>52.07</v>
      </c>
      <c r="AJ294" s="115">
        <v>17.8</v>
      </c>
      <c r="AK294" s="115">
        <v>4.51</v>
      </c>
      <c r="AL294" s="115">
        <v>0.1622</v>
      </c>
      <c r="AQ294" s="115">
        <v>21.5731</v>
      </c>
      <c r="AR294" s="115">
        <v>1.4009</v>
      </c>
      <c r="AS294" s="115">
        <v>20.1721</v>
      </c>
      <c r="AT294" s="115">
        <v>19.2619</v>
      </c>
      <c r="AU294" s="115">
        <v>0.256</v>
      </c>
    </row>
    <row r="295" ht="15.75" customHeight="1">
      <c r="A295" s="116">
        <v>46199.0</v>
      </c>
      <c r="B295" s="115" t="s">
        <v>8</v>
      </c>
      <c r="C295" s="115" t="s">
        <v>133</v>
      </c>
      <c r="D295" s="115">
        <v>492.0</v>
      </c>
      <c r="E295" s="115">
        <v>0.62</v>
      </c>
      <c r="F295" s="115">
        <v>1968.08</v>
      </c>
      <c r="G295" s="115">
        <v>4.0002</v>
      </c>
      <c r="H295" s="115">
        <v>17.68</v>
      </c>
      <c r="I295" s="115">
        <v>22.6216</v>
      </c>
      <c r="J295" s="115">
        <v>258.13</v>
      </c>
      <c r="K295" s="115">
        <v>156.14</v>
      </c>
      <c r="L295" s="115">
        <v>129.34</v>
      </c>
      <c r="M295" s="115">
        <v>0.8284</v>
      </c>
      <c r="N295" s="115">
        <v>0.3007</v>
      </c>
      <c r="O295" s="115">
        <v>0.203</v>
      </c>
      <c r="P295" s="115">
        <v>1.2072</v>
      </c>
      <c r="Q295" s="115">
        <v>800.02</v>
      </c>
      <c r="R295" s="115">
        <v>526.54</v>
      </c>
      <c r="S295" s="115">
        <v>273.49</v>
      </c>
      <c r="T295" s="115">
        <v>245.43</v>
      </c>
      <c r="U295" s="115">
        <v>554.6</v>
      </c>
      <c r="V295" s="115">
        <v>1048.37</v>
      </c>
      <c r="W295" s="115">
        <v>6.7142</v>
      </c>
      <c r="X295" s="115">
        <v>30.68</v>
      </c>
      <c r="Y295" s="115">
        <v>278.0</v>
      </c>
      <c r="Z295" s="115">
        <v>1589.0</v>
      </c>
      <c r="AA295" s="115">
        <v>8283.0</v>
      </c>
      <c r="AB295" s="115">
        <v>62.5863</v>
      </c>
      <c r="AC295" s="115">
        <v>0.8679</v>
      </c>
      <c r="AD295" s="115">
        <v>86.28</v>
      </c>
      <c r="AE295" s="115">
        <v>32.0</v>
      </c>
      <c r="AF295" s="115">
        <v>67.0</v>
      </c>
      <c r="AG295" s="115">
        <v>122.0</v>
      </c>
      <c r="AH295" s="115">
        <v>180.0</v>
      </c>
      <c r="AI295" s="115">
        <v>44.51</v>
      </c>
      <c r="AJ295" s="115">
        <v>11.18</v>
      </c>
      <c r="AK295" s="115">
        <v>1.42</v>
      </c>
      <c r="AL295" s="115">
        <v>0.0955</v>
      </c>
      <c r="AQ295" s="115">
        <v>43.0061</v>
      </c>
      <c r="AR295" s="115">
        <v>7.4126</v>
      </c>
      <c r="AS295" s="115">
        <v>35.5935</v>
      </c>
      <c r="AT295" s="115">
        <v>44.8476</v>
      </c>
      <c r="AU295" s="115">
        <v>0.2872</v>
      </c>
    </row>
    <row r="296" ht="15.75" customHeight="1">
      <c r="A296" s="116">
        <v>46199.0</v>
      </c>
      <c r="B296" s="115" t="s">
        <v>9</v>
      </c>
      <c r="C296" s="115" t="s">
        <v>128</v>
      </c>
      <c r="D296" s="115">
        <v>14830.0</v>
      </c>
      <c r="E296" s="115">
        <v>18.81</v>
      </c>
      <c r="F296" s="115">
        <v>85.96</v>
      </c>
      <c r="G296" s="115">
        <v>0.0058</v>
      </c>
      <c r="H296" s="115">
        <v>0.15</v>
      </c>
      <c r="I296" s="115">
        <v>3.9073</v>
      </c>
      <c r="J296" s="115">
        <v>6.03</v>
      </c>
      <c r="K296" s="115">
        <v>2.45</v>
      </c>
      <c r="L296" s="115">
        <v>0.05</v>
      </c>
      <c r="M296" s="115">
        <v>0.0195</v>
      </c>
      <c r="N296" s="115">
        <v>0.9841</v>
      </c>
      <c r="O296" s="115">
        <v>0.791</v>
      </c>
      <c r="P296" s="115">
        <v>51.1845</v>
      </c>
      <c r="Q296" s="115">
        <v>29.02</v>
      </c>
      <c r="R296" s="115">
        <v>28.99</v>
      </c>
      <c r="S296" s="115">
        <v>0.03</v>
      </c>
      <c r="T296" s="115">
        <v>0.32</v>
      </c>
      <c r="U296" s="115">
        <v>28.7</v>
      </c>
      <c r="V296" s="115">
        <v>1.63</v>
      </c>
      <c r="W296" s="115">
        <v>0.6632</v>
      </c>
      <c r="X296" s="115">
        <v>1.12</v>
      </c>
      <c r="Y296" s="115">
        <v>227.0</v>
      </c>
      <c r="Z296" s="115">
        <v>2884.0</v>
      </c>
      <c r="AA296" s="115">
        <v>12862.0</v>
      </c>
      <c r="AB296" s="115">
        <v>49.5344</v>
      </c>
      <c r="AC296" s="115">
        <v>0.5332</v>
      </c>
      <c r="AI296" s="115">
        <v>0.0</v>
      </c>
      <c r="AJ296" s="115">
        <v>0.0</v>
      </c>
      <c r="AK296" s="115">
        <v>0.0</v>
      </c>
      <c r="AL296" s="115">
        <v>0.3107</v>
      </c>
      <c r="AM296" s="115">
        <v>0.16</v>
      </c>
      <c r="AN296" s="115">
        <v>0.16</v>
      </c>
      <c r="AO296" s="115">
        <v>0.09</v>
      </c>
      <c r="AP296" s="115">
        <v>0.07</v>
      </c>
      <c r="AQ296" s="115">
        <v>1.8498</v>
      </c>
      <c r="AR296" s="115">
        <v>0.0079</v>
      </c>
      <c r="AS296" s="115">
        <v>1.8419</v>
      </c>
      <c r="AT296" s="115">
        <v>0.4892</v>
      </c>
      <c r="AU296" s="115">
        <v>0.1996</v>
      </c>
    </row>
    <row r="297" ht="15.75" customHeight="1">
      <c r="A297" s="116">
        <v>46199.0</v>
      </c>
      <c r="B297" s="115" t="s">
        <v>9</v>
      </c>
      <c r="C297" s="115" t="s">
        <v>129</v>
      </c>
      <c r="D297" s="115">
        <v>29283.0</v>
      </c>
      <c r="E297" s="115">
        <v>37.14</v>
      </c>
      <c r="F297" s="115">
        <v>3580.85</v>
      </c>
      <c r="G297" s="115">
        <v>0.1223</v>
      </c>
      <c r="H297" s="115">
        <v>3.52</v>
      </c>
      <c r="I297" s="115">
        <v>3.4732</v>
      </c>
      <c r="J297" s="115">
        <v>33.6</v>
      </c>
      <c r="K297" s="115">
        <v>16.44</v>
      </c>
      <c r="L297" s="115">
        <v>5.93</v>
      </c>
      <c r="M297" s="115">
        <v>0.3608</v>
      </c>
      <c r="N297" s="115">
        <v>0.7503</v>
      </c>
      <c r="O297" s="115">
        <v>0.5109</v>
      </c>
      <c r="P297" s="115">
        <v>2.772</v>
      </c>
      <c r="Q297" s="115">
        <v>73.14</v>
      </c>
      <c r="R297" s="115">
        <v>68.55</v>
      </c>
      <c r="S297" s="115">
        <v>4.59</v>
      </c>
      <c r="T297" s="115">
        <v>7.18</v>
      </c>
      <c r="U297" s="115">
        <v>65.97</v>
      </c>
      <c r="V297" s="115">
        <v>62.51</v>
      </c>
      <c r="W297" s="115">
        <v>3.8021</v>
      </c>
      <c r="X297" s="115">
        <v>9.81</v>
      </c>
      <c r="Y297" s="115">
        <v>102.0</v>
      </c>
      <c r="Z297" s="115">
        <v>414.0</v>
      </c>
      <c r="AA297" s="115">
        <v>3153.0</v>
      </c>
      <c r="AB297" s="115">
        <v>49.2003</v>
      </c>
      <c r="AC297" s="115">
        <v>0.4897</v>
      </c>
      <c r="AD297" s="115">
        <v>4.04</v>
      </c>
      <c r="AE297" s="115">
        <v>1.0</v>
      </c>
      <c r="AF297" s="115">
        <v>3.0</v>
      </c>
      <c r="AG297" s="115">
        <v>5.0</v>
      </c>
      <c r="AH297" s="115">
        <v>9.0</v>
      </c>
      <c r="AI297" s="115">
        <v>73.0</v>
      </c>
      <c r="AJ297" s="115">
        <v>31.18</v>
      </c>
      <c r="AK297" s="115">
        <v>8.55</v>
      </c>
      <c r="AL297" s="115">
        <v>0.2526</v>
      </c>
      <c r="AM297" s="115">
        <v>55.84</v>
      </c>
      <c r="AN297" s="115">
        <v>55.84</v>
      </c>
      <c r="AO297" s="115">
        <v>23.85</v>
      </c>
      <c r="AP297" s="115">
        <v>6.77</v>
      </c>
      <c r="AQ297" s="115">
        <v>5.2548</v>
      </c>
      <c r="AR297" s="115">
        <v>0.0844</v>
      </c>
      <c r="AS297" s="115">
        <v>5.1704</v>
      </c>
      <c r="AT297" s="115">
        <v>3.951</v>
      </c>
      <c r="AU297" s="115">
        <v>0.2403</v>
      </c>
    </row>
    <row r="298" ht="15.75" customHeight="1">
      <c r="A298" s="116">
        <v>46199.0</v>
      </c>
      <c r="B298" s="115" t="s">
        <v>9</v>
      </c>
      <c r="C298" s="115" t="s">
        <v>130</v>
      </c>
      <c r="D298" s="115">
        <v>19047.0</v>
      </c>
      <c r="E298" s="115">
        <v>24.16</v>
      </c>
      <c r="F298" s="115">
        <v>7206.46</v>
      </c>
      <c r="G298" s="115">
        <v>0.3784</v>
      </c>
      <c r="H298" s="115">
        <v>7.86</v>
      </c>
      <c r="I298" s="115">
        <v>4.8139</v>
      </c>
      <c r="J298" s="115">
        <v>59.81</v>
      </c>
      <c r="K298" s="115">
        <v>30.42</v>
      </c>
      <c r="L298" s="115">
        <v>14.28</v>
      </c>
      <c r="M298" s="115">
        <v>0.4694</v>
      </c>
      <c r="N298" s="115">
        <v>0.6592</v>
      </c>
      <c r="O298" s="115">
        <v>0.4177</v>
      </c>
      <c r="P298" s="115">
        <v>2.1305</v>
      </c>
      <c r="Q298" s="115">
        <v>133.24</v>
      </c>
      <c r="R298" s="115">
        <v>122.41</v>
      </c>
      <c r="S298" s="115">
        <v>10.83</v>
      </c>
      <c r="T298" s="115">
        <v>22.2</v>
      </c>
      <c r="U298" s="115">
        <v>111.04</v>
      </c>
      <c r="V298" s="115">
        <v>123.03</v>
      </c>
      <c r="W298" s="115">
        <v>4.044</v>
      </c>
      <c r="X298" s="115">
        <v>16.66</v>
      </c>
      <c r="Y298" s="115">
        <v>100.0</v>
      </c>
      <c r="Z298" s="115">
        <v>388.0</v>
      </c>
      <c r="AA298" s="115">
        <v>2635.0</v>
      </c>
      <c r="AB298" s="115">
        <v>52.3253</v>
      </c>
      <c r="AC298" s="115">
        <v>0.6016</v>
      </c>
      <c r="AD298" s="115">
        <v>9.38</v>
      </c>
      <c r="AE298" s="115">
        <v>3.0</v>
      </c>
      <c r="AF298" s="115">
        <v>7.0</v>
      </c>
      <c r="AG298" s="115">
        <v>13.0</v>
      </c>
      <c r="AH298" s="115">
        <v>20.0</v>
      </c>
      <c r="AI298" s="115">
        <v>60.62</v>
      </c>
      <c r="AJ298" s="115">
        <v>26.3</v>
      </c>
      <c r="AK298" s="115">
        <v>4.54</v>
      </c>
      <c r="AL298" s="115">
        <v>0.2068</v>
      </c>
      <c r="AM298" s="115">
        <v>67.1</v>
      </c>
      <c r="AN298" s="115">
        <v>67.1</v>
      </c>
      <c r="AO298" s="115">
        <v>40.97</v>
      </c>
      <c r="AP298" s="115">
        <v>18.88</v>
      </c>
      <c r="AQ298" s="115">
        <v>8.8541</v>
      </c>
      <c r="AR298" s="115">
        <v>0.2763</v>
      </c>
      <c r="AS298" s="115">
        <v>8.5778</v>
      </c>
      <c r="AT298" s="115">
        <v>7.2714</v>
      </c>
      <c r="AU298" s="115">
        <v>0.239</v>
      </c>
    </row>
    <row r="299" ht="15.75" customHeight="1">
      <c r="A299" s="116">
        <v>46199.0</v>
      </c>
      <c r="B299" s="115" t="s">
        <v>9</v>
      </c>
      <c r="C299" s="115" t="s">
        <v>131</v>
      </c>
      <c r="D299" s="115">
        <v>10562.0</v>
      </c>
      <c r="E299" s="115">
        <v>13.39</v>
      </c>
      <c r="F299" s="115">
        <v>8115.45</v>
      </c>
      <c r="G299" s="115">
        <v>0.7684</v>
      </c>
      <c r="H299" s="115">
        <v>11.21</v>
      </c>
      <c r="I299" s="115">
        <v>6.8543</v>
      </c>
      <c r="J299" s="115">
        <v>83.57</v>
      </c>
      <c r="K299" s="115">
        <v>44.54</v>
      </c>
      <c r="L299" s="115">
        <v>26.72</v>
      </c>
      <c r="M299" s="115">
        <v>0.5998</v>
      </c>
      <c r="N299" s="115">
        <v>0.5381</v>
      </c>
      <c r="O299" s="115">
        <v>0.3337</v>
      </c>
      <c r="P299" s="115">
        <v>1.6671</v>
      </c>
      <c r="Q299" s="115">
        <v>215.26</v>
      </c>
      <c r="R299" s="115">
        <v>194.65</v>
      </c>
      <c r="S299" s="115">
        <v>20.62</v>
      </c>
      <c r="T299" s="115">
        <v>46.33</v>
      </c>
      <c r="U299" s="115">
        <v>168.93</v>
      </c>
      <c r="V299" s="115">
        <v>214.24</v>
      </c>
      <c r="W299" s="115">
        <v>4.8098</v>
      </c>
      <c r="X299" s="115">
        <v>21.52</v>
      </c>
      <c r="Y299" s="115">
        <v>111.0</v>
      </c>
      <c r="Z299" s="115">
        <v>531.0</v>
      </c>
      <c r="AA299" s="115">
        <v>3747.0</v>
      </c>
      <c r="AB299" s="115">
        <v>55.5447</v>
      </c>
      <c r="AC299" s="115">
        <v>0.7183</v>
      </c>
      <c r="AD299" s="115">
        <v>18.16</v>
      </c>
      <c r="AE299" s="115">
        <v>7.0</v>
      </c>
      <c r="AF299" s="115">
        <v>14.0</v>
      </c>
      <c r="AG299" s="115">
        <v>25.0</v>
      </c>
      <c r="AH299" s="115">
        <v>38.0</v>
      </c>
      <c r="AI299" s="115">
        <v>60.93</v>
      </c>
      <c r="AJ299" s="115">
        <v>23.96</v>
      </c>
      <c r="AK299" s="115">
        <v>7.49</v>
      </c>
      <c r="AL299" s="115">
        <v>0.2105</v>
      </c>
      <c r="AM299" s="115">
        <v>68.72</v>
      </c>
      <c r="AN299" s="115">
        <v>68.72</v>
      </c>
      <c r="AO299" s="115">
        <v>46.46</v>
      </c>
      <c r="AP299" s="115">
        <v>24.69</v>
      </c>
      <c r="AQ299" s="115">
        <v>13.7566</v>
      </c>
      <c r="AR299" s="115">
        <v>0.6027</v>
      </c>
      <c r="AS299" s="115">
        <v>13.1539</v>
      </c>
      <c r="AT299" s="115">
        <v>11.7182</v>
      </c>
      <c r="AU299" s="115">
        <v>0.2631</v>
      </c>
    </row>
    <row r="300" ht="15.75" customHeight="1">
      <c r="A300" s="116">
        <v>46199.0</v>
      </c>
      <c r="B300" s="115" t="s">
        <v>9</v>
      </c>
      <c r="C300" s="115" t="s">
        <v>132</v>
      </c>
      <c r="D300" s="115">
        <v>4603.0</v>
      </c>
      <c r="E300" s="115">
        <v>5.84</v>
      </c>
      <c r="F300" s="115">
        <v>8466.41</v>
      </c>
      <c r="G300" s="115">
        <v>1.8393</v>
      </c>
      <c r="H300" s="115">
        <v>15.71</v>
      </c>
      <c r="I300" s="115">
        <v>11.7101</v>
      </c>
      <c r="J300" s="115">
        <v>133.4</v>
      </c>
      <c r="K300" s="115">
        <v>75.53</v>
      </c>
      <c r="L300" s="115">
        <v>55.3</v>
      </c>
      <c r="M300" s="115">
        <v>0.7322</v>
      </c>
      <c r="N300" s="115">
        <v>0.4077</v>
      </c>
      <c r="O300" s="115">
        <v>0.259</v>
      </c>
      <c r="P300" s="115">
        <v>1.3657</v>
      </c>
      <c r="Q300" s="115">
        <v>397.25</v>
      </c>
      <c r="R300" s="115">
        <v>355.23</v>
      </c>
      <c r="S300" s="115">
        <v>42.02</v>
      </c>
      <c r="T300" s="115">
        <v>112.26</v>
      </c>
      <c r="U300" s="115">
        <v>284.98</v>
      </c>
      <c r="V300" s="115">
        <v>425.83</v>
      </c>
      <c r="W300" s="115">
        <v>5.6382</v>
      </c>
      <c r="X300" s="115">
        <v>28.26</v>
      </c>
      <c r="Y300" s="115">
        <v>166.0</v>
      </c>
      <c r="Z300" s="115">
        <v>998.0</v>
      </c>
      <c r="AA300" s="115">
        <v>5600.0</v>
      </c>
      <c r="AB300" s="115">
        <v>59.2246</v>
      </c>
      <c r="AC300" s="115">
        <v>0.8163</v>
      </c>
      <c r="AD300" s="115">
        <v>38.43</v>
      </c>
      <c r="AE300" s="115">
        <v>15.0</v>
      </c>
      <c r="AF300" s="115">
        <v>30.0</v>
      </c>
      <c r="AG300" s="115">
        <v>53.0</v>
      </c>
      <c r="AH300" s="115">
        <v>80.0</v>
      </c>
      <c r="AI300" s="115">
        <v>52.97</v>
      </c>
      <c r="AJ300" s="115">
        <v>20.27</v>
      </c>
      <c r="AK300" s="115">
        <v>5.61</v>
      </c>
      <c r="AL300" s="115">
        <v>0.1536</v>
      </c>
      <c r="AM300" s="115">
        <v>72.67</v>
      </c>
      <c r="AN300" s="115">
        <v>72.67</v>
      </c>
      <c r="AO300" s="115">
        <v>53.14</v>
      </c>
      <c r="AP300" s="115">
        <v>36.69</v>
      </c>
      <c r="AQ300" s="115">
        <v>22.99</v>
      </c>
      <c r="AR300" s="115">
        <v>1.6337</v>
      </c>
      <c r="AS300" s="115">
        <v>21.3563</v>
      </c>
      <c r="AT300" s="115">
        <v>20.7413</v>
      </c>
      <c r="AU300" s="115">
        <v>0.2746</v>
      </c>
    </row>
    <row r="301" ht="15.75" customHeight="1">
      <c r="A301" s="116">
        <v>46199.0</v>
      </c>
      <c r="B301" s="115" t="s">
        <v>9</v>
      </c>
      <c r="C301" s="115" t="s">
        <v>133</v>
      </c>
      <c r="D301" s="115">
        <v>527.0</v>
      </c>
      <c r="E301" s="115">
        <v>0.67</v>
      </c>
      <c r="F301" s="115">
        <v>1799.54</v>
      </c>
      <c r="G301" s="115">
        <v>3.4147</v>
      </c>
      <c r="H301" s="115">
        <v>17.46</v>
      </c>
      <c r="I301" s="115">
        <v>19.5602</v>
      </c>
      <c r="J301" s="115">
        <v>251.43</v>
      </c>
      <c r="K301" s="115">
        <v>151.38</v>
      </c>
      <c r="L301" s="115">
        <v>122.21</v>
      </c>
      <c r="M301" s="115">
        <v>0.8073</v>
      </c>
      <c r="N301" s="115">
        <v>0.3217</v>
      </c>
      <c r="O301" s="115">
        <v>0.2121</v>
      </c>
      <c r="P301" s="115">
        <v>1.2387</v>
      </c>
      <c r="Q301" s="115">
        <v>709.22</v>
      </c>
      <c r="R301" s="115">
        <v>616.94</v>
      </c>
      <c r="S301" s="115">
        <v>92.29</v>
      </c>
      <c r="T301" s="115">
        <v>206.21</v>
      </c>
      <c r="U301" s="115">
        <v>503.01</v>
      </c>
      <c r="V301" s="115">
        <v>832.73</v>
      </c>
      <c r="W301" s="115">
        <v>5.5009</v>
      </c>
      <c r="X301" s="115">
        <v>29.08</v>
      </c>
      <c r="Y301" s="115">
        <v>329.0</v>
      </c>
      <c r="Z301" s="115">
        <v>2114.0</v>
      </c>
      <c r="AA301" s="115">
        <v>10188.0</v>
      </c>
      <c r="AB301" s="115">
        <v>62.7222</v>
      </c>
      <c r="AC301" s="115">
        <v>0.8696</v>
      </c>
      <c r="AD301" s="115">
        <v>81.33</v>
      </c>
      <c r="AE301" s="115">
        <v>31.0</v>
      </c>
      <c r="AF301" s="115">
        <v>69.0</v>
      </c>
      <c r="AG301" s="115">
        <v>113.0</v>
      </c>
      <c r="AH301" s="115">
        <v>171.0</v>
      </c>
      <c r="AI301" s="115">
        <v>44.4</v>
      </c>
      <c r="AJ301" s="115">
        <v>9.49</v>
      </c>
      <c r="AK301" s="115">
        <v>1.71</v>
      </c>
      <c r="AL301" s="115">
        <v>0.1006</v>
      </c>
      <c r="AM301" s="115">
        <v>83.87</v>
      </c>
      <c r="AN301" s="115">
        <v>83.87</v>
      </c>
      <c r="AO301" s="115">
        <v>66.6</v>
      </c>
      <c r="AP301" s="115">
        <v>55.98</v>
      </c>
      <c r="AQ301" s="115">
        <v>39.2751</v>
      </c>
      <c r="AR301" s="115">
        <v>3.759</v>
      </c>
      <c r="AS301" s="115">
        <v>35.5161</v>
      </c>
      <c r="AT301" s="115">
        <v>36.8254</v>
      </c>
      <c r="AU301" s="115">
        <v>0.2433</v>
      </c>
    </row>
    <row r="302" ht="15.75" customHeight="1">
      <c r="A302" s="116">
        <v>46200.0</v>
      </c>
      <c r="B302" s="115" t="s">
        <v>8</v>
      </c>
      <c r="C302" s="115" t="s">
        <v>128</v>
      </c>
      <c r="D302" s="115">
        <v>15399.0</v>
      </c>
      <c r="E302" s="115">
        <v>19.64</v>
      </c>
      <c r="F302" s="115">
        <v>74.46</v>
      </c>
      <c r="G302" s="115">
        <v>0.0048</v>
      </c>
      <c r="H302" s="115">
        <v>0.11</v>
      </c>
      <c r="I302" s="115">
        <v>4.38</v>
      </c>
      <c r="J302" s="115">
        <v>6.15</v>
      </c>
      <c r="K302" s="115">
        <v>2.63</v>
      </c>
      <c r="L302" s="115">
        <v>0.03</v>
      </c>
      <c r="M302" s="115">
        <v>0.013</v>
      </c>
      <c r="N302" s="115">
        <v>0.9888</v>
      </c>
      <c r="O302" s="115">
        <v>0.8536</v>
      </c>
      <c r="P302" s="115">
        <v>76.7121</v>
      </c>
      <c r="Q302" s="115">
        <v>26.79</v>
      </c>
      <c r="R302" s="115">
        <v>26.7</v>
      </c>
      <c r="S302" s="115">
        <v>0.09</v>
      </c>
      <c r="T302" s="115">
        <v>0.31</v>
      </c>
      <c r="U302" s="115">
        <v>26.48</v>
      </c>
      <c r="V302" s="115">
        <v>2.28</v>
      </c>
      <c r="W302" s="115">
        <v>0.8678</v>
      </c>
      <c r="X302" s="115">
        <v>1.14</v>
      </c>
      <c r="Y302" s="115">
        <v>214.0</v>
      </c>
      <c r="Z302" s="115">
        <v>2628.0</v>
      </c>
      <c r="AA302" s="115">
        <v>13013.0</v>
      </c>
      <c r="AB302" s="115">
        <v>49.495</v>
      </c>
      <c r="AC302" s="115">
        <v>0.5265</v>
      </c>
      <c r="AI302" s="115">
        <v>0.0</v>
      </c>
      <c r="AJ302" s="115">
        <v>0.0</v>
      </c>
      <c r="AK302" s="115">
        <v>0.0</v>
      </c>
      <c r="AL302" s="115">
        <v>0.2814</v>
      </c>
      <c r="AQ302" s="115">
        <v>1.182</v>
      </c>
      <c r="AR302" s="115">
        <v>0.0064</v>
      </c>
      <c r="AS302" s="115">
        <v>1.1757</v>
      </c>
      <c r="AT302" s="115">
        <v>0.4209</v>
      </c>
      <c r="AU302" s="115">
        <v>0.16</v>
      </c>
    </row>
    <row r="303" ht="15.75" customHeight="1">
      <c r="A303" s="116">
        <v>46200.0</v>
      </c>
      <c r="B303" s="115" t="s">
        <v>8</v>
      </c>
      <c r="C303" s="115" t="s">
        <v>129</v>
      </c>
      <c r="D303" s="115">
        <v>29539.0</v>
      </c>
      <c r="E303" s="115">
        <v>37.67</v>
      </c>
      <c r="F303" s="115">
        <v>3420.9</v>
      </c>
      <c r="G303" s="115">
        <v>0.1158</v>
      </c>
      <c r="H303" s="115">
        <v>3.5</v>
      </c>
      <c r="I303" s="115">
        <v>3.3116</v>
      </c>
      <c r="J303" s="115">
        <v>30.63</v>
      </c>
      <c r="K303" s="115">
        <v>15.19</v>
      </c>
      <c r="L303" s="115">
        <v>5.67</v>
      </c>
      <c r="M303" s="115">
        <v>0.3732</v>
      </c>
      <c r="N303" s="115">
        <v>0.7469</v>
      </c>
      <c r="O303" s="115">
        <v>0.5171</v>
      </c>
      <c r="P303" s="115">
        <v>2.6793</v>
      </c>
      <c r="Q303" s="115">
        <v>65.27</v>
      </c>
      <c r="R303" s="115">
        <v>53.46</v>
      </c>
      <c r="S303" s="115">
        <v>11.81</v>
      </c>
      <c r="T303" s="115">
        <v>6.93</v>
      </c>
      <c r="U303" s="115">
        <v>58.34</v>
      </c>
      <c r="V303" s="115">
        <v>66.52</v>
      </c>
      <c r="W303" s="115">
        <v>4.378</v>
      </c>
      <c r="X303" s="115">
        <v>10.62</v>
      </c>
      <c r="Y303" s="115">
        <v>110.0</v>
      </c>
      <c r="Z303" s="115">
        <v>455.0</v>
      </c>
      <c r="AA303" s="115">
        <v>3528.0</v>
      </c>
      <c r="AB303" s="115">
        <v>49.3282</v>
      </c>
      <c r="AC303" s="115">
        <v>0.4984</v>
      </c>
      <c r="AD303" s="115">
        <v>3.95</v>
      </c>
      <c r="AE303" s="115">
        <v>1.0</v>
      </c>
      <c r="AF303" s="115">
        <v>2.0</v>
      </c>
      <c r="AG303" s="115">
        <v>5.0</v>
      </c>
      <c r="AH303" s="115">
        <v>9.0</v>
      </c>
      <c r="AI303" s="115">
        <v>70.93</v>
      </c>
      <c r="AJ303" s="115">
        <v>29.65</v>
      </c>
      <c r="AK303" s="115">
        <v>8.95</v>
      </c>
      <c r="AL303" s="115">
        <v>0.2379</v>
      </c>
      <c r="AQ303" s="115">
        <v>3.5346</v>
      </c>
      <c r="AR303" s="115">
        <v>0.0905</v>
      </c>
      <c r="AS303" s="115">
        <v>3.4441</v>
      </c>
      <c r="AT303" s="115">
        <v>3.458</v>
      </c>
      <c r="AU303" s="115">
        <v>0.2276</v>
      </c>
    </row>
    <row r="304" ht="15.75" customHeight="1">
      <c r="A304" s="116">
        <v>46200.0</v>
      </c>
      <c r="B304" s="115" t="s">
        <v>8</v>
      </c>
      <c r="C304" s="115" t="s">
        <v>130</v>
      </c>
      <c r="D304" s="115">
        <v>18414.0</v>
      </c>
      <c r="E304" s="115">
        <v>23.48</v>
      </c>
      <c r="F304" s="115">
        <v>6683.51</v>
      </c>
      <c r="G304" s="115">
        <v>0.363</v>
      </c>
      <c r="H304" s="115">
        <v>7.83</v>
      </c>
      <c r="I304" s="115">
        <v>4.6381</v>
      </c>
      <c r="J304" s="115">
        <v>54.39</v>
      </c>
      <c r="K304" s="115">
        <v>27.71</v>
      </c>
      <c r="L304" s="115">
        <v>13.65</v>
      </c>
      <c r="M304" s="115">
        <v>0.4926</v>
      </c>
      <c r="N304" s="115">
        <v>0.6457</v>
      </c>
      <c r="O304" s="115">
        <v>0.4171</v>
      </c>
      <c r="P304" s="115">
        <v>2.0299</v>
      </c>
      <c r="Q304" s="115">
        <v>124.26</v>
      </c>
      <c r="R304" s="115">
        <v>95.64</v>
      </c>
      <c r="S304" s="115">
        <v>28.62</v>
      </c>
      <c r="T304" s="115">
        <v>21.72</v>
      </c>
      <c r="U304" s="115">
        <v>102.54</v>
      </c>
      <c r="V304" s="115">
        <v>126.25</v>
      </c>
      <c r="W304" s="115">
        <v>4.5554</v>
      </c>
      <c r="X304" s="115">
        <v>17.48</v>
      </c>
      <c r="Y304" s="115">
        <v>107.0</v>
      </c>
      <c r="Z304" s="115">
        <v>420.0</v>
      </c>
      <c r="AA304" s="115">
        <v>3084.0</v>
      </c>
      <c r="AB304" s="115">
        <v>52.5518</v>
      </c>
      <c r="AC304" s="115">
        <v>0.6142</v>
      </c>
      <c r="AD304" s="115">
        <v>9.27</v>
      </c>
      <c r="AE304" s="115">
        <v>3.0</v>
      </c>
      <c r="AF304" s="115">
        <v>7.0</v>
      </c>
      <c r="AG304" s="115">
        <v>13.0</v>
      </c>
      <c r="AH304" s="115">
        <v>20.0</v>
      </c>
      <c r="AI304" s="115">
        <v>59.16</v>
      </c>
      <c r="AJ304" s="115">
        <v>25.81</v>
      </c>
      <c r="AK304" s="115">
        <v>4.65</v>
      </c>
      <c r="AL304" s="115">
        <v>0.1993</v>
      </c>
      <c r="AQ304" s="115">
        <v>6.6651</v>
      </c>
      <c r="AR304" s="115">
        <v>0.263</v>
      </c>
      <c r="AS304" s="115">
        <v>6.4021</v>
      </c>
      <c r="AT304" s="115">
        <v>6.5781</v>
      </c>
      <c r="AU304" s="115">
        <v>0.2373</v>
      </c>
    </row>
    <row r="305" ht="15.75" customHeight="1">
      <c r="A305" s="116">
        <v>46200.0</v>
      </c>
      <c r="B305" s="115" t="s">
        <v>8</v>
      </c>
      <c r="C305" s="115" t="s">
        <v>131</v>
      </c>
      <c r="D305" s="115">
        <v>10273.0</v>
      </c>
      <c r="E305" s="115">
        <v>13.1</v>
      </c>
      <c r="F305" s="115">
        <v>8858.18</v>
      </c>
      <c r="G305" s="115">
        <v>0.8623</v>
      </c>
      <c r="H305" s="115">
        <v>12.08</v>
      </c>
      <c r="I305" s="115">
        <v>7.1379</v>
      </c>
      <c r="J305" s="115">
        <v>80.17</v>
      </c>
      <c r="K305" s="115">
        <v>43.14</v>
      </c>
      <c r="L305" s="115">
        <v>26.69</v>
      </c>
      <c r="M305" s="115">
        <v>0.6186</v>
      </c>
      <c r="N305" s="115">
        <v>0.5267</v>
      </c>
      <c r="O305" s="115">
        <v>0.3346</v>
      </c>
      <c r="P305" s="115">
        <v>1.6166</v>
      </c>
      <c r="Q305" s="115">
        <v>224.42</v>
      </c>
      <c r="R305" s="115">
        <v>168.0</v>
      </c>
      <c r="S305" s="115">
        <v>56.42</v>
      </c>
      <c r="T305" s="115">
        <v>50.99</v>
      </c>
      <c r="U305" s="115">
        <v>173.44</v>
      </c>
      <c r="V305" s="115">
        <v>230.73</v>
      </c>
      <c r="W305" s="115">
        <v>5.3477</v>
      </c>
      <c r="X305" s="115">
        <v>22.72</v>
      </c>
      <c r="Y305" s="115">
        <v>117.0</v>
      </c>
      <c r="Z305" s="115">
        <v>514.0</v>
      </c>
      <c r="AA305" s="115">
        <v>3665.0</v>
      </c>
      <c r="AB305" s="115">
        <v>55.4967</v>
      </c>
      <c r="AC305" s="115">
        <v>0.7163</v>
      </c>
      <c r="AD305" s="115">
        <v>18.17</v>
      </c>
      <c r="AE305" s="115">
        <v>7.0</v>
      </c>
      <c r="AF305" s="115">
        <v>14.0</v>
      </c>
      <c r="AG305" s="115">
        <v>25.0</v>
      </c>
      <c r="AH305" s="115">
        <v>38.0</v>
      </c>
      <c r="AI305" s="115">
        <v>59.75</v>
      </c>
      <c r="AJ305" s="115">
        <v>24.28</v>
      </c>
      <c r="AK305" s="115">
        <v>7.84</v>
      </c>
      <c r="AL305" s="115">
        <v>0.1889</v>
      </c>
      <c r="AQ305" s="115">
        <v>11.3383</v>
      </c>
      <c r="AR305" s="115">
        <v>0.6448</v>
      </c>
      <c r="AS305" s="115">
        <v>10.6935</v>
      </c>
      <c r="AT305" s="115">
        <v>11.1505</v>
      </c>
      <c r="AU305" s="115">
        <v>0.2584</v>
      </c>
    </row>
    <row r="306" ht="15.75" customHeight="1">
      <c r="A306" s="116">
        <v>46200.0</v>
      </c>
      <c r="B306" s="115" t="s">
        <v>8</v>
      </c>
      <c r="C306" s="115" t="s">
        <v>132</v>
      </c>
      <c r="D306" s="115">
        <v>4309.0</v>
      </c>
      <c r="E306" s="115">
        <v>5.49</v>
      </c>
      <c r="F306" s="115">
        <v>6358.98</v>
      </c>
      <c r="G306" s="115">
        <v>1.4757</v>
      </c>
      <c r="H306" s="115">
        <v>14.04</v>
      </c>
      <c r="I306" s="115">
        <v>10.5107</v>
      </c>
      <c r="J306" s="115">
        <v>131.29</v>
      </c>
      <c r="K306" s="115">
        <v>74.57</v>
      </c>
      <c r="L306" s="115">
        <v>55.61</v>
      </c>
      <c r="M306" s="115">
        <v>0.7458</v>
      </c>
      <c r="N306" s="115">
        <v>0.4001</v>
      </c>
      <c r="O306" s="115">
        <v>0.2619</v>
      </c>
      <c r="P306" s="115">
        <v>1.3409</v>
      </c>
      <c r="Q306" s="115">
        <v>417.88</v>
      </c>
      <c r="R306" s="115">
        <v>300.67</v>
      </c>
      <c r="S306" s="115">
        <v>117.21</v>
      </c>
      <c r="T306" s="115">
        <v>92.43</v>
      </c>
      <c r="U306" s="115">
        <v>325.45</v>
      </c>
      <c r="V306" s="115">
        <v>430.92</v>
      </c>
      <c r="W306" s="115">
        <v>5.7787</v>
      </c>
      <c r="X306" s="115">
        <v>22.12</v>
      </c>
      <c r="Y306" s="115">
        <v>169.0</v>
      </c>
      <c r="Z306" s="115">
        <v>1038.0</v>
      </c>
      <c r="AA306" s="115">
        <v>5557.0</v>
      </c>
      <c r="AB306" s="115">
        <v>58.9548</v>
      </c>
      <c r="AC306" s="115">
        <v>0.8062</v>
      </c>
      <c r="AD306" s="115">
        <v>37.66</v>
      </c>
      <c r="AE306" s="115">
        <v>14.0</v>
      </c>
      <c r="AF306" s="115">
        <v>29.0</v>
      </c>
      <c r="AG306" s="115">
        <v>52.0</v>
      </c>
      <c r="AH306" s="115">
        <v>80.0</v>
      </c>
      <c r="AI306" s="115">
        <v>52.29</v>
      </c>
      <c r="AJ306" s="115">
        <v>19.94</v>
      </c>
      <c r="AK306" s="115">
        <v>5.29</v>
      </c>
      <c r="AL306" s="115">
        <v>0.155</v>
      </c>
      <c r="AQ306" s="115">
        <v>18.2683</v>
      </c>
      <c r="AR306" s="115">
        <v>1.2314</v>
      </c>
      <c r="AS306" s="115">
        <v>17.0369</v>
      </c>
      <c r="AT306" s="115">
        <v>18.446</v>
      </c>
      <c r="AU306" s="115">
        <v>0.2474</v>
      </c>
    </row>
    <row r="307" ht="15.75" customHeight="1">
      <c r="A307" s="116">
        <v>46200.0</v>
      </c>
      <c r="B307" s="115" t="s">
        <v>8</v>
      </c>
      <c r="C307" s="115" t="s">
        <v>133</v>
      </c>
      <c r="D307" s="115">
        <v>485.0</v>
      </c>
      <c r="E307" s="115">
        <v>0.62</v>
      </c>
      <c r="F307" s="115">
        <v>1442.41</v>
      </c>
      <c r="G307" s="115">
        <v>2.974</v>
      </c>
      <c r="H307" s="115">
        <v>14.43</v>
      </c>
      <c r="I307" s="115">
        <v>20.6059</v>
      </c>
      <c r="J307" s="115">
        <v>231.46</v>
      </c>
      <c r="K307" s="115">
        <v>143.42</v>
      </c>
      <c r="L307" s="115">
        <v>119.44</v>
      </c>
      <c r="M307" s="115">
        <v>0.8328</v>
      </c>
      <c r="N307" s="115">
        <v>0.2992</v>
      </c>
      <c r="O307" s="115">
        <v>0.2033</v>
      </c>
      <c r="P307" s="115">
        <v>1.2008</v>
      </c>
      <c r="Q307" s="115">
        <v>800.51</v>
      </c>
      <c r="R307" s="115">
        <v>546.19</v>
      </c>
      <c r="S307" s="115">
        <v>254.32</v>
      </c>
      <c r="T307" s="115">
        <v>203.51</v>
      </c>
      <c r="U307" s="115">
        <v>597.0</v>
      </c>
      <c r="V307" s="115">
        <v>905.26</v>
      </c>
      <c r="W307" s="115">
        <v>6.3118</v>
      </c>
      <c r="X307" s="115">
        <v>25.42</v>
      </c>
      <c r="Y307" s="115">
        <v>295.0</v>
      </c>
      <c r="Z307" s="115">
        <v>1903.0</v>
      </c>
      <c r="AA307" s="115">
        <v>8751.0</v>
      </c>
      <c r="AB307" s="115">
        <v>62.598</v>
      </c>
      <c r="AC307" s="115">
        <v>0.8716</v>
      </c>
      <c r="AD307" s="115">
        <v>83.51</v>
      </c>
      <c r="AE307" s="115">
        <v>32.0</v>
      </c>
      <c r="AF307" s="115">
        <v>69.0</v>
      </c>
      <c r="AG307" s="115">
        <v>120.0</v>
      </c>
      <c r="AH307" s="115">
        <v>168.0</v>
      </c>
      <c r="AI307" s="115">
        <v>45.36</v>
      </c>
      <c r="AJ307" s="115">
        <v>8.87</v>
      </c>
      <c r="AK307" s="115">
        <v>1.44</v>
      </c>
      <c r="AL307" s="115">
        <v>0.1093</v>
      </c>
      <c r="AQ307" s="115">
        <v>33.0825</v>
      </c>
      <c r="AR307" s="115">
        <v>4.9134</v>
      </c>
      <c r="AS307" s="115">
        <v>28.1691</v>
      </c>
      <c r="AT307" s="115">
        <v>36.1979</v>
      </c>
      <c r="AU307" s="115">
        <v>0.2524</v>
      </c>
    </row>
    <row r="308" ht="15.75" customHeight="1">
      <c r="A308" s="116">
        <v>46200.0</v>
      </c>
      <c r="B308" s="115" t="s">
        <v>9</v>
      </c>
      <c r="C308" s="115" t="s">
        <v>128</v>
      </c>
      <c r="D308" s="115">
        <v>15755.0</v>
      </c>
      <c r="E308" s="115">
        <v>20.18</v>
      </c>
      <c r="F308" s="115">
        <v>51.0</v>
      </c>
      <c r="G308" s="115">
        <v>0.0032</v>
      </c>
      <c r="H308" s="115">
        <v>0.1</v>
      </c>
      <c r="I308" s="115">
        <v>3.4</v>
      </c>
      <c r="J308" s="115">
        <v>6.41</v>
      </c>
      <c r="K308" s="115">
        <v>2.77</v>
      </c>
      <c r="L308" s="115">
        <v>0.07</v>
      </c>
      <c r="M308" s="115">
        <v>0.0246</v>
      </c>
      <c r="N308" s="115">
        <v>0.9773</v>
      </c>
      <c r="O308" s="115">
        <v>0.7111</v>
      </c>
      <c r="P308" s="115">
        <v>40.6322</v>
      </c>
      <c r="Q308" s="115">
        <v>22.54</v>
      </c>
      <c r="R308" s="115">
        <v>22.5</v>
      </c>
      <c r="S308" s="115">
        <v>0.04</v>
      </c>
      <c r="T308" s="115">
        <v>0.24</v>
      </c>
      <c r="U308" s="115">
        <v>22.29</v>
      </c>
      <c r="V308" s="115">
        <v>2.48</v>
      </c>
      <c r="W308" s="115">
        <v>0.896</v>
      </c>
      <c r="X308" s="115">
        <v>1.09</v>
      </c>
      <c r="Y308" s="115">
        <v>193.0</v>
      </c>
      <c r="Z308" s="115">
        <v>2180.0</v>
      </c>
      <c r="AA308" s="115">
        <v>11864.0</v>
      </c>
      <c r="AB308" s="115">
        <v>49.3398</v>
      </c>
      <c r="AC308" s="115">
        <v>0.5211</v>
      </c>
      <c r="AI308" s="115">
        <v>0.0</v>
      </c>
      <c r="AJ308" s="115">
        <v>0.0</v>
      </c>
      <c r="AK308" s="115">
        <v>0.0</v>
      </c>
      <c r="AL308" s="115">
        <v>0.2891</v>
      </c>
      <c r="AM308" s="115">
        <v>0.21</v>
      </c>
      <c r="AN308" s="115">
        <v>0.21</v>
      </c>
      <c r="AO308" s="115">
        <v>0.1</v>
      </c>
      <c r="AP308" s="115">
        <v>0.04</v>
      </c>
      <c r="AQ308" s="115">
        <v>1.1778</v>
      </c>
      <c r="AR308" s="115">
        <v>0.0056</v>
      </c>
      <c r="AS308" s="115">
        <v>1.1722</v>
      </c>
      <c r="AT308" s="115">
        <v>0.4765</v>
      </c>
      <c r="AU308" s="115">
        <v>0.172</v>
      </c>
    </row>
    <row r="309" ht="15.75" customHeight="1">
      <c r="A309" s="116">
        <v>46200.0</v>
      </c>
      <c r="B309" s="115" t="s">
        <v>9</v>
      </c>
      <c r="C309" s="115" t="s">
        <v>129</v>
      </c>
      <c r="D309" s="115">
        <v>28190.0</v>
      </c>
      <c r="E309" s="115">
        <v>36.11</v>
      </c>
      <c r="F309" s="115">
        <v>3097.01</v>
      </c>
      <c r="G309" s="115">
        <v>0.1099</v>
      </c>
      <c r="H309" s="115">
        <v>3.42</v>
      </c>
      <c r="I309" s="115">
        <v>3.216</v>
      </c>
      <c r="J309" s="115">
        <v>31.64</v>
      </c>
      <c r="K309" s="115">
        <v>15.54</v>
      </c>
      <c r="L309" s="115">
        <v>5.65</v>
      </c>
      <c r="M309" s="115">
        <v>0.3634</v>
      </c>
      <c r="N309" s="115">
        <v>0.7509</v>
      </c>
      <c r="O309" s="115">
        <v>0.5158</v>
      </c>
      <c r="P309" s="115">
        <v>2.752</v>
      </c>
      <c r="Q309" s="115">
        <v>57.13</v>
      </c>
      <c r="R309" s="115">
        <v>52.88</v>
      </c>
      <c r="S309" s="115">
        <v>4.26</v>
      </c>
      <c r="T309" s="115">
        <v>6.49</v>
      </c>
      <c r="U309" s="115">
        <v>50.64</v>
      </c>
      <c r="V309" s="115">
        <v>60.06</v>
      </c>
      <c r="W309" s="115">
        <v>3.8646</v>
      </c>
      <c r="X309" s="115">
        <v>11.37</v>
      </c>
      <c r="Y309" s="115">
        <v>100.0</v>
      </c>
      <c r="Z309" s="115">
        <v>432.0</v>
      </c>
      <c r="AA309" s="115">
        <v>3259.0</v>
      </c>
      <c r="AB309" s="115">
        <v>49.3688</v>
      </c>
      <c r="AC309" s="115">
        <v>0.499</v>
      </c>
      <c r="AD309" s="115">
        <v>3.91</v>
      </c>
      <c r="AE309" s="115">
        <v>1.0</v>
      </c>
      <c r="AF309" s="115">
        <v>2.0</v>
      </c>
      <c r="AG309" s="115">
        <v>5.0</v>
      </c>
      <c r="AH309" s="115">
        <v>9.0</v>
      </c>
      <c r="AI309" s="115">
        <v>70.34</v>
      </c>
      <c r="AJ309" s="115">
        <v>29.17</v>
      </c>
      <c r="AK309" s="115">
        <v>8.73</v>
      </c>
      <c r="AL309" s="115">
        <v>0.2385</v>
      </c>
      <c r="AM309" s="115">
        <v>53.36</v>
      </c>
      <c r="AN309" s="115">
        <v>53.36</v>
      </c>
      <c r="AO309" s="115">
        <v>22.54</v>
      </c>
      <c r="AP309" s="115">
        <v>6.85</v>
      </c>
      <c r="AQ309" s="115">
        <v>3.9033</v>
      </c>
      <c r="AR309" s="115">
        <v>0.086</v>
      </c>
      <c r="AS309" s="115">
        <v>3.8173</v>
      </c>
      <c r="AT309" s="115">
        <v>3.7323</v>
      </c>
      <c r="AU309" s="115">
        <v>0.2401</v>
      </c>
    </row>
    <row r="310" ht="15.75" customHeight="1">
      <c r="A310" s="116">
        <v>46200.0</v>
      </c>
      <c r="B310" s="115" t="s">
        <v>9</v>
      </c>
      <c r="C310" s="115" t="s">
        <v>130</v>
      </c>
      <c r="D310" s="115">
        <v>18503.0</v>
      </c>
      <c r="E310" s="115">
        <v>23.7</v>
      </c>
      <c r="F310" s="115">
        <v>7371.9</v>
      </c>
      <c r="G310" s="115">
        <v>0.3984</v>
      </c>
      <c r="H310" s="115">
        <v>8.26</v>
      </c>
      <c r="I310" s="115">
        <v>4.8214</v>
      </c>
      <c r="J310" s="115">
        <v>56.29</v>
      </c>
      <c r="K310" s="115">
        <v>28.65</v>
      </c>
      <c r="L310" s="115">
        <v>13.72</v>
      </c>
      <c r="M310" s="115">
        <v>0.479</v>
      </c>
      <c r="N310" s="115">
        <v>0.654</v>
      </c>
      <c r="O310" s="115">
        <v>0.4191</v>
      </c>
      <c r="P310" s="115">
        <v>2.0878</v>
      </c>
      <c r="Q310" s="115">
        <v>117.53</v>
      </c>
      <c r="R310" s="115">
        <v>107.04</v>
      </c>
      <c r="S310" s="115">
        <v>10.49</v>
      </c>
      <c r="T310" s="115">
        <v>23.72</v>
      </c>
      <c r="U310" s="115">
        <v>93.81</v>
      </c>
      <c r="V310" s="115">
        <v>120.28</v>
      </c>
      <c r="W310" s="115">
        <v>4.1983</v>
      </c>
      <c r="X310" s="115">
        <v>20.18</v>
      </c>
      <c r="Y310" s="115">
        <v>100.0</v>
      </c>
      <c r="Z310" s="115">
        <v>400.0</v>
      </c>
      <c r="AA310" s="115">
        <v>2913.0</v>
      </c>
      <c r="AB310" s="115">
        <v>52.4872</v>
      </c>
      <c r="AC310" s="115">
        <v>0.61</v>
      </c>
      <c r="AD310" s="115">
        <v>9.36</v>
      </c>
      <c r="AE310" s="115">
        <v>3.0</v>
      </c>
      <c r="AF310" s="115">
        <v>7.0</v>
      </c>
      <c r="AG310" s="115">
        <v>13.0</v>
      </c>
      <c r="AH310" s="115">
        <v>20.0</v>
      </c>
      <c r="AI310" s="115">
        <v>58.49</v>
      </c>
      <c r="AJ310" s="115">
        <v>26.31</v>
      </c>
      <c r="AK310" s="115">
        <v>5.08</v>
      </c>
      <c r="AL310" s="115">
        <v>0.2047</v>
      </c>
      <c r="AM310" s="115">
        <v>65.71</v>
      </c>
      <c r="AN310" s="115">
        <v>65.71</v>
      </c>
      <c r="AO310" s="115">
        <v>39.91</v>
      </c>
      <c r="AP310" s="115">
        <v>18.88</v>
      </c>
      <c r="AQ310" s="115">
        <v>7.4797</v>
      </c>
      <c r="AR310" s="115">
        <v>0.3072</v>
      </c>
      <c r="AS310" s="115">
        <v>7.1725</v>
      </c>
      <c r="AT310" s="115">
        <v>7.1302</v>
      </c>
      <c r="AU310" s="115">
        <v>0.2489</v>
      </c>
    </row>
    <row r="311" ht="15.75" customHeight="1">
      <c r="A311" s="116">
        <v>46200.0</v>
      </c>
      <c r="B311" s="115" t="s">
        <v>9</v>
      </c>
      <c r="C311" s="115" t="s">
        <v>131</v>
      </c>
      <c r="D311" s="115">
        <v>10399.0</v>
      </c>
      <c r="E311" s="115">
        <v>13.32</v>
      </c>
      <c r="F311" s="115">
        <v>7916.72</v>
      </c>
      <c r="G311" s="115">
        <v>0.7613</v>
      </c>
      <c r="H311" s="115">
        <v>10.95</v>
      </c>
      <c r="I311" s="115">
        <v>6.9506</v>
      </c>
      <c r="J311" s="115">
        <v>82.41</v>
      </c>
      <c r="K311" s="115">
        <v>43.96</v>
      </c>
      <c r="L311" s="115">
        <v>26.63</v>
      </c>
      <c r="M311" s="115">
        <v>0.6058</v>
      </c>
      <c r="N311" s="115">
        <v>0.5354</v>
      </c>
      <c r="O311" s="115">
        <v>0.3368</v>
      </c>
      <c r="P311" s="115">
        <v>1.6507</v>
      </c>
      <c r="Q311" s="115">
        <v>214.11</v>
      </c>
      <c r="R311" s="115">
        <v>193.62</v>
      </c>
      <c r="S311" s="115">
        <v>20.49</v>
      </c>
      <c r="T311" s="115">
        <v>47.07</v>
      </c>
      <c r="U311" s="115">
        <v>167.04</v>
      </c>
      <c r="V311" s="115">
        <v>214.73</v>
      </c>
      <c r="W311" s="115">
        <v>4.8847</v>
      </c>
      <c r="X311" s="115">
        <v>21.98</v>
      </c>
      <c r="Y311" s="115">
        <v>115.0</v>
      </c>
      <c r="Z311" s="115">
        <v>525.0</v>
      </c>
      <c r="AA311" s="115">
        <v>3833.0</v>
      </c>
      <c r="AB311" s="115">
        <v>55.5043</v>
      </c>
      <c r="AC311" s="115">
        <v>0.7189</v>
      </c>
      <c r="AD311" s="115">
        <v>18.11</v>
      </c>
      <c r="AE311" s="115">
        <v>7.0</v>
      </c>
      <c r="AF311" s="115">
        <v>14.0</v>
      </c>
      <c r="AG311" s="115">
        <v>25.0</v>
      </c>
      <c r="AH311" s="115">
        <v>38.0</v>
      </c>
      <c r="AI311" s="115">
        <v>60.04</v>
      </c>
      <c r="AJ311" s="115">
        <v>24.01</v>
      </c>
      <c r="AK311" s="115">
        <v>8.04</v>
      </c>
      <c r="AL311" s="115">
        <v>0.1939</v>
      </c>
      <c r="AM311" s="115">
        <v>67.88</v>
      </c>
      <c r="AN311" s="115">
        <v>67.88</v>
      </c>
      <c r="AO311" s="115">
        <v>46.49</v>
      </c>
      <c r="AP311" s="115">
        <v>25.6</v>
      </c>
      <c r="AQ311" s="115">
        <v>12.2083</v>
      </c>
      <c r="AR311" s="115">
        <v>0.5649</v>
      </c>
      <c r="AS311" s="115">
        <v>11.6434</v>
      </c>
      <c r="AT311" s="115">
        <v>11.6015</v>
      </c>
      <c r="AU311" s="115">
        <v>0.2639</v>
      </c>
    </row>
    <row r="312" ht="15.75" customHeight="1">
      <c r="A312" s="116">
        <v>46200.0</v>
      </c>
      <c r="B312" s="115" t="s">
        <v>9</v>
      </c>
      <c r="C312" s="115" t="s">
        <v>132</v>
      </c>
      <c r="D312" s="115">
        <v>4686.0</v>
      </c>
      <c r="E312" s="115">
        <v>6.0</v>
      </c>
      <c r="F312" s="115">
        <v>8693.52</v>
      </c>
      <c r="G312" s="115">
        <v>1.8552</v>
      </c>
      <c r="H312" s="115">
        <v>14.98</v>
      </c>
      <c r="I312" s="115">
        <v>12.3839</v>
      </c>
      <c r="J312" s="115">
        <v>131.68</v>
      </c>
      <c r="K312" s="115">
        <v>74.32</v>
      </c>
      <c r="L312" s="115">
        <v>55.7</v>
      </c>
      <c r="M312" s="115">
        <v>0.7494</v>
      </c>
      <c r="N312" s="115">
        <v>0.395</v>
      </c>
      <c r="O312" s="115">
        <v>0.2575</v>
      </c>
      <c r="P312" s="115">
        <v>1.3344</v>
      </c>
      <c r="Q312" s="115">
        <v>432.38</v>
      </c>
      <c r="R312" s="115">
        <v>390.06</v>
      </c>
      <c r="S312" s="115">
        <v>42.32</v>
      </c>
      <c r="T312" s="115">
        <v>112.61</v>
      </c>
      <c r="U312" s="115">
        <v>319.77</v>
      </c>
      <c r="V312" s="115">
        <v>439.05</v>
      </c>
      <c r="W312" s="115">
        <v>5.9076</v>
      </c>
      <c r="X312" s="115">
        <v>26.04</v>
      </c>
      <c r="Y312" s="115">
        <v>166.0</v>
      </c>
      <c r="Z312" s="115">
        <v>970.0</v>
      </c>
      <c r="AA312" s="115">
        <v>5377.0</v>
      </c>
      <c r="AB312" s="115">
        <v>59.1287</v>
      </c>
      <c r="AC312" s="115">
        <v>0.8169</v>
      </c>
      <c r="AD312" s="115">
        <v>38.92</v>
      </c>
      <c r="AE312" s="115">
        <v>15.0</v>
      </c>
      <c r="AF312" s="115">
        <v>30.0</v>
      </c>
      <c r="AG312" s="115">
        <v>54.0</v>
      </c>
      <c r="AH312" s="115">
        <v>83.0</v>
      </c>
      <c r="AI312" s="115">
        <v>53.24</v>
      </c>
      <c r="AJ312" s="115">
        <v>21.6</v>
      </c>
      <c r="AK312" s="115">
        <v>5.87</v>
      </c>
      <c r="AL312" s="115">
        <v>0.1528</v>
      </c>
      <c r="AM312" s="115">
        <v>72.71</v>
      </c>
      <c r="AN312" s="115">
        <v>72.71</v>
      </c>
      <c r="AO312" s="115">
        <v>54.69</v>
      </c>
      <c r="AP312" s="115">
        <v>38.65</v>
      </c>
      <c r="AQ312" s="115">
        <v>19.9144</v>
      </c>
      <c r="AR312" s="115">
        <v>1.611</v>
      </c>
      <c r="AS312" s="115">
        <v>18.3035</v>
      </c>
      <c r="AT312" s="115">
        <v>19.6686</v>
      </c>
      <c r="AU312" s="115">
        <v>0.2646</v>
      </c>
    </row>
    <row r="313" ht="15.75" customHeight="1">
      <c r="A313" s="116">
        <v>46200.0</v>
      </c>
      <c r="B313" s="115" t="s">
        <v>9</v>
      </c>
      <c r="C313" s="115" t="s">
        <v>133</v>
      </c>
      <c r="D313" s="115">
        <v>529.0</v>
      </c>
      <c r="E313" s="115">
        <v>0.68</v>
      </c>
      <c r="F313" s="115">
        <v>1647.02</v>
      </c>
      <c r="G313" s="115">
        <v>3.1135</v>
      </c>
      <c r="H313" s="115">
        <v>18.15</v>
      </c>
      <c r="I313" s="115">
        <v>17.1565</v>
      </c>
      <c r="J313" s="115">
        <v>242.36</v>
      </c>
      <c r="K313" s="115">
        <v>148.23</v>
      </c>
      <c r="L313" s="115">
        <v>123.02</v>
      </c>
      <c r="M313" s="115">
        <v>0.8299</v>
      </c>
      <c r="N313" s="115">
        <v>0.2992</v>
      </c>
      <c r="O313" s="115">
        <v>0.2009</v>
      </c>
      <c r="P313" s="115">
        <v>1.205</v>
      </c>
      <c r="Q313" s="115">
        <v>729.99</v>
      </c>
      <c r="R313" s="115">
        <v>636.54</v>
      </c>
      <c r="S313" s="115">
        <v>93.45</v>
      </c>
      <c r="T313" s="115">
        <v>184.4</v>
      </c>
      <c r="U313" s="115">
        <v>545.59</v>
      </c>
      <c r="V313" s="115">
        <v>907.84</v>
      </c>
      <c r="W313" s="115">
        <v>6.1246</v>
      </c>
      <c r="X313" s="115">
        <v>25.26</v>
      </c>
      <c r="Y313" s="115">
        <v>290.0</v>
      </c>
      <c r="Z313" s="115">
        <v>1831.0</v>
      </c>
      <c r="AA313" s="115">
        <v>8360.0</v>
      </c>
      <c r="AB313" s="115">
        <v>62.9025</v>
      </c>
      <c r="AC313" s="115">
        <v>0.8641</v>
      </c>
      <c r="AD313" s="115">
        <v>84.85</v>
      </c>
      <c r="AE313" s="115">
        <v>32.0</v>
      </c>
      <c r="AF313" s="115">
        <v>72.0</v>
      </c>
      <c r="AG313" s="115">
        <v>121.0</v>
      </c>
      <c r="AH313" s="115">
        <v>171.0</v>
      </c>
      <c r="AI313" s="115">
        <v>46.69</v>
      </c>
      <c r="AJ313" s="115">
        <v>9.45</v>
      </c>
      <c r="AK313" s="115">
        <v>1.32</v>
      </c>
      <c r="AL313" s="115">
        <v>0.0926</v>
      </c>
      <c r="AM313" s="115">
        <v>81.85</v>
      </c>
      <c r="AN313" s="115">
        <v>81.85</v>
      </c>
      <c r="AO313" s="115">
        <v>66.73</v>
      </c>
      <c r="AP313" s="115">
        <v>55.39</v>
      </c>
      <c r="AQ313" s="115">
        <v>35.4234</v>
      </c>
      <c r="AR313" s="115">
        <v>5.5142</v>
      </c>
      <c r="AS313" s="115">
        <v>29.9093</v>
      </c>
      <c r="AT313" s="115">
        <v>31.9244</v>
      </c>
      <c r="AU313" s="115">
        <v>0.2154</v>
      </c>
    </row>
    <row r="314" ht="15.75" customHeight="1">
      <c r="A314" s="116">
        <v>46201.0</v>
      </c>
      <c r="B314" s="115" t="s">
        <v>8</v>
      </c>
      <c r="C314" s="115" t="s">
        <v>128</v>
      </c>
      <c r="D314" s="115">
        <v>15391.0</v>
      </c>
      <c r="E314" s="115">
        <v>19.35</v>
      </c>
      <c r="F314" s="115">
        <v>51.59</v>
      </c>
      <c r="G314" s="115">
        <v>0.0034</v>
      </c>
      <c r="H314" s="115">
        <v>0.06</v>
      </c>
      <c r="I314" s="115">
        <v>5.7322</v>
      </c>
      <c r="J314" s="115">
        <v>6.39</v>
      </c>
      <c r="K314" s="115">
        <v>2.76</v>
      </c>
      <c r="L314" s="115">
        <v>0.01</v>
      </c>
      <c r="M314" s="115">
        <v>0.0019</v>
      </c>
      <c r="N314" s="115">
        <v>0.9985</v>
      </c>
      <c r="O314" s="115">
        <v>0.9729</v>
      </c>
      <c r="P314" s="115">
        <v>531.4875</v>
      </c>
      <c r="Q314" s="115">
        <v>23.22</v>
      </c>
      <c r="R314" s="115">
        <v>23.13</v>
      </c>
      <c r="S314" s="115">
        <v>0.09</v>
      </c>
      <c r="T314" s="115">
        <v>0.2</v>
      </c>
      <c r="U314" s="115">
        <v>23.02</v>
      </c>
      <c r="V314" s="115">
        <v>1.87</v>
      </c>
      <c r="W314" s="115">
        <v>0.6773</v>
      </c>
      <c r="X314" s="115">
        <v>0.87</v>
      </c>
      <c r="Y314" s="115">
        <v>204.0</v>
      </c>
      <c r="Z314" s="115">
        <v>2767.0</v>
      </c>
      <c r="AA314" s="115">
        <v>13565.0</v>
      </c>
      <c r="AB314" s="115">
        <v>49.7657</v>
      </c>
      <c r="AC314" s="115">
        <v>0.5402</v>
      </c>
      <c r="AI314" s="115">
        <v>0.0</v>
      </c>
      <c r="AJ314" s="115">
        <v>0.0</v>
      </c>
      <c r="AK314" s="115">
        <v>0.0</v>
      </c>
      <c r="AL314" s="115">
        <v>0.2842</v>
      </c>
      <c r="AQ314" s="115">
        <v>0.8249</v>
      </c>
      <c r="AR314" s="115">
        <v>0.0052</v>
      </c>
      <c r="AS314" s="115">
        <v>0.8197</v>
      </c>
      <c r="AT314" s="115">
        <v>0.3874</v>
      </c>
      <c r="AU314" s="115">
        <v>0.1402</v>
      </c>
    </row>
    <row r="315" ht="15.75" customHeight="1">
      <c r="A315" s="116">
        <v>46201.0</v>
      </c>
      <c r="B315" s="115" t="s">
        <v>8</v>
      </c>
      <c r="C315" s="115" t="s">
        <v>129</v>
      </c>
      <c r="D315" s="115">
        <v>29948.0</v>
      </c>
      <c r="E315" s="115">
        <v>37.65</v>
      </c>
      <c r="F315" s="115">
        <v>3228.59</v>
      </c>
      <c r="G315" s="115">
        <v>0.1078</v>
      </c>
      <c r="H315" s="115">
        <v>3.25</v>
      </c>
      <c r="I315" s="115">
        <v>3.3216</v>
      </c>
      <c r="J315" s="115">
        <v>33.28</v>
      </c>
      <c r="K315" s="115">
        <v>16.76</v>
      </c>
      <c r="L315" s="115">
        <v>5.64</v>
      </c>
      <c r="M315" s="115">
        <v>0.3364</v>
      </c>
      <c r="N315" s="115">
        <v>0.7727</v>
      </c>
      <c r="O315" s="115">
        <v>0.5358</v>
      </c>
      <c r="P315" s="115">
        <v>2.9724</v>
      </c>
      <c r="Q315" s="115">
        <v>57.0</v>
      </c>
      <c r="R315" s="115">
        <v>45.25</v>
      </c>
      <c r="S315" s="115">
        <v>11.75</v>
      </c>
      <c r="T315" s="115">
        <v>6.58</v>
      </c>
      <c r="U315" s="115">
        <v>50.43</v>
      </c>
      <c r="V315" s="115">
        <v>62.8</v>
      </c>
      <c r="W315" s="115">
        <v>3.7478</v>
      </c>
      <c r="X315" s="115">
        <v>11.54</v>
      </c>
      <c r="Y315" s="115">
        <v>108.0</v>
      </c>
      <c r="Z315" s="115">
        <v>489.0</v>
      </c>
      <c r="AA315" s="115">
        <v>3633.0</v>
      </c>
      <c r="AB315" s="115">
        <v>49.3415</v>
      </c>
      <c r="AC315" s="115">
        <v>0.501</v>
      </c>
      <c r="AD315" s="115">
        <v>3.81</v>
      </c>
      <c r="AE315" s="115">
        <v>1.0</v>
      </c>
      <c r="AF315" s="115">
        <v>2.0</v>
      </c>
      <c r="AG315" s="115">
        <v>5.0</v>
      </c>
      <c r="AH315" s="115">
        <v>9.0</v>
      </c>
      <c r="AI315" s="115">
        <v>70.76</v>
      </c>
      <c r="AJ315" s="115">
        <v>28.51</v>
      </c>
      <c r="AK315" s="115">
        <v>7.82</v>
      </c>
      <c r="AL315" s="115">
        <v>0.2402</v>
      </c>
      <c r="AQ315" s="115">
        <v>2.9011</v>
      </c>
      <c r="AR315" s="115">
        <v>0.0718</v>
      </c>
      <c r="AS315" s="115">
        <v>2.8293</v>
      </c>
      <c r="AT315" s="115">
        <v>3.263</v>
      </c>
      <c r="AU315" s="115">
        <v>0.1947</v>
      </c>
    </row>
    <row r="316" ht="15.75" customHeight="1">
      <c r="A316" s="116">
        <v>46201.0</v>
      </c>
      <c r="B316" s="115" t="s">
        <v>8</v>
      </c>
      <c r="C316" s="115" t="s">
        <v>130</v>
      </c>
      <c r="D316" s="115">
        <v>18663.0</v>
      </c>
      <c r="E316" s="115">
        <v>23.46</v>
      </c>
      <c r="F316" s="115">
        <v>6438.0</v>
      </c>
      <c r="G316" s="115">
        <v>0.345</v>
      </c>
      <c r="H316" s="115">
        <v>7.79</v>
      </c>
      <c r="I316" s="115">
        <v>4.4308</v>
      </c>
      <c r="J316" s="115">
        <v>58.97</v>
      </c>
      <c r="K316" s="115">
        <v>30.56</v>
      </c>
      <c r="L316" s="115">
        <v>13.82</v>
      </c>
      <c r="M316" s="115">
        <v>0.4523</v>
      </c>
      <c r="N316" s="115">
        <v>0.6772</v>
      </c>
      <c r="O316" s="115">
        <v>0.4379</v>
      </c>
      <c r="P316" s="115">
        <v>2.2109</v>
      </c>
      <c r="Q316" s="115">
        <v>104.42</v>
      </c>
      <c r="R316" s="115">
        <v>75.57</v>
      </c>
      <c r="S316" s="115">
        <v>28.86</v>
      </c>
      <c r="T316" s="115">
        <v>21.09</v>
      </c>
      <c r="U316" s="115">
        <v>83.34</v>
      </c>
      <c r="V316" s="115">
        <v>119.24</v>
      </c>
      <c r="W316" s="115">
        <v>3.9012</v>
      </c>
      <c r="X316" s="115">
        <v>20.19</v>
      </c>
      <c r="Y316" s="115">
        <v>96.0</v>
      </c>
      <c r="Z316" s="115">
        <v>366.0</v>
      </c>
      <c r="AA316" s="115">
        <v>2868.0</v>
      </c>
      <c r="AB316" s="115">
        <v>52.4751</v>
      </c>
      <c r="AC316" s="115">
        <v>0.6091</v>
      </c>
      <c r="AD316" s="115">
        <v>9.01</v>
      </c>
      <c r="AE316" s="115">
        <v>3.0</v>
      </c>
      <c r="AF316" s="115">
        <v>7.0</v>
      </c>
      <c r="AG316" s="115">
        <v>12.0</v>
      </c>
      <c r="AH316" s="115">
        <v>19.0</v>
      </c>
      <c r="AI316" s="115">
        <v>57.53</v>
      </c>
      <c r="AJ316" s="115">
        <v>24.62</v>
      </c>
      <c r="AK316" s="115">
        <v>4.39</v>
      </c>
      <c r="AL316" s="115">
        <v>0.2149</v>
      </c>
      <c r="AQ316" s="115">
        <v>5.9003</v>
      </c>
      <c r="AR316" s="115">
        <v>0.248</v>
      </c>
      <c r="AS316" s="115">
        <v>5.6523</v>
      </c>
      <c r="AT316" s="115">
        <v>6.3956</v>
      </c>
      <c r="AU316" s="115">
        <v>0.2093</v>
      </c>
    </row>
    <row r="317" ht="15.75" customHeight="1">
      <c r="A317" s="116">
        <v>46201.0</v>
      </c>
      <c r="B317" s="115" t="s">
        <v>8</v>
      </c>
      <c r="C317" s="115" t="s">
        <v>131</v>
      </c>
      <c r="D317" s="115">
        <v>10539.0</v>
      </c>
      <c r="E317" s="115">
        <v>13.25</v>
      </c>
      <c r="F317" s="115">
        <v>9268.57</v>
      </c>
      <c r="G317" s="115">
        <v>0.8795</v>
      </c>
      <c r="H317" s="115">
        <v>11.92</v>
      </c>
      <c r="I317" s="115">
        <v>7.3794</v>
      </c>
      <c r="J317" s="115">
        <v>86.33</v>
      </c>
      <c r="K317" s="115">
        <v>46.62</v>
      </c>
      <c r="L317" s="115">
        <v>27.41</v>
      </c>
      <c r="M317" s="115">
        <v>0.5879</v>
      </c>
      <c r="N317" s="115">
        <v>0.5487</v>
      </c>
      <c r="O317" s="115">
        <v>0.3413</v>
      </c>
      <c r="P317" s="115">
        <v>1.7009</v>
      </c>
      <c r="Q317" s="115">
        <v>194.37</v>
      </c>
      <c r="R317" s="115">
        <v>136.37</v>
      </c>
      <c r="S317" s="115">
        <v>57.99</v>
      </c>
      <c r="T317" s="115">
        <v>52.73</v>
      </c>
      <c r="U317" s="115">
        <v>141.64</v>
      </c>
      <c r="V317" s="115">
        <v>221.96</v>
      </c>
      <c r="W317" s="115">
        <v>4.7605</v>
      </c>
      <c r="X317" s="115">
        <v>27.13</v>
      </c>
      <c r="Y317" s="115">
        <v>104.0</v>
      </c>
      <c r="Z317" s="115">
        <v>444.0</v>
      </c>
      <c r="AA317" s="115">
        <v>3373.0</v>
      </c>
      <c r="AB317" s="115">
        <v>55.3806</v>
      </c>
      <c r="AC317" s="115">
        <v>0.7126</v>
      </c>
      <c r="AD317" s="115">
        <v>18.07</v>
      </c>
      <c r="AE317" s="115">
        <v>7.0</v>
      </c>
      <c r="AF317" s="115">
        <v>14.0</v>
      </c>
      <c r="AG317" s="115">
        <v>25.0</v>
      </c>
      <c r="AH317" s="115">
        <v>38.0</v>
      </c>
      <c r="AI317" s="115">
        <v>59.01</v>
      </c>
      <c r="AJ317" s="115">
        <v>24.32</v>
      </c>
      <c r="AK317" s="115">
        <v>7.92</v>
      </c>
      <c r="AL317" s="115">
        <v>0.2016</v>
      </c>
      <c r="AQ317" s="115">
        <v>10.4708</v>
      </c>
      <c r="AR317" s="115">
        <v>0.665</v>
      </c>
      <c r="AS317" s="115">
        <v>9.8059</v>
      </c>
      <c r="AT317" s="115">
        <v>11.1396</v>
      </c>
      <c r="AU317" s="115">
        <v>0.2389</v>
      </c>
    </row>
    <row r="318" ht="15.75" customHeight="1">
      <c r="A318" s="116">
        <v>46201.0</v>
      </c>
      <c r="B318" s="115" t="s">
        <v>8</v>
      </c>
      <c r="C318" s="115" t="s">
        <v>132</v>
      </c>
      <c r="D318" s="115">
        <v>4503.0</v>
      </c>
      <c r="E318" s="115">
        <v>5.66</v>
      </c>
      <c r="F318" s="115">
        <v>8177.23</v>
      </c>
      <c r="G318" s="115">
        <v>1.816</v>
      </c>
      <c r="H318" s="115">
        <v>14.97</v>
      </c>
      <c r="I318" s="115">
        <v>12.1324</v>
      </c>
      <c r="J318" s="115">
        <v>131.96</v>
      </c>
      <c r="K318" s="115">
        <v>75.86</v>
      </c>
      <c r="L318" s="115">
        <v>54.96</v>
      </c>
      <c r="M318" s="115">
        <v>0.7244</v>
      </c>
      <c r="N318" s="115">
        <v>0.4152</v>
      </c>
      <c r="O318" s="115">
        <v>0.2649</v>
      </c>
      <c r="P318" s="115">
        <v>1.3804</v>
      </c>
      <c r="Q318" s="115">
        <v>350.28</v>
      </c>
      <c r="R318" s="115">
        <v>234.7</v>
      </c>
      <c r="S318" s="115">
        <v>115.58</v>
      </c>
      <c r="T318" s="115">
        <v>114.65</v>
      </c>
      <c r="U318" s="115">
        <v>235.63</v>
      </c>
      <c r="V318" s="115">
        <v>404.36</v>
      </c>
      <c r="W318" s="115">
        <v>5.3304</v>
      </c>
      <c r="X318" s="115">
        <v>32.73</v>
      </c>
      <c r="Y318" s="115">
        <v>126.0</v>
      </c>
      <c r="Z318" s="115">
        <v>898.0</v>
      </c>
      <c r="AA318" s="115">
        <v>5437.0</v>
      </c>
      <c r="AB318" s="115">
        <v>59.0166</v>
      </c>
      <c r="AC318" s="115">
        <v>0.8101</v>
      </c>
      <c r="AD318" s="115">
        <v>36.6</v>
      </c>
      <c r="AE318" s="115">
        <v>14.0</v>
      </c>
      <c r="AF318" s="115">
        <v>28.0</v>
      </c>
      <c r="AG318" s="115">
        <v>51.0</v>
      </c>
      <c r="AH318" s="115">
        <v>78.0</v>
      </c>
      <c r="AI318" s="115">
        <v>50.28</v>
      </c>
      <c r="AJ318" s="115">
        <v>18.81</v>
      </c>
      <c r="AK318" s="115">
        <v>4.4</v>
      </c>
      <c r="AL318" s="115">
        <v>0.1757</v>
      </c>
      <c r="AQ318" s="115">
        <v>17.1324</v>
      </c>
      <c r="AR318" s="115">
        <v>1.4579</v>
      </c>
      <c r="AS318" s="115">
        <v>15.6744</v>
      </c>
      <c r="AT318" s="115">
        <v>17.7393</v>
      </c>
      <c r="AU318" s="115">
        <v>0.2338</v>
      </c>
    </row>
    <row r="319" ht="15.75" customHeight="1">
      <c r="A319" s="116">
        <v>46201.0</v>
      </c>
      <c r="B319" s="115" t="s">
        <v>8</v>
      </c>
      <c r="C319" s="115" t="s">
        <v>133</v>
      </c>
      <c r="D319" s="115">
        <v>506.0</v>
      </c>
      <c r="E319" s="115">
        <v>0.64</v>
      </c>
      <c r="F319" s="115">
        <v>1916.74</v>
      </c>
      <c r="G319" s="115">
        <v>3.788</v>
      </c>
      <c r="H319" s="115">
        <v>16.21</v>
      </c>
      <c r="I319" s="115">
        <v>23.3749</v>
      </c>
      <c r="J319" s="115">
        <v>245.19</v>
      </c>
      <c r="K319" s="115">
        <v>151.68</v>
      </c>
      <c r="L319" s="115">
        <v>122.88</v>
      </c>
      <c r="M319" s="115">
        <v>0.8101</v>
      </c>
      <c r="N319" s="115">
        <v>0.3175</v>
      </c>
      <c r="O319" s="115">
        <v>0.2101</v>
      </c>
      <c r="P319" s="115">
        <v>1.2344</v>
      </c>
      <c r="Q319" s="115">
        <v>697.71</v>
      </c>
      <c r="R319" s="115">
        <v>436.48</v>
      </c>
      <c r="S319" s="115">
        <v>261.24</v>
      </c>
      <c r="T319" s="115">
        <v>254.05</v>
      </c>
      <c r="U319" s="115">
        <v>443.66</v>
      </c>
      <c r="V319" s="115">
        <v>869.86</v>
      </c>
      <c r="W319" s="115">
        <v>5.7349</v>
      </c>
      <c r="X319" s="115">
        <v>36.41</v>
      </c>
      <c r="Y319" s="115">
        <v>214.0</v>
      </c>
      <c r="Z319" s="115">
        <v>1519.0</v>
      </c>
      <c r="AA319" s="115">
        <v>7189.0</v>
      </c>
      <c r="AB319" s="115">
        <v>62.2437</v>
      </c>
      <c r="AC319" s="115">
        <v>0.854</v>
      </c>
      <c r="AD319" s="115">
        <v>80.59</v>
      </c>
      <c r="AE319" s="115">
        <v>28.0</v>
      </c>
      <c r="AF319" s="115">
        <v>61.0</v>
      </c>
      <c r="AG319" s="115">
        <v>113.0</v>
      </c>
      <c r="AH319" s="115">
        <v>175.0</v>
      </c>
      <c r="AI319" s="115">
        <v>40.32</v>
      </c>
      <c r="AJ319" s="115">
        <v>10.08</v>
      </c>
      <c r="AK319" s="115">
        <v>1.38</v>
      </c>
      <c r="AL319" s="115">
        <v>0.1245</v>
      </c>
      <c r="AQ319" s="115">
        <v>32.919</v>
      </c>
      <c r="AR319" s="115">
        <v>4.5889</v>
      </c>
      <c r="AS319" s="115">
        <v>28.33</v>
      </c>
      <c r="AT319" s="115">
        <v>39.5889</v>
      </c>
      <c r="AU319" s="115">
        <v>0.261</v>
      </c>
    </row>
    <row r="320" ht="15.75" customHeight="1">
      <c r="A320" s="116">
        <v>46201.0</v>
      </c>
      <c r="B320" s="115" t="s">
        <v>9</v>
      </c>
      <c r="C320" s="115" t="s">
        <v>128</v>
      </c>
      <c r="D320" s="115">
        <v>15929.0</v>
      </c>
      <c r="E320" s="115">
        <v>20.13</v>
      </c>
      <c r="F320" s="115">
        <v>33.42</v>
      </c>
      <c r="G320" s="115">
        <v>0.0021</v>
      </c>
      <c r="H320" s="115">
        <v>0.08</v>
      </c>
      <c r="I320" s="115">
        <v>2.5708</v>
      </c>
      <c r="J320" s="115">
        <v>6.94</v>
      </c>
      <c r="K320" s="115">
        <v>3.05</v>
      </c>
      <c r="L320" s="115">
        <v>0.06</v>
      </c>
      <c r="M320" s="115">
        <v>0.0189</v>
      </c>
      <c r="N320" s="115">
        <v>0.9828</v>
      </c>
      <c r="O320" s="115">
        <v>0.7512</v>
      </c>
      <c r="P320" s="115">
        <v>52.9607</v>
      </c>
      <c r="Q320" s="115">
        <v>19.64</v>
      </c>
      <c r="R320" s="115">
        <v>19.59</v>
      </c>
      <c r="S320" s="115">
        <v>0.04</v>
      </c>
      <c r="T320" s="115">
        <v>0.18</v>
      </c>
      <c r="U320" s="115">
        <v>19.45</v>
      </c>
      <c r="V320" s="115">
        <v>1.86</v>
      </c>
      <c r="W320" s="115">
        <v>0.6102</v>
      </c>
      <c r="X320" s="115">
        <v>0.92</v>
      </c>
      <c r="Y320" s="115">
        <v>184.0</v>
      </c>
      <c r="Z320" s="115">
        <v>2213.0</v>
      </c>
      <c r="AA320" s="115">
        <v>12323.0</v>
      </c>
      <c r="AB320" s="115">
        <v>49.6292</v>
      </c>
      <c r="AC320" s="115">
        <v>0.532</v>
      </c>
      <c r="AI320" s="115">
        <v>0.0</v>
      </c>
      <c r="AJ320" s="115">
        <v>0.0</v>
      </c>
      <c r="AK320" s="115">
        <v>0.0</v>
      </c>
      <c r="AL320" s="115">
        <v>0.2791</v>
      </c>
      <c r="AM320" s="115">
        <v>0.18</v>
      </c>
      <c r="AN320" s="115">
        <v>0.18</v>
      </c>
      <c r="AO320" s="115">
        <v>0.09</v>
      </c>
      <c r="AP320" s="115">
        <v>0.08</v>
      </c>
      <c r="AQ320" s="115">
        <v>0.8221</v>
      </c>
      <c r="AR320" s="115">
        <v>0.0037</v>
      </c>
      <c r="AS320" s="115">
        <v>0.8184</v>
      </c>
      <c r="AT320" s="115">
        <v>0.4456</v>
      </c>
      <c r="AU320" s="115">
        <v>0.1463</v>
      </c>
    </row>
    <row r="321" ht="15.75" customHeight="1">
      <c r="A321" s="116">
        <v>46201.0</v>
      </c>
      <c r="B321" s="115" t="s">
        <v>9</v>
      </c>
      <c r="C321" s="115" t="s">
        <v>129</v>
      </c>
      <c r="D321" s="115">
        <v>28490.0</v>
      </c>
      <c r="E321" s="115">
        <v>36.0</v>
      </c>
      <c r="F321" s="115">
        <v>2947.47</v>
      </c>
      <c r="G321" s="115">
        <v>0.1035</v>
      </c>
      <c r="H321" s="115">
        <v>3.23</v>
      </c>
      <c r="I321" s="115">
        <v>3.2073</v>
      </c>
      <c r="J321" s="115">
        <v>34.16</v>
      </c>
      <c r="K321" s="115">
        <v>17.05</v>
      </c>
      <c r="L321" s="115">
        <v>5.7</v>
      </c>
      <c r="M321" s="115">
        <v>0.3344</v>
      </c>
      <c r="N321" s="115">
        <v>0.7703</v>
      </c>
      <c r="O321" s="115">
        <v>0.5285</v>
      </c>
      <c r="P321" s="115">
        <v>2.9902</v>
      </c>
      <c r="Q321" s="115">
        <v>49.22</v>
      </c>
      <c r="R321" s="115">
        <v>44.92</v>
      </c>
      <c r="S321" s="115">
        <v>4.3</v>
      </c>
      <c r="T321" s="115">
        <v>6.37</v>
      </c>
      <c r="U321" s="115">
        <v>42.85</v>
      </c>
      <c r="V321" s="115">
        <v>56.44</v>
      </c>
      <c r="W321" s="115">
        <v>3.3094</v>
      </c>
      <c r="X321" s="115">
        <v>12.94</v>
      </c>
      <c r="Y321" s="115">
        <v>96.0</v>
      </c>
      <c r="Z321" s="115">
        <v>430.0</v>
      </c>
      <c r="AA321" s="115">
        <v>3332.0</v>
      </c>
      <c r="AB321" s="115">
        <v>49.32</v>
      </c>
      <c r="AC321" s="115">
        <v>0.4993</v>
      </c>
      <c r="AD321" s="115">
        <v>3.81</v>
      </c>
      <c r="AE321" s="115">
        <v>1.0</v>
      </c>
      <c r="AF321" s="115">
        <v>2.0</v>
      </c>
      <c r="AG321" s="115">
        <v>5.0</v>
      </c>
      <c r="AH321" s="115">
        <v>9.0</v>
      </c>
      <c r="AI321" s="115">
        <v>70.77</v>
      </c>
      <c r="AJ321" s="115">
        <v>28.12</v>
      </c>
      <c r="AK321" s="115">
        <v>7.84</v>
      </c>
      <c r="AL321" s="115">
        <v>0.2503</v>
      </c>
      <c r="AM321" s="115">
        <v>53.18</v>
      </c>
      <c r="AN321" s="115">
        <v>53.18</v>
      </c>
      <c r="AO321" s="115">
        <v>21.28</v>
      </c>
      <c r="AP321" s="115">
        <v>6.14</v>
      </c>
      <c r="AQ321" s="115">
        <v>3.2465</v>
      </c>
      <c r="AR321" s="115">
        <v>0.0691</v>
      </c>
      <c r="AS321" s="115">
        <v>3.1773</v>
      </c>
      <c r="AT321" s="115">
        <v>3.5304</v>
      </c>
      <c r="AU321" s="115">
        <v>0.207</v>
      </c>
    </row>
    <row r="322" ht="15.75" customHeight="1">
      <c r="A322" s="116">
        <v>46201.0</v>
      </c>
      <c r="B322" s="115" t="s">
        <v>9</v>
      </c>
      <c r="C322" s="115" t="s">
        <v>130</v>
      </c>
      <c r="D322" s="115">
        <v>18562.0</v>
      </c>
      <c r="E322" s="115">
        <v>23.46</v>
      </c>
      <c r="F322" s="115">
        <v>6490.16</v>
      </c>
      <c r="G322" s="115">
        <v>0.3496</v>
      </c>
      <c r="H322" s="115">
        <v>7.6</v>
      </c>
      <c r="I322" s="115">
        <v>4.5997</v>
      </c>
      <c r="J322" s="115">
        <v>60.01</v>
      </c>
      <c r="K322" s="115">
        <v>30.92</v>
      </c>
      <c r="L322" s="115">
        <v>13.72</v>
      </c>
      <c r="M322" s="115">
        <v>0.4438</v>
      </c>
      <c r="N322" s="115">
        <v>0.6806</v>
      </c>
      <c r="O322" s="115">
        <v>0.4341</v>
      </c>
      <c r="P322" s="115">
        <v>2.2533</v>
      </c>
      <c r="Q322" s="115">
        <v>95.56</v>
      </c>
      <c r="R322" s="115">
        <v>85.19</v>
      </c>
      <c r="S322" s="115">
        <v>10.36</v>
      </c>
      <c r="T322" s="115">
        <v>21.32</v>
      </c>
      <c r="U322" s="115">
        <v>74.23</v>
      </c>
      <c r="V322" s="115">
        <v>110.06</v>
      </c>
      <c r="W322" s="115">
        <v>3.56</v>
      </c>
      <c r="X322" s="115">
        <v>22.32</v>
      </c>
      <c r="Y322" s="115">
        <v>91.0</v>
      </c>
      <c r="Z322" s="115">
        <v>343.0</v>
      </c>
      <c r="AA322" s="115">
        <v>2506.0</v>
      </c>
      <c r="AB322" s="115">
        <v>52.3844</v>
      </c>
      <c r="AC322" s="115">
        <v>0.6086</v>
      </c>
      <c r="AD322" s="115">
        <v>9.02</v>
      </c>
      <c r="AE322" s="115">
        <v>3.0</v>
      </c>
      <c r="AF322" s="115">
        <v>7.0</v>
      </c>
      <c r="AG322" s="115">
        <v>13.0</v>
      </c>
      <c r="AH322" s="115">
        <v>19.0</v>
      </c>
      <c r="AI322" s="115">
        <v>56.5</v>
      </c>
      <c r="AJ322" s="115">
        <v>24.91</v>
      </c>
      <c r="AK322" s="115">
        <v>4.6</v>
      </c>
      <c r="AL322" s="115">
        <v>0.2181</v>
      </c>
      <c r="AM322" s="115">
        <v>63.79</v>
      </c>
      <c r="AN322" s="115">
        <v>63.79</v>
      </c>
      <c r="AO322" s="115">
        <v>38.85</v>
      </c>
      <c r="AP322" s="115">
        <v>18.03</v>
      </c>
      <c r="AQ322" s="115">
        <v>6.6405</v>
      </c>
      <c r="AR322" s="115">
        <v>0.2552</v>
      </c>
      <c r="AS322" s="115">
        <v>6.3853</v>
      </c>
      <c r="AT322" s="115">
        <v>6.9916</v>
      </c>
      <c r="AU322" s="115">
        <v>0.2261</v>
      </c>
    </row>
    <row r="323" ht="15.75" customHeight="1">
      <c r="A323" s="116">
        <v>46201.0</v>
      </c>
      <c r="B323" s="115" t="s">
        <v>9</v>
      </c>
      <c r="C323" s="115" t="s">
        <v>131</v>
      </c>
      <c r="D323" s="115">
        <v>10740.0</v>
      </c>
      <c r="E323" s="115">
        <v>13.57</v>
      </c>
      <c r="F323" s="115">
        <v>9266.38</v>
      </c>
      <c r="G323" s="115">
        <v>0.8628</v>
      </c>
      <c r="H323" s="115">
        <v>12.37</v>
      </c>
      <c r="I323" s="115">
        <v>6.9724</v>
      </c>
      <c r="J323" s="115">
        <v>87.34</v>
      </c>
      <c r="K323" s="115">
        <v>47.26</v>
      </c>
      <c r="L323" s="115">
        <v>27.43</v>
      </c>
      <c r="M323" s="115">
        <v>0.5803</v>
      </c>
      <c r="N323" s="115">
        <v>0.5528</v>
      </c>
      <c r="O323" s="115">
        <v>0.3402</v>
      </c>
      <c r="P323" s="115">
        <v>1.7232</v>
      </c>
      <c r="Q323" s="115">
        <v>185.11</v>
      </c>
      <c r="R323" s="115">
        <v>164.19</v>
      </c>
      <c r="S323" s="115">
        <v>20.92</v>
      </c>
      <c r="T323" s="115">
        <v>52.46</v>
      </c>
      <c r="U323" s="115">
        <v>132.65</v>
      </c>
      <c r="V323" s="115">
        <v>206.24</v>
      </c>
      <c r="W323" s="115">
        <v>4.3639</v>
      </c>
      <c r="X323" s="115">
        <v>28.34</v>
      </c>
      <c r="Y323" s="115">
        <v>101.0</v>
      </c>
      <c r="Z323" s="115">
        <v>475.0</v>
      </c>
      <c r="AA323" s="115">
        <v>3563.0</v>
      </c>
      <c r="AB323" s="115">
        <v>55.398</v>
      </c>
      <c r="AC323" s="115">
        <v>0.7148</v>
      </c>
      <c r="AD323" s="115">
        <v>18.3</v>
      </c>
      <c r="AE323" s="115">
        <v>7.0</v>
      </c>
      <c r="AF323" s="115">
        <v>14.0</v>
      </c>
      <c r="AG323" s="115">
        <v>25.0</v>
      </c>
      <c r="AH323" s="115">
        <v>39.0</v>
      </c>
      <c r="AI323" s="115">
        <v>59.78</v>
      </c>
      <c r="AJ323" s="115">
        <v>24.72</v>
      </c>
      <c r="AK323" s="115">
        <v>8.46</v>
      </c>
      <c r="AL323" s="115">
        <v>0.2111</v>
      </c>
      <c r="AM323" s="115">
        <v>67.87</v>
      </c>
      <c r="AN323" s="115">
        <v>67.87</v>
      </c>
      <c r="AO323" s="115">
        <v>46.89</v>
      </c>
      <c r="AP323" s="115">
        <v>25.88</v>
      </c>
      <c r="AQ323" s="115">
        <v>11.4135</v>
      </c>
      <c r="AR323" s="115">
        <v>0.6181</v>
      </c>
      <c r="AS323" s="115">
        <v>10.7954</v>
      </c>
      <c r="AT323" s="115">
        <v>11.5834</v>
      </c>
      <c r="AU323" s="115">
        <v>0.2451</v>
      </c>
    </row>
    <row r="324" ht="15.75" customHeight="1">
      <c r="A324" s="116">
        <v>46201.0</v>
      </c>
      <c r="B324" s="115" t="s">
        <v>9</v>
      </c>
      <c r="C324" s="115" t="s">
        <v>132</v>
      </c>
      <c r="D324" s="115">
        <v>4843.0</v>
      </c>
      <c r="E324" s="115">
        <v>6.12</v>
      </c>
      <c r="F324" s="115">
        <v>9671.35</v>
      </c>
      <c r="G324" s="115">
        <v>1.997</v>
      </c>
      <c r="H324" s="115">
        <v>15.47</v>
      </c>
      <c r="I324" s="115">
        <v>12.9123</v>
      </c>
      <c r="J324" s="115">
        <v>131.22</v>
      </c>
      <c r="K324" s="115">
        <v>75.57</v>
      </c>
      <c r="L324" s="115">
        <v>54.86</v>
      </c>
      <c r="M324" s="115">
        <v>0.726</v>
      </c>
      <c r="N324" s="115">
        <v>0.4105</v>
      </c>
      <c r="O324" s="115">
        <v>0.2588</v>
      </c>
      <c r="P324" s="115">
        <v>1.3774</v>
      </c>
      <c r="Q324" s="115">
        <v>348.62</v>
      </c>
      <c r="R324" s="115">
        <v>306.76</v>
      </c>
      <c r="S324" s="115">
        <v>41.86</v>
      </c>
      <c r="T324" s="115">
        <v>122.83</v>
      </c>
      <c r="U324" s="115">
        <v>225.8</v>
      </c>
      <c r="V324" s="115">
        <v>406.18</v>
      </c>
      <c r="W324" s="115">
        <v>5.375</v>
      </c>
      <c r="X324" s="115">
        <v>35.23</v>
      </c>
      <c r="Y324" s="115">
        <v>143.0</v>
      </c>
      <c r="Z324" s="115">
        <v>865.0</v>
      </c>
      <c r="AA324" s="115">
        <v>5248.0</v>
      </c>
      <c r="AB324" s="115">
        <v>59.172</v>
      </c>
      <c r="AC324" s="115">
        <v>0.8174</v>
      </c>
      <c r="AD324" s="115">
        <v>37.88</v>
      </c>
      <c r="AE324" s="115">
        <v>13.0</v>
      </c>
      <c r="AF324" s="115">
        <v>29.0</v>
      </c>
      <c r="AG324" s="115">
        <v>53.0</v>
      </c>
      <c r="AH324" s="115">
        <v>81.0</v>
      </c>
      <c r="AI324" s="115">
        <v>51.17</v>
      </c>
      <c r="AJ324" s="115">
        <v>21.1</v>
      </c>
      <c r="AK324" s="115">
        <v>5.93</v>
      </c>
      <c r="AL324" s="115">
        <v>0.1536</v>
      </c>
      <c r="AM324" s="115">
        <v>71.55</v>
      </c>
      <c r="AN324" s="115">
        <v>71.55</v>
      </c>
      <c r="AO324" s="115">
        <v>53.17</v>
      </c>
      <c r="AP324" s="115">
        <v>37.99</v>
      </c>
      <c r="AQ324" s="115">
        <v>18.2174</v>
      </c>
      <c r="AR324" s="115">
        <v>1.5916</v>
      </c>
      <c r="AS324" s="115">
        <v>16.6259</v>
      </c>
      <c r="AT324" s="115">
        <v>18.7138</v>
      </c>
      <c r="AU324" s="115">
        <v>0.2476</v>
      </c>
    </row>
    <row r="325" ht="15.75" customHeight="1">
      <c r="A325" s="116">
        <v>46201.0</v>
      </c>
      <c r="B325" s="115" t="s">
        <v>9</v>
      </c>
      <c r="C325" s="115" t="s">
        <v>133</v>
      </c>
      <c r="D325" s="115">
        <v>570.0</v>
      </c>
      <c r="E325" s="115">
        <v>0.72</v>
      </c>
      <c r="F325" s="115">
        <v>2541.9</v>
      </c>
      <c r="G325" s="115">
        <v>4.4595</v>
      </c>
      <c r="H325" s="115">
        <v>20.53</v>
      </c>
      <c r="I325" s="115">
        <v>21.7256</v>
      </c>
      <c r="J325" s="115">
        <v>249.51</v>
      </c>
      <c r="K325" s="115">
        <v>153.57</v>
      </c>
      <c r="L325" s="115">
        <v>125.27</v>
      </c>
      <c r="M325" s="115">
        <v>0.8157</v>
      </c>
      <c r="N325" s="115">
        <v>0.3086</v>
      </c>
      <c r="O325" s="115">
        <v>0.2033</v>
      </c>
      <c r="P325" s="115">
        <v>1.2259</v>
      </c>
      <c r="Q325" s="115">
        <v>663.7</v>
      </c>
      <c r="R325" s="115">
        <v>570.23</v>
      </c>
      <c r="S325" s="115">
        <v>93.46</v>
      </c>
      <c r="T325" s="115">
        <v>270.86</v>
      </c>
      <c r="U325" s="115">
        <v>392.84</v>
      </c>
      <c r="V325" s="115">
        <v>828.95</v>
      </c>
      <c r="W325" s="115">
        <v>5.3979</v>
      </c>
      <c r="X325" s="115">
        <v>40.81</v>
      </c>
      <c r="Y325" s="115">
        <v>208.0</v>
      </c>
      <c r="Z325" s="115">
        <v>1747.0</v>
      </c>
      <c r="AA325" s="115">
        <v>8907.0</v>
      </c>
      <c r="AB325" s="115">
        <v>62.1858</v>
      </c>
      <c r="AC325" s="115">
        <v>0.8636</v>
      </c>
      <c r="AD325" s="115">
        <v>83.77</v>
      </c>
      <c r="AE325" s="115">
        <v>28.0</v>
      </c>
      <c r="AF325" s="115">
        <v>64.0</v>
      </c>
      <c r="AG325" s="115">
        <v>122.0</v>
      </c>
      <c r="AH325" s="115">
        <v>181.0</v>
      </c>
      <c r="AI325" s="115">
        <v>43.86</v>
      </c>
      <c r="AJ325" s="115">
        <v>11.23</v>
      </c>
      <c r="AK325" s="115">
        <v>1.58</v>
      </c>
      <c r="AL325" s="115">
        <v>0.1421</v>
      </c>
      <c r="AM325" s="115">
        <v>82.11</v>
      </c>
      <c r="AN325" s="115">
        <v>82.11</v>
      </c>
      <c r="AO325" s="115">
        <v>68.42</v>
      </c>
      <c r="AP325" s="115">
        <v>57.19</v>
      </c>
      <c r="AQ325" s="115">
        <v>34.686</v>
      </c>
      <c r="AR325" s="115">
        <v>4.1088</v>
      </c>
      <c r="AS325" s="115">
        <v>30.5772</v>
      </c>
      <c r="AT325" s="115">
        <v>35.6982</v>
      </c>
      <c r="AU325" s="115">
        <v>0.2325</v>
      </c>
    </row>
    <row r="326" ht="15.75" customHeight="1">
      <c r="A326" s="116">
        <v>46202.0</v>
      </c>
      <c r="B326" s="115" t="s">
        <v>8</v>
      </c>
      <c r="C326" s="115" t="s">
        <v>128</v>
      </c>
      <c r="D326" s="115">
        <v>15361.0</v>
      </c>
      <c r="E326" s="115">
        <v>18.2</v>
      </c>
      <c r="F326" s="115">
        <v>85.01</v>
      </c>
      <c r="G326" s="115">
        <v>0.0055</v>
      </c>
      <c r="H326" s="115">
        <v>0.13</v>
      </c>
      <c r="I326" s="115">
        <v>4.2505</v>
      </c>
      <c r="J326" s="115">
        <v>5.85</v>
      </c>
      <c r="K326" s="115">
        <v>2.37</v>
      </c>
      <c r="L326" s="115">
        <v>0.1</v>
      </c>
      <c r="M326" s="115">
        <v>0.0403</v>
      </c>
      <c r="N326" s="115">
        <v>0.9655</v>
      </c>
      <c r="O326" s="115">
        <v>0.6522</v>
      </c>
      <c r="P326" s="115">
        <v>24.7834</v>
      </c>
      <c r="Q326" s="115">
        <v>38.95</v>
      </c>
      <c r="R326" s="115">
        <v>38.86</v>
      </c>
      <c r="S326" s="115">
        <v>0.09</v>
      </c>
      <c r="T326" s="115">
        <v>0.3</v>
      </c>
      <c r="U326" s="115">
        <v>38.64</v>
      </c>
      <c r="V326" s="115">
        <v>2.33</v>
      </c>
      <c r="W326" s="115">
        <v>0.984</v>
      </c>
      <c r="X326" s="115">
        <v>0.78</v>
      </c>
      <c r="Y326" s="115">
        <v>295.0</v>
      </c>
      <c r="Z326" s="115">
        <v>3365.0</v>
      </c>
      <c r="AA326" s="115">
        <v>14360.0</v>
      </c>
      <c r="AB326" s="115">
        <v>49.9783</v>
      </c>
      <c r="AC326" s="115">
        <v>0.5509</v>
      </c>
      <c r="AI326" s="115">
        <v>0.0</v>
      </c>
      <c r="AJ326" s="115">
        <v>0.0</v>
      </c>
      <c r="AK326" s="115">
        <v>0.0</v>
      </c>
      <c r="AL326" s="115">
        <v>0.2767</v>
      </c>
      <c r="AQ326" s="115">
        <v>1.6662</v>
      </c>
      <c r="AR326" s="115">
        <v>0.0048</v>
      </c>
      <c r="AS326" s="115">
        <v>1.6614</v>
      </c>
      <c r="AT326" s="115">
        <v>0.3974</v>
      </c>
      <c r="AU326" s="115">
        <v>0.1678</v>
      </c>
    </row>
    <row r="327" ht="15.75" customHeight="1">
      <c r="A327" s="116">
        <v>46202.0</v>
      </c>
      <c r="B327" s="115" t="s">
        <v>8</v>
      </c>
      <c r="C327" s="115" t="s">
        <v>129</v>
      </c>
      <c r="D327" s="115">
        <v>31101.0</v>
      </c>
      <c r="E327" s="115">
        <v>36.84</v>
      </c>
      <c r="F327" s="115">
        <v>2441.22</v>
      </c>
      <c r="G327" s="115">
        <v>0.0785</v>
      </c>
      <c r="H327" s="115">
        <v>2.57</v>
      </c>
      <c r="I327" s="115">
        <v>3.0553</v>
      </c>
      <c r="J327" s="115">
        <v>33.31</v>
      </c>
      <c r="K327" s="115">
        <v>16.4</v>
      </c>
      <c r="L327" s="115">
        <v>5.63</v>
      </c>
      <c r="M327" s="115">
        <v>0.3431</v>
      </c>
      <c r="N327" s="115">
        <v>0.7737</v>
      </c>
      <c r="O327" s="115">
        <v>0.5523</v>
      </c>
      <c r="P327" s="115">
        <v>2.9145</v>
      </c>
      <c r="Q327" s="115">
        <v>84.72</v>
      </c>
      <c r="R327" s="115">
        <v>73.26</v>
      </c>
      <c r="S327" s="115">
        <v>11.46</v>
      </c>
      <c r="T327" s="115">
        <v>4.92</v>
      </c>
      <c r="U327" s="115">
        <v>79.8</v>
      </c>
      <c r="V327" s="115">
        <v>71.62</v>
      </c>
      <c r="W327" s="115">
        <v>4.3679</v>
      </c>
      <c r="X327" s="115">
        <v>5.8</v>
      </c>
      <c r="Y327" s="115">
        <v>120.0</v>
      </c>
      <c r="Z327" s="115">
        <v>458.0</v>
      </c>
      <c r="AA327" s="115">
        <v>3493.0</v>
      </c>
      <c r="AB327" s="115">
        <v>49.3267</v>
      </c>
      <c r="AC327" s="115">
        <v>0.4863</v>
      </c>
      <c r="AD327" s="115">
        <v>3.78</v>
      </c>
      <c r="AE327" s="115">
        <v>1.0</v>
      </c>
      <c r="AF327" s="115">
        <v>2.0</v>
      </c>
      <c r="AG327" s="115">
        <v>5.0</v>
      </c>
      <c r="AH327" s="115">
        <v>8.0</v>
      </c>
      <c r="AI327" s="115">
        <v>71.77</v>
      </c>
      <c r="AJ327" s="115">
        <v>28.34</v>
      </c>
      <c r="AK327" s="115">
        <v>7.4</v>
      </c>
      <c r="AL327" s="115">
        <v>0.2261</v>
      </c>
      <c r="AQ327" s="115">
        <v>4.4338</v>
      </c>
      <c r="AR327" s="115">
        <v>0.0562</v>
      </c>
      <c r="AS327" s="115">
        <v>4.3776</v>
      </c>
      <c r="AT327" s="115">
        <v>3.5963</v>
      </c>
      <c r="AU327" s="115">
        <v>0.2193</v>
      </c>
    </row>
    <row r="328" ht="15.75" customHeight="1">
      <c r="A328" s="116">
        <v>46202.0</v>
      </c>
      <c r="B328" s="115" t="s">
        <v>8</v>
      </c>
      <c r="C328" s="115" t="s">
        <v>130</v>
      </c>
      <c r="D328" s="115">
        <v>20652.0</v>
      </c>
      <c r="E328" s="115">
        <v>24.46</v>
      </c>
      <c r="F328" s="115">
        <v>7133.99</v>
      </c>
      <c r="G328" s="115">
        <v>0.3454</v>
      </c>
      <c r="H328" s="115">
        <v>7.63</v>
      </c>
      <c r="I328" s="115">
        <v>4.5266</v>
      </c>
      <c r="J328" s="115">
        <v>60.48</v>
      </c>
      <c r="K328" s="115">
        <v>30.45</v>
      </c>
      <c r="L328" s="115">
        <v>14.31</v>
      </c>
      <c r="M328" s="115">
        <v>0.47</v>
      </c>
      <c r="N328" s="115">
        <v>0.6718</v>
      </c>
      <c r="O328" s="115">
        <v>0.4444</v>
      </c>
      <c r="P328" s="115">
        <v>2.1278</v>
      </c>
      <c r="Q328" s="115">
        <v>162.22</v>
      </c>
      <c r="R328" s="115">
        <v>134.97</v>
      </c>
      <c r="S328" s="115">
        <v>27.25</v>
      </c>
      <c r="T328" s="115">
        <v>21.88</v>
      </c>
      <c r="U328" s="115">
        <v>140.34</v>
      </c>
      <c r="V328" s="115">
        <v>144.8</v>
      </c>
      <c r="W328" s="115">
        <v>4.7557</v>
      </c>
      <c r="X328" s="115">
        <v>13.49</v>
      </c>
      <c r="Y328" s="115">
        <v>110.0</v>
      </c>
      <c r="Z328" s="115">
        <v>425.0</v>
      </c>
      <c r="AA328" s="115">
        <v>3055.0</v>
      </c>
      <c r="AB328" s="115">
        <v>52.3315</v>
      </c>
      <c r="AC328" s="115">
        <v>0.5527</v>
      </c>
      <c r="AD328" s="115">
        <v>9.13</v>
      </c>
      <c r="AE328" s="115">
        <v>3.0</v>
      </c>
      <c r="AF328" s="115">
        <v>7.0</v>
      </c>
      <c r="AG328" s="115">
        <v>13.0</v>
      </c>
      <c r="AH328" s="115">
        <v>19.0</v>
      </c>
      <c r="AI328" s="115">
        <v>58.62</v>
      </c>
      <c r="AJ328" s="115">
        <v>25.52</v>
      </c>
      <c r="AK328" s="115">
        <v>4.25</v>
      </c>
      <c r="AL328" s="115">
        <v>0.1852</v>
      </c>
      <c r="AQ328" s="115">
        <v>8.7316</v>
      </c>
      <c r="AR328" s="115">
        <v>0.2413</v>
      </c>
      <c r="AS328" s="115">
        <v>8.4903</v>
      </c>
      <c r="AT328" s="115">
        <v>7.1552</v>
      </c>
      <c r="AU328" s="115">
        <v>0.235</v>
      </c>
    </row>
    <row r="329" ht="15.75" customHeight="1">
      <c r="A329" s="116">
        <v>46202.0</v>
      </c>
      <c r="B329" s="115" t="s">
        <v>8</v>
      </c>
      <c r="C329" s="115" t="s">
        <v>131</v>
      </c>
      <c r="D329" s="115">
        <v>11849.0</v>
      </c>
      <c r="E329" s="115">
        <v>14.04</v>
      </c>
      <c r="F329" s="115">
        <v>9533.12</v>
      </c>
      <c r="G329" s="115">
        <v>0.8046</v>
      </c>
      <c r="H329" s="115">
        <v>11.31</v>
      </c>
      <c r="I329" s="115">
        <v>7.1143</v>
      </c>
      <c r="J329" s="115">
        <v>89.68</v>
      </c>
      <c r="K329" s="115">
        <v>47.26</v>
      </c>
      <c r="L329" s="115">
        <v>28.97</v>
      </c>
      <c r="M329" s="115">
        <v>0.6129</v>
      </c>
      <c r="N329" s="115">
        <v>0.5402</v>
      </c>
      <c r="O329" s="115">
        <v>0.3477</v>
      </c>
      <c r="P329" s="115">
        <v>1.6316</v>
      </c>
      <c r="Q329" s="115">
        <v>279.31</v>
      </c>
      <c r="R329" s="115">
        <v>224.33</v>
      </c>
      <c r="S329" s="115">
        <v>54.99</v>
      </c>
      <c r="T329" s="115">
        <v>50.75</v>
      </c>
      <c r="U329" s="115">
        <v>228.56</v>
      </c>
      <c r="V329" s="115">
        <v>264.71</v>
      </c>
      <c r="W329" s="115">
        <v>5.6008</v>
      </c>
      <c r="X329" s="115">
        <v>18.17</v>
      </c>
      <c r="Y329" s="115">
        <v>121.0</v>
      </c>
      <c r="Z329" s="115">
        <v>553.0</v>
      </c>
      <c r="AA329" s="115">
        <v>4559.0</v>
      </c>
      <c r="AB329" s="115">
        <v>55.0938</v>
      </c>
      <c r="AC329" s="115">
        <v>0.6313</v>
      </c>
      <c r="AD329" s="115">
        <v>18.09</v>
      </c>
      <c r="AE329" s="115">
        <v>7.0</v>
      </c>
      <c r="AF329" s="115">
        <v>15.0</v>
      </c>
      <c r="AG329" s="115">
        <v>25.0</v>
      </c>
      <c r="AH329" s="115">
        <v>37.0</v>
      </c>
      <c r="AI329" s="115">
        <v>62.6</v>
      </c>
      <c r="AJ329" s="115">
        <v>24.8</v>
      </c>
      <c r="AK329" s="115">
        <v>5.62</v>
      </c>
      <c r="AL329" s="115">
        <v>0.1682</v>
      </c>
      <c r="AQ329" s="115">
        <v>13.2693</v>
      </c>
      <c r="AR329" s="115">
        <v>0.5914</v>
      </c>
      <c r="AS329" s="115">
        <v>12.6779</v>
      </c>
      <c r="AT329" s="115">
        <v>11.612</v>
      </c>
      <c r="AU329" s="115">
        <v>0.2457</v>
      </c>
    </row>
    <row r="330" ht="15.75" customHeight="1">
      <c r="A330" s="116">
        <v>46202.0</v>
      </c>
      <c r="B330" s="115" t="s">
        <v>8</v>
      </c>
      <c r="C330" s="115" t="s">
        <v>132</v>
      </c>
      <c r="D330" s="115">
        <v>4976.0</v>
      </c>
      <c r="E330" s="115">
        <v>5.89</v>
      </c>
      <c r="F330" s="115">
        <v>9309.46</v>
      </c>
      <c r="G330" s="115">
        <v>1.8709</v>
      </c>
      <c r="H330" s="115">
        <v>15.17</v>
      </c>
      <c r="I330" s="115">
        <v>12.3304</v>
      </c>
      <c r="J330" s="115">
        <v>141.52</v>
      </c>
      <c r="K330" s="115">
        <v>79.38</v>
      </c>
      <c r="L330" s="115">
        <v>59.82</v>
      </c>
      <c r="M330" s="115">
        <v>0.7536</v>
      </c>
      <c r="N330" s="115">
        <v>0.3977</v>
      </c>
      <c r="O330" s="115">
        <v>0.2625</v>
      </c>
      <c r="P330" s="115">
        <v>1.3269</v>
      </c>
      <c r="Q330" s="115">
        <v>497.14</v>
      </c>
      <c r="R330" s="115">
        <v>383.98</v>
      </c>
      <c r="S330" s="115">
        <v>113.16</v>
      </c>
      <c r="T330" s="115">
        <v>119.52</v>
      </c>
      <c r="U330" s="115">
        <v>377.61</v>
      </c>
      <c r="V330" s="115">
        <v>489.36</v>
      </c>
      <c r="W330" s="115">
        <v>6.1647</v>
      </c>
      <c r="X330" s="115">
        <v>24.04</v>
      </c>
      <c r="Y330" s="115">
        <v>172.0</v>
      </c>
      <c r="Z330" s="115">
        <v>1075.0</v>
      </c>
      <c r="AA330" s="115">
        <v>6592.0</v>
      </c>
      <c r="AB330" s="115">
        <v>58.6314</v>
      </c>
      <c r="AC330" s="115">
        <v>0.7159</v>
      </c>
      <c r="AD330" s="115">
        <v>37.17</v>
      </c>
      <c r="AE330" s="115">
        <v>15.0</v>
      </c>
      <c r="AF330" s="115">
        <v>30.0</v>
      </c>
      <c r="AG330" s="115">
        <v>49.0</v>
      </c>
      <c r="AH330" s="115">
        <v>76.0</v>
      </c>
      <c r="AI330" s="115">
        <v>54.2</v>
      </c>
      <c r="AJ330" s="115">
        <v>17.48</v>
      </c>
      <c r="AK330" s="115">
        <v>4.64</v>
      </c>
      <c r="AL330" s="115">
        <v>0.1282</v>
      </c>
      <c r="AQ330" s="115">
        <v>20.0947</v>
      </c>
      <c r="AR330" s="115">
        <v>1.4952</v>
      </c>
      <c r="AS330" s="115">
        <v>18.5995</v>
      </c>
      <c r="AT330" s="115">
        <v>18.5512</v>
      </c>
      <c r="AU330" s="115">
        <v>0.2337</v>
      </c>
    </row>
    <row r="331" ht="15.75" customHeight="1">
      <c r="A331" s="116">
        <v>46202.0</v>
      </c>
      <c r="B331" s="115" t="s">
        <v>8</v>
      </c>
      <c r="C331" s="115" t="s">
        <v>133</v>
      </c>
      <c r="D331" s="115">
        <v>477.0</v>
      </c>
      <c r="E331" s="115">
        <v>0.57</v>
      </c>
      <c r="F331" s="115">
        <v>1418.44</v>
      </c>
      <c r="G331" s="115">
        <v>2.9737</v>
      </c>
      <c r="H331" s="115">
        <v>16.77</v>
      </c>
      <c r="I331" s="115">
        <v>17.7305</v>
      </c>
      <c r="J331" s="115">
        <v>250.19</v>
      </c>
      <c r="K331" s="115">
        <v>152.38</v>
      </c>
      <c r="L331" s="115">
        <v>127.3</v>
      </c>
      <c r="M331" s="115">
        <v>0.8354</v>
      </c>
      <c r="N331" s="115">
        <v>0.2953</v>
      </c>
      <c r="O331" s="115">
        <v>0.2013</v>
      </c>
      <c r="P331" s="115">
        <v>1.1971</v>
      </c>
      <c r="Q331" s="115">
        <v>861.81</v>
      </c>
      <c r="R331" s="115">
        <v>593.41</v>
      </c>
      <c r="S331" s="115">
        <v>268.4</v>
      </c>
      <c r="T331" s="115">
        <v>192.35</v>
      </c>
      <c r="U331" s="115">
        <v>669.46</v>
      </c>
      <c r="V331" s="115">
        <v>937.42</v>
      </c>
      <c r="W331" s="115">
        <v>6.1517</v>
      </c>
      <c r="X331" s="115">
        <v>22.32</v>
      </c>
      <c r="Y331" s="115">
        <v>300.0</v>
      </c>
      <c r="Z331" s="115">
        <v>1643.0</v>
      </c>
      <c r="AA331" s="115">
        <v>7524.0</v>
      </c>
      <c r="AB331" s="115">
        <v>62.6664</v>
      </c>
      <c r="AC331" s="115">
        <v>0.853</v>
      </c>
      <c r="AD331" s="115">
        <v>88.23</v>
      </c>
      <c r="AE331" s="115">
        <v>34.0</v>
      </c>
      <c r="AF331" s="115">
        <v>69.0</v>
      </c>
      <c r="AG331" s="115">
        <v>121.0</v>
      </c>
      <c r="AH331" s="115">
        <v>194.0</v>
      </c>
      <c r="AI331" s="115">
        <v>43.82</v>
      </c>
      <c r="AJ331" s="115">
        <v>12.79</v>
      </c>
      <c r="AK331" s="115">
        <v>2.31</v>
      </c>
      <c r="AL331" s="115">
        <v>0.0985</v>
      </c>
      <c r="AQ331" s="115">
        <v>35.3396</v>
      </c>
      <c r="AR331" s="115">
        <v>3.5597</v>
      </c>
      <c r="AS331" s="115">
        <v>31.7799</v>
      </c>
      <c r="AT331" s="115">
        <v>35.5954</v>
      </c>
      <c r="AU331" s="115">
        <v>0.2336</v>
      </c>
    </row>
    <row r="332" ht="15.75" customHeight="1">
      <c r="A332" s="116">
        <v>46202.0</v>
      </c>
      <c r="B332" s="115" t="s">
        <v>9</v>
      </c>
      <c r="C332" s="115" t="s">
        <v>128</v>
      </c>
      <c r="D332" s="115">
        <v>15378.0</v>
      </c>
      <c r="E332" s="115">
        <v>18.3</v>
      </c>
      <c r="F332" s="115">
        <v>75.68</v>
      </c>
      <c r="G332" s="115">
        <v>0.0049</v>
      </c>
      <c r="H332" s="115">
        <v>0.12</v>
      </c>
      <c r="I332" s="115">
        <v>3.9832</v>
      </c>
      <c r="J332" s="115">
        <v>5.91</v>
      </c>
      <c r="K332" s="115">
        <v>2.4</v>
      </c>
      <c r="L332" s="115">
        <v>0.08</v>
      </c>
      <c r="M332" s="115">
        <v>0.0341</v>
      </c>
      <c r="N332" s="115">
        <v>0.9718</v>
      </c>
      <c r="O332" s="115">
        <v>0.6943</v>
      </c>
      <c r="P332" s="115">
        <v>29.3527</v>
      </c>
      <c r="Q332" s="115">
        <v>35.3</v>
      </c>
      <c r="R332" s="115">
        <v>35.25</v>
      </c>
      <c r="S332" s="115">
        <v>0.05</v>
      </c>
      <c r="T332" s="115">
        <v>0.35</v>
      </c>
      <c r="U332" s="115">
        <v>34.95</v>
      </c>
      <c r="V332" s="115">
        <v>1.97</v>
      </c>
      <c r="W332" s="115">
        <v>0.8186</v>
      </c>
      <c r="X332" s="115">
        <v>0.98</v>
      </c>
      <c r="Y332" s="115">
        <v>280.0</v>
      </c>
      <c r="Z332" s="115">
        <v>2791.0</v>
      </c>
      <c r="AA332" s="115">
        <v>13959.0</v>
      </c>
      <c r="AB332" s="115">
        <v>49.9741</v>
      </c>
      <c r="AC332" s="115">
        <v>0.5443</v>
      </c>
      <c r="AI332" s="115">
        <v>0.0</v>
      </c>
      <c r="AJ332" s="115">
        <v>0.0</v>
      </c>
      <c r="AK332" s="115">
        <v>0.0</v>
      </c>
      <c r="AL332" s="115">
        <v>0.2794</v>
      </c>
      <c r="AM332" s="115">
        <v>0.37</v>
      </c>
      <c r="AN332" s="115">
        <v>0.37</v>
      </c>
      <c r="AO332" s="115">
        <v>0.19</v>
      </c>
      <c r="AP332" s="115">
        <v>0.1</v>
      </c>
      <c r="AQ332" s="115">
        <v>1.6406</v>
      </c>
      <c r="AR332" s="115">
        <v>0.004</v>
      </c>
      <c r="AS332" s="115">
        <v>1.6366</v>
      </c>
      <c r="AT332" s="115">
        <v>0.3846</v>
      </c>
      <c r="AU332" s="115">
        <v>0.16</v>
      </c>
    </row>
    <row r="333" ht="15.75" customHeight="1">
      <c r="A333" s="116">
        <v>46202.0</v>
      </c>
      <c r="B333" s="115" t="s">
        <v>9</v>
      </c>
      <c r="C333" s="115" t="s">
        <v>129</v>
      </c>
      <c r="D333" s="115">
        <v>29664.0</v>
      </c>
      <c r="E333" s="115">
        <v>35.29</v>
      </c>
      <c r="F333" s="115">
        <v>2489.24</v>
      </c>
      <c r="G333" s="115">
        <v>0.0839</v>
      </c>
      <c r="H333" s="115">
        <v>2.7</v>
      </c>
      <c r="I333" s="115">
        <v>3.1038</v>
      </c>
      <c r="J333" s="115">
        <v>33.37</v>
      </c>
      <c r="K333" s="115">
        <v>16.45</v>
      </c>
      <c r="L333" s="115">
        <v>5.62</v>
      </c>
      <c r="M333" s="115">
        <v>0.3414</v>
      </c>
      <c r="N333" s="115">
        <v>0.7703</v>
      </c>
      <c r="O333" s="115">
        <v>0.5436</v>
      </c>
      <c r="P333" s="115">
        <v>2.9288</v>
      </c>
      <c r="Q333" s="115">
        <v>77.7</v>
      </c>
      <c r="R333" s="115">
        <v>73.49</v>
      </c>
      <c r="S333" s="115">
        <v>4.21</v>
      </c>
      <c r="T333" s="115">
        <v>5.31</v>
      </c>
      <c r="U333" s="115">
        <v>72.39</v>
      </c>
      <c r="V333" s="115">
        <v>64.56</v>
      </c>
      <c r="W333" s="115">
        <v>3.9252</v>
      </c>
      <c r="X333" s="115">
        <v>6.83</v>
      </c>
      <c r="Y333" s="115">
        <v>109.0</v>
      </c>
      <c r="Z333" s="115">
        <v>408.0</v>
      </c>
      <c r="AA333" s="115">
        <v>3002.0</v>
      </c>
      <c r="AB333" s="115">
        <v>49.2973</v>
      </c>
      <c r="AC333" s="115">
        <v>0.4854</v>
      </c>
      <c r="AD333" s="115">
        <v>3.76</v>
      </c>
      <c r="AE333" s="115">
        <v>1.0</v>
      </c>
      <c r="AF333" s="115">
        <v>2.0</v>
      </c>
      <c r="AG333" s="115">
        <v>5.0</v>
      </c>
      <c r="AH333" s="115">
        <v>8.0</v>
      </c>
      <c r="AI333" s="115">
        <v>71.21</v>
      </c>
      <c r="AJ333" s="115">
        <v>27.98</v>
      </c>
      <c r="AK333" s="115">
        <v>7.07</v>
      </c>
      <c r="AL333" s="115">
        <v>0.2303</v>
      </c>
      <c r="AM333" s="115">
        <v>52.77</v>
      </c>
      <c r="AN333" s="115">
        <v>52.77</v>
      </c>
      <c r="AO333" s="115">
        <v>20.4</v>
      </c>
      <c r="AP333" s="115">
        <v>5.33</v>
      </c>
      <c r="AQ333" s="115">
        <v>4.7126</v>
      </c>
      <c r="AR333" s="115">
        <v>0.0549</v>
      </c>
      <c r="AS333" s="115">
        <v>4.6577</v>
      </c>
      <c r="AT333" s="115">
        <v>3.7931</v>
      </c>
      <c r="AU333" s="115">
        <v>0.2306</v>
      </c>
    </row>
    <row r="334" ht="15.75" customHeight="1">
      <c r="A334" s="116">
        <v>46202.0</v>
      </c>
      <c r="B334" s="115" t="s">
        <v>9</v>
      </c>
      <c r="C334" s="115" t="s">
        <v>130</v>
      </c>
      <c r="D334" s="115">
        <v>20820.0</v>
      </c>
      <c r="E334" s="115">
        <v>24.77</v>
      </c>
      <c r="F334" s="115">
        <v>6614.0</v>
      </c>
      <c r="G334" s="115">
        <v>0.3177</v>
      </c>
      <c r="H334" s="115">
        <v>7.11</v>
      </c>
      <c r="I334" s="115">
        <v>4.4659</v>
      </c>
      <c r="J334" s="115">
        <v>62.26</v>
      </c>
      <c r="K334" s="115">
        <v>31.44</v>
      </c>
      <c r="L334" s="115">
        <v>14.49</v>
      </c>
      <c r="M334" s="115">
        <v>0.4609</v>
      </c>
      <c r="N334" s="115">
        <v>0.6752</v>
      </c>
      <c r="O334" s="115">
        <v>0.4409</v>
      </c>
      <c r="P334" s="115">
        <v>2.1695</v>
      </c>
      <c r="Q334" s="115">
        <v>154.84</v>
      </c>
      <c r="R334" s="115">
        <v>144.62</v>
      </c>
      <c r="S334" s="115">
        <v>10.22</v>
      </c>
      <c r="T334" s="115">
        <v>19.96</v>
      </c>
      <c r="U334" s="115">
        <v>134.87</v>
      </c>
      <c r="V334" s="115">
        <v>138.9</v>
      </c>
      <c r="W334" s="115">
        <v>4.4172</v>
      </c>
      <c r="X334" s="115">
        <v>12.89</v>
      </c>
      <c r="Y334" s="115">
        <v>104.0</v>
      </c>
      <c r="Z334" s="115">
        <v>382.0</v>
      </c>
      <c r="AA334" s="115">
        <v>2860.0</v>
      </c>
      <c r="AB334" s="115">
        <v>52.1477</v>
      </c>
      <c r="AC334" s="115">
        <v>0.5493</v>
      </c>
      <c r="AD334" s="115">
        <v>9.15</v>
      </c>
      <c r="AE334" s="115">
        <v>3.0</v>
      </c>
      <c r="AF334" s="115">
        <v>7.0</v>
      </c>
      <c r="AG334" s="115">
        <v>13.0</v>
      </c>
      <c r="AH334" s="115">
        <v>20.0</v>
      </c>
      <c r="AI334" s="115">
        <v>57.93</v>
      </c>
      <c r="AJ334" s="115">
        <v>25.6</v>
      </c>
      <c r="AK334" s="115">
        <v>4.73</v>
      </c>
      <c r="AL334" s="115">
        <v>0.1827</v>
      </c>
      <c r="AM334" s="115">
        <v>63.44</v>
      </c>
      <c r="AN334" s="115">
        <v>63.44</v>
      </c>
      <c r="AO334" s="115">
        <v>36.89</v>
      </c>
      <c r="AP334" s="115">
        <v>16.49</v>
      </c>
      <c r="AQ334" s="115">
        <v>9.295</v>
      </c>
      <c r="AR334" s="115">
        <v>0.2389</v>
      </c>
      <c r="AS334" s="115">
        <v>9.0561</v>
      </c>
      <c r="AT334" s="115">
        <v>7.6887</v>
      </c>
      <c r="AU334" s="115">
        <v>0.2445</v>
      </c>
    </row>
    <row r="335" ht="15.75" customHeight="1">
      <c r="A335" s="116">
        <v>46202.0</v>
      </c>
      <c r="B335" s="115" t="s">
        <v>9</v>
      </c>
      <c r="C335" s="115" t="s">
        <v>131</v>
      </c>
      <c r="D335" s="115">
        <v>12166.0</v>
      </c>
      <c r="E335" s="115">
        <v>14.47</v>
      </c>
      <c r="F335" s="115">
        <v>10181.27</v>
      </c>
      <c r="G335" s="115">
        <v>0.8369</v>
      </c>
      <c r="H335" s="115">
        <v>11.43</v>
      </c>
      <c r="I335" s="115">
        <v>7.3247</v>
      </c>
      <c r="J335" s="115">
        <v>90.49</v>
      </c>
      <c r="K335" s="115">
        <v>47.36</v>
      </c>
      <c r="L335" s="115">
        <v>29.44</v>
      </c>
      <c r="M335" s="115">
        <v>0.6217</v>
      </c>
      <c r="N335" s="115">
        <v>0.531</v>
      </c>
      <c r="O335" s="115">
        <v>0.3393</v>
      </c>
      <c r="P335" s="115">
        <v>1.6086</v>
      </c>
      <c r="Q335" s="115">
        <v>283.34</v>
      </c>
      <c r="R335" s="115">
        <v>263.87</v>
      </c>
      <c r="S335" s="115">
        <v>19.48</v>
      </c>
      <c r="T335" s="115">
        <v>52.04</v>
      </c>
      <c r="U335" s="115">
        <v>231.31</v>
      </c>
      <c r="V335" s="115">
        <v>262.8</v>
      </c>
      <c r="W335" s="115">
        <v>5.5493</v>
      </c>
      <c r="X335" s="115">
        <v>18.37</v>
      </c>
      <c r="Y335" s="115">
        <v>124.0</v>
      </c>
      <c r="Z335" s="115">
        <v>582.0</v>
      </c>
      <c r="AA335" s="115">
        <v>3976.0</v>
      </c>
      <c r="AB335" s="115">
        <v>55.2241</v>
      </c>
      <c r="AC335" s="115">
        <v>0.6281</v>
      </c>
      <c r="AD335" s="115">
        <v>18.65</v>
      </c>
      <c r="AE335" s="115">
        <v>7.0</v>
      </c>
      <c r="AF335" s="115">
        <v>15.0</v>
      </c>
      <c r="AG335" s="115">
        <v>26.0</v>
      </c>
      <c r="AH335" s="115">
        <v>39.0</v>
      </c>
      <c r="AI335" s="115">
        <v>63.15</v>
      </c>
      <c r="AJ335" s="115">
        <v>26.92</v>
      </c>
      <c r="AK335" s="115">
        <v>6.48</v>
      </c>
      <c r="AL335" s="115">
        <v>0.1626</v>
      </c>
      <c r="AM335" s="115">
        <v>69.0</v>
      </c>
      <c r="AN335" s="115">
        <v>69.0</v>
      </c>
      <c r="AO335" s="115">
        <v>45.55</v>
      </c>
      <c r="AP335" s="115">
        <v>24.63</v>
      </c>
      <c r="AQ335" s="115">
        <v>14.3213</v>
      </c>
      <c r="AR335" s="115">
        <v>0.6046</v>
      </c>
      <c r="AS335" s="115">
        <v>13.7167</v>
      </c>
      <c r="AT335" s="115">
        <v>12.2905</v>
      </c>
      <c r="AU335" s="115">
        <v>0.2595</v>
      </c>
    </row>
    <row r="336" ht="15.75" customHeight="1">
      <c r="A336" s="116">
        <v>46202.0</v>
      </c>
      <c r="B336" s="115" t="s">
        <v>9</v>
      </c>
      <c r="C336" s="115" t="s">
        <v>132</v>
      </c>
      <c r="D336" s="115">
        <v>5500.0</v>
      </c>
      <c r="E336" s="115">
        <v>6.54</v>
      </c>
      <c r="F336" s="115">
        <v>10393.92</v>
      </c>
      <c r="G336" s="115">
        <v>1.8898</v>
      </c>
      <c r="H336" s="115">
        <v>15.05</v>
      </c>
      <c r="I336" s="115">
        <v>12.553</v>
      </c>
      <c r="J336" s="115">
        <v>144.21</v>
      </c>
      <c r="K336" s="115">
        <v>80.65</v>
      </c>
      <c r="L336" s="115">
        <v>61.26</v>
      </c>
      <c r="M336" s="115">
        <v>0.7597</v>
      </c>
      <c r="N336" s="115">
        <v>0.3932</v>
      </c>
      <c r="O336" s="115">
        <v>0.2601</v>
      </c>
      <c r="P336" s="115">
        <v>1.3164</v>
      </c>
      <c r="Q336" s="115">
        <v>513.94</v>
      </c>
      <c r="R336" s="115">
        <v>474.55</v>
      </c>
      <c r="S336" s="115">
        <v>39.39</v>
      </c>
      <c r="T336" s="115">
        <v>120.16</v>
      </c>
      <c r="U336" s="115">
        <v>393.77</v>
      </c>
      <c r="V336" s="115">
        <v>522.81</v>
      </c>
      <c r="W336" s="115">
        <v>6.4828</v>
      </c>
      <c r="X336" s="115">
        <v>23.38</v>
      </c>
      <c r="Y336" s="115">
        <v>197.0</v>
      </c>
      <c r="Z336" s="115">
        <v>1129.0</v>
      </c>
      <c r="AA336" s="115">
        <v>6950.0</v>
      </c>
      <c r="AB336" s="115">
        <v>58.8225</v>
      </c>
      <c r="AC336" s="115">
        <v>0.7068</v>
      </c>
      <c r="AD336" s="115">
        <v>37.92</v>
      </c>
      <c r="AE336" s="115">
        <v>15.0</v>
      </c>
      <c r="AF336" s="115">
        <v>32.0</v>
      </c>
      <c r="AG336" s="115">
        <v>49.0</v>
      </c>
      <c r="AH336" s="115">
        <v>78.0</v>
      </c>
      <c r="AI336" s="115">
        <v>55.93</v>
      </c>
      <c r="AJ336" s="115">
        <v>18.36</v>
      </c>
      <c r="AK336" s="115">
        <v>5.15</v>
      </c>
      <c r="AL336" s="115">
        <v>0.124</v>
      </c>
      <c r="AM336" s="115">
        <v>75.05</v>
      </c>
      <c r="AN336" s="115">
        <v>75.05</v>
      </c>
      <c r="AO336" s="115">
        <v>55.09</v>
      </c>
      <c r="AP336" s="115">
        <v>38.58</v>
      </c>
      <c r="AQ336" s="115">
        <v>22.1322</v>
      </c>
      <c r="AR336" s="115">
        <v>2.1044</v>
      </c>
      <c r="AS336" s="115">
        <v>20.0278</v>
      </c>
      <c r="AT336" s="115">
        <v>20.3762</v>
      </c>
      <c r="AU336" s="115">
        <v>0.2527</v>
      </c>
    </row>
    <row r="337" ht="15.75" customHeight="1">
      <c r="A337" s="116">
        <v>46202.0</v>
      </c>
      <c r="B337" s="115" t="s">
        <v>9</v>
      </c>
      <c r="C337" s="115" t="s">
        <v>133</v>
      </c>
      <c r="D337" s="115">
        <v>526.0</v>
      </c>
      <c r="E337" s="115">
        <v>0.63</v>
      </c>
      <c r="F337" s="115">
        <v>2138.12</v>
      </c>
      <c r="G337" s="115">
        <v>4.0649</v>
      </c>
      <c r="H337" s="115">
        <v>18.63</v>
      </c>
      <c r="I337" s="115">
        <v>21.8176</v>
      </c>
      <c r="J337" s="115">
        <v>261.39</v>
      </c>
      <c r="K337" s="115">
        <v>155.43</v>
      </c>
      <c r="L337" s="115">
        <v>130.3</v>
      </c>
      <c r="M337" s="115">
        <v>0.8383</v>
      </c>
      <c r="N337" s="115">
        <v>0.297</v>
      </c>
      <c r="O337" s="115">
        <v>0.2047</v>
      </c>
      <c r="P337" s="115">
        <v>1.1929</v>
      </c>
      <c r="Q337" s="115">
        <v>886.75</v>
      </c>
      <c r="R337" s="115">
        <v>788.05</v>
      </c>
      <c r="S337" s="115">
        <v>98.7</v>
      </c>
      <c r="T337" s="115">
        <v>255.99</v>
      </c>
      <c r="U337" s="115">
        <v>630.76</v>
      </c>
      <c r="V337" s="115">
        <v>905.51</v>
      </c>
      <c r="W337" s="115">
        <v>5.8259</v>
      </c>
      <c r="X337" s="115">
        <v>28.87</v>
      </c>
      <c r="Y337" s="115">
        <v>249.0</v>
      </c>
      <c r="Z337" s="115">
        <v>1403.0</v>
      </c>
      <c r="AA337" s="115">
        <v>7575.0</v>
      </c>
      <c r="AB337" s="115">
        <v>62.4956</v>
      </c>
      <c r="AC337" s="115">
        <v>0.8586</v>
      </c>
      <c r="AD337" s="115">
        <v>90.7</v>
      </c>
      <c r="AE337" s="115">
        <v>37.0</v>
      </c>
      <c r="AF337" s="115">
        <v>78.0</v>
      </c>
      <c r="AG337" s="115">
        <v>132.0</v>
      </c>
      <c r="AH337" s="115">
        <v>182.0</v>
      </c>
      <c r="AI337" s="115">
        <v>49.24</v>
      </c>
      <c r="AJ337" s="115">
        <v>12.74</v>
      </c>
      <c r="AK337" s="115">
        <v>0.95</v>
      </c>
      <c r="AL337" s="115">
        <v>0.0951</v>
      </c>
      <c r="AM337" s="115">
        <v>84.41</v>
      </c>
      <c r="AN337" s="115">
        <v>84.41</v>
      </c>
      <c r="AO337" s="115">
        <v>71.1</v>
      </c>
      <c r="AP337" s="115">
        <v>60.46</v>
      </c>
      <c r="AQ337" s="115">
        <v>37.6673</v>
      </c>
      <c r="AR337" s="115">
        <v>3.0532</v>
      </c>
      <c r="AS337" s="115">
        <v>34.6141</v>
      </c>
      <c r="AT337" s="115">
        <v>34.9582</v>
      </c>
      <c r="AU337" s="115">
        <v>0.2249</v>
      </c>
    </row>
    <row r="338" ht="15.75" customHeight="1">
      <c r="A338" s="116">
        <v>46203.0</v>
      </c>
      <c r="B338" s="115" t="s">
        <v>8</v>
      </c>
      <c r="C338" s="115" t="s">
        <v>128</v>
      </c>
      <c r="D338" s="115">
        <v>16493.0</v>
      </c>
      <c r="E338" s="115">
        <v>19.79</v>
      </c>
      <c r="F338" s="115">
        <v>129.9</v>
      </c>
      <c r="G338" s="115">
        <v>0.0079</v>
      </c>
      <c r="H338" s="115">
        <v>0.09</v>
      </c>
      <c r="I338" s="115">
        <v>8.66</v>
      </c>
      <c r="J338" s="115">
        <v>6.11</v>
      </c>
      <c r="K338" s="115">
        <v>2.65</v>
      </c>
      <c r="L338" s="115">
        <v>0.04</v>
      </c>
      <c r="M338" s="115">
        <v>0.0151</v>
      </c>
      <c r="N338" s="115">
        <v>0.9872</v>
      </c>
      <c r="O338" s="115">
        <v>0.8297</v>
      </c>
      <c r="P338" s="115">
        <v>66.1045</v>
      </c>
      <c r="Q338" s="115">
        <v>25.11</v>
      </c>
      <c r="R338" s="115">
        <v>25.04</v>
      </c>
      <c r="S338" s="115">
        <v>0.06</v>
      </c>
      <c r="T338" s="115">
        <v>0.49</v>
      </c>
      <c r="U338" s="115">
        <v>24.62</v>
      </c>
      <c r="V338" s="115">
        <v>2.26</v>
      </c>
      <c r="W338" s="115">
        <v>0.8526</v>
      </c>
      <c r="X338" s="115">
        <v>1.94</v>
      </c>
      <c r="Y338" s="115">
        <v>226.0</v>
      </c>
      <c r="Z338" s="115">
        <v>2738.0</v>
      </c>
      <c r="AA338" s="115">
        <v>13137.0</v>
      </c>
      <c r="AB338" s="115">
        <v>49.5091</v>
      </c>
      <c r="AC338" s="115">
        <v>0.5257</v>
      </c>
      <c r="AI338" s="115">
        <v>0.0</v>
      </c>
      <c r="AJ338" s="115">
        <v>0.0</v>
      </c>
      <c r="AK338" s="115">
        <v>0.0</v>
      </c>
      <c r="AL338" s="115">
        <v>1.0</v>
      </c>
      <c r="AQ338" s="115">
        <v>1.0439</v>
      </c>
      <c r="AR338" s="115">
        <v>0.0136</v>
      </c>
      <c r="AS338" s="115">
        <v>1.0303</v>
      </c>
      <c r="AT338" s="115">
        <v>0.3834</v>
      </c>
      <c r="AU338" s="115">
        <v>0.1449</v>
      </c>
    </row>
    <row r="339" ht="15.75" customHeight="1">
      <c r="A339" s="116">
        <v>46203.0</v>
      </c>
      <c r="B339" s="115" t="s">
        <v>8</v>
      </c>
      <c r="C339" s="115" t="s">
        <v>129</v>
      </c>
      <c r="D339" s="115">
        <v>31314.0</v>
      </c>
      <c r="E339" s="115">
        <v>37.58</v>
      </c>
      <c r="F339" s="115">
        <v>3073.07</v>
      </c>
      <c r="G339" s="115">
        <v>0.0981</v>
      </c>
      <c r="H339" s="115">
        <v>3.1</v>
      </c>
      <c r="I339" s="115">
        <v>3.1649</v>
      </c>
      <c r="J339" s="115">
        <v>28.66</v>
      </c>
      <c r="K339" s="115">
        <v>13.9</v>
      </c>
      <c r="L339" s="115">
        <v>5.18</v>
      </c>
      <c r="M339" s="115">
        <v>0.3727</v>
      </c>
      <c r="N339" s="115">
        <v>0.7548</v>
      </c>
      <c r="O339" s="115">
        <v>0.5429</v>
      </c>
      <c r="P339" s="115">
        <v>2.6828</v>
      </c>
      <c r="Q339" s="115">
        <v>59.07</v>
      </c>
      <c r="R339" s="115">
        <v>48.15</v>
      </c>
      <c r="S339" s="115">
        <v>10.92</v>
      </c>
      <c r="T339" s="115">
        <v>6.25</v>
      </c>
      <c r="U339" s="115">
        <v>52.82</v>
      </c>
      <c r="V339" s="115">
        <v>63.37</v>
      </c>
      <c r="W339" s="115">
        <v>4.5578</v>
      </c>
      <c r="X339" s="115">
        <v>10.58</v>
      </c>
      <c r="Y339" s="115">
        <v>113.0</v>
      </c>
      <c r="Z339" s="115">
        <v>456.0</v>
      </c>
      <c r="AA339" s="115">
        <v>3661.0</v>
      </c>
      <c r="AB339" s="115">
        <v>49.4829</v>
      </c>
      <c r="AC339" s="115">
        <v>0.4944</v>
      </c>
      <c r="AD339" s="115">
        <v>3.73</v>
      </c>
      <c r="AE339" s="115">
        <v>1.0</v>
      </c>
      <c r="AF339" s="115">
        <v>2.0</v>
      </c>
      <c r="AG339" s="115">
        <v>5.0</v>
      </c>
      <c r="AH339" s="115">
        <v>9.0</v>
      </c>
      <c r="AI339" s="115">
        <v>69.34</v>
      </c>
      <c r="AJ339" s="115">
        <v>27.46</v>
      </c>
      <c r="AK339" s="115">
        <v>7.83</v>
      </c>
      <c r="AL339" s="115">
        <v>1.0</v>
      </c>
      <c r="AQ339" s="115">
        <v>3.0104</v>
      </c>
      <c r="AR339" s="115">
        <v>0.071</v>
      </c>
      <c r="AS339" s="115">
        <v>2.9395</v>
      </c>
      <c r="AT339" s="115">
        <v>3.1805</v>
      </c>
      <c r="AU339" s="115">
        <v>0.2287</v>
      </c>
    </row>
    <row r="340" ht="15.75" customHeight="1">
      <c r="A340" s="116">
        <v>46203.0</v>
      </c>
      <c r="B340" s="115" t="s">
        <v>8</v>
      </c>
      <c r="C340" s="115" t="s">
        <v>130</v>
      </c>
      <c r="D340" s="115">
        <v>19791.0</v>
      </c>
      <c r="E340" s="115">
        <v>23.75</v>
      </c>
      <c r="F340" s="115">
        <v>7293.08</v>
      </c>
      <c r="G340" s="115">
        <v>0.3685</v>
      </c>
      <c r="H340" s="115">
        <v>7.81</v>
      </c>
      <c r="I340" s="115">
        <v>4.7174</v>
      </c>
      <c r="J340" s="115">
        <v>52.89</v>
      </c>
      <c r="K340" s="115">
        <v>26.26</v>
      </c>
      <c r="L340" s="115">
        <v>13.25</v>
      </c>
      <c r="M340" s="115">
        <v>0.5047</v>
      </c>
      <c r="N340" s="115">
        <v>0.645</v>
      </c>
      <c r="O340" s="115">
        <v>0.4264</v>
      </c>
      <c r="P340" s="115">
        <v>1.9815</v>
      </c>
      <c r="Q340" s="115">
        <v>123.27</v>
      </c>
      <c r="R340" s="115">
        <v>96.89</v>
      </c>
      <c r="S340" s="115">
        <v>26.38</v>
      </c>
      <c r="T340" s="115">
        <v>23.02</v>
      </c>
      <c r="U340" s="115">
        <v>100.25</v>
      </c>
      <c r="V340" s="115">
        <v>128.33</v>
      </c>
      <c r="W340" s="115">
        <v>4.8876</v>
      </c>
      <c r="X340" s="115">
        <v>18.68</v>
      </c>
      <c r="Y340" s="115">
        <v>107.0</v>
      </c>
      <c r="Z340" s="115">
        <v>432.0</v>
      </c>
      <c r="AA340" s="115">
        <v>3387.0</v>
      </c>
      <c r="AB340" s="115">
        <v>52.5042</v>
      </c>
      <c r="AC340" s="115">
        <v>0.5651</v>
      </c>
      <c r="AD340" s="115">
        <v>8.82</v>
      </c>
      <c r="AE340" s="115">
        <v>3.0</v>
      </c>
      <c r="AF340" s="115">
        <v>7.0</v>
      </c>
      <c r="AG340" s="115">
        <v>12.0</v>
      </c>
      <c r="AH340" s="115">
        <v>19.0</v>
      </c>
      <c r="AI340" s="115">
        <v>56.49</v>
      </c>
      <c r="AJ340" s="115">
        <v>24.2</v>
      </c>
      <c r="AK340" s="115">
        <v>3.88</v>
      </c>
      <c r="AL340" s="115">
        <v>1.0</v>
      </c>
      <c r="AQ340" s="115">
        <v>6.053</v>
      </c>
      <c r="AR340" s="115">
        <v>0.2968</v>
      </c>
      <c r="AS340" s="115">
        <v>5.7562</v>
      </c>
      <c r="AT340" s="115">
        <v>6.2063</v>
      </c>
      <c r="AU340" s="115">
        <v>0.2364</v>
      </c>
    </row>
    <row r="341" ht="15.75" customHeight="1">
      <c r="A341" s="116">
        <v>46203.0</v>
      </c>
      <c r="B341" s="115" t="s">
        <v>8</v>
      </c>
      <c r="C341" s="115" t="s">
        <v>131</v>
      </c>
      <c r="D341" s="115">
        <v>10997.0</v>
      </c>
      <c r="E341" s="115">
        <v>13.2</v>
      </c>
      <c r="F341" s="115">
        <v>10371.49</v>
      </c>
      <c r="G341" s="115">
        <v>0.9431</v>
      </c>
      <c r="H341" s="115">
        <v>12.08</v>
      </c>
      <c r="I341" s="115">
        <v>7.8099</v>
      </c>
      <c r="J341" s="115">
        <v>79.41</v>
      </c>
      <c r="K341" s="115">
        <v>42.32</v>
      </c>
      <c r="L341" s="115">
        <v>27.42</v>
      </c>
      <c r="M341" s="115">
        <v>0.6479</v>
      </c>
      <c r="N341" s="115">
        <v>0.5038</v>
      </c>
      <c r="O341" s="115">
        <v>0.321</v>
      </c>
      <c r="P341" s="115">
        <v>1.5435</v>
      </c>
      <c r="Q341" s="115">
        <v>237.04</v>
      </c>
      <c r="R341" s="115">
        <v>185.76</v>
      </c>
      <c r="S341" s="115">
        <v>51.28</v>
      </c>
      <c r="T341" s="115">
        <v>58.96</v>
      </c>
      <c r="U341" s="115">
        <v>178.08</v>
      </c>
      <c r="V341" s="115">
        <v>238.85</v>
      </c>
      <c r="W341" s="115">
        <v>5.6445</v>
      </c>
      <c r="X341" s="115">
        <v>24.87</v>
      </c>
      <c r="Y341" s="115">
        <v>125.0</v>
      </c>
      <c r="Z341" s="115">
        <v>571.0</v>
      </c>
      <c r="AA341" s="115">
        <v>4525.0</v>
      </c>
      <c r="AB341" s="115">
        <v>55.4973</v>
      </c>
      <c r="AC341" s="115">
        <v>0.6616</v>
      </c>
      <c r="AD341" s="115">
        <v>16.7</v>
      </c>
      <c r="AE341" s="115">
        <v>6.0</v>
      </c>
      <c r="AF341" s="115">
        <v>13.0</v>
      </c>
      <c r="AG341" s="115">
        <v>24.0</v>
      </c>
      <c r="AH341" s="115">
        <v>35.0</v>
      </c>
      <c r="AI341" s="115">
        <v>56.75</v>
      </c>
      <c r="AJ341" s="115">
        <v>21.53</v>
      </c>
      <c r="AK341" s="115">
        <v>6.13</v>
      </c>
      <c r="AL341" s="115">
        <v>1.0</v>
      </c>
      <c r="AQ341" s="115">
        <v>9.5667</v>
      </c>
      <c r="AR341" s="115">
        <v>0.7146</v>
      </c>
      <c r="AS341" s="115">
        <v>8.8521</v>
      </c>
      <c r="AT341" s="115">
        <v>9.9359</v>
      </c>
      <c r="AU341" s="115">
        <v>0.2348</v>
      </c>
    </row>
    <row r="342" ht="15.75" customHeight="1">
      <c r="A342" s="116">
        <v>46203.0</v>
      </c>
      <c r="B342" s="115" t="s">
        <v>8</v>
      </c>
      <c r="C342" s="115" t="s">
        <v>132</v>
      </c>
      <c r="D342" s="115">
        <v>4293.0</v>
      </c>
      <c r="E342" s="115">
        <v>5.15</v>
      </c>
      <c r="F342" s="115">
        <v>7127.48</v>
      </c>
      <c r="G342" s="115">
        <v>1.6603</v>
      </c>
      <c r="H342" s="115">
        <v>15.14</v>
      </c>
      <c r="I342" s="115">
        <v>10.9654</v>
      </c>
      <c r="J342" s="115">
        <v>127.11</v>
      </c>
      <c r="K342" s="115">
        <v>71.8</v>
      </c>
      <c r="L342" s="115">
        <v>53.77</v>
      </c>
      <c r="M342" s="115">
        <v>0.749</v>
      </c>
      <c r="N342" s="115">
        <v>0.3981</v>
      </c>
      <c r="O342" s="115">
        <v>0.2614</v>
      </c>
      <c r="P342" s="115">
        <v>1.3352</v>
      </c>
      <c r="Q342" s="115">
        <v>433.31</v>
      </c>
      <c r="R342" s="115">
        <v>321.16</v>
      </c>
      <c r="S342" s="115">
        <v>112.14</v>
      </c>
      <c r="T342" s="115">
        <v>106.06</v>
      </c>
      <c r="U342" s="115">
        <v>327.25</v>
      </c>
      <c r="V342" s="115">
        <v>430.75</v>
      </c>
      <c r="W342" s="115">
        <v>5.9993</v>
      </c>
      <c r="X342" s="115">
        <v>24.48</v>
      </c>
      <c r="Y342" s="115">
        <v>153.0</v>
      </c>
      <c r="Z342" s="115">
        <v>953.0</v>
      </c>
      <c r="AA342" s="115">
        <v>5363.0</v>
      </c>
      <c r="AB342" s="115">
        <v>59.2796</v>
      </c>
      <c r="AC342" s="115">
        <v>0.7976</v>
      </c>
      <c r="AD342" s="115">
        <v>36.5</v>
      </c>
      <c r="AE342" s="115">
        <v>14.0</v>
      </c>
      <c r="AF342" s="115">
        <v>28.0</v>
      </c>
      <c r="AG342" s="115">
        <v>50.0</v>
      </c>
      <c r="AH342" s="115">
        <v>78.0</v>
      </c>
      <c r="AI342" s="115">
        <v>51.06</v>
      </c>
      <c r="AJ342" s="115">
        <v>18.38</v>
      </c>
      <c r="AK342" s="115">
        <v>4.57</v>
      </c>
      <c r="AL342" s="115">
        <v>1.0</v>
      </c>
      <c r="AQ342" s="115">
        <v>15.4736</v>
      </c>
      <c r="AR342" s="115">
        <v>1.2784</v>
      </c>
      <c r="AS342" s="115">
        <v>14.1952</v>
      </c>
      <c r="AT342" s="115">
        <v>16.4654</v>
      </c>
      <c r="AU342" s="115">
        <v>0.2293</v>
      </c>
    </row>
    <row r="343" ht="15.75" customHeight="1">
      <c r="A343" s="116">
        <v>46203.0</v>
      </c>
      <c r="B343" s="115" t="s">
        <v>8</v>
      </c>
      <c r="C343" s="115" t="s">
        <v>133</v>
      </c>
      <c r="D343" s="115">
        <v>444.0</v>
      </c>
      <c r="E343" s="115">
        <v>0.53</v>
      </c>
      <c r="F343" s="115">
        <v>2088.59</v>
      </c>
      <c r="G343" s="115">
        <v>4.704</v>
      </c>
      <c r="H343" s="115">
        <v>17.34</v>
      </c>
      <c r="I343" s="115">
        <v>27.1245</v>
      </c>
      <c r="J343" s="115">
        <v>244.87</v>
      </c>
      <c r="K343" s="115">
        <v>150.24</v>
      </c>
      <c r="L343" s="115">
        <v>127.08</v>
      </c>
      <c r="M343" s="115">
        <v>0.8458</v>
      </c>
      <c r="N343" s="115">
        <v>0.2868</v>
      </c>
      <c r="O343" s="115">
        <v>0.2008</v>
      </c>
      <c r="P343" s="115">
        <v>1.1823</v>
      </c>
      <c r="Q343" s="115">
        <v>936.84</v>
      </c>
      <c r="R343" s="115">
        <v>665.18</v>
      </c>
      <c r="S343" s="115">
        <v>271.66</v>
      </c>
      <c r="T343" s="115">
        <v>308.78</v>
      </c>
      <c r="U343" s="115">
        <v>628.05</v>
      </c>
      <c r="V343" s="115">
        <v>962.5</v>
      </c>
      <c r="W343" s="115">
        <v>6.4065</v>
      </c>
      <c r="X343" s="115">
        <v>32.96</v>
      </c>
      <c r="Y343" s="115">
        <v>285.0</v>
      </c>
      <c r="Z343" s="115">
        <v>1672.0</v>
      </c>
      <c r="AA343" s="115">
        <v>8177.0</v>
      </c>
      <c r="AB343" s="115">
        <v>62.5253</v>
      </c>
      <c r="AC343" s="115">
        <v>0.8725</v>
      </c>
      <c r="AD343" s="115">
        <v>85.1</v>
      </c>
      <c r="AE343" s="115">
        <v>34.0</v>
      </c>
      <c r="AF343" s="115">
        <v>73.0</v>
      </c>
      <c r="AG343" s="115">
        <v>120.0</v>
      </c>
      <c r="AH343" s="115">
        <v>168.0</v>
      </c>
      <c r="AI343" s="115">
        <v>45.95</v>
      </c>
      <c r="AJ343" s="115">
        <v>8.56</v>
      </c>
      <c r="AK343" s="115">
        <v>0.68</v>
      </c>
      <c r="AL343" s="115">
        <v>1.0</v>
      </c>
      <c r="AQ343" s="115">
        <v>31.9279</v>
      </c>
      <c r="AR343" s="115">
        <v>4.527</v>
      </c>
      <c r="AS343" s="115">
        <v>27.4009</v>
      </c>
      <c r="AT343" s="115">
        <v>36.1104</v>
      </c>
      <c r="AU343" s="115">
        <v>0.2404</v>
      </c>
    </row>
    <row r="344" ht="15.75" customHeight="1">
      <c r="A344" s="116">
        <v>46203.0</v>
      </c>
      <c r="B344" s="115" t="s">
        <v>9</v>
      </c>
      <c r="C344" s="115" t="s">
        <v>128</v>
      </c>
      <c r="D344" s="115">
        <v>16762.0</v>
      </c>
      <c r="E344" s="115">
        <v>20.27</v>
      </c>
      <c r="F344" s="115">
        <v>42.26</v>
      </c>
      <c r="G344" s="115">
        <v>0.0025</v>
      </c>
      <c r="H344" s="115">
        <v>0.08</v>
      </c>
      <c r="I344" s="115">
        <v>3.2508</v>
      </c>
      <c r="J344" s="115">
        <v>6.59</v>
      </c>
      <c r="K344" s="115">
        <v>2.82</v>
      </c>
      <c r="L344" s="115">
        <v>0.07</v>
      </c>
      <c r="M344" s="115">
        <v>0.0235</v>
      </c>
      <c r="N344" s="115">
        <v>0.9801</v>
      </c>
      <c r="O344" s="115">
        <v>0.7442</v>
      </c>
      <c r="P344" s="115">
        <v>42.4897</v>
      </c>
      <c r="Q344" s="115">
        <v>21.27</v>
      </c>
      <c r="R344" s="115">
        <v>21.24</v>
      </c>
      <c r="S344" s="115">
        <v>0.03</v>
      </c>
      <c r="T344" s="115">
        <v>0.13</v>
      </c>
      <c r="U344" s="115">
        <v>21.14</v>
      </c>
      <c r="V344" s="115">
        <v>2.3</v>
      </c>
      <c r="W344" s="115">
        <v>0.8141</v>
      </c>
      <c r="X344" s="115">
        <v>0.6</v>
      </c>
      <c r="Y344" s="115">
        <v>196.0</v>
      </c>
      <c r="Z344" s="115">
        <v>2337.0</v>
      </c>
      <c r="AA344" s="115">
        <v>13246.0</v>
      </c>
      <c r="AB344" s="115">
        <v>49.4217</v>
      </c>
      <c r="AC344" s="115">
        <v>0.5237</v>
      </c>
      <c r="AI344" s="115">
        <v>0.0</v>
      </c>
      <c r="AJ344" s="115">
        <v>0.0</v>
      </c>
      <c r="AK344" s="115">
        <v>0.0</v>
      </c>
      <c r="AL344" s="115">
        <v>1.0</v>
      </c>
      <c r="AM344" s="115">
        <v>0.24</v>
      </c>
      <c r="AN344" s="115">
        <v>0.24</v>
      </c>
      <c r="AO344" s="115">
        <v>0.12</v>
      </c>
      <c r="AP344" s="115">
        <v>0.06</v>
      </c>
      <c r="AQ344" s="115">
        <v>1.0373</v>
      </c>
      <c r="AR344" s="115">
        <v>0.0033</v>
      </c>
      <c r="AS344" s="115">
        <v>1.034</v>
      </c>
      <c r="AT344" s="115">
        <v>0.4176</v>
      </c>
      <c r="AU344" s="115">
        <v>0.148</v>
      </c>
    </row>
    <row r="345" ht="15.75" customHeight="1">
      <c r="A345" s="116">
        <v>46203.0</v>
      </c>
      <c r="B345" s="115" t="s">
        <v>9</v>
      </c>
      <c r="C345" s="115" t="s">
        <v>129</v>
      </c>
      <c r="D345" s="115">
        <v>29754.0</v>
      </c>
      <c r="E345" s="115">
        <v>35.98</v>
      </c>
      <c r="F345" s="115">
        <v>3194.21</v>
      </c>
      <c r="G345" s="115">
        <v>0.1074</v>
      </c>
      <c r="H345" s="115">
        <v>3.03</v>
      </c>
      <c r="I345" s="115">
        <v>3.5413</v>
      </c>
      <c r="J345" s="115">
        <v>29.87</v>
      </c>
      <c r="K345" s="115">
        <v>14.5</v>
      </c>
      <c r="L345" s="115">
        <v>5.23</v>
      </c>
      <c r="M345" s="115">
        <v>0.3606</v>
      </c>
      <c r="N345" s="115">
        <v>0.7583</v>
      </c>
      <c r="O345" s="115">
        <v>0.5397</v>
      </c>
      <c r="P345" s="115">
        <v>2.7729</v>
      </c>
      <c r="Q345" s="115">
        <v>52.24</v>
      </c>
      <c r="R345" s="115">
        <v>48.24</v>
      </c>
      <c r="S345" s="115">
        <v>4.0</v>
      </c>
      <c r="T345" s="115">
        <v>6.92</v>
      </c>
      <c r="U345" s="115">
        <v>45.32</v>
      </c>
      <c r="V345" s="115">
        <v>56.7</v>
      </c>
      <c r="W345" s="115">
        <v>3.9112</v>
      </c>
      <c r="X345" s="115">
        <v>13.24</v>
      </c>
      <c r="Y345" s="115">
        <v>103.0</v>
      </c>
      <c r="Z345" s="115">
        <v>426.0</v>
      </c>
      <c r="AA345" s="115">
        <v>3098.0</v>
      </c>
      <c r="AB345" s="115">
        <v>49.5104</v>
      </c>
      <c r="AC345" s="115">
        <v>0.4904</v>
      </c>
      <c r="AD345" s="115">
        <v>3.72</v>
      </c>
      <c r="AE345" s="115">
        <v>1.0</v>
      </c>
      <c r="AF345" s="115">
        <v>2.0</v>
      </c>
      <c r="AG345" s="115">
        <v>5.0</v>
      </c>
      <c r="AH345" s="115">
        <v>8.0</v>
      </c>
      <c r="AI345" s="115">
        <v>68.62</v>
      </c>
      <c r="AJ345" s="115">
        <v>27.16</v>
      </c>
      <c r="AK345" s="115">
        <v>7.69</v>
      </c>
      <c r="AL345" s="115">
        <v>1.0</v>
      </c>
      <c r="AM345" s="115">
        <v>50.24</v>
      </c>
      <c r="AN345" s="115">
        <v>50.24</v>
      </c>
      <c r="AO345" s="115">
        <v>19.42</v>
      </c>
      <c r="AP345" s="115">
        <v>5.47</v>
      </c>
      <c r="AQ345" s="115">
        <v>3.3205</v>
      </c>
      <c r="AR345" s="115">
        <v>0.0838</v>
      </c>
      <c r="AS345" s="115">
        <v>3.2367</v>
      </c>
      <c r="AT345" s="115">
        <v>3.4366</v>
      </c>
      <c r="AU345" s="115">
        <v>0.2371</v>
      </c>
    </row>
    <row r="346" ht="15.75" customHeight="1">
      <c r="A346" s="116">
        <v>46203.0</v>
      </c>
      <c r="B346" s="115" t="s">
        <v>9</v>
      </c>
      <c r="C346" s="115" t="s">
        <v>130</v>
      </c>
      <c r="D346" s="115">
        <v>19772.0</v>
      </c>
      <c r="E346" s="115">
        <v>23.91</v>
      </c>
      <c r="F346" s="115">
        <v>6940.56</v>
      </c>
      <c r="G346" s="115">
        <v>0.351</v>
      </c>
      <c r="H346" s="115">
        <v>7.68</v>
      </c>
      <c r="I346" s="115">
        <v>4.5722</v>
      </c>
      <c r="J346" s="115">
        <v>54.95</v>
      </c>
      <c r="K346" s="115">
        <v>27.44</v>
      </c>
      <c r="L346" s="115">
        <v>13.51</v>
      </c>
      <c r="M346" s="115">
        <v>0.4924</v>
      </c>
      <c r="N346" s="115">
        <v>0.6501</v>
      </c>
      <c r="O346" s="115">
        <v>0.423</v>
      </c>
      <c r="P346" s="115">
        <v>2.031</v>
      </c>
      <c r="Q346" s="115">
        <v>114.67</v>
      </c>
      <c r="R346" s="115">
        <v>105.01</v>
      </c>
      <c r="S346" s="115">
        <v>9.67</v>
      </c>
      <c r="T346" s="115">
        <v>22.1</v>
      </c>
      <c r="U346" s="115">
        <v>92.57</v>
      </c>
      <c r="V346" s="115">
        <v>121.39</v>
      </c>
      <c r="W346" s="115">
        <v>4.4246</v>
      </c>
      <c r="X346" s="115">
        <v>19.27</v>
      </c>
      <c r="Y346" s="115">
        <v>100.0</v>
      </c>
      <c r="Z346" s="115">
        <v>410.0</v>
      </c>
      <c r="AA346" s="115">
        <v>3171.0</v>
      </c>
      <c r="AB346" s="115">
        <v>52.4423</v>
      </c>
      <c r="AC346" s="115">
        <v>0.5679</v>
      </c>
      <c r="AD346" s="115">
        <v>8.85</v>
      </c>
      <c r="AE346" s="115">
        <v>3.0</v>
      </c>
      <c r="AF346" s="115">
        <v>7.0</v>
      </c>
      <c r="AG346" s="115">
        <v>12.0</v>
      </c>
      <c r="AH346" s="115">
        <v>19.0</v>
      </c>
      <c r="AI346" s="115">
        <v>55.82</v>
      </c>
      <c r="AJ346" s="115">
        <v>24.11</v>
      </c>
      <c r="AK346" s="115">
        <v>4.45</v>
      </c>
      <c r="AL346" s="115">
        <v>1.0</v>
      </c>
      <c r="AM346" s="115">
        <v>61.14</v>
      </c>
      <c r="AN346" s="115">
        <v>61.14</v>
      </c>
      <c r="AO346" s="115">
        <v>35.62</v>
      </c>
      <c r="AP346" s="115">
        <v>16.43</v>
      </c>
      <c r="AQ346" s="115">
        <v>6.692</v>
      </c>
      <c r="AR346" s="115">
        <v>0.2483</v>
      </c>
      <c r="AS346" s="115">
        <v>6.4438</v>
      </c>
      <c r="AT346" s="115">
        <v>6.8378</v>
      </c>
      <c r="AU346" s="115">
        <v>0.2492</v>
      </c>
    </row>
    <row r="347" ht="15.75" customHeight="1">
      <c r="A347" s="116">
        <v>46203.0</v>
      </c>
      <c r="B347" s="115" t="s">
        <v>9</v>
      </c>
      <c r="C347" s="115" t="s">
        <v>131</v>
      </c>
      <c r="D347" s="115">
        <v>11250.0</v>
      </c>
      <c r="E347" s="115">
        <v>13.6</v>
      </c>
      <c r="F347" s="115">
        <v>9118.29</v>
      </c>
      <c r="G347" s="115">
        <v>0.8105</v>
      </c>
      <c r="H347" s="115">
        <v>11.67</v>
      </c>
      <c r="I347" s="115">
        <v>6.9446</v>
      </c>
      <c r="J347" s="115">
        <v>82.29</v>
      </c>
      <c r="K347" s="115">
        <v>43.98</v>
      </c>
      <c r="L347" s="115">
        <v>28.34</v>
      </c>
      <c r="M347" s="115">
        <v>0.6444</v>
      </c>
      <c r="N347" s="115">
        <v>0.5042</v>
      </c>
      <c r="O347" s="115">
        <v>0.3172</v>
      </c>
      <c r="P347" s="115">
        <v>1.5518</v>
      </c>
      <c r="Q347" s="115">
        <v>230.39</v>
      </c>
      <c r="R347" s="115">
        <v>211.98</v>
      </c>
      <c r="S347" s="115">
        <v>18.41</v>
      </c>
      <c r="T347" s="115">
        <v>51.55</v>
      </c>
      <c r="U347" s="115">
        <v>178.84</v>
      </c>
      <c r="V347" s="115">
        <v>233.83</v>
      </c>
      <c r="W347" s="115">
        <v>5.3172</v>
      </c>
      <c r="X347" s="115">
        <v>22.37</v>
      </c>
      <c r="Y347" s="115">
        <v>131.0</v>
      </c>
      <c r="Z347" s="115">
        <v>666.0</v>
      </c>
      <c r="AA347" s="115">
        <v>4708.0</v>
      </c>
      <c r="AB347" s="115">
        <v>55.6904</v>
      </c>
      <c r="AC347" s="115">
        <v>0.6578</v>
      </c>
      <c r="AD347" s="115">
        <v>17.25</v>
      </c>
      <c r="AE347" s="115">
        <v>6.0</v>
      </c>
      <c r="AF347" s="115">
        <v>13.0</v>
      </c>
      <c r="AG347" s="115">
        <v>24.0</v>
      </c>
      <c r="AH347" s="115">
        <v>37.0</v>
      </c>
      <c r="AI347" s="115">
        <v>58.44</v>
      </c>
      <c r="AJ347" s="115">
        <v>22.58</v>
      </c>
      <c r="AK347" s="115">
        <v>6.99</v>
      </c>
      <c r="AL347" s="115">
        <v>1.0</v>
      </c>
      <c r="AM347" s="115">
        <v>68.01</v>
      </c>
      <c r="AN347" s="115">
        <v>68.01</v>
      </c>
      <c r="AO347" s="115">
        <v>44.54</v>
      </c>
      <c r="AP347" s="115">
        <v>24.68</v>
      </c>
      <c r="AQ347" s="115">
        <v>10.5578</v>
      </c>
      <c r="AR347" s="115">
        <v>0.594</v>
      </c>
      <c r="AS347" s="115">
        <v>9.9637</v>
      </c>
      <c r="AT347" s="115">
        <v>10.8012</v>
      </c>
      <c r="AU347" s="115">
        <v>0.2456</v>
      </c>
    </row>
    <row r="348" ht="15.75" customHeight="1">
      <c r="A348" s="116">
        <v>46203.0</v>
      </c>
      <c r="B348" s="115" t="s">
        <v>9</v>
      </c>
      <c r="C348" s="115" t="s">
        <v>132</v>
      </c>
      <c r="D348" s="115">
        <v>4660.0</v>
      </c>
      <c r="E348" s="115">
        <v>5.63</v>
      </c>
      <c r="F348" s="115">
        <v>9096.94</v>
      </c>
      <c r="G348" s="115">
        <v>1.9521</v>
      </c>
      <c r="H348" s="115">
        <v>15.67</v>
      </c>
      <c r="I348" s="115">
        <v>12.4616</v>
      </c>
      <c r="J348" s="115">
        <v>129.04</v>
      </c>
      <c r="K348" s="115">
        <v>72.69</v>
      </c>
      <c r="L348" s="115">
        <v>54.64</v>
      </c>
      <c r="M348" s="115">
        <v>0.7516</v>
      </c>
      <c r="N348" s="115">
        <v>0.3966</v>
      </c>
      <c r="O348" s="115">
        <v>0.2598</v>
      </c>
      <c r="P348" s="115">
        <v>1.3305</v>
      </c>
      <c r="Q348" s="115">
        <v>448.73</v>
      </c>
      <c r="R348" s="115">
        <v>407.3</v>
      </c>
      <c r="S348" s="115">
        <v>41.43</v>
      </c>
      <c r="T348" s="115">
        <v>121.05</v>
      </c>
      <c r="U348" s="115">
        <v>327.68</v>
      </c>
      <c r="V348" s="115">
        <v>455.72</v>
      </c>
      <c r="W348" s="115">
        <v>6.2689</v>
      </c>
      <c r="X348" s="115">
        <v>26.98</v>
      </c>
      <c r="Y348" s="115">
        <v>168.0</v>
      </c>
      <c r="Z348" s="115">
        <v>950.0</v>
      </c>
      <c r="AA348" s="115">
        <v>5779.0</v>
      </c>
      <c r="AB348" s="115">
        <v>59.3544</v>
      </c>
      <c r="AC348" s="115">
        <v>0.8024</v>
      </c>
      <c r="AD348" s="115">
        <v>38.57</v>
      </c>
      <c r="AE348" s="115">
        <v>15.0</v>
      </c>
      <c r="AF348" s="115">
        <v>30.0</v>
      </c>
      <c r="AG348" s="115">
        <v>53.0</v>
      </c>
      <c r="AH348" s="115">
        <v>83.0</v>
      </c>
      <c r="AI348" s="115">
        <v>53.2</v>
      </c>
      <c r="AJ348" s="115">
        <v>20.79</v>
      </c>
      <c r="AK348" s="115">
        <v>6.01</v>
      </c>
      <c r="AL348" s="115">
        <v>1.0</v>
      </c>
      <c r="AM348" s="115">
        <v>73.03</v>
      </c>
      <c r="AN348" s="115">
        <v>73.03</v>
      </c>
      <c r="AO348" s="115">
        <v>55.13</v>
      </c>
      <c r="AP348" s="115">
        <v>39.01</v>
      </c>
      <c r="AQ348" s="115">
        <v>17.5174</v>
      </c>
      <c r="AR348" s="115">
        <v>1.8773</v>
      </c>
      <c r="AS348" s="115">
        <v>15.6401</v>
      </c>
      <c r="AT348" s="115">
        <v>17.8893</v>
      </c>
      <c r="AU348" s="115">
        <v>0.2461</v>
      </c>
    </row>
    <row r="349" ht="15.75" customHeight="1">
      <c r="A349" s="116">
        <v>46203.0</v>
      </c>
      <c r="B349" s="115" t="s">
        <v>9</v>
      </c>
      <c r="C349" s="115" t="s">
        <v>133</v>
      </c>
      <c r="D349" s="115">
        <v>504.0</v>
      </c>
      <c r="E349" s="115">
        <v>0.61</v>
      </c>
      <c r="F349" s="115">
        <v>1844.33</v>
      </c>
      <c r="G349" s="115">
        <v>3.6594</v>
      </c>
      <c r="H349" s="115">
        <v>17.66</v>
      </c>
      <c r="I349" s="115">
        <v>20.7228</v>
      </c>
      <c r="J349" s="115">
        <v>243.13</v>
      </c>
      <c r="K349" s="115">
        <v>149.01</v>
      </c>
      <c r="L349" s="115">
        <v>125.44</v>
      </c>
      <c r="M349" s="115">
        <v>0.8418</v>
      </c>
      <c r="N349" s="115">
        <v>0.2875</v>
      </c>
      <c r="O349" s="115">
        <v>0.1995</v>
      </c>
      <c r="P349" s="115">
        <v>1.1879</v>
      </c>
      <c r="Q349" s="115">
        <v>792.05</v>
      </c>
      <c r="R349" s="115">
        <v>696.38</v>
      </c>
      <c r="S349" s="115">
        <v>95.66</v>
      </c>
      <c r="T349" s="115">
        <v>224.7</v>
      </c>
      <c r="U349" s="115">
        <v>567.34</v>
      </c>
      <c r="V349" s="115">
        <v>784.23</v>
      </c>
      <c r="W349" s="115">
        <v>5.2629</v>
      </c>
      <c r="X349" s="115">
        <v>28.37</v>
      </c>
      <c r="Y349" s="115">
        <v>265.0</v>
      </c>
      <c r="Z349" s="115">
        <v>2091.0</v>
      </c>
      <c r="AA349" s="115">
        <v>8040.0</v>
      </c>
      <c r="AB349" s="115">
        <v>62.8684</v>
      </c>
      <c r="AC349" s="115">
        <v>0.8717</v>
      </c>
      <c r="AD349" s="115">
        <v>87.1</v>
      </c>
      <c r="AE349" s="115">
        <v>39.0</v>
      </c>
      <c r="AF349" s="115">
        <v>76.0</v>
      </c>
      <c r="AG349" s="115">
        <v>123.0</v>
      </c>
      <c r="AH349" s="115">
        <v>171.0</v>
      </c>
      <c r="AI349" s="115">
        <v>48.41</v>
      </c>
      <c r="AJ349" s="115">
        <v>9.92</v>
      </c>
      <c r="AK349" s="115">
        <v>1.39</v>
      </c>
      <c r="AL349" s="115">
        <v>1.0</v>
      </c>
      <c r="AM349" s="115">
        <v>85.52</v>
      </c>
      <c r="AN349" s="115">
        <v>85.52</v>
      </c>
      <c r="AO349" s="115">
        <v>70.83</v>
      </c>
      <c r="AP349" s="115">
        <v>60.32</v>
      </c>
      <c r="AQ349" s="115">
        <v>31.2183</v>
      </c>
      <c r="AR349" s="115">
        <v>2.7599</v>
      </c>
      <c r="AS349" s="115">
        <v>28.4583</v>
      </c>
      <c r="AT349" s="115">
        <v>32.1012</v>
      </c>
      <c r="AU349" s="115">
        <v>0.2154</v>
      </c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