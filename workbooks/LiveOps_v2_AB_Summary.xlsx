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y Bucket" sheetId="1" r:id="rId5"/>
    <sheet state="visible" name="Overall" sheetId="2" r:id="rId6"/>
    <sheet state="visible" name="Daily" sheetId="3" r:id="rId7"/>
    <sheet state="visible" name="PerSource" sheetId="4" r:id="rId8"/>
    <sheet state="visible" name="Raw Data" sheetId="5" r:id="rId9"/>
  </sheets>
  <definedNames/>
  <calcPr/>
</workbook>
</file>

<file path=xl/sharedStrings.xml><?xml version="1.0" encoding="utf-8"?>
<sst xmlns="http://schemas.openxmlformats.org/spreadsheetml/2006/main" count="846" uniqueCount="198">
  <si>
    <t>A/B Test Summary By 7d Completion Bucket</t>
  </si>
  <si>
    <t>A/B Test Summary - Overall (across all buckets)</t>
  </si>
  <si>
    <t>Simulated</t>
  </si>
  <si>
    <t>A/B Test Summary - Daily Trend (selected segment)</t>
  </si>
  <si>
    <t>0-9</t>
  </si>
  <si>
    <t>0-9 Segment - Over Time Period  (uses 1-9 gains data)</t>
  </si>
  <si>
    <t>Category</t>
  </si>
  <si>
    <t>Metric</t>
  </si>
  <si>
    <t>Source</t>
  </si>
  <si>
    <t>Control</t>
  </si>
  <si>
    <t>Variant</t>
  </si>
  <si>
    <t>Δ Abs</t>
  </si>
  <si>
    <t>HC</t>
  </si>
  <si>
    <t>Δ %</t>
  </si>
  <si>
    <t xml:space="preserve"> 1-9</t>
  </si>
  <si>
    <t>Slingshot</t>
  </si>
  <si>
    <t>Players</t>
  </si>
  <si>
    <t>Shuffle</t>
  </si>
  <si>
    <t>Comet</t>
  </si>
  <si>
    <t>Red</t>
  </si>
  <si>
    <t xml:space="preserve"> 10-19</t>
  </si>
  <si>
    <t>Chuck</t>
  </si>
  <si>
    <t>Bomb</t>
  </si>
  <si>
    <t xml:space="preserve"> 20-39</t>
  </si>
  <si>
    <t xml:space="preserve"> 40-99</t>
  </si>
  <si>
    <t>Players (sum)</t>
  </si>
  <si>
    <t>UL Bomb</t>
  </si>
  <si>
    <t>UL Chuck</t>
  </si>
  <si>
    <t xml:space="preserve"> 100+</t>
  </si>
  <si>
    <t>UL Red</t>
  </si>
  <si>
    <t>Unlimited Lives</t>
  </si>
  <si>
    <t>SPT</t>
  </si>
  <si>
    <t>SPTx2</t>
  </si>
  <si>
    <t>Ads</t>
  </si>
  <si>
    <t>Revenue</t>
  </si>
  <si>
    <t>Total revenue</t>
  </si>
  <si>
    <t>ARPDAU</t>
  </si>
  <si>
    <t>Segment:</t>
  </si>
  <si>
    <t>20-39</t>
  </si>
  <si>
    <t>ARPPU</t>
  </si>
  <si>
    <t>Bomb Challenge</t>
  </si>
  <si>
    <t>Engagement</t>
  </si>
  <si>
    <t>Time spent (mins)</t>
  </si>
  <si>
    <t>Bomb's Ballet</t>
  </si>
  <si>
    <t>Date</t>
  </si>
  <si>
    <t>Level attempts / player</t>
  </si>
  <si>
    <t>% of DAU</t>
  </si>
  <si>
    <t>Payer rate (%)</t>
  </si>
  <si>
    <t>Level completes / player</t>
  </si>
  <si>
    <t>Pass rate</t>
  </si>
  <si>
    <t>OOM rate</t>
  </si>
  <si>
    <t>First-try OOM rate</t>
  </si>
  <si>
    <t>Chuck Challenge</t>
  </si>
  <si>
    <t>Attempts per completion</t>
  </si>
  <si>
    <t>HC gain total / player</t>
  </si>
  <si>
    <t>HC gain (ex-saga) / player</t>
  </si>
  <si>
    <t>HC gain from saga / player</t>
  </si>
  <si>
    <t>HC gain PAID / player</t>
  </si>
  <si>
    <t>HC gain FREE / player</t>
  </si>
  <si>
    <t>HC spent / player</t>
  </si>
  <si>
    <t>HC net (gain − spend) / player</t>
  </si>
  <si>
    <t>HC spent / attempt</t>
  </si>
  <si>
    <t>Paid % of total HC gain</t>
  </si>
  <si>
    <t>P50 HC balance</t>
  </si>
  <si>
    <t>P75 HC balance</t>
  </si>
  <si>
    <t>P90 HC balance</t>
  </si>
  <si>
    <t>Daily Streak</t>
  </si>
  <si>
    <t>Avg player performance</t>
  </si>
  <si>
    <t>Avg PR (last 50 lvls)</t>
  </si>
  <si>
    <t>Avg daily streak</t>
  </si>
  <si>
    <t>P25 daily streak</t>
  </si>
  <si>
    <t>P50 daily streak</t>
  </si>
  <si>
    <t>P75 daily streak</t>
  </si>
  <si>
    <t>P90 daily streak</t>
  </si>
  <si>
    <t>R1 pass rate (%)</t>
  </si>
  <si>
    <t>R2 pass rate (%)</t>
  </si>
  <si>
    <t>R3 pass rate (%)</t>
  </si>
  <si>
    <t>D1 churn rate</t>
  </si>
  <si>
    <t>NS active rate (%)</t>
  </si>
  <si>
    <t>R1 finished (%) [actual]</t>
  </si>
  <si>
    <t>R2 finished (%) [actual]</t>
  </si>
  <si>
    <t>R3 finished (%) [actual]</t>
  </si>
  <si>
    <t>Booster gain total / player</t>
  </si>
  <si>
    <t>Booster gain PAID / player</t>
  </si>
  <si>
    <t>Booster gain FREE / player</t>
  </si>
  <si>
    <t>Booster spent / player</t>
  </si>
  <si>
    <t>Booster NET (gain - spend) / player</t>
  </si>
  <si>
    <t>Booster spent / attempt</t>
  </si>
  <si>
    <t>Core</t>
  </si>
  <si>
    <t>Δ%</t>
  </si>
  <si>
    <t>Daily Gift</t>
  </si>
  <si>
    <t>Difficulty</t>
  </si>
  <si>
    <t>AVG Payer day (%)</t>
  </si>
  <si>
    <t>Daily Night Sky Prize</t>
  </si>
  <si>
    <t>HC Economy</t>
  </si>
  <si>
    <t>Flock Flurry</t>
  </si>
  <si>
    <t>Hatchling Hideaway</t>
  </si>
  <si>
    <t>Jigsaw</t>
  </si>
  <si>
    <t>HC net (gain - spend) / player</t>
  </si>
  <si>
    <t>Kite Festival</t>
  </si>
  <si>
    <t>Level Race</t>
  </si>
  <si>
    <t>HC Economy - Sources</t>
  </si>
  <si>
    <t>HC gain / player (CORE)</t>
  </si>
  <si>
    <t>HC gain / player (META)</t>
  </si>
  <si>
    <t>Other</t>
  </si>
  <si>
    <t>HC gain / player (AD)</t>
  </si>
  <si>
    <t>HC gain / player (PURCHASE)</t>
  </si>
  <si>
    <t>Photoshoot</t>
  </si>
  <si>
    <t>HC gain / player (OTHER)</t>
  </si>
  <si>
    <t>HC Balance</t>
  </si>
  <si>
    <t>Red Challenge</t>
  </si>
  <si>
    <t>River Rush</t>
  </si>
  <si>
    <t>Performance</t>
  </si>
  <si>
    <t>Saga</t>
  </si>
  <si>
    <t>NS Round Pass %</t>
  </si>
  <si>
    <t>Season Pass (Free)</t>
  </si>
  <si>
    <t>Retention</t>
  </si>
  <si>
    <t>Target Day</t>
  </si>
  <si>
    <t>NS Actual Completions</t>
  </si>
  <si>
    <t>Boosters</t>
  </si>
  <si>
    <t>Team Event</t>
  </si>
  <si>
    <t>Team Race</t>
  </si>
  <si>
    <t>Flash Race</t>
  </si>
  <si>
    <t>FlowerCoop</t>
  </si>
  <si>
    <t>event_date</t>
  </si>
  <si>
    <t>ab_group</t>
  </si>
  <si>
    <t>avg_completions_7d_bucket</t>
  </si>
  <si>
    <t>players</t>
  </si>
  <si>
    <t>pct_of_dau</t>
  </si>
  <si>
    <t>total_revenue</t>
  </si>
  <si>
    <t>arpdau</t>
  </si>
  <si>
    <t>payer_rate_pct</t>
  </si>
  <si>
    <t>arppu</t>
  </si>
  <si>
    <t>avg_time_spent_mins</t>
  </si>
  <si>
    <t>avg_level_attempts</t>
  </si>
  <si>
    <t>avg_level_completes</t>
  </si>
  <si>
    <t>pass_rate</t>
  </si>
  <si>
    <t>Rainbow Maker</t>
  </si>
  <si>
    <t>oom_rate</t>
  </si>
  <si>
    <t>foom_rate</t>
  </si>
  <si>
    <t>avg_apc</t>
  </si>
  <si>
    <t>avg_hc_gain_total</t>
  </si>
  <si>
    <t>avg_hc_gain_total_minus_saga</t>
  </si>
  <si>
    <t>avg_hc_gain_saga</t>
  </si>
  <si>
    <t>avg_hc_gain_paid</t>
  </si>
  <si>
    <t>avg_hc_gain_free</t>
  </si>
  <si>
    <t>avg_hc_spent</t>
  </si>
  <si>
    <t>hc_spent_per_attempt</t>
  </si>
  <si>
    <t>paid_pct_of_total_gain</t>
  </si>
  <si>
    <t>p50_hc_balance</t>
  </si>
  <si>
    <t>p75_hc_balance</t>
  </si>
  <si>
    <t>p90_hc_balance</t>
  </si>
  <si>
    <t>avg_player_performance</t>
  </si>
  <si>
    <t>avg_pr_last_50_levels</t>
  </si>
  <si>
    <t>avg_daily_streak</t>
  </si>
  <si>
    <t>p25_daily_streak</t>
  </si>
  <si>
    <t>p50_daily_streak</t>
  </si>
  <si>
    <t>p75_daily_streak</t>
  </si>
  <si>
    <t>p90_daily_streak</t>
  </si>
  <si>
    <t>pct_player_days_passed_R1</t>
  </si>
  <si>
    <t>pct_player_days_passed_R2</t>
  </si>
  <si>
    <t>pct_player_days_passed_R3</t>
  </si>
  <si>
    <t>d1_churn_rate</t>
  </si>
  <si>
    <t>actual_liveops_active_rate_pct</t>
  </si>
  <si>
    <t>actual_pct_finished_R1</t>
  </si>
  <si>
    <t>actual_pct_finished_R2</t>
  </si>
  <si>
    <t>actual_pct_finished_R3</t>
  </si>
  <si>
    <t>avg_booster_gain_total</t>
  </si>
  <si>
    <t>avg_booster_gain_paid</t>
  </si>
  <si>
    <t>avg_booster_gain_free</t>
  </si>
  <si>
    <t>avg_booster_spend</t>
  </si>
  <si>
    <t>booster_spend_per_attempt</t>
  </si>
  <si>
    <t>hc_clean_players</t>
  </si>
  <si>
    <t>hc_excluded_players</t>
  </si>
  <si>
    <t>avg_hc_gain_CORE</t>
  </si>
  <si>
    <t>avg_hc_gain_META</t>
  </si>
  <si>
    <t>avg_hc_gain_ADS</t>
  </si>
  <si>
    <t>avg_hc_gain_PURCHASE</t>
  </si>
  <si>
    <t>avg_hc_gain_OTHER</t>
  </si>
  <si>
    <t>A. 0</t>
  </si>
  <si>
    <t>IAPs</t>
  </si>
  <si>
    <t>B. 1-9</t>
  </si>
  <si>
    <t>C. 10-19</t>
  </si>
  <si>
    <t>D. 20-39</t>
  </si>
  <si>
    <t>E. 40-99</t>
  </si>
  <si>
    <t>10-19</t>
  </si>
  <si>
    <t>F. 100+</t>
  </si>
  <si>
    <t>todo</t>
  </si>
  <si>
    <t>NS reward increase (careful wiht 100+)</t>
  </si>
  <si>
    <t>look into 100+ net</t>
  </si>
  <si>
    <t>Booster analysis</t>
  </si>
  <si>
    <t>ulbs</t>
  </si>
  <si>
    <t>SPTs</t>
  </si>
  <si>
    <t>HC NET (gain - spend) / player</t>
  </si>
  <si>
    <t>40-99</t>
  </si>
  <si>
    <t>100+</t>
  </si>
  <si>
    <t>Previous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</si>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</sst>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\+0.00%;\-0.00%;0.00%"/>
    <numFmt numFmtId="165" formatCode="#,##0.00;[Red]-#,##0.00"/>
    <numFmt numFmtId="166" formatCode="\$#,##0"/>
    <numFmt numFmtId="167" formatCode="[$$]#,##0.00"/>
    <numFmt numFmtId="168" formatCode="\$0.0000"/>
    <numFmt numFmtId="169" formatCode="0.0000"/>
    <numFmt numFmtId="170" formatCode="yyyy\-mm\-dd"/>
    <numFmt numFmtId="171" formatCode="0.00\%"/>
    <numFmt numFmtId="172" formatCode="0.000"/>
    <numFmt numFmtId="173" formatCode="yyyy-mm-dd"/>
  </numFmts>
  <fonts count="28">
    <font>
      <sz val="11.0"/>
      <color theme="1"/>
      <name val="Calibri"/>
      <scheme val="minor"/>
    </font>
    <font>
      <color theme="1"/>
      <name val="Calibri"/>
      <scheme val="minor"/>
    </font>
    <font>
      <b/>
      <sz val="14.0"/>
      <color rgb="FF1F3864"/>
      <name val="Arial"/>
    </font>
    <font>
      <sz val="11.0"/>
      <color theme="1"/>
      <name val="Calibri"/>
    </font>
    <font>
      <b/>
      <color theme="1"/>
      <name val="Arial"/>
    </font>
    <font>
      <b/>
      <sz val="11.0"/>
      <color rgb="FFFFFFFF"/>
      <name val="Arial"/>
    </font>
    <font>
      <color theme="1"/>
      <name val="Arial"/>
    </font>
    <font>
      <b/>
      <sz val="9.0"/>
      <color theme="1"/>
      <name val="Arial"/>
    </font>
    <font/>
    <font>
      <b/>
      <sz val="10.0"/>
      <color rgb="FF1F3864"/>
      <name val="Arial"/>
    </font>
    <font>
      <sz val="10.0"/>
      <color theme="1"/>
      <name val="Arial"/>
    </font>
    <font>
      <b/>
      <sz val="10.0"/>
      <color rgb="FFFFFFFF"/>
      <name val="Arial"/>
    </font>
    <font>
      <b/>
      <sz val="10.0"/>
      <color rgb="FF3F3F3F"/>
      <name val="Arial"/>
    </font>
    <font>
      <color theme="1"/>
      <name val="Calibri"/>
    </font>
    <font>
      <b/>
      <sz val="10.0"/>
      <color rgb="FF980000"/>
      <name val="Arial"/>
    </font>
    <font>
      <b/>
      <sz val="10.0"/>
      <color rgb="FF9C0006"/>
      <name val="Arial"/>
    </font>
    <font>
      <b/>
      <sz val="11.0"/>
      <color theme="1"/>
      <name val="Arial"/>
    </font>
    <font>
      <i/>
      <sz val="11.0"/>
      <color rgb="FF808080"/>
      <name val="Arial"/>
    </font>
    <font>
      <b/>
      <sz val="10.0"/>
      <color rgb="FF006100"/>
      <name val="Arial"/>
    </font>
    <font>
      <b/>
      <color rgb="FFFFFFFF"/>
      <name val="Arial"/>
    </font>
    <font>
      <sz val="11.0"/>
      <color theme="1"/>
      <name val="Arial"/>
    </font>
    <font>
      <b/>
      <sz val="11.0"/>
      <color rgb="FF3F3F3F"/>
      <name val="Arial"/>
    </font>
    <font>
      <b/>
      <sz val="10.0"/>
      <color theme="1"/>
      <name val="Arial"/>
    </font>
    <font>
      <b/>
      <sz val="11.0"/>
      <color rgb="FF006100"/>
      <name val="Arial"/>
    </font>
    <font>
      <b/>
      <sz val="11.0"/>
      <color rgb="FF9C0006"/>
      <name val="Arial"/>
    </font>
    <font>
      <b/>
      <color theme="1"/>
      <name val="Calibri"/>
      <scheme val="minor"/>
    </font>
    <font>
      <color rgb="FFFF0000"/>
      <name val="Calibri"/>
      <scheme val="minor"/>
    </font>
    <font>
      <sz val="10.0"/>
      <color rgb="FFFF0000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548235"/>
        <bgColor rgb="FF548235"/>
      </patternFill>
    </fill>
    <fill>
      <patternFill patternType="solid">
        <fgColor rgb="FF305496"/>
        <bgColor rgb="FF305496"/>
      </patternFill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DDEBF7"/>
        <bgColor rgb="FFDDEBF7"/>
      </patternFill>
    </fill>
    <fill>
      <patternFill patternType="solid">
        <fgColor rgb="FFF4CCCC"/>
        <bgColor rgb="FFF4CCCC"/>
      </patternFill>
    </fill>
    <fill>
      <patternFill patternType="solid">
        <fgColor rgb="FFFFC7CE"/>
        <bgColor rgb="FFFFC7CE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C6EFCE"/>
        <bgColor rgb="FFC6EFCE"/>
      </patternFill>
    </fill>
    <fill>
      <patternFill patternType="solid">
        <fgColor rgb="FFECF2FD"/>
        <bgColor rgb="FFECF2FD"/>
      </patternFill>
    </fill>
  </fills>
  <borders count="25">
    <border/>
    <border>
      <left/>
      <right/>
      <top/>
      <bottom/>
    </border>
    <border>
      <right style="thin">
        <color rgb="FF000000"/>
      </right>
    </border>
    <border>
      <left style="thin">
        <color rgb="FF000000"/>
      </left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000000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right style="thin">
        <color rgb="FF000000"/>
      </right>
      <top style="thin">
        <color rgb="FFBFBFBF"/>
      </top>
      <bottom style="thin">
        <color rgb="FFBFBFBF"/>
      </bottom>
    </border>
    <border>
      <left style="thin">
        <color rgb="FF000000"/>
      </lef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000000"/>
      </right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BFBFBF"/>
      </bottom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horizontal="center" vertical="bottom"/>
    </xf>
    <xf borderId="2" fillId="0" fontId="3" numFmtId="0" xfId="0" applyBorder="1" applyFont="1"/>
    <xf borderId="0" fillId="0" fontId="3" numFmtId="0" xfId="0" applyAlignment="1" applyFont="1">
      <alignment vertical="bottom"/>
    </xf>
    <xf borderId="1" fillId="3" fontId="5" numFmtId="0" xfId="0" applyAlignment="1" applyBorder="1" applyFill="1" applyFont="1">
      <alignment vertical="bottom"/>
    </xf>
    <xf borderId="3" fillId="0" fontId="3" numFmtId="0" xfId="0" applyBorder="1" applyFont="1"/>
    <xf borderId="1" fillId="3" fontId="6" numFmtId="0" xfId="0" applyAlignment="1" applyBorder="1" applyFont="1">
      <alignment vertical="bottom"/>
    </xf>
    <xf borderId="4" fillId="4" fontId="5" numFmtId="0" xfId="0" applyAlignment="1" applyBorder="1" applyFill="1" applyFont="1">
      <alignment horizontal="center" vertical="center"/>
    </xf>
    <xf borderId="5" fillId="4" fontId="5" numFmtId="0" xfId="0" applyAlignment="1" applyBorder="1" applyFont="1">
      <alignment horizontal="center" vertical="center"/>
    </xf>
    <xf borderId="6" fillId="4" fontId="5" numFmtId="0" xfId="0" applyAlignment="1" applyBorder="1" applyFont="1">
      <alignment horizontal="center" vertical="center"/>
    </xf>
    <xf borderId="7" fillId="5" fontId="5" numFmtId="0" xfId="0" applyAlignment="1" applyBorder="1" applyFill="1" applyFont="1">
      <alignment horizontal="center" vertical="center"/>
    </xf>
    <xf borderId="8" fillId="6" fontId="7" numFmtId="0" xfId="0" applyAlignment="1" applyBorder="1" applyFill="1" applyFont="1">
      <alignment horizontal="center" textRotation="0" vertical="bottom"/>
    </xf>
    <xf borderId="9" fillId="0" fontId="8" numFmtId="0" xfId="0" applyBorder="1" applyFont="1"/>
    <xf borderId="10" fillId="0" fontId="8" numFmtId="0" xfId="0" applyBorder="1" applyFont="1"/>
    <xf borderId="8" fillId="6" fontId="7" numFmtId="0" xfId="0" applyAlignment="1" applyBorder="1" applyFont="1">
      <alignment horizontal="center" textRotation="180" vertical="bottom"/>
    </xf>
    <xf borderId="6" fillId="7" fontId="9" numFmtId="0" xfId="0" applyBorder="1" applyFill="1" applyFont="1"/>
    <xf borderId="11" fillId="0" fontId="8" numFmtId="0" xfId="0" applyBorder="1" applyFont="1"/>
    <xf borderId="6" fillId="7" fontId="3" numFmtId="0" xfId="0" applyBorder="1" applyFont="1"/>
    <xf borderId="12" fillId="5" fontId="5" numFmtId="0" xfId="0" applyAlignment="1" applyBorder="1" applyFont="1">
      <alignment horizontal="center" vertical="center"/>
    </xf>
    <xf borderId="6" fillId="8" fontId="3" numFmtId="0" xfId="0" applyBorder="1" applyFill="1" applyFont="1"/>
    <xf borderId="6" fillId="8" fontId="10" numFmtId="0" xfId="0" applyBorder="1" applyFont="1"/>
    <xf borderId="13" fillId="0" fontId="8" numFmtId="0" xfId="0" applyBorder="1" applyFont="1"/>
    <xf borderId="14" fillId="0" fontId="8" numFmtId="0" xfId="0" applyBorder="1" applyFont="1"/>
    <xf borderId="15" fillId="4" fontId="11" numFmtId="0" xfId="0" applyAlignment="1" applyBorder="1" applyFont="1">
      <alignment horizontal="center"/>
    </xf>
    <xf borderId="6" fillId="4" fontId="11" numFmtId="0" xfId="0" applyAlignment="1" applyBorder="1" applyFont="1">
      <alignment horizontal="center"/>
    </xf>
    <xf borderId="16" fillId="4" fontId="11" numFmtId="0" xfId="0" applyAlignment="1" applyBorder="1" applyFont="1">
      <alignment horizontal="center"/>
    </xf>
    <xf borderId="17" fillId="4" fontId="11" numFmtId="0" xfId="0" applyAlignment="1" applyBorder="1" applyFont="1">
      <alignment horizontal="center"/>
    </xf>
    <xf borderId="18" fillId="4" fontId="11" numFmtId="0" xfId="0" applyAlignment="1" applyBorder="1" applyFont="1">
      <alignment horizontal="center"/>
    </xf>
    <xf borderId="6" fillId="8" fontId="10" numFmtId="3" xfId="0" applyAlignment="1" applyBorder="1" applyFont="1" applyNumberFormat="1">
      <alignment horizontal="right"/>
    </xf>
    <xf borderId="6" fillId="9" fontId="12" numFmtId="3" xfId="0" applyAlignment="1" applyBorder="1" applyFill="1" applyFont="1" applyNumberFormat="1">
      <alignment horizontal="right"/>
    </xf>
    <xf borderId="6" fillId="7" fontId="9" numFmtId="0" xfId="0" applyAlignment="1" applyBorder="1" applyFont="1">
      <alignment vertical="center"/>
    </xf>
    <xf borderId="18" fillId="7" fontId="3" numFmtId="0" xfId="0" applyBorder="1" applyFont="1"/>
    <xf borderId="15" fillId="7" fontId="3" numFmtId="0" xfId="0" applyBorder="1" applyFont="1"/>
    <xf borderId="8" fillId="0" fontId="7" numFmtId="0" xfId="0" applyAlignment="1" applyBorder="1" applyFont="1">
      <alignment vertical="bottom"/>
    </xf>
    <xf borderId="16" fillId="7" fontId="3" numFmtId="0" xfId="0" applyBorder="1" applyFont="1"/>
    <xf borderId="6" fillId="9" fontId="12" numFmtId="164" xfId="0" applyAlignment="1" applyBorder="1" applyFont="1" applyNumberFormat="1">
      <alignment horizontal="right"/>
    </xf>
    <xf borderId="17" fillId="7" fontId="3" numFmtId="0" xfId="0" applyBorder="1" applyFont="1"/>
    <xf borderId="8" fillId="10" fontId="13" numFmtId="165" xfId="0" applyAlignment="1" applyBorder="1" applyFill="1" applyFont="1" applyNumberFormat="1">
      <alignment horizontal="center" vertical="bottom"/>
    </xf>
    <xf borderId="18" fillId="8" fontId="10" numFmtId="0" xfId="0" applyBorder="1" applyFont="1"/>
    <xf borderId="8" fillId="10" fontId="6" numFmtId="165" xfId="0" applyAlignment="1" applyBorder="1" applyFont="1" applyNumberFormat="1">
      <alignment horizontal="center" vertical="bottom"/>
    </xf>
    <xf borderId="6" fillId="8" fontId="10" numFmtId="166" xfId="0" applyAlignment="1" applyBorder="1" applyFont="1" applyNumberFormat="1">
      <alignment horizontal="right"/>
    </xf>
    <xf borderId="15" fillId="8" fontId="10" numFmtId="3" xfId="0" applyAlignment="1" applyBorder="1" applyFont="1" applyNumberFormat="1">
      <alignment horizontal="right"/>
    </xf>
    <xf borderId="6" fillId="11" fontId="14" numFmtId="167" xfId="0" applyAlignment="1" applyBorder="1" applyFill="1" applyFont="1" applyNumberFormat="1">
      <alignment horizontal="right"/>
    </xf>
    <xf borderId="6" fillId="12" fontId="15" numFmtId="164" xfId="0" applyAlignment="1" applyBorder="1" applyFill="1" applyFont="1" applyNumberFormat="1">
      <alignment horizontal="right"/>
    </xf>
    <xf borderId="0" fillId="0" fontId="16" numFmtId="0" xfId="0" applyAlignment="1" applyFont="1">
      <alignment horizontal="right" vertical="bottom"/>
    </xf>
    <xf borderId="16" fillId="9" fontId="12" numFmtId="164" xfId="0" applyAlignment="1" applyBorder="1" applyFont="1" applyNumberFormat="1">
      <alignment horizontal="right"/>
    </xf>
    <xf borderId="6" fillId="8" fontId="10" numFmtId="168" xfId="0" applyAlignment="1" applyBorder="1" applyFont="1" applyNumberFormat="1">
      <alignment horizontal="right"/>
    </xf>
    <xf borderId="0" fillId="0" fontId="1" numFmtId="10" xfId="0" applyFont="1" applyNumberFormat="1"/>
    <xf borderId="19" fillId="13" fontId="16" numFmtId="0" xfId="0" applyAlignment="1" applyBorder="1" applyFill="1" applyFont="1">
      <alignment horizontal="center" readingOrder="0" vertical="bottom"/>
    </xf>
    <xf borderId="17" fillId="8" fontId="10" numFmtId="3" xfId="0" applyAlignment="1" applyBorder="1" applyFont="1" applyNumberFormat="1">
      <alignment horizontal="right"/>
    </xf>
    <xf borderId="0" fillId="0" fontId="17" numFmtId="0" xfId="0" applyAlignment="1" applyFont="1">
      <alignment vertical="bottom"/>
    </xf>
    <xf borderId="18" fillId="9" fontId="12" numFmtId="164" xfId="0" applyAlignment="1" applyBorder="1" applyFont="1" applyNumberFormat="1">
      <alignment horizontal="right"/>
    </xf>
    <xf borderId="8" fillId="14" fontId="7" numFmtId="0" xfId="0" applyAlignment="1" applyBorder="1" applyFill="1" applyFont="1">
      <alignment vertical="bottom"/>
    </xf>
    <xf borderId="8" fillId="15" fontId="6" numFmtId="165" xfId="0" applyAlignment="1" applyBorder="1" applyFill="1" applyFont="1" applyNumberFormat="1">
      <alignment horizontal="center" vertical="bottom"/>
    </xf>
    <xf borderId="6" fillId="8" fontId="10" numFmtId="2" xfId="0" applyAlignment="1" applyBorder="1" applyFont="1" applyNumberFormat="1">
      <alignment horizontal="right"/>
    </xf>
    <xf borderId="6" fillId="16" fontId="18" numFmtId="2" xfId="0" applyAlignment="1" applyBorder="1" applyFill="1" applyFont="1" applyNumberFormat="1">
      <alignment horizontal="right"/>
    </xf>
    <xf borderId="4" fillId="4" fontId="5" numFmtId="0" xfId="0" applyAlignment="1" applyBorder="1" applyFont="1">
      <alignment horizontal="center"/>
    </xf>
    <xf borderId="6" fillId="16" fontId="18" numFmtId="164" xfId="0" applyAlignment="1" applyBorder="1" applyFont="1" applyNumberFormat="1">
      <alignment horizontal="right"/>
    </xf>
    <xf borderId="20" fillId="5" fontId="5" numFmtId="0" xfId="0" applyAlignment="1" applyBorder="1" applyFont="1">
      <alignment horizontal="center"/>
    </xf>
    <xf borderId="21" fillId="0" fontId="8" numFmtId="0" xfId="0" applyBorder="1" applyFont="1"/>
    <xf borderId="22" fillId="0" fontId="8" numFmtId="0" xfId="0" applyBorder="1" applyFont="1"/>
    <xf borderId="15" fillId="8" fontId="10" numFmtId="166" xfId="0" applyAlignment="1" applyBorder="1" applyFont="1" applyNumberFormat="1">
      <alignment horizontal="right"/>
    </xf>
    <xf borderId="16" fillId="16" fontId="18" numFmtId="164" xfId="0" applyAlignment="1" applyBorder="1" applyFont="1" applyNumberFormat="1">
      <alignment horizontal="right"/>
    </xf>
    <xf borderId="17" fillId="8" fontId="10" numFmtId="166" xfId="0" applyAlignment="1" applyBorder="1" applyFont="1" applyNumberFormat="1">
      <alignment horizontal="right"/>
    </xf>
    <xf borderId="18" fillId="16" fontId="18" numFmtId="164" xfId="0" applyAlignment="1" applyBorder="1" applyFont="1" applyNumberFormat="1">
      <alignment horizontal="right"/>
    </xf>
    <xf borderId="6" fillId="4" fontId="19" numFmtId="0" xfId="0" applyAlignment="1" applyBorder="1" applyFont="1">
      <alignment horizontal="center" vertical="bottom"/>
    </xf>
    <xf borderId="16" fillId="12" fontId="15" numFmtId="164" xfId="0" applyAlignment="1" applyBorder="1" applyFont="1" applyNumberFormat="1">
      <alignment horizontal="right"/>
    </xf>
    <xf borderId="15" fillId="8" fontId="10" numFmtId="168" xfId="0" applyAlignment="1" applyBorder="1" applyFont="1" applyNumberFormat="1">
      <alignment horizontal="right"/>
    </xf>
    <xf borderId="17" fillId="8" fontId="10" numFmtId="168" xfId="0" applyAlignment="1" applyBorder="1" applyFont="1" applyNumberFormat="1">
      <alignment horizontal="right"/>
    </xf>
    <xf borderId="6" fillId="8" fontId="10" numFmtId="169" xfId="0" applyAlignment="1" applyBorder="1" applyFont="1" applyNumberFormat="1">
      <alignment horizontal="right"/>
    </xf>
    <xf borderId="6" fillId="0" fontId="20" numFmtId="170" xfId="0" applyAlignment="1" applyBorder="1" applyFont="1" applyNumberFormat="1">
      <alignment horizontal="right" vertical="bottom"/>
    </xf>
    <xf borderId="6" fillId="9" fontId="12" numFmtId="169" xfId="0" applyAlignment="1" applyBorder="1" applyFont="1" applyNumberFormat="1">
      <alignment horizontal="right"/>
    </xf>
    <xf borderId="6" fillId="0" fontId="20" numFmtId="3" xfId="0" applyAlignment="1" applyBorder="1" applyFont="1" applyNumberFormat="1">
      <alignment horizontal="right" vertical="bottom"/>
    </xf>
    <xf borderId="6" fillId="9" fontId="21" numFmtId="164" xfId="0" applyAlignment="1" applyBorder="1" applyFont="1" applyNumberFormat="1">
      <alignment horizontal="right" vertical="bottom"/>
    </xf>
    <xf borderId="15" fillId="8" fontId="10" numFmtId="171" xfId="0" applyAlignment="1" applyBorder="1" applyFont="1" applyNumberFormat="1">
      <alignment horizontal="right"/>
    </xf>
    <xf borderId="6" fillId="0" fontId="20" numFmtId="171" xfId="0" applyAlignment="1" applyBorder="1" applyFont="1" applyNumberFormat="1">
      <alignment horizontal="right" vertical="bottom"/>
    </xf>
    <xf borderId="6" fillId="8" fontId="10" numFmtId="171" xfId="0" applyAlignment="1" applyBorder="1" applyFont="1" applyNumberFormat="1">
      <alignment horizontal="right"/>
    </xf>
    <xf borderId="17" fillId="8" fontId="10" numFmtId="171" xfId="0" applyAlignment="1" applyBorder="1" applyFont="1" applyNumberFormat="1">
      <alignment horizontal="right"/>
    </xf>
    <xf borderId="6" fillId="9" fontId="12" numFmtId="2" xfId="0" applyAlignment="1" applyBorder="1" applyFont="1" applyNumberFormat="1">
      <alignment horizontal="right"/>
    </xf>
    <xf borderId="18" fillId="12" fontId="15" numFmtId="164" xfId="0" applyAlignment="1" applyBorder="1" applyFont="1" applyNumberFormat="1">
      <alignment horizontal="right"/>
    </xf>
    <xf borderId="6" fillId="8" fontId="22" numFmtId="0" xfId="0" applyBorder="1" applyFont="1"/>
    <xf borderId="6" fillId="0" fontId="20" numFmtId="166" xfId="0" applyAlignment="1" applyBorder="1" applyFont="1" applyNumberFormat="1">
      <alignment horizontal="right" vertical="bottom"/>
    </xf>
    <xf borderId="6" fillId="16" fontId="23" numFmtId="164" xfId="0" applyAlignment="1" applyBorder="1" applyFont="1" applyNumberFormat="1">
      <alignment horizontal="right" vertical="bottom"/>
    </xf>
    <xf borderId="6" fillId="12" fontId="15" numFmtId="172" xfId="0" applyAlignment="1" applyBorder="1" applyFont="1" applyNumberFormat="1">
      <alignment horizontal="right"/>
    </xf>
    <xf borderId="6" fillId="0" fontId="20" numFmtId="168" xfId="0" applyAlignment="1" applyBorder="1" applyFont="1" applyNumberFormat="1">
      <alignment horizontal="right" vertical="bottom"/>
    </xf>
    <xf borderId="6" fillId="12" fontId="15" numFmtId="2" xfId="0" applyAlignment="1" applyBorder="1" applyFont="1" applyNumberFormat="1">
      <alignment horizontal="right"/>
    </xf>
    <xf borderId="6" fillId="0" fontId="20" numFmtId="2" xfId="0" applyAlignment="1" applyBorder="1" applyFont="1" applyNumberFormat="1">
      <alignment horizontal="right" vertical="bottom"/>
    </xf>
    <xf borderId="6" fillId="0" fontId="20" numFmtId="169" xfId="0" applyAlignment="1" applyBorder="1" applyFont="1" applyNumberFormat="1">
      <alignment horizontal="right" vertical="bottom"/>
    </xf>
    <xf borderId="6" fillId="8" fontId="10" numFmtId="0" xfId="0" applyBorder="1" applyFont="1"/>
    <xf borderId="6" fillId="12" fontId="24" numFmtId="164" xfId="0" applyAlignment="1" applyBorder="1" applyFont="1" applyNumberFormat="1">
      <alignment horizontal="right" vertical="bottom"/>
    </xf>
    <xf borderId="15" fillId="8" fontId="10" numFmtId="2" xfId="0" applyAlignment="1" applyBorder="1" applyFont="1" applyNumberFormat="1">
      <alignment horizontal="right"/>
    </xf>
    <xf borderId="17" fillId="8" fontId="10" numFmtId="2" xfId="0" applyAlignment="1" applyBorder="1" applyFont="1" applyNumberFormat="1">
      <alignment horizontal="right"/>
    </xf>
    <xf borderId="6" fillId="12" fontId="15" numFmtId="171" xfId="0" applyAlignment="1" applyBorder="1" applyFont="1" applyNumberFormat="1">
      <alignment horizontal="right"/>
    </xf>
    <xf borderId="6" fillId="16" fontId="18" numFmtId="171" xfId="0" applyAlignment="1" applyBorder="1" applyFont="1" applyNumberFormat="1">
      <alignment horizontal="right"/>
    </xf>
    <xf borderId="6" fillId="16" fontId="18" numFmtId="169" xfId="0" applyAlignment="1" applyBorder="1" applyFont="1" applyNumberFormat="1">
      <alignment horizontal="right"/>
    </xf>
    <xf borderId="6" fillId="16" fontId="18" numFmtId="172" xfId="0" applyAlignment="1" applyBorder="1" applyFont="1" applyNumberFormat="1">
      <alignment horizontal="right"/>
    </xf>
    <xf borderId="8" fillId="15" fontId="13" numFmtId="165" xfId="0" applyAlignment="1" applyBorder="1" applyFont="1" applyNumberFormat="1">
      <alignment horizontal="center" vertical="bottom"/>
    </xf>
    <xf borderId="6" fillId="4" fontId="5" numFmtId="0" xfId="0" applyAlignment="1" applyBorder="1" applyFont="1">
      <alignment horizontal="center" readingOrder="0"/>
    </xf>
    <xf borderId="0" fillId="4" fontId="5" numFmtId="0" xfId="0" applyAlignment="1" applyFont="1">
      <alignment horizontal="center" readingOrder="0"/>
    </xf>
    <xf borderId="6" fillId="0" fontId="10" numFmtId="173" xfId="0" applyAlignment="1" applyBorder="1" applyFont="1" applyNumberFormat="1">
      <alignment readingOrder="0"/>
    </xf>
    <xf borderId="6" fillId="0" fontId="10" numFmtId="0" xfId="0" applyAlignment="1" applyBorder="1" applyFont="1">
      <alignment readingOrder="0"/>
    </xf>
    <xf borderId="6" fillId="0" fontId="10" numFmtId="0" xfId="0" applyBorder="1" applyFont="1"/>
    <xf borderId="0" fillId="0" fontId="6" numFmtId="0" xfId="0" applyAlignment="1" applyFont="1">
      <alignment vertical="bottom"/>
    </xf>
    <xf borderId="6" fillId="0" fontId="3" numFmtId="171" xfId="0" applyAlignment="1" applyBorder="1" applyFont="1" applyNumberFormat="1">
      <alignment vertical="bottom"/>
    </xf>
    <xf borderId="6" fillId="12" fontId="3" numFmtId="164" xfId="0" applyAlignment="1" applyBorder="1" applyFont="1" applyNumberFormat="1">
      <alignment vertical="bottom"/>
    </xf>
    <xf borderId="0" fillId="0" fontId="6" numFmtId="0" xfId="0" applyAlignment="1" applyFont="1">
      <alignment horizontal="right" vertical="bottom"/>
    </xf>
    <xf borderId="6" fillId="16" fontId="3" numFmtId="164" xfId="0" applyAlignment="1" applyBorder="1" applyFont="1" applyNumberFormat="1">
      <alignment horizontal="right" vertical="bottom"/>
    </xf>
    <xf borderId="6" fillId="12" fontId="3" numFmtId="164" xfId="0" applyAlignment="1" applyBorder="1" applyFont="1" applyNumberFormat="1">
      <alignment horizontal="right" vertical="bottom"/>
    </xf>
    <xf borderId="23" fillId="16" fontId="18" numFmtId="164" xfId="0" applyAlignment="1" applyBorder="1" applyFont="1" applyNumberFormat="1">
      <alignment horizontal="right"/>
    </xf>
    <xf borderId="1" fillId="7" fontId="3" numFmtId="0" xfId="0" applyBorder="1" applyFont="1"/>
    <xf borderId="15" fillId="8" fontId="10" numFmtId="169" xfId="0" applyAlignment="1" applyBorder="1" applyFont="1" applyNumberFormat="1">
      <alignment horizontal="right"/>
    </xf>
    <xf borderId="17" fillId="8" fontId="10" numFmtId="169" xfId="0" applyAlignment="1" applyBorder="1" applyFont="1" applyNumberFormat="1">
      <alignment horizontal="right"/>
    </xf>
    <xf borderId="16" fillId="8" fontId="10" numFmtId="169" xfId="0" applyAlignment="1" applyBorder="1" applyFont="1" applyNumberFormat="1">
      <alignment horizontal="right"/>
    </xf>
    <xf borderId="0" fillId="0" fontId="25" numFmtId="0" xfId="0" applyAlignment="1" applyFont="1">
      <alignment readingOrder="0"/>
    </xf>
    <xf borderId="16" fillId="8" fontId="10" numFmtId="2" xfId="0" applyAlignment="1" applyBorder="1" applyFont="1" applyNumberFormat="1">
      <alignment horizontal="right"/>
    </xf>
    <xf borderId="0" fillId="0" fontId="26" numFmtId="0" xfId="0" applyAlignment="1" applyFont="1">
      <alignment readingOrder="0"/>
    </xf>
    <xf borderId="18" fillId="8" fontId="22" numFmtId="0" xfId="0" applyBorder="1" applyFont="1"/>
    <xf borderId="24" fillId="12" fontId="15" numFmtId="164" xfId="0" applyAlignment="1" applyBorder="1" applyFont="1" applyNumberFormat="1">
      <alignment horizontal="right"/>
    </xf>
    <xf borderId="0" fillId="0" fontId="1" numFmtId="173" xfId="0" applyAlignment="1" applyFont="1" applyNumberFormat="1">
      <alignment readingOrder="0"/>
    </xf>
    <xf borderId="6" fillId="7" fontId="9" numFmtId="0" xfId="0" applyAlignment="1" applyBorder="1" applyFont="1">
      <alignment readingOrder="0" vertical="center"/>
    </xf>
    <xf borderId="18" fillId="8" fontId="10" numFmtId="0" xfId="0" applyAlignment="1" applyBorder="1" applyFont="1">
      <alignment readingOrder="0"/>
    </xf>
    <xf borderId="1" fillId="16" fontId="18" numFmtId="164" xfId="0" applyAlignment="1" applyBorder="1" applyFont="1" applyNumberFormat="1">
      <alignment horizontal="right"/>
    </xf>
    <xf borderId="8" fillId="13" fontId="7" numFmtId="0" xfId="0" applyAlignment="1" applyBorder="1" applyFont="1">
      <alignment vertical="bottom"/>
    </xf>
    <xf borderId="2" fillId="0" fontId="1" numFmtId="0" xfId="0" applyBorder="1" applyFont="1"/>
    <xf borderId="18" fillId="8" fontId="27" numFmtId="0" xfId="0" applyBorder="1" applyFont="1"/>
    <xf borderId="6" fillId="17" fontId="9" numFmtId="0" xfId="0" applyAlignment="1" applyBorder="1" applyFill="1" applyFont="1">
      <alignment horizontal="center" vertical="center"/>
    </xf>
    <xf borderId="18" fillId="17" fontId="9" numFmtId="0" xfId="0" applyAlignment="1" applyBorder="1" applyFont="1">
      <alignment horizontal="center" vertical="center"/>
    </xf>
    <xf borderId="10" fillId="17" fontId="9" numFmtId="0" xfId="0" applyAlignment="1" applyBorder="1" applyFont="1">
      <alignment horizontal="center" vertical="center"/>
    </xf>
    <xf borderId="4" fillId="17" fontId="9" numFmtId="0" xfId="0" applyAlignment="1" applyBorder="1" applyFont="1">
      <alignment horizontal="center" vertical="center"/>
    </xf>
    <xf borderId="8" fillId="11" fontId="7" numFmtId="0" xfId="0" applyAlignment="1" applyBorder="1" applyFont="1">
      <alignment vertical="bottom"/>
    </xf>
    <xf borderId="7" fillId="8" fontId="10" numFmtId="171" xfId="0" applyAlignment="1" applyBorder="1" applyFont="1" applyNumberFormat="1">
      <alignment horizontal="right"/>
    </xf>
  </cellXfs>
  <cellStyles count="1">
    <cellStyle xfId="0" name="Normal" builtinId="0"/>
  </cellStyles>
  <dxfs count="6">
    <dxf>
      <font>
        <b/>
        <color rgb="FF006100"/>
      </font>
      <fill>
        <patternFill patternType="solid">
          <fgColor rgb="FFC6EFCE"/>
          <bgColor rgb="FFC6EFCE"/>
        </patternFill>
      </fill>
      <border/>
    </dxf>
    <dxf>
      <font>
        <b/>
        <color rgb="FF9C0006"/>
      </font>
      <fill>
        <patternFill patternType="solid">
          <fgColor rgb="FFFFC7CE"/>
          <bgColor rgb="FFFFC7CE"/>
        </patternFill>
      </fill>
      <border/>
    </dxf>
    <dxf>
      <font>
        <b/>
        <sz val="10.0"/>
        <color rgb="FF006100"/>
        <name val="Arial"/>
      </font>
      <fill>
        <patternFill patternType="solid">
          <fgColor rgb="FFC6EFCE"/>
          <bgColor rgb="FFC6EFCE"/>
        </patternFill>
      </fill>
      <border/>
    </dxf>
    <dxf>
      <font>
        <b/>
        <sz val="10.0"/>
        <color rgb="FF9C0006"/>
        <name val="Arial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22.57"/>
    <col customWidth="1" min="2" max="2" width="31.0"/>
    <col customWidth="1" hidden="1" min="3" max="4" width="11.0"/>
    <col customWidth="1" hidden="1" min="5" max="5" width="10.0"/>
    <col customWidth="1" min="6" max="7" width="11.0"/>
    <col customWidth="1" min="8" max="8" width="10.0"/>
    <col customWidth="1" min="9" max="10" width="11.0"/>
    <col customWidth="1" min="11" max="11" width="10.0"/>
    <col customWidth="1" min="12" max="13" width="11.0"/>
    <col customWidth="1" min="14" max="14" width="10.0"/>
    <col customWidth="1" min="15" max="16" width="11.0"/>
    <col customWidth="1" min="17" max="17" width="10.0"/>
    <col customWidth="1" min="18" max="19" width="11.0"/>
    <col customWidth="1" min="20" max="20" width="10.0"/>
  </cols>
  <sheetData>
    <row r="1">
      <c r="A1" s="3" t="s">
        <v>0</v>
      </c>
    </row>
    <row r="2">
      <c r="B2" s="6"/>
      <c r="F2" s="9"/>
      <c r="H2" s="6"/>
      <c r="L2" s="9"/>
      <c r="N2" s="6"/>
      <c r="R2" s="9"/>
    </row>
    <row r="3" ht="21.75" customHeight="1">
      <c r="A3" s="11" t="s">
        <v>6</v>
      </c>
      <c r="B3" s="12" t="s">
        <v>7</v>
      </c>
      <c r="C3" s="14">
        <v>0.0</v>
      </c>
      <c r="D3" s="16"/>
      <c r="E3" s="17"/>
      <c r="F3" s="14" t="s">
        <v>14</v>
      </c>
      <c r="G3" s="16"/>
      <c r="H3" s="20"/>
      <c r="I3" s="14" t="s">
        <v>20</v>
      </c>
      <c r="J3" s="16"/>
      <c r="K3" s="17"/>
      <c r="L3" s="22" t="s">
        <v>23</v>
      </c>
      <c r="M3" s="16"/>
      <c r="N3" s="20"/>
      <c r="O3" s="14" t="s">
        <v>24</v>
      </c>
      <c r="P3" s="16"/>
      <c r="Q3" s="17"/>
      <c r="R3" s="14" t="s">
        <v>28</v>
      </c>
      <c r="S3" s="16"/>
      <c r="T3" s="17"/>
    </row>
    <row r="4" ht="18.0" customHeight="1">
      <c r="A4" s="25"/>
      <c r="B4" s="26"/>
      <c r="C4" s="27" t="s">
        <v>9</v>
      </c>
      <c r="D4" s="28" t="s">
        <v>10</v>
      </c>
      <c r="E4" s="29" t="s">
        <v>13</v>
      </c>
      <c r="F4" s="30" t="s">
        <v>9</v>
      </c>
      <c r="G4" s="28" t="s">
        <v>10</v>
      </c>
      <c r="H4" s="31" t="s">
        <v>13</v>
      </c>
      <c r="I4" s="27" t="s">
        <v>9</v>
      </c>
      <c r="J4" s="28" t="s">
        <v>10</v>
      </c>
      <c r="K4" s="29" t="s">
        <v>13</v>
      </c>
      <c r="L4" s="30" t="s">
        <v>9</v>
      </c>
      <c r="M4" s="28" t="s">
        <v>10</v>
      </c>
      <c r="N4" s="31" t="s">
        <v>13</v>
      </c>
      <c r="O4" s="27" t="s">
        <v>9</v>
      </c>
      <c r="P4" s="28" t="s">
        <v>10</v>
      </c>
      <c r="Q4" s="29" t="s">
        <v>13</v>
      </c>
      <c r="R4" s="30" t="s">
        <v>9</v>
      </c>
      <c r="S4" s="28" t="s">
        <v>10</v>
      </c>
      <c r="T4" s="28" t="s">
        <v>13</v>
      </c>
    </row>
    <row r="5">
      <c r="A5" s="34" t="s">
        <v>16</v>
      </c>
      <c r="B5" s="35"/>
      <c r="C5" s="36"/>
      <c r="D5" s="21"/>
      <c r="E5" s="38"/>
      <c r="F5" s="40"/>
      <c r="G5" s="21"/>
      <c r="H5" s="35"/>
      <c r="I5" s="36"/>
      <c r="J5" s="21"/>
      <c r="K5" s="38"/>
      <c r="L5" s="40"/>
      <c r="M5" s="21"/>
      <c r="N5" s="35"/>
      <c r="O5" s="36"/>
      <c r="P5" s="21"/>
      <c r="Q5" s="38"/>
      <c r="R5" s="40"/>
      <c r="S5" s="21"/>
      <c r="T5" s="21"/>
    </row>
    <row r="6">
      <c r="A6" s="23"/>
      <c r="B6" s="42" t="s">
        <v>25</v>
      </c>
      <c r="C6" s="45">
        <f>SUMIFS('Raw Data'!$D:$D, 'Raw Data'!$B:$B, "Control", 'Raw Data'!$C:$C, "A. 0")</f>
        <v>24509</v>
      </c>
      <c r="D6" s="32">
        <f>SUMIFS('Raw Data'!$D:$D, 'Raw Data'!$B:$B, "Variant", 'Raw Data'!$C:$C, "A. 0")</f>
        <v>24119</v>
      </c>
      <c r="E6" s="49">
        <f>IFERROR((D6-C6)/ABS(C6),"")</f>
        <v>-0.01591252193</v>
      </c>
      <c r="F6" s="53">
        <f>SUMIFS('Raw Data'!$D:$D, 'Raw Data'!$B:$B, "Control", 'Raw Data'!$C:$C, "B. 1-9")</f>
        <v>49087</v>
      </c>
      <c r="G6" s="32">
        <f>SUMIFS('Raw Data'!$D:$D, 'Raw Data'!$B:$B, "Variant", 'Raw Data'!$C:$C, "B. 1-9")</f>
        <v>47191</v>
      </c>
      <c r="H6" s="55">
        <f>IFERROR((G6-F6)/ABS(F6),"")</f>
        <v>-0.03862529794</v>
      </c>
      <c r="I6" s="45">
        <f>SUMIFS('Raw Data'!$D:$D, 'Raw Data'!$B:$B, "Control", 'Raw Data'!$C:$C, "C. 10-19")</f>
        <v>39905</v>
      </c>
      <c r="J6" s="32">
        <f>SUMIFS('Raw Data'!$D:$D, 'Raw Data'!$B:$B, "Variant", 'Raw Data'!$C:$C, "C. 10-19")</f>
        <v>40363</v>
      </c>
      <c r="K6" s="49">
        <f>IFERROR((J6-I6)/ABS(I6),"")</f>
        <v>0.01147725849</v>
      </c>
      <c r="L6" s="53">
        <f>SUMIFS('Raw Data'!$D:$D, 'Raw Data'!$B:$B, "Control", 'Raw Data'!$C:$C, "D. 20-39")</f>
        <v>27297</v>
      </c>
      <c r="M6" s="32">
        <f>SUMIFS('Raw Data'!$D:$D, 'Raw Data'!$B:$B, "Variant", 'Raw Data'!$C:$C, "D. 20-39")</f>
        <v>29185</v>
      </c>
      <c r="N6" s="55">
        <f>IFERROR((M6-L6)/ABS(L6),"")</f>
        <v>0.06916510972</v>
      </c>
      <c r="O6" s="45">
        <f>SUMIFS('Raw Data'!$D:$D, 'Raw Data'!$B:$B, "Control", 'Raw Data'!$C:$C, "E. 40-99")</f>
        <v>16786</v>
      </c>
      <c r="P6" s="32">
        <f>SUMIFS('Raw Data'!$D:$D, 'Raw Data'!$B:$B, "Variant", 'Raw Data'!$C:$C, "E. 40-99")</f>
        <v>16595</v>
      </c>
      <c r="Q6" s="49">
        <f>IFERROR((P6-O6)/ABS(O6),"")</f>
        <v>-0.01137852973</v>
      </c>
      <c r="R6" s="53">
        <f>SUMIFS('Raw Data'!$D:$D, 'Raw Data'!$B:$B, "Control", 'Raw Data'!$C:$C, "F. 100+")</f>
        <v>2488</v>
      </c>
      <c r="S6" s="32">
        <f>SUMIFS('Raw Data'!$D:$D, 'Raw Data'!$B:$B, "Variant", 'Raw Data'!$C:$C, "F. 100+")</f>
        <v>2343</v>
      </c>
      <c r="T6" s="39">
        <f>IFERROR((S6-R6)/ABS(R6),"")</f>
        <v>-0.05827974277</v>
      </c>
    </row>
    <row r="7">
      <c r="A7" s="34" t="s">
        <v>34</v>
      </c>
      <c r="B7" s="35"/>
      <c r="C7" s="36"/>
      <c r="D7" s="21"/>
      <c r="E7" s="38"/>
      <c r="F7" s="40"/>
      <c r="G7" s="21"/>
      <c r="H7" s="35"/>
      <c r="I7" s="36"/>
      <c r="J7" s="21"/>
      <c r="K7" s="38"/>
      <c r="L7" s="40"/>
      <c r="M7" s="21"/>
      <c r="N7" s="35"/>
      <c r="O7" s="36"/>
      <c r="P7" s="21"/>
      <c r="Q7" s="38"/>
      <c r="R7" s="40"/>
      <c r="S7" s="21"/>
      <c r="T7" s="21"/>
    </row>
    <row r="8">
      <c r="A8" s="23"/>
      <c r="B8" s="42" t="s">
        <v>35</v>
      </c>
      <c r="C8" s="65">
        <f>SUMIFS('Raw Data'!$F:$F, 'Raw Data'!$B:$B, "Control", 'Raw Data'!$C:$C, "A. 0")</f>
        <v>54.19</v>
      </c>
      <c r="D8" s="44">
        <f>SUMIFS('Raw Data'!$F:$F, 'Raw Data'!$B:$B, "Variant", 'Raw Data'!$C:$C, "A. 0")</f>
        <v>120.81</v>
      </c>
      <c r="E8" s="66">
        <f t="shared" ref="E8:E11" si="1">IFERROR((D8-C8)/ABS(C8),"")</f>
        <v>1.229378114</v>
      </c>
      <c r="F8" s="67">
        <f>SUMIFS('Raw Data'!$F:$F, 'Raw Data'!$B:$B, "Control", 'Raw Data'!$C:$C, "B. 1-9")</f>
        <v>1494.72</v>
      </c>
      <c r="G8" s="44">
        <f>SUMIFS('Raw Data'!$F:$F, 'Raw Data'!$B:$B, "Variant", 'Raw Data'!$C:$C, "B. 1-9")</f>
        <v>1482.43</v>
      </c>
      <c r="H8" s="68">
        <f t="shared" ref="H8:H11" si="2">IFERROR((G8-F8)/ABS(F8),"")</f>
        <v>-0.008222275744</v>
      </c>
      <c r="I8" s="65">
        <f>SUMIFS('Raw Data'!$F:$F, 'Raw Data'!$B:$B, "Control", 'Raw Data'!$C:$C, "C. 10-19")</f>
        <v>4500.07</v>
      </c>
      <c r="J8" s="44">
        <f>SUMIFS('Raw Data'!$F:$F, 'Raw Data'!$B:$B, "Variant", 'Raw Data'!$C:$C, "C. 10-19")</f>
        <v>4418.07</v>
      </c>
      <c r="K8" s="66">
        <f t="shared" ref="K8:K11" si="3">IFERROR((J8-I8)/ABS(I8),"")</f>
        <v>-0.01822193877</v>
      </c>
      <c r="L8" s="67">
        <f>SUMIFS('Raw Data'!$F:$F, 'Raw Data'!$B:$B, "Control", 'Raw Data'!$C:$C, "D. 20-39")</f>
        <v>7226.99</v>
      </c>
      <c r="M8" s="44">
        <f>SUMIFS('Raw Data'!$F:$F, 'Raw Data'!$B:$B, "Variant", 'Raw Data'!$C:$C, "D. 20-39")</f>
        <v>6881.55</v>
      </c>
      <c r="N8" s="68">
        <f t="shared" ref="N8:N11" si="4">IFERROR((M8-L8)/ABS(L8),"")</f>
        <v>-0.04779859942</v>
      </c>
      <c r="O8" s="65">
        <f>SUMIFS('Raw Data'!$F:$F, 'Raw Data'!$B:$B, "Control", 'Raw Data'!$C:$C, "E. 40-99")</f>
        <v>7593.51</v>
      </c>
      <c r="P8" s="44">
        <f>SUMIFS('Raw Data'!$F:$F, 'Raw Data'!$B:$B, "Variant", 'Raw Data'!$C:$C, "E. 40-99")</f>
        <v>7975.84</v>
      </c>
      <c r="Q8" s="70">
        <f t="shared" ref="Q8:Q11" si="5">IFERROR((P8-O8)/ABS(O8),"")</f>
        <v>0.05034957483</v>
      </c>
      <c r="R8" s="67">
        <f>SUMIFS('Raw Data'!$F:$F, 'Raw Data'!$B:$B, "Control", 'Raw Data'!$C:$C, "F. 100+")</f>
        <v>1247.99</v>
      </c>
      <c r="S8" s="44">
        <f>SUMIFS('Raw Data'!$F:$F, 'Raw Data'!$B:$B, "Variant", 'Raw Data'!$C:$C, "F. 100+")</f>
        <v>1817.49</v>
      </c>
      <c r="T8" s="47">
        <f t="shared" ref="T8:T11" si="6">IFERROR((S8-R8)/ABS(R8),"")</f>
        <v>0.4563337847</v>
      </c>
    </row>
    <row r="9">
      <c r="A9" s="23"/>
      <c r="B9" s="42" t="s">
        <v>36</v>
      </c>
      <c r="C9" s="71">
        <f>IFERROR(SUMIFS('Raw Data'!$F:$F, 'Raw Data'!$B:$B, "Control", 'Raw Data'!$C:$C, "A. 0")/SUMIFS('Raw Data'!$D:$D, 'Raw Data'!$B:$B, "Control", 'Raw Data'!$C:$C, "A. 0"),"")</f>
        <v>0.002211024522</v>
      </c>
      <c r="D9" s="50">
        <f>IFERROR(SUMIFS('Raw Data'!$F:$F, 'Raw Data'!$B:$B, "Variant", 'Raw Data'!$C:$C, "A. 0")/SUMIFS('Raw Data'!$D:$D, 'Raw Data'!$B:$B, "Variant", 'Raw Data'!$C:$C, "A. 0"),"")</f>
        <v>0.005008914134</v>
      </c>
      <c r="E9" s="66">
        <f t="shared" si="1"/>
        <v>1.265426767</v>
      </c>
      <c r="F9" s="72">
        <f>IFERROR(SUMIFS('Raw Data'!$F:$F, 'Raw Data'!$B:$B, "Control", 'Raw Data'!$C:$C, "B. 1-9")/SUMIFS('Raw Data'!$D:$D, 'Raw Data'!$B:$B, "Control", 'Raw Data'!$C:$C, "B. 1-9"),"")</f>
        <v>0.03045042476</v>
      </c>
      <c r="G9" s="50">
        <f>IFERROR(SUMIFS('Raw Data'!$F:$F, 'Raw Data'!$B:$B, "Variant", 'Raw Data'!$C:$C, "B. 1-9")/SUMIFS('Raw Data'!$D:$D, 'Raw Data'!$B:$B, "Variant", 'Raw Data'!$C:$C, "B. 1-9"),"")</f>
        <v>0.0314134051</v>
      </c>
      <c r="H9" s="68">
        <f t="shared" si="2"/>
        <v>0.03162452905</v>
      </c>
      <c r="I9" s="71">
        <f>IFERROR(SUMIFS('Raw Data'!$F:$F, 'Raw Data'!$B:$B, "Control", 'Raw Data'!$C:$C, "C. 10-19")/SUMIFS('Raw Data'!$D:$D, 'Raw Data'!$B:$B, "Control", 'Raw Data'!$C:$C, "C. 10-19"),"")</f>
        <v>0.1127695777</v>
      </c>
      <c r="J9" s="50">
        <f>IFERROR(SUMIFS('Raw Data'!$F:$F, 'Raw Data'!$B:$B, "Variant", 'Raw Data'!$C:$C, "C. 10-19")/SUMIFS('Raw Data'!$D:$D, 'Raw Data'!$B:$B, "Variant", 'Raw Data'!$C:$C, "C. 10-19"),"")</f>
        <v>0.1094584149</v>
      </c>
      <c r="K9" s="66">
        <f t="shared" si="3"/>
        <v>-0.0293621997</v>
      </c>
      <c r="L9" s="72">
        <f>IFERROR(SUMIFS('Raw Data'!$F:$F, 'Raw Data'!$B:$B, "Control", 'Raw Data'!$C:$C, "D. 20-39")/SUMIFS('Raw Data'!$D:$D, 'Raw Data'!$B:$B, "Control", 'Raw Data'!$C:$C, "D. 20-39"),"")</f>
        <v>0.2647540023</v>
      </c>
      <c r="M9" s="50">
        <f>IFERROR(SUMIFS('Raw Data'!$F:$F, 'Raw Data'!$B:$B, "Variant", 'Raw Data'!$C:$C, "D. 20-39")/SUMIFS('Raw Data'!$D:$D, 'Raw Data'!$B:$B, "Variant", 'Raw Data'!$C:$C, "D. 20-39"),"")</f>
        <v>0.2357906459</v>
      </c>
      <c r="N9" s="68">
        <f t="shared" si="4"/>
        <v>-0.1093972372</v>
      </c>
      <c r="O9" s="71">
        <f>IFERROR(SUMIFS('Raw Data'!$F:$F, 'Raw Data'!$B:$B, "Control", 'Raw Data'!$C:$C, "E. 40-99")/SUMIFS('Raw Data'!$D:$D, 'Raw Data'!$B:$B, "Control", 'Raw Data'!$C:$C, "E. 40-99"),"")</f>
        <v>0.4523716192</v>
      </c>
      <c r="P9" s="50">
        <f>IFERROR(SUMIFS('Raw Data'!$F:$F, 'Raw Data'!$B:$B, "Variant", 'Raw Data'!$C:$C, "E. 40-99")/SUMIFS('Raw Data'!$D:$D, 'Raw Data'!$B:$B, "Variant", 'Raw Data'!$C:$C, "E. 40-99"),"")</f>
        <v>0.4806170533</v>
      </c>
      <c r="Q9" s="70">
        <f t="shared" si="5"/>
        <v>0.06243856361</v>
      </c>
      <c r="R9" s="72">
        <f>IFERROR(SUMIFS('Raw Data'!$F:$F, 'Raw Data'!$B:$B, "Control", 'Raw Data'!$C:$C, "F. 100+")/SUMIFS('Raw Data'!$D:$D, 'Raw Data'!$B:$B, "Control", 'Raw Data'!$C:$C, "F. 100+"),"")</f>
        <v>0.5016036977</v>
      </c>
      <c r="S9" s="50">
        <f>IFERROR(SUMIFS('Raw Data'!$F:$F, 'Raw Data'!$B:$B, "Variant", 'Raw Data'!$C:$C, "F. 100+")/SUMIFS('Raw Data'!$D:$D, 'Raw Data'!$B:$B, "Variant", 'Raw Data'!$C:$C, "F. 100+"),"")</f>
        <v>0.7757106274</v>
      </c>
      <c r="T9" s="47">
        <f t="shared" si="6"/>
        <v>0.5464611423</v>
      </c>
    </row>
    <row r="10">
      <c r="A10" s="23"/>
      <c r="B10" s="42" t="s">
        <v>92</v>
      </c>
      <c r="C10" s="78">
        <f>IFERROR(SUMPRODUCT(('Raw Data'!$B$2:$B$9999="Control")*('Raw Data'!$C$2:$C$9999="A. 0")*'Raw Data'!$D$2:$D$9999*'Raw Data'!$H$2:$H$9999/100)/SUMIFS('Raw Data'!$D:$D, 'Raw Data'!$B:$B, "Control", 'Raw Data'!$C:$C, "A. 0")*100,"")</f>
        <v>0.05385164633</v>
      </c>
      <c r="D10" s="80">
        <f>IFERROR(SUMPRODUCT(('Raw Data'!$B$2:$B$9999="Variant")*('Raw Data'!$C$2:$C$9999="A. 0")*'Raw Data'!$D$2:$D$9999*'Raw Data'!$H$2:$H$9999/100)/SUMIFS('Raw Data'!$D:$D, 'Raw Data'!$B:$B, "Variant", 'Raw Data'!$C:$C, "A. 0")*100,"")</f>
        <v>0.05213068535</v>
      </c>
      <c r="E10" s="66">
        <f t="shared" si="1"/>
        <v>-0.03195744419</v>
      </c>
      <c r="F10" s="81">
        <f>IFERROR(SUMPRODUCT(('Raw Data'!$B$2:$B$9999="Control")*('Raw Data'!$C$2:$C$9999="B. 1-9")*'Raw Data'!$D$2:$D$9999*'Raw Data'!$H$2:$H$9999/100)/SUMIFS('Raw Data'!$D:$D, 'Raw Data'!$B:$B, "Control", 'Raw Data'!$C:$C, "B. 1-9")*100,"")</f>
        <v>1.324056879</v>
      </c>
      <c r="G10" s="80">
        <f>IFERROR(SUMPRODUCT(('Raw Data'!$B$2:$B$9999="Variant")*('Raw Data'!$C$2:$C$9999="B. 1-9")*'Raw Data'!$D$2:$D$9999*'Raw Data'!$H$2:$H$9999/100)/SUMIFS('Raw Data'!$D:$D, 'Raw Data'!$B:$B, "Variant", 'Raw Data'!$C:$C, "B. 1-9")*100,"")</f>
        <v>1.313234939</v>
      </c>
      <c r="H10" s="83">
        <f t="shared" si="2"/>
        <v>-0.008173319374</v>
      </c>
      <c r="I10" s="78">
        <f>IFERROR(SUMPRODUCT(('Raw Data'!$B$2:$B$9999="Control")*('Raw Data'!$C$2:$C$9999="C. 10-19")*'Raw Data'!$D$2:$D$9999*'Raw Data'!$H$2:$H$9999/100)/SUMIFS('Raw Data'!$D:$D, 'Raw Data'!$B:$B, "Control", 'Raw Data'!$C:$C, "C. 10-19")*100,"")</f>
        <v>3.366412229</v>
      </c>
      <c r="J10" s="80">
        <f>IFERROR(SUMPRODUCT(('Raw Data'!$B$2:$B$9999="Variant")*('Raw Data'!$C$2:$C$9999="C. 10-19")*'Raw Data'!$D$2:$D$9999*'Raw Data'!$H$2:$H$9999/100)/SUMIFS('Raw Data'!$D:$D, 'Raw Data'!$B:$B, "Variant", 'Raw Data'!$C:$C, "C. 10-19")*100,"")</f>
        <v>3.376493323</v>
      </c>
      <c r="K10" s="70">
        <f t="shared" si="3"/>
        <v>0.00299461069</v>
      </c>
      <c r="L10" s="81">
        <f>IFERROR(SUMPRODUCT(('Raw Data'!$B$2:$B$9999="Control")*('Raw Data'!$C$2:$C$9999="D. 20-39")*'Raw Data'!$D$2:$D$9999*'Raw Data'!$H$2:$H$9999/100)/SUMIFS('Raw Data'!$D:$D, 'Raw Data'!$B:$B, "Control", 'Raw Data'!$C:$C, "D. 20-39")*100,"")</f>
        <v>5.249488955</v>
      </c>
      <c r="M10" s="80">
        <f>IFERROR(SUMPRODUCT(('Raw Data'!$B$2:$B$9999="Variant")*('Raw Data'!$C$2:$C$9999="D. 20-39")*'Raw Data'!$D$2:$D$9999*'Raw Data'!$H$2:$H$9999/100)/SUMIFS('Raw Data'!$D:$D, 'Raw Data'!$B:$B, "Variant", 'Raw Data'!$C:$C, "D. 20-39")*100,"")</f>
        <v>5.018183999</v>
      </c>
      <c r="N10" s="68">
        <f t="shared" si="4"/>
        <v>-0.04406237601</v>
      </c>
      <c r="O10" s="78">
        <f>IFERROR(SUMPRODUCT(('Raw Data'!$B$2:$B$9999="Control")*('Raw Data'!$C$2:$C$9999="E. 40-99")*'Raw Data'!$D$2:$D$9999*'Raw Data'!$H$2:$H$9999/100)/SUMIFS('Raw Data'!$D:$D, 'Raw Data'!$B:$B, "Control", 'Raw Data'!$C:$C, "E. 40-99")*100,"")</f>
        <v>6.38652091</v>
      </c>
      <c r="P10" s="80">
        <f>IFERROR(SUMPRODUCT(('Raw Data'!$B$2:$B$9999="Variant")*('Raw Data'!$C$2:$C$9999="E. 40-99")*'Raw Data'!$D$2:$D$9999*'Raw Data'!$H$2:$H$9999/100)/SUMIFS('Raw Data'!$D:$D, 'Raw Data'!$B:$B, "Variant", 'Raw Data'!$C:$C, "E. 40-99")*100,"")</f>
        <v>6.188487496</v>
      </c>
      <c r="Q10" s="70">
        <f t="shared" si="5"/>
        <v>-0.03100802719</v>
      </c>
      <c r="R10" s="81">
        <f>IFERROR(SUMPRODUCT(('Raw Data'!$B$2:$B$9999="Control")*('Raw Data'!$C$2:$C$9999="F. 100+")*'Raw Data'!$D$2:$D$9999*'Raw Data'!$H$2:$H$9999/100)/SUMIFS('Raw Data'!$D:$D, 'Raw Data'!$B:$B, "Control", 'Raw Data'!$C:$C, "F. 100+")*100,"")</f>
        <v>6.953770096</v>
      </c>
      <c r="S10" s="80">
        <f>IFERROR(SUMPRODUCT(('Raw Data'!$B$2:$B$9999="Variant")*('Raw Data'!$C$2:$C$9999="F. 100+")*'Raw Data'!$D$2:$D$9999*'Raw Data'!$H$2:$H$9999/100)/SUMIFS('Raw Data'!$D:$D, 'Raw Data'!$B:$B, "Variant", 'Raw Data'!$C:$C, "F. 100+")*100,"")</f>
        <v>6.48609475</v>
      </c>
      <c r="T10" s="47">
        <f t="shared" si="6"/>
        <v>-0.06725493361</v>
      </c>
    </row>
    <row r="11">
      <c r="A11" s="23"/>
      <c r="B11" s="42" t="s">
        <v>39</v>
      </c>
      <c r="C11" s="71">
        <f>IFERROR(SUMIFS('Raw Data'!$F:$F, 'Raw Data'!$B:$B, "Control", 'Raw Data'!$C:$C, "A. 0")/SUMPRODUCT(('Raw Data'!$B$2:$B$9999="Control")*('Raw Data'!$C$2:$C$9999="A. 0")*'Raw Data'!$D$2:$D$9999*'Raw Data'!$H$2:$H$9999/100),"")</f>
        <v>4.105769595</v>
      </c>
      <c r="D11" s="50">
        <f>IFERROR(SUMIFS('Raw Data'!$F:$F, 'Raw Data'!$B:$B, "Variant", 'Raw Data'!$C:$C, "A. 0")/SUMPRODUCT(('Raw Data'!$B$2:$B$9999="Variant")*('Raw Data'!$C$2:$C$9999="A. 0")*'Raw Data'!$D$2:$D$9999*'Raw Data'!$H$2:$H$9999/100),"")</f>
        <v>9.608379595</v>
      </c>
      <c r="E11" s="66">
        <f t="shared" si="1"/>
        <v>1.340214026</v>
      </c>
      <c r="F11" s="72">
        <f>IFERROR(SUMIFS('Raw Data'!$F:$F, 'Raw Data'!$B:$B, "Control", 'Raw Data'!$C:$C, "B. 1-9")/SUMPRODUCT(('Raw Data'!$B$2:$B$9999="Control")*('Raw Data'!$C$2:$C$9999="B. 1-9")*'Raw Data'!$D$2:$D$9999*'Raw Data'!$H$2:$H$9999/100),"")</f>
        <v>2.299782226</v>
      </c>
      <c r="G11" s="50">
        <f>IFERROR(SUMIFS('Raw Data'!$F:$F, 'Raw Data'!$B:$B, "Variant", 'Raw Data'!$C:$C, "B. 1-9")/SUMPRODUCT(('Raw Data'!$B$2:$B$9999="Variant")*('Raw Data'!$C$2:$C$9999="B. 1-9")*'Raw Data'!$D$2:$D$9999*'Raw Data'!$H$2:$H$9999/100),"")</f>
        <v>2.392062849</v>
      </c>
      <c r="H11" s="68">
        <f t="shared" si="2"/>
        <v>0.04012580948</v>
      </c>
      <c r="I11" s="71">
        <f>IFERROR(SUMIFS('Raw Data'!$F:$F, 'Raw Data'!$B:$B, "Control", 'Raw Data'!$C:$C, "C. 10-19")/SUMPRODUCT(('Raw Data'!$B$2:$B$9999="Control")*('Raw Data'!$C$2:$C$9999="C. 10-19")*'Raw Data'!$D$2:$D$9999*'Raw Data'!$H$2:$H$9999/100),"")</f>
        <v>3.349844585</v>
      </c>
      <c r="J11" s="50">
        <f>IFERROR(SUMIFS('Raw Data'!$F:$F, 'Raw Data'!$B:$B, "Variant", 'Raw Data'!$C:$C, "C. 10-19")/SUMPRODUCT(('Raw Data'!$B$2:$B$9999="Variant")*('Raw Data'!$C$2:$C$9999="C. 10-19")*'Raw Data'!$D$2:$D$9999*'Raw Data'!$H$2:$H$9999/100),"")</f>
        <v>3.241777916</v>
      </c>
      <c r="K11" s="66">
        <f t="shared" si="3"/>
        <v>-0.03226020364</v>
      </c>
      <c r="L11" s="72">
        <f>IFERROR(SUMIFS('Raw Data'!$F:$F, 'Raw Data'!$B:$B, "Control", 'Raw Data'!$C:$C, "D. 20-39")/SUMPRODUCT(('Raw Data'!$B$2:$B$9999="Control")*('Raw Data'!$C$2:$C$9999="D. 20-39")*'Raw Data'!$D$2:$D$9999*'Raw Data'!$H$2:$H$9999/100),"")</f>
        <v>5.043424313</v>
      </c>
      <c r="M11" s="50">
        <f>IFERROR(SUMIFS('Raw Data'!$F:$F, 'Raw Data'!$B:$B, "Variant", 'Raw Data'!$C:$C, "D. 20-39")/SUMPRODUCT(('Raw Data'!$B$2:$B$9999="Variant")*('Raw Data'!$C$2:$C$9999="D. 20-39")*'Raw Data'!$D$2:$D$9999*'Raw Data'!$H$2:$H$9999/100),"")</f>
        <v>4.698724597</v>
      </c>
      <c r="N11" s="83">
        <f t="shared" si="4"/>
        <v>-0.06834636442</v>
      </c>
      <c r="O11" s="71">
        <f>IFERROR(SUMIFS('Raw Data'!$F:$F, 'Raw Data'!$B:$B, "Control", 'Raw Data'!$C:$C, "E. 40-99")/SUMPRODUCT(('Raw Data'!$B$2:$B$9999="Control")*('Raw Data'!$C$2:$C$9999="E. 40-99")*'Raw Data'!$D$2:$D$9999*'Raw Data'!$H$2:$H$9999/100),"")</f>
        <v>7.083224584</v>
      </c>
      <c r="P11" s="50">
        <f>IFERROR(SUMIFS('Raw Data'!$F:$F, 'Raw Data'!$B:$B, "Variant", 'Raw Data'!$C:$C, "E. 40-99")/SUMPRODUCT(('Raw Data'!$B$2:$B$9999="Variant")*('Raw Data'!$C$2:$C$9999="E. 40-99")*'Raw Data'!$D$2:$D$9999*'Raw Data'!$H$2:$H$9999/100),"")</f>
        <v>7.76630887</v>
      </c>
      <c r="Q11" s="70">
        <f t="shared" si="5"/>
        <v>0.09643690911</v>
      </c>
      <c r="R11" s="72">
        <f>IFERROR(SUMIFS('Raw Data'!$F:$F, 'Raw Data'!$B:$B, "Control", 'Raw Data'!$C:$C, "F. 100+")/SUMPRODUCT(('Raw Data'!$B$2:$B$9999="Control")*('Raw Data'!$C$2:$C$9999="F. 100+")*'Raw Data'!$D$2:$D$9999*'Raw Data'!$H$2:$H$9999/100),"")</f>
        <v>7.213406408</v>
      </c>
      <c r="S11" s="50">
        <f>IFERROR(SUMIFS('Raw Data'!$F:$F, 'Raw Data'!$B:$B, "Variant", 'Raw Data'!$C:$C, "F. 100+")/SUMPRODUCT(('Raw Data'!$B$2:$B$9999="Variant")*('Raw Data'!$C$2:$C$9999="F. 100+")*'Raw Data'!$D$2:$D$9999*'Raw Data'!$H$2:$H$9999/100),"")</f>
        <v>11.95959444</v>
      </c>
      <c r="T11" s="47">
        <f t="shared" si="6"/>
        <v>0.6579676463</v>
      </c>
    </row>
    <row r="12">
      <c r="A12" s="34" t="s">
        <v>41</v>
      </c>
      <c r="B12" s="35"/>
      <c r="C12" s="36"/>
      <c r="D12" s="21"/>
      <c r="E12" s="38"/>
      <c r="F12" s="40"/>
      <c r="G12" s="21"/>
      <c r="H12" s="35"/>
      <c r="I12" s="36"/>
      <c r="J12" s="21"/>
      <c r="K12" s="38"/>
      <c r="L12" s="40"/>
      <c r="M12" s="21"/>
      <c r="N12" s="35"/>
      <c r="O12" s="36"/>
      <c r="P12" s="21"/>
      <c r="Q12" s="38"/>
      <c r="R12" s="40"/>
      <c r="S12" s="21"/>
      <c r="T12" s="21"/>
    </row>
    <row r="13">
      <c r="A13" s="23"/>
      <c r="B13" s="42" t="s">
        <v>42</v>
      </c>
      <c r="C13" s="94">
        <f>IFERROR(SUMPRODUCT(('Raw Data'!$B$2:$B$9999="Control")*('Raw Data'!$C$2:$C$9999="A. 0")*'Raw Data'!$D$2:$D$9999*'Raw Data'!$J$2:$J$9999)/SUMIFS('Raw Data'!$D:$D, 'Raw Data'!$B:$B, "Control", 'Raw Data'!$C:$C, "A. 0"),"")</f>
        <v>6.541835244</v>
      </c>
      <c r="D13" s="58">
        <f>IFERROR(SUMPRODUCT(('Raw Data'!$B$2:$B$9999="Variant")*('Raw Data'!$C$2:$C$9999="A. 0")*'Raw Data'!$D$2:$D$9999*'Raw Data'!$J$2:$J$9999)/SUMIFS('Raw Data'!$D:$D, 'Raw Data'!$B:$B, "Variant", 'Raw Data'!$C:$C, "A. 0"),"")</f>
        <v>6.694495211</v>
      </c>
      <c r="E13" s="70">
        <f t="shared" ref="E13:E15" si="7">IFERROR((D13-C13)/ABS(C13),"")</f>
        <v>0.02333595411</v>
      </c>
      <c r="F13" s="95">
        <f>IFERROR(SUMPRODUCT(('Raw Data'!$B$2:$B$9999="Control")*('Raw Data'!$C$2:$C$9999="B. 1-9")*'Raw Data'!$D$2:$D$9999*'Raw Data'!$J$2:$J$9999)/SUMIFS('Raw Data'!$D:$D, 'Raw Data'!$B:$B, "Control", 'Raw Data'!$C:$C, "B. 1-9"),"")</f>
        <v>30.67769206</v>
      </c>
      <c r="G13" s="58">
        <f>IFERROR(SUMPRODUCT(('Raw Data'!$B$2:$B$9999="Variant")*('Raw Data'!$C$2:$C$9999="B. 1-9")*'Raw Data'!$D$2:$D$9999*'Raw Data'!$J$2:$J$9999)/SUMIFS('Raw Data'!$D:$D, 'Raw Data'!$B:$B, "Variant", 'Raw Data'!$C:$C, "B. 1-9"),"")</f>
        <v>31.73679049</v>
      </c>
      <c r="H13" s="68">
        <f t="shared" ref="H13:H15" si="8">IFERROR((G13-F13)/ABS(F13),"")</f>
        <v>0.03452340648</v>
      </c>
      <c r="I13" s="94">
        <f>IFERROR(SUMPRODUCT(('Raw Data'!$B$2:$B$9999="Control")*('Raw Data'!$C$2:$C$9999="C. 10-19")*'Raw Data'!$D$2:$D$9999*'Raw Data'!$J$2:$J$9999)/SUMIFS('Raw Data'!$D:$D, 'Raw Data'!$B:$B, "Control", 'Raw Data'!$C:$C, "C. 10-19"),"")</f>
        <v>54.38794738</v>
      </c>
      <c r="J13" s="58">
        <f>IFERROR(SUMPRODUCT(('Raw Data'!$B$2:$B$9999="Variant")*('Raw Data'!$C$2:$C$9999="C. 10-19")*'Raw Data'!$D$2:$D$9999*'Raw Data'!$J$2:$J$9999)/SUMIFS('Raw Data'!$D:$D, 'Raw Data'!$B:$B, "Variant", 'Raw Data'!$C:$C, "C. 10-19"),"")</f>
        <v>57.6284025</v>
      </c>
      <c r="K13" s="66">
        <f t="shared" ref="K13:K15" si="9">IFERROR((J13-I13)/ABS(I13),"")</f>
        <v>0.05958039012</v>
      </c>
      <c r="L13" s="95">
        <f>IFERROR(SUMPRODUCT(('Raw Data'!$B$2:$B$9999="Control")*('Raw Data'!$C$2:$C$9999="D. 20-39")*'Raw Data'!$D$2:$D$9999*'Raw Data'!$J$2:$J$9999)/SUMIFS('Raw Data'!$D:$D, 'Raw Data'!$B:$B, "Control", 'Raw Data'!$C:$C, "D. 20-39"),"")</f>
        <v>80.31869766</v>
      </c>
      <c r="M13" s="58">
        <f>IFERROR(SUMPRODUCT(('Raw Data'!$B$2:$B$9999="Variant")*('Raw Data'!$C$2:$C$9999="D. 20-39")*'Raw Data'!$D$2:$D$9999*'Raw Data'!$J$2:$J$9999)/SUMIFS('Raw Data'!$D:$D, 'Raw Data'!$B:$B, "Variant", 'Raw Data'!$C:$C, "D. 20-39"),"")</f>
        <v>85.20511222</v>
      </c>
      <c r="N13" s="68">
        <f t="shared" ref="N13:N15" si="10">IFERROR((M13-L13)/ABS(L13),"")</f>
        <v>0.06083782106</v>
      </c>
      <c r="O13" s="94">
        <f>IFERROR(SUMPRODUCT(('Raw Data'!$B$2:$B$9999="Control")*('Raw Data'!$C$2:$C$9999="E. 40-99")*'Raw Data'!$D$2:$D$9999*'Raw Data'!$J$2:$J$9999)/SUMIFS('Raw Data'!$D:$D, 'Raw Data'!$B:$B, "Control", 'Raw Data'!$C:$C, "E. 40-99"),"")</f>
        <v>135.8575897</v>
      </c>
      <c r="P13" s="58">
        <f>IFERROR(SUMPRODUCT(('Raw Data'!$B$2:$B$9999="Variant")*('Raw Data'!$C$2:$C$9999="E. 40-99")*'Raw Data'!$D$2:$D$9999*'Raw Data'!$J$2:$J$9999)/SUMIFS('Raw Data'!$D:$D, 'Raw Data'!$B:$B, "Variant", 'Raw Data'!$C:$C, "E. 40-99"),"")</f>
        <v>139.8387882</v>
      </c>
      <c r="Q13" s="66">
        <f t="shared" ref="Q13:Q15" si="11">IFERROR((P13-O13)/ABS(O13),"")</f>
        <v>0.02930420407</v>
      </c>
      <c r="R13" s="95">
        <f>IFERROR(SUMPRODUCT(('Raw Data'!$B$2:$B$9999="Control")*('Raw Data'!$C$2:$C$9999="F. 100+")*'Raw Data'!$D$2:$D$9999*'Raw Data'!$J$2:$J$9999)/SUMIFS('Raw Data'!$D:$D, 'Raw Data'!$B:$B, "Control", 'Raw Data'!$C:$C, "F. 100+"),"")</f>
        <v>245.6483883</v>
      </c>
      <c r="S13" s="58">
        <f>IFERROR(SUMPRODUCT(('Raw Data'!$B$2:$B$9999="Variant")*('Raw Data'!$C$2:$C$9999="F. 100+")*'Raw Data'!$D$2:$D$9999*'Raw Data'!$J$2:$J$9999)/SUMIFS('Raw Data'!$D:$D, 'Raw Data'!$B:$B, "Variant", 'Raw Data'!$C:$C, "F. 100+"),"")</f>
        <v>260.4605548</v>
      </c>
      <c r="T13" s="47">
        <f t="shared" ref="T13:T15" si="12">IFERROR((S13-R13)/ABS(R13),"")</f>
        <v>0.06029824452</v>
      </c>
    </row>
    <row r="14">
      <c r="A14" s="23"/>
      <c r="B14" s="42" t="s">
        <v>45</v>
      </c>
      <c r="C14" s="94">
        <f>IFERROR(SUMPRODUCT(('Raw Data'!$B$2:$B$9999="Control")*('Raw Data'!$C$2:$C$9999="A. 0")*'Raw Data'!$D$2:$D$9999*'Raw Data'!$K$2:$K$9999)/SUMIFS('Raw Data'!$D:$D, 'Raw Data'!$B:$B, "Control", 'Raw Data'!$C:$C, "A. 0"),"")</f>
        <v>2.793135175</v>
      </c>
      <c r="D14" s="58">
        <f>IFERROR(SUMPRODUCT(('Raw Data'!$B$2:$B$9999="Variant")*('Raw Data'!$C$2:$C$9999="A. 0")*'Raw Data'!$D$2:$D$9999*'Raw Data'!$K$2:$K$9999)/SUMIFS('Raw Data'!$D:$D, 'Raw Data'!$B:$B, "Variant", 'Raw Data'!$C:$C, "A. 0"),"")</f>
        <v>2.764338903</v>
      </c>
      <c r="E14" s="70">
        <f t="shared" si="7"/>
        <v>-0.01030965925</v>
      </c>
      <c r="F14" s="95">
        <f>IFERROR(SUMPRODUCT(('Raw Data'!$B$2:$B$9999="Control")*('Raw Data'!$C$2:$C$9999="B. 1-9")*'Raw Data'!$D$2:$D$9999*'Raw Data'!$K$2:$K$9999)/SUMIFS('Raw Data'!$D:$D, 'Raw Data'!$B:$B, "Control", 'Raw Data'!$C:$C, "B. 1-9"),"")</f>
        <v>14.85961884</v>
      </c>
      <c r="G14" s="58">
        <f>IFERROR(SUMPRODUCT(('Raw Data'!$B$2:$B$9999="Variant")*('Raw Data'!$C$2:$C$9999="B. 1-9")*'Raw Data'!$D$2:$D$9999*'Raw Data'!$K$2:$K$9999)/SUMIFS('Raw Data'!$D:$D, 'Raw Data'!$B:$B, "Variant", 'Raw Data'!$C:$C, "B. 1-9"),"")</f>
        <v>15.05395266</v>
      </c>
      <c r="H14" s="68">
        <f t="shared" si="8"/>
        <v>0.01307798151</v>
      </c>
      <c r="I14" s="94">
        <f>IFERROR(SUMPRODUCT(('Raw Data'!$B$2:$B$9999="Control")*('Raw Data'!$C$2:$C$9999="C. 10-19")*'Raw Data'!$D$2:$D$9999*'Raw Data'!$K$2:$K$9999)/SUMIFS('Raw Data'!$D:$D, 'Raw Data'!$B:$B, "Control", 'Raw Data'!$C:$C, "C. 10-19"),"")</f>
        <v>27.10711139</v>
      </c>
      <c r="J14" s="58">
        <f>IFERROR(SUMPRODUCT(('Raw Data'!$B$2:$B$9999="Variant")*('Raw Data'!$C$2:$C$9999="C. 10-19")*'Raw Data'!$D$2:$D$9999*'Raw Data'!$K$2:$K$9999)/SUMIFS('Raw Data'!$D:$D, 'Raw Data'!$B:$B, "Variant", 'Raw Data'!$C:$C, "C. 10-19"),"")</f>
        <v>28.1969202</v>
      </c>
      <c r="K14" s="70">
        <f t="shared" si="9"/>
        <v>0.04020379722</v>
      </c>
      <c r="L14" s="95">
        <f>IFERROR(SUMPRODUCT(('Raw Data'!$B$2:$B$9999="Control")*('Raw Data'!$C$2:$C$9999="D. 20-39")*'Raw Data'!$D$2:$D$9999*'Raw Data'!$K$2:$K$9999)/SUMIFS('Raw Data'!$D:$D, 'Raw Data'!$B:$B, "Control", 'Raw Data'!$C:$C, "D. 20-39"),"")</f>
        <v>42.37399421</v>
      </c>
      <c r="M14" s="58">
        <f>IFERROR(SUMPRODUCT(('Raw Data'!$B$2:$B$9999="Variant")*('Raw Data'!$C$2:$C$9999="D. 20-39")*'Raw Data'!$D$2:$D$9999*'Raw Data'!$K$2:$K$9999)/SUMIFS('Raw Data'!$D:$D, 'Raw Data'!$B:$B, "Variant", 'Raw Data'!$C:$C, "D. 20-39"),"")</f>
        <v>43.86505842</v>
      </c>
      <c r="N14" s="68">
        <f t="shared" si="10"/>
        <v>0.03518819116</v>
      </c>
      <c r="O14" s="94">
        <f>IFERROR(SUMPRODUCT(('Raw Data'!$B$2:$B$9999="Control")*('Raw Data'!$C$2:$C$9999="E. 40-99")*'Raw Data'!$D$2:$D$9999*'Raw Data'!$K$2:$K$9999)/SUMIFS('Raw Data'!$D:$D, 'Raw Data'!$B:$B, "Control", 'Raw Data'!$C:$C, "E. 40-99"),"")</f>
        <v>78.27131479</v>
      </c>
      <c r="P14" s="58">
        <f>IFERROR(SUMPRODUCT(('Raw Data'!$B$2:$B$9999="Variant")*('Raw Data'!$C$2:$C$9999="E. 40-99")*'Raw Data'!$D$2:$D$9999*'Raw Data'!$K$2:$K$9999)/SUMIFS('Raw Data'!$D:$D, 'Raw Data'!$B:$B, "Variant", 'Raw Data'!$C:$C, "E. 40-99"),"")</f>
        <v>78.73176921</v>
      </c>
      <c r="Q14" s="66">
        <f t="shared" si="11"/>
        <v>0.005882799116</v>
      </c>
      <c r="R14" s="95">
        <f>IFERROR(SUMPRODUCT(('Raw Data'!$B$2:$B$9999="Control")*('Raw Data'!$C$2:$C$9999="F. 100+")*'Raw Data'!$D$2:$D$9999*'Raw Data'!$K$2:$K$9999)/SUMIFS('Raw Data'!$D:$D, 'Raw Data'!$B:$B, "Control", 'Raw Data'!$C:$C, "F. 100+"),"")</f>
        <v>153.2297307</v>
      </c>
      <c r="S14" s="58">
        <f>IFERROR(SUMPRODUCT(('Raw Data'!$B$2:$B$9999="Variant")*('Raw Data'!$C$2:$C$9999="F. 100+")*'Raw Data'!$D$2:$D$9999*'Raw Data'!$K$2:$K$9999)/SUMIFS('Raw Data'!$D:$D, 'Raw Data'!$B:$B, "Variant", 'Raw Data'!$C:$C, "F. 100+"),"")</f>
        <v>157.7976056</v>
      </c>
      <c r="T14" s="61">
        <f t="shared" si="12"/>
        <v>0.02981063078</v>
      </c>
    </row>
    <row r="15">
      <c r="A15" s="23"/>
      <c r="B15" s="42" t="s">
        <v>48</v>
      </c>
      <c r="C15" s="94">
        <f>IFERROR(SUMPRODUCT(('Raw Data'!$B$2:$B$9999="Control")*('Raw Data'!$C$2:$C$9999="A. 0")*'Raw Data'!$D$2:$D$9999*'Raw Data'!$L$2:$L$9999)/SUMIFS('Raw Data'!$D:$D, 'Raw Data'!$B:$B, "Control", 'Raw Data'!$C:$C, "A. 0"),"")</f>
        <v>0.1191411318</v>
      </c>
      <c r="D15" s="58">
        <f>IFERROR(SUMPRODUCT(('Raw Data'!$B$2:$B$9999="Variant")*('Raw Data'!$C$2:$C$9999="A. 0")*'Raw Data'!$D$2:$D$9999*'Raw Data'!$L$2:$L$9999)/SUMIFS('Raw Data'!$D:$D, 'Raw Data'!$B:$B, "Variant", 'Raw Data'!$C:$C, "A. 0"),"")</f>
        <v>0.09715867159</v>
      </c>
      <c r="E15" s="49">
        <f t="shared" si="7"/>
        <v>-0.1845077339</v>
      </c>
      <c r="F15" s="95">
        <f>IFERROR(SUMPRODUCT(('Raw Data'!$B$2:$B$9999="Control")*('Raw Data'!$C$2:$C$9999="B. 1-9")*'Raw Data'!$D$2:$D$9999*'Raw Data'!$L$2:$L$9999)/SUMIFS('Raw Data'!$D:$D, 'Raw Data'!$B:$B, "Control", 'Raw Data'!$C:$C, "B. 1-9"),"")</f>
        <v>5.82721576</v>
      </c>
      <c r="G15" s="58">
        <f>IFERROR(SUMPRODUCT(('Raw Data'!$B$2:$B$9999="Variant")*('Raw Data'!$C$2:$C$9999="B. 1-9")*'Raw Data'!$D$2:$D$9999*'Raw Data'!$L$2:$L$9999)/SUMIFS('Raw Data'!$D:$D, 'Raw Data'!$B:$B, "Variant", 'Raw Data'!$C:$C, "B. 1-9"),"")</f>
        <v>5.838929457</v>
      </c>
      <c r="H15" s="68">
        <f t="shared" si="8"/>
        <v>0.002010170482</v>
      </c>
      <c r="I15" s="94">
        <f>IFERROR(SUMPRODUCT(('Raw Data'!$B$2:$B$9999="Control")*('Raw Data'!$C$2:$C$9999="C. 10-19")*'Raw Data'!$D$2:$D$9999*'Raw Data'!$L$2:$L$9999)/SUMIFS('Raw Data'!$D:$D, 'Raw Data'!$B:$B, "Control", 'Raw Data'!$C:$C, "C. 10-19"),"")</f>
        <v>14.72656609</v>
      </c>
      <c r="J15" s="58">
        <f>IFERROR(SUMPRODUCT(('Raw Data'!$B$2:$B$9999="Variant")*('Raw Data'!$C$2:$C$9999="C. 10-19")*'Raw Data'!$D$2:$D$9999*'Raw Data'!$L$2:$L$9999)/SUMIFS('Raw Data'!$D:$D, 'Raw Data'!$B:$B, "Variant", 'Raw Data'!$C:$C, "C. 10-19"),"")</f>
        <v>14.85649976</v>
      </c>
      <c r="K15" s="66">
        <f t="shared" si="9"/>
        <v>0.008823079958</v>
      </c>
      <c r="L15" s="95">
        <f>IFERROR(SUMPRODUCT(('Raw Data'!$B$2:$B$9999="Control")*('Raw Data'!$C$2:$C$9999="D. 20-39")*'Raw Data'!$D$2:$D$9999*'Raw Data'!$L$2:$L$9999)/SUMIFS('Raw Data'!$D:$D, 'Raw Data'!$B:$B, "Control", 'Raw Data'!$C:$C, "D. 20-39"),"")</f>
        <v>28.5637843</v>
      </c>
      <c r="M15" s="58">
        <f>IFERROR(SUMPRODUCT(('Raw Data'!$B$2:$B$9999="Variant")*('Raw Data'!$C$2:$C$9999="D. 20-39")*'Raw Data'!$D$2:$D$9999*'Raw Data'!$L$2:$L$9999)/SUMIFS('Raw Data'!$D:$D, 'Raw Data'!$B:$B, "Variant", 'Raw Data'!$C:$C, "D. 20-39"),"")</f>
        <v>28.91844852</v>
      </c>
      <c r="N15" s="68">
        <f t="shared" si="10"/>
        <v>0.01241656973</v>
      </c>
      <c r="O15" s="94">
        <f>IFERROR(SUMPRODUCT(('Raw Data'!$B$2:$B$9999="Control")*('Raw Data'!$C$2:$C$9999="E. 40-99")*'Raw Data'!$D$2:$D$9999*'Raw Data'!$L$2:$L$9999)/SUMIFS('Raw Data'!$D:$D, 'Raw Data'!$B:$B, "Control", 'Raw Data'!$C:$C, "E. 40-99"),"")</f>
        <v>59.008855</v>
      </c>
      <c r="P15" s="58">
        <f>IFERROR(SUMPRODUCT(('Raw Data'!$B$2:$B$9999="Variant")*('Raw Data'!$C$2:$C$9999="E. 40-99")*'Raw Data'!$D$2:$D$9999*'Raw Data'!$L$2:$L$9999)/SUMIFS('Raw Data'!$D:$D, 'Raw Data'!$B:$B, "Variant", 'Raw Data'!$C:$C, "E. 40-99"),"")</f>
        <v>58.84794034</v>
      </c>
      <c r="Q15" s="66">
        <f t="shared" si="11"/>
        <v>-0.002726957755</v>
      </c>
      <c r="R15" s="95">
        <f>IFERROR(SUMPRODUCT(('Raw Data'!$B$2:$B$9999="Control")*('Raw Data'!$C$2:$C$9999="F. 100+")*'Raw Data'!$D$2:$D$9999*'Raw Data'!$L$2:$L$9999)/SUMIFS('Raw Data'!$D:$D, 'Raw Data'!$B:$B, "Control", 'Raw Data'!$C:$C, "F. 100+"),"")</f>
        <v>126.8800281</v>
      </c>
      <c r="S15" s="58">
        <f>IFERROR(SUMPRODUCT(('Raw Data'!$B$2:$B$9999="Variant")*('Raw Data'!$C$2:$C$9999="F. 100+")*'Raw Data'!$D$2:$D$9999*'Raw Data'!$L$2:$L$9999)/SUMIFS('Raw Data'!$D:$D, 'Raw Data'!$B:$B, "Variant", 'Raw Data'!$C:$C, "F. 100+"),"")</f>
        <v>128.3006701</v>
      </c>
      <c r="T15" s="61">
        <f t="shared" si="12"/>
        <v>0.01119673417</v>
      </c>
    </row>
    <row r="16" ht="15.75" customHeight="1">
      <c r="A16" s="34" t="s">
        <v>66</v>
      </c>
      <c r="B16" s="35"/>
      <c r="C16" s="36"/>
      <c r="D16" s="21"/>
      <c r="E16" s="38"/>
      <c r="F16" s="40"/>
      <c r="G16" s="21"/>
      <c r="H16" s="35"/>
      <c r="I16" s="36"/>
      <c r="J16" s="21"/>
      <c r="K16" s="38"/>
      <c r="L16" s="40"/>
      <c r="M16" s="21"/>
      <c r="N16" s="35"/>
      <c r="O16" s="36"/>
      <c r="P16" s="21"/>
      <c r="Q16" s="38"/>
      <c r="R16" s="40"/>
      <c r="S16" s="21"/>
      <c r="T16" s="21"/>
    </row>
    <row r="17" ht="15.75" customHeight="1">
      <c r="A17" s="23"/>
      <c r="B17" s="42" t="s">
        <v>69</v>
      </c>
      <c r="C17" s="94">
        <f>IFERROR(SUMPRODUCT(('Raw Data'!$B$2:$B$9999="Control")*('Raw Data'!$C$2:$C$9999="A. 0")*'Raw Data'!$D$2:$D$9999*'Raw Data'!$AD$2:$AD$9999)/SUMIFS('Raw Data'!$D:$D, 'Raw Data'!$B:$B, "Control", 'Raw Data'!$C:$C, "A. 0"),"")</f>
        <v>0</v>
      </c>
      <c r="D17" s="58">
        <f>IFERROR(SUMPRODUCT(('Raw Data'!$B$2:$B$9999="Variant")*('Raw Data'!$C$2:$C$9999="A. 0")*'Raw Data'!$D$2:$D$9999*'Raw Data'!$AD$2:$AD$9999)/SUMIFS('Raw Data'!$D:$D, 'Raw Data'!$B:$B, "Variant", 'Raw Data'!$C:$C, "A. 0"),"")</f>
        <v>0</v>
      </c>
      <c r="E17" s="49" t="str">
        <f t="shared" ref="E17:E21" si="13">IFERROR((D17-C17)/ABS(C17),"")</f>
        <v/>
      </c>
      <c r="F17" s="95">
        <f>IFERROR(SUMPRODUCT(('Raw Data'!$B$2:$B$9999="Control")*('Raw Data'!$C$2:$C$9999="B. 1-9")*'Raw Data'!$D$2:$D$9999*'Raw Data'!$AD$2:$AD$9999)/SUMIFS('Raw Data'!$D:$D, 'Raw Data'!$B:$B, "Control", 'Raw Data'!$C:$C, "B. 1-9"),"")</f>
        <v>4.077776193</v>
      </c>
      <c r="G17" s="58">
        <f>IFERROR(SUMPRODUCT(('Raw Data'!$B$2:$B$9999="Variant")*('Raw Data'!$C$2:$C$9999="B. 1-9")*'Raw Data'!$D$2:$D$9999*'Raw Data'!$AD$2:$AD$9999)/SUMIFS('Raw Data'!$D:$D, 'Raw Data'!$B:$B, "Variant", 'Raw Data'!$C:$C, "B. 1-9"),"")</f>
        <v>4.096807442</v>
      </c>
      <c r="H17" s="68">
        <f t="shared" ref="H17:H21" si="14">IFERROR((G17-F17)/ABS(F17),"")</f>
        <v>0.004667065554</v>
      </c>
      <c r="I17" s="94">
        <f>IFERROR(SUMPRODUCT(('Raw Data'!$B$2:$B$9999="Control")*('Raw Data'!$C$2:$C$9999="C. 10-19")*'Raw Data'!$D$2:$D$9999*'Raw Data'!$AD$2:$AD$9999)/SUMIFS('Raw Data'!$D:$D, 'Raw Data'!$B:$B, "Control", 'Raw Data'!$C:$C, "C. 10-19"),"")</f>
        <v>9.499319384</v>
      </c>
      <c r="J17" s="58">
        <f>IFERROR(SUMPRODUCT(('Raw Data'!$B$2:$B$9999="Variant")*('Raw Data'!$C$2:$C$9999="C. 10-19")*'Raw Data'!$D$2:$D$9999*'Raw Data'!$AD$2:$AD$9999)/SUMIFS('Raw Data'!$D:$D, 'Raw Data'!$B:$B, "Variant", 'Raw Data'!$C:$C, "C. 10-19"),"")</f>
        <v>9.551542997</v>
      </c>
      <c r="K17" s="66">
        <f t="shared" ref="K17:K21" si="15">IFERROR((J17-I17)/ABS(I17),"")</f>
        <v>0.005497616372</v>
      </c>
      <c r="L17" s="95">
        <f>IFERROR(SUMPRODUCT(('Raw Data'!$B$2:$B$9999="Control")*('Raw Data'!$C$2:$C$9999="D. 20-39")*'Raw Data'!$D$2:$D$9999*'Raw Data'!$AD$2:$AD$9999)/SUMIFS('Raw Data'!$D:$D, 'Raw Data'!$B:$B, "Control", 'Raw Data'!$C:$C, "D. 20-39"),"")</f>
        <v>17.94538118</v>
      </c>
      <c r="M17" s="58">
        <f>IFERROR(SUMPRODUCT(('Raw Data'!$B$2:$B$9999="Variant")*('Raw Data'!$C$2:$C$9999="D. 20-39")*'Raw Data'!$D$2:$D$9999*'Raw Data'!$AD$2:$AD$9999)/SUMIFS('Raw Data'!$D:$D, 'Raw Data'!$B:$B, "Variant", 'Raw Data'!$C:$C, "D. 20-39"),"")</f>
        <v>17.77448792</v>
      </c>
      <c r="N17" s="68">
        <f t="shared" ref="N17:N21" si="16">IFERROR((M17-L17)/ABS(L17),"")</f>
        <v>-0.009522966041</v>
      </c>
      <c r="O17" s="94">
        <f>IFERROR(SUMPRODUCT(('Raw Data'!$B$2:$B$9999="Control")*('Raw Data'!$C$2:$C$9999="E. 40-99")*'Raw Data'!$D$2:$D$9999*'Raw Data'!$AD$2:$AD$9999)/SUMIFS('Raw Data'!$D:$D, 'Raw Data'!$B:$B, "Control", 'Raw Data'!$C:$C, "E. 40-99"),"")</f>
        <v>34.32752353</v>
      </c>
      <c r="P17" s="58">
        <f>IFERROR(SUMPRODUCT(('Raw Data'!$B$2:$B$9999="Variant")*('Raw Data'!$C$2:$C$9999="E. 40-99")*'Raw Data'!$D$2:$D$9999*'Raw Data'!$AD$2:$AD$9999)/SUMIFS('Raw Data'!$D:$D, 'Raw Data'!$B:$B, "Variant", 'Raw Data'!$C:$C, "E. 40-99"),"")</f>
        <v>33.11109431</v>
      </c>
      <c r="Q17" s="66">
        <f t="shared" ref="Q17:Q21" si="17">IFERROR((P17-O17)/ABS(O17),"")</f>
        <v>-0.03543597384</v>
      </c>
      <c r="R17" s="95">
        <f>IFERROR(SUMPRODUCT(('Raw Data'!$B$2:$B$9999="Control")*('Raw Data'!$C$2:$C$9999="F. 100+")*'Raw Data'!$D$2:$D$9999*'Raw Data'!$AD$2:$AD$9999)/SUMIFS('Raw Data'!$D:$D, 'Raw Data'!$B:$B, "Control", 'Raw Data'!$C:$C, "F. 100+"),"")</f>
        <v>66.79209405</v>
      </c>
      <c r="S17" s="58">
        <f>IFERROR(SUMPRODUCT(('Raw Data'!$B$2:$B$9999="Variant")*('Raw Data'!$C$2:$C$9999="F. 100+")*'Raw Data'!$D$2:$D$9999*'Raw Data'!$AD$2:$AD$9999)/SUMIFS('Raw Data'!$D:$D, 'Raw Data'!$B:$B, "Variant", 'Raw Data'!$C:$C, "F. 100+"),"")</f>
        <v>64.34473752</v>
      </c>
      <c r="T17" s="47">
        <f t="shared" ref="T17:T21" si="18">IFERROR((S17-R17)/ABS(R17),"")</f>
        <v>-0.03664141049</v>
      </c>
    </row>
    <row r="18" ht="15.75" customHeight="1">
      <c r="A18" s="23"/>
      <c r="B18" s="42" t="s">
        <v>70</v>
      </c>
      <c r="C18" s="94">
        <f>IFERROR(SUMPRODUCT(('Raw Data'!$B$2:$B$9999="Control")*('Raw Data'!$C$2:$C$9999="A. 0")*'Raw Data'!$D$2:$D$9999*'Raw Data'!$AE$2:$AE$9999)/SUMIFS('Raw Data'!$D:$D, 'Raw Data'!$B:$B, "Control", 'Raw Data'!$C:$C, "A. 0"),"")</f>
        <v>0</v>
      </c>
      <c r="D18" s="58">
        <f>IFERROR(SUMPRODUCT(('Raw Data'!$B$2:$B$9999="Variant")*('Raw Data'!$C$2:$C$9999="A. 0")*'Raw Data'!$D$2:$D$9999*'Raw Data'!$AE$2:$AE$9999)/SUMIFS('Raw Data'!$D:$D, 'Raw Data'!$B:$B, "Variant", 'Raw Data'!$C:$C, "A. 0"),"")</f>
        <v>0</v>
      </c>
      <c r="E18" s="49" t="str">
        <f t="shared" si="13"/>
        <v/>
      </c>
      <c r="F18" s="95">
        <f>IFERROR(SUMPRODUCT(('Raw Data'!$B$2:$B$9999="Control")*('Raw Data'!$C$2:$C$9999="B. 1-9")*'Raw Data'!$D$2:$D$9999*'Raw Data'!$AE$2:$AE$9999)/SUMIFS('Raw Data'!$D:$D, 'Raw Data'!$B:$B, "Control", 'Raw Data'!$C:$C, "B. 1-9"),"")</f>
        <v>1.139385173</v>
      </c>
      <c r="G18" s="58">
        <f>IFERROR(SUMPRODUCT(('Raw Data'!$B$2:$B$9999="Variant")*('Raw Data'!$C$2:$C$9999="B. 1-9")*'Raw Data'!$D$2:$D$9999*'Raw Data'!$AE$2:$AE$9999)/SUMIFS('Raw Data'!$D:$D, 'Raw Data'!$B:$B, "Variant", 'Raw Data'!$C:$C, "B. 1-9"),"")</f>
        <v>1.145154796</v>
      </c>
      <c r="H18" s="55">
        <f t="shared" si="14"/>
        <v>0.005063804003</v>
      </c>
      <c r="I18" s="94">
        <f>IFERROR(SUMPRODUCT(('Raw Data'!$B$2:$B$9999="Control")*('Raw Data'!$C$2:$C$9999="C. 10-19")*'Raw Data'!$D$2:$D$9999*'Raw Data'!$AE$2:$AE$9999)/SUMIFS('Raw Data'!$D:$D, 'Raw Data'!$B:$B, "Control", 'Raw Data'!$C:$C, "C. 10-19"),"")</f>
        <v>3.712366871</v>
      </c>
      <c r="J18" s="58">
        <f>IFERROR(SUMPRODUCT(('Raw Data'!$B$2:$B$9999="Variant")*('Raw Data'!$C$2:$C$9999="C. 10-19")*'Raw Data'!$D$2:$D$9999*'Raw Data'!$AE$2:$AE$9999)/SUMIFS('Raw Data'!$D:$D, 'Raw Data'!$B:$B, "Variant", 'Raw Data'!$C:$C, "C. 10-19"),"")</f>
        <v>3.597973391</v>
      </c>
      <c r="K18" s="66">
        <f t="shared" si="15"/>
        <v>-0.03081416353</v>
      </c>
      <c r="L18" s="95">
        <f>IFERROR(SUMPRODUCT(('Raw Data'!$B$2:$B$9999="Control")*('Raw Data'!$C$2:$C$9999="D. 20-39")*'Raw Data'!$D$2:$D$9999*'Raw Data'!$AE$2:$AE$9999)/SUMIFS('Raw Data'!$D:$D, 'Raw Data'!$B:$B, "Control", 'Raw Data'!$C:$C, "D. 20-39"),"")</f>
        <v>7.431695791</v>
      </c>
      <c r="M18" s="58">
        <f>IFERROR(SUMPRODUCT(('Raw Data'!$B$2:$B$9999="Variant")*('Raw Data'!$C$2:$C$9999="D. 20-39")*'Raw Data'!$D$2:$D$9999*'Raw Data'!$AE$2:$AE$9999)/SUMIFS('Raw Data'!$D:$D, 'Raw Data'!$B:$B, "Variant", 'Raw Data'!$C:$C, "D. 20-39"),"")</f>
        <v>7.161761179</v>
      </c>
      <c r="N18" s="83">
        <f t="shared" si="16"/>
        <v>-0.03632207502</v>
      </c>
      <c r="O18" s="94">
        <f>IFERROR(SUMPRODUCT(('Raw Data'!$B$2:$B$9999="Control")*('Raw Data'!$C$2:$C$9999="E. 40-99")*'Raw Data'!$D$2:$D$9999*'Raw Data'!$AE$2:$AE$9999)/SUMIFS('Raw Data'!$D:$D, 'Raw Data'!$B:$B, "Control", 'Raw Data'!$C:$C, "E. 40-99"),"")</f>
        <v>13.01691886</v>
      </c>
      <c r="P18" s="58">
        <f>IFERROR(SUMPRODUCT(('Raw Data'!$B$2:$B$9999="Variant")*('Raw Data'!$C$2:$C$9999="E. 40-99")*'Raw Data'!$D$2:$D$9999*'Raw Data'!$AE$2:$AE$9999)/SUMIFS('Raw Data'!$D:$D, 'Raw Data'!$B:$B, "Variant", 'Raw Data'!$C:$C, "E. 40-99"),"")</f>
        <v>12.61868033</v>
      </c>
      <c r="Q18" s="66">
        <f t="shared" si="17"/>
        <v>-0.03059391703</v>
      </c>
      <c r="R18" s="95">
        <f>IFERROR(SUMPRODUCT(('Raw Data'!$B$2:$B$9999="Control")*('Raw Data'!$C$2:$C$9999="F. 100+")*'Raw Data'!$D$2:$D$9999*'Raw Data'!$AE$2:$AE$9999)/SUMIFS('Raw Data'!$D:$D, 'Raw Data'!$B:$B, "Control", 'Raw Data'!$C:$C, "F. 100+"),"")</f>
        <v>23.05546624</v>
      </c>
      <c r="S18" s="58">
        <f>IFERROR(SUMPRODUCT(('Raw Data'!$B$2:$B$9999="Variant")*('Raw Data'!$C$2:$C$9999="F. 100+")*'Raw Data'!$D$2:$D$9999*'Raw Data'!$AE$2:$AE$9999)/SUMIFS('Raw Data'!$D:$D, 'Raw Data'!$B:$B, "Variant", 'Raw Data'!$C:$C, "F. 100+"),"")</f>
        <v>21.76099018</v>
      </c>
      <c r="T18" s="47">
        <f t="shared" si="18"/>
        <v>-0.05614616686</v>
      </c>
    </row>
    <row r="19" ht="15.75" customHeight="1">
      <c r="A19" s="23"/>
      <c r="B19" s="42" t="s">
        <v>71</v>
      </c>
      <c r="C19" s="94">
        <f>IFERROR(SUMPRODUCT(('Raw Data'!$B$2:$B$9999="Control")*('Raw Data'!$C$2:$C$9999="A. 0")*'Raw Data'!$D$2:$D$9999*'Raw Data'!$AF$2:$AF$9999)/SUMIFS('Raw Data'!$D:$D, 'Raw Data'!$B:$B, "Control", 'Raw Data'!$C:$C, "A. 0"),"")</f>
        <v>0</v>
      </c>
      <c r="D19" s="58">
        <f>IFERROR(SUMPRODUCT(('Raw Data'!$B$2:$B$9999="Variant")*('Raw Data'!$C$2:$C$9999="A. 0")*'Raw Data'!$D$2:$D$9999*'Raw Data'!$AF$2:$AF$9999)/SUMIFS('Raw Data'!$D:$D, 'Raw Data'!$B:$B, "Variant", 'Raw Data'!$C:$C, "A. 0"),"")</f>
        <v>0</v>
      </c>
      <c r="E19" s="49" t="str">
        <f t="shared" si="13"/>
        <v/>
      </c>
      <c r="F19" s="95">
        <f>IFERROR(SUMPRODUCT(('Raw Data'!$B$2:$B$9999="Control")*('Raw Data'!$C$2:$C$9999="B. 1-9")*'Raw Data'!$D$2:$D$9999*'Raw Data'!$AF$2:$AF$9999)/SUMIFS('Raw Data'!$D:$D, 'Raw Data'!$B:$B, "Control", 'Raw Data'!$C:$C, "B. 1-9"),"")</f>
        <v>3</v>
      </c>
      <c r="G19" s="58">
        <f>IFERROR(SUMPRODUCT(('Raw Data'!$B$2:$B$9999="Variant")*('Raw Data'!$C$2:$C$9999="B. 1-9")*'Raw Data'!$D$2:$D$9999*'Raw Data'!$AF$2:$AF$9999)/SUMIFS('Raw Data'!$D:$D, 'Raw Data'!$B:$B, "Variant", 'Raw Data'!$C:$C, "B. 1-9"),"")</f>
        <v>3</v>
      </c>
      <c r="H19" s="55">
        <f t="shared" si="14"/>
        <v>0</v>
      </c>
      <c r="I19" s="94">
        <f>IFERROR(SUMPRODUCT(('Raw Data'!$B$2:$B$9999="Control")*('Raw Data'!$C$2:$C$9999="C. 10-19")*'Raw Data'!$D$2:$D$9999*'Raw Data'!$AF$2:$AF$9999)/SUMIFS('Raw Data'!$D:$D, 'Raw Data'!$B:$B, "Control", 'Raw Data'!$C:$C, "C. 10-19"),"")</f>
        <v>7.557749655</v>
      </c>
      <c r="J19" s="58">
        <f>IFERROR(SUMPRODUCT(('Raw Data'!$B$2:$B$9999="Variant")*('Raw Data'!$C$2:$C$9999="C. 10-19")*'Raw Data'!$D$2:$D$9999*'Raw Data'!$AF$2:$AF$9999)/SUMIFS('Raw Data'!$D:$D, 'Raw Data'!$B:$B, "Variant", 'Raw Data'!$C:$C, "C. 10-19"),"")</f>
        <v>7.752149246</v>
      </c>
      <c r="K19" s="66">
        <f t="shared" si="15"/>
        <v>0.025721888</v>
      </c>
      <c r="L19" s="95">
        <f>IFERROR(SUMPRODUCT(('Raw Data'!$B$2:$B$9999="Control")*('Raw Data'!$C$2:$C$9999="D. 20-39")*'Raw Data'!$D$2:$D$9999*'Raw Data'!$AF$2:$AF$9999)/SUMIFS('Raw Data'!$D:$D, 'Raw Data'!$B:$B, "Control", 'Raw Data'!$C:$C, "D. 20-39"),"")</f>
        <v>13.72315639</v>
      </c>
      <c r="M19" s="58">
        <f>IFERROR(SUMPRODUCT(('Raw Data'!$B$2:$B$9999="Variant")*('Raw Data'!$C$2:$C$9999="D. 20-39")*'Raw Data'!$D$2:$D$9999*'Raw Data'!$AF$2:$AF$9999)/SUMIFS('Raw Data'!$D:$D, 'Raw Data'!$B:$B, "Variant", 'Raw Data'!$C:$C, "D. 20-39"),"")</f>
        <v>13.61065616</v>
      </c>
      <c r="N19" s="83">
        <f t="shared" si="16"/>
        <v>-0.008197839376</v>
      </c>
      <c r="O19" s="94">
        <f>IFERROR(SUMPRODUCT(('Raw Data'!$B$2:$B$9999="Control")*('Raw Data'!$C$2:$C$9999="E. 40-99")*'Raw Data'!$D$2:$D$9999*'Raw Data'!$AF$2:$AF$9999)/SUMIFS('Raw Data'!$D:$D, 'Raw Data'!$B:$B, "Control", 'Raw Data'!$C:$C, "E. 40-99"),"")</f>
        <v>24.89217205</v>
      </c>
      <c r="P19" s="58">
        <f>IFERROR(SUMPRODUCT(('Raw Data'!$B$2:$B$9999="Variant")*('Raw Data'!$C$2:$C$9999="E. 40-99")*'Raw Data'!$D$2:$D$9999*'Raw Data'!$AF$2:$AF$9999)/SUMIFS('Raw Data'!$D:$D, 'Raw Data'!$B:$B, "Variant", 'Raw Data'!$C:$C, "E. 40-99"),"")</f>
        <v>23.9699307</v>
      </c>
      <c r="Q19" s="66">
        <f t="shared" si="17"/>
        <v>-0.03704945251</v>
      </c>
      <c r="R19" s="95">
        <f>IFERROR(SUMPRODUCT(('Raw Data'!$B$2:$B$9999="Control")*('Raw Data'!$C$2:$C$9999="F. 100+")*'Raw Data'!$D$2:$D$9999*'Raw Data'!$AF$2:$AF$9999)/SUMIFS('Raw Data'!$D:$D, 'Raw Data'!$B:$B, "Control", 'Raw Data'!$C:$C, "F. 100+"),"")</f>
        <v>46.42041801</v>
      </c>
      <c r="S19" s="58">
        <f>IFERROR(SUMPRODUCT(('Raw Data'!$B$2:$B$9999="Variant")*('Raw Data'!$C$2:$C$9999="F. 100+")*'Raw Data'!$D$2:$D$9999*'Raw Data'!$AF$2:$AF$9999)/SUMIFS('Raw Data'!$D:$D, 'Raw Data'!$B:$B, "Variant", 'Raw Data'!$C:$C, "F. 100+"),"")</f>
        <v>42.66495945</v>
      </c>
      <c r="T19" s="47">
        <f t="shared" si="18"/>
        <v>-0.0809010068</v>
      </c>
    </row>
    <row r="20" ht="15.75" customHeight="1">
      <c r="A20" s="23"/>
      <c r="B20" s="42" t="s">
        <v>72</v>
      </c>
      <c r="C20" s="94">
        <f>IFERROR(SUMPRODUCT(('Raw Data'!$B$2:$B$9999="Control")*('Raw Data'!$C$2:$C$9999="A. 0")*'Raw Data'!$D$2:$D$9999*'Raw Data'!$AG$2:$AG$9999)/SUMIFS('Raw Data'!$D:$D, 'Raw Data'!$B:$B, "Control", 'Raw Data'!$C:$C, "A. 0"),"")</f>
        <v>0</v>
      </c>
      <c r="D20" s="58">
        <f>IFERROR(SUMPRODUCT(('Raw Data'!$B$2:$B$9999="Variant")*('Raw Data'!$C$2:$C$9999="A. 0")*'Raw Data'!$D$2:$D$9999*'Raw Data'!$AG$2:$AG$9999)/SUMIFS('Raw Data'!$D:$D, 'Raw Data'!$B:$B, "Variant", 'Raw Data'!$C:$C, "A. 0"),"")</f>
        <v>0</v>
      </c>
      <c r="E20" s="49" t="str">
        <f t="shared" si="13"/>
        <v/>
      </c>
      <c r="F20" s="95">
        <f>IFERROR(SUMPRODUCT(('Raw Data'!$B$2:$B$9999="Control")*('Raw Data'!$C$2:$C$9999="B. 1-9")*'Raw Data'!$D$2:$D$9999*'Raw Data'!$AG$2:$AG$9999)/SUMIFS('Raw Data'!$D:$D, 'Raw Data'!$B:$B, "Control", 'Raw Data'!$C:$C, "B. 1-9"),"")</f>
        <v>5.281968749</v>
      </c>
      <c r="G20" s="58">
        <f>IFERROR(SUMPRODUCT(('Raw Data'!$B$2:$B$9999="Variant")*('Raw Data'!$C$2:$C$9999="B. 1-9")*'Raw Data'!$D$2:$D$9999*'Raw Data'!$AG$2:$AG$9999)/SUMIFS('Raw Data'!$D:$D, 'Raw Data'!$B:$B, "Variant", 'Raw Data'!$C:$C, "B. 1-9"),"")</f>
        <v>5.145154796</v>
      </c>
      <c r="H20" s="55">
        <f t="shared" si="14"/>
        <v>-0.02590207542</v>
      </c>
      <c r="I20" s="94">
        <f>IFERROR(SUMPRODUCT(('Raw Data'!$B$2:$B$9999="Control")*('Raw Data'!$C$2:$C$9999="C. 10-19")*'Raw Data'!$D$2:$D$9999*'Raw Data'!$AG$2:$AG$9999)/SUMIFS('Raw Data'!$D:$D, 'Raw Data'!$B:$B, "Control", 'Raw Data'!$C:$C, "C. 10-19"),"")</f>
        <v>12.98052876</v>
      </c>
      <c r="J20" s="58">
        <f>IFERROR(SUMPRODUCT(('Raw Data'!$B$2:$B$9999="Variant")*('Raw Data'!$C$2:$C$9999="C. 10-19")*'Raw Data'!$D$2:$D$9999*'Raw Data'!$AG$2:$AG$9999)/SUMIFS('Raw Data'!$D:$D, 'Raw Data'!$B:$B, "Variant", 'Raw Data'!$C:$C, "C. 10-19"),"")</f>
        <v>13.01370067</v>
      </c>
      <c r="K20" s="66">
        <f t="shared" si="15"/>
        <v>0.002555513052</v>
      </c>
      <c r="L20" s="95">
        <f>IFERROR(SUMPRODUCT(('Raw Data'!$B$2:$B$9999="Control")*('Raw Data'!$C$2:$C$9999="D. 20-39")*'Raw Data'!$D$2:$D$9999*'Raw Data'!$AG$2:$AG$9999)/SUMIFS('Raw Data'!$D:$D, 'Raw Data'!$B:$B, "Control", 'Raw Data'!$C:$C, "D. 20-39"),"")</f>
        <v>24.42605415</v>
      </c>
      <c r="M20" s="58">
        <f>IFERROR(SUMPRODUCT(('Raw Data'!$B$2:$B$9999="Variant")*('Raw Data'!$C$2:$C$9999="D. 20-39")*'Raw Data'!$D$2:$D$9999*'Raw Data'!$AG$2:$AG$9999)/SUMIFS('Raw Data'!$D:$D, 'Raw Data'!$B:$B, "Variant", 'Raw Data'!$C:$C, "D. 20-39"),"")</f>
        <v>24.35134487</v>
      </c>
      <c r="N20" s="68">
        <f t="shared" si="16"/>
        <v>-0.003058589642</v>
      </c>
      <c r="O20" s="94">
        <f>IFERROR(SUMPRODUCT(('Raw Data'!$B$2:$B$9999="Control")*('Raw Data'!$C$2:$C$9999="E. 40-99")*'Raw Data'!$D$2:$D$9999*'Raw Data'!$AG$2:$AG$9999)/SUMIFS('Raw Data'!$D:$D, 'Raw Data'!$B:$B, "Control", 'Raw Data'!$C:$C, "E. 40-99"),"")</f>
        <v>46.41463124</v>
      </c>
      <c r="P20" s="58">
        <f>IFERROR(SUMPRODUCT(('Raw Data'!$B$2:$B$9999="Variant")*('Raw Data'!$C$2:$C$9999="E. 40-99")*'Raw Data'!$D$2:$D$9999*'Raw Data'!$AG$2:$AG$9999)/SUMIFS('Raw Data'!$D:$D, 'Raw Data'!$B:$B, "Variant", 'Raw Data'!$C:$C, "E. 40-99"),"")</f>
        <v>44.34630913</v>
      </c>
      <c r="Q20" s="66">
        <f t="shared" si="17"/>
        <v>-0.04456185594</v>
      </c>
      <c r="R20" s="95">
        <f>IFERROR(SUMPRODUCT(('Raw Data'!$B$2:$B$9999="Control")*('Raw Data'!$C$2:$C$9999="F. 100+")*'Raw Data'!$D$2:$D$9999*'Raw Data'!$AG$2:$AG$9999)/SUMIFS('Raw Data'!$D:$D, 'Raw Data'!$B:$B, "Control", 'Raw Data'!$C:$C, "F. 100+"),"")</f>
        <v>96.77773312</v>
      </c>
      <c r="S20" s="58">
        <f>IFERROR(SUMPRODUCT(('Raw Data'!$B$2:$B$9999="Variant")*('Raw Data'!$C$2:$C$9999="F. 100+")*'Raw Data'!$D$2:$D$9999*'Raw Data'!$AG$2:$AG$9999)/SUMIFS('Raw Data'!$D:$D, 'Raw Data'!$B:$B, "Variant", 'Raw Data'!$C:$C, "F. 100+"),"")</f>
        <v>90.08151942</v>
      </c>
      <c r="T20" s="47">
        <f t="shared" si="18"/>
        <v>-0.0691916775</v>
      </c>
    </row>
    <row r="21" ht="15.75" customHeight="1">
      <c r="A21" s="23"/>
      <c r="B21" s="42" t="s">
        <v>73</v>
      </c>
      <c r="C21" s="94">
        <f>IFERROR(SUMPRODUCT(('Raw Data'!$B$2:$B$9999="Control")*('Raw Data'!$C$2:$C$9999="A. 0")*'Raw Data'!$D$2:$D$9999*'Raw Data'!$AH$2:$AH$9999)/SUMIFS('Raw Data'!$D:$D, 'Raw Data'!$B:$B, "Control", 'Raw Data'!$C:$C, "A. 0"),"")</f>
        <v>0</v>
      </c>
      <c r="D21" s="58">
        <f>IFERROR(SUMPRODUCT(('Raw Data'!$B$2:$B$9999="Variant")*('Raw Data'!$C$2:$C$9999="A. 0")*'Raw Data'!$D$2:$D$9999*'Raw Data'!$AH$2:$AH$9999)/SUMIFS('Raw Data'!$D:$D, 'Raw Data'!$B:$B, "Variant", 'Raw Data'!$C:$C, "A. 0"),"")</f>
        <v>0</v>
      </c>
      <c r="E21" s="49" t="str">
        <f t="shared" si="13"/>
        <v/>
      </c>
      <c r="F21" s="95">
        <f>IFERROR(SUMPRODUCT(('Raw Data'!$B$2:$B$9999="Control")*('Raw Data'!$C$2:$C$9999="B. 1-9")*'Raw Data'!$D$2:$D$9999*'Raw Data'!$AH$2:$AH$9999)/SUMIFS('Raw Data'!$D:$D, 'Raw Data'!$B:$B, "Control", 'Raw Data'!$C:$C, "B. 1-9"),"")</f>
        <v>9.142583576</v>
      </c>
      <c r="G21" s="58">
        <f>IFERROR(SUMPRODUCT(('Raw Data'!$B$2:$B$9999="Variant")*('Raw Data'!$C$2:$C$9999="B. 1-9")*'Raw Data'!$D$2:$D$9999*'Raw Data'!$AH$2:$AH$9999)/SUMIFS('Raw Data'!$D:$D, 'Raw Data'!$B:$B, "Variant", 'Raw Data'!$C:$C, "B. 1-9"),"")</f>
        <v>9</v>
      </c>
      <c r="H21" s="83">
        <f t="shared" si="14"/>
        <v>-0.01559554528</v>
      </c>
      <c r="I21" s="94">
        <f>IFERROR(SUMPRODUCT(('Raw Data'!$B$2:$B$9999="Control")*('Raw Data'!$C$2:$C$9999="C. 10-19")*'Raw Data'!$D$2:$D$9999*'Raw Data'!$AH$2:$AH$9999)/SUMIFS('Raw Data'!$D:$D, 'Raw Data'!$B:$B, "Control", 'Raw Data'!$C:$C, "C. 10-19"),"")</f>
        <v>19.95810049</v>
      </c>
      <c r="J21" s="58">
        <f>IFERROR(SUMPRODUCT(('Raw Data'!$B$2:$B$9999="Variant")*('Raw Data'!$C$2:$C$9999="C. 10-19")*'Raw Data'!$D$2:$D$9999*'Raw Data'!$AH$2:$AH$9999)/SUMIFS('Raw Data'!$D:$D, 'Raw Data'!$B:$B, "Variant", 'Raw Data'!$C:$C, "C. 10-19"),"")</f>
        <v>20.16787652</v>
      </c>
      <c r="K21" s="70">
        <f t="shared" si="15"/>
        <v>0.01051082151</v>
      </c>
      <c r="L21" s="95">
        <f>IFERROR(SUMPRODUCT(('Raw Data'!$B$2:$B$9999="Control")*('Raw Data'!$C$2:$C$9999="D. 20-39")*'Raw Data'!$D$2:$D$9999*'Raw Data'!$AH$2:$AH$9999)/SUMIFS('Raw Data'!$D:$D, 'Raw Data'!$B:$B, "Control", 'Raw Data'!$C:$C, "D. 20-39"),"")</f>
        <v>37.94596476</v>
      </c>
      <c r="M21" s="58">
        <f>IFERROR(SUMPRODUCT(('Raw Data'!$B$2:$B$9999="Variant")*('Raw Data'!$C$2:$C$9999="D. 20-39")*'Raw Data'!$D$2:$D$9999*'Raw Data'!$AH$2:$AH$9999)/SUMIFS('Raw Data'!$D:$D, 'Raw Data'!$B:$B, "Variant", 'Raw Data'!$C:$C, "D. 20-39"),"")</f>
        <v>37.61500771</v>
      </c>
      <c r="N21" s="68">
        <f t="shared" si="16"/>
        <v>-0.008721798239</v>
      </c>
      <c r="O21" s="94">
        <f>IFERROR(SUMPRODUCT(('Raw Data'!$B$2:$B$9999="Control")*('Raw Data'!$C$2:$C$9999="E. 40-99")*'Raw Data'!$D$2:$D$9999*'Raw Data'!$AH$2:$AH$9999)/SUMIFS('Raw Data'!$D:$D, 'Raw Data'!$B:$B, "Control", 'Raw Data'!$C:$C, "E. 40-99"),"")</f>
        <v>74.4104611</v>
      </c>
      <c r="P21" s="58">
        <f>IFERROR(SUMPRODUCT(('Raw Data'!$B$2:$B$9999="Variant")*('Raw Data'!$C$2:$C$9999="E. 40-99")*'Raw Data'!$D$2:$D$9999*'Raw Data'!$AH$2:$AH$9999)/SUMIFS('Raw Data'!$D:$D, 'Raw Data'!$B:$B, "Variant", 'Raw Data'!$C:$C, "E. 40-99"),"")</f>
        <v>72.15137089</v>
      </c>
      <c r="Q21" s="66">
        <f t="shared" si="17"/>
        <v>-0.03035984686</v>
      </c>
      <c r="R21" s="95">
        <f>IFERROR(SUMPRODUCT(('Raw Data'!$B$2:$B$9999="Control")*('Raw Data'!$C$2:$C$9999="F. 100+")*'Raw Data'!$D$2:$D$9999*'Raw Data'!$AH$2:$AH$9999)/SUMIFS('Raw Data'!$D:$D, 'Raw Data'!$B:$B, "Control", 'Raw Data'!$C:$C, "F. 100+"),"")</f>
        <v>148.0594855</v>
      </c>
      <c r="S21" s="58">
        <f>IFERROR(SUMPRODUCT(('Raw Data'!$B$2:$B$9999="Variant")*('Raw Data'!$C$2:$C$9999="F. 100+")*'Raw Data'!$D$2:$D$9999*'Raw Data'!$AH$2:$AH$9999)/SUMIFS('Raw Data'!$D:$D, 'Raw Data'!$B:$B, "Variant", 'Raw Data'!$C:$C, "F. 100+"),"")</f>
        <v>150.5266752</v>
      </c>
      <c r="T21" s="112">
        <f t="shared" si="18"/>
        <v>0.01666350294</v>
      </c>
    </row>
    <row r="22" ht="15.75" customHeight="1">
      <c r="A22" s="34" t="s">
        <v>91</v>
      </c>
      <c r="B22" s="35"/>
      <c r="C22" s="36"/>
      <c r="D22" s="21"/>
      <c r="E22" s="38"/>
      <c r="F22" s="40"/>
      <c r="G22" s="21"/>
      <c r="H22" s="35"/>
      <c r="I22" s="36"/>
      <c r="J22" s="21"/>
      <c r="K22" s="38"/>
      <c r="L22" s="40"/>
      <c r="M22" s="21"/>
      <c r="N22" s="35"/>
      <c r="O22" s="36"/>
      <c r="P22" s="21"/>
      <c r="Q22" s="38"/>
      <c r="R22" s="40"/>
      <c r="S22" s="38"/>
      <c r="T22" s="113"/>
    </row>
    <row r="23" ht="15.75" customHeight="1">
      <c r="A23" s="23"/>
      <c r="B23" s="42" t="s">
        <v>49</v>
      </c>
      <c r="C23" s="114">
        <f>IFERROR(SUMPRODUCT(('Raw Data'!$B$2:$B$9999="Control")*('Raw Data'!$C$2:$C$9999="A. 0")*'Raw Data'!$D$2:$D$9999*'Raw Data'!$M$2:$M$9999)/SUMIFS('Raw Data'!$D:$D, 'Raw Data'!$B:$B, "Control", 'Raw Data'!$C:$C, "A. 0"),"")</f>
        <v>0.04320445143</v>
      </c>
      <c r="D23" s="73">
        <f>IFERROR(SUMPRODUCT(('Raw Data'!$B$2:$B$9999="Variant")*('Raw Data'!$C$2:$C$9999="A. 0")*'Raw Data'!$D$2:$D$9999*'Raw Data'!$M$2:$M$9999)/SUMIFS('Raw Data'!$D:$D, 'Raw Data'!$B:$B, "Variant", 'Raw Data'!$C:$C, "A. 0"),"")</f>
        <v>0.03430742568</v>
      </c>
      <c r="E23" s="55">
        <f t="shared" ref="E23:E26" si="19">IFERROR((D23-C23)/ABS(C23),"")</f>
        <v>-0.2059284507</v>
      </c>
      <c r="F23" s="115">
        <f>IFERROR(SUMPRODUCT(('Raw Data'!$B$2:$B$9999="Control")*('Raw Data'!$C$2:$C$9999="B. 1-9")*'Raw Data'!$D$2:$D$9999*'Raw Data'!$M$2:$M$9999)/SUMIFS('Raw Data'!$D:$D, 'Raw Data'!$B:$B, "Control", 'Raw Data'!$C:$C, "B. 1-9"),"")</f>
        <v>0.3927879805</v>
      </c>
      <c r="G23" s="73">
        <f>IFERROR(SUMPRODUCT(('Raw Data'!$B$2:$B$9999="Variant")*('Raw Data'!$C$2:$C$9999="B. 1-9")*'Raw Data'!$D$2:$D$9999*'Raw Data'!$M$2:$M$9999)/SUMIFS('Raw Data'!$D:$D, 'Raw Data'!$B:$B, "Variant", 'Raw Data'!$C:$C, "B. 1-9"),"")</f>
        <v>0.3882988027</v>
      </c>
      <c r="H23" s="55">
        <f t="shared" ref="H23:H26" si="20">IFERROR((G23-F23)/ABS(F23),"")</f>
        <v>-0.01142901007</v>
      </c>
      <c r="I23" s="114">
        <f>IFERROR(SUMPRODUCT(('Raw Data'!$B$2:$B$9999="Control")*('Raw Data'!$C$2:$C$9999="C. 10-19")*'Raw Data'!$D$2:$D$9999*'Raw Data'!$M$2:$M$9999)/SUMIFS('Raw Data'!$D:$D, 'Raw Data'!$B:$B, "Control", 'Raw Data'!$C:$C, "C. 10-19"),"")</f>
        <v>0.5441475053</v>
      </c>
      <c r="J23" s="73">
        <f>IFERROR(SUMPRODUCT(('Raw Data'!$B$2:$B$9999="Variant")*('Raw Data'!$C$2:$C$9999="C. 10-19")*'Raw Data'!$D$2:$D$9999*'Raw Data'!$M$2:$M$9999)/SUMIFS('Raw Data'!$D:$D, 'Raw Data'!$B:$B, "Variant", 'Raw Data'!$C:$C, "C. 10-19"),"")</f>
        <v>0.527036915</v>
      </c>
      <c r="K23" s="55">
        <f t="shared" ref="K23:K26" si="21">IFERROR((J23-I23)/ABS(I23),"")</f>
        <v>-0.03144476481</v>
      </c>
      <c r="L23" s="115">
        <f>IFERROR(SUMPRODUCT(('Raw Data'!$B$2:$B$9999="Control")*('Raw Data'!$C$2:$C$9999="D. 20-39")*'Raw Data'!$D$2:$D$9999*'Raw Data'!$M$2:$M$9999)/SUMIFS('Raw Data'!$D:$D, 'Raw Data'!$B:$B, "Control", 'Raw Data'!$C:$C, "D. 20-39"),"")</f>
        <v>0.674199304</v>
      </c>
      <c r="M23" s="73">
        <f>IFERROR(SUMPRODUCT(('Raw Data'!$B$2:$B$9999="Variant")*('Raw Data'!$C$2:$C$9999="D. 20-39")*'Raw Data'!$D$2:$D$9999*'Raw Data'!$M$2:$M$9999)/SUMIFS('Raw Data'!$D:$D, 'Raw Data'!$B:$B, "Variant", 'Raw Data'!$C:$C, "D. 20-39"),"")</f>
        <v>0.6590312147</v>
      </c>
      <c r="N23" s="55">
        <f t="shared" ref="N23:N26" si="22">IFERROR((M23-L23)/ABS(L23),"")</f>
        <v>-0.0224979308</v>
      </c>
      <c r="O23" s="114">
        <f>IFERROR(SUMPRODUCT(('Raw Data'!$B$2:$B$9999="Control")*('Raw Data'!$C$2:$C$9999="E. 40-99")*'Raw Data'!$D$2:$D$9999*'Raw Data'!$M$2:$M$9999)/SUMIFS('Raw Data'!$D:$D, 'Raw Data'!$B:$B, "Control", 'Raw Data'!$C:$C, "E. 40-99"),"")</f>
        <v>0.7540921899</v>
      </c>
      <c r="P23" s="73">
        <f>IFERROR(SUMPRODUCT(('Raw Data'!$B$2:$B$9999="Variant")*('Raw Data'!$C$2:$C$9999="E. 40-99")*'Raw Data'!$D$2:$D$9999*'Raw Data'!$M$2:$M$9999)/SUMIFS('Raw Data'!$D:$D, 'Raw Data'!$B:$B, "Variant", 'Raw Data'!$C:$C, "E. 40-99"),"")</f>
        <v>0.746963712</v>
      </c>
      <c r="Q23" s="55">
        <f t="shared" ref="Q23:Q26" si="23">IFERROR((P23-O23)/ABS(O23),"")</f>
        <v>-0.009453058995</v>
      </c>
      <c r="R23" s="115">
        <f>IFERROR(SUMPRODUCT(('Raw Data'!$B$2:$B$9999="Control")*('Raw Data'!$C$2:$C$9999="F. 100+")*'Raw Data'!$D$2:$D$9999*'Raw Data'!$M$2:$M$9999)/SUMIFS('Raw Data'!$D:$D, 'Raw Data'!$B:$B, "Control", 'Raw Data'!$C:$C, "F. 100+"),"")</f>
        <v>0.8280137862</v>
      </c>
      <c r="S23" s="116">
        <f>IFERROR(SUMPRODUCT(('Raw Data'!$B$2:$B$9999="Variant")*('Raw Data'!$C$2:$C$9999="F. 100+")*'Raw Data'!$D$2:$D$9999*'Raw Data'!$M$2:$M$9999)/SUMIFS('Raw Data'!$D:$D, 'Raw Data'!$B:$B, "Variant", 'Raw Data'!$C:$C, "F. 100+"),"")</f>
        <v>0.8129411012</v>
      </c>
      <c r="T23" s="39">
        <f t="shared" ref="T23:T26" si="24">IFERROR((S23-R23)/ABS(R23),"")</f>
        <v>-0.01820342278</v>
      </c>
    </row>
    <row r="24" ht="15.75" customHeight="1">
      <c r="A24" s="23"/>
      <c r="B24" s="42" t="s">
        <v>50</v>
      </c>
      <c r="C24" s="114">
        <f>IFERROR(SUMPRODUCT(('Raw Data'!$B$2:$B$9999="Control")*('Raw Data'!$C$2:$C$9999="A. 0")*'Raw Data'!$D$2:$D$9999*'Raw Data'!$N$2:$N$9999)/SUMIFS('Raw Data'!$D:$D, 'Raw Data'!$B:$B, "Control", 'Raw Data'!$C:$C, "A. 0"),"")</f>
        <v>0.9625389816</v>
      </c>
      <c r="D24" s="73">
        <f>IFERROR(SUMPRODUCT(('Raw Data'!$B$2:$B$9999="Variant")*('Raw Data'!$C$2:$C$9999="A. 0")*'Raw Data'!$D$2:$D$9999*'Raw Data'!$N$2:$N$9999)/SUMIFS('Raw Data'!$D:$D, 'Raw Data'!$B:$B, "Variant", 'Raw Data'!$C:$C, "A. 0"),"")</f>
        <v>0.9722289233</v>
      </c>
      <c r="E24" s="55">
        <f t="shared" si="19"/>
        <v>0.01006706413</v>
      </c>
      <c r="F24" s="115">
        <f>IFERROR(SUMPRODUCT(('Raw Data'!$B$2:$B$9999="Control")*('Raw Data'!$C$2:$C$9999="B. 1-9")*'Raw Data'!$D$2:$D$9999*'Raw Data'!$N$2:$N$9999)/SUMIFS('Raw Data'!$D:$D, 'Raw Data'!$B:$B, "Control", 'Raw Data'!$C:$C, "B. 1-9"),"")</f>
        <v>0.7362124738</v>
      </c>
      <c r="G24" s="73">
        <f>IFERROR(SUMPRODUCT(('Raw Data'!$B$2:$B$9999="Variant")*('Raw Data'!$C$2:$C$9999="B. 1-9")*'Raw Data'!$D$2:$D$9999*'Raw Data'!$N$2:$N$9999)/SUMIFS('Raw Data'!$D:$D, 'Raw Data'!$B:$B, "Variant", 'Raw Data'!$C:$C, "B. 1-9"),"")</f>
        <v>0.7376750991</v>
      </c>
      <c r="H24" s="55">
        <f t="shared" si="20"/>
        <v>0.001986689097</v>
      </c>
      <c r="I24" s="114">
        <f>IFERROR(SUMPRODUCT(('Raw Data'!$B$2:$B$9999="Control")*('Raw Data'!$C$2:$C$9999="C. 10-19")*'Raw Data'!$D$2:$D$9999*'Raw Data'!$N$2:$N$9999)/SUMIFS('Raw Data'!$D:$D, 'Raw Data'!$B:$B, "Control", 'Raw Data'!$C:$C, "C. 10-19"),"")</f>
        <v>0.6120957775</v>
      </c>
      <c r="J24" s="73">
        <f>IFERROR(SUMPRODUCT(('Raw Data'!$B$2:$B$9999="Variant")*('Raw Data'!$C$2:$C$9999="C. 10-19")*'Raw Data'!$D$2:$D$9999*'Raw Data'!$N$2:$N$9999)/SUMIFS('Raw Data'!$D:$D, 'Raw Data'!$B:$B, "Variant", 'Raw Data'!$C:$C, "C. 10-19"),"")</f>
        <v>0.6238746327</v>
      </c>
      <c r="K24" s="55">
        <f t="shared" si="21"/>
        <v>0.0192434839</v>
      </c>
      <c r="L24" s="115">
        <f>IFERROR(SUMPRODUCT(('Raw Data'!$B$2:$B$9999="Control")*('Raw Data'!$C$2:$C$9999="D. 20-39")*'Raw Data'!$D$2:$D$9999*'Raw Data'!$N$2:$N$9999)/SUMIFS('Raw Data'!$D:$D, 'Raw Data'!$B:$B, "Control", 'Raw Data'!$C:$C, "D. 20-39"),"")</f>
        <v>0.4906020881</v>
      </c>
      <c r="M24" s="73">
        <f>IFERROR(SUMPRODUCT(('Raw Data'!$B$2:$B$9999="Variant")*('Raw Data'!$C$2:$C$9999="D. 20-39")*'Raw Data'!$D$2:$D$9999*'Raw Data'!$N$2:$N$9999)/SUMIFS('Raw Data'!$D:$D, 'Raw Data'!$B:$B, "Variant", 'Raw Data'!$C:$C, "D. 20-39"),"")</f>
        <v>0.5036210416</v>
      </c>
      <c r="N24" s="55">
        <f t="shared" si="22"/>
        <v>0.02653668585</v>
      </c>
      <c r="O24" s="114">
        <f>IFERROR(SUMPRODUCT(('Raw Data'!$B$2:$B$9999="Control")*('Raw Data'!$C$2:$C$9999="E. 40-99")*'Raw Data'!$D$2:$D$9999*'Raw Data'!$N$2:$N$9999)/SUMIFS('Raw Data'!$D:$D, 'Raw Data'!$B:$B, "Control", 'Raw Data'!$C:$C, "E. 40-99"),"")</f>
        <v>0.3997879483</v>
      </c>
      <c r="P24" s="73">
        <f>IFERROR(SUMPRODUCT(('Raw Data'!$B$2:$B$9999="Variant")*('Raw Data'!$C$2:$C$9999="E. 40-99")*'Raw Data'!$D$2:$D$9999*'Raw Data'!$N$2:$N$9999)/SUMIFS('Raw Data'!$D:$D, 'Raw Data'!$B:$B, "Variant", 'Raw Data'!$C:$C, "E. 40-99"),"")</f>
        <v>0.4071895872</v>
      </c>
      <c r="Q24" s="55">
        <f t="shared" si="23"/>
        <v>0.0185139121</v>
      </c>
      <c r="R24" s="115">
        <f>IFERROR(SUMPRODUCT(('Raw Data'!$B$2:$B$9999="Control")*('Raw Data'!$C$2:$C$9999="F. 100+")*'Raw Data'!$D$2:$D$9999*'Raw Data'!$N$2:$N$9999)/SUMIFS('Raw Data'!$D:$D, 'Raw Data'!$B:$B, "Control", 'Raw Data'!$C:$C, "F. 100+"),"")</f>
        <v>0.3138071945</v>
      </c>
      <c r="S24" s="116">
        <f>IFERROR(SUMPRODUCT(('Raw Data'!$B$2:$B$9999="Variant")*('Raw Data'!$C$2:$C$9999="F. 100+")*'Raw Data'!$D$2:$D$9999*'Raw Data'!$N$2:$N$9999)/SUMIFS('Raw Data'!$D:$D, 'Raw Data'!$B:$B, "Variant", 'Raw Data'!$C:$C, "F. 100+"),"")</f>
        <v>0.329193598</v>
      </c>
      <c r="T24" s="39">
        <f t="shared" si="24"/>
        <v>0.04903139152</v>
      </c>
    </row>
    <row r="25" ht="15.75" customHeight="1">
      <c r="A25" s="23"/>
      <c r="B25" s="42" t="s">
        <v>51</v>
      </c>
      <c r="C25" s="114">
        <f>IFERROR(SUMPRODUCT(('Raw Data'!$B$2:$B$9999="Control")*('Raw Data'!$C$2:$C$9999="A. 0")*'Raw Data'!$D$2:$D$9999*'Raw Data'!$O$2:$O$9999)/SUMIFS('Raw Data'!$D:$D, 'Raw Data'!$B:$B, "Control", 'Raw Data'!$C:$C, "A. 0"),"")</f>
        <v>0.6889342813</v>
      </c>
      <c r="D25" s="73">
        <f>IFERROR(SUMPRODUCT(('Raw Data'!$B$2:$B$9999="Variant")*('Raw Data'!$C$2:$C$9999="A. 0")*'Raw Data'!$D$2:$D$9999*'Raw Data'!$O$2:$O$9999)/SUMIFS('Raw Data'!$D:$D, 'Raw Data'!$B:$B, "Variant", 'Raw Data'!$C:$C, "A. 0"),"")</f>
        <v>0.7293315768</v>
      </c>
      <c r="E25" s="55">
        <f t="shared" si="19"/>
        <v>0.05863737163</v>
      </c>
      <c r="F25" s="115">
        <f>IFERROR(SUMPRODUCT(('Raw Data'!$B$2:$B$9999="Control")*('Raw Data'!$C$2:$C$9999="B. 1-9")*'Raw Data'!$D$2:$D$9999*'Raw Data'!$O$2:$O$9999)/SUMIFS('Raw Data'!$D:$D, 'Raw Data'!$B:$B, "Control", 'Raw Data'!$C:$C, "B. 1-9"),"")</f>
        <v>0.5132968525</v>
      </c>
      <c r="G25" s="73">
        <f>IFERROR(SUMPRODUCT(('Raw Data'!$B$2:$B$9999="Variant")*('Raw Data'!$C$2:$C$9999="B. 1-9")*'Raw Data'!$D$2:$D$9999*'Raw Data'!$O$2:$O$9999)/SUMIFS('Raw Data'!$D:$D, 'Raw Data'!$B:$B, "Variant", 'Raw Data'!$C:$C, "B. 1-9"),"")</f>
        <v>0.5099779661</v>
      </c>
      <c r="H25" s="55">
        <f t="shared" si="20"/>
        <v>-0.0064658226</v>
      </c>
      <c r="I25" s="114">
        <f>IFERROR(SUMPRODUCT(('Raw Data'!$B$2:$B$9999="Control")*('Raw Data'!$C$2:$C$9999="C. 10-19")*'Raw Data'!$D$2:$D$9999*'Raw Data'!$O$2:$O$9999)/SUMIFS('Raw Data'!$D:$D, 'Raw Data'!$B:$B, "Control", 'Raw Data'!$C:$C, "C. 10-19"),"")</f>
        <v>0.4063988097</v>
      </c>
      <c r="J25" s="73">
        <f>IFERROR(SUMPRODUCT(('Raw Data'!$B$2:$B$9999="Variant")*('Raw Data'!$C$2:$C$9999="C. 10-19")*'Raw Data'!$D$2:$D$9999*'Raw Data'!$O$2:$O$9999)/SUMIFS('Raw Data'!$D:$D, 'Raw Data'!$B:$B, "Variant", 'Raw Data'!$C:$C, "C. 10-19"),"")</f>
        <v>0.4084960434</v>
      </c>
      <c r="K25" s="55">
        <f t="shared" si="21"/>
        <v>0.005160531191</v>
      </c>
      <c r="L25" s="115">
        <f>IFERROR(SUMPRODUCT(('Raw Data'!$B$2:$B$9999="Control")*('Raw Data'!$C$2:$C$9999="D. 20-39")*'Raw Data'!$D$2:$D$9999*'Raw Data'!$O$2:$O$9999)/SUMIFS('Raw Data'!$D:$D, 'Raw Data'!$B:$B, "Control", 'Raw Data'!$C:$C, "D. 20-39"),"")</f>
        <v>0.3328279042</v>
      </c>
      <c r="M25" s="73">
        <f>IFERROR(SUMPRODUCT(('Raw Data'!$B$2:$B$9999="Variant")*('Raw Data'!$C$2:$C$9999="D. 20-39")*'Raw Data'!$D$2:$D$9999*'Raw Data'!$O$2:$O$9999)/SUMIFS('Raw Data'!$D:$D, 'Raw Data'!$B:$B, "Variant", 'Raw Data'!$C:$C, "D. 20-39"),"")</f>
        <v>0.3372583382</v>
      </c>
      <c r="N25" s="55">
        <f t="shared" si="22"/>
        <v>0.01331148611</v>
      </c>
      <c r="O25" s="114">
        <f>IFERROR(SUMPRODUCT(('Raw Data'!$B$2:$B$9999="Control")*('Raw Data'!$C$2:$C$9999="E. 40-99")*'Raw Data'!$D$2:$D$9999*'Raw Data'!$O$2:$O$9999)/SUMIFS('Raw Data'!$D:$D, 'Raw Data'!$B:$B, "Control", 'Raw Data'!$C:$C, "E. 40-99"),"")</f>
        <v>0.2798306148</v>
      </c>
      <c r="P25" s="73">
        <f>IFERROR(SUMPRODUCT(('Raw Data'!$B$2:$B$9999="Variant")*('Raw Data'!$C$2:$C$9999="E. 40-99")*'Raw Data'!$D$2:$D$9999*'Raw Data'!$O$2:$O$9999)/SUMIFS('Raw Data'!$D:$D, 'Raw Data'!$B:$B, "Variant", 'Raw Data'!$C:$C, "E. 40-99"),"")</f>
        <v>0.2857238626</v>
      </c>
      <c r="Q25" s="55">
        <f t="shared" si="23"/>
        <v>0.02106005383</v>
      </c>
      <c r="R25" s="115">
        <f>IFERROR(SUMPRODUCT(('Raw Data'!$B$2:$B$9999="Control")*('Raw Data'!$C$2:$C$9999="F. 100+")*'Raw Data'!$D$2:$D$9999*'Raw Data'!$O$2:$O$9999)/SUMIFS('Raw Data'!$D:$D, 'Raw Data'!$B:$B, "Control", 'Raw Data'!$C:$C, "F. 100+"),"")</f>
        <v>0.2380684887</v>
      </c>
      <c r="S25" s="116">
        <f>IFERROR(SUMPRODUCT(('Raw Data'!$B$2:$B$9999="Variant")*('Raw Data'!$C$2:$C$9999="F. 100+")*'Raw Data'!$D$2:$D$9999*'Raw Data'!$O$2:$O$9999)/SUMIFS('Raw Data'!$D:$D, 'Raw Data'!$B:$B, "Variant", 'Raw Data'!$C:$C, "F. 100+"),"")</f>
        <v>0.2473207</v>
      </c>
      <c r="T25" s="39">
        <f t="shared" si="24"/>
        <v>0.03886365331</v>
      </c>
      <c r="V25" s="117" t="s">
        <v>187</v>
      </c>
    </row>
    <row r="26" ht="15.75" customHeight="1">
      <c r="A26" s="23"/>
      <c r="B26" s="42" t="s">
        <v>53</v>
      </c>
      <c r="C26" s="94">
        <f>IFERROR(SUMPRODUCT(('Raw Data'!$B$2:$B$9999="Control")*('Raw Data'!$C$2:$C$9999="A. 0")*'Raw Data'!$D$2:$D$9999*'Raw Data'!$P$2:$P$9999)/SUMIFS('Raw Data'!$D:$D, 'Raw Data'!$B:$B, "Control", 'Raw Data'!$C:$C, "A. 0"),"")</f>
        <v>80.98765979</v>
      </c>
      <c r="D26" s="58">
        <f>IFERROR(SUMPRODUCT(('Raw Data'!$B$2:$B$9999="Variant")*('Raw Data'!$C$2:$C$9999="A. 0")*'Raw Data'!$D$2:$D$9999*'Raw Data'!$P$2:$P$9999)/SUMIFS('Raw Data'!$D:$D, 'Raw Data'!$B:$B, "Variant", 'Raw Data'!$C:$C, "A. 0"),"")</f>
        <v>142.6153081</v>
      </c>
      <c r="E26" s="55">
        <f t="shared" si="19"/>
        <v>0.7609510933</v>
      </c>
      <c r="F26" s="95">
        <f>IFERROR(SUMPRODUCT(('Raw Data'!$B$2:$B$9999="Control")*('Raw Data'!$C$2:$C$9999="B. 1-9")*'Raw Data'!$D$2:$D$9999*'Raw Data'!$P$2:$P$9999)/SUMIFS('Raw Data'!$D:$D, 'Raw Data'!$B:$B, "Control", 'Raw Data'!$C:$C, "B. 1-9"),"")</f>
        <v>2.550819068</v>
      </c>
      <c r="G26" s="58">
        <f>IFERROR(SUMPRODUCT(('Raw Data'!$B$2:$B$9999="Variant")*('Raw Data'!$C$2:$C$9999="B. 1-9")*'Raw Data'!$D$2:$D$9999*'Raw Data'!$P$2:$P$9999)/SUMIFS('Raw Data'!$D:$D, 'Raw Data'!$B:$B, "Variant", 'Raw Data'!$C:$C, "B. 1-9"),"")</f>
        <v>2.577125869</v>
      </c>
      <c r="H26" s="55">
        <f t="shared" si="20"/>
        <v>0.01031308002</v>
      </c>
      <c r="I26" s="94">
        <f>IFERROR(SUMPRODUCT(('Raw Data'!$B$2:$B$9999="Control")*('Raw Data'!$C$2:$C$9999="C. 10-19")*'Raw Data'!$D$2:$D$9999*'Raw Data'!$P$2:$P$9999)/SUMIFS('Raw Data'!$D:$D, 'Raw Data'!$B:$B, "Control", 'Raw Data'!$C:$C, "C. 10-19"),"")</f>
        <v>1.839682386</v>
      </c>
      <c r="J26" s="58">
        <f>IFERROR(SUMPRODUCT(('Raw Data'!$B$2:$B$9999="Variant")*('Raw Data'!$C$2:$C$9999="C. 10-19")*'Raw Data'!$D$2:$D$9999*'Raw Data'!$P$2:$P$9999)/SUMIFS('Raw Data'!$D:$D, 'Raw Data'!$B:$B, "Variant", 'Raw Data'!$C:$C, "C. 10-19"),"")</f>
        <v>1.897861546</v>
      </c>
      <c r="K26" s="55">
        <f t="shared" si="21"/>
        <v>0.03162456805</v>
      </c>
      <c r="L26" s="95">
        <f>IFERROR(SUMPRODUCT(('Raw Data'!$B$2:$B$9999="Control")*('Raw Data'!$C$2:$C$9999="D. 20-39")*'Raw Data'!$D$2:$D$9999*'Raw Data'!$P$2:$P$9999)/SUMIFS('Raw Data'!$D:$D, 'Raw Data'!$B:$B, "Control", 'Raw Data'!$C:$C, "D. 20-39"),"")</f>
        <v>1.48414295</v>
      </c>
      <c r="M26" s="58">
        <f>IFERROR(SUMPRODUCT(('Raw Data'!$B$2:$B$9999="Variant")*('Raw Data'!$C$2:$C$9999="D. 20-39")*'Raw Data'!$D$2:$D$9999*'Raw Data'!$P$2:$P$9999)/SUMIFS('Raw Data'!$D:$D, 'Raw Data'!$B:$B, "Variant", 'Raw Data'!$C:$C, "D. 20-39"),"")</f>
        <v>1.517949519</v>
      </c>
      <c r="N26" s="55">
        <f t="shared" si="22"/>
        <v>0.02277851255</v>
      </c>
      <c r="O26" s="94">
        <f>IFERROR(SUMPRODUCT(('Raw Data'!$B$2:$B$9999="Control")*('Raw Data'!$C$2:$C$9999="E. 40-99")*'Raw Data'!$D$2:$D$9999*'Raw Data'!$P$2:$P$9999)/SUMIFS('Raw Data'!$D:$D, 'Raw Data'!$B:$B, "Control", 'Raw Data'!$C:$C, "E. 40-99"),"")</f>
        <v>1.326548576</v>
      </c>
      <c r="P26" s="58">
        <f>IFERROR(SUMPRODUCT(('Raw Data'!$B$2:$B$9999="Variant")*('Raw Data'!$C$2:$C$9999="E. 40-99")*'Raw Data'!$D$2:$D$9999*'Raw Data'!$P$2:$P$9999)/SUMIFS('Raw Data'!$D:$D, 'Raw Data'!$B:$B, "Variant", 'Raw Data'!$C:$C, "E. 40-99"),"")</f>
        <v>1.338950618</v>
      </c>
      <c r="Q26" s="55">
        <f t="shared" si="23"/>
        <v>0.009349104649</v>
      </c>
      <c r="R26" s="95">
        <f>IFERROR(SUMPRODUCT(('Raw Data'!$B$2:$B$9999="Control")*('Raw Data'!$C$2:$C$9999="F. 100+")*'Raw Data'!$D$2:$D$9999*'Raw Data'!$P$2:$P$9999)/SUMIFS('Raw Data'!$D:$D, 'Raw Data'!$B:$B, "Control", 'Raw Data'!$C:$C, "F. 100+"),"")</f>
        <v>1.208009043</v>
      </c>
      <c r="S26" s="118">
        <f>IFERROR(SUMPRODUCT(('Raw Data'!$B$2:$B$9999="Variant")*('Raw Data'!$C$2:$C$9999="F. 100+")*'Raw Data'!$D$2:$D$9999*'Raw Data'!$P$2:$P$9999)/SUMIFS('Raw Data'!$D:$D, 'Raw Data'!$B:$B, "Variant", 'Raw Data'!$C:$C, "F. 100+"),"")</f>
        <v>1.230238199</v>
      </c>
      <c r="T26" s="39">
        <f t="shared" si="24"/>
        <v>0.01840148102</v>
      </c>
      <c r="V26" s="119" t="s">
        <v>188</v>
      </c>
    </row>
    <row r="27" ht="15.75" customHeight="1">
      <c r="A27" s="34" t="s">
        <v>94</v>
      </c>
      <c r="B27" s="35"/>
      <c r="C27" s="36"/>
      <c r="D27" s="21"/>
      <c r="E27" s="38"/>
      <c r="F27" s="40"/>
      <c r="G27" s="21"/>
      <c r="H27" s="35"/>
      <c r="I27" s="36"/>
      <c r="J27" s="21"/>
      <c r="K27" s="38"/>
      <c r="L27" s="40"/>
      <c r="M27" s="21"/>
      <c r="N27" s="35"/>
      <c r="O27" s="36"/>
      <c r="P27" s="21"/>
      <c r="Q27" s="38"/>
      <c r="R27" s="40"/>
      <c r="S27" s="38"/>
      <c r="T27" s="113"/>
      <c r="V27" s="1" t="s">
        <v>189</v>
      </c>
    </row>
    <row r="28" ht="15.75" customHeight="1">
      <c r="A28" s="23"/>
      <c r="B28" s="120" t="s">
        <v>54</v>
      </c>
      <c r="C28" s="94">
        <f>IFERROR(SUMPRODUCT(('Raw Data'!$B$2:$B$9999="Control")*('Raw Data'!$C$2:$C$9999="A. 0")*'Raw Data'!$D$2:$D$9999*'Raw Data'!$Q$2:$Q$9999)/SUMIFS('Raw Data'!$D:$D, 'Raw Data'!$B:$B, "Control", 'Raw Data'!$C:$C, "A. 0"),"")</f>
        <v>25.22302093</v>
      </c>
      <c r="D28" s="58">
        <f>IFERROR(SUMPRODUCT(('Raw Data'!$B$2:$B$9999="Variant")*('Raw Data'!$C$2:$C$9999="A. 0")*'Raw Data'!$D$2:$D$9999*'Raw Data'!$Q$2:$Q$9999)/SUMIFS('Raw Data'!$D:$D, 'Raw Data'!$B:$B, "Variant", 'Raw Data'!$C:$C, "A. 0"),"")</f>
        <v>21.13465815</v>
      </c>
      <c r="E28" s="66">
        <f t="shared" ref="E28:E34" si="25">IFERROR((D28-C28)/ABS(C28),"")</f>
        <v>-0.1620885456</v>
      </c>
      <c r="F28" s="95">
        <f>IFERROR(SUMPRODUCT(('Raw Data'!$B$2:$B$9999="Control")*('Raw Data'!$C$2:$C$9999="B. 1-9")*'Raw Data'!$D$2:$D$9999*'Raw Data'!$Q$2:$Q$9999)/SUMIFS('Raw Data'!$D:$D, 'Raw Data'!$B:$B, "Control", 'Raw Data'!$C:$C, "B. 1-9"),"")</f>
        <v>59.65654858</v>
      </c>
      <c r="G28" s="58">
        <f>IFERROR(SUMPRODUCT(('Raw Data'!$B$2:$B$9999="Variant")*('Raw Data'!$C$2:$C$9999="B. 1-9")*'Raw Data'!$D$2:$D$9999*'Raw Data'!$Q$2:$Q$9999)/SUMIFS('Raw Data'!$D:$D, 'Raw Data'!$B:$B, "Variant", 'Raw Data'!$C:$C, "B. 1-9"),"")</f>
        <v>54.71912547</v>
      </c>
      <c r="H28" s="83">
        <f t="shared" ref="H28:H34" si="26">IFERROR((G28-F28)/ABS(F28),"")</f>
        <v>-0.08276414285</v>
      </c>
      <c r="I28" s="94">
        <f>IFERROR(SUMPRODUCT(('Raw Data'!$B$2:$B$9999="Control")*('Raw Data'!$C$2:$C$9999="C. 10-19")*'Raw Data'!$D$2:$D$9999*'Raw Data'!$Q$2:$Q$9999)/SUMIFS('Raw Data'!$D:$D, 'Raw Data'!$B:$B, "Control", 'Raw Data'!$C:$C, "C. 10-19"),"")</f>
        <v>111.1980912</v>
      </c>
      <c r="J28" s="58">
        <f>IFERROR(SUMPRODUCT(('Raw Data'!$B$2:$B$9999="Variant")*('Raw Data'!$C$2:$C$9999="C. 10-19")*'Raw Data'!$D$2:$D$9999*'Raw Data'!$Q$2:$Q$9999)/SUMIFS('Raw Data'!$D:$D, 'Raw Data'!$B:$B, "Variant", 'Raw Data'!$C:$C, "C. 10-19"),"")</f>
        <v>102.0300052</v>
      </c>
      <c r="K28" s="70">
        <f t="shared" ref="K28:K34" si="27">IFERROR((J28-I28)/ABS(I28),"")</f>
        <v>-0.08244823192</v>
      </c>
      <c r="L28" s="95">
        <f>IFERROR(SUMPRODUCT(('Raw Data'!$B$2:$B$9999="Control")*('Raw Data'!$C$2:$C$9999="D. 20-39")*'Raw Data'!$D$2:$D$9999*'Raw Data'!$Q$2:$Q$9999)/SUMIFS('Raw Data'!$D:$D, 'Raw Data'!$B:$B, "Control", 'Raw Data'!$C:$C, "D. 20-39"),"")</f>
        <v>198.0465861</v>
      </c>
      <c r="M28" s="58">
        <f>IFERROR(SUMPRODUCT(('Raw Data'!$B$2:$B$9999="Variant")*('Raw Data'!$C$2:$C$9999="D. 20-39")*'Raw Data'!$D$2:$D$9999*'Raw Data'!$Q$2:$Q$9999)/SUMIFS('Raw Data'!$D:$D, 'Raw Data'!$B:$B, "Variant", 'Raw Data'!$C:$C, "D. 20-39"),"")</f>
        <v>183.4234394</v>
      </c>
      <c r="N28" s="83">
        <f t="shared" ref="N28:N34" si="28">IFERROR((M28-L28)/ABS(L28),"")</f>
        <v>-0.07383690335</v>
      </c>
      <c r="O28" s="94">
        <f>IFERROR(SUMPRODUCT(('Raw Data'!$B$2:$B$9999="Control")*('Raw Data'!$C$2:$C$9999="E. 40-99")*'Raw Data'!$D$2:$D$9999*'Raw Data'!$Q$2:$Q$9999)/SUMIFS('Raw Data'!$D:$D, 'Raw Data'!$B:$B, "Control", 'Raw Data'!$C:$C, "E. 40-99"),"")</f>
        <v>363.9901638</v>
      </c>
      <c r="P28" s="58">
        <f>IFERROR(SUMPRODUCT(('Raw Data'!$B$2:$B$9999="Variant")*('Raw Data'!$C$2:$C$9999="E. 40-99")*'Raw Data'!$D$2:$D$9999*'Raw Data'!$Q$2:$Q$9999)/SUMIFS('Raw Data'!$D:$D, 'Raw Data'!$B:$B, "Variant", 'Raw Data'!$C:$C, "E. 40-99"),"")</f>
        <v>340.3009666</v>
      </c>
      <c r="Q28" s="70">
        <f t="shared" ref="Q28:Q34" si="29">IFERROR((P28-O28)/ABS(O28),"")</f>
        <v>-0.06508197096</v>
      </c>
      <c r="R28" s="95">
        <f>IFERROR(SUMPRODUCT(('Raw Data'!$B$2:$B$9999="Control")*('Raw Data'!$C$2:$C$9999="F. 100+")*'Raw Data'!$D$2:$D$9999*'Raw Data'!$Q$2:$Q$9999)/SUMIFS('Raw Data'!$D:$D, 'Raw Data'!$B:$B, "Control", 'Raw Data'!$C:$C, "F. 100+"),"")</f>
        <v>662.9649397</v>
      </c>
      <c r="S28" s="118">
        <f>IFERROR(SUMPRODUCT(('Raw Data'!$B$2:$B$9999="Variant")*('Raw Data'!$C$2:$C$9999="F. 100+")*'Raw Data'!$D$2:$D$9999*'Raw Data'!$Q$2:$Q$9999)/SUMIFS('Raw Data'!$D:$D, 'Raw Data'!$B:$B, "Variant", 'Raw Data'!$C:$C, "F. 100+"),"")</f>
        <v>618.5024584</v>
      </c>
      <c r="T28" s="70">
        <f t="shared" ref="T28:T34" si="30">IFERROR((S28-R28)/ABS(R28),"")</f>
        <v>-0.06706611264</v>
      </c>
      <c r="V28" s="1" t="s">
        <v>190</v>
      </c>
    </row>
    <row r="29" ht="15.75" customHeight="1">
      <c r="A29" s="23"/>
      <c r="B29" s="120" t="s">
        <v>57</v>
      </c>
      <c r="C29" s="94">
        <f>IFERROR(SUMPRODUCT(('Raw Data'!$B$2:$B$9999="Control")*('Raw Data'!$C$2:$C$9999="A. 0")*'Raw Data'!$D$2:$D$9999*'Raw Data'!$T$2:$T$9999)/SUMIFS('Raw Data'!$D:$D, 'Raw Data'!$B:$B, "Control", 'Raw Data'!$C:$C, "A. 0"),"")</f>
        <v>0.1719290873</v>
      </c>
      <c r="D29" s="58">
        <f>IFERROR(SUMPRODUCT(('Raw Data'!$B$2:$B$9999="Variant")*('Raw Data'!$C$2:$C$9999="A. 0")*'Raw Data'!$D$2:$D$9999*'Raw Data'!$T$2:$T$9999)/SUMIFS('Raw Data'!$D:$D, 'Raw Data'!$B:$B, "Variant", 'Raw Data'!$C:$C, "A. 0"),"")</f>
        <v>0.6106322816</v>
      </c>
      <c r="E29" s="66">
        <f t="shared" si="25"/>
        <v>2.551651971</v>
      </c>
      <c r="F29" s="95">
        <f>IFERROR(SUMPRODUCT(('Raw Data'!$B$2:$B$9999="Control")*('Raw Data'!$C$2:$C$9999="B. 1-9")*'Raw Data'!$D$2:$D$9999*'Raw Data'!$T$2:$T$9999)/SUMIFS('Raw Data'!$D:$D, 'Raw Data'!$B:$B, "Control", 'Raw Data'!$C:$C, "B. 1-9"),"")</f>
        <v>2.744619757</v>
      </c>
      <c r="G29" s="58">
        <f>IFERROR(SUMPRODUCT(('Raw Data'!$B$2:$B$9999="Variant")*('Raw Data'!$C$2:$C$9999="B. 1-9")*'Raw Data'!$D$2:$D$9999*'Raw Data'!$T$2:$T$9999)/SUMIFS('Raw Data'!$D:$D, 'Raw Data'!$B:$B, "Variant", 'Raw Data'!$C:$C, "B. 1-9"),"")</f>
        <v>2.639285033</v>
      </c>
      <c r="H29" s="68">
        <f t="shared" si="26"/>
        <v>-0.03837862179</v>
      </c>
      <c r="I29" s="94">
        <f>IFERROR(SUMPRODUCT(('Raw Data'!$B$2:$B$9999="Control")*('Raw Data'!$C$2:$C$9999="C. 10-19")*'Raw Data'!$D$2:$D$9999*'Raw Data'!$T$2:$T$9999)/SUMIFS('Raw Data'!$D:$D, 'Raw Data'!$B:$B, "Control", 'Raw Data'!$C:$C, "C. 10-19"),"")</f>
        <v>9.287339932</v>
      </c>
      <c r="J29" s="58">
        <f>IFERROR(SUMPRODUCT(('Raw Data'!$B$2:$B$9999="Variant")*('Raw Data'!$C$2:$C$9999="C. 10-19")*'Raw Data'!$D$2:$D$9999*'Raw Data'!$T$2:$T$9999)/SUMIFS('Raw Data'!$D:$D, 'Raw Data'!$B:$B, "Variant", 'Raw Data'!$C:$C, "C. 10-19"),"")</f>
        <v>9.110647375</v>
      </c>
      <c r="K29" s="66">
        <f t="shared" si="27"/>
        <v>-0.01902509853</v>
      </c>
      <c r="L29" s="95">
        <f>IFERROR(SUMPRODUCT(('Raw Data'!$B$2:$B$9999="Control")*('Raw Data'!$C$2:$C$9999="D. 20-39")*'Raw Data'!$D$2:$D$9999*'Raw Data'!$T$2:$T$9999)/SUMIFS('Raw Data'!$D:$D, 'Raw Data'!$B:$B, "Control", 'Raw Data'!$C:$C, "D. 20-39"),"")</f>
        <v>22.32101037</v>
      </c>
      <c r="M29" s="58">
        <f>IFERROR(SUMPRODUCT(('Raw Data'!$B$2:$B$9999="Variant")*('Raw Data'!$C$2:$C$9999="D. 20-39")*'Raw Data'!$D$2:$D$9999*'Raw Data'!$T$2:$T$9999)/SUMIFS('Raw Data'!$D:$D, 'Raw Data'!$B:$B, "Variant", 'Raw Data'!$C:$C, "D. 20-39"),"")</f>
        <v>20.1200281</v>
      </c>
      <c r="N29" s="68">
        <f t="shared" si="28"/>
        <v>-0.09860585317</v>
      </c>
      <c r="O29" s="94">
        <f>IFERROR(SUMPRODUCT(('Raw Data'!$B$2:$B$9999="Control")*('Raw Data'!$C$2:$C$9999="E. 40-99")*'Raw Data'!$D$2:$D$9999*'Raw Data'!$T$2:$T$9999)/SUMIFS('Raw Data'!$D:$D, 'Raw Data'!$B:$B, "Control", 'Raw Data'!$C:$C, "E. 40-99"),"")</f>
        <v>39.2459353</v>
      </c>
      <c r="P29" s="58">
        <f>IFERROR(SUMPRODUCT(('Raw Data'!$B$2:$B$9999="Variant")*('Raw Data'!$C$2:$C$9999="E. 40-99")*'Raw Data'!$D$2:$D$9999*'Raw Data'!$T$2:$T$9999)/SUMIFS('Raw Data'!$D:$D, 'Raw Data'!$B:$B, "Variant", 'Raw Data'!$C:$C, "E. 40-99"),"")</f>
        <v>39.46064236</v>
      </c>
      <c r="Q29" s="70">
        <f t="shared" si="29"/>
        <v>0.005470810092</v>
      </c>
      <c r="R29" s="95">
        <f>IFERROR(SUMPRODUCT(('Raw Data'!$B$2:$B$9999="Control")*('Raw Data'!$C$2:$C$9999="F. 100+")*'Raw Data'!$D$2:$D$9999*'Raw Data'!$T$2:$T$9999)/SUMIFS('Raw Data'!$D:$D, 'Raw Data'!$B:$B, "Control", 'Raw Data'!$C:$C, "F. 100+"),"")</f>
        <v>56.22931672</v>
      </c>
      <c r="S29" s="58">
        <f>IFERROR(SUMPRODUCT(('Raw Data'!$B$2:$B$9999="Variant")*('Raw Data'!$C$2:$C$9999="F. 100+")*'Raw Data'!$D$2:$D$9999*'Raw Data'!$T$2:$T$9999)/SUMIFS('Raw Data'!$D:$D, 'Raw Data'!$B:$B, "Variant", 'Raw Data'!$C:$C, "F. 100+"),"")</f>
        <v>61.04992744</v>
      </c>
      <c r="T29" s="121">
        <f t="shared" si="30"/>
        <v>0.08573126981</v>
      </c>
      <c r="V29" s="1" t="s">
        <v>191</v>
      </c>
    </row>
    <row r="30" ht="15.75" customHeight="1">
      <c r="A30" s="23"/>
      <c r="B30" s="120" t="s">
        <v>58</v>
      </c>
      <c r="C30" s="94">
        <f>IFERROR(SUMPRODUCT(('Raw Data'!$B$2:$B$9999="Control")*('Raw Data'!$C$2:$C$9999="A. 0")*'Raw Data'!$D$2:$D$9999*'Raw Data'!$U$2:$U$9999)/SUMIFS('Raw Data'!$D:$D, 'Raw Data'!$B:$B, "Control", 'Raw Data'!$C:$C, "A. 0"),"")</f>
        <v>25.04966665</v>
      </c>
      <c r="D30" s="58">
        <f>IFERROR(SUMPRODUCT(('Raw Data'!$B$2:$B$9999="Variant")*('Raw Data'!$C$2:$C$9999="A. 0")*'Raw Data'!$D$2:$D$9999*'Raw Data'!$U$2:$U$9999)/SUMIFS('Raw Data'!$D:$D, 'Raw Data'!$B:$B, "Variant", 'Raw Data'!$C:$C, "A. 0"),"")</f>
        <v>20.5254513</v>
      </c>
      <c r="E30" s="66">
        <f t="shared" si="25"/>
        <v>-0.1806098026</v>
      </c>
      <c r="F30" s="95">
        <f>IFERROR(SUMPRODUCT(('Raw Data'!$B$2:$B$9999="Control")*('Raw Data'!$C$2:$C$9999="B. 1-9")*'Raw Data'!$D$2:$D$9999*'Raw Data'!$U$2:$U$9999)/SUMIFS('Raw Data'!$D:$D, 'Raw Data'!$B:$B, "Control", 'Raw Data'!$C:$C, "B. 1-9"),"")</f>
        <v>56.91051399</v>
      </c>
      <c r="G30" s="58">
        <f>IFERROR(SUMPRODUCT(('Raw Data'!$B$2:$B$9999="Variant")*('Raw Data'!$C$2:$C$9999="B. 1-9")*'Raw Data'!$D$2:$D$9999*'Raw Data'!$U$2:$U$9999)/SUMIFS('Raw Data'!$D:$D, 'Raw Data'!$B:$B, "Variant", 'Raw Data'!$C:$C, "B. 1-9"),"")</f>
        <v>52.07981395</v>
      </c>
      <c r="H30" s="83">
        <f t="shared" si="26"/>
        <v>-0.08488238288</v>
      </c>
      <c r="I30" s="94">
        <f>IFERROR(SUMPRODUCT(('Raw Data'!$B$2:$B$9999="Control")*('Raw Data'!$C$2:$C$9999="C. 10-19")*'Raw Data'!$D$2:$D$9999*'Raw Data'!$U$2:$U$9999)/SUMIFS('Raw Data'!$D:$D, 'Raw Data'!$B:$B, "Control", 'Raw Data'!$C:$C, "C. 10-19"),"")</f>
        <v>101.9091367</v>
      </c>
      <c r="J30" s="58">
        <f>IFERROR(SUMPRODUCT(('Raw Data'!$B$2:$B$9999="Variant")*('Raw Data'!$C$2:$C$9999="C. 10-19")*'Raw Data'!$D$2:$D$9999*'Raw Data'!$U$2:$U$9999)/SUMIFS('Raw Data'!$D:$D, 'Raw Data'!$B:$B, "Variant", 'Raw Data'!$C:$C, "C. 10-19"),"")</f>
        <v>92.91935783</v>
      </c>
      <c r="K30" s="70">
        <f t="shared" si="27"/>
        <v>-0.08821366919</v>
      </c>
      <c r="L30" s="95">
        <f>IFERROR(SUMPRODUCT(('Raw Data'!$B$2:$B$9999="Control")*('Raw Data'!$C$2:$C$9999="D. 20-39")*'Raw Data'!$D$2:$D$9999*'Raw Data'!$U$2:$U$9999)/SUMIFS('Raw Data'!$D:$D, 'Raw Data'!$B:$B, "Control", 'Raw Data'!$C:$C, "D. 20-39"),"")</f>
        <v>175.7269246</v>
      </c>
      <c r="M30" s="58">
        <f>IFERROR(SUMPRODUCT(('Raw Data'!$B$2:$B$9999="Variant")*('Raw Data'!$C$2:$C$9999="D. 20-39")*'Raw Data'!$D$2:$D$9999*'Raw Data'!$U$2:$U$9999)/SUMIFS('Raw Data'!$D:$D, 'Raw Data'!$B:$B, "Variant", 'Raw Data'!$C:$C, "D. 20-39"),"")</f>
        <v>163.304798</v>
      </c>
      <c r="N30" s="83">
        <f t="shared" si="28"/>
        <v>-0.07068994457</v>
      </c>
      <c r="O30" s="94">
        <f>IFERROR(SUMPRODUCT(('Raw Data'!$B$2:$B$9999="Control")*('Raw Data'!$C$2:$C$9999="E. 40-99")*'Raw Data'!$D$2:$D$9999*'Raw Data'!$U$2:$U$9999)/SUMIFS('Raw Data'!$D:$D, 'Raw Data'!$B:$B, "Control", 'Raw Data'!$C:$C, "E. 40-99"),"")</f>
        <v>324.7456559</v>
      </c>
      <c r="P30" s="58">
        <f>IFERROR(SUMPRODUCT(('Raw Data'!$B$2:$B$9999="Variant")*('Raw Data'!$C$2:$C$9999="E. 40-99")*'Raw Data'!$D$2:$D$9999*'Raw Data'!$U$2:$U$9999)/SUMIFS('Raw Data'!$D:$D, 'Raw Data'!$B:$B, "Variant", 'Raw Data'!$C:$C, "E. 40-99"),"")</f>
        <v>300.8417379</v>
      </c>
      <c r="Q30" s="70">
        <f t="shared" si="29"/>
        <v>-0.07360812253</v>
      </c>
      <c r="R30" s="95">
        <f>IFERROR(SUMPRODUCT(('Raw Data'!$B$2:$B$9999="Control")*('Raw Data'!$C$2:$C$9999="F. 100+")*'Raw Data'!$D$2:$D$9999*'Raw Data'!$U$2:$U$9999)/SUMIFS('Raw Data'!$D:$D, 'Raw Data'!$B:$B, "Control", 'Raw Data'!$C:$C, "F. 100+"),"")</f>
        <v>606.735623</v>
      </c>
      <c r="S30" s="58">
        <f>IFERROR(SUMPRODUCT(('Raw Data'!$B$2:$B$9999="Variant")*('Raw Data'!$C$2:$C$9999="F. 100+")*'Raw Data'!$D$2:$D$9999*'Raw Data'!$U$2:$U$9999)/SUMIFS('Raw Data'!$D:$D, 'Raw Data'!$B:$B, "Variant", 'Raw Data'!$C:$C, "F. 100+"),"")</f>
        <v>557.4538796</v>
      </c>
      <c r="T30" s="70">
        <f t="shared" si="30"/>
        <v>-0.08122441057</v>
      </c>
      <c r="V30" s="1" t="s">
        <v>192</v>
      </c>
    </row>
    <row r="31" ht="15.75" customHeight="1">
      <c r="A31" s="23"/>
      <c r="B31" s="120" t="s">
        <v>59</v>
      </c>
      <c r="C31" s="94">
        <f>IFERROR(SUMPRODUCT(('Raw Data'!$B$2:$B$9999="Control")*('Raw Data'!$C$2:$C$9999="A. 0")*'Raw Data'!$D$2:$D$9999*'Raw Data'!$V$2:$V$9999)/SUMIFS('Raw Data'!$D:$D, 'Raw Data'!$B:$B, "Control", 'Raw Data'!$C:$C, "A. 0"),"")</f>
        <v>2.533336733</v>
      </c>
      <c r="D31" s="58">
        <f>IFERROR(SUMPRODUCT(('Raw Data'!$B$2:$B$9999="Variant")*('Raw Data'!$C$2:$C$9999="A. 0")*'Raw Data'!$D$2:$D$9999*'Raw Data'!$V$2:$V$9999)/SUMIFS('Raw Data'!$D:$D, 'Raw Data'!$B:$B, "Variant", 'Raw Data'!$C:$C, "A. 0"),"")</f>
        <v>2.18117791</v>
      </c>
      <c r="E31" s="49">
        <f t="shared" si="25"/>
        <v>-0.1390098755</v>
      </c>
      <c r="F31" s="95">
        <f>IFERROR(SUMPRODUCT(('Raw Data'!$B$2:$B$9999="Control")*('Raw Data'!$C$2:$C$9999="B. 1-9")*'Raw Data'!$D$2:$D$9999*'Raw Data'!$V$2:$V$9999)/SUMIFS('Raw Data'!$D:$D, 'Raw Data'!$B:$B, "Control", 'Raw Data'!$C:$C, "B. 1-9"),"")</f>
        <v>56.60301118</v>
      </c>
      <c r="G31" s="58">
        <f>IFERROR(SUMPRODUCT(('Raw Data'!$B$2:$B$9999="Variant")*('Raw Data'!$C$2:$C$9999="B. 1-9")*'Raw Data'!$D$2:$D$9999*'Raw Data'!$V$2:$V$9999)/SUMIFS('Raw Data'!$D:$D, 'Raw Data'!$B:$B, "Variant", 'Raw Data'!$C:$C, "B. 1-9"),"")</f>
        <v>53.43501367</v>
      </c>
      <c r="H31" s="68">
        <f t="shared" si="26"/>
        <v>-0.05596870997</v>
      </c>
      <c r="I31" s="94">
        <f>IFERROR(SUMPRODUCT(('Raw Data'!$B$2:$B$9999="Control")*('Raw Data'!$C$2:$C$9999="C. 10-19")*'Raw Data'!$D$2:$D$9999*'Raw Data'!$V$2:$V$9999)/SUMIFS('Raw Data'!$D:$D, 'Raw Data'!$B:$B, "Control", 'Raw Data'!$C:$C, "C. 10-19"),"")</f>
        <v>111.5904644</v>
      </c>
      <c r="J31" s="58">
        <f>IFERROR(SUMPRODUCT(('Raw Data'!$B$2:$B$9999="Variant")*('Raw Data'!$C$2:$C$9999="C. 10-19")*'Raw Data'!$D$2:$D$9999*'Raw Data'!$V$2:$V$9999)/SUMIFS('Raw Data'!$D:$D, 'Raw Data'!$B:$B, "Variant", 'Raw Data'!$C:$C, "C. 10-19"),"")</f>
        <v>103.5392426</v>
      </c>
      <c r="K31" s="68">
        <f t="shared" si="27"/>
        <v>-0.07214972871</v>
      </c>
      <c r="L31" s="95">
        <f>IFERROR(SUMPRODUCT(('Raw Data'!$B$2:$B$9999="Control")*('Raw Data'!$C$2:$C$9999="D. 20-39")*'Raw Data'!$D$2:$D$9999*'Raw Data'!$V$2:$V$9999)/SUMIFS('Raw Data'!$D:$D, 'Raw Data'!$B:$B, "Control", 'Raw Data'!$C:$C, "D. 20-39"),"")</f>
        <v>196.4945093</v>
      </c>
      <c r="M31" s="58">
        <f>IFERROR(SUMPRODUCT(('Raw Data'!$B$2:$B$9999="Variant")*('Raw Data'!$C$2:$C$9999="D. 20-39")*'Raw Data'!$D$2:$D$9999*'Raw Data'!$V$2:$V$9999)/SUMIFS('Raw Data'!$D:$D, 'Raw Data'!$B:$B, "Variant", 'Raw Data'!$C:$C, "D. 20-39"),"")</f>
        <v>183.3013993</v>
      </c>
      <c r="N31" s="68">
        <f t="shared" si="28"/>
        <v>-0.06714238472</v>
      </c>
      <c r="O31" s="94">
        <f>IFERROR(SUMPRODUCT(('Raw Data'!$B$2:$B$9999="Control")*('Raw Data'!$C$2:$C$9999="E. 40-99")*'Raw Data'!$D$2:$D$9999*'Raw Data'!$V$2:$V$9999)/SUMIFS('Raw Data'!$D:$D, 'Raw Data'!$B:$B, "Control", 'Raw Data'!$C:$C, "E. 40-99"),"")</f>
        <v>353.5279989</v>
      </c>
      <c r="P31" s="58">
        <f>IFERROR(SUMPRODUCT(('Raw Data'!$B$2:$B$9999="Variant")*('Raw Data'!$C$2:$C$9999="E. 40-99")*'Raw Data'!$D$2:$D$9999*'Raw Data'!$V$2:$V$9999)/SUMIFS('Raw Data'!$D:$D, 'Raw Data'!$B:$B, "Variant", 'Raw Data'!$C:$C, "E. 40-99"),"")</f>
        <v>331.3570744</v>
      </c>
      <c r="Q31" s="68">
        <f t="shared" si="29"/>
        <v>-0.06271334824</v>
      </c>
      <c r="R31" s="95">
        <f>IFERROR(SUMPRODUCT(('Raw Data'!$B$2:$B$9999="Control")*('Raw Data'!$C$2:$C$9999="F. 100+")*'Raw Data'!$D$2:$D$9999*'Raw Data'!$V$2:$V$9999)/SUMIFS('Raw Data'!$D:$D, 'Raw Data'!$B:$B, "Control", 'Raw Data'!$C:$C, "F. 100+"),"")</f>
        <v>795.9814228</v>
      </c>
      <c r="S31" s="58">
        <f>IFERROR(SUMPRODUCT(('Raw Data'!$B$2:$B$9999="Variant")*('Raw Data'!$C$2:$C$9999="F. 100+")*'Raw Data'!$D$2:$D$9999*'Raw Data'!$V$2:$V$9999)/SUMIFS('Raw Data'!$D:$D, 'Raw Data'!$B:$B, "Variant", 'Raw Data'!$C:$C, "F. 100+"),"")</f>
        <v>566.0606359</v>
      </c>
      <c r="T31" s="47">
        <f t="shared" si="30"/>
        <v>-0.2888519509</v>
      </c>
    </row>
    <row r="32" ht="15.75" customHeight="1">
      <c r="A32" s="23"/>
      <c r="B32" s="120" t="s">
        <v>193</v>
      </c>
      <c r="C32" s="94">
        <f>IFERROR(SUMPRODUCT(('Raw Data'!$B$2:$B$9999="Control")*('Raw Data'!$C$2:$C$9999="A. 0")*'Raw Data'!$D$2:$D$9999*('Raw Data'!$Q$2:$Q$9999-'Raw Data'!$V$2:$V$9999))/SUMIFS('Raw Data'!$D:$D, 'Raw Data'!$B:$B, "Control", 'Raw Data'!$C:$C, "A. 0"),"")</f>
        <v>22.6896842</v>
      </c>
      <c r="D32" s="58">
        <f>IFERROR(SUMPRODUCT(('Raw Data'!$B$2:$B$9999="Variant")*('Raw Data'!$C$2:$C$9999="A. 0")*'Raw Data'!$D$2:$D$9999*('Raw Data'!$Q$2:$Q$9999-'Raw Data'!$V$2:$V$9999))/SUMIFS('Raw Data'!$D:$D, 'Raw Data'!$B:$B, "Variant", 'Raw Data'!$C:$C, "A. 0"),"")</f>
        <v>18.95348024</v>
      </c>
      <c r="E32" s="49">
        <f t="shared" si="25"/>
        <v>-0.1646653132</v>
      </c>
      <c r="F32" s="95">
        <f>IFERROR(SUMPRODUCT(('Raw Data'!$B$2:$B$9999="Control")*('Raw Data'!$C$2:$C$9999="B. 1-9")*'Raw Data'!$D$2:$D$9999*('Raw Data'!$Q$2:$Q$9999-'Raw Data'!$V$2:$V$9999))/SUMIFS('Raw Data'!$D:$D, 'Raw Data'!$B:$B, "Control", 'Raw Data'!$C:$C, "B. 1-9"),"")</f>
        <v>3.053537393</v>
      </c>
      <c r="G32" s="58">
        <f>IFERROR(SUMPRODUCT(('Raw Data'!$B$2:$B$9999="Variant")*('Raw Data'!$C$2:$C$9999="B. 1-9")*'Raw Data'!$D$2:$D$9999*('Raw Data'!$Q$2:$Q$9999-'Raw Data'!$V$2:$V$9999))/SUMIFS('Raw Data'!$D:$D, 'Raw Data'!$B:$B, "Variant", 'Raw Data'!$C:$C, "B. 1-9"),"")</f>
        <v>1.284111801</v>
      </c>
      <c r="H32" s="83">
        <f t="shared" si="26"/>
        <v>-0.5794674714</v>
      </c>
      <c r="I32" s="94">
        <f>IFERROR(SUMPRODUCT(('Raw Data'!$B$2:$B$9999="Control")*('Raw Data'!$C$2:$C$9999="C. 10-19")*'Raw Data'!$D$2:$D$9999*('Raw Data'!$Q$2:$Q$9999-'Raw Data'!$V$2:$V$9999))/SUMIFS('Raw Data'!$D:$D, 'Raw Data'!$B:$B, "Control", 'Raw Data'!$C:$C, "C. 10-19"),"")</f>
        <v>-0.3923731362</v>
      </c>
      <c r="J32" s="58">
        <f>IFERROR(SUMPRODUCT(('Raw Data'!$B$2:$B$9999="Variant")*('Raw Data'!$C$2:$C$9999="C. 10-19")*'Raw Data'!$D$2:$D$9999*('Raw Data'!$Q$2:$Q$9999-'Raw Data'!$V$2:$V$9999))/SUMIFS('Raw Data'!$D:$D, 'Raw Data'!$B:$B, "Variant", 'Raw Data'!$C:$C, "C. 10-19"),"")</f>
        <v>-1.50923742</v>
      </c>
      <c r="K32" s="70">
        <f t="shared" si="27"/>
        <v>-2.846434124</v>
      </c>
      <c r="L32" s="95">
        <f>IFERROR(SUMPRODUCT(('Raw Data'!$B$2:$B$9999="Control")*('Raw Data'!$C$2:$C$9999="D. 20-39")*'Raw Data'!$D$2:$D$9999*('Raw Data'!$Q$2:$Q$9999-'Raw Data'!$V$2:$V$9999))/SUMIFS('Raw Data'!$D:$D, 'Raw Data'!$B:$B, "Control", 'Raw Data'!$C:$C, "D. 20-39"),"")</f>
        <v>1.552076785</v>
      </c>
      <c r="M32" s="58">
        <f>IFERROR(SUMPRODUCT(('Raw Data'!$B$2:$B$9999="Variant")*('Raw Data'!$C$2:$C$9999="D. 20-39")*'Raw Data'!$D$2:$D$9999*('Raw Data'!$Q$2:$Q$9999-'Raw Data'!$V$2:$V$9999))/SUMIFS('Raw Data'!$D:$D, 'Raw Data'!$B:$B, "Variant", 'Raw Data'!$C:$C, "D. 20-39"),"")</f>
        <v>0.1220400891</v>
      </c>
      <c r="N32" s="83">
        <f t="shared" si="28"/>
        <v>-0.9213698122</v>
      </c>
      <c r="O32" s="94">
        <f>IFERROR(SUMPRODUCT(('Raw Data'!$B$2:$B$9999="Control")*('Raw Data'!$C$2:$C$9999="E. 40-99")*'Raw Data'!$D$2:$D$9999*('Raw Data'!$Q$2:$Q$9999-'Raw Data'!$V$2:$V$9999))/SUMIFS('Raw Data'!$D:$D, 'Raw Data'!$B:$B, "Control", 'Raw Data'!$C:$C, "E. 40-99"),"")</f>
        <v>10.4621649</v>
      </c>
      <c r="P32" s="58">
        <f>IFERROR(SUMPRODUCT(('Raw Data'!$B$2:$B$9999="Variant")*('Raw Data'!$C$2:$C$9999="E. 40-99")*'Raw Data'!$D$2:$D$9999*('Raw Data'!$Q$2:$Q$9999-'Raw Data'!$V$2:$V$9999))/SUMIFS('Raw Data'!$D:$D, 'Raw Data'!$B:$B, "Variant", 'Raw Data'!$C:$C, "E. 40-99"),"")</f>
        <v>8.943892136</v>
      </c>
      <c r="Q32" s="70">
        <f t="shared" si="29"/>
        <v>-0.1451203243</v>
      </c>
      <c r="R32" s="95">
        <f>IFERROR(SUMPRODUCT(('Raw Data'!$B$2:$B$9999="Control")*('Raw Data'!$C$2:$C$9999="F. 100+")*'Raw Data'!$D$2:$D$9999*('Raw Data'!$Q$2:$Q$9999-'Raw Data'!$V$2:$V$9999))/SUMIFS('Raw Data'!$D:$D, 'Raw Data'!$B:$B, "Control", 'Raw Data'!$C:$C, "F. 100+"),"")</f>
        <v>-133.0164831</v>
      </c>
      <c r="S32" s="58">
        <f>IFERROR(SUMPRODUCT(('Raw Data'!$B$2:$B$9999="Variant")*('Raw Data'!$C$2:$C$9999="F. 100+")*'Raw Data'!$D$2:$D$9999*('Raw Data'!$Q$2:$Q$9999-'Raw Data'!$V$2:$V$9999))/SUMIFS('Raw Data'!$D:$D, 'Raw Data'!$B:$B, "Variant", 'Raw Data'!$C:$C, "F. 100+"),"")</f>
        <v>52.44182245</v>
      </c>
      <c r="T32" s="70">
        <f t="shared" si="30"/>
        <v>1.394250556</v>
      </c>
    </row>
    <row r="33" ht="15.75" customHeight="1">
      <c r="A33" s="23"/>
      <c r="B33" s="42" t="s">
        <v>61</v>
      </c>
      <c r="C33" s="94">
        <f>IFERROR(SUMPRODUCT(('Raw Data'!$B$2:$B$9999="Control")*('Raw Data'!$C$2:$C$9999="A. 0")*'Raw Data'!$D$2:$D$9999*'Raw Data'!$W$2:$W$9999)/SUMIFS('Raw Data'!$D:$D, 'Raw Data'!$B:$B, "Control", 'Raw Data'!$C:$C, "A. 0"),"")</f>
        <v>0.9132514382</v>
      </c>
      <c r="D33" s="58">
        <f>IFERROR(SUMPRODUCT(('Raw Data'!$B$2:$B$9999="Variant")*('Raw Data'!$C$2:$C$9999="A. 0")*'Raw Data'!$D$2:$D$9999*'Raw Data'!$W$2:$W$9999)/SUMIFS('Raw Data'!$D:$D, 'Raw Data'!$B:$B, "Variant", 'Raw Data'!$C:$C, "A. 0"),"")</f>
        <v>0.7892265766</v>
      </c>
      <c r="E33" s="49">
        <f t="shared" si="25"/>
        <v>-0.1358058214</v>
      </c>
      <c r="F33" s="95">
        <f>IFERROR(SUMPRODUCT(('Raw Data'!$B$2:$B$9999="Control")*('Raw Data'!$C$2:$C$9999="B. 1-9")*'Raw Data'!$D$2:$D$9999*'Raw Data'!$W$2:$W$9999)/SUMIFS('Raw Data'!$D:$D, 'Raw Data'!$B:$B, "Control", 'Raw Data'!$C:$C, "B. 1-9"),"")</f>
        <v>3.815065761</v>
      </c>
      <c r="G33" s="58">
        <f>IFERROR(SUMPRODUCT(('Raw Data'!$B$2:$B$9999="Variant")*('Raw Data'!$C$2:$C$9999="B. 1-9")*'Raw Data'!$D$2:$D$9999*'Raw Data'!$W$2:$W$9999)/SUMIFS('Raw Data'!$D:$D, 'Raw Data'!$B:$B, "Variant", 'Raw Data'!$C:$C, "B. 1-9"),"")</f>
        <v>3.539869647</v>
      </c>
      <c r="H33" s="55">
        <f t="shared" si="26"/>
        <v>-0.07213404206</v>
      </c>
      <c r="I33" s="94">
        <f>IFERROR(SUMPRODUCT(('Raw Data'!$B$2:$B$9999="Control")*('Raw Data'!$C$2:$C$9999="C. 10-19")*'Raw Data'!$D$2:$D$9999*'Raw Data'!$W$2:$W$9999)/SUMIFS('Raw Data'!$D:$D, 'Raw Data'!$B:$B, "Control", 'Raw Data'!$C:$C, "C. 10-19"),"")</f>
        <v>4.121276685</v>
      </c>
      <c r="J33" s="58">
        <f>IFERROR(SUMPRODUCT(('Raw Data'!$B$2:$B$9999="Variant")*('Raw Data'!$C$2:$C$9999="C. 10-19")*'Raw Data'!$D$2:$D$9999*'Raw Data'!$W$2:$W$9999)/SUMIFS('Raw Data'!$D:$D, 'Raw Data'!$B:$B, "Variant", 'Raw Data'!$C:$C, "C. 10-19"),"")</f>
        <v>3.667124547</v>
      </c>
      <c r="K33" s="49">
        <f t="shared" si="27"/>
        <v>-0.110196954</v>
      </c>
      <c r="L33" s="95">
        <f>IFERROR(SUMPRODUCT(('Raw Data'!$B$2:$B$9999="Control")*('Raw Data'!$C$2:$C$9999="D. 20-39")*'Raw Data'!$D$2:$D$9999*'Raw Data'!$W$2:$W$9999)/SUMIFS('Raw Data'!$D:$D, 'Raw Data'!$B:$B, "Control", 'Raw Data'!$C:$C, "D. 20-39"),"")</f>
        <v>4.632772393</v>
      </c>
      <c r="M33" s="58">
        <f>IFERROR(SUMPRODUCT(('Raw Data'!$B$2:$B$9999="Variant")*('Raw Data'!$C$2:$C$9999="D. 20-39")*'Raw Data'!$D$2:$D$9999*'Raw Data'!$W$2:$W$9999)/SUMIFS('Raw Data'!$D:$D, 'Raw Data'!$B:$B, "Variant", 'Raw Data'!$C:$C, "D. 20-39"),"")</f>
        <v>4.176234559</v>
      </c>
      <c r="N33" s="55">
        <f t="shared" si="28"/>
        <v>-0.09854527592</v>
      </c>
      <c r="O33" s="94">
        <f>IFERROR(SUMPRODUCT(('Raw Data'!$B$2:$B$9999="Control")*('Raw Data'!$C$2:$C$9999="E. 40-99")*'Raw Data'!$D$2:$D$9999*'Raw Data'!$W$2:$W$9999)/SUMIFS('Raw Data'!$D:$D, 'Raw Data'!$B:$B, "Control", 'Raw Data'!$C:$C, "E. 40-99"),"")</f>
        <v>4.511068271</v>
      </c>
      <c r="P33" s="58">
        <f>IFERROR(SUMPRODUCT(('Raw Data'!$B$2:$B$9999="Variant")*('Raw Data'!$C$2:$C$9999="E. 40-99")*'Raw Data'!$D$2:$D$9999*'Raw Data'!$W$2:$W$9999)/SUMIFS('Raw Data'!$D:$D, 'Raw Data'!$B:$B, "Variant", 'Raw Data'!$C:$C, "E. 40-99"),"")</f>
        <v>4.220054366</v>
      </c>
      <c r="Q33" s="49">
        <f t="shared" si="29"/>
        <v>-0.06451108427</v>
      </c>
      <c r="R33" s="95">
        <f>IFERROR(SUMPRODUCT(('Raw Data'!$B$2:$B$9999="Control")*('Raw Data'!$C$2:$C$9999="F. 100+")*'Raw Data'!$D$2:$D$9999*'Raw Data'!$W$2:$W$9999)/SUMIFS('Raw Data'!$D:$D, 'Raw Data'!$B:$B, "Control", 'Raw Data'!$C:$C, "F. 100+"),"")</f>
        <v>5.170857797</v>
      </c>
      <c r="S33" s="58">
        <f>IFERROR(SUMPRODUCT(('Raw Data'!$B$2:$B$9999="Variant")*('Raw Data'!$C$2:$C$9999="F. 100+")*'Raw Data'!$D$2:$D$9999*'Raw Data'!$W$2:$W$9999)/SUMIFS('Raw Data'!$D:$D, 'Raw Data'!$B:$B, "Variant", 'Raw Data'!$C:$C, "F. 100+"),"")</f>
        <v>3.712348442</v>
      </c>
      <c r="T33" s="39">
        <f t="shared" si="30"/>
        <v>-0.2820633273</v>
      </c>
    </row>
    <row r="34" ht="15.75" customHeight="1">
      <c r="A34" s="23"/>
      <c r="B34" s="42" t="s">
        <v>62</v>
      </c>
      <c r="C34" s="114">
        <f>IFERROR(SUMPRODUCT(('Raw Data'!$B$2:$B$9999="Control")*('Raw Data'!$C$2:$C$9999="A. 0")*'Raw Data'!$D$2:$D$9999*'Raw Data'!$X$2:$X$9999)/SUMIFS('Raw Data'!$D:$D, 'Raw Data'!$B:$B, "Control", 'Raw Data'!$C:$C, "A. 0"),"")</f>
        <v>0.6288449141</v>
      </c>
      <c r="D34" s="73">
        <f>IFERROR(SUMPRODUCT(('Raw Data'!$B$2:$B$9999="Variant")*('Raw Data'!$C$2:$C$9999="A. 0")*'Raw Data'!$D$2:$D$9999*'Raw Data'!$X$2:$X$9999)/SUMIFS('Raw Data'!$D:$D, 'Raw Data'!$B:$B, "Variant", 'Raw Data'!$C:$C, "A. 0"),"")</f>
        <v>1.814181351</v>
      </c>
      <c r="E34" s="66">
        <f t="shared" si="25"/>
        <v>1.884942392</v>
      </c>
      <c r="F34" s="115">
        <f>IFERROR(SUMPRODUCT(('Raw Data'!$B$2:$B$9999="Control")*('Raw Data'!$C$2:$C$9999="B. 1-9")*'Raw Data'!$D$2:$D$9999*'Raw Data'!$X$2:$X$9999)/SUMIFS('Raw Data'!$D:$D, 'Raw Data'!$B:$B, "Control", 'Raw Data'!$C:$C, "B. 1-9"),"")</f>
        <v>4.78581437</v>
      </c>
      <c r="G34" s="73">
        <f>IFERROR(SUMPRODUCT(('Raw Data'!$B$2:$B$9999="Variant")*('Raw Data'!$C$2:$C$9999="B. 1-9")*'Raw Data'!$D$2:$D$9999*'Raw Data'!$X$2:$X$9999)/SUMIFS('Raw Data'!$D:$D, 'Raw Data'!$B:$B, "Variant", 'Raw Data'!$C:$C, "B. 1-9"),"")</f>
        <v>5.10029031</v>
      </c>
      <c r="H34" s="83">
        <f t="shared" si="26"/>
        <v>0.06571001607</v>
      </c>
      <c r="I34" s="114">
        <f>IFERROR(SUMPRODUCT(('Raw Data'!$B$2:$B$9999="Control")*('Raw Data'!$C$2:$C$9999="C. 10-19")*'Raw Data'!$D$2:$D$9999*'Raw Data'!$X$2:$X$9999)/SUMIFS('Raw Data'!$D:$D, 'Raw Data'!$B:$B, "Control", 'Raw Data'!$C:$C, "C. 10-19"),"")</f>
        <v>8.618629996</v>
      </c>
      <c r="J34" s="73">
        <f>IFERROR(SUMPRODUCT(('Raw Data'!$B$2:$B$9999="Variant")*('Raw Data'!$C$2:$C$9999="C. 10-19")*'Raw Data'!$D$2:$D$9999*'Raw Data'!$X$2:$X$9999)/SUMIFS('Raw Data'!$D:$D, 'Raw Data'!$B:$B, "Variant", 'Raw Data'!$C:$C, "C. 10-19"),"")</f>
        <v>9.511977058</v>
      </c>
      <c r="K34" s="70">
        <f t="shared" si="27"/>
        <v>0.103653024</v>
      </c>
      <c r="L34" s="115">
        <f>IFERROR(SUMPRODUCT(('Raw Data'!$B$2:$B$9999="Control")*('Raw Data'!$C$2:$C$9999="D. 20-39")*'Raw Data'!$D$2:$D$9999*'Raw Data'!$X$2:$X$9999)/SUMIFS('Raw Data'!$D:$D, 'Raw Data'!$B:$B, "Control", 'Raw Data'!$C:$C, "D. 20-39"),"")</f>
        <v>11.46312122</v>
      </c>
      <c r="M34" s="73">
        <f>IFERROR(SUMPRODUCT(('Raw Data'!$B$2:$B$9999="Variant")*('Raw Data'!$C$2:$C$9999="D. 20-39")*'Raw Data'!$D$2:$D$9999*'Raw Data'!$X$2:$X$9999)/SUMIFS('Raw Data'!$D:$D, 'Raw Data'!$B:$B, "Variant", 'Raw Data'!$C:$C, "D. 20-39"),"")</f>
        <v>11.40313757</v>
      </c>
      <c r="N34" s="83">
        <f t="shared" si="28"/>
        <v>-0.005232750337</v>
      </c>
      <c r="O34" s="114">
        <f>IFERROR(SUMPRODUCT(('Raw Data'!$B$2:$B$9999="Control")*('Raw Data'!$C$2:$C$9999="E. 40-99")*'Raw Data'!$D$2:$D$9999*'Raw Data'!$X$2:$X$9999)/SUMIFS('Raw Data'!$D:$D, 'Raw Data'!$B:$B, "Control", 'Raw Data'!$C:$C, "E. 40-99"),"")</f>
        <v>11.13052782</v>
      </c>
      <c r="P34" s="73">
        <f>IFERROR(SUMPRODUCT(('Raw Data'!$B$2:$B$9999="Variant")*('Raw Data'!$C$2:$C$9999="E. 40-99")*'Raw Data'!$D$2:$D$9999*'Raw Data'!$X$2:$X$9999)/SUMIFS('Raw Data'!$D:$D, 'Raw Data'!$B:$B, "Variant", 'Raw Data'!$C:$C, "E. 40-99"),"")</f>
        <v>11.91433323</v>
      </c>
      <c r="Q34" s="70">
        <f t="shared" si="29"/>
        <v>0.07041942886</v>
      </c>
      <c r="R34" s="115">
        <f>IFERROR(SUMPRODUCT(('Raw Data'!$B$2:$B$9999="Control")*('Raw Data'!$C$2:$C$9999="F. 100+")*'Raw Data'!$D$2:$D$9999*'Raw Data'!$X$2:$X$9999)/SUMIFS('Raw Data'!$D:$D, 'Raw Data'!$B:$B, "Control", 'Raw Data'!$C:$C, "F. 100+"),"")</f>
        <v>8.889368971</v>
      </c>
      <c r="S34" s="73">
        <f>IFERROR(SUMPRODUCT(('Raw Data'!$B$2:$B$9999="Variant")*('Raw Data'!$C$2:$C$9999="F. 100+")*'Raw Data'!$D$2:$D$9999*'Raw Data'!$X$2:$X$9999)/SUMIFS('Raw Data'!$D:$D, 'Raw Data'!$B:$B, "Variant", 'Raw Data'!$C:$C, "F. 100+"),"")</f>
        <v>10.27227059</v>
      </c>
      <c r="T34" s="47">
        <f t="shared" si="30"/>
        <v>0.1555680304</v>
      </c>
    </row>
    <row r="35" ht="15.75" customHeight="1">
      <c r="A35" s="123" t="s">
        <v>101</v>
      </c>
      <c r="B35" s="35"/>
      <c r="C35" s="36"/>
      <c r="D35" s="21"/>
      <c r="E35" s="38"/>
      <c r="F35" s="40"/>
      <c r="G35" s="21"/>
      <c r="H35" s="35"/>
      <c r="I35" s="36"/>
      <c r="J35" s="21"/>
      <c r="K35" s="38"/>
      <c r="L35" s="40"/>
      <c r="M35" s="21"/>
      <c r="N35" s="35"/>
      <c r="O35" s="36"/>
      <c r="P35" s="21"/>
      <c r="Q35" s="38"/>
      <c r="R35" s="40"/>
      <c r="S35" s="21"/>
      <c r="T35" s="21"/>
    </row>
    <row r="36" ht="15.75" customHeight="1">
      <c r="A36" s="23"/>
      <c r="B36" s="124" t="s">
        <v>102</v>
      </c>
      <c r="C36" s="45">
        <f>IFERROR(SUMPRODUCT(('Raw Data'!$B$2:$B$9999="Control")*('Raw Data'!$C$2:$C$9999="A. 0")*'Raw Data'!$D$2:$D$9999*'Raw Data'!$AX$2:$AX$9999)/SUMIFS('Raw Data'!$D:$D, 'Raw Data'!$B:$B, "Control", 'Raw Data'!$C:$C, "A. 0"),"")</f>
        <v>12.91982251</v>
      </c>
      <c r="D36" s="32">
        <f>IFERROR(SUMPRODUCT(('Raw Data'!$B$2:$B$9999="Variant")*('Raw Data'!$C$2:$C$9999="A. 0")*'Raw Data'!$D$2:$D$9999*'Raw Data'!$AX$2:$AX$9999)/SUMIFS('Raw Data'!$D:$D, 'Raw Data'!$B:$B, "Variant", 'Raw Data'!$C:$C, "A. 0"),"")</f>
        <v>9.280534019</v>
      </c>
      <c r="E36" s="49">
        <f t="shared" ref="E36:E40" si="31">IFERROR((D36-C36)/ABS(C36),"")</f>
        <v>-0.2816825457</v>
      </c>
      <c r="F36" s="53">
        <f>IFERROR(SUMPRODUCT(('Raw Data'!$B$2:$B$9999="Control")*('Raw Data'!$C$2:$C$9999="B. 1-9")*'Raw Data'!$D$2:$D$9999*'Raw Data'!$AX$2:$AX$9999)/SUMIFS('Raw Data'!$D:$D, 'Raw Data'!$B:$B, "Control", 'Raw Data'!$C:$C, "B. 1-9"),"")</f>
        <v>28.20061951</v>
      </c>
      <c r="G36" s="32">
        <f>IFERROR(SUMPRODUCT(('Raw Data'!$B$2:$B$9999="Variant")*('Raw Data'!$C$2:$C$9999="B. 1-9")*'Raw Data'!$D$2:$D$9999*'Raw Data'!$AX$2:$AX$9999)/SUMIFS('Raw Data'!$D:$D, 'Raw Data'!$B:$B, "Variant", 'Raw Data'!$C:$C, "B. 1-9"),"")</f>
        <v>19.63382637</v>
      </c>
      <c r="H36" s="55">
        <f t="shared" ref="H36:H40" si="32">IFERROR((G36-F36)/ABS(F36),"")</f>
        <v>-0.3037803174</v>
      </c>
      <c r="I36" s="45">
        <f>IFERROR(SUMPRODUCT(('Raw Data'!$B$2:$B$9999="Control")*('Raw Data'!$C$2:$C$9999="C. 10-19")*'Raw Data'!$D$2:$D$9999*'Raw Data'!$AX$2:$AX$9999)/SUMIFS('Raw Data'!$D:$D, 'Raw Data'!$B:$B, "Control", 'Raw Data'!$C:$C, "C. 10-19"),"")</f>
        <v>45.35971332</v>
      </c>
      <c r="J36" s="32">
        <f>IFERROR(SUMPRODUCT(('Raw Data'!$B$2:$B$9999="Variant")*('Raw Data'!$C$2:$C$9999="C. 10-19")*'Raw Data'!$D$2:$D$9999*'Raw Data'!$AX$2:$AX$9999)/SUMIFS('Raw Data'!$D:$D, 'Raw Data'!$B:$B, "Variant", 'Raw Data'!$C:$C, "C. 10-19"),"")</f>
        <v>30.58405619</v>
      </c>
      <c r="K36" s="49">
        <f t="shared" ref="K36:K40" si="33">IFERROR((J36-I36)/ABS(I36),"")</f>
        <v>-0.3257440589</v>
      </c>
      <c r="L36" s="53">
        <f>IFERROR(SUMPRODUCT(('Raw Data'!$B$2:$B$9999="Control")*('Raw Data'!$C$2:$C$9999="D. 20-39")*'Raw Data'!$D$2:$D$9999*'Raw Data'!$AX$2:$AX$9999)/SUMIFS('Raw Data'!$D:$D, 'Raw Data'!$B:$B, "Control", 'Raw Data'!$C:$C, "D. 20-39"),"")</f>
        <v>73.70421585</v>
      </c>
      <c r="M36" s="32">
        <f>IFERROR(SUMPRODUCT(('Raw Data'!$B$2:$B$9999="Variant")*('Raw Data'!$C$2:$C$9999="D. 20-39")*'Raw Data'!$D$2:$D$9999*'Raw Data'!$AX$2:$AX$9999)/SUMIFS('Raw Data'!$D:$D, 'Raw Data'!$B:$B, "Variant", 'Raw Data'!$C:$C, "D. 20-39"),"")</f>
        <v>48.80477334</v>
      </c>
      <c r="N36" s="55">
        <f t="shared" ref="N36:N40" si="34">IFERROR((M36-L36)/ABS(L36),"")</f>
        <v>-0.3378292845</v>
      </c>
      <c r="O36" s="45">
        <f>IFERROR(SUMPRODUCT(('Raw Data'!$B$2:$B$9999="Control")*('Raw Data'!$C$2:$C$9999="E. 40-99")*'Raw Data'!$D$2:$D$9999*'Raw Data'!$AX$2:$AX$9999)/SUMIFS('Raw Data'!$D:$D, 'Raw Data'!$B:$B, "Control", 'Raw Data'!$C:$C, "E. 40-99"),"")</f>
        <v>140.8765978</v>
      </c>
      <c r="P36" s="32">
        <f>IFERROR(SUMPRODUCT(('Raw Data'!$B$2:$B$9999="Variant")*('Raw Data'!$C$2:$C$9999="E. 40-99")*'Raw Data'!$D$2:$D$9999*'Raw Data'!$AX$2:$AX$9999)/SUMIFS('Raw Data'!$D:$D, 'Raw Data'!$B:$B, "Variant", 'Raw Data'!$C:$C, "E. 40-99"),"")</f>
        <v>86.60476348</v>
      </c>
      <c r="Q36" s="49">
        <f t="shared" ref="Q36:Q40" si="35">IFERROR((P36-O36)/ABS(O36),"")</f>
        <v>-0.3852437888</v>
      </c>
      <c r="R36" s="53">
        <f>IFERROR(SUMPRODUCT(('Raw Data'!$B$2:$B$9999="Control")*('Raw Data'!$C$2:$C$9999="F. 100+")*'Raw Data'!$D$2:$D$9999*'Raw Data'!$AX$2:$AX$9999)/SUMIFS('Raw Data'!$D:$D, 'Raw Data'!$B:$B, "Control", 'Raw Data'!$C:$C, "F. 100+"),"")</f>
        <v>291.8728979</v>
      </c>
      <c r="S36" s="32">
        <f>IFERROR(SUMPRODUCT(('Raw Data'!$B$2:$B$9999="Variant")*('Raw Data'!$C$2:$C$9999="F. 100+")*'Raw Data'!$D$2:$D$9999*'Raw Data'!$AX$2:$AX$9999)/SUMIFS('Raw Data'!$D:$D, 'Raw Data'!$B:$B, "Variant", 'Raw Data'!$C:$C, "F. 100+"),"")</f>
        <v>165.7748912</v>
      </c>
      <c r="T36" s="55">
        <f t="shared" ref="T36:T40" si="36">IFERROR((S36-R36)/ABS(R36),"")</f>
        <v>-0.4320305436</v>
      </c>
    </row>
    <row r="37" ht="15.75" customHeight="1">
      <c r="A37" s="23"/>
      <c r="B37" s="124" t="s">
        <v>103</v>
      </c>
      <c r="C37" s="45">
        <f>IFERROR(SUMPRODUCT(('Raw Data'!$B$2:$B$9999="Control")*('Raw Data'!$C$2:$C$9999="A. 0")*'Raw Data'!$D$2:$D$9999*'Raw Data'!$AY$2:$AY$9999)/SUMIFS('Raw Data'!$D:$D, 'Raw Data'!$B:$B, "Control", 'Raw Data'!$C:$C, "A. 0"),"")</f>
        <v>10.08183198</v>
      </c>
      <c r="D37" s="32">
        <f>IFERROR(SUMPRODUCT(('Raw Data'!$B$2:$B$9999="Variant")*('Raw Data'!$C$2:$C$9999="A. 0")*'Raw Data'!$D$2:$D$9999*'Raw Data'!$AY$2:$AY$9999)/SUMIFS('Raw Data'!$D:$D, 'Raw Data'!$B:$B, "Variant", 'Raw Data'!$C:$C, "A. 0"),"")</f>
        <v>9.394061943</v>
      </c>
      <c r="E37" s="49">
        <f t="shared" si="31"/>
        <v>-0.06821875613</v>
      </c>
      <c r="F37" s="53">
        <f>IFERROR(SUMPRODUCT(('Raw Data'!$B$2:$B$9999="Control")*('Raw Data'!$C$2:$C$9999="B. 1-9")*'Raw Data'!$D$2:$D$9999*'Raw Data'!$AY$2:$AY$9999)/SUMIFS('Raw Data'!$D:$D, 'Raw Data'!$B:$B, "Control", 'Raw Data'!$C:$C, "B. 1-9"),"")</f>
        <v>24.18588465</v>
      </c>
      <c r="G37" s="32">
        <f>IFERROR(SUMPRODUCT(('Raw Data'!$B$2:$B$9999="Variant")*('Raw Data'!$C$2:$C$9999="B. 1-9")*'Raw Data'!$D$2:$D$9999*'Raw Data'!$AY$2:$AY$9999)/SUMIFS('Raw Data'!$D:$D, 'Raw Data'!$B:$B, "Variant", 'Raw Data'!$C:$C, "B. 1-9"),"")</f>
        <v>28.23797758</v>
      </c>
      <c r="H37" s="55">
        <f t="shared" si="32"/>
        <v>0.1675395788</v>
      </c>
      <c r="I37" s="45">
        <f>IFERROR(SUMPRODUCT(('Raw Data'!$B$2:$B$9999="Control")*('Raw Data'!$C$2:$C$9999="C. 10-19")*'Raw Data'!$D$2:$D$9999*'Raw Data'!$AY$2:$AY$9999)/SUMIFS('Raw Data'!$D:$D, 'Raw Data'!$B:$B, "Control", 'Raw Data'!$C:$C, "C. 10-19"),"")</f>
        <v>50.15364466</v>
      </c>
      <c r="J37" s="32">
        <f>IFERROR(SUMPRODUCT(('Raw Data'!$B$2:$B$9999="Variant")*('Raw Data'!$C$2:$C$9999="C. 10-19")*'Raw Data'!$D$2:$D$9999*'Raw Data'!$AY$2:$AY$9999)/SUMIFS('Raw Data'!$D:$D, 'Raw Data'!$B:$B, "Variant", 'Raw Data'!$C:$C, "C. 10-19"),"")</f>
        <v>56.14077521</v>
      </c>
      <c r="K37" s="49">
        <f t="shared" si="33"/>
        <v>0.1193757822</v>
      </c>
      <c r="L37" s="53">
        <f>IFERROR(SUMPRODUCT(('Raw Data'!$B$2:$B$9999="Control")*('Raw Data'!$C$2:$C$9999="D. 20-39")*'Raw Data'!$D$2:$D$9999*'Raw Data'!$AY$2:$AY$9999)/SUMIFS('Raw Data'!$D:$D, 'Raw Data'!$B:$B, "Control", 'Raw Data'!$C:$C, "D. 20-39"),"")</f>
        <v>93.93656006</v>
      </c>
      <c r="M37" s="32">
        <f>IFERROR(SUMPRODUCT(('Raw Data'!$B$2:$B$9999="Variant")*('Raw Data'!$C$2:$C$9999="D. 20-39")*'Raw Data'!$D$2:$D$9999*'Raw Data'!$AY$2:$AY$9999)/SUMIFS('Raw Data'!$D:$D, 'Raw Data'!$B:$B, "Variant", 'Raw Data'!$C:$C, "D. 20-39"),"")</f>
        <v>105.9967994</v>
      </c>
      <c r="N37" s="55">
        <f t="shared" si="34"/>
        <v>0.1283870658</v>
      </c>
      <c r="O37" s="45">
        <f>IFERROR(SUMPRODUCT(('Raw Data'!$B$2:$B$9999="Control")*('Raw Data'!$C$2:$C$9999="E. 40-99")*'Raw Data'!$D$2:$D$9999*'Raw Data'!$AY$2:$AY$9999)/SUMIFS('Raw Data'!$D:$D, 'Raw Data'!$B:$B, "Control", 'Raw Data'!$C:$C, "E. 40-99"),"")</f>
        <v>171.8980448</v>
      </c>
      <c r="P37" s="32">
        <f>IFERROR(SUMPRODUCT(('Raw Data'!$B$2:$B$9999="Variant")*('Raw Data'!$C$2:$C$9999="E. 40-99")*'Raw Data'!$D$2:$D$9999*'Raw Data'!$AY$2:$AY$9999)/SUMIFS('Raw Data'!$D:$D, 'Raw Data'!$B:$B, "Variant", 'Raw Data'!$C:$C, "E. 40-99"),"")</f>
        <v>201.4908581</v>
      </c>
      <c r="Q37" s="49">
        <f t="shared" si="35"/>
        <v>0.1721532861</v>
      </c>
      <c r="R37" s="53">
        <f>IFERROR(SUMPRODUCT(('Raw Data'!$B$2:$B$9999="Control")*('Raw Data'!$C$2:$C$9999="F. 100+")*'Raw Data'!$D$2:$D$9999*'Raw Data'!$AY$2:$AY$9999)/SUMIFS('Raw Data'!$D:$D, 'Raw Data'!$B:$B, "Control", 'Raw Data'!$C:$C, "F. 100+"),"")</f>
        <v>293.9911696</v>
      </c>
      <c r="S37" s="32">
        <f>IFERROR(SUMPRODUCT(('Raw Data'!$B$2:$B$9999="Variant")*('Raw Data'!$C$2:$C$9999="F. 100+")*'Raw Data'!$D$2:$D$9999*'Raw Data'!$AY$2:$AY$9999)/SUMIFS('Raw Data'!$D:$D, 'Raw Data'!$B:$B, "Variant", 'Raw Data'!$C:$C, "F. 100+"),"")</f>
        <v>372.2460265</v>
      </c>
      <c r="T37" s="55">
        <f t="shared" si="36"/>
        <v>0.2661809773</v>
      </c>
    </row>
    <row r="38" ht="15.75" customHeight="1">
      <c r="A38" s="23"/>
      <c r="B38" s="124" t="s">
        <v>105</v>
      </c>
      <c r="C38" s="45">
        <f>IFERROR(SUMPRODUCT(('Raw Data'!$B$2:$B$9999="Control")*('Raw Data'!$C$2:$C$9999="A. 0")*'Raw Data'!$D$2:$D$9999*'Raw Data'!$AZ$2:$AZ$9999)/SUMIFS('Raw Data'!$D:$D, 'Raw Data'!$B:$B, "Control", 'Raw Data'!$C:$C, "A. 0"),"")</f>
        <v>1.85787833</v>
      </c>
      <c r="D38" s="32">
        <f>IFERROR(SUMPRODUCT(('Raw Data'!$B$2:$B$9999="Variant")*('Raw Data'!$C$2:$C$9999="A. 0")*'Raw Data'!$D$2:$D$9999*'Raw Data'!$AZ$2:$AZ$9999)/SUMIFS('Raw Data'!$D:$D, 'Raw Data'!$B:$B, "Variant", 'Raw Data'!$C:$C, "A. 0"),"")</f>
        <v>1.665090592</v>
      </c>
      <c r="E38" s="49">
        <f t="shared" si="31"/>
        <v>-0.1037676875</v>
      </c>
      <c r="F38" s="53">
        <f>IFERROR(SUMPRODUCT(('Raw Data'!$B$2:$B$9999="Control")*('Raw Data'!$C$2:$C$9999="B. 1-9")*'Raw Data'!$D$2:$D$9999*'Raw Data'!$AZ$2:$AZ$9999)/SUMIFS('Raw Data'!$D:$D, 'Raw Data'!$B:$B, "Control", 'Raw Data'!$C:$C, "B. 1-9"),"")</f>
        <v>3.714611608</v>
      </c>
      <c r="G38" s="32">
        <f>IFERROR(SUMPRODUCT(('Raw Data'!$B$2:$B$9999="Variant")*('Raw Data'!$C$2:$C$9999="B. 1-9")*'Raw Data'!$D$2:$D$9999*'Raw Data'!$AZ$2:$AZ$9999)/SUMIFS('Raw Data'!$D:$D, 'Raw Data'!$B:$B, "Variant", 'Raw Data'!$C:$C, "B. 1-9"),"")</f>
        <v>3.385527749</v>
      </c>
      <c r="H38" s="55">
        <f t="shared" si="32"/>
        <v>-0.08859172742</v>
      </c>
      <c r="I38" s="45">
        <f>IFERROR(SUMPRODUCT(('Raw Data'!$B$2:$B$9999="Control")*('Raw Data'!$C$2:$C$9999="C. 10-19")*'Raw Data'!$D$2:$D$9999*'Raw Data'!$AZ$2:$AZ$9999)/SUMIFS('Raw Data'!$D:$D, 'Raw Data'!$B:$B, "Control", 'Raw Data'!$C:$C, "C. 10-19"),"")</f>
        <v>4.721602556</v>
      </c>
      <c r="J38" s="32">
        <f>IFERROR(SUMPRODUCT(('Raw Data'!$B$2:$B$9999="Variant")*('Raw Data'!$C$2:$C$9999="C. 10-19")*'Raw Data'!$D$2:$D$9999*'Raw Data'!$AZ$2:$AZ$9999)/SUMIFS('Raw Data'!$D:$D, 'Raw Data'!$B:$B, "Variant", 'Raw Data'!$C:$C, "C. 10-19"),"")</f>
        <v>4.541489483</v>
      </c>
      <c r="K38" s="55">
        <f t="shared" si="33"/>
        <v>-0.03814659768</v>
      </c>
      <c r="L38" s="53">
        <f>IFERROR(SUMPRODUCT(('Raw Data'!$B$2:$B$9999="Control")*('Raw Data'!$C$2:$C$9999="D. 20-39")*'Raw Data'!$D$2:$D$9999*'Raw Data'!$AZ$2:$AZ$9999)/SUMIFS('Raw Data'!$D:$D, 'Raw Data'!$B:$B, "Control", 'Raw Data'!$C:$C, "D. 20-39"),"")</f>
        <v>4.727800491</v>
      </c>
      <c r="M38" s="32">
        <f>IFERROR(SUMPRODUCT(('Raw Data'!$B$2:$B$9999="Variant")*('Raw Data'!$C$2:$C$9999="D. 20-39")*'Raw Data'!$D$2:$D$9999*'Raw Data'!$AZ$2:$AZ$9999)/SUMIFS('Raw Data'!$D:$D, 'Raw Data'!$B:$B, "Variant", 'Raw Data'!$C:$C, "D. 20-39"),"")</f>
        <v>5.048511907</v>
      </c>
      <c r="N38" s="55">
        <f t="shared" si="34"/>
        <v>0.06783522624</v>
      </c>
      <c r="O38" s="45">
        <f>IFERROR(SUMPRODUCT(('Raw Data'!$B$2:$B$9999="Control")*('Raw Data'!$C$2:$C$9999="E. 40-99")*'Raw Data'!$D$2:$D$9999*'Raw Data'!$AZ$2:$AZ$9999)/SUMIFS('Raw Data'!$D:$D, 'Raw Data'!$B:$B, "Control", 'Raw Data'!$C:$C, "E. 40-99"),"")</f>
        <v>5.546526272</v>
      </c>
      <c r="P38" s="32">
        <f>IFERROR(SUMPRODUCT(('Raw Data'!$B$2:$B$9999="Variant")*('Raw Data'!$C$2:$C$9999="E. 40-99")*'Raw Data'!$D$2:$D$9999*'Raw Data'!$AZ$2:$AZ$9999)/SUMIFS('Raw Data'!$D:$D, 'Raw Data'!$B:$B, "Variant", 'Raw Data'!$C:$C, "E. 40-99"),"")</f>
        <v>5.832234408</v>
      </c>
      <c r="Q38" s="55">
        <f t="shared" si="35"/>
        <v>0.05151118413</v>
      </c>
      <c r="R38" s="53">
        <f>IFERROR(SUMPRODUCT(('Raw Data'!$B$2:$B$9999="Control")*('Raw Data'!$C$2:$C$9999="F. 100+")*'Raw Data'!$D$2:$D$9999*'Raw Data'!$AZ$2:$AZ$9999)/SUMIFS('Raw Data'!$D:$D, 'Raw Data'!$B:$B, "Control", 'Raw Data'!$C:$C, "F. 100+"),"")</f>
        <v>7.112865756</v>
      </c>
      <c r="S38" s="32">
        <f>IFERROR(SUMPRODUCT(('Raw Data'!$B$2:$B$9999="Variant")*('Raw Data'!$C$2:$C$9999="F. 100+")*'Raw Data'!$D$2:$D$9999*'Raw Data'!$AZ$2:$AZ$9999)/SUMIFS('Raw Data'!$D:$D, 'Raw Data'!$B:$B, "Variant", 'Raw Data'!$C:$C, "F. 100+"),"")</f>
        <v>6.507524541</v>
      </c>
      <c r="T38" s="55">
        <f t="shared" si="36"/>
        <v>-0.08510510886</v>
      </c>
    </row>
    <row r="39" ht="15.75" customHeight="1">
      <c r="A39" s="23"/>
      <c r="B39" s="124" t="s">
        <v>106</v>
      </c>
      <c r="C39" s="45">
        <f>IFERROR(SUMPRODUCT(('Raw Data'!$B$2:$B$9999="Control")*('Raw Data'!$C$2:$C$9999="A. 0")*'Raw Data'!$D$2:$D$9999*'Raw Data'!$BA$2:$BA$9999)/SUMIFS('Raw Data'!$D:$D, 'Raw Data'!$B:$B, "Control", 'Raw Data'!$C:$C, "A. 0"),"")</f>
        <v>0.1704794157</v>
      </c>
      <c r="D39" s="32">
        <f>IFERROR(SUMPRODUCT(('Raw Data'!$B$2:$B$9999="Variant")*('Raw Data'!$C$2:$C$9999="A. 0")*'Raw Data'!$D$2:$D$9999*'Raw Data'!$BA$2:$BA$9999)/SUMIFS('Raw Data'!$D:$D, 'Raw Data'!$B:$B, "Variant", 'Raw Data'!$C:$C, "A. 0"),"")</f>
        <v>0.6077333223</v>
      </c>
      <c r="E39" s="49">
        <f t="shared" si="31"/>
        <v>2.564848693</v>
      </c>
      <c r="F39" s="53">
        <f>IFERROR(SUMPRODUCT(('Raw Data'!$B$2:$B$9999="Control")*('Raw Data'!$C$2:$C$9999="B. 1-9")*'Raw Data'!$D$2:$D$9999*'Raw Data'!$BA$2:$BA$9999)/SUMIFS('Raw Data'!$D:$D, 'Raw Data'!$B:$B, "Control", 'Raw Data'!$C:$C, "B. 1-9"),"")</f>
        <v>2.744619757</v>
      </c>
      <c r="G39" s="32">
        <f>IFERROR(SUMPRODUCT(('Raw Data'!$B$2:$B$9999="Variant")*('Raw Data'!$C$2:$C$9999="B. 1-9")*'Raw Data'!$D$2:$D$9999*'Raw Data'!$BA$2:$BA$9999)/SUMIFS('Raw Data'!$D:$D, 'Raw Data'!$B:$B, "Variant", 'Raw Data'!$C:$C, "B. 1-9"),"")</f>
        <v>2.639285033</v>
      </c>
      <c r="H39" s="55">
        <f t="shared" si="32"/>
        <v>-0.03837862179</v>
      </c>
      <c r="I39" s="45">
        <f>IFERROR(SUMPRODUCT(('Raw Data'!$B$2:$B$9999="Control")*('Raw Data'!$C$2:$C$9999="C. 10-19")*'Raw Data'!$D$2:$D$9999*'Raw Data'!$BA$2:$BA$9999)/SUMIFS('Raw Data'!$D:$D, 'Raw Data'!$B:$B, "Control", 'Raw Data'!$C:$C, "C. 10-19"),"")</f>
        <v>9.285850645</v>
      </c>
      <c r="J39" s="32">
        <f>IFERROR(SUMPRODUCT(('Raw Data'!$B$2:$B$9999="Variant")*('Raw Data'!$C$2:$C$9999="C. 10-19")*'Raw Data'!$D$2:$D$9999*'Raw Data'!$BA$2:$BA$9999)/SUMIFS('Raw Data'!$D:$D, 'Raw Data'!$B:$B, "Variant", 'Raw Data'!$C:$C, "C. 10-19"),"")</f>
        <v>9.110647375</v>
      </c>
      <c r="K39" s="55">
        <f t="shared" si="33"/>
        <v>-0.01886776741</v>
      </c>
      <c r="L39" s="53">
        <f>IFERROR(SUMPRODUCT(('Raw Data'!$B$2:$B$9999="Control")*('Raw Data'!$C$2:$C$9999="D. 20-39")*'Raw Data'!$D$2:$D$9999*'Raw Data'!$BA$2:$BA$9999)/SUMIFS('Raw Data'!$D:$D, 'Raw Data'!$B:$B, "Control", 'Raw Data'!$C:$C, "D. 20-39"),"")</f>
        <v>22.3196615</v>
      </c>
      <c r="M39" s="32">
        <f>IFERROR(SUMPRODUCT(('Raw Data'!$B$2:$B$9999="Variant")*('Raw Data'!$C$2:$C$9999="D. 20-39")*'Raw Data'!$D$2:$D$9999*'Raw Data'!$BA$2:$BA$9999)/SUMIFS('Raw Data'!$D:$D, 'Raw Data'!$B:$B, "Variant", 'Raw Data'!$C:$C, "D. 20-39"),"")</f>
        <v>20.10909645</v>
      </c>
      <c r="N39" s="55">
        <f t="shared" si="34"/>
        <v>-0.0990411547</v>
      </c>
      <c r="O39" s="45">
        <f>IFERROR(SUMPRODUCT(('Raw Data'!$B$2:$B$9999="Control")*('Raw Data'!$C$2:$C$9999="E. 40-99")*'Raw Data'!$D$2:$D$9999*'Raw Data'!$BA$2:$BA$9999)/SUMIFS('Raw Data'!$D:$D, 'Raw Data'!$B:$B, "Control", 'Raw Data'!$C:$C, "E. 40-99"),"")</f>
        <v>39.2459353</v>
      </c>
      <c r="P39" s="32">
        <f>IFERROR(SUMPRODUCT(('Raw Data'!$B$2:$B$9999="Variant")*('Raw Data'!$C$2:$C$9999="E. 40-99")*'Raw Data'!$D$2:$D$9999*'Raw Data'!$BA$2:$BA$9999)/SUMIFS('Raw Data'!$D:$D, 'Raw Data'!$B:$B, "Variant", 'Raw Data'!$C:$C, "E. 40-99"),"")</f>
        <v>39.46064236</v>
      </c>
      <c r="Q39" s="55">
        <f t="shared" si="35"/>
        <v>0.005470810092</v>
      </c>
      <c r="R39" s="53">
        <f>IFERROR(SUMPRODUCT(('Raw Data'!$B$2:$B$9999="Control")*('Raw Data'!$C$2:$C$9999="F. 100+")*'Raw Data'!$D$2:$D$9999*'Raw Data'!$BA$2:$BA$9999)/SUMIFS('Raw Data'!$D:$D, 'Raw Data'!$B:$B, "Control", 'Raw Data'!$C:$C, "F. 100+"),"")</f>
        <v>56.22931672</v>
      </c>
      <c r="S39" s="32">
        <f>IFERROR(SUMPRODUCT(('Raw Data'!$B$2:$B$9999="Variant")*('Raw Data'!$C$2:$C$9999="F. 100+")*'Raw Data'!$D$2:$D$9999*'Raw Data'!$BA$2:$BA$9999)/SUMIFS('Raw Data'!$D:$D, 'Raw Data'!$B:$B, "Variant", 'Raw Data'!$C:$C, "F. 100+"),"")</f>
        <v>61.04992744</v>
      </c>
      <c r="T39" s="55">
        <f t="shared" si="36"/>
        <v>0.08573126981</v>
      </c>
    </row>
    <row r="40" ht="15.75" customHeight="1">
      <c r="A40" s="23"/>
      <c r="B40" s="124" t="s">
        <v>108</v>
      </c>
      <c r="C40" s="45">
        <f>IFERROR(SUMPRODUCT(('Raw Data'!$B$2:$B$9999="Control")*('Raw Data'!$C$2:$C$9999="A. 0")*'Raw Data'!$D$2:$D$9999*'Raw Data'!$BB$2:$BB$9999)/SUMIFS('Raw Data'!$D:$D, 'Raw Data'!$B:$B, "Control", 'Raw Data'!$C:$C, "A. 0"),"")</f>
        <v>0.1945607736</v>
      </c>
      <c r="D40" s="32">
        <f>IFERROR(SUMPRODUCT(('Raw Data'!$B$2:$B$9999="Variant")*('Raw Data'!$C$2:$C$9999="A. 0")*'Raw Data'!$D$2:$D$9999*'Raw Data'!$BB$2:$BB$9999)/SUMIFS('Raw Data'!$D:$D, 'Raw Data'!$B:$B, "Variant", 'Raw Data'!$C:$C, "A. 0"),"")</f>
        <v>0.1842547369</v>
      </c>
      <c r="E40" s="49">
        <f t="shared" si="31"/>
        <v>-0.05297078375</v>
      </c>
      <c r="F40" s="53">
        <f>IFERROR(SUMPRODUCT(('Raw Data'!$B$2:$B$9999="Control")*('Raw Data'!$C$2:$C$9999="B. 1-9")*'Raw Data'!$D$2:$D$9999*'Raw Data'!$BB$2:$BB$9999)/SUMIFS('Raw Data'!$D:$D, 'Raw Data'!$B:$B, "Control", 'Raw Data'!$C:$C, "B. 1-9"),"")</f>
        <v>0.8137276672</v>
      </c>
      <c r="G40" s="32">
        <f>IFERROR(SUMPRODUCT(('Raw Data'!$B$2:$B$9999="Variant")*('Raw Data'!$C$2:$C$9999="B. 1-9")*'Raw Data'!$D$2:$D$9999*'Raw Data'!$BB$2:$BB$9999)/SUMIFS('Raw Data'!$D:$D, 'Raw Data'!$B:$B, "Variant", 'Raw Data'!$C:$C, "B. 1-9"),"")</f>
        <v>0.8239081605</v>
      </c>
      <c r="H40" s="55">
        <f t="shared" si="32"/>
        <v>0.01251093414</v>
      </c>
      <c r="I40" s="45">
        <f>IFERROR(SUMPRODUCT(('Raw Data'!$B$2:$B$9999="Control")*('Raw Data'!$C$2:$C$9999="C. 10-19")*'Raw Data'!$D$2:$D$9999*'Raw Data'!$BB$2:$BB$9999)/SUMIFS('Raw Data'!$D:$D, 'Raw Data'!$B:$B, "Control", 'Raw Data'!$C:$C, "C. 10-19"),"")</f>
        <v>1.678557574</v>
      </c>
      <c r="J40" s="32">
        <f>IFERROR(SUMPRODUCT(('Raw Data'!$B$2:$B$9999="Variant")*('Raw Data'!$C$2:$C$9999="C. 10-19")*'Raw Data'!$D$2:$D$9999*'Raw Data'!$BB$2:$BB$9999)/SUMIFS('Raw Data'!$D:$D, 'Raw Data'!$B:$B, "Variant", 'Raw Data'!$C:$C, "C. 10-19"),"")</f>
        <v>1.655903674</v>
      </c>
      <c r="K40" s="49">
        <f t="shared" si="33"/>
        <v>-0.01349605187</v>
      </c>
      <c r="L40" s="53">
        <f>IFERROR(SUMPRODUCT(('Raw Data'!$B$2:$B$9999="Control")*('Raw Data'!$C$2:$C$9999="D. 20-39")*'Raw Data'!$D$2:$D$9999*'Raw Data'!$BB$2:$BB$9999)/SUMIFS('Raw Data'!$D:$D, 'Raw Data'!$B:$B, "Control", 'Raw Data'!$C:$C, "D. 20-39"),"")</f>
        <v>3.361158735</v>
      </c>
      <c r="M40" s="32">
        <f>IFERROR(SUMPRODUCT(('Raw Data'!$B$2:$B$9999="Variant")*('Raw Data'!$C$2:$C$9999="D. 20-39")*'Raw Data'!$D$2:$D$9999*'Raw Data'!$BB$2:$BB$9999)/SUMIFS('Raw Data'!$D:$D, 'Raw Data'!$B:$B, "Variant", 'Raw Data'!$C:$C, "D. 20-39"),"")</f>
        <v>3.46989241</v>
      </c>
      <c r="N40" s="55">
        <f t="shared" si="34"/>
        <v>0.03235005653</v>
      </c>
      <c r="O40" s="45">
        <f>IFERROR(SUMPRODUCT(('Raw Data'!$B$2:$B$9999="Control")*('Raw Data'!$C$2:$C$9999="E. 40-99")*'Raw Data'!$D$2:$D$9999*'Raw Data'!$BB$2:$BB$9999)/SUMIFS('Raw Data'!$D:$D, 'Raw Data'!$B:$B, "Control", 'Raw Data'!$C:$C, "E. 40-99"),"")</f>
        <v>6.421517336</v>
      </c>
      <c r="P40" s="32">
        <f>IFERROR(SUMPRODUCT(('Raw Data'!$B$2:$B$9999="Variant")*('Raw Data'!$C$2:$C$9999="E. 40-99")*'Raw Data'!$D$2:$D$9999*'Raw Data'!$BB$2:$BB$9999)/SUMIFS('Raw Data'!$D:$D, 'Raw Data'!$B:$B, "Variant", 'Raw Data'!$C:$C, "E. 40-99"),"")</f>
        <v>6.912471829</v>
      </c>
      <c r="Q40" s="49">
        <f t="shared" si="35"/>
        <v>0.07645459279</v>
      </c>
      <c r="R40" s="53">
        <f>IFERROR(SUMPRODUCT(('Raw Data'!$B$2:$B$9999="Control")*('Raw Data'!$C$2:$C$9999="F. 100+")*'Raw Data'!$D$2:$D$9999*'Raw Data'!$BB$2:$BB$9999)/SUMIFS('Raw Data'!$D:$D, 'Raw Data'!$B:$B, "Control", 'Raw Data'!$C:$C, "F. 100+"),"")</f>
        <v>13.75733119</v>
      </c>
      <c r="S40" s="32">
        <f>IFERROR(SUMPRODUCT(('Raw Data'!$B$2:$B$9999="Variant")*('Raw Data'!$C$2:$C$9999="F. 100+")*'Raw Data'!$D$2:$D$9999*'Raw Data'!$BB$2:$BB$9999)/SUMIFS('Raw Data'!$D:$D, 'Raw Data'!$B:$B, "Variant", 'Raw Data'!$C:$C, "F. 100+"),"")</f>
        <v>12.92399061</v>
      </c>
      <c r="T40" s="55">
        <f t="shared" si="36"/>
        <v>-0.06057429075</v>
      </c>
    </row>
    <row r="41" ht="15.75" customHeight="1">
      <c r="A41" s="34" t="s">
        <v>109</v>
      </c>
      <c r="B41" s="35"/>
      <c r="C41" s="36"/>
      <c r="D41" s="21"/>
      <c r="E41" s="38"/>
      <c r="F41" s="40"/>
      <c r="G41" s="21"/>
      <c r="H41" s="35"/>
      <c r="I41" s="36"/>
      <c r="J41" s="21"/>
      <c r="K41" s="38"/>
      <c r="L41" s="40"/>
      <c r="M41" s="21"/>
      <c r="N41" s="35"/>
      <c r="O41" s="36"/>
      <c r="P41" s="21"/>
      <c r="Q41" s="38"/>
      <c r="R41" s="40"/>
      <c r="S41" s="21"/>
      <c r="T41" s="21"/>
    </row>
    <row r="42" ht="15.75" customHeight="1">
      <c r="A42" s="23"/>
      <c r="B42" s="42" t="s">
        <v>63</v>
      </c>
      <c r="C42" s="45">
        <f>IFERROR(SUMPRODUCT(('Raw Data'!$B$2:$B$9999="Control")*('Raw Data'!$C$2:$C$9999="A. 0")*'Raw Data'!$D$2:$D$9999*'Raw Data'!$Y$2:$Y$9999)/SUMIFS('Raw Data'!$D:$D, 'Raw Data'!$B:$B, "Control", 'Raw Data'!$C:$C, "A. 0"),"")</f>
        <v>193.7578849</v>
      </c>
      <c r="D42" s="32">
        <f>IFERROR(SUMPRODUCT(('Raw Data'!$B$2:$B$9999="Variant")*('Raw Data'!$C$2:$C$9999="A. 0")*'Raw Data'!$D$2:$D$9999*'Raw Data'!$Y$2:$Y$9999)/SUMIFS('Raw Data'!$D:$D, 'Raw Data'!$B:$B, "Variant", 'Raw Data'!$C:$C, "A. 0"),"")</f>
        <v>162.261578</v>
      </c>
      <c r="E42" s="49">
        <f t="shared" ref="E42:E44" si="37">IFERROR((D42-C42)/ABS(C42),"")</f>
        <v>-0.1625549684</v>
      </c>
      <c r="F42" s="53">
        <f>IFERROR(SUMPRODUCT(('Raw Data'!$B$2:$B$9999="Control")*('Raw Data'!$C$2:$C$9999="B. 1-9")*'Raw Data'!$D$2:$D$9999*'Raw Data'!$Y$2:$Y$9999)/SUMIFS('Raw Data'!$D:$D, 'Raw Data'!$B:$B, "Control", 'Raw Data'!$C:$C, "B. 1-9"),"")</f>
        <v>113.0995579</v>
      </c>
      <c r="G42" s="32">
        <f>IFERROR(SUMPRODUCT(('Raw Data'!$B$2:$B$9999="Variant")*('Raw Data'!$C$2:$C$9999="B. 1-9")*'Raw Data'!$D$2:$D$9999*'Raw Data'!$Y$2:$Y$9999)/SUMIFS('Raw Data'!$D:$D, 'Raw Data'!$B:$B, "Variant", 'Raw Data'!$C:$C, "B. 1-9"),"")</f>
        <v>105.7761014</v>
      </c>
      <c r="H42" s="55">
        <f t="shared" ref="H42:H44" si="38">IFERROR((G42-F42)/ABS(F42),"")</f>
        <v>-0.06475230042</v>
      </c>
      <c r="I42" s="45">
        <f>IFERROR(SUMPRODUCT(('Raw Data'!$B$2:$B$9999="Control")*('Raw Data'!$C$2:$C$9999="C. 10-19")*'Raw Data'!$D$2:$D$9999*'Raw Data'!$Y$2:$Y$9999)/SUMIFS('Raw Data'!$D:$D, 'Raw Data'!$B:$B, "Control", 'Raw Data'!$C:$C, "C. 10-19"),"")</f>
        <v>108.5715825</v>
      </c>
      <c r="J42" s="32">
        <f>IFERROR(SUMPRODUCT(('Raw Data'!$B$2:$B$9999="Variant")*('Raw Data'!$C$2:$C$9999="C. 10-19")*'Raw Data'!$D$2:$D$9999*'Raw Data'!$Y$2:$Y$9999)/SUMIFS('Raw Data'!$D:$D, 'Raw Data'!$B:$B, "Variant", 'Raw Data'!$C:$C, "C. 10-19"),"")</f>
        <v>98.26970245</v>
      </c>
      <c r="K42" s="49">
        <f t="shared" ref="K42:K44" si="39">IFERROR((J42-I42)/ABS(I42),"")</f>
        <v>-0.09488560285</v>
      </c>
      <c r="L42" s="53">
        <f>IFERROR(SUMPRODUCT(('Raw Data'!$B$2:$B$9999="Control")*('Raw Data'!$C$2:$C$9999="D. 20-39")*'Raw Data'!$D$2:$D$9999*'Raw Data'!$Y$2:$Y$9999)/SUMIFS('Raw Data'!$D:$D, 'Raw Data'!$B:$B, "Control", 'Raw Data'!$C:$C, "D. 20-39"),"")</f>
        <v>121.0703374</v>
      </c>
      <c r="M42" s="32">
        <f>IFERROR(SUMPRODUCT(('Raw Data'!$B$2:$B$9999="Variant")*('Raw Data'!$C$2:$C$9999="D. 20-39")*'Raw Data'!$D$2:$D$9999*'Raw Data'!$Y$2:$Y$9999)/SUMIFS('Raw Data'!$D:$D, 'Raw Data'!$B:$B, "Variant", 'Raw Data'!$C:$C, "D. 20-39"),"")</f>
        <v>115.7929416</v>
      </c>
      <c r="N42" s="55">
        <f t="shared" ref="N42:N44" si="40">IFERROR((M42-L42)/ABS(L42),"")</f>
        <v>-0.04358950287</v>
      </c>
      <c r="O42" s="45">
        <f>IFERROR(SUMPRODUCT(('Raw Data'!$B$2:$B$9999="Control")*('Raw Data'!$C$2:$C$9999="E. 40-99")*'Raw Data'!$D$2:$D$9999*'Raw Data'!$Y$2:$Y$9999)/SUMIFS('Raw Data'!$D:$D, 'Raw Data'!$B:$B, "Control", 'Raw Data'!$C:$C, "E. 40-99"),"")</f>
        <v>167.7604551</v>
      </c>
      <c r="P42" s="32">
        <f>IFERROR(SUMPRODUCT(('Raw Data'!$B$2:$B$9999="Variant")*('Raw Data'!$C$2:$C$9999="E. 40-99")*'Raw Data'!$D$2:$D$9999*'Raw Data'!$Y$2:$Y$9999)/SUMIFS('Raw Data'!$D:$D, 'Raw Data'!$B:$B, "Variant", 'Raw Data'!$C:$C, "E. 40-99"),"")</f>
        <v>153.2081952</v>
      </c>
      <c r="Q42" s="49">
        <f t="shared" ref="Q42:Q44" si="41">IFERROR((P42-O42)/ABS(O42),"")</f>
        <v>-0.08674428005</v>
      </c>
      <c r="R42" s="53">
        <f>IFERROR(SUMPRODUCT(('Raw Data'!$B$2:$B$9999="Control")*('Raw Data'!$C$2:$C$9999="F. 100+")*'Raw Data'!$D$2:$D$9999*'Raw Data'!$Y$2:$Y$9999)/SUMIFS('Raw Data'!$D:$D, 'Raw Data'!$B:$B, "Control", 'Raw Data'!$C:$C, "F. 100+"),"")</f>
        <v>260.3444534</v>
      </c>
      <c r="S42" s="32">
        <f>IFERROR(SUMPRODUCT(('Raw Data'!$B$2:$B$9999="Variant")*('Raw Data'!$C$2:$C$9999="F. 100+")*'Raw Data'!$D$2:$D$9999*'Raw Data'!$Y$2:$Y$9999)/SUMIFS('Raw Data'!$D:$D, 'Raw Data'!$B:$B, "Variant", 'Raw Data'!$C:$C, "F. 100+"),"")</f>
        <v>264.6662399</v>
      </c>
      <c r="T42" s="39">
        <f t="shared" ref="T42:T44" si="42">IFERROR((S42-R42)/ABS(R42),"")</f>
        <v>0.01660026335</v>
      </c>
    </row>
    <row r="43" ht="15.75" customHeight="1">
      <c r="A43" s="23"/>
      <c r="B43" s="42" t="s">
        <v>64</v>
      </c>
      <c r="C43" s="45">
        <f>IFERROR(SUMPRODUCT(('Raw Data'!$B$2:$B$9999="Control")*('Raw Data'!$C$2:$C$9999="A. 0")*'Raw Data'!$D$2:$D$9999*'Raw Data'!$Z$2:$Z$9999)/SUMIFS('Raw Data'!$D:$D, 'Raw Data'!$B:$B, "Control", 'Raw Data'!$C:$C, "A. 0"),"")</f>
        <v>2079.845975</v>
      </c>
      <c r="D43" s="32">
        <f>IFERROR(SUMPRODUCT(('Raw Data'!$B$2:$B$9999="Variant")*('Raw Data'!$C$2:$C$9999="A. 0")*'Raw Data'!$D$2:$D$9999*'Raw Data'!$Z$2:$Z$9999)/SUMIFS('Raw Data'!$D:$D, 'Raw Data'!$B:$B, "Variant", 'Raw Data'!$C:$C, "A. 0"),"")</f>
        <v>1777.754011</v>
      </c>
      <c r="E43" s="49">
        <f t="shared" si="37"/>
        <v>-0.1452472766</v>
      </c>
      <c r="F43" s="53">
        <f>IFERROR(SUMPRODUCT(('Raw Data'!$B$2:$B$9999="Control")*('Raw Data'!$C$2:$C$9999="B. 1-9")*'Raw Data'!$D$2:$D$9999*'Raw Data'!$Z$2:$Z$9999)/SUMIFS('Raw Data'!$D:$D, 'Raw Data'!$B:$B, "Control", 'Raw Data'!$C:$C, "B. 1-9"),"")</f>
        <v>531.1283843</v>
      </c>
      <c r="G43" s="32">
        <f>IFERROR(SUMPRODUCT(('Raw Data'!$B$2:$B$9999="Variant")*('Raw Data'!$C$2:$C$9999="B. 1-9")*'Raw Data'!$D$2:$D$9999*'Raw Data'!$Z$2:$Z$9999)/SUMIFS('Raw Data'!$D:$D, 'Raw Data'!$B:$B, "Variant", 'Raw Data'!$C:$C, "B. 1-9"),"")</f>
        <v>523.7825645</v>
      </c>
      <c r="H43" s="55">
        <f t="shared" si="38"/>
        <v>-0.0138305917</v>
      </c>
      <c r="I43" s="45">
        <f>IFERROR(SUMPRODUCT(('Raw Data'!$B$2:$B$9999="Control")*('Raw Data'!$C$2:$C$9999="C. 10-19")*'Raw Data'!$D$2:$D$9999*'Raw Data'!$Z$2:$Z$9999)/SUMIFS('Raw Data'!$D:$D, 'Raw Data'!$B:$B, "Control", 'Raw Data'!$C:$C, "C. 10-19"),"")</f>
        <v>488.9788498</v>
      </c>
      <c r="J43" s="32">
        <f>IFERROR(SUMPRODUCT(('Raw Data'!$B$2:$B$9999="Variant")*('Raw Data'!$C$2:$C$9999="C. 10-19")*'Raw Data'!$D$2:$D$9999*'Raw Data'!$Z$2:$Z$9999)/SUMIFS('Raw Data'!$D:$D, 'Raw Data'!$B:$B, "Variant", 'Raw Data'!$C:$C, "C. 10-19"),"")</f>
        <v>408.7190001</v>
      </c>
      <c r="K43" s="49">
        <f t="shared" si="39"/>
        <v>-0.1641376713</v>
      </c>
      <c r="L43" s="53">
        <f>IFERROR(SUMPRODUCT(('Raw Data'!$B$2:$B$9999="Control")*('Raw Data'!$C$2:$C$9999="D. 20-39")*'Raw Data'!$D$2:$D$9999*'Raw Data'!$Z$2:$Z$9999)/SUMIFS('Raw Data'!$D:$D, 'Raw Data'!$B:$B, "Control", 'Raw Data'!$C:$C, "D. 20-39"),"")</f>
        <v>569.1377441</v>
      </c>
      <c r="M43" s="32">
        <f>IFERROR(SUMPRODUCT(('Raw Data'!$B$2:$B$9999="Variant")*('Raw Data'!$C$2:$C$9999="D. 20-39")*'Raw Data'!$D$2:$D$9999*'Raw Data'!$Z$2:$Z$9999)/SUMIFS('Raw Data'!$D:$D, 'Raw Data'!$B:$B, "Variant", 'Raw Data'!$C:$C, "D. 20-39"),"")</f>
        <v>517.9531609</v>
      </c>
      <c r="N43" s="55">
        <f t="shared" si="40"/>
        <v>-0.08993355956</v>
      </c>
      <c r="O43" s="45">
        <f>IFERROR(SUMPRODUCT(('Raw Data'!$B$2:$B$9999="Control")*('Raw Data'!$C$2:$C$9999="E. 40-99")*'Raw Data'!$D$2:$D$9999*'Raw Data'!$Z$2:$Z$9999)/SUMIFS('Raw Data'!$D:$D, 'Raw Data'!$B:$B, "Control", 'Raw Data'!$C:$C, "E. 40-99"),"")</f>
        <v>936.5411057</v>
      </c>
      <c r="P43" s="32">
        <f>IFERROR(SUMPRODUCT(('Raw Data'!$B$2:$B$9999="Variant")*('Raw Data'!$C$2:$C$9999="E. 40-99")*'Raw Data'!$D$2:$D$9999*'Raw Data'!$Z$2:$Z$9999)/SUMIFS('Raw Data'!$D:$D, 'Raw Data'!$B:$B, "Variant", 'Raw Data'!$C:$C, "E. 40-99"),"")</f>
        <v>780.471166</v>
      </c>
      <c r="Q43" s="49">
        <f t="shared" si="41"/>
        <v>-0.1666450503</v>
      </c>
      <c r="R43" s="53">
        <f>IFERROR(SUMPRODUCT(('Raw Data'!$B$2:$B$9999="Control")*('Raw Data'!$C$2:$C$9999="F. 100+")*'Raw Data'!$D$2:$D$9999*'Raw Data'!$Z$2:$Z$9999)/SUMIFS('Raw Data'!$D:$D, 'Raw Data'!$B:$B, "Control", 'Raw Data'!$C:$C, "F. 100+"),"")</f>
        <v>1183.738746</v>
      </c>
      <c r="S43" s="32">
        <f>IFERROR(SUMPRODUCT(('Raw Data'!$B$2:$B$9999="Variant")*('Raw Data'!$C$2:$C$9999="F. 100+")*'Raw Data'!$D$2:$D$9999*'Raw Data'!$Z$2:$Z$9999)/SUMIFS('Raw Data'!$D:$D, 'Raw Data'!$B:$B, "Variant", 'Raw Data'!$C:$C, "F. 100+"),"")</f>
        <v>1361.252241</v>
      </c>
      <c r="T43" s="39">
        <f t="shared" si="42"/>
        <v>0.1499600274</v>
      </c>
    </row>
    <row r="44" ht="15.75" customHeight="1">
      <c r="A44" s="23"/>
      <c r="B44" s="42" t="s">
        <v>65</v>
      </c>
      <c r="C44" s="45">
        <f>IFERROR(SUMPRODUCT(('Raw Data'!$B$2:$B$9999="Control")*('Raw Data'!$C$2:$C$9999="A. 0")*'Raw Data'!$D$2:$D$9999*'Raw Data'!$AA$2:$AA$9999)/SUMIFS('Raw Data'!$D:$D, 'Raw Data'!$B:$B, "Control", 'Raw Data'!$C:$C, "A. 0"),"")</f>
        <v>12582.60896</v>
      </c>
      <c r="D44" s="32">
        <f>IFERROR(SUMPRODUCT(('Raw Data'!$B$2:$B$9999="Variant")*('Raw Data'!$C$2:$C$9999="A. 0")*'Raw Data'!$D$2:$D$9999*'Raw Data'!$AA$2:$AA$9999)/SUMIFS('Raw Data'!$D:$D, 'Raw Data'!$B:$B, "Variant", 'Raw Data'!$C:$C, "A. 0"),"")</f>
        <v>11218.60002</v>
      </c>
      <c r="E44" s="49">
        <f t="shared" si="37"/>
        <v>-0.1084043015</v>
      </c>
      <c r="F44" s="53">
        <f>IFERROR(SUMPRODUCT(('Raw Data'!$B$2:$B$9999="Control")*('Raw Data'!$C$2:$C$9999="B. 1-9")*'Raw Data'!$D$2:$D$9999*'Raw Data'!$AA$2:$AA$9999)/SUMIFS('Raw Data'!$D:$D, 'Raw Data'!$B:$B, "Control", 'Raw Data'!$C:$C, "B. 1-9"),"")</f>
        <v>4461.655224</v>
      </c>
      <c r="G44" s="32">
        <f>IFERROR(SUMPRODUCT(('Raw Data'!$B$2:$B$9999="Variant")*('Raw Data'!$C$2:$C$9999="B. 1-9")*'Raw Data'!$D$2:$D$9999*'Raw Data'!$AA$2:$AA$9999)/SUMIFS('Raw Data'!$D:$D, 'Raw Data'!$B:$B, "Variant", 'Raw Data'!$C:$C, "B. 1-9"),"")</f>
        <v>4318.59825</v>
      </c>
      <c r="H44" s="55">
        <f t="shared" si="38"/>
        <v>-0.0320636552</v>
      </c>
      <c r="I44" s="45">
        <f>IFERROR(SUMPRODUCT(('Raw Data'!$B$2:$B$9999="Control")*('Raw Data'!$C$2:$C$9999="C. 10-19")*'Raw Data'!$D$2:$D$9999*'Raw Data'!$AA$2:$AA$9999)/SUMIFS('Raw Data'!$D:$D, 'Raw Data'!$B:$B, "Control", 'Raw Data'!$C:$C, "C. 10-19"),"")</f>
        <v>4382.540684</v>
      </c>
      <c r="J44" s="32">
        <f>IFERROR(SUMPRODUCT(('Raw Data'!$B$2:$B$9999="Variant")*('Raw Data'!$C$2:$C$9999="C. 10-19")*'Raw Data'!$D$2:$D$9999*'Raw Data'!$AA$2:$AA$9999)/SUMIFS('Raw Data'!$D:$D, 'Raw Data'!$B:$B, "Variant", 'Raw Data'!$C:$C, "C. 10-19"),"")</f>
        <v>3531.712534</v>
      </c>
      <c r="K44" s="49">
        <f t="shared" si="39"/>
        <v>-0.1941403883</v>
      </c>
      <c r="L44" s="53">
        <f>IFERROR(SUMPRODUCT(('Raw Data'!$B$2:$B$9999="Control")*('Raw Data'!$C$2:$C$9999="D. 20-39")*'Raw Data'!$D$2:$D$9999*'Raw Data'!$AA$2:$AA$9999)/SUMIFS('Raw Data'!$D:$D, 'Raw Data'!$B:$B, "Control", 'Raw Data'!$C:$C, "D. 20-39"),"")</f>
        <v>4335.581969</v>
      </c>
      <c r="M44" s="32">
        <f>IFERROR(SUMPRODUCT(('Raw Data'!$B$2:$B$9999="Variant")*('Raw Data'!$C$2:$C$9999="D. 20-39")*'Raw Data'!$D$2:$D$9999*'Raw Data'!$AA$2:$AA$9999)/SUMIFS('Raw Data'!$D:$D, 'Raw Data'!$B:$B, "Variant", 'Raw Data'!$C:$C, "D. 20-39"),"")</f>
        <v>4252.055439</v>
      </c>
      <c r="N44" s="55">
        <f t="shared" si="40"/>
        <v>-0.01926535581</v>
      </c>
      <c r="O44" s="45">
        <f>IFERROR(SUMPRODUCT(('Raw Data'!$B$2:$B$9999="Control")*('Raw Data'!$C$2:$C$9999="E. 40-99")*'Raw Data'!$D$2:$D$9999*'Raw Data'!$AA$2:$AA$9999)/SUMIFS('Raw Data'!$D:$D, 'Raw Data'!$B:$B, "Control", 'Raw Data'!$C:$C, "E. 40-99"),"")</f>
        <v>5764.711188</v>
      </c>
      <c r="P44" s="32">
        <f>IFERROR(SUMPRODUCT(('Raw Data'!$B$2:$B$9999="Variant")*('Raw Data'!$C$2:$C$9999="E. 40-99")*'Raw Data'!$D$2:$D$9999*'Raw Data'!$AA$2:$AA$9999)/SUMIFS('Raw Data'!$D:$D, 'Raw Data'!$B:$B, "Variant", 'Raw Data'!$C:$C, "E. 40-99"),"")</f>
        <v>4836.381018</v>
      </c>
      <c r="Q44" s="49">
        <f t="shared" si="41"/>
        <v>-0.1610367179</v>
      </c>
      <c r="R44" s="53">
        <f>IFERROR(SUMPRODUCT(('Raw Data'!$B$2:$B$9999="Control")*('Raw Data'!$C$2:$C$9999="F. 100+")*'Raw Data'!$D$2:$D$9999*'Raw Data'!$AA$2:$AA$9999)/SUMIFS('Raw Data'!$D:$D, 'Raw Data'!$B:$B, "Control", 'Raw Data'!$C:$C, "F. 100+"),"")</f>
        <v>5437.831592</v>
      </c>
      <c r="S44" s="32">
        <f>IFERROR(SUMPRODUCT(('Raw Data'!$B$2:$B$9999="Variant")*('Raw Data'!$C$2:$C$9999="F. 100+")*'Raw Data'!$D$2:$D$9999*'Raw Data'!$AA$2:$AA$9999)/SUMIFS('Raw Data'!$D:$D, 'Raw Data'!$B:$B, "Variant", 'Raw Data'!$C:$C, "F. 100+"),"")</f>
        <v>6486.171148</v>
      </c>
      <c r="T44" s="39">
        <f t="shared" si="42"/>
        <v>0.1927863228</v>
      </c>
    </row>
    <row r="45" ht="15.75" customHeight="1">
      <c r="A45" s="34" t="s">
        <v>119</v>
      </c>
      <c r="B45" s="35"/>
      <c r="C45" s="36"/>
      <c r="D45" s="21"/>
      <c r="E45" s="38"/>
      <c r="F45" s="40"/>
      <c r="G45" s="21"/>
      <c r="H45" s="35"/>
      <c r="I45" s="36"/>
      <c r="J45" s="21"/>
      <c r="K45" s="38"/>
      <c r="L45" s="40"/>
      <c r="M45" s="21"/>
      <c r="N45" s="35"/>
      <c r="O45" s="36"/>
      <c r="P45" s="21"/>
      <c r="Q45" s="38"/>
      <c r="R45" s="40"/>
      <c r="S45" s="21"/>
      <c r="T45" s="21"/>
    </row>
    <row r="46" ht="15.75" customHeight="1">
      <c r="A46" s="23"/>
      <c r="B46" s="120" t="s">
        <v>82</v>
      </c>
      <c r="C46" s="114">
        <f>IFERROR(SUMPRODUCT(('Raw Data'!$B$2:$B$9999="Control")*('Raw Data'!$C$2:$C$9999="A. 0")*'Raw Data'!$D$2:$D$9999*'Raw Data'!$AQ$2:$AQ$9999)/SUMIFS('Raw Data'!$D:$D, 'Raw Data'!$B:$B, "Control", 'Raw Data'!$C:$C, "A. 0"),"")</f>
        <v>1.150118899</v>
      </c>
      <c r="D46" s="73">
        <f>IFERROR(SUMPRODUCT(('Raw Data'!$B$2:$B$9999="Variant")*('Raw Data'!$C$2:$C$9999="A. 0")*'Raw Data'!$D$2:$D$9999*'Raw Data'!$AQ$2:$AQ$9999)/SUMIFS('Raw Data'!$D:$D, 'Raw Data'!$B:$B, "Variant", 'Raw Data'!$C:$C, "A. 0"),"")</f>
        <v>1.174976446</v>
      </c>
      <c r="E46" s="66">
        <f t="shared" ref="E46:E51" si="43">IFERROR((D46-C46)/ABS(C46),"")</f>
        <v>0.02161302348</v>
      </c>
      <c r="F46" s="115">
        <f>IFERROR(SUMPRODUCT(('Raw Data'!$B$2:$B$9999="Control")*('Raw Data'!$C$2:$C$9999="B. 1-9")*'Raw Data'!$D$2:$D$9999*'Raw Data'!$AQ$2:$AQ$9999)/SUMIFS('Raw Data'!$D:$D, 'Raw Data'!$B:$B, "Control", 'Raw Data'!$C:$C, "B. 1-9"),"")</f>
        <v>3.541523962</v>
      </c>
      <c r="G46" s="73">
        <f>IFERROR(SUMPRODUCT(('Raw Data'!$B$2:$B$9999="Variant")*('Raw Data'!$C$2:$C$9999="B. 1-9")*'Raw Data'!$D$2:$D$9999*'Raw Data'!$AQ$2:$AQ$9999)/SUMIFS('Raw Data'!$D:$D, 'Raw Data'!$B:$B, "Variant", 'Raw Data'!$C:$C, "B. 1-9"),"")</f>
        <v>4.044098377</v>
      </c>
      <c r="H46" s="83">
        <f t="shared" ref="H46:H51" si="44">IFERROR((G46-F46)/ABS(F46),"")</f>
        <v>0.1419090823</v>
      </c>
      <c r="I46" s="114">
        <f>IFERROR(SUMPRODUCT(('Raw Data'!$B$2:$B$9999="Control")*('Raw Data'!$C$2:$C$9999="C. 10-19")*'Raw Data'!$D$2:$D$9999*'Raw Data'!$AQ$2:$AQ$9999)/SUMIFS('Raw Data'!$D:$D, 'Raw Data'!$B:$B, "Control", 'Raw Data'!$C:$C, "C. 10-19"),"")</f>
        <v>6.640630959</v>
      </c>
      <c r="J46" s="73">
        <f>IFERROR(SUMPRODUCT(('Raw Data'!$B$2:$B$9999="Variant")*('Raw Data'!$C$2:$C$9999="C. 10-19")*'Raw Data'!$D$2:$D$9999*'Raw Data'!$AQ$2:$AQ$9999)/SUMIFS('Raw Data'!$D:$D, 'Raw Data'!$B:$B, "Variant", 'Raw Data'!$C:$C, "C. 10-19"),"")</f>
        <v>7.034796737</v>
      </c>
      <c r="K46" s="70">
        <f t="shared" ref="K46:K51" si="45">IFERROR((J46-I46)/ABS(I46),"")</f>
        <v>0.05935667575</v>
      </c>
      <c r="L46" s="115">
        <f>IFERROR(SUMPRODUCT(('Raw Data'!$B$2:$B$9999="Control")*('Raw Data'!$C$2:$C$9999="D. 20-39")*'Raw Data'!$D$2:$D$9999*'Raw Data'!$AQ$2:$AQ$9999)/SUMIFS('Raw Data'!$D:$D, 'Raw Data'!$B:$B, "Control", 'Raw Data'!$C:$C, "D. 20-39"),"")</f>
        <v>10.45198392</v>
      </c>
      <c r="M46" s="73">
        <f>IFERROR(SUMPRODUCT(('Raw Data'!$B$2:$B$9999="Variant")*('Raw Data'!$C$2:$C$9999="D. 20-39")*'Raw Data'!$D$2:$D$9999*'Raw Data'!$AQ$2:$AQ$9999)/SUMIFS('Raw Data'!$D:$D, 'Raw Data'!$B:$B, "Variant", 'Raw Data'!$C:$C, "D. 20-39"),"")</f>
        <v>10.05907891</v>
      </c>
      <c r="N46" s="83">
        <f t="shared" ref="N46:N51" si="46">IFERROR((M46-L46)/ABS(L46),"")</f>
        <v>-0.03759142927</v>
      </c>
      <c r="O46" s="114">
        <f>IFERROR(SUMPRODUCT(('Raw Data'!$B$2:$B$9999="Control")*('Raw Data'!$C$2:$C$9999="E. 40-99")*'Raw Data'!$D$2:$D$9999*'Raw Data'!$AQ$2:$AQ$9999)/SUMIFS('Raw Data'!$D:$D, 'Raw Data'!$B:$B, "Control", 'Raw Data'!$C:$C, "E. 40-99"),"")</f>
        <v>16.91880612</v>
      </c>
      <c r="P46" s="73">
        <f>IFERROR(SUMPRODUCT(('Raw Data'!$B$2:$B$9999="Variant")*('Raw Data'!$C$2:$C$9999="E. 40-99")*'Raw Data'!$D$2:$D$9999*'Raw Data'!$AQ$2:$AQ$9999)/SUMIFS('Raw Data'!$D:$D, 'Raw Data'!$B:$B, "Variant", 'Raw Data'!$C:$C, "E. 40-99"),"")</f>
        <v>14.22507513</v>
      </c>
      <c r="Q46" s="70">
        <f t="shared" ref="Q46:Q51" si="47">IFERROR((P46-O46)/ABS(O46),"")</f>
        <v>-0.1592151933</v>
      </c>
      <c r="R46" s="115">
        <f>IFERROR(SUMPRODUCT(('Raw Data'!$B$2:$B$9999="Control")*('Raw Data'!$C$2:$C$9999="F. 100+")*'Raw Data'!$D$2:$D$9999*'Raw Data'!$AQ$2:$AQ$9999)/SUMIFS('Raw Data'!$D:$D, 'Raw Data'!$B:$B, "Control", 'Raw Data'!$C:$C, "F. 100+"),"")</f>
        <v>33.91962448</v>
      </c>
      <c r="S46" s="116">
        <f>IFERROR(SUMPRODUCT(('Raw Data'!$B$2:$B$9999="Variant")*('Raw Data'!$C$2:$C$9999="F. 100+")*'Raw Data'!$D$2:$D$9999*'Raw Data'!$AQ$2:$AQ$9999)/SUMIFS('Raw Data'!$D:$D, 'Raw Data'!$B:$B, "Variant", 'Raw Data'!$C:$C, "F. 100+"),"")</f>
        <v>38.36534029</v>
      </c>
      <c r="T46" s="125">
        <f t="shared" ref="T46:T51" si="48">IFERROR((S46-R46)/ABS(R46),"")</f>
        <v>0.1310661861</v>
      </c>
    </row>
    <row r="47" ht="15.75" customHeight="1">
      <c r="A47" s="23"/>
      <c r="B47" s="120" t="s">
        <v>83</v>
      </c>
      <c r="C47" s="114">
        <f>IFERROR(SUMPRODUCT(('Raw Data'!$B$2:$B$9999="Control")*('Raw Data'!$C$2:$C$9999="A. 0")*'Raw Data'!$D$2:$D$9999*'Raw Data'!$AR$2:$AR$9999)/SUMIFS('Raw Data'!$D:$D, 'Raw Data'!$B:$B, "Control", 'Raw Data'!$C:$C, "A. 0"),"")</f>
        <v>0.005873752499</v>
      </c>
      <c r="D47" s="73">
        <f>IFERROR(SUMPRODUCT(('Raw Data'!$B$2:$B$9999="Variant")*('Raw Data'!$C$2:$C$9999="A. 0")*'Raw Data'!$D$2:$D$9999*'Raw Data'!$AR$2:$AR$9999)/SUMIFS('Raw Data'!$D:$D, 'Raw Data'!$B:$B, "Variant", 'Raw Data'!$C:$C, "A. 0"),"")</f>
        <v>0.0150422986</v>
      </c>
      <c r="E47" s="66">
        <f t="shared" si="43"/>
        <v>1.560935042</v>
      </c>
      <c r="F47" s="115">
        <f>IFERROR(SUMPRODUCT(('Raw Data'!$B$2:$B$9999="Control")*('Raw Data'!$C$2:$C$9999="B. 1-9")*'Raw Data'!$D$2:$D$9999*'Raw Data'!$AR$2:$AR$9999)/SUMIFS('Raw Data'!$D:$D, 'Raw Data'!$B:$B, "Control", 'Raw Data'!$C:$C, "B. 1-9"),"")</f>
        <v>0.02599899566</v>
      </c>
      <c r="G47" s="73">
        <f>IFERROR(SUMPRODUCT(('Raw Data'!$B$2:$B$9999="Variant")*('Raw Data'!$C$2:$C$9999="B. 1-9")*'Raw Data'!$D$2:$D$9999*'Raw Data'!$AR$2:$AR$9999)/SUMIFS('Raw Data'!$D:$D, 'Raw Data'!$B:$B, "Variant", 'Raw Data'!$C:$C, "B. 1-9"),"")</f>
        <v>0.02826572652</v>
      </c>
      <c r="H47" s="83">
        <f t="shared" si="44"/>
        <v>0.08718532379</v>
      </c>
      <c r="I47" s="114">
        <f>IFERROR(SUMPRODUCT(('Raw Data'!$B$2:$B$9999="Control")*('Raw Data'!$C$2:$C$9999="C. 10-19")*'Raw Data'!$D$2:$D$9999*'Raw Data'!$AR$2:$AR$9999)/SUMIFS('Raw Data'!$D:$D, 'Raw Data'!$B:$B, "Control", 'Raw Data'!$C:$C, "C. 10-19"),"")</f>
        <v>0.127236434</v>
      </c>
      <c r="J47" s="73">
        <f>IFERROR(SUMPRODUCT(('Raw Data'!$B$2:$B$9999="Variant")*('Raw Data'!$C$2:$C$9999="C. 10-19")*'Raw Data'!$D$2:$D$9999*'Raw Data'!$AR$2:$AR$9999)/SUMIFS('Raw Data'!$D:$D, 'Raw Data'!$B:$B, "Variant", 'Raw Data'!$C:$C, "C. 10-19"),"")</f>
        <v>0.08828137899</v>
      </c>
      <c r="K47" s="70">
        <f t="shared" si="45"/>
        <v>-0.3061627382</v>
      </c>
      <c r="L47" s="115">
        <f>IFERROR(SUMPRODUCT(('Raw Data'!$B$2:$B$9999="Control")*('Raw Data'!$C$2:$C$9999="D. 20-39")*'Raw Data'!$D$2:$D$9999*'Raw Data'!$AR$2:$AR$9999)/SUMIFS('Raw Data'!$D:$D, 'Raw Data'!$B:$B, "Control", 'Raw Data'!$C:$C, "D. 20-39"),"")</f>
        <v>0.235610492</v>
      </c>
      <c r="M47" s="73">
        <f>IFERROR(SUMPRODUCT(('Raw Data'!$B$2:$B$9999="Variant")*('Raw Data'!$C$2:$C$9999="D. 20-39")*'Raw Data'!$D$2:$D$9999*'Raw Data'!$AR$2:$AR$9999)/SUMIFS('Raw Data'!$D:$D, 'Raw Data'!$B:$B, "Variant", 'Raw Data'!$C:$C, "D. 20-39"),"")</f>
        <v>0.2119281069</v>
      </c>
      <c r="N47" s="83">
        <f t="shared" si="46"/>
        <v>-0.1005149851</v>
      </c>
      <c r="O47" s="114">
        <f>IFERROR(SUMPRODUCT(('Raw Data'!$B$2:$B$9999="Control")*('Raw Data'!$C$2:$C$9999="E. 40-99")*'Raw Data'!$D$2:$D$9999*'Raw Data'!$AR$2:$AR$9999)/SUMIFS('Raw Data'!$D:$D, 'Raw Data'!$B:$B, "Control", 'Raw Data'!$C:$C, "E. 40-99"),"")</f>
        <v>0.4490572382</v>
      </c>
      <c r="P47" s="73">
        <f>IFERROR(SUMPRODUCT(('Raw Data'!$B$2:$B$9999="Variant")*('Raw Data'!$C$2:$C$9999="E. 40-99")*'Raw Data'!$D$2:$D$9999*'Raw Data'!$AR$2:$AR$9999)/SUMIFS('Raw Data'!$D:$D, 'Raw Data'!$B:$B, "Variant", 'Raw Data'!$C:$C, "E. 40-99"),"")</f>
        <v>0.4716975535</v>
      </c>
      <c r="Q47" s="70">
        <f t="shared" si="47"/>
        <v>0.05041743765</v>
      </c>
      <c r="R47" s="115">
        <f>IFERROR(SUMPRODUCT(('Raw Data'!$B$2:$B$9999="Control")*('Raw Data'!$C$2:$C$9999="F. 100+")*'Raw Data'!$D$2:$D$9999*'Raw Data'!$AR$2:$AR$9999)/SUMIFS('Raw Data'!$D:$D, 'Raw Data'!$B:$B, "Control", 'Raw Data'!$C:$C, "F. 100+"),"")</f>
        <v>4.018878818</v>
      </c>
      <c r="S47" s="116">
        <f>IFERROR(SUMPRODUCT(('Raw Data'!$B$2:$B$9999="Variant")*('Raw Data'!$C$2:$C$9999="F. 100+")*'Raw Data'!$D$2:$D$9999*'Raw Data'!$AR$2:$AR$9999)/SUMIFS('Raw Data'!$D:$D, 'Raw Data'!$B:$B, "Variant", 'Raw Data'!$C:$C, "F. 100+"),"")</f>
        <v>0.8275560393</v>
      </c>
      <c r="T47" s="125">
        <f t="shared" si="48"/>
        <v>-0.7940828583</v>
      </c>
    </row>
    <row r="48" ht="15.75" customHeight="1">
      <c r="A48" s="23"/>
      <c r="B48" s="120" t="s">
        <v>84</v>
      </c>
      <c r="C48" s="114">
        <f>IFERROR(SUMPRODUCT(('Raw Data'!$B$2:$B$9999="Control")*('Raw Data'!$C$2:$C$9999="A. 0")*'Raw Data'!$D$2:$D$9999*'Raw Data'!$AS$2:$AS$9999)/SUMIFS('Raw Data'!$D:$D, 'Raw Data'!$B:$B, "Control", 'Raw Data'!$C:$C, "A. 0"),"")</f>
        <v>1.144245436</v>
      </c>
      <c r="D48" s="73">
        <f>IFERROR(SUMPRODUCT(('Raw Data'!$B$2:$B$9999="Variant")*('Raw Data'!$C$2:$C$9999="A. 0")*'Raw Data'!$D$2:$D$9999*'Raw Data'!$AS$2:$AS$9999)/SUMIFS('Raw Data'!$D:$D, 'Raw Data'!$B:$B, "Variant", 'Raw Data'!$C:$C, "A. 0"),"")</f>
        <v>1.159904138</v>
      </c>
      <c r="E48" s="66">
        <f t="shared" si="43"/>
        <v>0.01368474013</v>
      </c>
      <c r="F48" s="115">
        <f>IFERROR(SUMPRODUCT(('Raw Data'!$B$2:$B$9999="Control")*('Raw Data'!$C$2:$C$9999="B. 1-9")*'Raw Data'!$D$2:$D$9999*'Raw Data'!$AS$2:$AS$9999)/SUMIFS('Raw Data'!$D:$D, 'Raw Data'!$B:$B, "Control", 'Raw Data'!$C:$C, "B. 1-9"),"")</f>
        <v>3.515511113</v>
      </c>
      <c r="G48" s="73">
        <f>IFERROR(SUMPRODUCT(('Raw Data'!$B$2:$B$9999="Variant")*('Raw Data'!$C$2:$C$9999="B. 1-9")*'Raw Data'!$D$2:$D$9999*'Raw Data'!$AS$2:$AS$9999)/SUMIFS('Raw Data'!$D:$D, 'Raw Data'!$B:$B, "Variant", 'Raw Data'!$C:$C, "B. 1-9"),"")</f>
        <v>4.015847047</v>
      </c>
      <c r="H48" s="83">
        <f t="shared" si="44"/>
        <v>0.1423223873</v>
      </c>
      <c r="I48" s="114">
        <f>IFERROR(SUMPRODUCT(('Raw Data'!$B$2:$B$9999="Control")*('Raw Data'!$C$2:$C$9999="C. 10-19")*'Raw Data'!$D$2:$D$9999*'Raw Data'!$AS$2:$AS$9999)/SUMIFS('Raw Data'!$D:$D, 'Raw Data'!$B:$B, "Control", 'Raw Data'!$C:$C, "C. 10-19"),"")</f>
        <v>6.513379095</v>
      </c>
      <c r="J48" s="73">
        <f>IFERROR(SUMPRODUCT(('Raw Data'!$B$2:$B$9999="Variant")*('Raw Data'!$C$2:$C$9999="C. 10-19")*'Raw Data'!$D$2:$D$9999*'Raw Data'!$AS$2:$AS$9999)/SUMIFS('Raw Data'!$D:$D, 'Raw Data'!$B:$B, "Variant", 'Raw Data'!$C:$C, "C. 10-19"),"")</f>
        <v>6.946516728</v>
      </c>
      <c r="K48" s="70">
        <f t="shared" si="45"/>
        <v>0.06649968112</v>
      </c>
      <c r="L48" s="115">
        <f>IFERROR(SUMPRODUCT(('Raw Data'!$B$2:$B$9999="Control")*('Raw Data'!$C$2:$C$9999="D. 20-39")*'Raw Data'!$D$2:$D$9999*'Raw Data'!$AS$2:$AS$9999)/SUMIFS('Raw Data'!$D:$D, 'Raw Data'!$B:$B, "Control", 'Raw Data'!$C:$C, "D. 20-39"),"")</f>
        <v>10.21637329</v>
      </c>
      <c r="M48" s="73">
        <f>IFERROR(SUMPRODUCT(('Raw Data'!$B$2:$B$9999="Variant")*('Raw Data'!$C$2:$C$9999="D. 20-39")*'Raw Data'!$D$2:$D$9999*'Raw Data'!$AS$2:$AS$9999)/SUMIFS('Raw Data'!$D:$D, 'Raw Data'!$B:$B, "Variant", 'Raw Data'!$C:$C, "D. 20-39"),"")</f>
        <v>9.8471508</v>
      </c>
      <c r="N48" s="83">
        <f t="shared" si="46"/>
        <v>-0.03614027043</v>
      </c>
      <c r="O48" s="114">
        <f>IFERROR(SUMPRODUCT(('Raw Data'!$B$2:$B$9999="Control")*('Raw Data'!$C$2:$C$9999="E. 40-99")*'Raw Data'!$D$2:$D$9999*'Raw Data'!$AS$2:$AS$9999)/SUMIFS('Raw Data'!$D:$D, 'Raw Data'!$B:$B, "Control", 'Raw Data'!$C:$C, "E. 40-99"),"")</f>
        <v>16.46975007</v>
      </c>
      <c r="P48" s="73">
        <f>IFERROR(SUMPRODUCT(('Raw Data'!$B$2:$B$9999="Variant")*('Raw Data'!$C$2:$C$9999="E. 40-99")*'Raw Data'!$D$2:$D$9999*'Raw Data'!$AS$2:$AS$9999)/SUMIFS('Raw Data'!$D:$D, 'Raw Data'!$B:$B, "Variant", 'Raw Data'!$C:$C, "E. 40-99"),"")</f>
        <v>13.75333582</v>
      </c>
      <c r="Q48" s="70">
        <f t="shared" si="47"/>
        <v>-0.1649335437</v>
      </c>
      <c r="R48" s="115">
        <f>IFERROR(SUMPRODUCT(('Raw Data'!$B$2:$B$9999="Control")*('Raw Data'!$C$2:$C$9999="F. 100+")*'Raw Data'!$D$2:$D$9999*'Raw Data'!$AS$2:$AS$9999)/SUMIFS('Raw Data'!$D:$D, 'Raw Data'!$B:$B, "Control", 'Raw Data'!$C:$C, "F. 100+"),"")</f>
        <v>29.90073103</v>
      </c>
      <c r="S48" s="116">
        <f>IFERROR(SUMPRODUCT(('Raw Data'!$B$2:$B$9999="Variant")*('Raw Data'!$C$2:$C$9999="F. 100+")*'Raw Data'!$D$2:$D$9999*'Raw Data'!$AS$2:$AS$9999)/SUMIFS('Raw Data'!$D:$D, 'Raw Data'!$B:$B, "Variant", 'Raw Data'!$C:$C, "F. 100+"),"")</f>
        <v>37.53778425</v>
      </c>
      <c r="T48" s="125">
        <f t="shared" si="48"/>
        <v>0.2554135956</v>
      </c>
    </row>
    <row r="49" ht="15.75" customHeight="1">
      <c r="A49" s="23"/>
      <c r="B49" s="120" t="s">
        <v>85</v>
      </c>
      <c r="C49" s="114">
        <f>IFERROR(SUMPRODUCT(('Raw Data'!$B$2:$B$9999="Control")*('Raw Data'!$C$2:$C$9999="A. 0")*'Raw Data'!$D$2:$D$9999*'Raw Data'!$AT$2:$AT$9999)/SUMIFS('Raw Data'!$D:$D, 'Raw Data'!$B:$B, "Control", 'Raw Data'!$C:$C, "A. 0"),"")</f>
        <v>0.4081423191</v>
      </c>
      <c r="D49" s="73">
        <f>IFERROR(SUMPRODUCT(('Raw Data'!$B$2:$B$9999="Variant")*('Raw Data'!$C$2:$C$9999="A. 0")*'Raw Data'!$D$2:$D$9999*'Raw Data'!$AT$2:$AT$9999)/SUMIFS('Raw Data'!$D:$D, 'Raw Data'!$B:$B, "Variant", 'Raw Data'!$C:$C, "A. 0"),"")</f>
        <v>0.4428757287</v>
      </c>
      <c r="E49" s="66">
        <f t="shared" si="43"/>
        <v>0.08510122058</v>
      </c>
      <c r="F49" s="115">
        <f>IFERROR(SUMPRODUCT(('Raw Data'!$B$2:$B$9999="Control")*('Raw Data'!$C$2:$C$9999="B. 1-9")*'Raw Data'!$D$2:$D$9999*'Raw Data'!$AT$2:$AT$9999)/SUMIFS('Raw Data'!$D:$D, 'Raw Data'!$B:$B, "Control", 'Raw Data'!$C:$C, "B. 1-9"),"")</f>
        <v>3.316393298</v>
      </c>
      <c r="G49" s="73">
        <f>IFERROR(SUMPRODUCT(('Raw Data'!$B$2:$B$9999="Variant")*('Raw Data'!$C$2:$C$9999="B. 1-9")*'Raw Data'!$D$2:$D$9999*'Raw Data'!$AT$2:$AT$9999)/SUMIFS('Raw Data'!$D:$D, 'Raw Data'!$B:$B, "Variant", 'Raw Data'!$C:$C, "B. 1-9"),"")</f>
        <v>3.501566246</v>
      </c>
      <c r="H49" s="83">
        <f t="shared" si="44"/>
        <v>0.05583564175</v>
      </c>
      <c r="I49" s="114">
        <f>IFERROR(SUMPRODUCT(('Raw Data'!$B$2:$B$9999="Control")*('Raw Data'!$C$2:$C$9999="C. 10-19")*'Raw Data'!$D$2:$D$9999*'Raw Data'!$AT$2:$AT$9999)/SUMIFS('Raw Data'!$D:$D, 'Raw Data'!$B:$B, "Control", 'Raw Data'!$C:$C, "C. 10-19"),"")</f>
        <v>6.140817812</v>
      </c>
      <c r="J49" s="73">
        <f>IFERROR(SUMPRODUCT(('Raw Data'!$B$2:$B$9999="Variant")*('Raw Data'!$C$2:$C$9999="C. 10-19")*'Raw Data'!$D$2:$D$9999*'Raw Data'!$AT$2:$AT$9999)/SUMIFS('Raw Data'!$D:$D, 'Raw Data'!$B:$B, "Variant", 'Raw Data'!$C:$C, "C. 10-19"),"")</f>
        <v>6.349308218</v>
      </c>
      <c r="K49" s="70">
        <f t="shared" si="45"/>
        <v>0.03395156997</v>
      </c>
      <c r="L49" s="115">
        <f>IFERROR(SUMPRODUCT(('Raw Data'!$B$2:$B$9999="Control")*('Raw Data'!$C$2:$C$9999="D. 20-39")*'Raw Data'!$D$2:$D$9999*'Raw Data'!$AT$2:$AT$9999)/SUMIFS('Raw Data'!$D:$D, 'Raw Data'!$B:$B, "Control", 'Raw Data'!$C:$C, "D. 20-39"),"")</f>
        <v>9.722415808</v>
      </c>
      <c r="M49" s="73">
        <f>IFERROR(SUMPRODUCT(('Raw Data'!$B$2:$B$9999="Variant")*('Raw Data'!$C$2:$C$9999="D. 20-39")*'Raw Data'!$D$2:$D$9999*'Raw Data'!$AT$2:$AT$9999)/SUMIFS('Raw Data'!$D:$D, 'Raw Data'!$B:$B, "Variant", 'Raw Data'!$C:$C, "D. 20-39"),"")</f>
        <v>9.490620093</v>
      </c>
      <c r="N49" s="83">
        <f t="shared" si="46"/>
        <v>-0.02384137026</v>
      </c>
      <c r="O49" s="114">
        <f>IFERROR(SUMPRODUCT(('Raw Data'!$B$2:$B$9999="Control")*('Raw Data'!$C$2:$C$9999="E. 40-99")*'Raw Data'!$D$2:$D$9999*'Raw Data'!$AT$2:$AT$9999)/SUMIFS('Raw Data'!$D:$D, 'Raw Data'!$B:$B, "Control", 'Raw Data'!$C:$C, "E. 40-99"),"")</f>
        <v>15.5776828</v>
      </c>
      <c r="P49" s="73">
        <f>IFERROR(SUMPRODUCT(('Raw Data'!$B$2:$B$9999="Variant")*('Raw Data'!$C$2:$C$9999="E. 40-99")*'Raw Data'!$D$2:$D$9999*'Raw Data'!$AT$2:$AT$9999)/SUMIFS('Raw Data'!$D:$D, 'Raw Data'!$B:$B, "Variant", 'Raw Data'!$C:$C, "E. 40-99"),"")</f>
        <v>13.77012595</v>
      </c>
      <c r="Q49" s="70">
        <f t="shared" si="47"/>
        <v>-0.1160350276</v>
      </c>
      <c r="R49" s="115">
        <f>IFERROR(SUMPRODUCT(('Raw Data'!$B$2:$B$9999="Control")*('Raw Data'!$C$2:$C$9999="F. 100+")*'Raw Data'!$D$2:$D$9999*'Raw Data'!$AT$2:$AT$9999)/SUMIFS('Raw Data'!$D:$D, 'Raw Data'!$B:$B, "Control", 'Raw Data'!$C:$C, "F. 100+"),"")</f>
        <v>29.78696455</v>
      </c>
      <c r="S49" s="116">
        <f>IFERROR(SUMPRODUCT(('Raw Data'!$B$2:$B$9999="Variant")*('Raw Data'!$C$2:$C$9999="F. 100+")*'Raw Data'!$D$2:$D$9999*'Raw Data'!$AT$2:$AT$9999)/SUMIFS('Raw Data'!$D:$D, 'Raw Data'!$B:$B, "Variant", 'Raw Data'!$C:$C, "F. 100+"),"")</f>
        <v>26.22236748</v>
      </c>
      <c r="T49" s="125">
        <f t="shared" si="48"/>
        <v>-0.1196696987</v>
      </c>
    </row>
    <row r="50" ht="15.75" customHeight="1">
      <c r="A50" s="23"/>
      <c r="B50" s="120" t="s">
        <v>86</v>
      </c>
      <c r="C50" s="114">
        <f>IFERROR(SUMPRODUCT(('Raw Data'!$B$2:$B$9999="Control")*('Raw Data'!$C$2:$C$9999="A. 0")*'Raw Data'!$D$2:$D$9999*('Raw Data'!$AQ$2:$AQ$9999-'Raw Data'!$AT$2:$AT$9999))/SUMIFS('Raw Data'!$D:$D, 'Raw Data'!$B:$B, "Control", 'Raw Data'!$C:$C, "A. 0"),"")</f>
        <v>0.74197658</v>
      </c>
      <c r="D50" s="73">
        <f>IFERROR(SUMPRODUCT(('Raw Data'!$B$2:$B$9999="Variant")*('Raw Data'!$C$2:$C$9999="A. 0")*'Raw Data'!$D$2:$D$9999*('Raw Data'!$AQ$2:$AQ$9999-'Raw Data'!$AT$2:$AT$9999))/SUMIFS('Raw Data'!$D:$D, 'Raw Data'!$B:$B, "Variant", 'Raw Data'!$C:$C, "A. 0"),"")</f>
        <v>0.7321007173</v>
      </c>
      <c r="E50" s="49">
        <f t="shared" si="43"/>
        <v>-0.01331020819</v>
      </c>
      <c r="F50" s="115">
        <f>IFERROR(SUMPRODUCT(('Raw Data'!$B$2:$B$9999="Control")*('Raw Data'!$C$2:$C$9999="B. 1-9")*'Raw Data'!$D$2:$D$9999*('Raw Data'!$AQ$2:$AQ$9999-'Raw Data'!$AT$2:$AT$9999))/SUMIFS('Raw Data'!$D:$D, 'Raw Data'!$B:$B, "Control", 'Raw Data'!$C:$C, "B. 1-9"),"")</f>
        <v>0.2251306639</v>
      </c>
      <c r="G50" s="73">
        <f>IFERROR(SUMPRODUCT(('Raw Data'!$B$2:$B$9999="Variant")*('Raw Data'!$C$2:$C$9999="B. 1-9")*'Raw Data'!$D$2:$D$9999*('Raw Data'!$AQ$2:$AQ$9999-'Raw Data'!$AT$2:$AT$9999))/SUMIFS('Raw Data'!$D:$D, 'Raw Data'!$B:$B, "Variant", 'Raw Data'!$C:$C, "B. 1-9"),"")</f>
        <v>0.5425321311</v>
      </c>
      <c r="H50" s="83">
        <f t="shared" si="44"/>
        <v>1.409854445</v>
      </c>
      <c r="I50" s="114">
        <f>IFERROR(SUMPRODUCT(('Raw Data'!$B$2:$B$9999="Control")*('Raw Data'!$C$2:$C$9999="C. 10-19")*'Raw Data'!$D$2:$D$9999*('Raw Data'!$AQ$2:$AQ$9999-'Raw Data'!$AT$2:$AT$9999))/SUMIFS('Raw Data'!$D:$D, 'Raw Data'!$B:$B, "Control", 'Raw Data'!$C:$C, "C. 10-19"),"")</f>
        <v>0.4998131462</v>
      </c>
      <c r="J50" s="73">
        <f>IFERROR(SUMPRODUCT(('Raw Data'!$B$2:$B$9999="Variant")*('Raw Data'!$C$2:$C$9999="C. 10-19")*'Raw Data'!$D$2:$D$9999*('Raw Data'!$AQ$2:$AQ$9999-'Raw Data'!$AT$2:$AT$9999))/SUMIFS('Raw Data'!$D:$D, 'Raw Data'!$B:$B, "Variant", 'Raw Data'!$C:$C, "C. 10-19"),"")</f>
        <v>0.6854885192</v>
      </c>
      <c r="K50" s="70">
        <f t="shared" si="45"/>
        <v>0.3714895744</v>
      </c>
      <c r="L50" s="115">
        <f>IFERROR(SUMPRODUCT(('Raw Data'!$B$2:$B$9999="Control")*('Raw Data'!$C$2:$C$9999="D. 20-39")*'Raw Data'!$D$2:$D$9999*('Raw Data'!$AQ$2:$AQ$9999-'Raw Data'!$AT$2:$AT$9999))/SUMIFS('Raw Data'!$D:$D, 'Raw Data'!$B:$B, "Control", 'Raw Data'!$C:$C, "D. 20-39"),"")</f>
        <v>0.7295681137</v>
      </c>
      <c r="M50" s="73">
        <f>IFERROR(SUMPRODUCT(('Raw Data'!$B$2:$B$9999="Variant")*('Raw Data'!$C$2:$C$9999="D. 20-39")*'Raw Data'!$D$2:$D$9999*('Raw Data'!$AQ$2:$AQ$9999-'Raw Data'!$AT$2:$AT$9999))/SUMIFS('Raw Data'!$D:$D, 'Raw Data'!$B:$B, "Variant", 'Raw Data'!$C:$C, "D. 20-39"),"")</f>
        <v>0.5684588145</v>
      </c>
      <c r="N50" s="83">
        <f t="shared" si="46"/>
        <v>-0.2208283178</v>
      </c>
      <c r="O50" s="114">
        <f>IFERROR(SUMPRODUCT(('Raw Data'!$B$2:$B$9999="Control")*('Raw Data'!$C$2:$C$9999="E. 40-99")*'Raw Data'!$D$2:$D$9999*('Raw Data'!$AQ$2:$AQ$9999-'Raw Data'!$AT$2:$AT$9999))/SUMIFS('Raw Data'!$D:$D, 'Raw Data'!$B:$B, "Control", 'Raw Data'!$C:$C, "E. 40-99"),"")</f>
        <v>1.341123317</v>
      </c>
      <c r="P50" s="73">
        <f>IFERROR(SUMPRODUCT(('Raw Data'!$B$2:$B$9999="Variant")*('Raw Data'!$C$2:$C$9999="E. 40-99")*'Raw Data'!$D$2:$D$9999*('Raw Data'!$AQ$2:$AQ$9999-'Raw Data'!$AT$2:$AT$9999))/SUMIFS('Raw Data'!$D:$D, 'Raw Data'!$B:$B, "Variant", 'Raw Data'!$C:$C, "E. 40-99"),"")</f>
        <v>0.4549491835</v>
      </c>
      <c r="Q50" s="70">
        <f t="shared" si="47"/>
        <v>-0.6607700592</v>
      </c>
      <c r="R50" s="115">
        <f>IFERROR(SUMPRODUCT(('Raw Data'!$B$2:$B$9999="Control")*('Raw Data'!$C$2:$C$9999="F. 100+")*'Raw Data'!$D$2:$D$9999*('Raw Data'!$AQ$2:$AQ$9999-'Raw Data'!$AT$2:$AT$9999))/SUMIFS('Raw Data'!$D:$D, 'Raw Data'!$B:$B, "Control", 'Raw Data'!$C:$C, "F. 100+"),"")</f>
        <v>4.132659928</v>
      </c>
      <c r="S50" s="73">
        <f>IFERROR(SUMPRODUCT(('Raw Data'!$B$2:$B$9999="Variant")*('Raw Data'!$C$2:$C$9999="F. 100+")*'Raw Data'!$D$2:$D$9999*('Raw Data'!$AQ$2:$AQ$9999-'Raw Data'!$AT$2:$AT$9999))/SUMIFS('Raw Data'!$D:$D, 'Raw Data'!$B:$B, "Variant", 'Raw Data'!$C:$C, "F. 100+"),"")</f>
        <v>12.14297281</v>
      </c>
      <c r="T50" s="70">
        <f t="shared" si="48"/>
        <v>1.938294712</v>
      </c>
    </row>
    <row r="51" ht="15.75" customHeight="1">
      <c r="A51" s="23"/>
      <c r="B51" s="42" t="s">
        <v>87</v>
      </c>
      <c r="C51" s="114">
        <f>IFERROR(SUMPRODUCT(('Raw Data'!$B$2:$B$9999="Control")*('Raw Data'!$C$2:$C$9999="A. 0")*'Raw Data'!$D$2:$D$9999*'Raw Data'!$AU$2:$AU$9999)/SUMIFS('Raw Data'!$D:$D, 'Raw Data'!$B:$B, "Control", 'Raw Data'!$C:$C, "A. 0"),"")</f>
        <v>0.1466487902</v>
      </c>
      <c r="D51" s="73">
        <f>IFERROR(SUMPRODUCT(('Raw Data'!$B$2:$B$9999="Variant")*('Raw Data'!$C$2:$C$9999="A. 0")*'Raw Data'!$D$2:$D$9999*'Raw Data'!$AU$2:$AU$9999)/SUMIFS('Raw Data'!$D:$D, 'Raw Data'!$B:$B, "Variant", 'Raw Data'!$C:$C, "A. 0"),"")</f>
        <v>0.162374377</v>
      </c>
      <c r="E51" s="49">
        <f t="shared" si="43"/>
        <v>0.1072329801</v>
      </c>
      <c r="F51" s="115">
        <f>IFERROR(SUMPRODUCT(('Raw Data'!$B$2:$B$9999="Control")*('Raw Data'!$C$2:$C$9999="B. 1-9")*'Raw Data'!$D$2:$D$9999*'Raw Data'!$AU$2:$AU$9999)/SUMIFS('Raw Data'!$D:$D, 'Raw Data'!$B:$B, "Control", 'Raw Data'!$C:$C, "B. 1-9"),"")</f>
        <v>0.2234060872</v>
      </c>
      <c r="G51" s="73">
        <f>IFERROR(SUMPRODUCT(('Raw Data'!$B$2:$B$9999="Variant")*('Raw Data'!$C$2:$C$9999="B. 1-9")*'Raw Data'!$D$2:$D$9999*'Raw Data'!$AU$2:$AU$9999)/SUMIFS('Raw Data'!$D:$D, 'Raw Data'!$B:$B, "Variant", 'Raw Data'!$C:$C, "B. 1-9"),"")</f>
        <v>0.2324950859</v>
      </c>
      <c r="H51" s="55">
        <f t="shared" si="44"/>
        <v>0.04068375617</v>
      </c>
      <c r="I51" s="114">
        <f>IFERROR(SUMPRODUCT(('Raw Data'!$B$2:$B$9999="Control")*('Raw Data'!$C$2:$C$9999="C. 10-19")*'Raw Data'!$D$2:$D$9999*'Raw Data'!$AU$2:$AU$9999)/SUMIFS('Raw Data'!$D:$D, 'Raw Data'!$B:$B, "Control", 'Raw Data'!$C:$C, "C. 10-19"),"")</f>
        <v>0.2267856985</v>
      </c>
      <c r="J51" s="73">
        <f>IFERROR(SUMPRODUCT(('Raw Data'!$B$2:$B$9999="Variant")*('Raw Data'!$C$2:$C$9999="C. 10-19")*'Raw Data'!$D$2:$D$9999*'Raw Data'!$AU$2:$AU$9999)/SUMIFS('Raw Data'!$D:$D, 'Raw Data'!$B:$B, "Variant", 'Raw Data'!$C:$C, "C. 10-19"),"")</f>
        <v>0.2248295791</v>
      </c>
      <c r="K51" s="49">
        <f t="shared" si="45"/>
        <v>-0.00862540926</v>
      </c>
      <c r="L51" s="115">
        <f>IFERROR(SUMPRODUCT(('Raw Data'!$B$2:$B$9999="Control")*('Raw Data'!$C$2:$C$9999="D. 20-39")*'Raw Data'!$D$2:$D$9999*'Raw Data'!$AU$2:$AU$9999)/SUMIFS('Raw Data'!$D:$D, 'Raw Data'!$B:$B, "Control", 'Raw Data'!$C:$C, "D. 20-39"),"")</f>
        <v>0.2292744551</v>
      </c>
      <c r="M51" s="73">
        <f>IFERROR(SUMPRODUCT(('Raw Data'!$B$2:$B$9999="Variant")*('Raw Data'!$C$2:$C$9999="D. 20-39")*'Raw Data'!$D$2:$D$9999*'Raw Data'!$AU$2:$AU$9999)/SUMIFS('Raw Data'!$D:$D, 'Raw Data'!$B:$B, "Variant", 'Raw Data'!$C:$C, "D. 20-39"),"")</f>
        <v>0.2155359603</v>
      </c>
      <c r="N51" s="55">
        <f t="shared" si="46"/>
        <v>-0.05992161146</v>
      </c>
      <c r="O51" s="114">
        <f>IFERROR(SUMPRODUCT(('Raw Data'!$B$2:$B$9999="Control")*('Raw Data'!$C$2:$C$9999="E. 40-99")*'Raw Data'!$D$2:$D$9999*'Raw Data'!$AU$2:$AU$9999)/SUMIFS('Raw Data'!$D:$D, 'Raw Data'!$B:$B, "Control", 'Raw Data'!$C:$C, "E. 40-99"),"")</f>
        <v>0.1991070654</v>
      </c>
      <c r="P51" s="73">
        <f>IFERROR(SUMPRODUCT(('Raw Data'!$B$2:$B$9999="Variant")*('Raw Data'!$C$2:$C$9999="E. 40-99")*'Raw Data'!$D$2:$D$9999*'Raw Data'!$AU$2:$AU$9999)/SUMIFS('Raw Data'!$D:$D, 'Raw Data'!$B:$B, "Variant", 'Raw Data'!$C:$C, "E. 40-99"),"")</f>
        <v>0.1739684965</v>
      </c>
      <c r="Q51" s="49">
        <f t="shared" si="47"/>
        <v>-0.1262565385</v>
      </c>
      <c r="R51" s="115">
        <f>IFERROR(SUMPRODUCT(('Raw Data'!$B$2:$B$9999="Control")*('Raw Data'!$C$2:$C$9999="F. 100+")*'Raw Data'!$D$2:$D$9999*'Raw Data'!$AU$2:$AU$9999)/SUMIFS('Raw Data'!$D:$D, 'Raw Data'!$B:$B, "Control", 'Raw Data'!$C:$C, "F. 100+"),"")</f>
        <v>0.1943617363</v>
      </c>
      <c r="S51" s="73">
        <f>IFERROR(SUMPRODUCT(('Raw Data'!$B$2:$B$9999="Variant")*('Raw Data'!$C$2:$C$9999="F. 100+")*'Raw Data'!$D$2:$D$9999*'Raw Data'!$AU$2:$AU$9999)/SUMIFS('Raw Data'!$D:$D, 'Raw Data'!$B:$B, "Variant", 'Raw Data'!$C:$C, "F. 100+"),"")</f>
        <v>0.1658186086</v>
      </c>
      <c r="T51" s="39">
        <f t="shared" si="48"/>
        <v>-0.1468556942</v>
      </c>
    </row>
    <row r="52" ht="15.75" customHeight="1">
      <c r="B52" s="127"/>
      <c r="H52" s="127"/>
      <c r="K52" s="127"/>
      <c r="N52" s="127"/>
      <c r="Q52" s="127"/>
    </row>
    <row r="53" ht="15.75" hidden="1" customHeight="1">
      <c r="A53" s="34" t="s">
        <v>118</v>
      </c>
      <c r="B53" s="35"/>
      <c r="C53" s="36"/>
      <c r="D53" s="21"/>
      <c r="E53" s="38"/>
      <c r="F53" s="40"/>
      <c r="G53" s="21"/>
      <c r="H53" s="35"/>
      <c r="I53" s="36"/>
      <c r="J53" s="21"/>
      <c r="K53" s="38"/>
      <c r="L53" s="40"/>
      <c r="M53" s="21"/>
      <c r="N53" s="35"/>
      <c r="O53" s="36"/>
      <c r="P53" s="21"/>
      <c r="Q53" s="38"/>
      <c r="R53" s="40"/>
      <c r="S53" s="21"/>
      <c r="T53" s="21"/>
    </row>
    <row r="54" ht="15.75" hidden="1" customHeight="1">
      <c r="A54" s="23"/>
      <c r="B54" s="128"/>
      <c r="C54" s="78"/>
      <c r="D54" s="80"/>
      <c r="E54" s="49"/>
      <c r="F54" s="129" t="s">
        <v>196</v>
      </c>
      <c r="G54" s="129" t="s">
        <v>197</v>
      </c>
      <c r="H54" s="130" t="s">
        <v>13</v>
      </c>
      <c r="I54" s="131" t="s">
        <v>196</v>
      </c>
      <c r="J54" s="129" t="s">
        <v>197</v>
      </c>
      <c r="K54" s="130" t="s">
        <v>13</v>
      </c>
      <c r="L54" s="131" t="s">
        <v>196</v>
      </c>
      <c r="M54" s="129" t="s">
        <v>197</v>
      </c>
      <c r="N54" s="130" t="s">
        <v>13</v>
      </c>
      <c r="O54" s="131" t="s">
        <v>196</v>
      </c>
      <c r="P54" s="129" t="s">
        <v>197</v>
      </c>
      <c r="Q54" s="130" t="s">
        <v>13</v>
      </c>
      <c r="R54" s="131" t="s">
        <v>196</v>
      </c>
      <c r="S54" s="129" t="s">
        <v>197</v>
      </c>
      <c r="T54" s="132" t="s">
        <v>13</v>
      </c>
    </row>
    <row r="55" ht="15.75" hidden="1" customHeight="1">
      <c r="A55" s="23"/>
      <c r="B55" s="42" t="s">
        <v>78</v>
      </c>
      <c r="C55" s="78"/>
      <c r="D55" s="80">
        <f>IFERROR(SUMPRODUCT(('Raw Data'!$B$2:$B$9999="Variant")*('Raw Data'!$C$2:$C$9999="A. 0")*'Raw Data'!$D$2:$D$9999*'Raw Data'!$AM$2:$AM$9999)/SUMIFS('Raw Data'!$D:$D, 'Raw Data'!$B:$B, "Variant", 'Raw Data'!$C:$C, "A. 0"),"")</f>
        <v>0.2116460052</v>
      </c>
      <c r="E55" s="49"/>
      <c r="F55" s="81">
        <v>42.64714275913684</v>
      </c>
      <c r="G55" s="80">
        <f>IFERROR(SUMPRODUCT(('Raw Data'!$B$2:$B$9999="Variant")*('Raw Data'!$C$2:$C$9999="B. 1-9")*'Raw Data'!$D$2:$D$9999*'Raw Data'!$AM$2:$AM$9999)/SUMIFS('Raw Data'!$D:$D, 'Raw Data'!$B:$B, "Variant", 'Raw Data'!$C:$C, "B. 1-9"),"")</f>
        <v>57.43823971</v>
      </c>
      <c r="H55" s="49">
        <f t="shared" ref="H55:H58" si="49">IFERROR((G55-F55)/ABS(F55),"")</f>
        <v>0.3468250389</v>
      </c>
      <c r="I55" s="81">
        <v>64.2180393913231</v>
      </c>
      <c r="J55" s="80">
        <f>IFERROR(SUMPRODUCT(('Raw Data'!$B$2:$B$9999="Variant")*('Raw Data'!$C$2:$C$9999="C. 10-19")*'Raw Data'!$D$2:$D$9999*'Raw Data'!$AM$2:$AM$9999)/SUMIFS('Raw Data'!$D:$D, 'Raw Data'!$B:$B, "Variant", 'Raw Data'!$C:$C, "C. 10-19"),"")</f>
        <v>58.62294255</v>
      </c>
      <c r="K55" s="49">
        <f t="shared" ref="K55:K58" si="50">IFERROR((J55-I55)/ABS(I55),"")</f>
        <v>-0.08712655973</v>
      </c>
      <c r="L55" s="81">
        <v>67.13105330341149</v>
      </c>
      <c r="M55" s="80">
        <f>IFERROR(SUMPRODUCT(('Raw Data'!$B$2:$B$9999="Variant")*('Raw Data'!$C$2:$C$9999="D. 20-39")*'Raw Data'!$D$2:$D$9999*'Raw Data'!$AM$2:$AM$9999)/SUMIFS('Raw Data'!$D:$D, 'Raw Data'!$B:$B, "Variant", 'Raw Data'!$C:$C, "D. 20-39"),"")</f>
        <v>60.58492616</v>
      </c>
      <c r="N55" s="49">
        <f t="shared" ref="N55:N58" si="51">IFERROR((M55-L55)/ABS(L55),"")</f>
        <v>-0.09751265354</v>
      </c>
      <c r="O55" s="81">
        <v>69.47695179730147</v>
      </c>
      <c r="P55" s="80">
        <f>IFERROR(SUMPRODUCT(('Raw Data'!$B$2:$B$9999="Variant")*('Raw Data'!$C$2:$C$9999="E. 40-99")*'Raw Data'!$D$2:$D$9999*'Raw Data'!$AM$2:$AM$9999)/SUMIFS('Raw Data'!$D:$D, 'Raw Data'!$B:$B, "Variant", 'Raw Data'!$C:$C, "E. 40-99"),"")</f>
        <v>57.80200723</v>
      </c>
      <c r="Q55" s="49">
        <f t="shared" ref="Q55:Q58" si="52">IFERROR((P55-O55)/ABS(O55),"")</f>
        <v>-0.168040541</v>
      </c>
      <c r="R55" s="81">
        <v>69.55612235067437</v>
      </c>
      <c r="S55" s="134">
        <f>IFERROR(SUMPRODUCT(('Raw Data'!$B$2:$B$9999="Variant")*('Raw Data'!$C$2:$C$9999="F. 100+")*'Raw Data'!$D$2:$D$9999*'Raw Data'!$AM$2:$AM$9999)/SUMIFS('Raw Data'!$D:$D, 'Raw Data'!$B:$B, "Variant", 'Raw Data'!$C:$C, "F. 100+"),"")</f>
        <v>56.46679471</v>
      </c>
      <c r="T55" s="39">
        <f t="shared" ref="T55:T58" si="53">IFERROR((S55-R55)/ABS(R55),"")</f>
        <v>-0.1881836882</v>
      </c>
    </row>
    <row r="56" ht="15.75" hidden="1" customHeight="1">
      <c r="A56" s="23"/>
      <c r="B56" s="42" t="s">
        <v>79</v>
      </c>
      <c r="C56" s="78"/>
      <c r="D56" s="80">
        <f>IFERROR(SUMPRODUCT(('Raw Data'!$B$2:$B$9999="Variant")*('Raw Data'!$C$2:$C$9999="A. 0")*'Raw Data'!$D$2:$D$9999*'Raw Data'!$AN$2:$AN$9999)/SUMIFS('Raw Data'!$D:$D, 'Raw Data'!$B:$B, "Variant", 'Raw Data'!$C:$C, "A. 0"),"")</f>
        <v>0.2116460052</v>
      </c>
      <c r="E56" s="49"/>
      <c r="F56" s="81">
        <v>42.64714275913684</v>
      </c>
      <c r="G56" s="80">
        <f>IFERROR(SUMPRODUCT(('Raw Data'!$B$2:$B$9999="Variant")*('Raw Data'!$C$2:$C$9999="B. 1-9")*'Raw Data'!$D$2:$D$9999*'Raw Data'!$AN$2:$AN$9999)/SUMIFS('Raw Data'!$D:$D, 'Raw Data'!$B:$B, "Variant", 'Raw Data'!$C:$C, "B. 1-9"),"")</f>
        <v>57.43823971</v>
      </c>
      <c r="H56" s="49">
        <f t="shared" si="49"/>
        <v>0.3468250389</v>
      </c>
      <c r="I56" s="81">
        <v>64.2180393913231</v>
      </c>
      <c r="J56" s="80">
        <f>IFERROR(SUMPRODUCT(('Raw Data'!$B$2:$B$9999="Variant")*('Raw Data'!$C$2:$C$9999="C. 10-19")*'Raw Data'!$D$2:$D$9999*'Raw Data'!$AN$2:$AN$9999)/SUMIFS('Raw Data'!$D:$D, 'Raw Data'!$B:$B, "Variant", 'Raw Data'!$C:$C, "C. 10-19"),"")</f>
        <v>58.62294255</v>
      </c>
      <c r="K56" s="49">
        <f t="shared" si="50"/>
        <v>-0.08712655973</v>
      </c>
      <c r="L56" s="81">
        <v>67.13105330341149</v>
      </c>
      <c r="M56" s="80">
        <f>IFERROR(SUMPRODUCT(('Raw Data'!$B$2:$B$9999="Variant")*('Raw Data'!$C$2:$C$9999="D. 20-39")*'Raw Data'!$D$2:$D$9999*'Raw Data'!$AN$2:$AN$9999)/SUMIFS('Raw Data'!$D:$D, 'Raw Data'!$B:$B, "Variant", 'Raw Data'!$C:$C, "D. 20-39"),"")</f>
        <v>60.58492616</v>
      </c>
      <c r="N56" s="49">
        <f t="shared" si="51"/>
        <v>-0.09751265354</v>
      </c>
      <c r="O56" s="81">
        <v>69.47695179730147</v>
      </c>
      <c r="P56" s="80">
        <f>IFERROR(SUMPRODUCT(('Raw Data'!$B$2:$B$9999="Variant")*('Raw Data'!$C$2:$C$9999="E. 40-99")*'Raw Data'!$D$2:$D$9999*'Raw Data'!$AN$2:$AN$9999)/SUMIFS('Raw Data'!$D:$D, 'Raw Data'!$B:$B, "Variant", 'Raw Data'!$C:$C, "E. 40-99"),"")</f>
        <v>57.80200723</v>
      </c>
      <c r="Q56" s="49">
        <f t="shared" si="52"/>
        <v>-0.168040541</v>
      </c>
      <c r="R56" s="81">
        <v>69.55612235067437</v>
      </c>
      <c r="S56" s="134">
        <f>IFERROR(SUMPRODUCT(('Raw Data'!$B$2:$B$9999="Variant")*('Raw Data'!$C$2:$C$9999="F. 100+")*'Raw Data'!$D$2:$D$9999*'Raw Data'!$AN$2:$AN$9999)/SUMIFS('Raw Data'!$D:$D, 'Raw Data'!$B:$B, "Variant", 'Raw Data'!$C:$C, "F. 100+"),"")</f>
        <v>56.46679471</v>
      </c>
      <c r="T56" s="39">
        <f t="shared" si="53"/>
        <v>-0.1881836882</v>
      </c>
    </row>
    <row r="57" ht="15.75" hidden="1" customHeight="1">
      <c r="A57" s="23"/>
      <c r="B57" s="42" t="s">
        <v>80</v>
      </c>
      <c r="C57" s="78"/>
      <c r="D57" s="80">
        <f>IFERROR(SUMPRODUCT(('Raw Data'!$B$2:$B$9999="Variant")*('Raw Data'!$C$2:$C$9999="A. 0")*'Raw Data'!$D$2:$D$9999*'Raw Data'!$AO$2:$AO$9999)/SUMIFS('Raw Data'!$D:$D, 'Raw Data'!$B:$B, "Variant", 'Raw Data'!$C:$C, "A. 0"),"")</f>
        <v>0.08890169576</v>
      </c>
      <c r="E57" s="49"/>
      <c r="F57" s="81">
        <v>20.758437882000745</v>
      </c>
      <c r="G57" s="80">
        <f>IFERROR(SUMPRODUCT(('Raw Data'!$B$2:$B$9999="Variant")*('Raw Data'!$C$2:$C$9999="B. 1-9")*'Raw Data'!$D$2:$D$9999*'Raw Data'!$AO$2:$AO$9999)/SUMIFS('Raw Data'!$D:$D, 'Raw Data'!$B:$B, "Variant", 'Raw Data'!$C:$C, "B. 1-9"),"")</f>
        <v>26.85399631</v>
      </c>
      <c r="H57" s="49">
        <f t="shared" si="49"/>
        <v>0.2936424439</v>
      </c>
      <c r="I57" s="81">
        <v>44.857285344269364</v>
      </c>
      <c r="J57" s="80">
        <f>IFERROR(SUMPRODUCT(('Raw Data'!$B$2:$B$9999="Variant")*('Raw Data'!$C$2:$C$9999="C. 10-19")*'Raw Data'!$D$2:$D$9999*'Raw Data'!$AO$2:$AO$9999)/SUMIFS('Raw Data'!$D:$D, 'Raw Data'!$B:$B, "Variant", 'Raw Data'!$C:$C, "C. 10-19"),"")</f>
        <v>35.16188291</v>
      </c>
      <c r="K57" s="49">
        <f t="shared" si="50"/>
        <v>-0.2161388581</v>
      </c>
      <c r="L57" s="81">
        <v>44.82143398324103</v>
      </c>
      <c r="M57" s="80">
        <f>IFERROR(SUMPRODUCT(('Raw Data'!$B$2:$B$9999="Variant")*('Raw Data'!$C$2:$C$9999="D. 20-39")*'Raw Data'!$D$2:$D$9999*'Raw Data'!$AO$2:$AO$9999)/SUMIFS('Raw Data'!$D:$D, 'Raw Data'!$B:$B, "Variant", 'Raw Data'!$C:$C, "D. 20-39"),"")</f>
        <v>35.68737913</v>
      </c>
      <c r="N57" s="49">
        <f t="shared" si="51"/>
        <v>-0.2037876533</v>
      </c>
      <c r="O57" s="81">
        <v>49.47428880420229</v>
      </c>
      <c r="P57" s="80">
        <f>IFERROR(SUMPRODUCT(('Raw Data'!$B$2:$B$9999="Variant")*('Raw Data'!$C$2:$C$9999="E. 40-99")*'Raw Data'!$D$2:$D$9999*'Raw Data'!$AO$2:$AO$9999)/SUMIFS('Raw Data'!$D:$D, 'Raw Data'!$B:$B, "Variant", 'Raw Data'!$C:$C, "E. 40-99"),"")</f>
        <v>33.57571497</v>
      </c>
      <c r="Q57" s="49">
        <f t="shared" si="52"/>
        <v>-0.3213502248</v>
      </c>
      <c r="R57" s="81">
        <v>49.613294797687864</v>
      </c>
      <c r="S57" s="134">
        <f>IFERROR(SUMPRODUCT(('Raw Data'!$B$2:$B$9999="Variant")*('Raw Data'!$C$2:$C$9999="F. 100+")*'Raw Data'!$D$2:$D$9999*'Raw Data'!$AO$2:$AO$9999)/SUMIFS('Raw Data'!$D:$D, 'Raw Data'!$B:$B, "Variant", 'Raw Data'!$C:$C, "F. 100+"),"")</f>
        <v>30.77156637</v>
      </c>
      <c r="T57" s="39">
        <f t="shared" si="53"/>
        <v>-0.3797717629</v>
      </c>
    </row>
    <row r="58" ht="15.75" hidden="1" customHeight="1">
      <c r="A58" s="23"/>
      <c r="B58" s="42" t="s">
        <v>81</v>
      </c>
      <c r="C58" s="78"/>
      <c r="D58" s="80">
        <f>IFERROR(SUMPRODUCT(('Raw Data'!$B$2:$B$9999="Variant")*('Raw Data'!$C$2:$C$9999="A. 0")*'Raw Data'!$D$2:$D$9999*'Raw Data'!$AP$2:$AP$9999)/SUMIFS('Raw Data'!$D:$D, 'Raw Data'!$B:$B, "Variant", 'Raw Data'!$C:$C, "A. 0"),"")</f>
        <v>0.03059496662</v>
      </c>
      <c r="E58" s="49"/>
      <c r="F58" s="81">
        <v>8.35851789946364</v>
      </c>
      <c r="G58" s="80">
        <f>IFERROR(SUMPRODUCT(('Raw Data'!$B$2:$B$9999="Variant")*('Raw Data'!$C$2:$C$9999="B. 1-9")*'Raw Data'!$D$2:$D$9999*'Raw Data'!$AP$2:$AP$9999)/SUMIFS('Raw Data'!$D:$D, 'Raw Data'!$B:$B, "Variant", 'Raw Data'!$C:$C, "B. 1-9"),"")</f>
        <v>8.568087983</v>
      </c>
      <c r="H58" s="49">
        <f t="shared" si="49"/>
        <v>0.02507263679</v>
      </c>
      <c r="I58" s="81">
        <v>25.564667601985754</v>
      </c>
      <c r="J58" s="80">
        <f>IFERROR(SUMPRODUCT(('Raw Data'!$B$2:$B$9999="Variant")*('Raw Data'!$C$2:$C$9999="C. 10-19")*'Raw Data'!$D$2:$D$9999*'Raw Data'!$AP$2:$AP$9999)/SUMIFS('Raw Data'!$D:$D, 'Raw Data'!$B:$B, "Variant", 'Raw Data'!$C:$C, "C. 10-19"),"")</f>
        <v>16.96806556</v>
      </c>
      <c r="K58" s="49">
        <f t="shared" si="50"/>
        <v>-0.3362688763</v>
      </c>
      <c r="L58" s="81">
        <v>29.76296452615758</v>
      </c>
      <c r="M58" s="80">
        <f>IFERROR(SUMPRODUCT(('Raw Data'!$B$2:$B$9999="Variant")*('Raw Data'!$C$2:$C$9999="D. 20-39")*'Raw Data'!$D$2:$D$9999*'Raw Data'!$AP$2:$AP$9999)/SUMIFS('Raw Data'!$D:$D, 'Raw Data'!$B:$B, "Variant", 'Raw Data'!$C:$C, "D. 20-39"),"")</f>
        <v>19.0117461</v>
      </c>
      <c r="N58" s="49">
        <f t="shared" si="51"/>
        <v>-0.3612280764</v>
      </c>
      <c r="O58" s="81">
        <v>34.037131012462666</v>
      </c>
      <c r="P58" s="80">
        <f>IFERROR(SUMPRODUCT(('Raw Data'!$B$2:$B$9999="Variant")*('Raw Data'!$C$2:$C$9999="E. 40-99")*'Raw Data'!$D$2:$D$9999*'Raw Data'!$AP$2:$AP$9999)/SUMIFS('Raw Data'!$D:$D, 'Raw Data'!$B:$B, "Variant", 'Raw Data'!$C:$C, "E. 40-99"),"")</f>
        <v>18.99380838</v>
      </c>
      <c r="Q58" s="49">
        <f t="shared" si="52"/>
        <v>-0.4419679976</v>
      </c>
      <c r="R58" s="81">
        <v>36.70592485549133</v>
      </c>
      <c r="S58" s="134">
        <f>IFERROR(SUMPRODUCT(('Raw Data'!$B$2:$B$9999="Variant")*('Raw Data'!$C$2:$C$9999="F. 100+")*'Raw Data'!$D$2:$D$9999*'Raw Data'!$AP$2:$AP$9999)/SUMIFS('Raw Data'!$D:$D, 'Raw Data'!$B:$B, "Variant", 'Raw Data'!$C:$C, "F. 100+"),"")</f>
        <v>18.69634656</v>
      </c>
      <c r="T58" s="39">
        <f t="shared" si="53"/>
        <v>-0.4906449943</v>
      </c>
    </row>
    <row r="59" ht="15.75" customHeight="1">
      <c r="B59" s="6"/>
      <c r="F59" s="9"/>
    </row>
    <row r="60" ht="15.75" customHeight="1">
      <c r="B60" s="6"/>
      <c r="F60" s="9"/>
    </row>
    <row r="61" ht="15.75" customHeight="1">
      <c r="B61" s="6"/>
      <c r="F61" s="9"/>
    </row>
    <row r="62" ht="15.75" customHeight="1">
      <c r="B62" s="6"/>
      <c r="F62" s="9"/>
    </row>
    <row r="63" ht="15.75" customHeight="1">
      <c r="B63" s="6"/>
      <c r="F63" s="9"/>
    </row>
    <row r="64" ht="15.75" customHeight="1">
      <c r="B64" s="6"/>
      <c r="F64" s="9"/>
    </row>
    <row r="65" ht="15.75" customHeight="1">
      <c r="B65" s="6"/>
      <c r="F65" s="9"/>
    </row>
    <row r="66" ht="15.75" customHeight="1">
      <c r="B66" s="6"/>
      <c r="F66" s="9"/>
    </row>
    <row r="67" ht="15.75" customHeight="1">
      <c r="B67" s="6"/>
      <c r="F67" s="9"/>
    </row>
    <row r="68" ht="15.75" customHeight="1">
      <c r="B68" s="6"/>
      <c r="F68" s="9"/>
    </row>
    <row r="69" ht="15.75" customHeight="1">
      <c r="B69" s="6"/>
      <c r="F69" s="9"/>
    </row>
    <row r="70" ht="15.75" customHeight="1">
      <c r="B70" s="6"/>
      <c r="F70" s="9"/>
    </row>
    <row r="71" ht="15.75" customHeight="1">
      <c r="B71" s="6"/>
      <c r="F71" s="9"/>
    </row>
    <row r="72" ht="15.75" customHeight="1">
      <c r="B72" s="6"/>
      <c r="F72" s="9"/>
    </row>
    <row r="73" ht="15.75" customHeight="1">
      <c r="B73" s="6"/>
      <c r="F73" s="9"/>
    </row>
    <row r="74" ht="15.75" customHeight="1">
      <c r="B74" s="6"/>
      <c r="F74" s="9"/>
    </row>
    <row r="75" ht="15.75" customHeight="1">
      <c r="B75" s="6"/>
      <c r="F75" s="9"/>
    </row>
    <row r="76" ht="15.75" customHeight="1">
      <c r="B76" s="6"/>
      <c r="F76" s="9"/>
    </row>
    <row r="77" ht="15.75" customHeight="1">
      <c r="B77" s="6"/>
      <c r="F77" s="9"/>
    </row>
    <row r="78" ht="15.75" customHeight="1">
      <c r="B78" s="6"/>
      <c r="F78" s="9"/>
    </row>
    <row r="79" ht="15.75" customHeight="1">
      <c r="B79" s="6"/>
      <c r="F79" s="9"/>
    </row>
    <row r="80" ht="15.75" customHeight="1">
      <c r="B80" s="6"/>
      <c r="F80" s="9"/>
    </row>
    <row r="81" ht="15.75" customHeight="1">
      <c r="B81" s="6"/>
      <c r="F81" s="9"/>
    </row>
    <row r="82" ht="15.75" customHeight="1">
      <c r="B82" s="6"/>
      <c r="F82" s="9"/>
    </row>
    <row r="83" ht="15.75" customHeight="1">
      <c r="B83" s="6"/>
      <c r="F83" s="9"/>
    </row>
    <row r="84" ht="15.75" customHeight="1">
      <c r="B84" s="6"/>
      <c r="F84" s="9"/>
    </row>
    <row r="85" ht="15.75" customHeight="1">
      <c r="B85" s="6"/>
      <c r="F85" s="9"/>
    </row>
    <row r="86" ht="15.75" customHeight="1">
      <c r="B86" s="6"/>
      <c r="F86" s="9"/>
    </row>
    <row r="87" ht="15.75" customHeight="1">
      <c r="B87" s="6"/>
      <c r="F87" s="9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</sheetData>
  <mergeCells count="9">
    <mergeCell ref="O3:Q3"/>
    <mergeCell ref="R3:T3"/>
    <mergeCell ref="A1:T1"/>
    <mergeCell ref="A3:A4"/>
    <mergeCell ref="B3:B4"/>
    <mergeCell ref="C3:E3"/>
    <mergeCell ref="F3:H3"/>
    <mergeCell ref="I3:K3"/>
    <mergeCell ref="L3:N3"/>
  </mergeCells>
  <conditionalFormatting sqref="E8:E11">
    <cfRule type="cellIs" dxfId="2" priority="1" operator="greaterThan">
      <formula>0</formula>
    </cfRule>
  </conditionalFormatting>
  <conditionalFormatting sqref="E8:E11">
    <cfRule type="cellIs" dxfId="3" priority="2" operator="lessThan">
      <formula>0</formula>
    </cfRule>
  </conditionalFormatting>
  <conditionalFormatting sqref="E13:E15">
    <cfRule type="cellIs" dxfId="2" priority="3" operator="greaterThan">
      <formula>0</formula>
    </cfRule>
  </conditionalFormatting>
  <conditionalFormatting sqref="E13:E15">
    <cfRule type="cellIs" dxfId="3" priority="4" operator="lessThan">
      <formula>0</formula>
    </cfRule>
  </conditionalFormatting>
  <conditionalFormatting sqref="E17:E21">
    <cfRule type="cellIs" dxfId="2" priority="5" operator="greaterThan">
      <formula>0</formula>
    </cfRule>
  </conditionalFormatting>
  <conditionalFormatting sqref="E17:E21">
    <cfRule type="cellIs" dxfId="3" priority="6" operator="lessThan">
      <formula>0</formula>
    </cfRule>
  </conditionalFormatting>
  <conditionalFormatting sqref="E28">
    <cfRule type="cellIs" dxfId="4" priority="7" operator="greaterThan">
      <formula>0</formula>
    </cfRule>
  </conditionalFormatting>
  <conditionalFormatting sqref="E28">
    <cfRule type="cellIs" dxfId="5" priority="8" operator="lessThan">
      <formula>0</formula>
    </cfRule>
  </conditionalFormatting>
  <conditionalFormatting sqref="E29">
    <cfRule type="cellIs" dxfId="2" priority="9" operator="greaterThan">
      <formula>0</formula>
    </cfRule>
  </conditionalFormatting>
  <conditionalFormatting sqref="E29">
    <cfRule type="cellIs" dxfId="3" priority="10" operator="lessThan">
      <formula>0</formula>
    </cfRule>
  </conditionalFormatting>
  <conditionalFormatting sqref="E30">
    <cfRule type="cellIs" dxfId="4" priority="11" operator="lessThan">
      <formula>0</formula>
    </cfRule>
  </conditionalFormatting>
  <conditionalFormatting sqref="E30">
    <cfRule type="cellIs" dxfId="5" priority="12" operator="greaterThan">
      <formula>0</formula>
    </cfRule>
  </conditionalFormatting>
  <conditionalFormatting sqref="E31">
    <cfRule type="cellIs" dxfId="4" priority="13" operator="greaterThan">
      <formula>0</formula>
    </cfRule>
  </conditionalFormatting>
  <conditionalFormatting sqref="E31">
    <cfRule type="cellIs" dxfId="5" priority="14" operator="lessThan">
      <formula>0</formula>
    </cfRule>
  </conditionalFormatting>
  <conditionalFormatting sqref="E32">
    <cfRule type="cellIs" dxfId="4" priority="15" operator="lessThan">
      <formula>0</formula>
    </cfRule>
  </conditionalFormatting>
  <conditionalFormatting sqref="E32">
    <cfRule type="cellIs" dxfId="5" priority="16" operator="greaterThan">
      <formula>0</formula>
    </cfRule>
  </conditionalFormatting>
  <conditionalFormatting sqref="E33">
    <cfRule type="cellIs" dxfId="4" priority="17" operator="greaterThan">
      <formula>0</formula>
    </cfRule>
  </conditionalFormatting>
  <conditionalFormatting sqref="E33">
    <cfRule type="cellIs" dxfId="5" priority="18" operator="lessThan">
      <formula>0</formula>
    </cfRule>
  </conditionalFormatting>
  <conditionalFormatting sqref="E34">
    <cfRule type="cellIs" dxfId="2" priority="19" operator="greaterThan">
      <formula>0</formula>
    </cfRule>
  </conditionalFormatting>
  <conditionalFormatting sqref="E34">
    <cfRule type="cellIs" dxfId="3" priority="20" operator="lessThan">
      <formula>0</formula>
    </cfRule>
  </conditionalFormatting>
  <conditionalFormatting sqref="E54:E58">
    <cfRule type="cellIs" dxfId="4" priority="21" operator="greaterThan">
      <formula>0</formula>
    </cfRule>
  </conditionalFormatting>
  <conditionalFormatting sqref="E54:E58">
    <cfRule type="cellIs" dxfId="5" priority="22" operator="lessThan">
      <formula>0</formula>
    </cfRule>
  </conditionalFormatting>
  <conditionalFormatting sqref="E46:E47">
    <cfRule type="cellIs" dxfId="4" priority="23" operator="greaterThan">
      <formula>0</formula>
    </cfRule>
  </conditionalFormatting>
  <conditionalFormatting sqref="E46:E47">
    <cfRule type="cellIs" dxfId="5" priority="24" operator="lessThan">
      <formula>0</formula>
    </cfRule>
  </conditionalFormatting>
  <conditionalFormatting sqref="E48">
    <cfRule type="cellIs" dxfId="4" priority="25" operator="lessThan">
      <formula>0</formula>
    </cfRule>
  </conditionalFormatting>
  <conditionalFormatting sqref="E48">
    <cfRule type="cellIs" dxfId="5" priority="26" operator="greaterThan">
      <formula>0</formula>
    </cfRule>
  </conditionalFormatting>
  <conditionalFormatting sqref="E49">
    <cfRule type="cellIs" dxfId="4" priority="27" operator="greaterThan">
      <formula>0</formula>
    </cfRule>
  </conditionalFormatting>
  <conditionalFormatting sqref="E49">
    <cfRule type="cellIs" dxfId="5" priority="28" operator="lessThan">
      <formula>0</formula>
    </cfRule>
  </conditionalFormatting>
  <conditionalFormatting sqref="E50">
    <cfRule type="cellIs" dxfId="4" priority="29" operator="lessThan">
      <formula>0</formula>
    </cfRule>
  </conditionalFormatting>
  <conditionalFormatting sqref="E50">
    <cfRule type="cellIs" dxfId="5" priority="30" operator="greaterThan">
      <formula>0</formula>
    </cfRule>
  </conditionalFormatting>
  <conditionalFormatting sqref="E51">
    <cfRule type="cellIs" dxfId="4" priority="31" operator="greaterThan">
      <formula>0</formula>
    </cfRule>
  </conditionalFormatting>
  <conditionalFormatting sqref="E51">
    <cfRule type="cellIs" dxfId="5" priority="32" operator="lessThan">
      <formula>0</formula>
    </cfRule>
  </conditionalFormatting>
  <conditionalFormatting sqref="H8:H11">
    <cfRule type="cellIs" dxfId="2" priority="33" operator="greaterThan">
      <formula>0</formula>
    </cfRule>
  </conditionalFormatting>
  <conditionalFormatting sqref="H8:H11">
    <cfRule type="cellIs" dxfId="3" priority="34" operator="lessThan">
      <formula>0</formula>
    </cfRule>
  </conditionalFormatting>
  <conditionalFormatting sqref="H13:H15">
    <cfRule type="cellIs" dxfId="2" priority="35" operator="greaterThan">
      <formula>0</formula>
    </cfRule>
  </conditionalFormatting>
  <conditionalFormatting sqref="H13:H15">
    <cfRule type="cellIs" dxfId="3" priority="36" operator="lessThan">
      <formula>0</formula>
    </cfRule>
  </conditionalFormatting>
  <conditionalFormatting sqref="H17:H21 H38:H39 K38:K39 N38:N39 Q38:Q39 T38:T39">
    <cfRule type="cellIs" dxfId="2" priority="37" operator="greaterThan">
      <formula>0</formula>
    </cfRule>
  </conditionalFormatting>
  <conditionalFormatting sqref="H17:H21 H38:H39 K38:K39 N38:N39 Q38:Q39 T38:T39">
    <cfRule type="cellIs" dxfId="3" priority="38" operator="lessThan">
      <formula>0</formula>
    </cfRule>
  </conditionalFormatting>
  <conditionalFormatting sqref="H29">
    <cfRule type="cellIs" dxfId="2" priority="39" operator="greaterThan">
      <formula>0</formula>
    </cfRule>
  </conditionalFormatting>
  <conditionalFormatting sqref="H29">
    <cfRule type="cellIs" dxfId="3" priority="40" operator="lessThan">
      <formula>0</formula>
    </cfRule>
  </conditionalFormatting>
  <conditionalFormatting sqref="H30">
    <cfRule type="cellIs" dxfId="4" priority="41" operator="lessThan">
      <formula>0</formula>
    </cfRule>
  </conditionalFormatting>
  <conditionalFormatting sqref="H30">
    <cfRule type="cellIs" dxfId="5" priority="42" operator="greaterThan">
      <formula>0</formula>
    </cfRule>
  </conditionalFormatting>
  <conditionalFormatting sqref="H31">
    <cfRule type="cellIs" dxfId="4" priority="43" operator="greaterThan">
      <formula>0</formula>
    </cfRule>
  </conditionalFormatting>
  <conditionalFormatting sqref="H31">
    <cfRule type="cellIs" dxfId="5" priority="44" operator="lessThan">
      <formula>0</formula>
    </cfRule>
  </conditionalFormatting>
  <conditionalFormatting sqref="H32">
    <cfRule type="cellIs" dxfId="4" priority="45" operator="lessThan">
      <formula>0</formula>
    </cfRule>
  </conditionalFormatting>
  <conditionalFormatting sqref="H32">
    <cfRule type="cellIs" dxfId="5" priority="46" operator="greaterThan">
      <formula>0</formula>
    </cfRule>
  </conditionalFormatting>
  <conditionalFormatting sqref="H33">
    <cfRule type="cellIs" dxfId="4" priority="47" operator="greaterThan">
      <formula>0</formula>
    </cfRule>
  </conditionalFormatting>
  <conditionalFormatting sqref="H33">
    <cfRule type="cellIs" dxfId="5" priority="48" operator="lessThan">
      <formula>0</formula>
    </cfRule>
  </conditionalFormatting>
  <conditionalFormatting sqref="H34">
    <cfRule type="cellIs" dxfId="2" priority="49" operator="greaterThan">
      <formula>0</formula>
    </cfRule>
  </conditionalFormatting>
  <conditionalFormatting sqref="H34">
    <cfRule type="cellIs" dxfId="3" priority="50" operator="lessThan">
      <formula>0</formula>
    </cfRule>
  </conditionalFormatting>
  <conditionalFormatting sqref="H47">
    <cfRule type="cellIs" dxfId="4" priority="51" operator="greaterThan">
      <formula>0</formula>
    </cfRule>
  </conditionalFormatting>
  <conditionalFormatting sqref="H47">
    <cfRule type="cellIs" dxfId="5" priority="52" operator="lessThan">
      <formula>0</formula>
    </cfRule>
  </conditionalFormatting>
  <conditionalFormatting sqref="H48">
    <cfRule type="cellIs" dxfId="4" priority="53" operator="lessThan">
      <formula>0</formula>
    </cfRule>
  </conditionalFormatting>
  <conditionalFormatting sqref="H48">
    <cfRule type="cellIs" dxfId="5" priority="54" operator="greaterThan">
      <formula>0</formula>
    </cfRule>
  </conditionalFormatting>
  <conditionalFormatting sqref="H49">
    <cfRule type="cellIs" dxfId="4" priority="55" operator="greaterThan">
      <formula>0</formula>
    </cfRule>
  </conditionalFormatting>
  <conditionalFormatting sqref="H49">
    <cfRule type="cellIs" dxfId="5" priority="56" operator="lessThan">
      <formula>0</formula>
    </cfRule>
  </conditionalFormatting>
  <conditionalFormatting sqref="H50">
    <cfRule type="cellIs" dxfId="4" priority="57" operator="lessThan">
      <formula>0</formula>
    </cfRule>
  </conditionalFormatting>
  <conditionalFormatting sqref="H50">
    <cfRule type="cellIs" dxfId="5" priority="58" operator="greaterThan">
      <formula>0</formula>
    </cfRule>
  </conditionalFormatting>
  <conditionalFormatting sqref="H51">
    <cfRule type="cellIs" dxfId="4" priority="59" operator="greaterThan">
      <formula>0</formula>
    </cfRule>
  </conditionalFormatting>
  <conditionalFormatting sqref="H51">
    <cfRule type="cellIs" dxfId="5" priority="60" operator="lessThan">
      <formula>0</formula>
    </cfRule>
  </conditionalFormatting>
  <conditionalFormatting sqref="K8:K11">
    <cfRule type="cellIs" dxfId="2" priority="61" operator="greaterThan">
      <formula>0</formula>
    </cfRule>
  </conditionalFormatting>
  <conditionalFormatting sqref="K8:K11">
    <cfRule type="cellIs" dxfId="3" priority="62" operator="lessThan">
      <formula>0</formula>
    </cfRule>
  </conditionalFormatting>
  <conditionalFormatting sqref="K13:K15">
    <cfRule type="cellIs" dxfId="2" priority="63" operator="greaterThan">
      <formula>0</formula>
    </cfRule>
  </conditionalFormatting>
  <conditionalFormatting sqref="K13:K15">
    <cfRule type="cellIs" dxfId="3" priority="64" operator="lessThan">
      <formula>0</formula>
    </cfRule>
  </conditionalFormatting>
  <conditionalFormatting sqref="K17:K21">
    <cfRule type="cellIs" dxfId="2" priority="65" operator="greaterThan">
      <formula>0</formula>
    </cfRule>
  </conditionalFormatting>
  <conditionalFormatting sqref="K17:K21">
    <cfRule type="cellIs" dxfId="3" priority="66" operator="lessThan">
      <formula>0</formula>
    </cfRule>
  </conditionalFormatting>
  <conditionalFormatting sqref="K29">
    <cfRule type="cellIs" dxfId="2" priority="67" operator="greaterThan">
      <formula>0</formula>
    </cfRule>
  </conditionalFormatting>
  <conditionalFormatting sqref="K29">
    <cfRule type="cellIs" dxfId="3" priority="68" operator="lessThan">
      <formula>0</formula>
    </cfRule>
  </conditionalFormatting>
  <conditionalFormatting sqref="K30">
    <cfRule type="cellIs" dxfId="4" priority="69" operator="lessThan">
      <formula>0</formula>
    </cfRule>
  </conditionalFormatting>
  <conditionalFormatting sqref="K30">
    <cfRule type="cellIs" dxfId="5" priority="70" operator="greaterThan">
      <formula>0</formula>
    </cfRule>
  </conditionalFormatting>
  <conditionalFormatting sqref="K31">
    <cfRule type="cellIs" dxfId="4" priority="71" operator="greaterThan">
      <formula>0</formula>
    </cfRule>
  </conditionalFormatting>
  <conditionalFormatting sqref="K31">
    <cfRule type="cellIs" dxfId="5" priority="72" operator="lessThan">
      <formula>0</formula>
    </cfRule>
  </conditionalFormatting>
  <conditionalFormatting sqref="K32">
    <cfRule type="cellIs" dxfId="4" priority="73" operator="lessThan">
      <formula>0</formula>
    </cfRule>
  </conditionalFormatting>
  <conditionalFormatting sqref="K32">
    <cfRule type="cellIs" dxfId="5" priority="74" operator="greaterThan">
      <formula>0</formula>
    </cfRule>
  </conditionalFormatting>
  <conditionalFormatting sqref="K33">
    <cfRule type="cellIs" dxfId="4" priority="75" operator="greaterThan">
      <formula>0</formula>
    </cfRule>
  </conditionalFormatting>
  <conditionalFormatting sqref="K33">
    <cfRule type="cellIs" dxfId="5" priority="76" operator="lessThan">
      <formula>0</formula>
    </cfRule>
  </conditionalFormatting>
  <conditionalFormatting sqref="K34">
    <cfRule type="cellIs" dxfId="2" priority="77" operator="greaterThan">
      <formula>0</formula>
    </cfRule>
  </conditionalFormatting>
  <conditionalFormatting sqref="K34">
    <cfRule type="cellIs" dxfId="3" priority="78" operator="lessThan">
      <formula>0</formula>
    </cfRule>
  </conditionalFormatting>
  <conditionalFormatting sqref="K47">
    <cfRule type="cellIs" dxfId="4" priority="79" operator="greaterThan">
      <formula>0</formula>
    </cfRule>
  </conditionalFormatting>
  <conditionalFormatting sqref="K47">
    <cfRule type="cellIs" dxfId="5" priority="80" operator="lessThan">
      <formula>0</formula>
    </cfRule>
  </conditionalFormatting>
  <conditionalFormatting sqref="K48">
    <cfRule type="cellIs" dxfId="4" priority="81" operator="lessThan">
      <formula>0</formula>
    </cfRule>
  </conditionalFormatting>
  <conditionalFormatting sqref="K48">
    <cfRule type="cellIs" dxfId="5" priority="82" operator="greaterThan">
      <formula>0</formula>
    </cfRule>
  </conditionalFormatting>
  <conditionalFormatting sqref="K49">
    <cfRule type="cellIs" dxfId="4" priority="83" operator="greaterThan">
      <formula>0</formula>
    </cfRule>
  </conditionalFormatting>
  <conditionalFormatting sqref="K49">
    <cfRule type="cellIs" dxfId="5" priority="84" operator="lessThan">
      <formula>0</formula>
    </cfRule>
  </conditionalFormatting>
  <conditionalFormatting sqref="K50">
    <cfRule type="cellIs" dxfId="4" priority="85" operator="lessThan">
      <formula>0</formula>
    </cfRule>
  </conditionalFormatting>
  <conditionalFormatting sqref="K50">
    <cfRule type="cellIs" dxfId="5" priority="86" operator="greaterThan">
      <formula>0</formula>
    </cfRule>
  </conditionalFormatting>
  <conditionalFormatting sqref="K51">
    <cfRule type="cellIs" dxfId="4" priority="87" operator="greaterThan">
      <formula>0</formula>
    </cfRule>
  </conditionalFormatting>
  <conditionalFormatting sqref="K51">
    <cfRule type="cellIs" dxfId="5" priority="88" operator="lessThan">
      <formula>0</formula>
    </cfRule>
  </conditionalFormatting>
  <conditionalFormatting sqref="N8:N11">
    <cfRule type="cellIs" dxfId="2" priority="89" operator="greaterThan">
      <formula>0</formula>
    </cfRule>
  </conditionalFormatting>
  <conditionalFormatting sqref="N8:N11">
    <cfRule type="cellIs" dxfId="3" priority="90" operator="lessThan">
      <formula>0</formula>
    </cfRule>
  </conditionalFormatting>
  <conditionalFormatting sqref="N13:N15">
    <cfRule type="cellIs" dxfId="2" priority="91" operator="greaterThan">
      <formula>0</formula>
    </cfRule>
  </conditionalFormatting>
  <conditionalFormatting sqref="N13:N15">
    <cfRule type="cellIs" dxfId="3" priority="92" operator="lessThan">
      <formula>0</formula>
    </cfRule>
  </conditionalFormatting>
  <conditionalFormatting sqref="N17:N21">
    <cfRule type="cellIs" dxfId="2" priority="93" operator="greaterThan">
      <formula>0</formula>
    </cfRule>
  </conditionalFormatting>
  <conditionalFormatting sqref="N17:N21">
    <cfRule type="cellIs" dxfId="3" priority="94" operator="lessThan">
      <formula>0</formula>
    </cfRule>
  </conditionalFormatting>
  <conditionalFormatting sqref="N29">
    <cfRule type="cellIs" dxfId="2" priority="95" operator="greaterThan">
      <formula>0</formula>
    </cfRule>
  </conditionalFormatting>
  <conditionalFormatting sqref="N29">
    <cfRule type="cellIs" dxfId="3" priority="96" operator="lessThan">
      <formula>0</formula>
    </cfRule>
  </conditionalFormatting>
  <conditionalFormatting sqref="N30">
    <cfRule type="cellIs" dxfId="4" priority="97" operator="lessThan">
      <formula>0</formula>
    </cfRule>
  </conditionalFormatting>
  <conditionalFormatting sqref="N30">
    <cfRule type="cellIs" dxfId="5" priority="98" operator="greaterThan">
      <formula>0</formula>
    </cfRule>
  </conditionalFormatting>
  <conditionalFormatting sqref="N31">
    <cfRule type="cellIs" dxfId="4" priority="99" operator="greaterThan">
      <formula>0</formula>
    </cfRule>
  </conditionalFormatting>
  <conditionalFormatting sqref="N31">
    <cfRule type="cellIs" dxfId="5" priority="100" operator="lessThan">
      <formula>0</formula>
    </cfRule>
  </conditionalFormatting>
  <conditionalFormatting sqref="N32">
    <cfRule type="cellIs" dxfId="4" priority="101" operator="lessThan">
      <formula>0</formula>
    </cfRule>
  </conditionalFormatting>
  <conditionalFormatting sqref="N32">
    <cfRule type="cellIs" dxfId="5" priority="102" operator="greaterThan">
      <formula>0</formula>
    </cfRule>
  </conditionalFormatting>
  <conditionalFormatting sqref="N33">
    <cfRule type="cellIs" dxfId="4" priority="103" operator="greaterThan">
      <formula>0</formula>
    </cfRule>
  </conditionalFormatting>
  <conditionalFormatting sqref="N33">
    <cfRule type="cellIs" dxfId="5" priority="104" operator="lessThan">
      <formula>0</formula>
    </cfRule>
  </conditionalFormatting>
  <conditionalFormatting sqref="N34">
    <cfRule type="cellIs" dxfId="2" priority="105" operator="greaterThan">
      <formula>0</formula>
    </cfRule>
  </conditionalFormatting>
  <conditionalFormatting sqref="N34">
    <cfRule type="cellIs" dxfId="3" priority="106" operator="lessThan">
      <formula>0</formula>
    </cfRule>
  </conditionalFormatting>
  <conditionalFormatting sqref="N47">
    <cfRule type="cellIs" dxfId="4" priority="107" operator="greaterThan">
      <formula>0</formula>
    </cfRule>
  </conditionalFormatting>
  <conditionalFormatting sqref="N47">
    <cfRule type="cellIs" dxfId="5" priority="108" operator="lessThan">
      <formula>0</formula>
    </cfRule>
  </conditionalFormatting>
  <conditionalFormatting sqref="N48">
    <cfRule type="cellIs" dxfId="4" priority="109" operator="lessThan">
      <formula>0</formula>
    </cfRule>
  </conditionalFormatting>
  <conditionalFormatting sqref="N48">
    <cfRule type="cellIs" dxfId="5" priority="110" operator="greaterThan">
      <formula>0</formula>
    </cfRule>
  </conditionalFormatting>
  <conditionalFormatting sqref="N49">
    <cfRule type="cellIs" dxfId="4" priority="111" operator="greaterThan">
      <formula>0</formula>
    </cfRule>
  </conditionalFormatting>
  <conditionalFormatting sqref="N49">
    <cfRule type="cellIs" dxfId="5" priority="112" operator="lessThan">
      <formula>0</formula>
    </cfRule>
  </conditionalFormatting>
  <conditionalFormatting sqref="N50">
    <cfRule type="cellIs" dxfId="4" priority="113" operator="lessThan">
      <formula>0</formula>
    </cfRule>
  </conditionalFormatting>
  <conditionalFormatting sqref="N50">
    <cfRule type="cellIs" dxfId="5" priority="114" operator="greaterThan">
      <formula>0</formula>
    </cfRule>
  </conditionalFormatting>
  <conditionalFormatting sqref="N51">
    <cfRule type="cellIs" dxfId="4" priority="115" operator="greaterThan">
      <formula>0</formula>
    </cfRule>
  </conditionalFormatting>
  <conditionalFormatting sqref="N51">
    <cfRule type="cellIs" dxfId="5" priority="116" operator="lessThan">
      <formula>0</formula>
    </cfRule>
  </conditionalFormatting>
  <conditionalFormatting sqref="Q8:Q11">
    <cfRule type="cellIs" dxfId="2" priority="117" operator="greaterThan">
      <formula>0</formula>
    </cfRule>
  </conditionalFormatting>
  <conditionalFormatting sqref="Q8:Q11">
    <cfRule type="cellIs" dxfId="3" priority="118" operator="lessThan">
      <formula>0</formula>
    </cfRule>
  </conditionalFormatting>
  <conditionalFormatting sqref="Q13:Q15">
    <cfRule type="cellIs" dxfId="2" priority="119" operator="greaterThan">
      <formula>0</formula>
    </cfRule>
  </conditionalFormatting>
  <conditionalFormatting sqref="Q13:Q15">
    <cfRule type="cellIs" dxfId="3" priority="120" operator="lessThan">
      <formula>0</formula>
    </cfRule>
  </conditionalFormatting>
  <conditionalFormatting sqref="Q17:Q21">
    <cfRule type="cellIs" dxfId="2" priority="121" operator="greaterThan">
      <formula>0</formula>
    </cfRule>
  </conditionalFormatting>
  <conditionalFormatting sqref="Q17:Q21">
    <cfRule type="cellIs" dxfId="3" priority="122" operator="lessThan">
      <formula>0</formula>
    </cfRule>
  </conditionalFormatting>
  <conditionalFormatting sqref="Q29">
    <cfRule type="cellIs" dxfId="2" priority="123" operator="greaterThan">
      <formula>0</formula>
    </cfRule>
  </conditionalFormatting>
  <conditionalFormatting sqref="Q29">
    <cfRule type="cellIs" dxfId="3" priority="124" operator="lessThan">
      <formula>0</formula>
    </cfRule>
  </conditionalFormatting>
  <conditionalFormatting sqref="Q30">
    <cfRule type="cellIs" dxfId="4" priority="125" operator="lessThan">
      <formula>0</formula>
    </cfRule>
  </conditionalFormatting>
  <conditionalFormatting sqref="Q30">
    <cfRule type="cellIs" dxfId="5" priority="126" operator="greaterThan">
      <formula>0</formula>
    </cfRule>
  </conditionalFormatting>
  <conditionalFormatting sqref="Q31">
    <cfRule type="cellIs" dxfId="4" priority="127" operator="greaterThan">
      <formula>0</formula>
    </cfRule>
  </conditionalFormatting>
  <conditionalFormatting sqref="Q31">
    <cfRule type="cellIs" dxfId="5" priority="128" operator="lessThan">
      <formula>0</formula>
    </cfRule>
  </conditionalFormatting>
  <conditionalFormatting sqref="Q32">
    <cfRule type="cellIs" dxfId="4" priority="129" operator="lessThan">
      <formula>0</formula>
    </cfRule>
  </conditionalFormatting>
  <conditionalFormatting sqref="Q32">
    <cfRule type="cellIs" dxfId="5" priority="130" operator="greaterThan">
      <formula>0</formula>
    </cfRule>
  </conditionalFormatting>
  <conditionalFormatting sqref="Q33">
    <cfRule type="cellIs" dxfId="4" priority="131" operator="greaterThan">
      <formula>0</formula>
    </cfRule>
  </conditionalFormatting>
  <conditionalFormatting sqref="Q33">
    <cfRule type="cellIs" dxfId="5" priority="132" operator="lessThan">
      <formula>0</formula>
    </cfRule>
  </conditionalFormatting>
  <conditionalFormatting sqref="Q34">
    <cfRule type="cellIs" dxfId="2" priority="133" operator="greaterThan">
      <formula>0</formula>
    </cfRule>
  </conditionalFormatting>
  <conditionalFormatting sqref="Q34">
    <cfRule type="cellIs" dxfId="3" priority="134" operator="lessThan">
      <formula>0</formula>
    </cfRule>
  </conditionalFormatting>
  <conditionalFormatting sqref="Q47">
    <cfRule type="cellIs" dxfId="4" priority="135" operator="greaterThan">
      <formula>0</formula>
    </cfRule>
  </conditionalFormatting>
  <conditionalFormatting sqref="Q47">
    <cfRule type="cellIs" dxfId="5" priority="136" operator="lessThan">
      <formula>0</formula>
    </cfRule>
  </conditionalFormatting>
  <conditionalFormatting sqref="Q48">
    <cfRule type="cellIs" dxfId="4" priority="137" operator="lessThan">
      <formula>0</formula>
    </cfRule>
  </conditionalFormatting>
  <conditionalFormatting sqref="Q48">
    <cfRule type="cellIs" dxfId="5" priority="138" operator="greaterThan">
      <formula>0</formula>
    </cfRule>
  </conditionalFormatting>
  <conditionalFormatting sqref="Q49">
    <cfRule type="cellIs" dxfId="4" priority="139" operator="greaterThan">
      <formula>0</formula>
    </cfRule>
  </conditionalFormatting>
  <conditionalFormatting sqref="Q49">
    <cfRule type="cellIs" dxfId="5" priority="140" operator="lessThan">
      <formula>0</formula>
    </cfRule>
  </conditionalFormatting>
  <conditionalFormatting sqref="Q50">
    <cfRule type="cellIs" dxfId="4" priority="141" operator="lessThan">
      <formula>0</formula>
    </cfRule>
  </conditionalFormatting>
  <conditionalFormatting sqref="Q50">
    <cfRule type="cellIs" dxfId="5" priority="142" operator="greaterThan">
      <formula>0</formula>
    </cfRule>
  </conditionalFormatting>
  <conditionalFormatting sqref="Q51">
    <cfRule type="cellIs" dxfId="4" priority="143" operator="greaterThan">
      <formula>0</formula>
    </cfRule>
  </conditionalFormatting>
  <conditionalFormatting sqref="Q51">
    <cfRule type="cellIs" dxfId="5" priority="144" operator="lessThan">
      <formula>0</formula>
    </cfRule>
  </conditionalFormatting>
  <conditionalFormatting sqref="T8:T11">
    <cfRule type="cellIs" dxfId="2" priority="145" operator="greaterThan">
      <formula>0</formula>
    </cfRule>
  </conditionalFormatting>
  <conditionalFormatting sqref="T8:T11">
    <cfRule type="cellIs" dxfId="3" priority="146" operator="lessThan">
      <formula>0</formula>
    </cfRule>
  </conditionalFormatting>
  <conditionalFormatting sqref="T13:T15">
    <cfRule type="cellIs" dxfId="2" priority="147" operator="greaterThan">
      <formula>0</formula>
    </cfRule>
  </conditionalFormatting>
  <conditionalFormatting sqref="T13:T15">
    <cfRule type="cellIs" dxfId="3" priority="148" operator="lessThan">
      <formula>0</formula>
    </cfRule>
  </conditionalFormatting>
  <conditionalFormatting sqref="T17:T21">
    <cfRule type="cellIs" dxfId="2" priority="149" operator="greaterThan">
      <formula>0</formula>
    </cfRule>
  </conditionalFormatting>
  <conditionalFormatting sqref="T17:T21">
    <cfRule type="cellIs" dxfId="3" priority="150" operator="lessThan">
      <formula>0</formula>
    </cfRule>
  </conditionalFormatting>
  <conditionalFormatting sqref="T29">
    <cfRule type="cellIs" dxfId="2" priority="151" operator="greaterThan">
      <formula>0</formula>
    </cfRule>
  </conditionalFormatting>
  <conditionalFormatting sqref="T29">
    <cfRule type="cellIs" dxfId="3" priority="152" operator="lessThan">
      <formula>0</formula>
    </cfRule>
  </conditionalFormatting>
  <conditionalFormatting sqref="T30">
    <cfRule type="cellIs" dxfId="4" priority="153" operator="lessThan">
      <formula>0</formula>
    </cfRule>
  </conditionalFormatting>
  <conditionalFormatting sqref="T30">
    <cfRule type="cellIs" dxfId="5" priority="154" operator="greaterThan">
      <formula>0</formula>
    </cfRule>
  </conditionalFormatting>
  <conditionalFormatting sqref="T31">
    <cfRule type="cellIs" dxfId="4" priority="155" operator="greaterThan">
      <formula>0</formula>
    </cfRule>
  </conditionalFormatting>
  <conditionalFormatting sqref="T31">
    <cfRule type="cellIs" dxfId="5" priority="156" operator="lessThan">
      <formula>0</formula>
    </cfRule>
  </conditionalFormatting>
  <conditionalFormatting sqref="T32">
    <cfRule type="cellIs" dxfId="4" priority="157" operator="lessThan">
      <formula>0</formula>
    </cfRule>
  </conditionalFormatting>
  <conditionalFormatting sqref="T32">
    <cfRule type="cellIs" dxfId="5" priority="158" operator="greaterThan">
      <formula>0</formula>
    </cfRule>
  </conditionalFormatting>
  <conditionalFormatting sqref="T33">
    <cfRule type="cellIs" dxfId="4" priority="159" operator="greaterThan">
      <formula>0</formula>
    </cfRule>
  </conditionalFormatting>
  <conditionalFormatting sqref="T33">
    <cfRule type="cellIs" dxfId="5" priority="160" operator="lessThan">
      <formula>0</formula>
    </cfRule>
  </conditionalFormatting>
  <conditionalFormatting sqref="T34">
    <cfRule type="cellIs" dxfId="2" priority="161" operator="greaterThan">
      <formula>0</formula>
    </cfRule>
  </conditionalFormatting>
  <conditionalFormatting sqref="T34">
    <cfRule type="cellIs" dxfId="3" priority="162" operator="lessThan">
      <formula>0</formula>
    </cfRule>
  </conditionalFormatting>
  <conditionalFormatting sqref="T47">
    <cfRule type="cellIs" dxfId="4" priority="163" operator="greaterThan">
      <formula>0</formula>
    </cfRule>
  </conditionalFormatting>
  <conditionalFormatting sqref="T47">
    <cfRule type="cellIs" dxfId="5" priority="164" operator="lessThan">
      <formula>0</formula>
    </cfRule>
  </conditionalFormatting>
  <conditionalFormatting sqref="T48">
    <cfRule type="cellIs" dxfId="4" priority="165" operator="lessThan">
      <formula>0</formula>
    </cfRule>
  </conditionalFormatting>
  <conditionalFormatting sqref="T48">
    <cfRule type="cellIs" dxfId="5" priority="166" operator="greaterThan">
      <formula>0</formula>
    </cfRule>
  </conditionalFormatting>
  <conditionalFormatting sqref="T49">
    <cfRule type="cellIs" dxfId="4" priority="167" operator="greaterThan">
      <formula>0</formula>
    </cfRule>
  </conditionalFormatting>
  <conditionalFormatting sqref="T49">
    <cfRule type="cellIs" dxfId="5" priority="168" operator="lessThan">
      <formula>0</formula>
    </cfRule>
  </conditionalFormatting>
  <conditionalFormatting sqref="T50">
    <cfRule type="cellIs" dxfId="4" priority="169" operator="lessThan">
      <formula>0</formula>
    </cfRule>
  </conditionalFormatting>
  <conditionalFormatting sqref="T50">
    <cfRule type="cellIs" dxfId="5" priority="170" operator="greaterThan">
      <formula>0</formula>
    </cfRule>
  </conditionalFormatting>
  <conditionalFormatting sqref="T51">
    <cfRule type="cellIs" dxfId="4" priority="171" operator="greaterThan">
      <formula>0</formula>
    </cfRule>
  </conditionalFormatting>
  <conditionalFormatting sqref="T51">
    <cfRule type="cellIs" dxfId="5" priority="172" operator="lessThan">
      <formula>0</formula>
    </cfRule>
  </conditionalFormatting>
  <conditionalFormatting sqref="H28">
    <cfRule type="cellIs" dxfId="4" priority="173" operator="lessThan">
      <formula>0</formula>
    </cfRule>
  </conditionalFormatting>
  <conditionalFormatting sqref="H28">
    <cfRule type="cellIs" dxfId="5" priority="174" operator="greaterThan">
      <formula>0</formula>
    </cfRule>
  </conditionalFormatting>
  <conditionalFormatting sqref="K28">
    <cfRule type="cellIs" dxfId="4" priority="175" operator="lessThan">
      <formula>0</formula>
    </cfRule>
  </conditionalFormatting>
  <conditionalFormatting sqref="K28">
    <cfRule type="cellIs" dxfId="5" priority="176" operator="greaterThan">
      <formula>0</formula>
    </cfRule>
  </conditionalFormatting>
  <conditionalFormatting sqref="N28">
    <cfRule type="cellIs" dxfId="4" priority="177" operator="lessThan">
      <formula>0</formula>
    </cfRule>
  </conditionalFormatting>
  <conditionalFormatting sqref="N28">
    <cfRule type="cellIs" dxfId="5" priority="178" operator="greaterThan">
      <formula>0</formula>
    </cfRule>
  </conditionalFormatting>
  <conditionalFormatting sqref="Q28">
    <cfRule type="cellIs" dxfId="4" priority="179" operator="lessThan">
      <formula>0</formula>
    </cfRule>
  </conditionalFormatting>
  <conditionalFormatting sqref="Q28">
    <cfRule type="cellIs" dxfId="5" priority="180" operator="greaterThan">
      <formula>0</formula>
    </cfRule>
  </conditionalFormatting>
  <conditionalFormatting sqref="T28">
    <cfRule type="cellIs" dxfId="4" priority="181" operator="lessThan">
      <formula>0</formula>
    </cfRule>
  </conditionalFormatting>
  <conditionalFormatting sqref="T28">
    <cfRule type="cellIs" dxfId="5" priority="182" operator="greaterThan">
      <formula>0</formula>
    </cfRule>
  </conditionalFormatting>
  <conditionalFormatting sqref="H46">
    <cfRule type="cellIs" dxfId="4" priority="183" operator="lessThan">
      <formula>0</formula>
    </cfRule>
  </conditionalFormatting>
  <conditionalFormatting sqref="H46">
    <cfRule type="cellIs" dxfId="5" priority="184" operator="greaterThan">
      <formula>0</formula>
    </cfRule>
  </conditionalFormatting>
  <conditionalFormatting sqref="K46">
    <cfRule type="cellIs" dxfId="4" priority="185" operator="lessThan">
      <formula>0</formula>
    </cfRule>
  </conditionalFormatting>
  <conditionalFormatting sqref="K46">
    <cfRule type="cellIs" dxfId="5" priority="186" operator="greaterThan">
      <formula>0</formula>
    </cfRule>
  </conditionalFormatting>
  <conditionalFormatting sqref="N46">
    <cfRule type="cellIs" dxfId="4" priority="187" operator="lessThan">
      <formula>0</formula>
    </cfRule>
  </conditionalFormatting>
  <conditionalFormatting sqref="N46">
    <cfRule type="cellIs" dxfId="5" priority="188" operator="greaterThan">
      <formula>0</formula>
    </cfRule>
  </conditionalFormatting>
  <conditionalFormatting sqref="Q46">
    <cfRule type="cellIs" dxfId="4" priority="189" operator="lessThan">
      <formula>0</formula>
    </cfRule>
  </conditionalFormatting>
  <conditionalFormatting sqref="Q46">
    <cfRule type="cellIs" dxfId="5" priority="190" operator="greaterThan">
      <formula>0</formula>
    </cfRule>
  </conditionalFormatting>
  <conditionalFormatting sqref="T46">
    <cfRule type="cellIs" dxfId="4" priority="191" operator="lessThan">
      <formula>0</formula>
    </cfRule>
  </conditionalFormatting>
  <conditionalFormatting sqref="T46">
    <cfRule type="cellIs" dxfId="5" priority="192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0"/>
    <col customWidth="1" min="2" max="2" width="32.0"/>
    <col customWidth="1" min="3" max="4" width="16.0"/>
    <col customWidth="1" min="5" max="5" width="14.0"/>
    <col customWidth="1" min="6" max="6" width="12.0"/>
  </cols>
  <sheetData>
    <row r="1">
      <c r="A1" s="3" t="s">
        <v>1</v>
      </c>
    </row>
    <row r="3" ht="21.75" customHeight="1">
      <c r="A3" s="13" t="s">
        <v>6</v>
      </c>
      <c r="B3" s="13" t="s">
        <v>7</v>
      </c>
      <c r="C3" s="13" t="s">
        <v>9</v>
      </c>
      <c r="D3" s="13" t="s">
        <v>10</v>
      </c>
      <c r="E3" s="13" t="s">
        <v>11</v>
      </c>
      <c r="F3" s="13" t="s">
        <v>13</v>
      </c>
    </row>
    <row r="4">
      <c r="A4" s="19" t="s">
        <v>16</v>
      </c>
      <c r="B4" s="21"/>
      <c r="C4" s="21"/>
      <c r="D4" s="21"/>
      <c r="E4" s="21"/>
      <c r="F4" s="21"/>
    </row>
    <row r="5">
      <c r="A5" s="23"/>
      <c r="B5" s="24" t="s">
        <v>25</v>
      </c>
      <c r="C5" s="32">
        <f>SUMIFS('Raw Data'!$D:$D, 'Raw Data'!$B:$B, "Control")</f>
        <v>160072</v>
      </c>
      <c r="D5" s="32">
        <f>SUMIFS('Raw Data'!$D:$D, 'Raw Data'!$B:$B, "Variant")</f>
        <v>159796</v>
      </c>
      <c r="E5" s="33">
        <f>IFERROR(D5-C5,"")</f>
        <v>-276</v>
      </c>
      <c r="F5" s="39">
        <f>IFERROR((D5-C5)/ABS(C5),"")</f>
        <v>-0.001724224099</v>
      </c>
    </row>
    <row r="6">
      <c r="A6" s="19" t="s">
        <v>34</v>
      </c>
      <c r="B6" s="21"/>
      <c r="C6" s="21"/>
      <c r="D6" s="21"/>
      <c r="E6" s="21"/>
      <c r="F6" s="21"/>
    </row>
    <row r="7">
      <c r="A7" s="23"/>
      <c r="B7" s="24" t="s">
        <v>35</v>
      </c>
      <c r="C7" s="44">
        <f>SUMIFS('Raw Data'!$F:$F, 'Raw Data'!$B:$B, "Control")</f>
        <v>22117.47</v>
      </c>
      <c r="D7" s="44">
        <f>SUMIFS('Raw Data'!$F:$F, 'Raw Data'!$B:$B, "Variant")</f>
        <v>22696.19</v>
      </c>
      <c r="E7" s="46">
        <f t="shared" ref="E7:E9" si="1">IFERROR(D7-C7,"")</f>
        <v>578.72</v>
      </c>
      <c r="F7" s="47">
        <f t="shared" ref="F7:F9" si="2">IFERROR((D7-C7)/ABS(C7),"")</f>
        <v>0.02616574138</v>
      </c>
    </row>
    <row r="8">
      <c r="A8" s="23"/>
      <c r="B8" s="24" t="s">
        <v>36</v>
      </c>
      <c r="C8" s="50">
        <f>IFERROR(SUMIFS('Raw Data'!$F:$F, 'Raw Data'!$B:$B, "Control")/SUMIFS('Raw Data'!$D:$D, 'Raw Data'!$B:$B, "Control"),"")</f>
        <v>0.1381720101</v>
      </c>
      <c r="D8" s="50">
        <f>IFERROR(SUMIFS('Raw Data'!$F:$F, 'Raw Data'!$B:$B, "Variant")/SUMIFS('Raw Data'!$D:$D, 'Raw Data'!$B:$B, "Variant"),"")</f>
        <v>0.1420322787</v>
      </c>
      <c r="E8" s="46">
        <f t="shared" si="1"/>
        <v>0.00386026856</v>
      </c>
      <c r="F8" s="47">
        <f t="shared" si="2"/>
        <v>0.02793813709</v>
      </c>
    </row>
    <row r="9">
      <c r="A9" s="23"/>
      <c r="B9" s="24" t="s">
        <v>39</v>
      </c>
      <c r="C9" s="50">
        <f>IFERROR(SUMIFS('Raw Data'!$F:$F, 'Raw Data'!$B:$B, "Control")/SUMPRODUCT(('Raw Data'!$B$2:$B$9999="Control")*'Raw Data'!$D$2:$D$9999*'Raw Data'!$H$2:$H$9999/100),"")</f>
        <v>4.721405933</v>
      </c>
      <c r="D9" s="50">
        <f>IFERROR(SUMIFS('Raw Data'!$F:$F, 'Raw Data'!$B:$B, "Variant")/SUMPRODUCT(('Raw Data'!$B$2:$B$9999="Variant")*'Raw Data'!$D$2:$D$9999*'Raw Data'!$H$2:$H$9999/100),"")</f>
        <v>4.892831376</v>
      </c>
      <c r="E9" s="46">
        <f t="shared" si="1"/>
        <v>0.171425444</v>
      </c>
      <c r="F9" s="47">
        <f t="shared" si="2"/>
        <v>0.036308135</v>
      </c>
    </row>
    <row r="10">
      <c r="A10" s="19" t="s">
        <v>41</v>
      </c>
      <c r="B10" s="21"/>
      <c r="C10" s="21"/>
      <c r="D10" s="21"/>
      <c r="E10" s="21"/>
      <c r="F10" s="21"/>
    </row>
    <row r="11">
      <c r="A11" s="23"/>
      <c r="B11" s="24" t="s">
        <v>42</v>
      </c>
      <c r="C11" s="58">
        <f>IFERROR(SUMPRODUCT(('Raw Data'!$B$2:$B$9999="Control")*'Raw Data'!$D$2:$D$9999*'Raw Data'!$J$2:$J$9999)/SUMIFS('Raw Data'!$D:$D, 'Raw Data'!$B:$B, "Control"),"")</f>
        <v>55.72929013</v>
      </c>
      <c r="D11" s="58">
        <f>IFERROR(SUMPRODUCT(('Raw Data'!$B$2:$B$9999="Variant")*'Raw Data'!$D$2:$D$9999*'Raw Data'!$J$2:$J$9999)/SUMIFS('Raw Data'!$D:$D, 'Raw Data'!$B:$B, "Variant"),"")</f>
        <v>58.8425592</v>
      </c>
      <c r="E11" s="59">
        <f t="shared" ref="E11:E13" si="3">IFERROR(D11-C11,"")</f>
        <v>3.113269069</v>
      </c>
      <c r="F11" s="61">
        <f t="shared" ref="F11:F13" si="4">IFERROR((D11-C11)/ABS(C11),"")</f>
        <v>0.05586414363</v>
      </c>
    </row>
    <row r="12">
      <c r="A12" s="23"/>
      <c r="B12" s="24" t="s">
        <v>45</v>
      </c>
      <c r="C12" s="58">
        <f>IFERROR(SUMPRODUCT(('Raw Data'!$B$2:$B$9999="Control")*'Raw Data'!$D$2:$D$9999*'Raw Data'!$K$2:$K$9999)/SUMIFS('Raw Data'!$D:$D, 'Raw Data'!$B:$B, "Control"),"")</f>
        <v>29.55770603</v>
      </c>
      <c r="D12" s="58">
        <f>IFERROR(SUMPRODUCT(('Raw Data'!$B$2:$B$9999="Variant")*'Raw Data'!$D$2:$D$9999*'Raw Data'!$K$2:$K$9999)/SUMIFS('Raw Data'!$D:$D, 'Raw Data'!$B:$B, "Variant"),"")</f>
        <v>30.48681876</v>
      </c>
      <c r="E12" s="59">
        <f t="shared" si="3"/>
        <v>0.9291127241</v>
      </c>
      <c r="F12" s="61">
        <f t="shared" si="4"/>
        <v>0.03143385766</v>
      </c>
    </row>
    <row r="13">
      <c r="A13" s="23"/>
      <c r="B13" s="24" t="s">
        <v>48</v>
      </c>
      <c r="C13" s="58">
        <f>IFERROR(SUMPRODUCT(('Raw Data'!$B$2:$B$9999="Control")*'Raw Data'!$D$2:$D$9999*'Raw Data'!$L$2:$L$9999)/SUMIFS('Raw Data'!$D:$D, 'Raw Data'!$B:$B, "Control"),"")</f>
        <v>18.50748388</v>
      </c>
      <c r="D13" s="58">
        <f>IFERROR(SUMPRODUCT(('Raw Data'!$B$2:$B$9999="Variant")*'Raw Data'!$D$2:$D$9999*'Raw Data'!$L$2:$L$9999)/SUMIFS('Raw Data'!$D:$D, 'Raw Data'!$B:$B, "Variant"),"")</f>
        <v>18.76590246</v>
      </c>
      <c r="E13" s="59">
        <f t="shared" si="3"/>
        <v>0.2584185809</v>
      </c>
      <c r="F13" s="61">
        <f t="shared" si="4"/>
        <v>0.01396292346</v>
      </c>
    </row>
    <row r="14" ht="15.75" customHeight="1">
      <c r="A14" s="19" t="s">
        <v>66</v>
      </c>
      <c r="B14" s="21"/>
      <c r="C14" s="21"/>
      <c r="D14" s="21"/>
      <c r="E14" s="21"/>
      <c r="F14" s="21"/>
    </row>
    <row r="15" ht="15.75" customHeight="1">
      <c r="A15" s="23"/>
      <c r="B15" s="24" t="s">
        <v>69</v>
      </c>
      <c r="C15" s="58">
        <f>IFERROR(SUMPRODUCT(('Raw Data'!$B$2:$B$9999="Control")*'Raw Data'!$D$2:$D$9999*'Raw Data'!$AD$2:$AD$9999)/SUMIFS('Raw Data'!$D:$D, 'Raw Data'!$B:$B, "Control"),"")</f>
        <v>11.31673091</v>
      </c>
      <c r="D15" s="58">
        <f>IFERROR(SUMPRODUCT(('Raw Data'!$B$2:$B$9999="Variant")*'Raw Data'!$D$2:$D$9999*'Raw Data'!$AD$2:$AD$9999)/SUMIFS('Raw Data'!$D:$D, 'Raw Data'!$B:$B, "Variant"),"")</f>
        <v>11.2508957</v>
      </c>
      <c r="E15" s="59">
        <f t="shared" ref="E15:E19" si="5">IFERROR(D15-C15,"")</f>
        <v>-0.06583520407</v>
      </c>
      <c r="F15" s="61">
        <f t="shared" ref="F15:F19" si="6">IFERROR((D15-C15)/ABS(C15),"")</f>
        <v>-0.005817510781</v>
      </c>
    </row>
    <row r="16" ht="15.75" customHeight="1">
      <c r="A16" s="23"/>
      <c r="B16" s="24" t="s">
        <v>70</v>
      </c>
      <c r="C16" s="58">
        <f>IFERROR(SUMPRODUCT(('Raw Data'!$B$2:$B$9999="Control")*'Raw Data'!$D$2:$D$9999*'Raw Data'!$AE$2:$AE$9999)/SUMIFS('Raw Data'!$D:$D, 'Raw Data'!$B:$B, "Control"),"")</f>
        <v>4.265567994</v>
      </c>
      <c r="D16" s="58">
        <f>IFERROR(SUMPRODUCT(('Raw Data'!$B$2:$B$9999="Variant")*'Raw Data'!$D$2:$D$9999*'Raw Data'!$AE$2:$AE$9999)/SUMIFS('Raw Data'!$D:$D, 'Raw Data'!$B:$B, "Variant"),"")</f>
        <v>4.184554056</v>
      </c>
      <c r="E16" s="59">
        <f t="shared" si="5"/>
        <v>-0.08101393798</v>
      </c>
      <c r="F16" s="61">
        <f t="shared" si="6"/>
        <v>-0.01899253232</v>
      </c>
    </row>
    <row r="17" ht="15.75" customHeight="1">
      <c r="A17" s="23"/>
      <c r="B17" s="24" t="s">
        <v>71</v>
      </c>
      <c r="C17" s="58">
        <f>IFERROR(SUMPRODUCT(('Raw Data'!$B$2:$B$9999="Control")*'Raw Data'!$D$2:$D$9999*'Raw Data'!$AF$2:$AF$9999)/SUMIFS('Raw Data'!$D:$D, 'Raw Data'!$B:$B, "Control"),"")</f>
        <v>8.47611075</v>
      </c>
      <c r="D17" s="58">
        <f>IFERROR(SUMPRODUCT(('Raw Data'!$B$2:$B$9999="Variant")*'Raw Data'!$D$2:$D$9999*'Raw Data'!$AF$2:$AF$9999)/SUMIFS('Raw Data'!$D:$D, 'Raw Data'!$B:$B, "Variant"),"")</f>
        <v>8.444798368</v>
      </c>
      <c r="E17" s="59">
        <f t="shared" si="5"/>
        <v>-0.03131238224</v>
      </c>
      <c r="F17" s="61">
        <f t="shared" si="6"/>
        <v>-0.003694192203</v>
      </c>
    </row>
    <row r="18" ht="15.75" customHeight="1">
      <c r="A18" s="23"/>
      <c r="B18" s="24" t="s">
        <v>72</v>
      </c>
      <c r="C18" s="58">
        <f>IFERROR(SUMPRODUCT(('Raw Data'!$B$2:$B$9999="Control")*'Raw Data'!$D$2:$D$9999*'Raw Data'!$AG$2:$AG$9999)/SUMIFS('Raw Data'!$D:$D, 'Raw Data'!$B:$B, "Control"),"")</f>
        <v>15.39257959</v>
      </c>
      <c r="D18" s="58">
        <f>IFERROR(SUMPRODUCT(('Raw Data'!$B$2:$B$9999="Variant")*'Raw Data'!$D$2:$D$9999*'Raw Data'!$AG$2:$AG$9999)/SUMIFS('Raw Data'!$D:$D, 'Raw Data'!$B:$B, "Variant"),"")</f>
        <v>15.18034869</v>
      </c>
      <c r="E18" s="59">
        <f t="shared" si="5"/>
        <v>-0.2122308946</v>
      </c>
      <c r="F18" s="61">
        <f t="shared" si="6"/>
        <v>-0.01378787054</v>
      </c>
    </row>
    <row r="19" ht="15.75" customHeight="1">
      <c r="A19" s="23"/>
      <c r="B19" s="24" t="s">
        <v>73</v>
      </c>
      <c r="C19" s="58">
        <f>IFERROR(SUMPRODUCT(('Raw Data'!$B$2:$B$9999="Control")*'Raw Data'!$D$2:$D$9999*'Raw Data'!$AH$2:$AH$9999)/SUMIFS('Raw Data'!$D:$D, 'Raw Data'!$B:$B, "Control"),"")</f>
        <v>24.3543343</v>
      </c>
      <c r="D19" s="58">
        <f>IFERROR(SUMPRODUCT(('Raw Data'!$B$2:$B$9999="Variant")*'Raw Data'!$D$2:$D$9999*'Raw Data'!$AH$2:$AH$9999)/SUMIFS('Raw Data'!$D:$D, 'Raw Data'!$B:$B, "Variant"),"")</f>
        <v>24.32216701</v>
      </c>
      <c r="E19" s="59">
        <f t="shared" si="5"/>
        <v>-0.03216728662</v>
      </c>
      <c r="F19" s="61">
        <f t="shared" si="6"/>
        <v>-0.001320803362</v>
      </c>
    </row>
    <row r="20">
      <c r="A20" s="19" t="s">
        <v>91</v>
      </c>
      <c r="B20" s="21"/>
      <c r="C20" s="21"/>
      <c r="D20" s="21"/>
      <c r="E20" s="21"/>
      <c r="F20" s="21"/>
    </row>
    <row r="21" ht="15.75" customHeight="1">
      <c r="A21" s="23"/>
      <c r="B21" s="24" t="s">
        <v>49</v>
      </c>
      <c r="C21" s="73">
        <f>IFERROR(SUMPRODUCT(('Raw Data'!$B$2:$B$9999="Control")*'Raw Data'!$D$2:$D$9999*'Raw Data'!$M$2:$M$9999)/SUMIFS('Raw Data'!$D:$D, 'Raw Data'!$B:$B, "Control"),"")</f>
        <v>0.4696373876</v>
      </c>
      <c r="D21" s="73">
        <f>IFERROR(SUMPRODUCT(('Raw Data'!$B$2:$B$9999="Variant")*'Raw Data'!$D$2:$D$9999*'Raw Data'!$M$2:$M$9999)/SUMIFS('Raw Data'!$D:$D, 'Raw Data'!$B:$B, "Variant"),"")</f>
        <v>0.4628330521</v>
      </c>
      <c r="E21" s="75">
        <f t="shared" ref="E21:E24" si="7">IFERROR(D21-C21,"")</f>
        <v>-0.006804335409</v>
      </c>
      <c r="F21" s="39">
        <f t="shared" ref="F21:F24" si="8">IFERROR((D21-C21)/ABS(C21),"")</f>
        <v>-0.01448848748</v>
      </c>
    </row>
    <row r="22" ht="15.75" customHeight="1">
      <c r="A22" s="23"/>
      <c r="B22" s="24" t="s">
        <v>50</v>
      </c>
      <c r="C22" s="73">
        <f>IFERROR(SUMPRODUCT(('Raw Data'!$B$2:$B$9999="Control")*'Raw Data'!$D$2:$D$9999*'Raw Data'!$N$2:$N$9999)/SUMIFS('Raw Data'!$D:$D, 'Raw Data'!$B:$B, "Control"),"")</f>
        <v>0.6561957719</v>
      </c>
      <c r="D22" s="73">
        <f>IFERROR(SUMPRODUCT(('Raw Data'!$B$2:$B$9999="Variant")*'Raw Data'!$D$2:$D$9999*'Raw Data'!$N$2:$N$9999)/SUMIFS('Raw Data'!$D:$D, 'Raw Data'!$B:$B, "Variant"),"")</f>
        <v>0.6612747422</v>
      </c>
      <c r="E22" s="75">
        <f t="shared" si="7"/>
        <v>0.005078970269</v>
      </c>
      <c r="F22" s="39">
        <f t="shared" si="8"/>
        <v>0.00774002285</v>
      </c>
    </row>
    <row r="23" ht="15.75" customHeight="1">
      <c r="A23" s="23"/>
      <c r="B23" s="24" t="s">
        <v>51</v>
      </c>
      <c r="C23" s="73">
        <f>IFERROR(SUMPRODUCT(('Raw Data'!$B$2:$B$9999="Control")*'Raw Data'!$D$2:$D$9999*'Raw Data'!$O$2:$O$9999)/SUMIFS('Raw Data'!$D:$D, 'Raw Data'!$B:$B, "Control"),"")</f>
        <v>0.4540043968</v>
      </c>
      <c r="D23" s="73">
        <f>IFERROR(SUMPRODUCT(('Raw Data'!$B$2:$B$9999="Variant")*'Raw Data'!$D$2:$D$9999*'Raw Data'!$O$2:$O$9999)/SUMIFS('Raw Data'!$D:$D, 'Raw Data'!$B:$B, "Variant"),"")</f>
        <v>0.4587673584</v>
      </c>
      <c r="E23" s="75">
        <f t="shared" si="7"/>
        <v>0.00476296161</v>
      </c>
      <c r="F23" s="39">
        <f t="shared" si="8"/>
        <v>0.01049100327</v>
      </c>
    </row>
    <row r="24" ht="15.75" customHeight="1">
      <c r="A24" s="23"/>
      <c r="B24" s="24" t="s">
        <v>53</v>
      </c>
      <c r="C24" s="58">
        <f>IFERROR(SUMPRODUCT(('Raw Data'!$B$2:$B$9999="Control")*'Raw Data'!$D$2:$D$9999*'Raw Data'!$P$2:$P$9999)/SUMIFS('Raw Data'!$D:$D, 'Raw Data'!$B:$B, "Control"),"")</f>
        <v>14.05203131</v>
      </c>
      <c r="D24" s="58">
        <f>IFERROR(SUMPRODUCT(('Raw Data'!$B$2:$B$9999="Variant")*'Raw Data'!$D$2:$D$9999*'Raw Data'!$P$2:$P$9999)/SUMIFS('Raw Data'!$D:$D, 'Raw Data'!$B:$B, "Variant"),"")</f>
        <v>23.2005985</v>
      </c>
      <c r="E24" s="82">
        <f t="shared" si="7"/>
        <v>9.148567188</v>
      </c>
      <c r="F24" s="39">
        <f t="shared" si="8"/>
        <v>0.6510494451</v>
      </c>
    </row>
    <row r="25" ht="15.75" customHeight="1">
      <c r="A25" s="19" t="s">
        <v>94</v>
      </c>
      <c r="B25" s="21"/>
      <c r="C25" s="21"/>
      <c r="D25" s="21"/>
      <c r="E25" s="21"/>
      <c r="F25" s="21"/>
    </row>
    <row r="26" ht="15.75" customHeight="1">
      <c r="A26" s="23"/>
      <c r="B26" s="84" t="s">
        <v>54</v>
      </c>
      <c r="C26" s="58">
        <f>IFERROR(SUMPRODUCT(('Raw Data'!$B$2:$B$9999="Control")*'Raw Data'!$D$2:$D$9999*'Raw Data'!$Q$2:$Q$9999)/SUMIFS('Raw Data'!$D:$D, 'Raw Data'!$B:$B, "Control"),"")</f>
        <v>132.1242014</v>
      </c>
      <c r="D26" s="58">
        <f>IFERROR(SUMPRODUCT(('Raw Data'!$B$2:$B$9999="Variant")*'Raw Data'!$D$2:$D$9999*'Raw Data'!$Q$2:$Q$9999)/SUMIFS('Raw Data'!$D:$D, 'Raw Data'!$B:$B, "Variant"),"")</f>
        <v>123.0311963</v>
      </c>
      <c r="E26" s="87">
        <f t="shared" ref="E26:E34" si="9">IFERROR(D26-C26,"")</f>
        <v>-9.093005084</v>
      </c>
      <c r="F26" s="47">
        <f t="shared" ref="F26:F34" si="10">IFERROR((D26-C26)/ABS(C26),"")</f>
        <v>-0.0688216465</v>
      </c>
    </row>
    <row r="27" ht="15.75" customHeight="1">
      <c r="A27" s="23"/>
      <c r="B27" s="24" t="s">
        <v>55</v>
      </c>
      <c r="C27" s="58">
        <f>IFERROR(SUMPRODUCT(('Raw Data'!$B$2:$B$9999="Control")*'Raw Data'!$D$2:$D$9999*'Raw Data'!$R$2:$R$9999)/SUMIFS('Raw Data'!$D:$D, 'Raw Data'!$B:$B, "Control"),"")</f>
        <v>105.9541711</v>
      </c>
      <c r="D27" s="58">
        <f>IFERROR(SUMPRODUCT(('Raw Data'!$B$2:$B$9999="Variant")*'Raw Data'!$D$2:$D$9999*'Raw Data'!$R$2:$R$9999)/SUMIFS('Raw Data'!$D:$D, 'Raw Data'!$B:$B, "Variant"),"")</f>
        <v>111.7201781</v>
      </c>
      <c r="E27" s="82">
        <f t="shared" si="9"/>
        <v>5.766007042</v>
      </c>
      <c r="F27" s="39">
        <f t="shared" si="10"/>
        <v>0.05441982117</v>
      </c>
    </row>
    <row r="28" ht="15.75" customHeight="1">
      <c r="A28" s="23"/>
      <c r="B28" s="24" t="s">
        <v>56</v>
      </c>
      <c r="C28" s="58">
        <f>IFERROR(SUMPRODUCT(('Raw Data'!$B$2:$B$9999="Control")*'Raw Data'!$D$2:$D$9999*'Raw Data'!$S$2:$S$9999)/SUMIFS('Raw Data'!$D:$D, 'Raw Data'!$B:$B, "Control"),"")</f>
        <v>26.17043768</v>
      </c>
      <c r="D28" s="58">
        <f>IFERROR(SUMPRODUCT(('Raw Data'!$B$2:$B$9999="Variant")*'Raw Data'!$D$2:$D$9999*'Raw Data'!$S$2:$S$9999)/SUMIFS('Raw Data'!$D:$D, 'Raw Data'!$B:$B, "Variant"),"")</f>
        <v>11.31062054</v>
      </c>
      <c r="E28" s="82">
        <f t="shared" si="9"/>
        <v>-14.85981714</v>
      </c>
      <c r="F28" s="39">
        <f t="shared" si="10"/>
        <v>-0.5678092709</v>
      </c>
    </row>
    <row r="29" ht="15.75" customHeight="1">
      <c r="A29" s="23"/>
      <c r="B29" s="84" t="s">
        <v>57</v>
      </c>
      <c r="C29" s="58">
        <f>IFERROR(SUMPRODUCT(('Raw Data'!$B$2:$B$9999="Control")*'Raw Data'!$D$2:$D$9999*'Raw Data'!$T$2:$T$9999)/SUMIFS('Raw Data'!$D:$D, 'Raw Data'!$B:$B, "Control"),"")</f>
        <v>11.97915744</v>
      </c>
      <c r="D29" s="58">
        <f>IFERROR(SUMPRODUCT(('Raw Data'!$B$2:$B$9999="Variant")*'Raw Data'!$D$2:$D$9999*'Raw Data'!$T$2:$T$9999)/SUMIFS('Raw Data'!$D:$D, 'Raw Data'!$B:$B, "Variant"),"")</f>
        <v>11.84074545</v>
      </c>
      <c r="E29" s="59">
        <f t="shared" si="9"/>
        <v>-0.1384119912</v>
      </c>
      <c r="F29" s="47">
        <f t="shared" si="10"/>
        <v>-0.01155440121</v>
      </c>
    </row>
    <row r="30" ht="15.75" customHeight="1">
      <c r="A30" s="23"/>
      <c r="B30" s="84" t="s">
        <v>58</v>
      </c>
      <c r="C30" s="58">
        <f>IFERROR(SUMPRODUCT(('Raw Data'!$B$2:$B$9999="Control")*'Raw Data'!$D$2:$D$9999*'Raw Data'!$U$2:$U$9999)/SUMIFS('Raw Data'!$D:$D, 'Raw Data'!$B:$B, "Control"),"")</f>
        <v>120.1443691</v>
      </c>
      <c r="D30" s="58">
        <f>IFERROR(SUMPRODUCT(('Raw Data'!$B$2:$B$9999="Variant")*'Raw Data'!$D$2:$D$9999*'Raw Data'!$U$2:$U$9999)/SUMIFS('Raw Data'!$D:$D, 'Raw Data'!$B:$B, "Variant"),"")</f>
        <v>111.1910781</v>
      </c>
      <c r="E30" s="59">
        <f t="shared" si="9"/>
        <v>-8.953291034</v>
      </c>
      <c r="F30" s="47">
        <f t="shared" si="10"/>
        <v>-0.07452110408</v>
      </c>
    </row>
    <row r="31" ht="15.75" customHeight="1">
      <c r="A31" s="23"/>
      <c r="B31" s="84" t="s">
        <v>59</v>
      </c>
      <c r="C31" s="58">
        <f>IFERROR(SUMPRODUCT(('Raw Data'!$B$2:$B$9999="Control")*'Raw Data'!$D$2:$D$9999*'Raw Data'!$V$2:$V$9999)/SUMIFS('Raw Data'!$D:$D, 'Raw Data'!$B:$B, "Control"),"")</f>
        <v>128.5172449</v>
      </c>
      <c r="D31" s="58">
        <f>IFERROR(SUMPRODUCT(('Raw Data'!$B$2:$B$9999="Variant")*'Raw Data'!$D$2:$D$9999*'Raw Data'!$V$2:$V$9999)/SUMIFS('Raw Data'!$D:$D, 'Raw Data'!$B:$B, "Variant"),"")</f>
        <v>118.4523772</v>
      </c>
      <c r="E31" s="89">
        <f t="shared" si="9"/>
        <v>-10.06486771</v>
      </c>
      <c r="F31" s="61">
        <f t="shared" si="10"/>
        <v>-0.07831530869</v>
      </c>
    </row>
    <row r="32" ht="15.75" customHeight="1">
      <c r="A32" s="23"/>
      <c r="B32" s="84" t="s">
        <v>98</v>
      </c>
      <c r="C32" s="58">
        <f>IFERROR(SUMPRODUCT(('Raw Data'!$B$2:$B$9999="Control")*'Raw Data'!$D$2:$D$9999*('Raw Data'!$Q$2:$Q$9999-'Raw Data'!$V$2:$V$9999))/SUMIFS('Raw Data'!$D:$D, 'Raw Data'!$B:$B, "Control"),"")</f>
        <v>3.606956495</v>
      </c>
      <c r="D32" s="58">
        <f>IFERROR(SUMPRODUCT(('Raw Data'!$B$2:$B$9999="Variant")*'Raw Data'!$D$2:$D$9999*('Raw Data'!$Q$2:$Q$9999-'Raw Data'!$V$2:$V$9999))/SUMIFS('Raw Data'!$D:$D, 'Raw Data'!$B:$B, "Variant"),"")</f>
        <v>4.578819119</v>
      </c>
      <c r="E32" s="59">
        <f t="shared" si="9"/>
        <v>0.9718626248</v>
      </c>
      <c r="F32" s="47">
        <f t="shared" si="10"/>
        <v>0.269441183</v>
      </c>
    </row>
    <row r="33" ht="15.75" customHeight="1">
      <c r="A33" s="23"/>
      <c r="B33" s="24" t="s">
        <v>61</v>
      </c>
      <c r="C33" s="58">
        <f>IFERROR(SUMPRODUCT(('Raw Data'!$B$2:$B$9999="Control")*'Raw Data'!$D$2:$D$9999*'Raw Data'!$W$2:$W$9999)/SUMIFS('Raw Data'!$D:$D, 'Raw Data'!$B:$B, "Control"),"")</f>
        <v>3.680601434</v>
      </c>
      <c r="D33" s="58">
        <f>IFERROR(SUMPRODUCT(('Raw Data'!$B$2:$B$9999="Variant")*'Raw Data'!$D$2:$D$9999*'Raw Data'!$W$2:$W$9999)/SUMIFS('Raw Data'!$D:$D, 'Raw Data'!$B:$B, "Variant"),"")</f>
        <v>3.346233526</v>
      </c>
      <c r="E33" s="89">
        <f t="shared" si="9"/>
        <v>-0.3343679079</v>
      </c>
      <c r="F33" s="61">
        <f t="shared" si="10"/>
        <v>-0.09084599727</v>
      </c>
    </row>
    <row r="34" ht="15.75" customHeight="1">
      <c r="A34" s="23"/>
      <c r="B34" s="24" t="s">
        <v>62</v>
      </c>
      <c r="C34" s="73">
        <f>IFERROR(SUMPRODUCT(('Raw Data'!$B$2:$B$9999="Control")*'Raw Data'!$D$2:$D$9999*'Raw Data'!$X$2:$X$9999)/SUMIFS('Raw Data'!$D:$D, 'Raw Data'!$B:$B, "Control"),"")</f>
        <v>6.972629004</v>
      </c>
      <c r="D34" s="73">
        <f>IFERROR(SUMPRODUCT(('Raw Data'!$B$2:$B$9999="Variant")*'Raw Data'!$D$2:$D$9999*'Raw Data'!$X$2:$X$9999)/SUMIFS('Raw Data'!$D:$D, 'Raw Data'!$B:$B, "Variant"),"")</f>
        <v>7.653275614</v>
      </c>
      <c r="E34" s="59">
        <f t="shared" si="9"/>
        <v>0.6806466095</v>
      </c>
      <c r="F34" s="47">
        <f t="shared" si="10"/>
        <v>0.09761692599</v>
      </c>
    </row>
    <row r="35" ht="15.75" customHeight="1">
      <c r="A35" s="19" t="s">
        <v>101</v>
      </c>
      <c r="B35" s="21"/>
      <c r="C35" s="21"/>
      <c r="D35" s="21"/>
      <c r="E35" s="21"/>
      <c r="F35" s="21"/>
    </row>
    <row r="36" ht="15.75" customHeight="1">
      <c r="A36" s="23"/>
      <c r="B36" s="92" t="s">
        <v>102</v>
      </c>
      <c r="C36" s="58">
        <f>IFERROR(SUMPRODUCT(('Raw Data'!$B$2:$B$9999="Control")*'Raw Data'!$D$2:$D$9999*'Raw Data'!$AX$2:$AX$9999)/SUMIFS('Raw Data'!$D:$D, 'Raw Data'!$B:$B, "Control"),"")</f>
        <v>53.81236831</v>
      </c>
      <c r="D36" s="58">
        <f>IFERROR(SUMPRODUCT(('Raw Data'!$B$2:$B$9999="Variant")*'Raw Data'!$D$2:$D$9999*'Raw Data'!$AX$2:$AX$9999)/SUMIFS('Raw Data'!$D:$D, 'Raw Data'!$B:$B, "Variant"),"")</f>
        <v>35.2626179</v>
      </c>
      <c r="E36" s="75">
        <f t="shared" ref="E36:E40" si="11">IFERROR(D36-C36,"")</f>
        <v>-18.54975041</v>
      </c>
      <c r="F36" s="39">
        <f t="shared" ref="F36:F40" si="12">IFERROR((D36-C36)/ABS(C36),"")</f>
        <v>-0.3447116526</v>
      </c>
    </row>
    <row r="37" ht="15.75" customHeight="1">
      <c r="A37" s="23"/>
      <c r="B37" s="92" t="s">
        <v>103</v>
      </c>
      <c r="C37" s="58">
        <f>IFERROR(SUMPRODUCT(('Raw Data'!$B$2:$B$9999="Control")*'Raw Data'!$D$2:$D$9999*'Raw Data'!$AY$2:$AY$9999)/SUMIFS('Raw Data'!$D:$D, 'Raw Data'!$B:$B, "Control"),"")</f>
        <v>60.07800377</v>
      </c>
      <c r="D37" s="58">
        <f>IFERROR(SUMPRODUCT(('Raw Data'!$B$2:$B$9999="Variant")*'Raw Data'!$D$2:$D$9999*'Raw Data'!$AY$2:$AY$9999)/SUMIFS('Raw Data'!$D:$D, 'Raw Data'!$B:$B, "Variant"),"")</f>
        <v>69.68005275</v>
      </c>
      <c r="E37" s="75">
        <f t="shared" si="11"/>
        <v>9.602048981</v>
      </c>
      <c r="F37" s="39">
        <f t="shared" si="12"/>
        <v>0.1598263654</v>
      </c>
    </row>
    <row r="38" ht="15.75" customHeight="1">
      <c r="A38" s="23"/>
      <c r="B38" s="92" t="s">
        <v>105</v>
      </c>
      <c r="C38" s="58">
        <f>IFERROR(SUMPRODUCT(('Raw Data'!$B$2:$B$9999="Control")*'Raw Data'!$D$2:$D$9999*'Raw Data'!$AZ$2:$AZ$9999)/SUMIFS('Raw Data'!$D:$D, 'Raw Data'!$B:$B, "Control"),"")</f>
        <v>4.099061672</v>
      </c>
      <c r="D38" s="58">
        <f>IFERROR(SUMPRODUCT(('Raw Data'!$B$2:$B$9999="Variant")*'Raw Data'!$D$2:$D$9999*'Raw Data'!$AZ$2:$AZ$9999)/SUMIFS('Raw Data'!$D:$D, 'Raw Data'!$B:$B, "Variant"),"")</f>
        <v>4.021432201</v>
      </c>
      <c r="E38" s="89">
        <f t="shared" si="11"/>
        <v>-0.07762947119</v>
      </c>
      <c r="F38" s="61">
        <f t="shared" si="12"/>
        <v>-0.0189383516</v>
      </c>
    </row>
    <row r="39" ht="15.75" customHeight="1">
      <c r="A39" s="23"/>
      <c r="B39" s="92" t="s">
        <v>106</v>
      </c>
      <c r="C39" s="58">
        <f>IFERROR(SUMPRODUCT(('Raw Data'!$B$2:$B$9999="Control")*'Raw Data'!$D$2:$D$9999*'Raw Data'!$BA$2:$BA$9999)/SUMIFS('Raw Data'!$D:$D, 'Raw Data'!$B:$B, "Control"),"")</f>
        <v>11.97833419</v>
      </c>
      <c r="D39" s="58">
        <f>IFERROR(SUMPRODUCT(('Raw Data'!$B$2:$B$9999="Variant")*'Raw Data'!$D$2:$D$9999*'Raw Data'!$BA$2:$BA$9999)/SUMIFS('Raw Data'!$D:$D, 'Raw Data'!$B:$B, "Variant"),"")</f>
        <v>11.83831135</v>
      </c>
      <c r="E39" s="89">
        <f t="shared" si="11"/>
        <v>-0.1400228401</v>
      </c>
      <c r="F39" s="61">
        <f t="shared" si="12"/>
        <v>-0.01168967554</v>
      </c>
    </row>
    <row r="40" ht="15.75" customHeight="1">
      <c r="A40" s="23"/>
      <c r="B40" s="92" t="s">
        <v>108</v>
      </c>
      <c r="C40" s="58">
        <f>IFERROR(SUMPRODUCT(('Raw Data'!$B$2:$B$9999="Control")*'Raw Data'!$D$2:$D$9999*'Raw Data'!$BB$2:$BB$9999)/SUMIFS('Raw Data'!$D:$D, 'Raw Data'!$B:$B, "Control"),"")</f>
        <v>2.158179819</v>
      </c>
      <c r="D40" s="58">
        <f>IFERROR(SUMPRODUCT(('Raw Data'!$B$2:$B$9999="Variant")*'Raw Data'!$D$2:$D$9999*'Raw Data'!$BB$2:$BB$9999)/SUMIFS('Raw Data'!$D:$D, 'Raw Data'!$B:$B, "Variant"),"")</f>
        <v>2.230497134</v>
      </c>
      <c r="E40" s="75">
        <f t="shared" si="11"/>
        <v>0.07231731476</v>
      </c>
      <c r="F40" s="39">
        <f t="shared" si="12"/>
        <v>0.03350847512</v>
      </c>
    </row>
    <row r="41" ht="15.75" customHeight="1">
      <c r="A41" s="19" t="s">
        <v>109</v>
      </c>
      <c r="B41" s="21"/>
      <c r="C41" s="21"/>
      <c r="D41" s="21"/>
      <c r="E41" s="21"/>
      <c r="F41" s="21"/>
    </row>
    <row r="42" ht="15.75" customHeight="1">
      <c r="A42" s="23"/>
      <c r="B42" s="24" t="s">
        <v>63</v>
      </c>
      <c r="C42" s="32">
        <f>IFERROR(SUMPRODUCT(('Raw Data'!$B$2:$B$9999="Control")*'Raw Data'!$D$2:$D$9999*'Raw Data'!$Y$2:$Y$9999)/SUMIFS('Raw Data'!$D:$D, 'Raw Data'!$B:$B, "Control"),"")</f>
        <v>133.7004598</v>
      </c>
      <c r="D42" s="32">
        <f>IFERROR(SUMPRODUCT(('Raw Data'!$B$2:$B$9999="Variant")*'Raw Data'!$D$2:$D$9999*'Raw Data'!$Y$2:$Y$9999)/SUMIFS('Raw Data'!$D:$D, 'Raw Data'!$B:$B, "Variant"),"")</f>
        <v>121.4908195</v>
      </c>
      <c r="E42" s="33">
        <f t="shared" ref="E42:E44" si="13">IFERROR(D42-C42,"")</f>
        <v>-12.20964025</v>
      </c>
      <c r="F42" s="39">
        <f t="shared" ref="F42:F44" si="14">IFERROR((D42-C42)/ABS(C42),"")</f>
        <v>-0.0913208546</v>
      </c>
    </row>
    <row r="43" ht="15.75" customHeight="1">
      <c r="A43" s="23"/>
      <c r="B43" s="24" t="s">
        <v>64</v>
      </c>
      <c r="C43" s="32">
        <f>IFERROR(SUMPRODUCT(('Raw Data'!$B$2:$B$9999="Control")*'Raw Data'!$D$2:$D$9999*'Raw Data'!$Z$2:$Z$9999)/SUMIFS('Raw Data'!$D:$D, 'Raw Data'!$B:$B, "Control"),"")</f>
        <v>816.8875194</v>
      </c>
      <c r="D43" s="32">
        <f>IFERROR(SUMPRODUCT(('Raw Data'!$B$2:$B$9999="Variant")*'Raw Data'!$D$2:$D$9999*'Raw Data'!$Z$2:$Z$9999)/SUMIFS('Raw Data'!$D:$D, 'Raw Data'!$B:$B, "Variant"),"")</f>
        <v>721.8603282</v>
      </c>
      <c r="E43" s="33">
        <f t="shared" si="13"/>
        <v>-95.0271912</v>
      </c>
      <c r="F43" s="39">
        <f t="shared" si="14"/>
        <v>-0.1163283671</v>
      </c>
    </row>
    <row r="44" ht="15.75" customHeight="1">
      <c r="A44" s="23"/>
      <c r="B44" s="24" t="s">
        <v>65</v>
      </c>
      <c r="C44" s="32">
        <f>IFERROR(SUMPRODUCT(('Raw Data'!$B$2:$B$9999="Control")*'Raw Data'!$D$2:$D$9999*'Raw Data'!$AA$2:$AA$9999)/SUMIFS('Raw Data'!$D:$D, 'Raw Data'!$B:$B, "Control"),"")</f>
        <v>5815.669617</v>
      </c>
      <c r="D44" s="32">
        <f>IFERROR(SUMPRODUCT(('Raw Data'!$B$2:$B$9999="Variant")*'Raw Data'!$D$2:$D$9999*'Raw Data'!$AA$2:$AA$9999)/SUMIFS('Raw Data'!$D:$D, 'Raw Data'!$B:$B, "Variant"),"")</f>
        <v>5234.699098</v>
      </c>
      <c r="E44" s="33">
        <f t="shared" si="13"/>
        <v>-580.9705198</v>
      </c>
      <c r="F44" s="39">
        <f t="shared" si="14"/>
        <v>-0.09989744226</v>
      </c>
    </row>
    <row r="45" ht="15.75" customHeight="1">
      <c r="A45" s="19" t="s">
        <v>112</v>
      </c>
      <c r="B45" s="21"/>
      <c r="C45" s="21"/>
      <c r="D45" s="21"/>
      <c r="E45" s="21"/>
      <c r="F45" s="21"/>
    </row>
    <row r="46" ht="15.75" customHeight="1">
      <c r="A46" s="23"/>
      <c r="B46" s="24" t="s">
        <v>67</v>
      </c>
      <c r="C46" s="58">
        <f>IFERROR(SUMPRODUCT(('Raw Data'!$B$2:$B$9999="Control")*'Raw Data'!$D$2:$D$9999*'Raw Data'!$AB$2:$AB$9999)/SUMIFS('Raw Data'!$D:$D, 'Raw Data'!$B:$B, "Control"),"")</f>
        <v>52.78809957</v>
      </c>
      <c r="D46" s="58">
        <f>IFERROR(SUMPRODUCT(('Raw Data'!$B$2:$B$9999="Variant")*'Raw Data'!$D$2:$D$9999*'Raw Data'!$AB$2:$AB$9999)/SUMIFS('Raw Data'!$D:$D, 'Raw Data'!$B:$B, "Variant"),"")</f>
        <v>52.81928188</v>
      </c>
      <c r="E46" s="59">
        <f t="shared" ref="E46:E47" si="15">IFERROR(D46-C46,"")</f>
        <v>0.03118230796</v>
      </c>
      <c r="F46" s="61">
        <f t="shared" ref="F46:F47" si="16">IFERROR((D46-C46)/ABS(C46),"")</f>
        <v>0.000590707152</v>
      </c>
    </row>
    <row r="47" ht="15.75" customHeight="1">
      <c r="A47" s="23"/>
      <c r="B47" s="24" t="s">
        <v>68</v>
      </c>
      <c r="C47" s="58">
        <f>IFERROR(SUMPRODUCT(('Raw Data'!$B$2:$B$9999="Control")*'Raw Data'!$D$2:$D$9999*'Raw Data'!$AC$2:$AC$9999)/SUMIFS('Raw Data'!$D:$D, 'Raw Data'!$B:$B, "Control"),"")</f>
        <v>0.6191887651</v>
      </c>
      <c r="D47" s="58">
        <f>IFERROR(SUMPRODUCT(('Raw Data'!$B$2:$B$9999="Variant")*'Raw Data'!$D$2:$D$9999*'Raw Data'!$AC$2:$AC$9999)/SUMIFS('Raw Data'!$D:$D, 'Raw Data'!$B:$B, "Variant"),"")</f>
        <v>0.6192786459</v>
      </c>
      <c r="E47" s="59">
        <f t="shared" si="15"/>
        <v>0.0000898808428</v>
      </c>
      <c r="F47" s="47">
        <f t="shared" si="16"/>
        <v>0.0001451590337</v>
      </c>
    </row>
    <row r="48" ht="15.75" customHeight="1">
      <c r="A48" s="19" t="s">
        <v>114</v>
      </c>
      <c r="B48" s="21"/>
      <c r="C48" s="21"/>
      <c r="D48" s="21"/>
      <c r="E48" s="21"/>
      <c r="F48" s="21"/>
    </row>
    <row r="49" ht="15.75" customHeight="1">
      <c r="A49" s="23"/>
      <c r="B49" s="24" t="s">
        <v>74</v>
      </c>
      <c r="C49" s="80">
        <f>IFERROR(SUMPRODUCT(('Raw Data'!$B$2:$B$9999="Control")*'Raw Data'!$D$2:$D$9999*'Raw Data'!$AI$2:$AI$9999)/SUMIFS('Raw Data'!$D:$D, 'Raw Data'!$B:$B, "Control"),"")</f>
        <v>53.51516124</v>
      </c>
      <c r="D49" s="80">
        <f>IFERROR(SUMPRODUCT(('Raw Data'!$B$2:$B$9999="Variant")*'Raw Data'!$D$2:$D$9999*'Raw Data'!$AI$2:$AI$9999)/SUMIFS('Raw Data'!$D:$D, 'Raw Data'!$B:$B, "Variant"),"")</f>
        <v>53.26798312</v>
      </c>
      <c r="E49" s="96">
        <f t="shared" ref="E49:E51" si="17">IFERROR(D49-C49,"")</f>
        <v>-0.247178124</v>
      </c>
      <c r="F49" s="47">
        <f t="shared" ref="F49:F51" si="18">IFERROR((D49-C49)/ABS(C49),"")</f>
        <v>-0.004618842927</v>
      </c>
    </row>
    <row r="50" ht="15.75" customHeight="1">
      <c r="A50" s="23"/>
      <c r="B50" s="24" t="s">
        <v>75</v>
      </c>
      <c r="C50" s="80">
        <f>IFERROR(SUMPRODUCT(('Raw Data'!$B$2:$B$9999="Control")*'Raw Data'!$D$2:$D$9999*'Raw Data'!$AJ$2:$AJ$9999)/SUMIFS('Raw Data'!$D:$D, 'Raw Data'!$B:$B, "Control"),"")</f>
        <v>22.10837061</v>
      </c>
      <c r="D50" s="80">
        <f>IFERROR(SUMPRODUCT(('Raw Data'!$B$2:$B$9999="Variant")*'Raw Data'!$D$2:$D$9999*'Raw Data'!$AJ$2:$AJ$9999)/SUMIFS('Raw Data'!$D:$D, 'Raw Data'!$B:$B, "Variant"),"")</f>
        <v>22.03977665</v>
      </c>
      <c r="E50" s="97">
        <f t="shared" si="17"/>
        <v>-0.06859395549</v>
      </c>
      <c r="F50" s="61">
        <f t="shared" si="18"/>
        <v>-0.00310262374</v>
      </c>
    </row>
    <row r="51" ht="15.75" customHeight="1">
      <c r="A51" s="23"/>
      <c r="B51" s="24" t="s">
        <v>76</v>
      </c>
      <c r="C51" s="80">
        <f>IFERROR(SUMPRODUCT(('Raw Data'!$B$2:$B$9999="Control")*'Raw Data'!$D$2:$D$9999*'Raw Data'!$AK$2:$AK$9999)/SUMIFS('Raw Data'!$D:$D, 'Raw Data'!$B:$B, "Control"),"")</f>
        <v>5.699823767</v>
      </c>
      <c r="D51" s="80">
        <f>IFERROR(SUMPRODUCT(('Raw Data'!$B$2:$B$9999="Variant")*'Raw Data'!$D$2:$D$9999*'Raw Data'!$AK$2:$AK$9999)/SUMIFS('Raw Data'!$D:$D, 'Raw Data'!$B:$B, "Variant"),"")</f>
        <v>5.620758905</v>
      </c>
      <c r="E51" s="97">
        <f t="shared" si="17"/>
        <v>-0.0790648617</v>
      </c>
      <c r="F51" s="61">
        <f t="shared" si="18"/>
        <v>-0.01387145725</v>
      </c>
    </row>
    <row r="52" ht="15.75" customHeight="1">
      <c r="A52" s="19" t="s">
        <v>116</v>
      </c>
      <c r="B52" s="21"/>
      <c r="C52" s="21"/>
      <c r="D52" s="21"/>
      <c r="E52" s="21"/>
      <c r="F52" s="21"/>
    </row>
    <row r="53" ht="15.75" customHeight="1">
      <c r="A53" s="23"/>
      <c r="B53" s="24" t="s">
        <v>77</v>
      </c>
      <c r="C53" s="73">
        <f>IFERROR(SUMPRODUCT(('Raw Data'!$B$2:$B$9999="Control")*'Raw Data'!$D$2:$D$9999*'Raw Data'!$AL$2:$AL$9999)/SUMIFS('Raw Data'!$D:$D, 'Raw Data'!$B:$B, "Control"),"")</f>
        <v>0.1980527263</v>
      </c>
      <c r="D53" s="73">
        <f>IFERROR(SUMPRODUCT(('Raw Data'!$B$2:$B$9999="Variant")*'Raw Data'!$D$2:$D$9999*'Raw Data'!$AL$2:$AL$9999)/SUMIFS('Raw Data'!$D:$D, 'Raw Data'!$B:$B, "Variant"),"")</f>
        <v>0.1973355234</v>
      </c>
      <c r="E53" s="98">
        <f>IFERROR(D53-C53,"")</f>
        <v>-0.0007172028558</v>
      </c>
      <c r="F53" s="61">
        <f>IFERROR((D53-C53)/ABS(C53),"")</f>
        <v>-0.003621272321</v>
      </c>
    </row>
    <row r="54" ht="15.75" customHeight="1">
      <c r="A54" s="19" t="s">
        <v>118</v>
      </c>
      <c r="B54" s="21"/>
      <c r="C54" s="21"/>
      <c r="D54" s="21"/>
      <c r="E54" s="21"/>
      <c r="F54" s="21"/>
    </row>
    <row r="55" ht="15.75" customHeight="1">
      <c r="A55" s="23"/>
      <c r="B55" s="24" t="s">
        <v>78</v>
      </c>
      <c r="C55" s="80"/>
      <c r="D55" s="80">
        <f>IFERROR(SUMPRODUCT(('Raw Data'!$B$2:$B$9999="Variant")*'Raw Data'!$D$2:$D$9999*'Raw Data'!$AM$2:$AM$9999)/SUMIFS('Raw Data'!$D:$D, 'Raw Data'!$B:$B, "Variant"),"")</f>
        <v>49.69816247</v>
      </c>
      <c r="E55" s="96"/>
      <c r="F55" s="47"/>
    </row>
    <row r="56" ht="15.75" customHeight="1">
      <c r="A56" s="23"/>
      <c r="B56" s="24" t="s">
        <v>79</v>
      </c>
      <c r="C56" s="80"/>
      <c r="D56" s="80">
        <f>IFERROR(SUMPRODUCT(('Raw Data'!$B$2:$B$9999="Variant")*'Raw Data'!$D$2:$D$9999*'Raw Data'!$AN$2:$AN$9999)/SUMIFS('Raw Data'!$D:$D, 'Raw Data'!$B:$B, "Variant"),"")</f>
        <v>49.69816247</v>
      </c>
      <c r="E56" s="96"/>
      <c r="F56" s="47"/>
    </row>
    <row r="57" ht="15.75" customHeight="1">
      <c r="A57" s="23"/>
      <c r="B57" s="24" t="s">
        <v>80</v>
      </c>
      <c r="C57" s="80"/>
      <c r="D57" s="80">
        <f>IFERROR(SUMPRODUCT(('Raw Data'!$B$2:$B$9999="Variant")*'Raw Data'!$D$2:$D$9999*'Raw Data'!$AO$2:$AO$9999)/SUMIFS('Raw Data'!$D:$D, 'Raw Data'!$B:$B, "Variant"),"")</f>
        <v>27.28149121</v>
      </c>
      <c r="E57" s="96"/>
      <c r="F57" s="47"/>
    </row>
    <row r="58" ht="15.75" customHeight="1">
      <c r="A58" s="23"/>
      <c r="B58" s="24" t="s">
        <v>81</v>
      </c>
      <c r="C58" s="80"/>
      <c r="D58" s="80">
        <f>IFERROR(SUMPRODUCT(('Raw Data'!$B$2:$B$9999="Variant")*'Raw Data'!$D$2:$D$9999*'Raw Data'!$AP$2:$AP$9999)/SUMIFS('Raw Data'!$D:$D, 'Raw Data'!$B:$B, "Variant"),"")</f>
        <v>12.53987703</v>
      </c>
      <c r="E58" s="96"/>
      <c r="F58" s="47"/>
    </row>
    <row r="59" ht="15.75" customHeight="1">
      <c r="A59" s="19" t="s">
        <v>119</v>
      </c>
      <c r="B59" s="21"/>
      <c r="C59" s="21"/>
      <c r="D59" s="21"/>
      <c r="E59" s="21"/>
      <c r="F59" s="21"/>
    </row>
    <row r="60" ht="15.75" customHeight="1">
      <c r="A60" s="23"/>
      <c r="B60" s="84" t="s">
        <v>82</v>
      </c>
      <c r="C60" s="73">
        <f>IFERROR(SUMPRODUCT(('Raw Data'!$B$2:$B$9999="Control")*'Raw Data'!$D$2:$D$9999*'Raw Data'!$AQ$2:$AQ$9999)/SUMIFS('Raw Data'!$D:$D, 'Raw Data'!$B:$B, "Control"),"")</f>
        <v>7.001376502</v>
      </c>
      <c r="D60" s="73">
        <f>IFERROR(SUMPRODUCT(('Raw Data'!$B$2:$B$9999="Variant")*'Raw Data'!$D$2:$D$9999*'Raw Data'!$AQ$2:$AQ$9999)/SUMIFS('Raw Data'!$D:$D, 'Raw Data'!$B:$B, "Variant"),"")</f>
        <v>7.025577212</v>
      </c>
      <c r="E60" s="89">
        <f t="shared" ref="E60:E65" si="19">IFERROR(D60-C60,"")</f>
        <v>0.02420070912</v>
      </c>
      <c r="F60" s="47">
        <f t="shared" ref="F60:F65" si="20">IFERROR((D60-C60)/ABS(C60),"")</f>
        <v>0.00345656445</v>
      </c>
    </row>
    <row r="61" ht="15.75" customHeight="1">
      <c r="A61" s="23"/>
      <c r="B61" s="84" t="s">
        <v>83</v>
      </c>
      <c r="C61" s="73">
        <f>IFERROR(SUMPRODUCT(('Raw Data'!$B$2:$B$9999="Control")*'Raw Data'!$D$2:$D$9999*'Raw Data'!$AR$2:$AR$9999)/SUMIFS('Raw Data'!$D:$D, 'Raw Data'!$B:$B, "Control"),"")</f>
        <v>0.190325899</v>
      </c>
      <c r="D61" s="73">
        <f>IFERROR(SUMPRODUCT(('Raw Data'!$B$2:$B$9999="Variant")*'Raw Data'!$D$2:$D$9999*'Raw Data'!$AR$2:$AR$9999)/SUMIFS('Raw Data'!$D:$D, 'Raw Data'!$B:$B, "Variant"),"")</f>
        <v>0.1327436288</v>
      </c>
      <c r="E61" s="59">
        <f t="shared" si="19"/>
        <v>-0.05758227022</v>
      </c>
      <c r="F61" s="47">
        <f t="shared" si="20"/>
        <v>-0.3025456364</v>
      </c>
    </row>
    <row r="62" ht="15.75" customHeight="1">
      <c r="A62" s="23"/>
      <c r="B62" s="84" t="s">
        <v>84</v>
      </c>
      <c r="C62" s="73">
        <f>IFERROR(SUMPRODUCT(('Raw Data'!$B$2:$B$9999="Control")*'Raw Data'!$D$2:$D$9999*'Raw Data'!$AS$2:$AS$9999)/SUMIFS('Raw Data'!$D:$D, 'Raw Data'!$B:$B, "Control"),"")</f>
        <v>6.811042427</v>
      </c>
      <c r="D62" s="73">
        <f>IFERROR(SUMPRODUCT(('Raw Data'!$B$2:$B$9999="Variant")*'Raw Data'!$D$2:$D$9999*'Raw Data'!$AS$2:$AS$9999)/SUMIFS('Raw Data'!$D:$D, 'Raw Data'!$B:$B, "Variant"),"")</f>
        <v>6.892829315</v>
      </c>
      <c r="E62" s="89">
        <f t="shared" si="19"/>
        <v>0.08178688772</v>
      </c>
      <c r="F62" s="47">
        <f t="shared" si="20"/>
        <v>0.01200798389</v>
      </c>
    </row>
    <row r="63" ht="15.75" customHeight="1">
      <c r="A63" s="23"/>
      <c r="B63" s="84" t="s">
        <v>85</v>
      </c>
      <c r="C63" s="73">
        <f>IFERROR(SUMPRODUCT(('Raw Data'!$B$2:$B$9999="Control")*'Raw Data'!$D$2:$D$9999*'Raw Data'!$AT$2:$AT$9999)/SUMIFS('Raw Data'!$D:$D, 'Raw Data'!$B:$B, "Control"),"")</f>
        <v>6.364848495</v>
      </c>
      <c r="D63" s="73">
        <f>IFERROR(SUMPRODUCT(('Raw Data'!$B$2:$B$9999="Variant")*'Raw Data'!$D$2:$D$9999*'Raw Data'!$AT$2:$AT$9999)/SUMIFS('Raw Data'!$D:$D, 'Raw Data'!$B:$B, "Variant"),"")</f>
        <v>6.252592396</v>
      </c>
      <c r="E63" s="59">
        <f t="shared" si="19"/>
        <v>-0.1122560991</v>
      </c>
      <c r="F63" s="47">
        <f t="shared" si="20"/>
        <v>-0.01763688471</v>
      </c>
    </row>
    <row r="64" ht="15.75" customHeight="1">
      <c r="A64" s="23"/>
      <c r="B64" s="84" t="s">
        <v>86</v>
      </c>
      <c r="C64" s="73">
        <f>IFERROR(SUMPRODUCT(('Raw Data'!$B$2:$B$9999="Control")*'Raw Data'!$D$2:$D$9999*('Raw Data'!$AQ$2:$AQ$9999-'Raw Data'!$AT$2:$AT$9999))/SUMIFS('Raw Data'!$D:$D, 'Raw Data'!$B:$B, "Control"),"")</f>
        <v>0.6365280074</v>
      </c>
      <c r="D64" s="73">
        <f>IFERROR(SUMPRODUCT(('Raw Data'!$B$2:$B$9999="Variant")*'Raw Data'!$D$2:$D$9999*('Raw Data'!$AQ$2:$AQ$9999-'Raw Data'!$AT$2:$AT$9999))/SUMIFS('Raw Data'!$D:$D, 'Raw Data'!$B:$B, "Variant"),"")</f>
        <v>0.7729848156</v>
      </c>
      <c r="E64" s="89">
        <f t="shared" si="19"/>
        <v>0.1364568082</v>
      </c>
      <c r="F64" s="47">
        <f t="shared" si="20"/>
        <v>0.2143767543</v>
      </c>
    </row>
    <row r="65" ht="15.75" customHeight="1">
      <c r="A65" s="23"/>
      <c r="B65" s="24" t="s">
        <v>87</v>
      </c>
      <c r="C65" s="73">
        <f>IFERROR(SUMPRODUCT(('Raw Data'!$B$2:$B$9999="Control")*'Raw Data'!$D$2:$D$9999*'Raw Data'!$AU$2:$AU$9999)/SUMIFS('Raw Data'!$D:$D, 'Raw Data'!$B:$B, "Control"),"")</f>
        <v>0.2104972831</v>
      </c>
      <c r="D65" s="73">
        <f>IFERROR(SUMPRODUCT(('Raw Data'!$B$2:$B$9999="Variant")*'Raw Data'!$D$2:$D$9999*'Raw Data'!$AU$2:$AU$9999)/SUMIFS('Raw Data'!$D:$D, 'Raw Data'!$B:$B, "Variant"),"")</f>
        <v>0.2098220024</v>
      </c>
      <c r="E65" s="99">
        <f t="shared" si="19"/>
        <v>-0.0006752806695</v>
      </c>
      <c r="F65" s="61">
        <f t="shared" si="20"/>
        <v>-0.003208025584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">
    <mergeCell ref="A1:F1"/>
  </mergeCells>
  <conditionalFormatting sqref="E22:F24 E26:F28 E30:F30 E32:F32 E36:F37 E40:F40 E42:F44 E53:F53 E60:F60 E62:F62 E64:F64">
    <cfRule type="cellIs" dxfId="0" priority="1" stopIfTrue="1" operator="lessThan">
      <formula>0</formula>
    </cfRule>
  </conditionalFormatting>
  <conditionalFormatting sqref="E22:F24 E26:F28 E30:F30 E32:F32 E36:F37 E40:F40 E42:F44 E53:F53 E60:F60 E62:F62 E64:F64">
    <cfRule type="cellIs" dxfId="1" priority="2" stopIfTrue="1" operator="greaterThan">
      <formula>0</formula>
    </cfRule>
  </conditionalFormatting>
  <conditionalFormatting sqref="E5:F5 E7:F9 E11:F13 E15:F19 E21:F21 E29:F29 E31:F31 E33:F34 E38:F39 E46:F47 E49:F51 E61:F61 E63:F63 E65:F65">
    <cfRule type="cellIs" dxfId="1" priority="3" stopIfTrue="1" operator="lessThan">
      <formula>0</formula>
    </cfRule>
  </conditionalFormatting>
  <conditionalFormatting sqref="E5:F5 E7:F9 E11:F13 E15:F19 E21:F21 E29:F29 E31:F31 E33:F34 E38:F39 E46:F47 E49:F51 E61:F61 E63:F63 E65:F65">
    <cfRule type="cellIs" dxfId="0" priority="4" stopIfTrue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1" width="13.0"/>
    <col customWidth="1" min="2" max="3" width="10.0"/>
    <col customWidth="1" min="4" max="4" width="9.0"/>
    <col customWidth="1" min="5" max="6" width="10.0"/>
    <col customWidth="1" min="7" max="7" width="9.0"/>
    <col customWidth="1" min="8" max="9" width="10.0"/>
    <col customWidth="1" min="10" max="10" width="9.0"/>
    <col customWidth="1" min="11" max="12" width="10.0"/>
    <col customWidth="1" min="13" max="13" width="9.0"/>
    <col customWidth="1" min="14" max="15" width="10.0"/>
    <col customWidth="1" min="16" max="16" width="9.0"/>
    <col customWidth="1" min="17" max="18" width="10.0"/>
    <col customWidth="1" min="19" max="19" width="9.0"/>
    <col customWidth="1" min="20" max="21" width="10.0"/>
    <col customWidth="1" min="22" max="22" width="9.0"/>
    <col customWidth="1" min="23" max="24" width="10.0"/>
    <col customWidth="1" min="25" max="25" width="9.0"/>
    <col customWidth="1" min="26" max="27" width="10.0"/>
    <col customWidth="1" min="28" max="28" width="9.0"/>
    <col customWidth="1" min="29" max="30" width="10.0"/>
    <col customWidth="1" min="31" max="31" width="9.0"/>
    <col customWidth="1" min="32" max="33" width="10.0"/>
    <col customWidth="1" min="34" max="34" width="9.0"/>
    <col customWidth="1" min="35" max="36" width="10.0"/>
    <col customWidth="1" min="37" max="37" width="9.0"/>
    <col customWidth="1" min="38" max="39" width="10.0"/>
    <col customWidth="1" min="40" max="40" width="9.0"/>
    <col customWidth="1" min="41" max="42" width="10.0"/>
    <col customWidth="1" min="43" max="43" width="9.0"/>
    <col customWidth="1" min="44" max="45" width="10.0"/>
    <col customWidth="1" min="46" max="46" width="9.0"/>
    <col customWidth="1" min="47" max="48" width="10.0"/>
    <col customWidth="1" min="49" max="49" width="9.0"/>
    <col customWidth="1" min="50" max="51" width="10.0"/>
    <col customWidth="1" min="52" max="52" width="9.0"/>
    <col customWidth="1" min="53" max="54" width="10.0"/>
    <col customWidth="1" min="55" max="55" width="9.0"/>
    <col customWidth="1" min="56" max="57" width="10.0"/>
    <col customWidth="1" min="58" max="58" width="9.0"/>
    <col customWidth="1" min="59" max="60" width="10.0"/>
    <col customWidth="1" min="61" max="61" width="9.0"/>
    <col customWidth="1" min="62" max="63" width="10.0"/>
    <col customWidth="1" min="64" max="64" width="9.0"/>
    <col customWidth="1" min="65" max="66" width="10.0"/>
    <col customWidth="1" min="67" max="67" width="9.0"/>
    <col customWidth="1" min="68" max="69" width="10.0"/>
    <col customWidth="1" min="70" max="70" width="9.0"/>
    <col customWidth="1" min="71" max="72" width="10.0"/>
    <col customWidth="1" min="73" max="73" width="9.0"/>
    <col customWidth="1" min="74" max="75" width="10.0"/>
    <col customWidth="1" min="76" max="76" width="9.0"/>
    <col customWidth="1" min="77" max="78" width="10.0"/>
    <col customWidth="1" min="79" max="79" width="9.0"/>
    <col customWidth="1" min="80" max="81" width="10.0"/>
    <col customWidth="1" min="82" max="82" width="9.0"/>
    <col customWidth="1" min="83" max="84" width="10.0"/>
    <col customWidth="1" min="85" max="85" width="9.0"/>
    <col customWidth="1" min="86" max="87" width="10.0"/>
    <col customWidth="1" min="88" max="88" width="9.0"/>
    <col customWidth="1" min="89" max="90" width="10.0"/>
    <col customWidth="1" min="91" max="91" width="9.0"/>
    <col customWidth="1" min="92" max="93" width="10.0"/>
    <col customWidth="1" min="94" max="94" width="9.0"/>
    <col customWidth="1" min="95" max="96" width="10.0"/>
    <col customWidth="1" min="97" max="97" width="9.0"/>
    <col customWidth="1" min="98" max="99" width="10.0"/>
    <col customWidth="1" min="100" max="100" width="9.0"/>
    <col customWidth="1" min="101" max="102" width="10.0"/>
    <col customWidth="1" min="103" max="103" width="9.0"/>
    <col customWidth="1" min="104" max="105" width="10.0"/>
    <col customWidth="1" min="106" max="106" width="9.0"/>
    <col customWidth="1" min="107" max="108" width="10.0"/>
    <col customWidth="1" min="109" max="109" width="9.0"/>
    <col customWidth="1" min="110" max="110" width="10.0"/>
    <col customWidth="1" min="111" max="111" width="13.0"/>
    <col customWidth="1" min="112" max="112" width="9.0"/>
    <col customWidth="1" min="113" max="113" width="10.0"/>
    <col customWidth="1" min="114" max="114" width="13.0"/>
    <col customWidth="1" min="115" max="115" width="9.0"/>
    <col customWidth="1" min="116" max="116" width="10.0"/>
    <col customWidth="1" min="117" max="117" width="13.0"/>
    <col customWidth="1" min="118" max="118" width="9.0"/>
    <col customWidth="1" min="119" max="119" width="10.0"/>
    <col customWidth="1" min="120" max="120" width="13.0"/>
    <col customWidth="1" min="121" max="121" width="9.0"/>
    <col customWidth="1" min="122" max="122" width="10.0"/>
    <col customWidth="1" min="123" max="123" width="13.0"/>
    <col customWidth="1" min="124" max="124" width="9.0"/>
    <col customWidth="1" min="125" max="125" width="10.0"/>
    <col customWidth="1" min="126" max="126" width="13.0"/>
    <col customWidth="1" min="127" max="127" width="9.0"/>
    <col customWidth="1" min="128" max="128" width="10.0"/>
    <col customWidth="1" min="129" max="129" width="13.0"/>
    <col customWidth="1" min="130" max="130" width="9.0"/>
    <col customWidth="1" min="131" max="131" width="10.0"/>
    <col customWidth="1" min="132" max="132" width="13.0"/>
    <col customWidth="1" min="133" max="133" width="9.0"/>
    <col customWidth="1" min="134" max="134" width="10.0"/>
    <col customWidth="1" min="135" max="135" width="13.0"/>
    <col customWidth="1" min="136" max="136" width="9.0"/>
    <col customWidth="1" min="137" max="137" width="10.0"/>
    <col customWidth="1" min="138" max="138" width="13.0"/>
    <col customWidth="1" min="139" max="139" width="9.0"/>
  </cols>
  <sheetData>
    <row r="1">
      <c r="A1" s="2" t="s">
        <v>3</v>
      </c>
      <c r="B1" s="4"/>
      <c r="C1" s="4"/>
      <c r="D1" s="4"/>
      <c r="E1" s="4"/>
      <c r="F1" s="4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</row>
    <row r="3">
      <c r="A3" s="48" t="s">
        <v>37</v>
      </c>
      <c r="B3" s="52" t="s">
        <v>38</v>
      </c>
      <c r="C3" s="54" t="str">
        <f>IF($B$3="1-9","B. 1-9",IF($B$3="10-19","C. 10-19",IF($B$3="20-39","D. 20-39",IF($B$3="40-99","E. 40-99",IF($B$3="100+","F. 100+","")))))</f>
        <v>D. 20-39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</row>
    <row r="4" ht="30.0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</row>
    <row r="5" ht="30.0" customHeight="1">
      <c r="A5" s="60" t="s">
        <v>44</v>
      </c>
      <c r="B5" s="62" t="s">
        <v>25</v>
      </c>
      <c r="C5" s="63"/>
      <c r="D5" s="64"/>
      <c r="E5" s="62" t="s">
        <v>46</v>
      </c>
      <c r="F5" s="63"/>
      <c r="G5" s="64"/>
      <c r="H5" s="62" t="s">
        <v>35</v>
      </c>
      <c r="I5" s="63"/>
      <c r="J5" s="64"/>
      <c r="K5" s="62" t="s">
        <v>36</v>
      </c>
      <c r="L5" s="63"/>
      <c r="M5" s="64"/>
      <c r="N5" s="62" t="s">
        <v>47</v>
      </c>
      <c r="O5" s="63"/>
      <c r="P5" s="64"/>
      <c r="Q5" s="62" t="s">
        <v>39</v>
      </c>
      <c r="R5" s="63"/>
      <c r="S5" s="64"/>
      <c r="T5" s="62" t="s">
        <v>42</v>
      </c>
      <c r="U5" s="63"/>
      <c r="V5" s="64"/>
      <c r="W5" s="62" t="s">
        <v>45</v>
      </c>
      <c r="X5" s="63"/>
      <c r="Y5" s="64"/>
      <c r="Z5" s="62" t="s">
        <v>48</v>
      </c>
      <c r="AA5" s="63"/>
      <c r="AB5" s="64"/>
      <c r="AC5" s="62" t="s">
        <v>49</v>
      </c>
      <c r="AD5" s="63"/>
      <c r="AE5" s="64"/>
      <c r="AF5" s="62" t="s">
        <v>50</v>
      </c>
      <c r="AG5" s="63"/>
      <c r="AH5" s="64"/>
      <c r="AI5" s="62" t="s">
        <v>51</v>
      </c>
      <c r="AJ5" s="63"/>
      <c r="AK5" s="64"/>
      <c r="AL5" s="62" t="s">
        <v>53</v>
      </c>
      <c r="AM5" s="63"/>
      <c r="AN5" s="64"/>
      <c r="AO5" s="62" t="s">
        <v>54</v>
      </c>
      <c r="AP5" s="63"/>
      <c r="AQ5" s="64"/>
      <c r="AR5" s="62" t="s">
        <v>55</v>
      </c>
      <c r="AS5" s="63"/>
      <c r="AT5" s="64"/>
      <c r="AU5" s="62" t="s">
        <v>56</v>
      </c>
      <c r="AV5" s="63"/>
      <c r="AW5" s="64"/>
      <c r="AX5" s="62" t="s">
        <v>57</v>
      </c>
      <c r="AY5" s="63"/>
      <c r="AZ5" s="64"/>
      <c r="BA5" s="62" t="s">
        <v>58</v>
      </c>
      <c r="BB5" s="63"/>
      <c r="BC5" s="64"/>
      <c r="BD5" s="62" t="s">
        <v>59</v>
      </c>
      <c r="BE5" s="63"/>
      <c r="BF5" s="64"/>
      <c r="BG5" s="62" t="s">
        <v>60</v>
      </c>
      <c r="BH5" s="63"/>
      <c r="BI5" s="64"/>
      <c r="BJ5" s="62" t="s">
        <v>61</v>
      </c>
      <c r="BK5" s="63"/>
      <c r="BL5" s="64"/>
      <c r="BM5" s="62" t="s">
        <v>62</v>
      </c>
      <c r="BN5" s="63"/>
      <c r="BO5" s="64"/>
      <c r="BP5" s="62" t="s">
        <v>63</v>
      </c>
      <c r="BQ5" s="63"/>
      <c r="BR5" s="64"/>
      <c r="BS5" s="62" t="s">
        <v>64</v>
      </c>
      <c r="BT5" s="63"/>
      <c r="BU5" s="64"/>
      <c r="BV5" s="62" t="s">
        <v>65</v>
      </c>
      <c r="BW5" s="63"/>
      <c r="BX5" s="64"/>
      <c r="BY5" s="62" t="s">
        <v>67</v>
      </c>
      <c r="BZ5" s="63"/>
      <c r="CA5" s="64"/>
      <c r="CB5" s="62" t="s">
        <v>68</v>
      </c>
      <c r="CC5" s="63"/>
      <c r="CD5" s="64"/>
      <c r="CE5" s="62" t="s">
        <v>69</v>
      </c>
      <c r="CF5" s="63"/>
      <c r="CG5" s="64"/>
      <c r="CH5" s="62" t="s">
        <v>70</v>
      </c>
      <c r="CI5" s="63"/>
      <c r="CJ5" s="64"/>
      <c r="CK5" s="62" t="s">
        <v>71</v>
      </c>
      <c r="CL5" s="63"/>
      <c r="CM5" s="64"/>
      <c r="CN5" s="62" t="s">
        <v>72</v>
      </c>
      <c r="CO5" s="63"/>
      <c r="CP5" s="64"/>
      <c r="CQ5" s="62" t="s">
        <v>73</v>
      </c>
      <c r="CR5" s="63"/>
      <c r="CS5" s="64"/>
      <c r="CT5" s="62" t="s">
        <v>74</v>
      </c>
      <c r="CU5" s="63"/>
      <c r="CV5" s="64"/>
      <c r="CW5" s="62" t="s">
        <v>75</v>
      </c>
      <c r="CX5" s="63"/>
      <c r="CY5" s="64"/>
      <c r="CZ5" s="62" t="s">
        <v>76</v>
      </c>
      <c r="DA5" s="63"/>
      <c r="DB5" s="64"/>
      <c r="DC5" s="62" t="s">
        <v>77</v>
      </c>
      <c r="DD5" s="63"/>
      <c r="DE5" s="64"/>
      <c r="DF5" s="62" t="s">
        <v>78</v>
      </c>
      <c r="DG5" s="63"/>
      <c r="DH5" s="64"/>
      <c r="DI5" s="62" t="s">
        <v>79</v>
      </c>
      <c r="DJ5" s="63"/>
      <c r="DK5" s="64"/>
      <c r="DL5" s="62" t="s">
        <v>80</v>
      </c>
      <c r="DM5" s="63"/>
      <c r="DN5" s="64"/>
      <c r="DO5" s="62" t="s">
        <v>81</v>
      </c>
      <c r="DP5" s="63"/>
      <c r="DQ5" s="64"/>
      <c r="DR5" s="62" t="s">
        <v>82</v>
      </c>
      <c r="DS5" s="63"/>
      <c r="DT5" s="64"/>
      <c r="DU5" s="62" t="s">
        <v>83</v>
      </c>
      <c r="DV5" s="63"/>
      <c r="DW5" s="64"/>
      <c r="DX5" s="62" t="s">
        <v>84</v>
      </c>
      <c r="DY5" s="63"/>
      <c r="DZ5" s="64"/>
      <c r="EA5" s="62" t="s">
        <v>85</v>
      </c>
      <c r="EB5" s="63"/>
      <c r="EC5" s="64"/>
      <c r="ED5" s="62" t="s">
        <v>86</v>
      </c>
      <c r="EE5" s="63"/>
      <c r="EF5" s="64"/>
      <c r="EG5" s="62" t="s">
        <v>87</v>
      </c>
      <c r="EH5" s="63"/>
      <c r="EI5" s="64"/>
    </row>
    <row r="6" ht="18.0" customHeight="1">
      <c r="A6" s="25"/>
      <c r="B6" s="69" t="s">
        <v>9</v>
      </c>
      <c r="C6" s="69" t="s">
        <v>10</v>
      </c>
      <c r="D6" s="69" t="s">
        <v>89</v>
      </c>
      <c r="E6" s="69" t="s">
        <v>9</v>
      </c>
      <c r="F6" s="69" t="s">
        <v>10</v>
      </c>
      <c r="G6" s="69" t="s">
        <v>89</v>
      </c>
      <c r="H6" s="69" t="s">
        <v>9</v>
      </c>
      <c r="I6" s="69" t="s">
        <v>10</v>
      </c>
      <c r="J6" s="69" t="s">
        <v>89</v>
      </c>
      <c r="K6" s="69" t="s">
        <v>9</v>
      </c>
      <c r="L6" s="69" t="s">
        <v>10</v>
      </c>
      <c r="M6" s="69" t="s">
        <v>89</v>
      </c>
      <c r="N6" s="69" t="s">
        <v>9</v>
      </c>
      <c r="O6" s="69" t="s">
        <v>10</v>
      </c>
      <c r="P6" s="69" t="s">
        <v>89</v>
      </c>
      <c r="Q6" s="69" t="s">
        <v>9</v>
      </c>
      <c r="R6" s="69" t="s">
        <v>10</v>
      </c>
      <c r="S6" s="69" t="s">
        <v>89</v>
      </c>
      <c r="T6" s="69" t="s">
        <v>9</v>
      </c>
      <c r="U6" s="69" t="s">
        <v>10</v>
      </c>
      <c r="V6" s="69" t="s">
        <v>89</v>
      </c>
      <c r="W6" s="69" t="s">
        <v>9</v>
      </c>
      <c r="X6" s="69" t="s">
        <v>10</v>
      </c>
      <c r="Y6" s="69" t="s">
        <v>89</v>
      </c>
      <c r="Z6" s="69" t="s">
        <v>9</v>
      </c>
      <c r="AA6" s="69" t="s">
        <v>10</v>
      </c>
      <c r="AB6" s="69" t="s">
        <v>89</v>
      </c>
      <c r="AC6" s="69" t="s">
        <v>9</v>
      </c>
      <c r="AD6" s="69" t="s">
        <v>10</v>
      </c>
      <c r="AE6" s="69" t="s">
        <v>89</v>
      </c>
      <c r="AF6" s="69" t="s">
        <v>9</v>
      </c>
      <c r="AG6" s="69" t="s">
        <v>10</v>
      </c>
      <c r="AH6" s="69" t="s">
        <v>89</v>
      </c>
      <c r="AI6" s="69" t="s">
        <v>9</v>
      </c>
      <c r="AJ6" s="69" t="s">
        <v>10</v>
      </c>
      <c r="AK6" s="69" t="s">
        <v>89</v>
      </c>
      <c r="AL6" s="69" t="s">
        <v>9</v>
      </c>
      <c r="AM6" s="69" t="s">
        <v>10</v>
      </c>
      <c r="AN6" s="69" t="s">
        <v>89</v>
      </c>
      <c r="AO6" s="69" t="s">
        <v>9</v>
      </c>
      <c r="AP6" s="69" t="s">
        <v>10</v>
      </c>
      <c r="AQ6" s="69" t="s">
        <v>89</v>
      </c>
      <c r="AR6" s="69" t="s">
        <v>9</v>
      </c>
      <c r="AS6" s="69" t="s">
        <v>10</v>
      </c>
      <c r="AT6" s="69" t="s">
        <v>89</v>
      </c>
      <c r="AU6" s="69" t="s">
        <v>9</v>
      </c>
      <c r="AV6" s="69" t="s">
        <v>10</v>
      </c>
      <c r="AW6" s="69" t="s">
        <v>89</v>
      </c>
      <c r="AX6" s="69" t="s">
        <v>9</v>
      </c>
      <c r="AY6" s="69" t="s">
        <v>10</v>
      </c>
      <c r="AZ6" s="69" t="s">
        <v>89</v>
      </c>
      <c r="BA6" s="69" t="s">
        <v>9</v>
      </c>
      <c r="BB6" s="69" t="s">
        <v>10</v>
      </c>
      <c r="BC6" s="69" t="s">
        <v>89</v>
      </c>
      <c r="BD6" s="69" t="s">
        <v>9</v>
      </c>
      <c r="BE6" s="69" t="s">
        <v>10</v>
      </c>
      <c r="BF6" s="69" t="s">
        <v>89</v>
      </c>
      <c r="BG6" s="69" t="s">
        <v>9</v>
      </c>
      <c r="BH6" s="69" t="s">
        <v>10</v>
      </c>
      <c r="BI6" s="69" t="s">
        <v>89</v>
      </c>
      <c r="BJ6" s="69" t="s">
        <v>9</v>
      </c>
      <c r="BK6" s="69" t="s">
        <v>10</v>
      </c>
      <c r="BL6" s="69" t="s">
        <v>89</v>
      </c>
      <c r="BM6" s="69" t="s">
        <v>9</v>
      </c>
      <c r="BN6" s="69" t="s">
        <v>10</v>
      </c>
      <c r="BO6" s="69" t="s">
        <v>89</v>
      </c>
      <c r="BP6" s="69" t="s">
        <v>9</v>
      </c>
      <c r="BQ6" s="69" t="s">
        <v>10</v>
      </c>
      <c r="BR6" s="69" t="s">
        <v>89</v>
      </c>
      <c r="BS6" s="69" t="s">
        <v>9</v>
      </c>
      <c r="BT6" s="69" t="s">
        <v>10</v>
      </c>
      <c r="BU6" s="69" t="s">
        <v>89</v>
      </c>
      <c r="BV6" s="69" t="s">
        <v>9</v>
      </c>
      <c r="BW6" s="69" t="s">
        <v>10</v>
      </c>
      <c r="BX6" s="69" t="s">
        <v>89</v>
      </c>
      <c r="BY6" s="69" t="s">
        <v>9</v>
      </c>
      <c r="BZ6" s="69" t="s">
        <v>10</v>
      </c>
      <c r="CA6" s="69" t="s">
        <v>89</v>
      </c>
      <c r="CB6" s="69" t="s">
        <v>9</v>
      </c>
      <c r="CC6" s="69" t="s">
        <v>10</v>
      </c>
      <c r="CD6" s="69" t="s">
        <v>89</v>
      </c>
      <c r="CE6" s="69" t="s">
        <v>9</v>
      </c>
      <c r="CF6" s="69" t="s">
        <v>10</v>
      </c>
      <c r="CG6" s="69" t="s">
        <v>89</v>
      </c>
      <c r="CH6" s="69" t="s">
        <v>9</v>
      </c>
      <c r="CI6" s="69" t="s">
        <v>10</v>
      </c>
      <c r="CJ6" s="69" t="s">
        <v>89</v>
      </c>
      <c r="CK6" s="69" t="s">
        <v>9</v>
      </c>
      <c r="CL6" s="69" t="s">
        <v>10</v>
      </c>
      <c r="CM6" s="69" t="s">
        <v>89</v>
      </c>
      <c r="CN6" s="69" t="s">
        <v>9</v>
      </c>
      <c r="CO6" s="69" t="s">
        <v>10</v>
      </c>
      <c r="CP6" s="69" t="s">
        <v>89</v>
      </c>
      <c r="CQ6" s="69" t="s">
        <v>9</v>
      </c>
      <c r="CR6" s="69" t="s">
        <v>10</v>
      </c>
      <c r="CS6" s="69" t="s">
        <v>89</v>
      </c>
      <c r="CT6" s="69" t="s">
        <v>9</v>
      </c>
      <c r="CU6" s="69" t="s">
        <v>10</v>
      </c>
      <c r="CV6" s="69" t="s">
        <v>89</v>
      </c>
      <c r="CW6" s="69" t="s">
        <v>9</v>
      </c>
      <c r="CX6" s="69" t="s">
        <v>10</v>
      </c>
      <c r="CY6" s="69" t="s">
        <v>89</v>
      </c>
      <c r="CZ6" s="69" t="s">
        <v>9</v>
      </c>
      <c r="DA6" s="69" t="s">
        <v>10</v>
      </c>
      <c r="DB6" s="69" t="s">
        <v>89</v>
      </c>
      <c r="DC6" s="69" t="s">
        <v>9</v>
      </c>
      <c r="DD6" s="69" t="s">
        <v>10</v>
      </c>
      <c r="DE6" s="69" t="s">
        <v>89</v>
      </c>
      <c r="DF6" s="69" t="s">
        <v>9</v>
      </c>
      <c r="DG6" s="69" t="s">
        <v>10</v>
      </c>
      <c r="DH6" s="69" t="s">
        <v>89</v>
      </c>
      <c r="DI6" s="69" t="s">
        <v>9</v>
      </c>
      <c r="DJ6" s="69" t="s">
        <v>10</v>
      </c>
      <c r="DK6" s="69" t="s">
        <v>89</v>
      </c>
      <c r="DL6" s="69" t="s">
        <v>9</v>
      </c>
      <c r="DM6" s="69" t="s">
        <v>10</v>
      </c>
      <c r="DN6" s="69" t="s">
        <v>89</v>
      </c>
      <c r="DO6" s="69" t="s">
        <v>9</v>
      </c>
      <c r="DP6" s="69" t="s">
        <v>10</v>
      </c>
      <c r="DQ6" s="69" t="s">
        <v>89</v>
      </c>
      <c r="DR6" s="69" t="s">
        <v>9</v>
      </c>
      <c r="DS6" s="69" t="s">
        <v>10</v>
      </c>
      <c r="DT6" s="69" t="s">
        <v>89</v>
      </c>
      <c r="DU6" s="69" t="s">
        <v>9</v>
      </c>
      <c r="DV6" s="69" t="s">
        <v>10</v>
      </c>
      <c r="DW6" s="69" t="s">
        <v>89</v>
      </c>
      <c r="DX6" s="69" t="s">
        <v>9</v>
      </c>
      <c r="DY6" s="69" t="s">
        <v>10</v>
      </c>
      <c r="DZ6" s="69" t="s">
        <v>89</v>
      </c>
      <c r="EA6" s="69" t="s">
        <v>9</v>
      </c>
      <c r="EB6" s="69" t="s">
        <v>10</v>
      </c>
      <c r="EC6" s="69" t="s">
        <v>89</v>
      </c>
      <c r="ED6" s="69" t="s">
        <v>9</v>
      </c>
      <c r="EE6" s="69" t="s">
        <v>10</v>
      </c>
      <c r="EF6" s="69" t="s">
        <v>89</v>
      </c>
      <c r="EG6" s="69" t="s">
        <v>9</v>
      </c>
      <c r="EH6" s="69" t="s">
        <v>10</v>
      </c>
      <c r="EI6" s="69" t="s">
        <v>89</v>
      </c>
    </row>
    <row r="7" ht="15.75" customHeight="1">
      <c r="A7" s="74">
        <v>46230.0</v>
      </c>
      <c r="B7" s="76">
        <f>IF($A7="","",SUMIFS('Raw Data'!$D:$D, 'Raw Data'!$B:$B, "Control", 'Raw Data'!$A:$A, $A7, 'Raw Data'!$C:$C, $C$3))</f>
        <v>4335</v>
      </c>
      <c r="C7" s="76">
        <f>IF($A7="","",SUMIFS('Raw Data'!$D:$D, 'Raw Data'!$B:$B, "Variant", 'Raw Data'!$A:$A, $A7, 'Raw Data'!$C:$C, $C$3))</f>
        <v>4634</v>
      </c>
      <c r="D7" s="77">
        <f t="shared" ref="D7:D25" si="1">IF($A7="","",IFERROR((C7-B7)/ABS(B7),""))</f>
        <v>0.06897347174</v>
      </c>
      <c r="E7" s="79">
        <f>IF($A7="","",IFERROR(SUMPRODUCT(('Raw Data'!$B$2:$B$9999="Control")*('Raw Data'!$A$2:$A$9999=$A7)*('Raw Data'!$C$2:$C$9999=$C$3)*'Raw Data'!$D$2:$D$9999*'Raw Data'!$E$2:$E$9999)/SUMIFS('Raw Data'!$D:$D, 'Raw Data'!$B:$B, "Control", 'Raw Data'!$A:$A, $A7, 'Raw Data'!$C:$C, $C$3),""))</f>
        <v>18.39</v>
      </c>
      <c r="F7" s="79">
        <f>IF($A7="","",IFERROR(SUMPRODUCT(('Raw Data'!$B$2:$B$9999="Variant")*('Raw Data'!$A$2:$A$9999=$A7)*('Raw Data'!$C$2:$C$9999=$C$3)*'Raw Data'!$D$2:$D$9999*'Raw Data'!$E$2:$E$9999)/SUMIFS('Raw Data'!$D:$D, 'Raw Data'!$B:$B, "Variant", 'Raw Data'!$A:$A, $A7, 'Raw Data'!$C:$C, $C$3),""))</f>
        <v>19.56</v>
      </c>
      <c r="G7" s="77">
        <f t="shared" ref="G7:G25" si="2">IF($A7="","",IFERROR((F7-E7)/ABS(E7),""))</f>
        <v>0.06362153344</v>
      </c>
      <c r="H7" s="85">
        <f>IF($A7="","",SUMIFS('Raw Data'!$F:$F, 'Raw Data'!$B:$B, "Control", 'Raw Data'!$A:$A, $A7, 'Raw Data'!$C:$C, $C$3))</f>
        <v>1327.14</v>
      </c>
      <c r="I7" s="85">
        <f>IF($A7="","",SUMIFS('Raw Data'!$F:$F, 'Raw Data'!$B:$B, "Variant", 'Raw Data'!$A:$A, $A7, 'Raw Data'!$C:$C, $C$3))</f>
        <v>1216.64</v>
      </c>
      <c r="J7" s="86">
        <f t="shared" ref="J7:J25" si="3">IF($A7="","",IFERROR((I7-H7)/ABS(H7),""))</f>
        <v>-0.08326175083</v>
      </c>
      <c r="K7" s="88">
        <f>IF($A7="","",IFERROR(SUMIFS('Raw Data'!$F:$F, 'Raw Data'!$B:$B, "Control", 'Raw Data'!$A:$A, $A7, 'Raw Data'!$C:$C, $C$3)/SUMIFS('Raw Data'!$D:$D, 'Raw Data'!$B:$B, "Control", 'Raw Data'!$A:$A, $A7, 'Raw Data'!$C:$C, $C$3),""))</f>
        <v>0.3061453287</v>
      </c>
      <c r="L7" s="88">
        <f>IF($A7="","",IFERROR(SUMIFS('Raw Data'!$F:$F, 'Raw Data'!$B:$B, "Variant", 'Raw Data'!$A:$A, $A7, 'Raw Data'!$C:$C, $C$3)/SUMIFS('Raw Data'!$D:$D, 'Raw Data'!$B:$B, "Variant", 'Raw Data'!$A:$A, $A7, 'Raw Data'!$C:$C, $C$3),""))</f>
        <v>0.2625463962</v>
      </c>
      <c r="M7" s="86">
        <f t="shared" ref="M7:M25" si="4">IF($A7="","",IFERROR((L7-K7)/ABS(K7),""))</f>
        <v>-0.1424125356</v>
      </c>
      <c r="N7" s="79">
        <f>IF($A7="","",IFERROR(SUMPRODUCT(('Raw Data'!$B$2:$B$9999="Control")*('Raw Data'!$A$2:$A$9999=$A7)*('Raw Data'!$C$2:$C$9999=$C$3)*'Raw Data'!$D$2:$D$9999*'Raw Data'!$H$2:$H$9999/100)/SUMIFS('Raw Data'!$D:$D, 'Raw Data'!$B:$B, "Control", 'Raw Data'!$A:$A, $A7, 'Raw Data'!$C:$C, $C$3)*100,""))</f>
        <v>5.19</v>
      </c>
      <c r="O7" s="79">
        <f>IF($A7="","",IFERROR(SUMPRODUCT(('Raw Data'!$B$2:$B$9999="Variant")*('Raw Data'!$A$2:$A$9999=$A7)*('Raw Data'!$C$2:$C$9999=$C$3)*'Raw Data'!$D$2:$D$9999*'Raw Data'!$H$2:$H$9999/100)/SUMIFS('Raw Data'!$D:$D, 'Raw Data'!$B:$B, "Variant", 'Raw Data'!$A:$A, $A7, 'Raw Data'!$C:$C, $C$3)*100,""))</f>
        <v>5.22</v>
      </c>
      <c r="P7" s="86">
        <f t="shared" ref="P7:P25" si="5">IF($A7="","",IFERROR((O7-N7)/ABS(N7),""))</f>
        <v>0.005780346821</v>
      </c>
      <c r="Q7" s="88">
        <f>IF($A7="","",IFERROR(SUMIFS('Raw Data'!$F:$F, 'Raw Data'!$B:$B, "Control", 'Raw Data'!$A:$A, $A7, 'Raw Data'!$C:$C, $C$3)/SUMPRODUCT(('Raw Data'!$B$2:$B$9999="Control")*('Raw Data'!$A$2:$A$9999=$A7)*('Raw Data'!$C$2:$C$9999=$C$3)*'Raw Data'!$D$2:$D$9999*'Raw Data'!$H$2:$H$9999/100),""))</f>
        <v>5.898753925</v>
      </c>
      <c r="R7" s="88">
        <f>IF($A7="","",IFERROR(SUMIFS('Raw Data'!$F:$F, 'Raw Data'!$B:$B, "Variant", 'Raw Data'!$A:$A, $A7, 'Raw Data'!$C:$C, $C$3)/SUMPRODUCT(('Raw Data'!$B$2:$B$9999="Variant")*('Raw Data'!$A$2:$A$9999=$A7)*('Raw Data'!$C$2:$C$9999=$C$3)*'Raw Data'!$D$2:$D$9999*'Raw Data'!$H$2:$H$9999/100),""))</f>
        <v>5.029624448</v>
      </c>
      <c r="S7" s="86">
        <f t="shared" ref="S7:S25" si="6">IF($A7="","",IFERROR((R7-Q7)/ABS(Q7),""))</f>
        <v>-0.1473411992</v>
      </c>
      <c r="T7" s="90">
        <f>IF($A7="","",IFERROR(SUMPRODUCT(('Raw Data'!$B$2:$B$9999="Control")*('Raw Data'!$A$2:$A$9999=$A7)*('Raw Data'!$C$2:$C$9999=$C$3)*'Raw Data'!$D$2:$D$9999*'Raw Data'!$J$2:$J$9999)/SUMIFS('Raw Data'!$D:$D, 'Raw Data'!$B:$B, "Control", 'Raw Data'!$A:$A, $A7, 'Raw Data'!$C:$C, $C$3),""))</f>
        <v>88.03</v>
      </c>
      <c r="U7" s="90">
        <f>IF($A7="","",IFERROR(SUMPRODUCT(('Raw Data'!$B$2:$B$9999="Variant")*('Raw Data'!$A$2:$A$9999=$A7)*('Raw Data'!$C$2:$C$9999=$C$3)*'Raw Data'!$D$2:$D$9999*'Raw Data'!$J$2:$J$9999)/SUMIFS('Raw Data'!$D:$D, 'Raw Data'!$B:$B, "Variant", 'Raw Data'!$A:$A, $A7, 'Raw Data'!$C:$C, $C$3),""))</f>
        <v>99.69</v>
      </c>
      <c r="V7" s="86">
        <f t="shared" ref="V7:V25" si="7">IF($A7="","",IFERROR((U7-T7)/ABS(T7),""))</f>
        <v>0.1324548449</v>
      </c>
      <c r="W7" s="90">
        <f>IF($A7="","",IFERROR(SUMPRODUCT(('Raw Data'!$B$2:$B$9999="Control")*('Raw Data'!$A$2:$A$9999=$A7)*('Raw Data'!$C$2:$C$9999=$C$3)*'Raw Data'!$D$2:$D$9999*'Raw Data'!$K$2:$K$9999)/SUMIFS('Raw Data'!$D:$D, 'Raw Data'!$B:$B, "Control", 'Raw Data'!$A:$A, $A7, 'Raw Data'!$C:$C, $C$3),""))</f>
        <v>45.37</v>
      </c>
      <c r="X7" s="90">
        <f>IF($A7="","",IFERROR(SUMPRODUCT(('Raw Data'!$B$2:$B$9999="Variant")*('Raw Data'!$A$2:$A$9999=$A7)*('Raw Data'!$C$2:$C$9999=$C$3)*'Raw Data'!$D$2:$D$9999*'Raw Data'!$K$2:$K$9999)/SUMIFS('Raw Data'!$D:$D, 'Raw Data'!$B:$B, "Variant", 'Raw Data'!$A:$A, $A7, 'Raw Data'!$C:$C, $C$3),""))</f>
        <v>50.77</v>
      </c>
      <c r="Y7" s="86">
        <f t="shared" ref="Y7:Y25" si="8">IF($A7="","",IFERROR((X7-W7)/ABS(W7),""))</f>
        <v>0.1190213798</v>
      </c>
      <c r="Z7" s="90">
        <f>IF($A7="","",IFERROR(SUMPRODUCT(('Raw Data'!$B$2:$B$9999="Control")*('Raw Data'!$A$2:$A$9999=$A7)*('Raw Data'!$C$2:$C$9999=$C$3)*'Raw Data'!$D$2:$D$9999*'Raw Data'!$L$2:$L$9999)/SUMIFS('Raw Data'!$D:$D, 'Raw Data'!$B:$B, "Control", 'Raw Data'!$A:$A, $A7, 'Raw Data'!$C:$C, $C$3),""))</f>
        <v>30.33</v>
      </c>
      <c r="AA7" s="90">
        <f>IF($A7="","",IFERROR(SUMPRODUCT(('Raw Data'!$B$2:$B$9999="Variant")*('Raw Data'!$A$2:$A$9999=$A7)*('Raw Data'!$C$2:$C$9999=$C$3)*'Raw Data'!$D$2:$D$9999*'Raw Data'!$L$2:$L$9999)/SUMIFS('Raw Data'!$D:$D, 'Raw Data'!$B:$B, "Variant", 'Raw Data'!$A:$A, $A7, 'Raw Data'!$C:$C, $C$3),""))</f>
        <v>33.93</v>
      </c>
      <c r="AB7" s="86">
        <f t="shared" ref="AB7:AB25" si="9">IF($A7="","",IFERROR((AA7-Z7)/ABS(Z7),""))</f>
        <v>0.118694362</v>
      </c>
      <c r="AC7" s="91">
        <f>IF($A7="","",IFERROR(SUMPRODUCT(('Raw Data'!$B$2:$B$9999="Control")*('Raw Data'!$A$2:$A$9999=$A7)*('Raw Data'!$C$2:$C$9999=$C$3)*'Raw Data'!$D$2:$D$9999*'Raw Data'!$M$2:$M$9999)/SUMIFS('Raw Data'!$D:$D, 'Raw Data'!$B:$B, "Control", 'Raw Data'!$A:$A, $A7, 'Raw Data'!$C:$C, $C$3),""))</f>
        <v>0.6685</v>
      </c>
      <c r="AD7" s="91">
        <f>IF($A7="","",IFERROR(SUMPRODUCT(('Raw Data'!$B$2:$B$9999="Variant")*('Raw Data'!$A$2:$A$9999=$A7)*('Raw Data'!$C$2:$C$9999=$C$3)*'Raw Data'!$D$2:$D$9999*'Raw Data'!$M$2:$M$9999)/SUMIFS('Raw Data'!$D:$D, 'Raw Data'!$B:$B, "Variant", 'Raw Data'!$A:$A, $A7, 'Raw Data'!$C:$C, $C$3),""))</f>
        <v>0.6683</v>
      </c>
      <c r="AE7" s="93">
        <f t="shared" ref="AE7:AE25" si="10">IF($A7="","",IFERROR((AD7-AC7)/ABS(AC7),""))</f>
        <v>-0.0002991772625</v>
      </c>
      <c r="AF7" s="91">
        <f>IF($A7="","",IFERROR(SUMPRODUCT(('Raw Data'!$B$2:$B$9999="Control")*('Raw Data'!$A$2:$A$9999=$A7)*('Raw Data'!$C$2:$C$9999=$C$3)*'Raw Data'!$D$2:$D$9999*'Raw Data'!$N$2:$N$9999)/SUMIFS('Raw Data'!$D:$D, 'Raw Data'!$B:$B, "Control", 'Raw Data'!$A:$A, $A7, 'Raw Data'!$C:$C, $C$3),""))</f>
        <v>0.5043</v>
      </c>
      <c r="AG7" s="91">
        <f>IF($A7="","",IFERROR(SUMPRODUCT(('Raw Data'!$B$2:$B$9999="Variant")*('Raw Data'!$A$2:$A$9999=$A7)*('Raw Data'!$C$2:$C$9999=$C$3)*'Raw Data'!$D$2:$D$9999*'Raw Data'!$N$2:$N$9999)/SUMIFS('Raw Data'!$D:$D, 'Raw Data'!$B:$B, "Variant", 'Raw Data'!$A:$A, $A7, 'Raw Data'!$C:$C, $C$3),""))</f>
        <v>0.5009</v>
      </c>
      <c r="AH7" s="93">
        <f t="shared" ref="AH7:AH25" si="11">IF($A7="","",IFERROR((AG7-AF7)/ABS(AF7),""))</f>
        <v>-0.00674201864</v>
      </c>
      <c r="AI7" s="91">
        <f>IF($A7="","",IFERROR(SUMPRODUCT(('Raw Data'!$B$2:$B$9999="Control")*('Raw Data'!$A$2:$A$9999=$A7)*('Raw Data'!$C$2:$C$9999=$C$3)*'Raw Data'!$D$2:$D$9999*'Raw Data'!$O$2:$O$9999)/SUMIFS('Raw Data'!$D:$D, 'Raw Data'!$B:$B, "Control", 'Raw Data'!$A:$A, $A7, 'Raw Data'!$C:$C, $C$3),""))</f>
        <v>0.3466</v>
      </c>
      <c r="AJ7" s="91">
        <f>IF($A7="","",IFERROR(SUMPRODUCT(('Raw Data'!$B$2:$B$9999="Variant")*('Raw Data'!$A$2:$A$9999=$A7)*('Raw Data'!$C$2:$C$9999=$C$3)*'Raw Data'!$D$2:$D$9999*'Raw Data'!$O$2:$O$9999)/SUMIFS('Raw Data'!$D:$D, 'Raw Data'!$B:$B, "Variant", 'Raw Data'!$A:$A, $A7, 'Raw Data'!$C:$C, $C$3),""))</f>
        <v>0.3352</v>
      </c>
      <c r="AK7" s="86">
        <f t="shared" ref="AK7:AK25" si="12">IF($A7="","",IFERROR((AJ7-AI7)/ABS(AI7),""))</f>
        <v>-0.03289094057</v>
      </c>
      <c r="AL7" s="90">
        <f>IF($A7="","",IFERROR(SUMPRODUCT(('Raw Data'!$B$2:$B$9999="Control")*('Raw Data'!$A$2:$A$9999=$A7)*('Raw Data'!$C$2:$C$9999=$C$3)*'Raw Data'!$D$2:$D$9999*'Raw Data'!$P$2:$P$9999)/SUMIFS('Raw Data'!$D:$D, 'Raw Data'!$B:$B, "Control", 'Raw Data'!$A:$A, $A7, 'Raw Data'!$C:$C, $C$3),""))</f>
        <v>1.4959</v>
      </c>
      <c r="AM7" s="90">
        <f>IF($A7="","",IFERROR(SUMPRODUCT(('Raw Data'!$B$2:$B$9999="Variant")*('Raw Data'!$A$2:$A$9999=$A7)*('Raw Data'!$C$2:$C$9999=$C$3)*'Raw Data'!$D$2:$D$9999*'Raw Data'!$P$2:$P$9999)/SUMIFS('Raw Data'!$D:$D, 'Raw Data'!$B:$B, "Variant", 'Raw Data'!$A:$A, $A7, 'Raw Data'!$C:$C, $C$3),""))</f>
        <v>1.4962</v>
      </c>
      <c r="AN7" s="86">
        <f t="shared" ref="AN7:AN25" si="13">IF($A7="","",IFERROR((AM7-AL7)/ABS(AL7),""))</f>
        <v>0.000200548165</v>
      </c>
      <c r="AO7" s="90">
        <f>IF($A7="","",IFERROR(SUMPRODUCT(('Raw Data'!$B$2:$B$9999="Control")*('Raw Data'!$A$2:$A$9999=$A7)*('Raw Data'!$C$2:$C$9999=$C$3)*'Raw Data'!$D$2:$D$9999*'Raw Data'!$Q$2:$Q$9999)/SUMIFS('Raw Data'!$D:$D, 'Raw Data'!$B:$B, "Control", 'Raw Data'!$A:$A, $A7, 'Raw Data'!$C:$C, $C$3),""))</f>
        <v>244.37</v>
      </c>
      <c r="AP7" s="90">
        <f>IF($A7="","",IFERROR(SUMPRODUCT(('Raw Data'!$B$2:$B$9999="Variant")*('Raw Data'!$A$2:$A$9999=$A7)*('Raw Data'!$C$2:$C$9999=$C$3)*'Raw Data'!$D$2:$D$9999*'Raw Data'!$Q$2:$Q$9999)/SUMIFS('Raw Data'!$D:$D, 'Raw Data'!$B:$B, "Variant", 'Raw Data'!$A:$A, $A7, 'Raw Data'!$C:$C, $C$3),""))</f>
        <v>273.88</v>
      </c>
      <c r="AQ7" s="77">
        <f t="shared" ref="AQ7:AQ25" si="14">IF($A7="","",IFERROR((AP7-AO7)/ABS(AO7),""))</f>
        <v>0.120759504</v>
      </c>
      <c r="AR7" s="90">
        <f>IF($A7="","",IFERROR(SUMPRODUCT(('Raw Data'!$B$2:$B$9999="Control")*('Raw Data'!$A$2:$A$9999=$A7)*('Raw Data'!$C$2:$C$9999=$C$3)*'Raw Data'!$D$2:$D$9999*'Raw Data'!$R$2:$R$9999)/SUMIFS('Raw Data'!$D:$D, 'Raw Data'!$B:$B, "Control", 'Raw Data'!$A:$A, $A7, 'Raw Data'!$C:$C, $C$3),""))</f>
        <v>205.79</v>
      </c>
      <c r="AS7" s="90">
        <f>IF($A7="","",IFERROR(SUMPRODUCT(('Raw Data'!$B$2:$B$9999="Variant")*('Raw Data'!$A$2:$A$9999=$A7)*('Raw Data'!$C$2:$C$9999=$C$3)*'Raw Data'!$D$2:$D$9999*'Raw Data'!$R$2:$R$9999)/SUMIFS('Raw Data'!$D:$D, 'Raw Data'!$B:$B, "Variant", 'Raw Data'!$A:$A, $A7, 'Raw Data'!$C:$C, $C$3),""))</f>
        <v>255.65</v>
      </c>
      <c r="AT7" s="77">
        <f t="shared" ref="AT7:AT25" si="15">IF($A7="","",IFERROR((AS7-AR7)/ABS(AR7),""))</f>
        <v>0.2422858254</v>
      </c>
      <c r="AU7" s="90">
        <f>IF($A7="","",IFERROR(SUMPRODUCT(('Raw Data'!$B$2:$B$9999="Control")*('Raw Data'!$A$2:$A$9999=$A7)*('Raw Data'!$C$2:$C$9999=$C$3)*'Raw Data'!$D$2:$D$9999*'Raw Data'!$S$2:$S$9999)/SUMIFS('Raw Data'!$D:$D, 'Raw Data'!$B:$B, "Control", 'Raw Data'!$A:$A, $A7, 'Raw Data'!$C:$C, $C$3),""))</f>
        <v>38.58</v>
      </c>
      <c r="AV7" s="90">
        <f>IF($A7="","",IFERROR(SUMPRODUCT(('Raw Data'!$B$2:$B$9999="Variant")*('Raw Data'!$A$2:$A$9999=$A7)*('Raw Data'!$C$2:$C$9999=$C$3)*'Raw Data'!$D$2:$D$9999*'Raw Data'!$S$2:$S$9999)/SUMIFS('Raw Data'!$D:$D, 'Raw Data'!$B:$B, "Variant", 'Raw Data'!$A:$A, $A7, 'Raw Data'!$C:$C, $C$3),""))</f>
        <v>18.23</v>
      </c>
      <c r="AW7" s="77">
        <f t="shared" ref="AW7:AW25" si="16">IF($A7="","",IFERROR((AV7-AU7)/ABS(AU7),""))</f>
        <v>-0.5274753758</v>
      </c>
      <c r="AX7" s="90">
        <f>IF($A7="","",IFERROR(SUMPRODUCT(('Raw Data'!$B$2:$B$9999="Control")*('Raw Data'!$A$2:$A$9999=$A7)*('Raw Data'!$C$2:$C$9999=$C$3)*'Raw Data'!$D$2:$D$9999*'Raw Data'!$T$2:$T$9999)/SUMIFS('Raw Data'!$D:$D, 'Raw Data'!$B:$B, "Control", 'Raw Data'!$A:$A, $A7, 'Raw Data'!$C:$C, $C$3),""))</f>
        <v>26.04</v>
      </c>
      <c r="AY7" s="90">
        <f>IF($A7="","",IFERROR(SUMPRODUCT(('Raw Data'!$B$2:$B$9999="Variant")*('Raw Data'!$A$2:$A$9999=$A7)*('Raw Data'!$C$2:$C$9999=$C$3)*'Raw Data'!$D$2:$D$9999*'Raw Data'!$T$2:$T$9999)/SUMIFS('Raw Data'!$D:$D, 'Raw Data'!$B:$B, "Variant", 'Raw Data'!$A:$A, $A7, 'Raw Data'!$C:$C, $C$3),""))</f>
        <v>21.99</v>
      </c>
      <c r="AZ7" s="86">
        <f t="shared" ref="AZ7:AZ25" si="17">IF($A7="","",IFERROR((AY7-AX7)/ABS(AX7),""))</f>
        <v>-0.1555299539</v>
      </c>
      <c r="BA7" s="90">
        <f>IF($A7="","",IFERROR(SUMPRODUCT(('Raw Data'!$B$2:$B$9999="Control")*('Raw Data'!$A$2:$A$9999=$A7)*('Raw Data'!$C$2:$C$9999=$C$3)*'Raw Data'!$D$2:$D$9999*'Raw Data'!$U$2:$U$9999)/SUMIFS('Raw Data'!$D:$D, 'Raw Data'!$B:$B, "Control", 'Raw Data'!$A:$A, $A7, 'Raw Data'!$C:$C, $C$3),""))</f>
        <v>218.33</v>
      </c>
      <c r="BB7" s="90">
        <f>IF($A7="","",IFERROR(SUMPRODUCT(('Raw Data'!$B$2:$B$9999="Variant")*('Raw Data'!$A$2:$A$9999=$A7)*('Raw Data'!$C$2:$C$9999=$C$3)*'Raw Data'!$D$2:$D$9999*'Raw Data'!$U$2:$U$9999)/SUMIFS('Raw Data'!$D:$D, 'Raw Data'!$B:$B, "Variant", 'Raw Data'!$A:$A, $A7, 'Raw Data'!$C:$C, $C$3),""))</f>
        <v>251.89</v>
      </c>
      <c r="BC7" s="77">
        <f t="shared" ref="BC7:BC25" si="18">IF($A7="","",IFERROR((BB7-BA7)/ABS(BA7),""))</f>
        <v>0.1537122704</v>
      </c>
      <c r="BD7" s="90">
        <f>IF($A7="","",IFERROR(SUMPRODUCT(('Raw Data'!$B$2:$B$9999="Control")*('Raw Data'!$A$2:$A$9999=$A7)*('Raw Data'!$C$2:$C$9999=$C$3)*'Raw Data'!$D$2:$D$9999*'Raw Data'!$V$2:$V$9999)/SUMIFS('Raw Data'!$D:$D, 'Raw Data'!$B:$B, "Control", 'Raw Data'!$A:$A, $A7, 'Raw Data'!$C:$C, $C$3),""))</f>
        <v>228.63</v>
      </c>
      <c r="BE7" s="90">
        <f>IF($A7="","",IFERROR(SUMPRODUCT(('Raw Data'!$B$2:$B$9999="Variant")*('Raw Data'!$A$2:$A$9999=$A7)*('Raw Data'!$C$2:$C$9999=$C$3)*'Raw Data'!$D$2:$D$9999*'Raw Data'!$V$2:$V$9999)/SUMIFS('Raw Data'!$D:$D, 'Raw Data'!$B:$B, "Variant", 'Raw Data'!$A:$A, $A7, 'Raw Data'!$C:$C, $C$3),""))</f>
        <v>240.46</v>
      </c>
      <c r="BF7" s="77">
        <f t="shared" ref="BF7:BF25" si="19">IF($A7="","",IFERROR((BE7-BD7)/ABS(BD7),""))</f>
        <v>0.05174299086</v>
      </c>
      <c r="BG7" s="90">
        <f>IF($A7="","",IFERROR(SUMPRODUCT(('Raw Data'!$B$2:$B$9999="Control")*('Raw Data'!$A$2:$A$9999=$A7)*('Raw Data'!$C$2:$C$9999=$C$3)*'Raw Data'!$D$2:$D$9999*('Raw Data'!$Q$2:$Q$9999-'Raw Data'!$V$2:$V$9999))/SUMIFS('Raw Data'!$D:$D, 'Raw Data'!$B:$B, "Control", 'Raw Data'!$A:$A, $A7, 'Raw Data'!$C:$C, $C$3),""))</f>
        <v>15.74</v>
      </c>
      <c r="BH7" s="90">
        <f>IF($A7="","",IFERROR(SUMPRODUCT(('Raw Data'!$B$2:$B$9999="Variant")*('Raw Data'!$A$2:$A$9999=$A7)*('Raw Data'!$C$2:$C$9999=$C$3)*'Raw Data'!$D$2:$D$9999*('Raw Data'!$Q$2:$Q$9999-'Raw Data'!$V$2:$V$9999))/SUMIFS('Raw Data'!$D:$D, 'Raw Data'!$B:$B, "Variant", 'Raw Data'!$A:$A, $A7, 'Raw Data'!$C:$C, $C$3),""))</f>
        <v>33.42</v>
      </c>
      <c r="BI7" s="77">
        <f t="shared" ref="BI7:BI25" si="20">IF($A7="","",IFERROR((BH7-BG7)/ABS(BG7),""))</f>
        <v>1.123252859</v>
      </c>
      <c r="BJ7" s="90">
        <f>IF($A7="","",IFERROR(SUMPRODUCT(('Raw Data'!$B$2:$B$9999="Control")*('Raw Data'!$A$2:$A$9999=$A7)*('Raw Data'!$C$2:$C$9999=$C$3)*'Raw Data'!$D$2:$D$9999*'Raw Data'!$W$2:$W$9999)/SUMIFS('Raw Data'!$D:$D, 'Raw Data'!$B:$B, "Control", 'Raw Data'!$A:$A, $A7, 'Raw Data'!$C:$C, $C$3),""))</f>
        <v>5.0397</v>
      </c>
      <c r="BK7" s="90">
        <f>IF($A7="","",IFERROR(SUMPRODUCT(('Raw Data'!$B$2:$B$9999="Variant")*('Raw Data'!$A$2:$A$9999=$A7)*('Raw Data'!$C$2:$C$9999=$C$3)*'Raw Data'!$D$2:$D$9999*'Raw Data'!$W$2:$W$9999)/SUMIFS('Raw Data'!$D:$D, 'Raw Data'!$B:$B, "Variant", 'Raw Data'!$A:$A, $A7, 'Raw Data'!$C:$C, $C$3),""))</f>
        <v>4.755</v>
      </c>
      <c r="BL7" s="77">
        <f t="shared" ref="BL7:BL25" si="21">IF($A7="","",IFERROR((BK7-BJ7)/ABS(BJ7),""))</f>
        <v>-0.05649145782</v>
      </c>
      <c r="BM7" s="91">
        <f>IF($A7="","",IFERROR(SUMPRODUCT(('Raw Data'!$B$2:$B$9999="Control")*('Raw Data'!$A$2:$A$9999=$A7)*('Raw Data'!$C$2:$C$9999=$C$3)*'Raw Data'!$D$2:$D$9999*'Raw Data'!$X$2:$X$9999)/SUMIFS('Raw Data'!$D:$D, 'Raw Data'!$B:$B, "Control", 'Raw Data'!$A:$A, $A7, 'Raw Data'!$C:$C, $C$3),""))</f>
        <v>10.66</v>
      </c>
      <c r="BN7" s="91">
        <f>IF($A7="","",IFERROR(SUMPRODUCT(('Raw Data'!$B$2:$B$9999="Variant")*('Raw Data'!$A$2:$A$9999=$A7)*('Raw Data'!$C$2:$C$9999=$C$3)*'Raw Data'!$D$2:$D$9999*'Raw Data'!$X$2:$X$9999)/SUMIFS('Raw Data'!$D:$D, 'Raw Data'!$B:$B, "Variant", 'Raw Data'!$A:$A, $A7, 'Raw Data'!$C:$C, $C$3),""))</f>
        <v>8.03</v>
      </c>
      <c r="BO7" s="86">
        <f t="shared" ref="BO7:BO25" si="22">IF($A7="","",IFERROR((BN7-BM7)/ABS(BM7),""))</f>
        <v>-0.2467166979</v>
      </c>
      <c r="BP7" s="76">
        <f>IF($A7="","",IFERROR(SUMPRODUCT(('Raw Data'!$B$2:$B$9999="Control")*('Raw Data'!$A$2:$A$9999=$A7)*('Raw Data'!$C$2:$C$9999=$C$3)*'Raw Data'!$D$2:$D$9999*'Raw Data'!$Y$2:$Y$9999)/SUMIFS('Raw Data'!$D:$D, 'Raw Data'!$B:$B, "Control", 'Raw Data'!$A:$A, $A7, 'Raw Data'!$C:$C, $C$3),""))</f>
        <v>118</v>
      </c>
      <c r="BQ7" s="76">
        <f>IF($A7="","",IFERROR(SUMPRODUCT(('Raw Data'!$B$2:$B$9999="Variant")*('Raw Data'!$A$2:$A$9999=$A7)*('Raw Data'!$C$2:$C$9999=$C$3)*'Raw Data'!$D$2:$D$9999*'Raw Data'!$Y$2:$Y$9999)/SUMIFS('Raw Data'!$D:$D, 'Raw Data'!$B:$B, "Variant", 'Raw Data'!$A:$A, $A7, 'Raw Data'!$C:$C, $C$3),""))</f>
        <v>130</v>
      </c>
      <c r="BR7" s="77">
        <f t="shared" ref="BR7:BR25" si="23">IF($A7="","",IFERROR((BQ7-BP7)/ABS(BP7),""))</f>
        <v>0.1016949153</v>
      </c>
      <c r="BS7" s="76">
        <f>IF($A7="","",IFERROR(SUMPRODUCT(('Raw Data'!$B$2:$B$9999="Control")*('Raw Data'!$A$2:$A$9999=$A7)*('Raw Data'!$C$2:$C$9999=$C$3)*'Raw Data'!$D$2:$D$9999*'Raw Data'!$Z$2:$Z$9999)/SUMIFS('Raw Data'!$D:$D, 'Raw Data'!$B:$B, "Control", 'Raw Data'!$A:$A, $A7, 'Raw Data'!$C:$C, $C$3),""))</f>
        <v>576</v>
      </c>
      <c r="BT7" s="76">
        <f>IF($A7="","",IFERROR(SUMPRODUCT(('Raw Data'!$B$2:$B$9999="Variant")*('Raw Data'!$A$2:$A$9999=$A7)*('Raw Data'!$C$2:$C$9999=$C$3)*'Raw Data'!$D$2:$D$9999*'Raw Data'!$Z$2:$Z$9999)/SUMIFS('Raw Data'!$D:$D, 'Raw Data'!$B:$B, "Variant", 'Raw Data'!$A:$A, $A7, 'Raw Data'!$C:$C, $C$3),""))</f>
        <v>567</v>
      </c>
      <c r="BU7" s="77">
        <f t="shared" ref="BU7:BU25" si="24">IF($A7="","",IFERROR((BT7-BS7)/ABS(BS7),""))</f>
        <v>-0.015625</v>
      </c>
      <c r="BV7" s="76">
        <f>IF($A7="","",IFERROR(SUMPRODUCT(('Raw Data'!$B$2:$B$9999="Control")*('Raw Data'!$A$2:$A$9999=$A7)*('Raw Data'!$C$2:$C$9999=$C$3)*'Raw Data'!$D$2:$D$9999*'Raw Data'!$AA$2:$AA$9999)/SUMIFS('Raw Data'!$D:$D, 'Raw Data'!$B:$B, "Control", 'Raw Data'!$A:$A, $A7, 'Raw Data'!$C:$C, $C$3),""))</f>
        <v>4639</v>
      </c>
      <c r="BW7" s="76">
        <f>IF($A7="","",IFERROR(SUMPRODUCT(('Raw Data'!$B$2:$B$9999="Variant")*('Raw Data'!$A$2:$A$9999=$A7)*('Raw Data'!$C$2:$C$9999=$C$3)*'Raw Data'!$D$2:$D$9999*'Raw Data'!$AA$2:$AA$9999)/SUMIFS('Raw Data'!$D:$D, 'Raw Data'!$B:$B, "Variant", 'Raw Data'!$A:$A, $A7, 'Raw Data'!$C:$C, $C$3),""))</f>
        <v>4989</v>
      </c>
      <c r="BX7" s="77">
        <f t="shared" ref="BX7:BX25" si="25">IF($A7="","",IFERROR((BW7-BV7)/ABS(BV7),""))</f>
        <v>0.07544729468</v>
      </c>
      <c r="BY7" s="90">
        <f>IF($A7="","",IFERROR(SUMPRODUCT(('Raw Data'!$B$2:$B$9999="Control")*('Raw Data'!$A$2:$A$9999=$A7)*('Raw Data'!$C$2:$C$9999=$C$3)*'Raw Data'!$D$2:$D$9999*'Raw Data'!$AB$2:$AB$9999)/SUMIFS('Raw Data'!$D:$D, 'Raw Data'!$B:$B, "Control", 'Raw Data'!$A:$A, $A7, 'Raw Data'!$C:$C, $C$3),""))</f>
        <v>55.136</v>
      </c>
      <c r="BZ7" s="90">
        <f>IF($A7="","",IFERROR(SUMPRODUCT(('Raw Data'!$B$2:$B$9999="Variant")*('Raw Data'!$A$2:$A$9999=$A7)*('Raw Data'!$C$2:$C$9999=$C$3)*'Raw Data'!$D$2:$D$9999*'Raw Data'!$AB$2:$AB$9999)/SUMIFS('Raw Data'!$D:$D, 'Raw Data'!$B:$B, "Variant", 'Raw Data'!$A:$A, $A7, 'Raw Data'!$C:$C, $C$3),""))</f>
        <v>55.0921</v>
      </c>
      <c r="CA7" s="86">
        <f t="shared" ref="CA7:CA25" si="26">IF($A7="","",IFERROR((BZ7-BY7)/ABS(BY7),""))</f>
        <v>-0.0007962130006</v>
      </c>
      <c r="CB7" s="90">
        <f>IF($A7="","",IFERROR(SUMPRODUCT(('Raw Data'!$B$2:$B$9999="Control")*('Raw Data'!$A$2:$A$9999=$A7)*('Raw Data'!$C$2:$C$9999=$C$3)*'Raw Data'!$D$2:$D$9999*'Raw Data'!$AC$2:$AC$9999)/SUMIFS('Raw Data'!$D:$D, 'Raw Data'!$B:$B, "Control", 'Raw Data'!$A:$A, $A7, 'Raw Data'!$C:$C, $C$3),""))</f>
        <v>0.6499</v>
      </c>
      <c r="CC7" s="90">
        <f>IF($A7="","",IFERROR(SUMPRODUCT(('Raw Data'!$B$2:$B$9999="Variant")*('Raw Data'!$A$2:$A$9999=$A7)*('Raw Data'!$C$2:$C$9999=$C$3)*'Raw Data'!$D$2:$D$9999*'Raw Data'!$AC$2:$AC$9999)/SUMIFS('Raw Data'!$D:$D, 'Raw Data'!$B:$B, "Variant", 'Raw Data'!$A:$A, $A7, 'Raw Data'!$C:$C, $C$3),""))</f>
        <v>0.629</v>
      </c>
      <c r="CD7" s="86">
        <f t="shared" ref="CD7:CD25" si="27">IF($A7="","",IFERROR((CC7-CB7)/ABS(CB7),""))</f>
        <v>-0.03215879366</v>
      </c>
      <c r="CE7" s="90">
        <f>IF($A7="","",IFERROR(SUMPRODUCT(('Raw Data'!$B$2:$B$9999="Control")*('Raw Data'!$A$2:$A$9999=$A7)*('Raw Data'!$C$2:$C$9999=$C$3)*'Raw Data'!$D$2:$D$9999*'Raw Data'!$AD$2:$AD$9999)/SUMIFS('Raw Data'!$D:$D, 'Raw Data'!$B:$B, "Control", 'Raw Data'!$A:$A, $A7, 'Raw Data'!$C:$C, $C$3),""))</f>
        <v>18.06</v>
      </c>
      <c r="CF7" s="90">
        <f>IF($A7="","",IFERROR(SUMPRODUCT(('Raw Data'!$B$2:$B$9999="Variant")*('Raw Data'!$A$2:$A$9999=$A7)*('Raw Data'!$C$2:$C$9999=$C$3)*'Raw Data'!$D$2:$D$9999*'Raw Data'!$AD$2:$AD$9999)/SUMIFS('Raw Data'!$D:$D, 'Raw Data'!$B:$B, "Variant", 'Raw Data'!$A:$A, $A7, 'Raw Data'!$C:$C, $C$3),""))</f>
        <v>19.32</v>
      </c>
      <c r="CG7" s="86">
        <f t="shared" ref="CG7:CG25" si="28">IF($A7="","",IFERROR((CF7-CE7)/ABS(CE7),""))</f>
        <v>0.06976744186</v>
      </c>
      <c r="CH7" s="90">
        <f>IF($A7="","",IFERROR(SUMPRODUCT(('Raw Data'!$B$2:$B$9999="Control")*('Raw Data'!$A$2:$A$9999=$A7)*('Raw Data'!$C$2:$C$9999=$C$3)*'Raw Data'!$D$2:$D$9999*'Raw Data'!$AE$2:$AE$9999)/SUMIFS('Raw Data'!$D:$D, 'Raw Data'!$B:$B, "Control", 'Raw Data'!$A:$A, $A7, 'Raw Data'!$C:$C, $C$3),""))</f>
        <v>8</v>
      </c>
      <c r="CI7" s="90">
        <f>IF($A7="","",IFERROR(SUMPRODUCT(('Raw Data'!$B$2:$B$9999="Variant")*('Raw Data'!$A$2:$A$9999=$A7)*('Raw Data'!$C$2:$C$9999=$C$3)*'Raw Data'!$D$2:$D$9999*'Raw Data'!$AE$2:$AE$9999)/SUMIFS('Raw Data'!$D:$D, 'Raw Data'!$B:$B, "Variant", 'Raw Data'!$A:$A, $A7, 'Raw Data'!$C:$C, $C$3),""))</f>
        <v>8</v>
      </c>
      <c r="CJ7" s="86">
        <f t="shared" ref="CJ7:CJ25" si="29">IF($A7="","",IFERROR((CI7-CH7)/ABS(CH7),""))</f>
        <v>0</v>
      </c>
      <c r="CK7" s="90">
        <f>IF($A7="","",IFERROR(SUMPRODUCT(('Raw Data'!$B$2:$B$9999="Control")*('Raw Data'!$A$2:$A$9999=$A7)*('Raw Data'!$C$2:$C$9999=$C$3)*'Raw Data'!$D$2:$D$9999*'Raw Data'!$AF$2:$AF$9999)/SUMIFS('Raw Data'!$D:$D, 'Raw Data'!$B:$B, "Control", 'Raw Data'!$A:$A, $A7, 'Raw Data'!$C:$C, $C$3),""))</f>
        <v>14</v>
      </c>
      <c r="CL7" s="90">
        <f>IF($A7="","",IFERROR(SUMPRODUCT(('Raw Data'!$B$2:$B$9999="Variant")*('Raw Data'!$A$2:$A$9999=$A7)*('Raw Data'!$C$2:$C$9999=$C$3)*'Raw Data'!$D$2:$D$9999*'Raw Data'!$AF$2:$AF$9999)/SUMIFS('Raw Data'!$D:$D, 'Raw Data'!$B:$B, "Variant", 'Raw Data'!$A:$A, $A7, 'Raw Data'!$C:$C, $C$3),""))</f>
        <v>15</v>
      </c>
      <c r="CM7" s="86">
        <f t="shared" ref="CM7:CM25" si="30">IF($A7="","",IFERROR((CL7-CK7)/ABS(CK7),""))</f>
        <v>0.07142857143</v>
      </c>
      <c r="CN7" s="90">
        <f>IF($A7="","",IFERROR(SUMPRODUCT(('Raw Data'!$B$2:$B$9999="Control")*('Raw Data'!$A$2:$A$9999=$A7)*('Raw Data'!$C$2:$C$9999=$C$3)*'Raw Data'!$D$2:$D$9999*'Raw Data'!$AG$2:$AG$9999)/SUMIFS('Raw Data'!$D:$D, 'Raw Data'!$B:$B, "Control", 'Raw Data'!$A:$A, $A7, 'Raw Data'!$C:$C, $C$3),""))</f>
        <v>25</v>
      </c>
      <c r="CO7" s="90">
        <f>IF($A7="","",IFERROR(SUMPRODUCT(('Raw Data'!$B$2:$B$9999="Variant")*('Raw Data'!$A$2:$A$9999=$A7)*('Raw Data'!$C$2:$C$9999=$C$3)*'Raw Data'!$D$2:$D$9999*'Raw Data'!$AG$2:$AG$9999)/SUMIFS('Raw Data'!$D:$D, 'Raw Data'!$B:$B, "Variant", 'Raw Data'!$A:$A, $A7, 'Raw Data'!$C:$C, $C$3),""))</f>
        <v>27</v>
      </c>
      <c r="CP7" s="86">
        <f t="shared" ref="CP7:CP25" si="31">IF($A7="","",IFERROR((CO7-CN7)/ABS(CN7),""))</f>
        <v>0.08</v>
      </c>
      <c r="CQ7" s="90">
        <f>IF($A7="","",IFERROR(SUMPRODUCT(('Raw Data'!$B$2:$B$9999="Control")*('Raw Data'!$A$2:$A$9999=$A7)*('Raw Data'!$C$2:$C$9999=$C$3)*'Raw Data'!$D$2:$D$9999*'Raw Data'!$AH$2:$AH$9999)/SUMIFS('Raw Data'!$D:$D, 'Raw Data'!$B:$B, "Control", 'Raw Data'!$A:$A, $A7, 'Raw Data'!$C:$C, $C$3),""))</f>
        <v>37</v>
      </c>
      <c r="CR7" s="90">
        <f>IF($A7="","",IFERROR(SUMPRODUCT(('Raw Data'!$B$2:$B$9999="Variant")*('Raw Data'!$A$2:$A$9999=$A7)*('Raw Data'!$C$2:$C$9999=$C$3)*'Raw Data'!$D$2:$D$9999*'Raw Data'!$AH$2:$AH$9999)/SUMIFS('Raw Data'!$D:$D, 'Raw Data'!$B:$B, "Variant", 'Raw Data'!$A:$A, $A7, 'Raw Data'!$C:$C, $C$3),""))</f>
        <v>40</v>
      </c>
      <c r="CS7" s="86">
        <f t="shared" ref="CS7:CS25" si="32">IF($A7="","",IFERROR((CR7-CQ7)/ABS(CQ7),""))</f>
        <v>0.08108108108</v>
      </c>
      <c r="CT7" s="79">
        <f>IF($A7="","",IFERROR(SUMPRODUCT(('Raw Data'!$B$2:$B$9999="Control")*('Raw Data'!$A$2:$A$9999=$A7)*('Raw Data'!$C$2:$C$9999=$C$3)*'Raw Data'!$D$2:$D$9999*'Raw Data'!$AI$2:$AI$9999)/SUMIFS('Raw Data'!$D:$D, 'Raw Data'!$B:$B, "Control", 'Raw Data'!$A:$A, $A7, 'Raw Data'!$C:$C, $C$3),""))</f>
        <v>62.72</v>
      </c>
      <c r="CU7" s="79">
        <f>IF($A7="","",IFERROR(SUMPRODUCT(('Raw Data'!$B$2:$B$9999="Variant")*('Raw Data'!$A$2:$A$9999=$A7)*('Raw Data'!$C$2:$C$9999=$C$3)*'Raw Data'!$D$2:$D$9999*'Raw Data'!$AI$2:$AI$9999)/SUMIFS('Raw Data'!$D:$D, 'Raw Data'!$B:$B, "Variant", 'Raw Data'!$A:$A, $A7, 'Raw Data'!$C:$C, $C$3),""))</f>
        <v>65.58</v>
      </c>
      <c r="CV7" s="93">
        <f t="shared" ref="CV7:CV25" si="33">IF($A7="","",IFERROR((CU7-CT7)/ABS(CT7),""))</f>
        <v>0.0455994898</v>
      </c>
      <c r="CW7" s="79">
        <f>IF($A7="","",IFERROR(SUMPRODUCT(('Raw Data'!$B$2:$B$9999="Control")*('Raw Data'!$A$2:$A$9999=$A7)*('Raw Data'!$C$2:$C$9999=$C$3)*'Raw Data'!$D$2:$D$9999*'Raw Data'!$AJ$2:$AJ$9999)/SUMIFS('Raw Data'!$D:$D, 'Raw Data'!$B:$B, "Control", 'Raw Data'!$A:$A, $A7, 'Raw Data'!$C:$C, $C$3),""))</f>
        <v>23.74</v>
      </c>
      <c r="CX7" s="79">
        <f>IF($A7="","",IFERROR(SUMPRODUCT(('Raw Data'!$B$2:$B$9999="Variant")*('Raw Data'!$A$2:$A$9999=$A7)*('Raw Data'!$C$2:$C$9999=$C$3)*'Raw Data'!$D$2:$D$9999*'Raw Data'!$AJ$2:$AJ$9999)/SUMIFS('Raw Data'!$D:$D, 'Raw Data'!$B:$B, "Variant", 'Raw Data'!$A:$A, $A7, 'Raw Data'!$C:$C, $C$3),""))</f>
        <v>27.51</v>
      </c>
      <c r="CY7" s="93">
        <f t="shared" ref="CY7:CY25" si="34">IF($A7="","",IFERROR((CX7-CW7)/ABS(CW7),""))</f>
        <v>0.1588037068</v>
      </c>
      <c r="CZ7" s="79">
        <f>IF($A7="","",IFERROR(SUMPRODUCT(('Raw Data'!$B$2:$B$9999="Control")*('Raw Data'!$A$2:$A$9999=$A7)*('Raw Data'!$C$2:$C$9999=$C$3)*'Raw Data'!$D$2:$D$9999*'Raw Data'!$AK$2:$AK$9999)/SUMIFS('Raw Data'!$D:$D, 'Raw Data'!$B:$B, "Control", 'Raw Data'!$A:$A, $A7, 'Raw Data'!$C:$C, $C$3),""))</f>
        <v>6.14</v>
      </c>
      <c r="DA7" s="79">
        <f>IF($A7="","",IFERROR(SUMPRODUCT(('Raw Data'!$B$2:$B$9999="Variant")*('Raw Data'!$A$2:$A$9999=$A7)*('Raw Data'!$C$2:$C$9999=$C$3)*'Raw Data'!$D$2:$D$9999*'Raw Data'!$AK$2:$AK$9999)/SUMIFS('Raw Data'!$D:$D, 'Raw Data'!$B:$B, "Variant", 'Raw Data'!$A:$A, $A7, 'Raw Data'!$C:$C, $C$3),""))</f>
        <v>6.88</v>
      </c>
      <c r="DB7" s="86">
        <f t="shared" ref="DB7:DB25" si="35">IF($A7="","",IFERROR((DA7-CZ7)/ABS(CZ7),""))</f>
        <v>0.1205211726</v>
      </c>
      <c r="DC7" s="91">
        <f>IF($A7="","",IFERROR(SUMPRODUCT(('Raw Data'!$B$2:$B$9999="Control")*('Raw Data'!$A$2:$A$9999=$A7)*('Raw Data'!$C$2:$C$9999=$C$3)*'Raw Data'!$D$2:$D$9999*'Raw Data'!$AL$2:$AL$9999)/SUMIFS('Raw Data'!$D:$D, 'Raw Data'!$B:$B, "Control", 'Raw Data'!$A:$A, $A7, 'Raw Data'!$C:$C, $C$3),""))</f>
        <v>0.1587</v>
      </c>
      <c r="DD7" s="91">
        <f>IF($A7="","",IFERROR(SUMPRODUCT(('Raw Data'!$B$2:$B$9999="Variant")*('Raw Data'!$A$2:$A$9999=$A7)*('Raw Data'!$C$2:$C$9999=$C$3)*'Raw Data'!$D$2:$D$9999*'Raw Data'!$AL$2:$AL$9999)/SUMIFS('Raw Data'!$D:$D, 'Raw Data'!$B:$B, "Variant", 'Raw Data'!$A:$A, $A7, 'Raw Data'!$C:$C, $C$3),""))</f>
        <v>0.1567</v>
      </c>
      <c r="DE7" s="93">
        <f t="shared" ref="DE7:DE25" si="36">IF($A7="","",IFERROR((DD7-DC7)/ABS(DC7),""))</f>
        <v>-0.01260239445</v>
      </c>
      <c r="DF7" s="107"/>
      <c r="DG7" s="79">
        <f>IF($A7="","",IFERROR(SUMPRODUCT(('Raw Data'!$B$2:$B$9999="Variant")*('Raw Data'!$A$2:$A$9999=$A7)*('Raw Data'!$C$2:$C$9999=$C$3)*'Raw Data'!$D$2:$D$9999*'Raw Data'!$AM$2:$AM$9999)/SUMIFS('Raw Data'!$D:$D, 'Raw Data'!$B:$B, "Variant", 'Raw Data'!$A:$A, $A7, 'Raw Data'!$C:$C, $C$3),""))</f>
        <v>62.75</v>
      </c>
      <c r="DH7" s="108"/>
      <c r="DI7" s="107"/>
      <c r="DJ7" s="79">
        <f>IF($A7="","",IFERROR(SUMPRODUCT(('Raw Data'!$B$2:$B$9999="Variant")*('Raw Data'!$A$2:$A$9999=$A7)*('Raw Data'!$C$2:$C$9999=$C$3)*'Raw Data'!$D$2:$D$9999*'Raw Data'!$AN$2:$AN$9999)/SUMIFS('Raw Data'!$D:$D, 'Raw Data'!$B:$B, "Variant", 'Raw Data'!$A:$A, $A7, 'Raw Data'!$C:$C, $C$3),""))</f>
        <v>62.75</v>
      </c>
      <c r="DK7" s="108"/>
      <c r="DL7" s="107"/>
      <c r="DM7" s="79">
        <f>IF($A7="","",IFERROR(SUMPRODUCT(('Raw Data'!$B$2:$B$9999="Variant")*('Raw Data'!$A$2:$A$9999=$A7)*('Raw Data'!$C$2:$C$9999=$C$3)*'Raw Data'!$D$2:$D$9999*'Raw Data'!$AO$2:$AO$9999)/SUMIFS('Raw Data'!$D:$D, 'Raw Data'!$B:$B, "Variant", 'Raw Data'!$A:$A, $A7, 'Raw Data'!$C:$C, $C$3),""))</f>
        <v>38.15</v>
      </c>
      <c r="DN7" s="108"/>
      <c r="DO7" s="107"/>
      <c r="DP7" s="79">
        <f>IF($A7="","",IFERROR(SUMPRODUCT(('Raw Data'!$B$2:$B$9999="Variant")*('Raw Data'!$A$2:$A$9999=$A7)*('Raw Data'!$C$2:$C$9999=$C$3)*'Raw Data'!$D$2:$D$9999*'Raw Data'!$AP$2:$AP$9999)/SUMIFS('Raw Data'!$D:$D, 'Raw Data'!$B:$B, "Variant", 'Raw Data'!$A:$A, $A7, 'Raw Data'!$C:$C, $C$3),""))</f>
        <v>20.41</v>
      </c>
      <c r="DQ7" s="108"/>
      <c r="DR7" s="91">
        <f>IF($A7="","",IFERROR(SUMPRODUCT(('Raw Data'!$B$2:$B$9999="Control")*('Raw Data'!$A$2:$A$9999=$A7)*('Raw Data'!$C$2:$C$9999=$C$3)*'Raw Data'!$D$2:$D$9999*'Raw Data'!$AQ$2:$AQ$9999)/SUMIFS('Raw Data'!$D:$D, 'Raw Data'!$B:$B, "Control", 'Raw Data'!$A:$A, $A7, 'Raw Data'!$C:$C, $C$3),""))</f>
        <v>12.7799</v>
      </c>
      <c r="DS7" s="91">
        <f>IF($A7="","",IFERROR(SUMPRODUCT(('Raw Data'!$B$2:$B$9999="Variant")*('Raw Data'!$A$2:$A$9999=$A7)*('Raw Data'!$C$2:$C$9999=$C$3)*'Raw Data'!$D$2:$D$9999*'Raw Data'!$AQ$2:$AQ$9999)/SUMIFS('Raw Data'!$D:$D, 'Raw Data'!$B:$B, "Variant", 'Raw Data'!$A:$A, $A7, 'Raw Data'!$C:$C, $C$3),""))</f>
        <v>15.8252</v>
      </c>
      <c r="DT7" s="110">
        <f t="shared" ref="DT7:DT25" si="37">IF($A7="","",IFERROR((DS7-DR7)/ABS(DR7),""))</f>
        <v>0.2382882495</v>
      </c>
      <c r="DU7" s="91">
        <f>IF($A7="","",IFERROR(SUMPRODUCT(('Raw Data'!$B$2:$B$9999="Control")*('Raw Data'!$A$2:$A$9999=$A7)*('Raw Data'!$C$2:$C$9999=$C$3)*'Raw Data'!$D$2:$D$9999*'Raw Data'!$AR$2:$AR$9999)/SUMIFS('Raw Data'!$D:$D, 'Raw Data'!$B:$B, "Control", 'Raw Data'!$A:$A, $A7, 'Raw Data'!$C:$C, $C$3),""))</f>
        <v>0.2759</v>
      </c>
      <c r="DV7" s="91">
        <f>IF($A7="","",IFERROR(SUMPRODUCT(('Raw Data'!$B$2:$B$9999="Variant")*('Raw Data'!$A$2:$A$9999=$A7)*('Raw Data'!$C$2:$C$9999=$C$3)*'Raw Data'!$D$2:$D$9999*'Raw Data'!$AR$2:$AR$9999)/SUMIFS('Raw Data'!$D:$D, 'Raw Data'!$B:$B, "Variant", 'Raw Data'!$A:$A, $A7, 'Raw Data'!$C:$C, $C$3),""))</f>
        <v>0.2365</v>
      </c>
      <c r="DW7" s="110">
        <f t="shared" ref="DW7:DW25" si="38">IF($A7="","",IFERROR((DV7-DU7)/ABS(DU7),""))</f>
        <v>-0.1428053643</v>
      </c>
      <c r="DX7" s="91">
        <f>IF($A7="","",IFERROR(SUMPRODUCT(('Raw Data'!$B$2:$B$9999="Control")*('Raw Data'!$A$2:$A$9999=$A7)*('Raw Data'!$C$2:$C$9999=$C$3)*'Raw Data'!$D$2:$D$9999*'Raw Data'!$AS$2:$AS$9999)/SUMIFS('Raw Data'!$D:$D, 'Raw Data'!$B:$B, "Control", 'Raw Data'!$A:$A, $A7, 'Raw Data'!$C:$C, $C$3),""))</f>
        <v>12.504</v>
      </c>
      <c r="DY7" s="91">
        <f>IF($A7="","",IFERROR(SUMPRODUCT(('Raw Data'!$B$2:$B$9999="Variant")*('Raw Data'!$A$2:$A$9999=$A7)*('Raw Data'!$C$2:$C$9999=$C$3)*'Raw Data'!$D$2:$D$9999*'Raw Data'!$AS$2:$AS$9999)/SUMIFS('Raw Data'!$D:$D, 'Raw Data'!$B:$B, "Variant", 'Raw Data'!$A:$A, $A7, 'Raw Data'!$C:$C, $C$3),""))</f>
        <v>15.5887</v>
      </c>
      <c r="DZ7" s="111">
        <f t="shared" ref="DZ7:DZ25" si="39">IF($A7="","",IFERROR((DY7-DX7)/ABS(DX7),""))</f>
        <v>0.2466970569</v>
      </c>
      <c r="EA7" s="91">
        <f>IF($A7="","",IFERROR(SUMPRODUCT(('Raw Data'!$B$2:$B$9999="Control")*('Raw Data'!$A$2:$A$9999=$A7)*('Raw Data'!$C$2:$C$9999=$C$3)*'Raw Data'!$D$2:$D$9999*'Raw Data'!$AT$2:$AT$9999)/SUMIFS('Raw Data'!$D:$D, 'Raw Data'!$B:$B, "Control", 'Raw Data'!$A:$A, $A7, 'Raw Data'!$C:$C, $C$3),""))</f>
        <v>10.8969</v>
      </c>
      <c r="EB7" s="91">
        <f>IF($A7="","",IFERROR(SUMPRODUCT(('Raw Data'!$B$2:$B$9999="Variant")*('Raw Data'!$A$2:$A$9999=$A7)*('Raw Data'!$C$2:$C$9999=$C$3)*'Raw Data'!$D$2:$D$9999*'Raw Data'!$AT$2:$AT$9999)/SUMIFS('Raw Data'!$D:$D, 'Raw Data'!$B:$B, "Variant", 'Raw Data'!$A:$A, $A7, 'Raw Data'!$C:$C, $C$3),""))</f>
        <v>12.0153</v>
      </c>
      <c r="EC7" s="110">
        <f t="shared" ref="EC7:EC25" si="40">IF($A7="","",IFERROR((EB7-EA7)/ABS(EA7),""))</f>
        <v>0.1026346943</v>
      </c>
      <c r="ED7" s="91">
        <f>IF($A7="","",IFERROR(SUMPRODUCT(('Raw Data'!$B$2:$B$9999="Control")*('Raw Data'!$A$2:$A$9999=$A7)*('Raw Data'!$C$2:$C$9999=$C$3)*'Raw Data'!$D$2:$D$9999*('Raw Data'!$AQ$2:$AQ$9999-'Raw Data'!$AT$2:$AT$9999))/SUMIFS('Raw Data'!$D:$D, 'Raw Data'!$B:$B, "Control", 'Raw Data'!$A:$A, $A7, 'Raw Data'!$C:$C, $C$3),""))</f>
        <v>1.883</v>
      </c>
      <c r="EE7" s="91">
        <f>IF($A7="","",IFERROR(SUMPRODUCT(('Raw Data'!$B$2:$B$9999="Variant")*('Raw Data'!$A$2:$A$9999=$A7)*('Raw Data'!$C$2:$C$9999=$C$3)*'Raw Data'!$D$2:$D$9999*('Raw Data'!$AQ$2:$AQ$9999-'Raw Data'!$AT$2:$AT$9999))/SUMIFS('Raw Data'!$D:$D, 'Raw Data'!$B:$B, "Variant", 'Raw Data'!$A:$A, $A7, 'Raw Data'!$C:$C, $C$3),""))</f>
        <v>3.8099</v>
      </c>
      <c r="EF7" s="111">
        <f t="shared" ref="EF7:EF25" si="41">IF($A7="","",IFERROR((EE7-ED7)/ABS(ED7),""))</f>
        <v>1.023313861</v>
      </c>
      <c r="EG7" s="91">
        <f>IF($A7="","",IFERROR(SUMPRODUCT(('Raw Data'!$B$2:$B$9999="Control")*('Raw Data'!$A$2:$A$9999=$A7)*('Raw Data'!$C$2:$C$9999=$C$3)*'Raw Data'!$D$2:$D$9999*'Raw Data'!$AU$2:$AU$9999)/SUMIFS('Raw Data'!$D:$D, 'Raw Data'!$B:$B, "Control", 'Raw Data'!$A:$A, $A7, 'Raw Data'!$C:$C, $C$3),""))</f>
        <v>0.2402</v>
      </c>
      <c r="EH7" s="91">
        <f>IF($A7="","",IFERROR(SUMPRODUCT(('Raw Data'!$B$2:$B$9999="Variant")*('Raw Data'!$A$2:$A$9999=$A7)*('Raw Data'!$C$2:$C$9999=$C$3)*'Raw Data'!$D$2:$D$9999*'Raw Data'!$AU$2:$AU$9999)/SUMIFS('Raw Data'!$D:$D, 'Raw Data'!$B:$B, "Variant", 'Raw Data'!$A:$A, $A7, 'Raw Data'!$C:$C, $C$3),""))</f>
        <v>0.2367</v>
      </c>
      <c r="EI7" s="110">
        <f t="shared" ref="EI7:EI25" si="42">IF($A7="","",IFERROR((EH7-EG7)/ABS(EG7),""))</f>
        <v>-0.01457119067</v>
      </c>
    </row>
    <row r="8" ht="15.75" customHeight="1">
      <c r="A8" s="74">
        <v>46231.0</v>
      </c>
      <c r="B8" s="76">
        <f>IF($A8="","",SUMIFS('Raw Data'!$D:$D, 'Raw Data'!$B:$B, "Control", 'Raw Data'!$A:$A, $A8, 'Raw Data'!$C:$C, $C$3))</f>
        <v>4274</v>
      </c>
      <c r="C8" s="76">
        <f>IF($A8="","",SUMIFS('Raw Data'!$D:$D, 'Raw Data'!$B:$B, "Variant", 'Raw Data'!$A:$A, $A8, 'Raw Data'!$C:$C, $C$3))</f>
        <v>4420</v>
      </c>
      <c r="D8" s="77">
        <f t="shared" si="1"/>
        <v>0.03416003744</v>
      </c>
      <c r="E8" s="79">
        <f>IF($A8="","",IFERROR(SUMPRODUCT(('Raw Data'!$B$2:$B$9999="Control")*('Raw Data'!$A$2:$A$9999=$A8)*('Raw Data'!$C$2:$C$9999=$C$3)*'Raw Data'!$D$2:$D$9999*'Raw Data'!$E$2:$E$9999)/SUMIFS('Raw Data'!$D:$D, 'Raw Data'!$B:$B, "Control", 'Raw Data'!$A:$A, $A8, 'Raw Data'!$C:$C, $C$3),""))</f>
        <v>18.11</v>
      </c>
      <c r="F8" s="79">
        <f>IF($A8="","",IFERROR(SUMPRODUCT(('Raw Data'!$B$2:$B$9999="Variant")*('Raw Data'!$A$2:$A$9999=$A8)*('Raw Data'!$C$2:$C$9999=$C$3)*'Raw Data'!$D$2:$D$9999*'Raw Data'!$E$2:$E$9999)/SUMIFS('Raw Data'!$D:$D, 'Raw Data'!$B:$B, "Variant", 'Raw Data'!$A:$A, $A8, 'Raw Data'!$C:$C, $C$3),""))</f>
        <v>18.75</v>
      </c>
      <c r="G8" s="77">
        <f t="shared" si="2"/>
        <v>0.03533959139</v>
      </c>
      <c r="H8" s="85">
        <f>IF($A8="","",SUMIFS('Raw Data'!$F:$F, 'Raw Data'!$B:$B, "Control", 'Raw Data'!$A:$A, $A8, 'Raw Data'!$C:$C, $C$3))</f>
        <v>1227.82</v>
      </c>
      <c r="I8" s="85">
        <f>IF($A8="","",SUMIFS('Raw Data'!$F:$F, 'Raw Data'!$B:$B, "Variant", 'Raw Data'!$A:$A, $A8, 'Raw Data'!$C:$C, $C$3))</f>
        <v>1125.54</v>
      </c>
      <c r="J8" s="86">
        <f t="shared" si="3"/>
        <v>-0.08330211269</v>
      </c>
      <c r="K8" s="88">
        <f>IF($A8="","",IFERROR(SUMIFS('Raw Data'!$F:$F, 'Raw Data'!$B:$B, "Control", 'Raw Data'!$A:$A, $A8, 'Raw Data'!$C:$C, $C$3)/SUMIFS('Raw Data'!$D:$D, 'Raw Data'!$B:$B, "Control", 'Raw Data'!$A:$A, $A8, 'Raw Data'!$C:$C, $C$3),""))</f>
        <v>0.2872765559</v>
      </c>
      <c r="L8" s="88">
        <f>IF($A8="","",IFERROR(SUMIFS('Raw Data'!$F:$F, 'Raw Data'!$B:$B, "Variant", 'Raw Data'!$A:$A, $A8, 'Raw Data'!$C:$C, $C$3)/SUMIFS('Raw Data'!$D:$D, 'Raw Data'!$B:$B, "Variant", 'Raw Data'!$A:$A, $A8, 'Raw Data'!$C:$C, $C$3),""))</f>
        <v>0.2546470588</v>
      </c>
      <c r="M8" s="86">
        <f t="shared" si="4"/>
        <v>-0.1135821786</v>
      </c>
      <c r="N8" s="79">
        <f>IF($A8="","",IFERROR(SUMPRODUCT(('Raw Data'!$B$2:$B$9999="Control")*('Raw Data'!$A$2:$A$9999=$A8)*('Raw Data'!$C$2:$C$9999=$C$3)*'Raw Data'!$D$2:$D$9999*'Raw Data'!$H$2:$H$9999/100)/SUMIFS('Raw Data'!$D:$D, 'Raw Data'!$B:$B, "Control", 'Raw Data'!$A:$A, $A8, 'Raw Data'!$C:$C, $C$3)*100,""))</f>
        <v>5.38</v>
      </c>
      <c r="O8" s="79">
        <f>IF($A8="","",IFERROR(SUMPRODUCT(('Raw Data'!$B$2:$B$9999="Variant")*('Raw Data'!$A$2:$A$9999=$A8)*('Raw Data'!$C$2:$C$9999=$C$3)*'Raw Data'!$D$2:$D$9999*'Raw Data'!$H$2:$H$9999/100)/SUMIFS('Raw Data'!$D:$D, 'Raw Data'!$B:$B, "Variant", 'Raw Data'!$A:$A, $A8, 'Raw Data'!$C:$C, $C$3)*100,""))</f>
        <v>5.54</v>
      </c>
      <c r="P8" s="86">
        <f t="shared" si="5"/>
        <v>0.02973977695</v>
      </c>
      <c r="Q8" s="88">
        <f>IF($A8="","",IFERROR(SUMIFS('Raw Data'!$F:$F, 'Raw Data'!$B:$B, "Control", 'Raw Data'!$A:$A, $A8, 'Raw Data'!$C:$C, $C$3)/SUMPRODUCT(('Raw Data'!$B$2:$B$9999="Control")*('Raw Data'!$A$2:$A$9999=$A8)*('Raw Data'!$C$2:$C$9999=$C$3)*'Raw Data'!$D$2:$D$9999*'Raw Data'!$H$2:$H$9999/100),""))</f>
        <v>5.339712935</v>
      </c>
      <c r="R8" s="88">
        <f>IF($A8="","",IFERROR(SUMIFS('Raw Data'!$F:$F, 'Raw Data'!$B:$B, "Variant", 'Raw Data'!$A:$A, $A8, 'Raw Data'!$C:$C, $C$3)/SUMPRODUCT(('Raw Data'!$B$2:$B$9999="Variant")*('Raw Data'!$A$2:$A$9999=$A8)*('Raw Data'!$C$2:$C$9999=$C$3)*'Raw Data'!$D$2:$D$9999*'Raw Data'!$H$2:$H$9999/100),""))</f>
        <v>4.596517307</v>
      </c>
      <c r="S8" s="86">
        <f t="shared" si="6"/>
        <v>-0.1391826933</v>
      </c>
      <c r="T8" s="90">
        <f>IF($A8="","",IFERROR(SUMPRODUCT(('Raw Data'!$B$2:$B$9999="Control")*('Raw Data'!$A$2:$A$9999=$A8)*('Raw Data'!$C$2:$C$9999=$C$3)*'Raw Data'!$D$2:$D$9999*'Raw Data'!$J$2:$J$9999)/SUMIFS('Raw Data'!$D:$D, 'Raw Data'!$B:$B, "Control", 'Raw Data'!$A:$A, $A8, 'Raw Data'!$C:$C, $C$3),""))</f>
        <v>79.95</v>
      </c>
      <c r="U8" s="90">
        <f>IF($A8="","",IFERROR(SUMPRODUCT(('Raw Data'!$B$2:$B$9999="Variant")*('Raw Data'!$A$2:$A$9999=$A8)*('Raw Data'!$C$2:$C$9999=$C$3)*'Raw Data'!$D$2:$D$9999*'Raw Data'!$J$2:$J$9999)/SUMIFS('Raw Data'!$D:$D, 'Raw Data'!$B:$B, "Variant", 'Raw Data'!$A:$A, $A8, 'Raw Data'!$C:$C, $C$3),""))</f>
        <v>91.17</v>
      </c>
      <c r="V8" s="86">
        <f t="shared" si="7"/>
        <v>0.1403377111</v>
      </c>
      <c r="W8" s="90">
        <f>IF($A8="","",IFERROR(SUMPRODUCT(('Raw Data'!$B$2:$B$9999="Control")*('Raw Data'!$A$2:$A$9999=$A8)*('Raw Data'!$C$2:$C$9999=$C$3)*'Raw Data'!$D$2:$D$9999*'Raw Data'!$K$2:$K$9999)/SUMIFS('Raw Data'!$D:$D, 'Raw Data'!$B:$B, "Control", 'Raw Data'!$A:$A, $A8, 'Raw Data'!$C:$C, $C$3),""))</f>
        <v>42.68</v>
      </c>
      <c r="X8" s="90">
        <f>IF($A8="","",IFERROR(SUMPRODUCT(('Raw Data'!$B$2:$B$9999="Variant")*('Raw Data'!$A$2:$A$9999=$A8)*('Raw Data'!$C$2:$C$9999=$C$3)*'Raw Data'!$D$2:$D$9999*'Raw Data'!$K$2:$K$9999)/SUMIFS('Raw Data'!$D:$D, 'Raw Data'!$B:$B, "Variant", 'Raw Data'!$A:$A, $A8, 'Raw Data'!$C:$C, $C$3),""))</f>
        <v>46.79</v>
      </c>
      <c r="Y8" s="86">
        <f t="shared" si="8"/>
        <v>0.09629803187</v>
      </c>
      <c r="Z8" s="90">
        <f>IF($A8="","",IFERROR(SUMPRODUCT(('Raw Data'!$B$2:$B$9999="Control")*('Raw Data'!$A$2:$A$9999=$A8)*('Raw Data'!$C$2:$C$9999=$C$3)*'Raw Data'!$D$2:$D$9999*'Raw Data'!$L$2:$L$9999)/SUMIFS('Raw Data'!$D:$D, 'Raw Data'!$B:$B, "Control", 'Raw Data'!$A:$A, $A8, 'Raw Data'!$C:$C, $C$3),""))</f>
        <v>29.93</v>
      </c>
      <c r="AA8" s="90">
        <f>IF($A8="","",IFERROR(SUMPRODUCT(('Raw Data'!$B$2:$B$9999="Variant")*('Raw Data'!$A$2:$A$9999=$A8)*('Raw Data'!$C$2:$C$9999=$C$3)*'Raw Data'!$D$2:$D$9999*'Raw Data'!$L$2:$L$9999)/SUMIFS('Raw Data'!$D:$D, 'Raw Data'!$B:$B, "Variant", 'Raw Data'!$A:$A, $A8, 'Raw Data'!$C:$C, $C$3),""))</f>
        <v>31.22</v>
      </c>
      <c r="AB8" s="86">
        <f t="shared" si="9"/>
        <v>0.04310056799</v>
      </c>
      <c r="AC8" s="91">
        <f>IF($A8="","",IFERROR(SUMPRODUCT(('Raw Data'!$B$2:$B$9999="Control")*('Raw Data'!$A$2:$A$9999=$A8)*('Raw Data'!$C$2:$C$9999=$C$3)*'Raw Data'!$D$2:$D$9999*'Raw Data'!$M$2:$M$9999)/SUMIFS('Raw Data'!$D:$D, 'Raw Data'!$B:$B, "Control", 'Raw Data'!$A:$A, $A8, 'Raw Data'!$C:$C, $C$3),""))</f>
        <v>0.7011</v>
      </c>
      <c r="AD8" s="91">
        <f>IF($A8="","",IFERROR(SUMPRODUCT(('Raw Data'!$B$2:$B$9999="Variant")*('Raw Data'!$A$2:$A$9999=$A8)*('Raw Data'!$C$2:$C$9999=$C$3)*'Raw Data'!$D$2:$D$9999*'Raw Data'!$M$2:$M$9999)/SUMIFS('Raw Data'!$D:$D, 'Raw Data'!$B:$B, "Variant", 'Raw Data'!$A:$A, $A8, 'Raw Data'!$C:$C, $C$3),""))</f>
        <v>0.6671</v>
      </c>
      <c r="AE8" s="93">
        <f t="shared" si="10"/>
        <v>-0.04849522179</v>
      </c>
      <c r="AF8" s="91">
        <f>IF($A8="","",IFERROR(SUMPRODUCT(('Raw Data'!$B$2:$B$9999="Control")*('Raw Data'!$A$2:$A$9999=$A8)*('Raw Data'!$C$2:$C$9999=$C$3)*'Raw Data'!$D$2:$D$9999*'Raw Data'!$N$2:$N$9999)/SUMIFS('Raw Data'!$D:$D, 'Raw Data'!$B:$B, "Control", 'Raw Data'!$A:$A, $A8, 'Raw Data'!$C:$C, $C$3),""))</f>
        <v>0.4687</v>
      </c>
      <c r="AG8" s="91">
        <f>IF($A8="","",IFERROR(SUMPRODUCT(('Raw Data'!$B$2:$B$9999="Variant")*('Raw Data'!$A$2:$A$9999=$A8)*('Raw Data'!$C$2:$C$9999=$C$3)*'Raw Data'!$D$2:$D$9999*'Raw Data'!$N$2:$N$9999)/SUMIFS('Raw Data'!$D:$D, 'Raw Data'!$B:$B, "Variant", 'Raw Data'!$A:$A, $A8, 'Raw Data'!$C:$C, $C$3),""))</f>
        <v>0.4916</v>
      </c>
      <c r="AH8" s="93">
        <f t="shared" si="11"/>
        <v>0.04885854491</v>
      </c>
      <c r="AI8" s="91">
        <f>IF($A8="","",IFERROR(SUMPRODUCT(('Raw Data'!$B$2:$B$9999="Control")*('Raw Data'!$A$2:$A$9999=$A8)*('Raw Data'!$C$2:$C$9999=$C$3)*'Raw Data'!$D$2:$D$9999*'Raw Data'!$O$2:$O$9999)/SUMIFS('Raw Data'!$D:$D, 'Raw Data'!$B:$B, "Control", 'Raw Data'!$A:$A, $A8, 'Raw Data'!$C:$C, $C$3),""))</f>
        <v>0.3197</v>
      </c>
      <c r="AJ8" s="91">
        <f>IF($A8="","",IFERROR(SUMPRODUCT(('Raw Data'!$B$2:$B$9999="Variant")*('Raw Data'!$A$2:$A$9999=$A8)*('Raw Data'!$C$2:$C$9999=$C$3)*'Raw Data'!$D$2:$D$9999*'Raw Data'!$O$2:$O$9999)/SUMIFS('Raw Data'!$D:$D, 'Raw Data'!$B:$B, "Variant", 'Raw Data'!$A:$A, $A8, 'Raw Data'!$C:$C, $C$3),""))</f>
        <v>0.3235</v>
      </c>
      <c r="AK8" s="86">
        <f t="shared" si="12"/>
        <v>0.01188614326</v>
      </c>
      <c r="AL8" s="90">
        <f>IF($A8="","",IFERROR(SUMPRODUCT(('Raw Data'!$B$2:$B$9999="Control")*('Raw Data'!$A$2:$A$9999=$A8)*('Raw Data'!$C$2:$C$9999=$C$3)*'Raw Data'!$D$2:$D$9999*'Raw Data'!$P$2:$P$9999)/SUMIFS('Raw Data'!$D:$D, 'Raw Data'!$B:$B, "Control", 'Raw Data'!$A:$A, $A8, 'Raw Data'!$C:$C, $C$3),""))</f>
        <v>1.4262</v>
      </c>
      <c r="AM8" s="90">
        <f>IF($A8="","",IFERROR(SUMPRODUCT(('Raw Data'!$B$2:$B$9999="Variant")*('Raw Data'!$A$2:$A$9999=$A8)*('Raw Data'!$C$2:$C$9999=$C$3)*'Raw Data'!$D$2:$D$9999*'Raw Data'!$P$2:$P$9999)/SUMIFS('Raw Data'!$D:$D, 'Raw Data'!$B:$B, "Variant", 'Raw Data'!$A:$A, $A8, 'Raw Data'!$C:$C, $C$3),""))</f>
        <v>1.499</v>
      </c>
      <c r="AN8" s="86">
        <f t="shared" si="13"/>
        <v>0.05104473426</v>
      </c>
      <c r="AO8" s="90">
        <f>IF($A8="","",IFERROR(SUMPRODUCT(('Raw Data'!$B$2:$B$9999="Control")*('Raw Data'!$A$2:$A$9999=$A8)*('Raw Data'!$C$2:$C$9999=$C$3)*'Raw Data'!$D$2:$D$9999*'Raw Data'!$Q$2:$Q$9999)/SUMIFS('Raw Data'!$D:$D, 'Raw Data'!$B:$B, "Control", 'Raw Data'!$A:$A, $A8, 'Raw Data'!$C:$C, $C$3),""))</f>
        <v>204.57</v>
      </c>
      <c r="AP8" s="90">
        <f>IF($A8="","",IFERROR(SUMPRODUCT(('Raw Data'!$B$2:$B$9999="Variant")*('Raw Data'!$A$2:$A$9999=$A8)*('Raw Data'!$C$2:$C$9999=$C$3)*'Raw Data'!$D$2:$D$9999*'Raw Data'!$Q$2:$Q$9999)/SUMIFS('Raw Data'!$D:$D, 'Raw Data'!$B:$B, "Variant", 'Raw Data'!$A:$A, $A8, 'Raw Data'!$C:$C, $C$3),""))</f>
        <v>158.47</v>
      </c>
      <c r="AQ8" s="77">
        <f t="shared" si="14"/>
        <v>-0.2253507357</v>
      </c>
      <c r="AR8" s="90">
        <f>IF($A8="","",IFERROR(SUMPRODUCT(('Raw Data'!$B$2:$B$9999="Control")*('Raw Data'!$A$2:$A$9999=$A8)*('Raw Data'!$C$2:$C$9999=$C$3)*'Raw Data'!$D$2:$D$9999*'Raw Data'!$R$2:$R$9999)/SUMIFS('Raw Data'!$D:$D, 'Raw Data'!$B:$B, "Control", 'Raw Data'!$A:$A, $A8, 'Raw Data'!$C:$C, $C$3),""))</f>
        <v>167.13</v>
      </c>
      <c r="AS8" s="90">
        <f>IF($A8="","",IFERROR(SUMPRODUCT(('Raw Data'!$B$2:$B$9999="Variant")*('Raw Data'!$A$2:$A$9999=$A8)*('Raw Data'!$C$2:$C$9999=$C$3)*'Raw Data'!$D$2:$D$9999*'Raw Data'!$R$2:$R$9999)/SUMIFS('Raw Data'!$D:$D, 'Raw Data'!$B:$B, "Variant", 'Raw Data'!$A:$A, $A8, 'Raw Data'!$C:$C, $C$3),""))</f>
        <v>141.43</v>
      </c>
      <c r="AT8" s="77">
        <f t="shared" si="15"/>
        <v>-0.1537725124</v>
      </c>
      <c r="AU8" s="90">
        <f>IF($A8="","",IFERROR(SUMPRODUCT(('Raw Data'!$B$2:$B$9999="Control")*('Raw Data'!$A$2:$A$9999=$A8)*('Raw Data'!$C$2:$C$9999=$C$3)*'Raw Data'!$D$2:$D$9999*'Raw Data'!$S$2:$S$9999)/SUMIFS('Raw Data'!$D:$D, 'Raw Data'!$B:$B, "Control", 'Raw Data'!$A:$A, $A8, 'Raw Data'!$C:$C, $C$3),""))</f>
        <v>37.44</v>
      </c>
      <c r="AV8" s="90">
        <f>IF($A8="","",IFERROR(SUMPRODUCT(('Raw Data'!$B$2:$B$9999="Variant")*('Raw Data'!$A$2:$A$9999=$A8)*('Raw Data'!$C$2:$C$9999=$C$3)*'Raw Data'!$D$2:$D$9999*'Raw Data'!$S$2:$S$9999)/SUMIFS('Raw Data'!$D:$D, 'Raw Data'!$B:$B, "Variant", 'Raw Data'!$A:$A, $A8, 'Raw Data'!$C:$C, $C$3),""))</f>
        <v>17.04</v>
      </c>
      <c r="AW8" s="77">
        <f t="shared" si="16"/>
        <v>-0.5448717949</v>
      </c>
      <c r="AX8" s="90">
        <f>IF($A8="","",IFERROR(SUMPRODUCT(('Raw Data'!$B$2:$B$9999="Control")*('Raw Data'!$A$2:$A$9999=$A8)*('Raw Data'!$C$2:$C$9999=$C$3)*'Raw Data'!$D$2:$D$9999*'Raw Data'!$T$2:$T$9999)/SUMIFS('Raw Data'!$D:$D, 'Raw Data'!$B:$B, "Control", 'Raw Data'!$A:$A, $A8, 'Raw Data'!$C:$C, $C$3),""))</f>
        <v>23.56</v>
      </c>
      <c r="AY8" s="90">
        <f>IF($A8="","",IFERROR(SUMPRODUCT(('Raw Data'!$B$2:$B$9999="Variant")*('Raw Data'!$A$2:$A$9999=$A8)*('Raw Data'!$C$2:$C$9999=$C$3)*'Raw Data'!$D$2:$D$9999*'Raw Data'!$T$2:$T$9999)/SUMIFS('Raw Data'!$D:$D, 'Raw Data'!$B:$B, "Variant", 'Raw Data'!$A:$A, $A8, 'Raw Data'!$C:$C, $C$3),""))</f>
        <v>21.56</v>
      </c>
      <c r="AZ8" s="86">
        <f t="shared" si="17"/>
        <v>-0.08488964346</v>
      </c>
      <c r="BA8" s="90">
        <f>IF($A8="","",IFERROR(SUMPRODUCT(('Raw Data'!$B$2:$B$9999="Control")*('Raw Data'!$A$2:$A$9999=$A8)*('Raw Data'!$C$2:$C$9999=$C$3)*'Raw Data'!$D$2:$D$9999*'Raw Data'!$U$2:$U$9999)/SUMIFS('Raw Data'!$D:$D, 'Raw Data'!$B:$B, "Control", 'Raw Data'!$A:$A, $A8, 'Raw Data'!$C:$C, $C$3),""))</f>
        <v>181.01</v>
      </c>
      <c r="BB8" s="90">
        <f>IF($A8="","",IFERROR(SUMPRODUCT(('Raw Data'!$B$2:$B$9999="Variant")*('Raw Data'!$A$2:$A$9999=$A8)*('Raw Data'!$C$2:$C$9999=$C$3)*'Raw Data'!$D$2:$D$9999*'Raw Data'!$U$2:$U$9999)/SUMIFS('Raw Data'!$D:$D, 'Raw Data'!$B:$B, "Variant", 'Raw Data'!$A:$A, $A8, 'Raw Data'!$C:$C, $C$3),""))</f>
        <v>136.91</v>
      </c>
      <c r="BC8" s="77">
        <f t="shared" si="18"/>
        <v>-0.2436329485</v>
      </c>
      <c r="BD8" s="90">
        <f>IF($A8="","",IFERROR(SUMPRODUCT(('Raw Data'!$B$2:$B$9999="Control")*('Raw Data'!$A$2:$A$9999=$A8)*('Raw Data'!$C$2:$C$9999=$C$3)*'Raw Data'!$D$2:$D$9999*'Raw Data'!$V$2:$V$9999)/SUMIFS('Raw Data'!$D:$D, 'Raw Data'!$B:$B, "Control", 'Raw Data'!$A:$A, $A8, 'Raw Data'!$C:$C, $C$3),""))</f>
        <v>205.62</v>
      </c>
      <c r="BE8" s="90">
        <f>IF($A8="","",IFERROR(SUMPRODUCT(('Raw Data'!$B$2:$B$9999="Variant")*('Raw Data'!$A$2:$A$9999=$A8)*('Raw Data'!$C$2:$C$9999=$C$3)*'Raw Data'!$D$2:$D$9999*'Raw Data'!$V$2:$V$9999)/SUMIFS('Raw Data'!$D:$D, 'Raw Data'!$B:$B, "Variant", 'Raw Data'!$A:$A, $A8, 'Raw Data'!$C:$C, $C$3),""))</f>
        <v>181.86</v>
      </c>
      <c r="BF8" s="77">
        <f t="shared" si="19"/>
        <v>-0.1155529618</v>
      </c>
      <c r="BG8" s="90">
        <f>IF($A8="","",IFERROR(SUMPRODUCT(('Raw Data'!$B$2:$B$9999="Control")*('Raw Data'!$A$2:$A$9999=$A8)*('Raw Data'!$C$2:$C$9999=$C$3)*'Raw Data'!$D$2:$D$9999*('Raw Data'!$Q$2:$Q$9999-'Raw Data'!$V$2:$V$9999))/SUMIFS('Raw Data'!$D:$D, 'Raw Data'!$B:$B, "Control", 'Raw Data'!$A:$A, $A8, 'Raw Data'!$C:$C, $C$3),""))</f>
        <v>-1.05</v>
      </c>
      <c r="BH8" s="90">
        <f>IF($A8="","",IFERROR(SUMPRODUCT(('Raw Data'!$B$2:$B$9999="Variant")*('Raw Data'!$A$2:$A$9999=$A8)*('Raw Data'!$C$2:$C$9999=$C$3)*'Raw Data'!$D$2:$D$9999*('Raw Data'!$Q$2:$Q$9999-'Raw Data'!$V$2:$V$9999))/SUMIFS('Raw Data'!$D:$D, 'Raw Data'!$B:$B, "Variant", 'Raw Data'!$A:$A, $A8, 'Raw Data'!$C:$C, $C$3),""))</f>
        <v>-23.39</v>
      </c>
      <c r="BI8" s="77">
        <f t="shared" si="20"/>
        <v>-21.27619048</v>
      </c>
      <c r="BJ8" s="90">
        <f>IF($A8="","",IFERROR(SUMPRODUCT(('Raw Data'!$B$2:$B$9999="Control")*('Raw Data'!$A$2:$A$9999=$A8)*('Raw Data'!$C$2:$C$9999=$C$3)*'Raw Data'!$D$2:$D$9999*'Raw Data'!$W$2:$W$9999)/SUMIFS('Raw Data'!$D:$D, 'Raw Data'!$B:$B, "Control", 'Raw Data'!$A:$A, $A8, 'Raw Data'!$C:$C, $C$3),""))</f>
        <v>4.8173</v>
      </c>
      <c r="BK8" s="90">
        <f>IF($A8="","",IFERROR(SUMPRODUCT(('Raw Data'!$B$2:$B$9999="Variant")*('Raw Data'!$A$2:$A$9999=$A8)*('Raw Data'!$C$2:$C$9999=$C$3)*'Raw Data'!$D$2:$D$9999*'Raw Data'!$W$2:$W$9999)/SUMIFS('Raw Data'!$D:$D, 'Raw Data'!$B:$B, "Variant", 'Raw Data'!$A:$A, $A8, 'Raw Data'!$C:$C, $C$3),""))</f>
        <v>3.8985</v>
      </c>
      <c r="BL8" s="77">
        <f t="shared" si="21"/>
        <v>-0.1907292467</v>
      </c>
      <c r="BM8" s="91">
        <f>IF($A8="","",IFERROR(SUMPRODUCT(('Raw Data'!$B$2:$B$9999="Control")*('Raw Data'!$A$2:$A$9999=$A8)*('Raw Data'!$C$2:$C$9999=$C$3)*'Raw Data'!$D$2:$D$9999*'Raw Data'!$X$2:$X$9999)/SUMIFS('Raw Data'!$D:$D, 'Raw Data'!$B:$B, "Control", 'Raw Data'!$A:$A, $A8, 'Raw Data'!$C:$C, $C$3),""))</f>
        <v>11.52</v>
      </c>
      <c r="BN8" s="91">
        <f>IF($A8="","",IFERROR(SUMPRODUCT(('Raw Data'!$B$2:$B$9999="Variant")*('Raw Data'!$A$2:$A$9999=$A8)*('Raw Data'!$C$2:$C$9999=$C$3)*'Raw Data'!$D$2:$D$9999*'Raw Data'!$X$2:$X$9999)/SUMIFS('Raw Data'!$D:$D, 'Raw Data'!$B:$B, "Variant", 'Raw Data'!$A:$A, $A8, 'Raw Data'!$C:$C, $C$3),""))</f>
        <v>13.6</v>
      </c>
      <c r="BO8" s="86">
        <f t="shared" si="22"/>
        <v>0.1805555556</v>
      </c>
      <c r="BP8" s="76">
        <f>IF($A8="","",IFERROR(SUMPRODUCT(('Raw Data'!$B$2:$B$9999="Control")*('Raw Data'!$A$2:$A$9999=$A8)*('Raw Data'!$C$2:$C$9999=$C$3)*'Raw Data'!$D$2:$D$9999*'Raw Data'!$Y$2:$Y$9999)/SUMIFS('Raw Data'!$D:$D, 'Raw Data'!$B:$B, "Control", 'Raw Data'!$A:$A, $A8, 'Raw Data'!$C:$C, $C$3),""))</f>
        <v>131</v>
      </c>
      <c r="BQ8" s="76">
        <f>IF($A8="","",IFERROR(SUMPRODUCT(('Raw Data'!$B$2:$B$9999="Variant")*('Raw Data'!$A$2:$A$9999=$A8)*('Raw Data'!$C$2:$C$9999=$C$3)*'Raw Data'!$D$2:$D$9999*'Raw Data'!$Y$2:$Y$9999)/SUMIFS('Raw Data'!$D:$D, 'Raw Data'!$B:$B, "Variant", 'Raw Data'!$A:$A, $A8, 'Raw Data'!$C:$C, $C$3),""))</f>
        <v>110</v>
      </c>
      <c r="BR8" s="77">
        <f t="shared" si="23"/>
        <v>-0.1603053435</v>
      </c>
      <c r="BS8" s="76">
        <f>IF($A8="","",IFERROR(SUMPRODUCT(('Raw Data'!$B$2:$B$9999="Control")*('Raw Data'!$A$2:$A$9999=$A8)*('Raw Data'!$C$2:$C$9999=$C$3)*'Raw Data'!$D$2:$D$9999*'Raw Data'!$Z$2:$Z$9999)/SUMIFS('Raw Data'!$D:$D, 'Raw Data'!$B:$B, "Control", 'Raw Data'!$A:$A, $A8, 'Raw Data'!$C:$C, $C$3),""))</f>
        <v>613</v>
      </c>
      <c r="BT8" s="76">
        <f>IF($A8="","",IFERROR(SUMPRODUCT(('Raw Data'!$B$2:$B$9999="Variant")*('Raw Data'!$A$2:$A$9999=$A8)*('Raw Data'!$C$2:$C$9999=$C$3)*'Raw Data'!$D$2:$D$9999*'Raw Data'!$Z$2:$Z$9999)/SUMIFS('Raw Data'!$D:$D, 'Raw Data'!$B:$B, "Variant", 'Raw Data'!$A:$A, $A8, 'Raw Data'!$C:$C, $C$3),""))</f>
        <v>544</v>
      </c>
      <c r="BU8" s="77">
        <f t="shared" si="24"/>
        <v>-0.1125611746</v>
      </c>
      <c r="BV8" s="76">
        <f>IF($A8="","",IFERROR(SUMPRODUCT(('Raw Data'!$B$2:$B$9999="Control")*('Raw Data'!$A$2:$A$9999=$A8)*('Raw Data'!$C$2:$C$9999=$C$3)*'Raw Data'!$D$2:$D$9999*'Raw Data'!$AA$2:$AA$9999)/SUMIFS('Raw Data'!$D:$D, 'Raw Data'!$B:$B, "Control", 'Raw Data'!$A:$A, $A8, 'Raw Data'!$C:$C, $C$3),""))</f>
        <v>5105</v>
      </c>
      <c r="BW8" s="76">
        <f>IF($A8="","",IFERROR(SUMPRODUCT(('Raw Data'!$B$2:$B$9999="Variant")*('Raw Data'!$A$2:$A$9999=$A8)*('Raw Data'!$C$2:$C$9999=$C$3)*'Raw Data'!$D$2:$D$9999*'Raw Data'!$AA$2:$AA$9999)/SUMIFS('Raw Data'!$D:$D, 'Raw Data'!$B:$B, "Variant", 'Raw Data'!$A:$A, $A8, 'Raw Data'!$C:$C, $C$3),""))</f>
        <v>3939</v>
      </c>
      <c r="BX8" s="77">
        <f t="shared" si="25"/>
        <v>-0.228403526</v>
      </c>
      <c r="BY8" s="90">
        <f>IF($A8="","",IFERROR(SUMPRODUCT(('Raw Data'!$B$2:$B$9999="Control")*('Raw Data'!$A$2:$A$9999=$A8)*('Raw Data'!$C$2:$C$9999=$C$3)*'Raw Data'!$D$2:$D$9999*'Raw Data'!$AB$2:$AB$9999)/SUMIFS('Raw Data'!$D:$D, 'Raw Data'!$B:$B, "Control", 'Raw Data'!$A:$A, $A8, 'Raw Data'!$C:$C, $C$3),""))</f>
        <v>55.4629</v>
      </c>
      <c r="BZ8" s="90">
        <f>IF($A8="","",IFERROR(SUMPRODUCT(('Raw Data'!$B$2:$B$9999="Variant")*('Raw Data'!$A$2:$A$9999=$A8)*('Raw Data'!$C$2:$C$9999=$C$3)*'Raw Data'!$D$2:$D$9999*'Raw Data'!$AB$2:$AB$9999)/SUMIFS('Raw Data'!$D:$D, 'Raw Data'!$B:$B, "Variant", 'Raw Data'!$A:$A, $A8, 'Raw Data'!$C:$C, $C$3),""))</f>
        <v>55.5961</v>
      </c>
      <c r="CA8" s="86">
        <f t="shared" si="26"/>
        <v>0.002401605397</v>
      </c>
      <c r="CB8" s="90">
        <f>IF($A8="","",IFERROR(SUMPRODUCT(('Raw Data'!$B$2:$B$9999="Control")*('Raw Data'!$A$2:$A$9999=$A8)*('Raw Data'!$C$2:$C$9999=$C$3)*'Raw Data'!$D$2:$D$9999*'Raw Data'!$AC$2:$AC$9999)/SUMIFS('Raw Data'!$D:$D, 'Raw Data'!$B:$B, "Control", 'Raw Data'!$A:$A, $A8, 'Raw Data'!$C:$C, $C$3),""))</f>
        <v>0.6854</v>
      </c>
      <c r="CC8" s="90">
        <f>IF($A8="","",IFERROR(SUMPRODUCT(('Raw Data'!$B$2:$B$9999="Variant")*('Raw Data'!$A$2:$A$9999=$A8)*('Raw Data'!$C$2:$C$9999=$C$3)*'Raw Data'!$D$2:$D$9999*'Raw Data'!$AC$2:$AC$9999)/SUMIFS('Raw Data'!$D:$D, 'Raw Data'!$B:$B, "Variant", 'Raw Data'!$A:$A, $A8, 'Raw Data'!$C:$C, $C$3),""))</f>
        <v>0.6806</v>
      </c>
      <c r="CD8" s="86">
        <f t="shared" si="27"/>
        <v>-0.007003209804</v>
      </c>
      <c r="CE8" s="90">
        <f>IF($A8="","",IFERROR(SUMPRODUCT(('Raw Data'!$B$2:$B$9999="Control")*('Raw Data'!$A$2:$A$9999=$A8)*('Raw Data'!$C$2:$C$9999=$C$3)*'Raw Data'!$D$2:$D$9999*'Raw Data'!$AD$2:$AD$9999)/SUMIFS('Raw Data'!$D:$D, 'Raw Data'!$B:$B, "Control", 'Raw Data'!$A:$A, $A8, 'Raw Data'!$C:$C, $C$3),""))</f>
        <v>17.51</v>
      </c>
      <c r="CF8" s="90">
        <f>IF($A8="","",IFERROR(SUMPRODUCT(('Raw Data'!$B$2:$B$9999="Variant")*('Raw Data'!$A$2:$A$9999=$A8)*('Raw Data'!$C$2:$C$9999=$C$3)*'Raw Data'!$D$2:$D$9999*'Raw Data'!$AD$2:$AD$9999)/SUMIFS('Raw Data'!$D:$D, 'Raw Data'!$B:$B, "Variant", 'Raw Data'!$A:$A, $A8, 'Raw Data'!$C:$C, $C$3),""))</f>
        <v>17.72</v>
      </c>
      <c r="CG8" s="86">
        <f t="shared" si="28"/>
        <v>0.01199314677</v>
      </c>
      <c r="CH8" s="90">
        <f>IF($A8="","",IFERROR(SUMPRODUCT(('Raw Data'!$B$2:$B$9999="Control")*('Raw Data'!$A$2:$A$9999=$A8)*('Raw Data'!$C$2:$C$9999=$C$3)*'Raw Data'!$D$2:$D$9999*'Raw Data'!$AE$2:$AE$9999)/SUMIFS('Raw Data'!$D:$D, 'Raw Data'!$B:$B, "Control", 'Raw Data'!$A:$A, $A8, 'Raw Data'!$C:$C, $C$3),""))</f>
        <v>7</v>
      </c>
      <c r="CI8" s="90">
        <f>IF($A8="","",IFERROR(SUMPRODUCT(('Raw Data'!$B$2:$B$9999="Variant")*('Raw Data'!$A$2:$A$9999=$A8)*('Raw Data'!$C$2:$C$9999=$C$3)*'Raw Data'!$D$2:$D$9999*'Raw Data'!$AE$2:$AE$9999)/SUMIFS('Raw Data'!$D:$D, 'Raw Data'!$B:$B, "Variant", 'Raw Data'!$A:$A, $A8, 'Raw Data'!$C:$C, $C$3),""))</f>
        <v>7</v>
      </c>
      <c r="CJ8" s="86">
        <f t="shared" si="29"/>
        <v>0</v>
      </c>
      <c r="CK8" s="90">
        <f>IF($A8="","",IFERROR(SUMPRODUCT(('Raw Data'!$B$2:$B$9999="Control")*('Raw Data'!$A$2:$A$9999=$A8)*('Raw Data'!$C$2:$C$9999=$C$3)*'Raw Data'!$D$2:$D$9999*'Raw Data'!$AF$2:$AF$9999)/SUMIFS('Raw Data'!$D:$D, 'Raw Data'!$B:$B, "Control", 'Raw Data'!$A:$A, $A8, 'Raw Data'!$C:$C, $C$3),""))</f>
        <v>14</v>
      </c>
      <c r="CL8" s="90">
        <f>IF($A8="","",IFERROR(SUMPRODUCT(('Raw Data'!$B$2:$B$9999="Variant")*('Raw Data'!$A$2:$A$9999=$A8)*('Raw Data'!$C$2:$C$9999=$C$3)*'Raw Data'!$D$2:$D$9999*'Raw Data'!$AF$2:$AF$9999)/SUMIFS('Raw Data'!$D:$D, 'Raw Data'!$B:$B, "Variant", 'Raw Data'!$A:$A, $A8, 'Raw Data'!$C:$C, $C$3),""))</f>
        <v>14</v>
      </c>
      <c r="CM8" s="86">
        <f t="shared" si="30"/>
        <v>0</v>
      </c>
      <c r="CN8" s="90">
        <f>IF($A8="","",IFERROR(SUMPRODUCT(('Raw Data'!$B$2:$B$9999="Control")*('Raw Data'!$A$2:$A$9999=$A8)*('Raw Data'!$C$2:$C$9999=$C$3)*'Raw Data'!$D$2:$D$9999*'Raw Data'!$AG$2:$AG$9999)/SUMIFS('Raw Data'!$D:$D, 'Raw Data'!$B:$B, "Control", 'Raw Data'!$A:$A, $A8, 'Raw Data'!$C:$C, $C$3),""))</f>
        <v>24</v>
      </c>
      <c r="CO8" s="90">
        <f>IF($A8="","",IFERROR(SUMPRODUCT(('Raw Data'!$B$2:$B$9999="Variant")*('Raw Data'!$A$2:$A$9999=$A8)*('Raw Data'!$C$2:$C$9999=$C$3)*'Raw Data'!$D$2:$D$9999*'Raw Data'!$AG$2:$AG$9999)/SUMIFS('Raw Data'!$D:$D, 'Raw Data'!$B:$B, "Variant", 'Raw Data'!$A:$A, $A8, 'Raw Data'!$C:$C, $C$3),""))</f>
        <v>25</v>
      </c>
      <c r="CP8" s="86">
        <f t="shared" si="31"/>
        <v>0.04166666667</v>
      </c>
      <c r="CQ8" s="90">
        <f>IF($A8="","",IFERROR(SUMPRODUCT(('Raw Data'!$B$2:$B$9999="Control")*('Raw Data'!$A$2:$A$9999=$A8)*('Raw Data'!$C$2:$C$9999=$C$3)*'Raw Data'!$D$2:$D$9999*'Raw Data'!$AH$2:$AH$9999)/SUMIFS('Raw Data'!$D:$D, 'Raw Data'!$B:$B, "Control", 'Raw Data'!$A:$A, $A8, 'Raw Data'!$C:$C, $C$3),""))</f>
        <v>37</v>
      </c>
      <c r="CR8" s="90">
        <f>IF($A8="","",IFERROR(SUMPRODUCT(('Raw Data'!$B$2:$B$9999="Variant")*('Raw Data'!$A$2:$A$9999=$A8)*('Raw Data'!$C$2:$C$9999=$C$3)*'Raw Data'!$D$2:$D$9999*'Raw Data'!$AH$2:$AH$9999)/SUMIFS('Raw Data'!$D:$D, 'Raw Data'!$B:$B, "Variant", 'Raw Data'!$A:$A, $A8, 'Raw Data'!$C:$C, $C$3),""))</f>
        <v>37</v>
      </c>
      <c r="CS8" s="86">
        <f t="shared" si="32"/>
        <v>0</v>
      </c>
      <c r="CT8" s="79">
        <f>IF($A8="","",IFERROR(SUMPRODUCT(('Raw Data'!$B$2:$B$9999="Control")*('Raw Data'!$A$2:$A$9999=$A8)*('Raw Data'!$C$2:$C$9999=$C$3)*'Raw Data'!$D$2:$D$9999*'Raw Data'!$AI$2:$AI$9999)/SUMIFS('Raw Data'!$D:$D, 'Raw Data'!$B:$B, "Control", 'Raw Data'!$A:$A, $A8, 'Raw Data'!$C:$C, $C$3),""))</f>
        <v>59.99</v>
      </c>
      <c r="CU8" s="79">
        <f>IF($A8="","",IFERROR(SUMPRODUCT(('Raw Data'!$B$2:$B$9999="Variant")*('Raw Data'!$A$2:$A$9999=$A8)*('Raw Data'!$C$2:$C$9999=$C$3)*'Raw Data'!$D$2:$D$9999*'Raw Data'!$AI$2:$AI$9999)/SUMIFS('Raw Data'!$D:$D, 'Raw Data'!$B:$B, "Variant", 'Raw Data'!$A:$A, $A8, 'Raw Data'!$C:$C, $C$3),""))</f>
        <v>60.57</v>
      </c>
      <c r="CV8" s="93">
        <f t="shared" si="33"/>
        <v>0.009668278046</v>
      </c>
      <c r="CW8" s="79">
        <f>IF($A8="","",IFERROR(SUMPRODUCT(('Raw Data'!$B$2:$B$9999="Control")*('Raw Data'!$A$2:$A$9999=$A8)*('Raw Data'!$C$2:$C$9999=$C$3)*'Raw Data'!$D$2:$D$9999*'Raw Data'!$AJ$2:$AJ$9999)/SUMIFS('Raw Data'!$D:$D, 'Raw Data'!$B:$B, "Control", 'Raw Data'!$A:$A, $A8, 'Raw Data'!$C:$C, $C$3),""))</f>
        <v>22.32</v>
      </c>
      <c r="CX8" s="79">
        <f>IF($A8="","",IFERROR(SUMPRODUCT(('Raw Data'!$B$2:$B$9999="Variant")*('Raw Data'!$A$2:$A$9999=$A8)*('Raw Data'!$C$2:$C$9999=$C$3)*'Raw Data'!$D$2:$D$9999*'Raw Data'!$AJ$2:$AJ$9999)/SUMIFS('Raw Data'!$D:$D, 'Raw Data'!$B:$B, "Variant", 'Raw Data'!$A:$A, $A8, 'Raw Data'!$C:$C, $C$3),""))</f>
        <v>22.58</v>
      </c>
      <c r="CY8" s="93">
        <f t="shared" si="34"/>
        <v>0.01164874552</v>
      </c>
      <c r="CZ8" s="79">
        <f>IF($A8="","",IFERROR(SUMPRODUCT(('Raw Data'!$B$2:$B$9999="Control")*('Raw Data'!$A$2:$A$9999=$A8)*('Raw Data'!$C$2:$C$9999=$C$3)*'Raw Data'!$D$2:$D$9999*'Raw Data'!$AK$2:$AK$9999)/SUMIFS('Raw Data'!$D:$D, 'Raw Data'!$B:$B, "Control", 'Raw Data'!$A:$A, $A8, 'Raw Data'!$C:$C, $C$3),""))</f>
        <v>6.81</v>
      </c>
      <c r="DA8" s="79">
        <f>IF($A8="","",IFERROR(SUMPRODUCT(('Raw Data'!$B$2:$B$9999="Variant")*('Raw Data'!$A$2:$A$9999=$A8)*('Raw Data'!$C$2:$C$9999=$C$3)*'Raw Data'!$D$2:$D$9999*'Raw Data'!$AK$2:$AK$9999)/SUMIFS('Raw Data'!$D:$D, 'Raw Data'!$B:$B, "Variant", 'Raw Data'!$A:$A, $A8, 'Raw Data'!$C:$C, $C$3),""))</f>
        <v>7.29</v>
      </c>
      <c r="DB8" s="86">
        <f t="shared" si="35"/>
        <v>0.0704845815</v>
      </c>
      <c r="DC8" s="91">
        <f>IF($A8="","",IFERROR(SUMPRODUCT(('Raw Data'!$B$2:$B$9999="Control")*('Raw Data'!$A$2:$A$9999=$A8)*('Raw Data'!$C$2:$C$9999=$C$3)*'Raw Data'!$D$2:$D$9999*'Raw Data'!$AL$2:$AL$9999)/SUMIFS('Raw Data'!$D:$D, 'Raw Data'!$B:$B, "Control", 'Raw Data'!$A:$A, $A8, 'Raw Data'!$C:$C, $C$3),""))</f>
        <v>0.1717</v>
      </c>
      <c r="DD8" s="91">
        <f>IF($A8="","",IFERROR(SUMPRODUCT(('Raw Data'!$B$2:$B$9999="Variant")*('Raw Data'!$A$2:$A$9999=$A8)*('Raw Data'!$C$2:$C$9999=$C$3)*'Raw Data'!$D$2:$D$9999*'Raw Data'!$AL$2:$AL$9999)/SUMIFS('Raw Data'!$D:$D, 'Raw Data'!$B:$B, "Variant", 'Raw Data'!$A:$A, $A8, 'Raw Data'!$C:$C, $C$3),""))</f>
        <v>0.1627</v>
      </c>
      <c r="DE8" s="93">
        <f t="shared" si="36"/>
        <v>-0.05241700641</v>
      </c>
      <c r="DF8" s="107"/>
      <c r="DG8" s="79">
        <f>IF($A8="","",IFERROR(SUMPRODUCT(('Raw Data'!$B$2:$B$9999="Variant")*('Raw Data'!$A$2:$A$9999=$A8)*('Raw Data'!$C$2:$C$9999=$C$3)*'Raw Data'!$D$2:$D$9999*'Raw Data'!$AM$2:$AM$9999)/SUMIFS('Raw Data'!$D:$D, 'Raw Data'!$B:$B, "Variant", 'Raw Data'!$A:$A, $A8, 'Raw Data'!$C:$C, $C$3),""))</f>
        <v>59.32</v>
      </c>
      <c r="DH8" s="108"/>
      <c r="DI8" s="107"/>
      <c r="DJ8" s="79">
        <f>IF($A8="","",IFERROR(SUMPRODUCT(('Raw Data'!$B$2:$B$9999="Variant")*('Raw Data'!$A$2:$A$9999=$A8)*('Raw Data'!$C$2:$C$9999=$C$3)*'Raw Data'!$D$2:$D$9999*'Raw Data'!$AN$2:$AN$9999)/SUMIFS('Raw Data'!$D:$D, 'Raw Data'!$B:$B, "Variant", 'Raw Data'!$A:$A, $A8, 'Raw Data'!$C:$C, $C$3),""))</f>
        <v>59.32</v>
      </c>
      <c r="DK8" s="108"/>
      <c r="DL8" s="107"/>
      <c r="DM8" s="79">
        <f>IF($A8="","",IFERROR(SUMPRODUCT(('Raw Data'!$B$2:$B$9999="Variant")*('Raw Data'!$A$2:$A$9999=$A8)*('Raw Data'!$C$2:$C$9999=$C$3)*'Raw Data'!$D$2:$D$9999*'Raw Data'!$AO$2:$AO$9999)/SUMIFS('Raw Data'!$D:$D, 'Raw Data'!$B:$B, "Variant", 'Raw Data'!$A:$A, $A8, 'Raw Data'!$C:$C, $C$3),""))</f>
        <v>35.11</v>
      </c>
      <c r="DN8" s="108"/>
      <c r="DO8" s="107"/>
      <c r="DP8" s="79">
        <f>IF($A8="","",IFERROR(SUMPRODUCT(('Raw Data'!$B$2:$B$9999="Variant")*('Raw Data'!$A$2:$A$9999=$A8)*('Raw Data'!$C$2:$C$9999=$C$3)*'Raw Data'!$D$2:$D$9999*'Raw Data'!$AP$2:$AP$9999)/SUMIFS('Raw Data'!$D:$D, 'Raw Data'!$B:$B, "Variant", 'Raw Data'!$A:$A, $A8, 'Raw Data'!$C:$C, $C$3),""))</f>
        <v>18.19</v>
      </c>
      <c r="DQ8" s="108"/>
      <c r="DR8" s="91">
        <f>IF($A8="","",IFERROR(SUMPRODUCT(('Raw Data'!$B$2:$B$9999="Control")*('Raw Data'!$A$2:$A$9999=$A8)*('Raw Data'!$C$2:$C$9999=$C$3)*'Raw Data'!$D$2:$D$9999*'Raw Data'!$AQ$2:$AQ$9999)/SUMIFS('Raw Data'!$D:$D, 'Raw Data'!$B:$B, "Control", 'Raw Data'!$A:$A, $A8, 'Raw Data'!$C:$C, $C$3),""))</f>
        <v>9.5964</v>
      </c>
      <c r="DS8" s="91">
        <f>IF($A8="","",IFERROR(SUMPRODUCT(('Raw Data'!$B$2:$B$9999="Variant")*('Raw Data'!$A$2:$A$9999=$A8)*('Raw Data'!$C$2:$C$9999=$C$3)*'Raw Data'!$D$2:$D$9999*'Raw Data'!$AQ$2:$AQ$9999)/SUMIFS('Raw Data'!$D:$D, 'Raw Data'!$B:$B, "Variant", 'Raw Data'!$A:$A, $A8, 'Raw Data'!$C:$C, $C$3),""))</f>
        <v>10.1941</v>
      </c>
      <c r="DT8" s="110">
        <f t="shared" si="37"/>
        <v>0.06228377308</v>
      </c>
      <c r="DU8" s="91">
        <f>IF($A8="","",IFERROR(SUMPRODUCT(('Raw Data'!$B$2:$B$9999="Control")*('Raw Data'!$A$2:$A$9999=$A8)*('Raw Data'!$C$2:$C$9999=$C$3)*'Raw Data'!$D$2:$D$9999*'Raw Data'!$AR$2:$AR$9999)/SUMIFS('Raw Data'!$D:$D, 'Raw Data'!$B:$B, "Control", 'Raw Data'!$A:$A, $A8, 'Raw Data'!$C:$C, $C$3),""))</f>
        <v>0.2562</v>
      </c>
      <c r="DV8" s="91">
        <f>IF($A8="","",IFERROR(SUMPRODUCT(('Raw Data'!$B$2:$B$9999="Variant")*('Raw Data'!$A$2:$A$9999=$A8)*('Raw Data'!$C$2:$C$9999=$C$3)*'Raw Data'!$D$2:$D$9999*'Raw Data'!$AR$2:$AR$9999)/SUMIFS('Raw Data'!$D:$D, 'Raw Data'!$B:$B, "Variant", 'Raw Data'!$A:$A, $A8, 'Raw Data'!$C:$C, $C$3),""))</f>
        <v>0.2253</v>
      </c>
      <c r="DW8" s="110">
        <f t="shared" si="38"/>
        <v>-0.1206088993</v>
      </c>
      <c r="DX8" s="91">
        <f>IF($A8="","",IFERROR(SUMPRODUCT(('Raw Data'!$B$2:$B$9999="Control")*('Raw Data'!$A$2:$A$9999=$A8)*('Raw Data'!$C$2:$C$9999=$C$3)*'Raw Data'!$D$2:$D$9999*'Raw Data'!$AS$2:$AS$9999)/SUMIFS('Raw Data'!$D:$D, 'Raw Data'!$B:$B, "Control", 'Raw Data'!$A:$A, $A8, 'Raw Data'!$C:$C, $C$3),""))</f>
        <v>9.3402</v>
      </c>
      <c r="DY8" s="91">
        <f>IF($A8="","",IFERROR(SUMPRODUCT(('Raw Data'!$B$2:$B$9999="Variant")*('Raw Data'!$A$2:$A$9999=$A8)*('Raw Data'!$C$2:$C$9999=$C$3)*'Raw Data'!$D$2:$D$9999*'Raw Data'!$AS$2:$AS$9999)/SUMIFS('Raw Data'!$D:$D, 'Raw Data'!$B:$B, "Variant", 'Raw Data'!$A:$A, $A8, 'Raw Data'!$C:$C, $C$3),""))</f>
        <v>9.9688</v>
      </c>
      <c r="DZ8" s="111">
        <f t="shared" si="39"/>
        <v>0.06730048607</v>
      </c>
      <c r="EA8" s="91">
        <f>IF($A8="","",IFERROR(SUMPRODUCT(('Raw Data'!$B$2:$B$9999="Control")*('Raw Data'!$A$2:$A$9999=$A8)*('Raw Data'!$C$2:$C$9999=$C$3)*'Raw Data'!$D$2:$D$9999*'Raw Data'!$AT$2:$AT$9999)/SUMIFS('Raw Data'!$D:$D, 'Raw Data'!$B:$B, "Control", 'Raw Data'!$A:$A, $A8, 'Raw Data'!$C:$C, $C$3),""))</f>
        <v>9.5711</v>
      </c>
      <c r="EB8" s="91">
        <f>IF($A8="","",IFERROR(SUMPRODUCT(('Raw Data'!$B$2:$B$9999="Variant")*('Raw Data'!$A$2:$A$9999=$A8)*('Raw Data'!$C$2:$C$9999=$C$3)*'Raw Data'!$D$2:$D$9999*'Raw Data'!$AT$2:$AT$9999)/SUMIFS('Raw Data'!$D:$D, 'Raw Data'!$B:$B, "Variant", 'Raw Data'!$A:$A, $A8, 'Raw Data'!$C:$C, $C$3),""))</f>
        <v>10.2317</v>
      </c>
      <c r="EC8" s="110">
        <f t="shared" si="40"/>
        <v>0.0690202798</v>
      </c>
      <c r="ED8" s="91">
        <f>IF($A8="","",IFERROR(SUMPRODUCT(('Raw Data'!$B$2:$B$9999="Control")*('Raw Data'!$A$2:$A$9999=$A8)*('Raw Data'!$C$2:$C$9999=$C$3)*'Raw Data'!$D$2:$D$9999*('Raw Data'!$AQ$2:$AQ$9999-'Raw Data'!$AT$2:$AT$9999))/SUMIFS('Raw Data'!$D:$D, 'Raw Data'!$B:$B, "Control", 'Raw Data'!$A:$A, $A8, 'Raw Data'!$C:$C, $C$3),""))</f>
        <v>0.0253</v>
      </c>
      <c r="EE8" s="91">
        <f>IF($A8="","",IFERROR(SUMPRODUCT(('Raw Data'!$B$2:$B$9999="Variant")*('Raw Data'!$A$2:$A$9999=$A8)*('Raw Data'!$C$2:$C$9999=$C$3)*'Raw Data'!$D$2:$D$9999*('Raw Data'!$AQ$2:$AQ$9999-'Raw Data'!$AT$2:$AT$9999))/SUMIFS('Raw Data'!$D:$D, 'Raw Data'!$B:$B, "Variant", 'Raw Data'!$A:$A, $A8, 'Raw Data'!$C:$C, $C$3),""))</f>
        <v>-0.0376</v>
      </c>
      <c r="EF8" s="111">
        <f t="shared" si="41"/>
        <v>-2.486166008</v>
      </c>
      <c r="EG8" s="91">
        <f>IF($A8="","",IFERROR(SUMPRODUCT(('Raw Data'!$B$2:$B$9999="Control")*('Raw Data'!$A$2:$A$9999=$A8)*('Raw Data'!$C$2:$C$9999=$C$3)*'Raw Data'!$D$2:$D$9999*'Raw Data'!$AU$2:$AU$9999)/SUMIFS('Raw Data'!$D:$D, 'Raw Data'!$B:$B, "Control", 'Raw Data'!$A:$A, $A8, 'Raw Data'!$C:$C, $C$3),""))</f>
        <v>0.2242</v>
      </c>
      <c r="EH8" s="91">
        <f>IF($A8="","",IFERROR(SUMPRODUCT(('Raw Data'!$B$2:$B$9999="Variant")*('Raw Data'!$A$2:$A$9999=$A8)*('Raw Data'!$C$2:$C$9999=$C$3)*'Raw Data'!$D$2:$D$9999*'Raw Data'!$AU$2:$AU$9999)/SUMIFS('Raw Data'!$D:$D, 'Raw Data'!$B:$B, "Variant", 'Raw Data'!$A:$A, $A8, 'Raw Data'!$C:$C, $C$3),""))</f>
        <v>0.2187</v>
      </c>
      <c r="EI8" s="110">
        <f t="shared" si="42"/>
        <v>-0.02453166815</v>
      </c>
    </row>
    <row r="9" ht="15.75" customHeight="1">
      <c r="A9" s="74">
        <v>46232.0</v>
      </c>
      <c r="B9" s="76">
        <f>IF($A9="","",SUMIFS('Raw Data'!$D:$D, 'Raw Data'!$B:$B, "Control", 'Raw Data'!$A:$A, $A9, 'Raw Data'!$C:$C, $C$3))</f>
        <v>3836</v>
      </c>
      <c r="C9" s="76">
        <f>IF($A9="","",SUMIFS('Raw Data'!$D:$D, 'Raw Data'!$B:$B, "Variant", 'Raw Data'!$A:$A, $A9, 'Raw Data'!$C:$C, $C$3))</f>
        <v>4056</v>
      </c>
      <c r="D9" s="77">
        <f t="shared" si="1"/>
        <v>0.05735140772</v>
      </c>
      <c r="E9" s="79">
        <f>IF($A9="","",IFERROR(SUMPRODUCT(('Raw Data'!$B$2:$B$9999="Control")*('Raw Data'!$A$2:$A$9999=$A9)*('Raw Data'!$C$2:$C$9999=$C$3)*'Raw Data'!$D$2:$D$9999*'Raw Data'!$E$2:$E$9999)/SUMIFS('Raw Data'!$D:$D, 'Raw Data'!$B:$B, "Control", 'Raw Data'!$A:$A, $A9, 'Raw Data'!$C:$C, $C$3),""))</f>
        <v>16.65</v>
      </c>
      <c r="F9" s="79">
        <f>IF($A9="","",IFERROR(SUMPRODUCT(('Raw Data'!$B$2:$B$9999="Variant")*('Raw Data'!$A$2:$A$9999=$A9)*('Raw Data'!$C$2:$C$9999=$C$3)*'Raw Data'!$D$2:$D$9999*'Raw Data'!$E$2:$E$9999)/SUMIFS('Raw Data'!$D:$D, 'Raw Data'!$B:$B, "Variant", 'Raw Data'!$A:$A, $A9, 'Raw Data'!$C:$C, $C$3),""))</f>
        <v>17.64</v>
      </c>
      <c r="G9" s="77">
        <f t="shared" si="2"/>
        <v>0.05945945946</v>
      </c>
      <c r="H9" s="85">
        <f>IF($A9="","",SUMIFS('Raw Data'!$F:$F, 'Raw Data'!$B:$B, "Control", 'Raw Data'!$A:$A, $A9, 'Raw Data'!$C:$C, $C$3))</f>
        <v>979.28</v>
      </c>
      <c r="I9" s="85">
        <f>IF($A9="","",SUMIFS('Raw Data'!$F:$F, 'Raw Data'!$B:$B, "Variant", 'Raw Data'!$A:$A, $A9, 'Raw Data'!$C:$C, $C$3))</f>
        <v>932.72</v>
      </c>
      <c r="J9" s="86">
        <f t="shared" si="3"/>
        <v>-0.0475451352</v>
      </c>
      <c r="K9" s="88">
        <f>IF($A9="","",IFERROR(SUMIFS('Raw Data'!$F:$F, 'Raw Data'!$B:$B, "Control", 'Raw Data'!$A:$A, $A9, 'Raw Data'!$C:$C, $C$3)/SUMIFS('Raw Data'!$D:$D, 'Raw Data'!$B:$B, "Control", 'Raw Data'!$A:$A, $A9, 'Raw Data'!$C:$C, $C$3),""))</f>
        <v>0.255286757</v>
      </c>
      <c r="L9" s="88">
        <f>IF($A9="","",IFERROR(SUMIFS('Raw Data'!$F:$F, 'Raw Data'!$B:$B, "Variant", 'Raw Data'!$A:$A, $A9, 'Raw Data'!$C:$C, $C$3)/SUMIFS('Raw Data'!$D:$D, 'Raw Data'!$B:$B, "Variant", 'Raw Data'!$A:$A, $A9, 'Raw Data'!$C:$C, $C$3),""))</f>
        <v>0.2299605523</v>
      </c>
      <c r="M9" s="86">
        <f t="shared" si="4"/>
        <v>-0.09920688822</v>
      </c>
      <c r="N9" s="79">
        <f>IF($A9="","",IFERROR(SUMPRODUCT(('Raw Data'!$B$2:$B$9999="Control")*('Raw Data'!$A$2:$A$9999=$A9)*('Raw Data'!$C$2:$C$9999=$C$3)*'Raw Data'!$D$2:$D$9999*'Raw Data'!$H$2:$H$9999/100)/SUMIFS('Raw Data'!$D:$D, 'Raw Data'!$B:$B, "Control", 'Raw Data'!$A:$A, $A9, 'Raw Data'!$C:$C, $C$3)*100,""))</f>
        <v>5.4</v>
      </c>
      <c r="O9" s="79">
        <f>IF($A9="","",IFERROR(SUMPRODUCT(('Raw Data'!$B$2:$B$9999="Variant")*('Raw Data'!$A$2:$A$9999=$A9)*('Raw Data'!$C$2:$C$9999=$C$3)*'Raw Data'!$D$2:$D$9999*'Raw Data'!$H$2:$H$9999/100)/SUMIFS('Raw Data'!$D:$D, 'Raw Data'!$B:$B, "Variant", 'Raw Data'!$A:$A, $A9, 'Raw Data'!$C:$C, $C$3)*100,""))</f>
        <v>4.68</v>
      </c>
      <c r="P9" s="86">
        <f t="shared" si="5"/>
        <v>-0.1333333333</v>
      </c>
      <c r="Q9" s="88">
        <f>IF($A9="","",IFERROR(SUMIFS('Raw Data'!$F:$F, 'Raw Data'!$B:$B, "Control", 'Raw Data'!$A:$A, $A9, 'Raw Data'!$C:$C, $C$3)/SUMPRODUCT(('Raw Data'!$B$2:$B$9999="Control")*('Raw Data'!$A$2:$A$9999=$A9)*('Raw Data'!$C$2:$C$9999=$C$3)*'Raw Data'!$D$2:$D$9999*'Raw Data'!$H$2:$H$9999/100),""))</f>
        <v>4.727532538</v>
      </c>
      <c r="R9" s="88">
        <f>IF($A9="","",IFERROR(SUMIFS('Raw Data'!$F:$F, 'Raw Data'!$B:$B, "Variant", 'Raw Data'!$A:$A, $A9, 'Raw Data'!$C:$C, $C$3)/SUMPRODUCT(('Raw Data'!$B$2:$B$9999="Variant")*('Raw Data'!$A$2:$A$9999=$A9)*('Raw Data'!$C$2:$C$9999=$C$3)*'Raw Data'!$D$2:$D$9999*'Raw Data'!$H$2:$H$9999/100),""))</f>
        <v>4.913687014</v>
      </c>
      <c r="S9" s="86">
        <f t="shared" si="6"/>
        <v>0.03937666744</v>
      </c>
      <c r="T9" s="90">
        <f>IF($A9="","",IFERROR(SUMPRODUCT(('Raw Data'!$B$2:$B$9999="Control")*('Raw Data'!$A$2:$A$9999=$A9)*('Raw Data'!$C$2:$C$9999=$C$3)*'Raw Data'!$D$2:$D$9999*'Raw Data'!$J$2:$J$9999)/SUMIFS('Raw Data'!$D:$D, 'Raw Data'!$B:$B, "Control", 'Raw Data'!$A:$A, $A9, 'Raw Data'!$C:$C, $C$3),""))</f>
        <v>78.34</v>
      </c>
      <c r="U9" s="90">
        <f>IF($A9="","",IFERROR(SUMPRODUCT(('Raw Data'!$B$2:$B$9999="Variant")*('Raw Data'!$A$2:$A$9999=$A9)*('Raw Data'!$C$2:$C$9999=$C$3)*'Raw Data'!$D$2:$D$9999*'Raw Data'!$J$2:$J$9999)/SUMIFS('Raw Data'!$D:$D, 'Raw Data'!$B:$B, "Variant", 'Raw Data'!$A:$A, $A9, 'Raw Data'!$C:$C, $C$3),""))</f>
        <v>83.9</v>
      </c>
      <c r="V9" s="86">
        <f t="shared" si="7"/>
        <v>0.07097268318</v>
      </c>
      <c r="W9" s="90">
        <f>IF($A9="","",IFERROR(SUMPRODUCT(('Raw Data'!$B$2:$B$9999="Control")*('Raw Data'!$A$2:$A$9999=$A9)*('Raw Data'!$C$2:$C$9999=$C$3)*'Raw Data'!$D$2:$D$9999*'Raw Data'!$K$2:$K$9999)/SUMIFS('Raw Data'!$D:$D, 'Raw Data'!$B:$B, "Control", 'Raw Data'!$A:$A, $A9, 'Raw Data'!$C:$C, $C$3),""))</f>
        <v>41.86</v>
      </c>
      <c r="X9" s="90">
        <f>IF($A9="","",IFERROR(SUMPRODUCT(('Raw Data'!$B$2:$B$9999="Variant")*('Raw Data'!$A$2:$A$9999=$A9)*('Raw Data'!$C$2:$C$9999=$C$3)*'Raw Data'!$D$2:$D$9999*'Raw Data'!$K$2:$K$9999)/SUMIFS('Raw Data'!$D:$D, 'Raw Data'!$B:$B, "Variant", 'Raw Data'!$A:$A, $A9, 'Raw Data'!$C:$C, $C$3),""))</f>
        <v>43.13</v>
      </c>
      <c r="Y9" s="86">
        <f t="shared" si="8"/>
        <v>0.03033922599</v>
      </c>
      <c r="Z9" s="90">
        <f>IF($A9="","",IFERROR(SUMPRODUCT(('Raw Data'!$B$2:$B$9999="Control")*('Raw Data'!$A$2:$A$9999=$A9)*('Raw Data'!$C$2:$C$9999=$C$3)*'Raw Data'!$D$2:$D$9999*'Raw Data'!$L$2:$L$9999)/SUMIFS('Raw Data'!$D:$D, 'Raw Data'!$B:$B, "Control", 'Raw Data'!$A:$A, $A9, 'Raw Data'!$C:$C, $C$3),""))</f>
        <v>27.1</v>
      </c>
      <c r="AA9" s="90">
        <f>IF($A9="","",IFERROR(SUMPRODUCT(('Raw Data'!$B$2:$B$9999="Variant")*('Raw Data'!$A$2:$A$9999=$A9)*('Raw Data'!$C$2:$C$9999=$C$3)*'Raw Data'!$D$2:$D$9999*'Raw Data'!$L$2:$L$9999)/SUMIFS('Raw Data'!$D:$D, 'Raw Data'!$B:$B, "Variant", 'Raw Data'!$A:$A, $A9, 'Raw Data'!$C:$C, $C$3),""))</f>
        <v>28.07</v>
      </c>
      <c r="AB9" s="86">
        <f t="shared" si="9"/>
        <v>0.03579335793</v>
      </c>
      <c r="AC9" s="91">
        <f>IF($A9="","",IFERROR(SUMPRODUCT(('Raw Data'!$B$2:$B$9999="Control")*('Raw Data'!$A$2:$A$9999=$A9)*('Raw Data'!$C$2:$C$9999=$C$3)*'Raw Data'!$D$2:$D$9999*'Raw Data'!$M$2:$M$9999)/SUMIFS('Raw Data'!$D:$D, 'Raw Data'!$B:$B, "Control", 'Raw Data'!$A:$A, $A9, 'Raw Data'!$C:$C, $C$3),""))</f>
        <v>0.6474</v>
      </c>
      <c r="AD9" s="91">
        <f>IF($A9="","",IFERROR(SUMPRODUCT(('Raw Data'!$B$2:$B$9999="Variant")*('Raw Data'!$A$2:$A$9999=$A9)*('Raw Data'!$C$2:$C$9999=$C$3)*'Raw Data'!$D$2:$D$9999*'Raw Data'!$M$2:$M$9999)/SUMIFS('Raw Data'!$D:$D, 'Raw Data'!$B:$B, "Variant", 'Raw Data'!$A:$A, $A9, 'Raw Data'!$C:$C, $C$3),""))</f>
        <v>0.6508</v>
      </c>
      <c r="AE9" s="93">
        <f t="shared" si="10"/>
        <v>0.005251776336</v>
      </c>
      <c r="AF9" s="91">
        <f>IF($A9="","",IFERROR(SUMPRODUCT(('Raw Data'!$B$2:$B$9999="Control")*('Raw Data'!$A$2:$A$9999=$A9)*('Raw Data'!$C$2:$C$9999=$C$3)*'Raw Data'!$D$2:$D$9999*'Raw Data'!$N$2:$N$9999)/SUMIFS('Raw Data'!$D:$D, 'Raw Data'!$B:$B, "Control", 'Raw Data'!$A:$A, $A9, 'Raw Data'!$C:$C, $C$3),""))</f>
        <v>0.5101</v>
      </c>
      <c r="AG9" s="91">
        <f>IF($A9="","",IFERROR(SUMPRODUCT(('Raw Data'!$B$2:$B$9999="Variant")*('Raw Data'!$A$2:$A$9999=$A9)*('Raw Data'!$C$2:$C$9999=$C$3)*'Raw Data'!$D$2:$D$9999*'Raw Data'!$N$2:$N$9999)/SUMIFS('Raw Data'!$D:$D, 'Raw Data'!$B:$B, "Variant", 'Raw Data'!$A:$A, $A9, 'Raw Data'!$C:$C, $C$3),""))</f>
        <v>0.5109</v>
      </c>
      <c r="AH9" s="93">
        <f t="shared" si="11"/>
        <v>0.001568319937</v>
      </c>
      <c r="AI9" s="91">
        <f>IF($A9="","",IFERROR(SUMPRODUCT(('Raw Data'!$B$2:$B$9999="Control")*('Raw Data'!$A$2:$A$9999=$A9)*('Raw Data'!$C$2:$C$9999=$C$3)*'Raw Data'!$D$2:$D$9999*'Raw Data'!$O$2:$O$9999)/SUMIFS('Raw Data'!$D:$D, 'Raw Data'!$B:$B, "Control", 'Raw Data'!$A:$A, $A9, 'Raw Data'!$C:$C, $C$3),""))</f>
        <v>0.3383</v>
      </c>
      <c r="AJ9" s="91">
        <f>IF($A9="","",IFERROR(SUMPRODUCT(('Raw Data'!$B$2:$B$9999="Variant")*('Raw Data'!$A$2:$A$9999=$A9)*('Raw Data'!$C$2:$C$9999=$C$3)*'Raw Data'!$D$2:$D$9999*'Raw Data'!$O$2:$O$9999)/SUMIFS('Raw Data'!$D:$D, 'Raw Data'!$B:$B, "Variant", 'Raw Data'!$A:$A, $A9, 'Raw Data'!$C:$C, $C$3),""))</f>
        <v>0.3403</v>
      </c>
      <c r="AK9" s="86">
        <f t="shared" si="12"/>
        <v>0.005911912504</v>
      </c>
      <c r="AL9" s="90">
        <f>IF($A9="","",IFERROR(SUMPRODUCT(('Raw Data'!$B$2:$B$9999="Control")*('Raw Data'!$A$2:$A$9999=$A9)*('Raw Data'!$C$2:$C$9999=$C$3)*'Raw Data'!$D$2:$D$9999*'Raw Data'!$P$2:$P$9999)/SUMIFS('Raw Data'!$D:$D, 'Raw Data'!$B:$B, "Control", 'Raw Data'!$A:$A, $A9, 'Raw Data'!$C:$C, $C$3),""))</f>
        <v>1.5447</v>
      </c>
      <c r="AM9" s="90">
        <f>IF($A9="","",IFERROR(SUMPRODUCT(('Raw Data'!$B$2:$B$9999="Variant")*('Raw Data'!$A$2:$A$9999=$A9)*('Raw Data'!$C$2:$C$9999=$C$3)*'Raw Data'!$D$2:$D$9999*'Raw Data'!$P$2:$P$9999)/SUMIFS('Raw Data'!$D:$D, 'Raw Data'!$B:$B, "Variant", 'Raw Data'!$A:$A, $A9, 'Raw Data'!$C:$C, $C$3),""))</f>
        <v>1.5367</v>
      </c>
      <c r="AN9" s="86">
        <f t="shared" si="13"/>
        <v>-0.005178999158</v>
      </c>
      <c r="AO9" s="90">
        <f>IF($A9="","",IFERROR(SUMPRODUCT(('Raw Data'!$B$2:$B$9999="Control")*('Raw Data'!$A$2:$A$9999=$A9)*('Raw Data'!$C$2:$C$9999=$C$3)*'Raw Data'!$D$2:$D$9999*'Raw Data'!$Q$2:$Q$9999)/SUMIFS('Raw Data'!$D:$D, 'Raw Data'!$B:$B, "Control", 'Raw Data'!$A:$A, $A9, 'Raw Data'!$C:$C, $C$3),""))</f>
        <v>150.83</v>
      </c>
      <c r="AP9" s="90">
        <f>IF($A9="","",IFERROR(SUMPRODUCT(('Raw Data'!$B$2:$B$9999="Variant")*('Raw Data'!$A$2:$A$9999=$A9)*('Raw Data'!$C$2:$C$9999=$C$3)*'Raw Data'!$D$2:$D$9999*'Raw Data'!$Q$2:$Q$9999)/SUMIFS('Raw Data'!$D:$D, 'Raw Data'!$B:$B, "Variant", 'Raw Data'!$A:$A, $A9, 'Raw Data'!$C:$C, $C$3),""))</f>
        <v>163.7</v>
      </c>
      <c r="AQ9" s="77">
        <f t="shared" si="14"/>
        <v>0.08532785255</v>
      </c>
      <c r="AR9" s="90">
        <f>IF($A9="","",IFERROR(SUMPRODUCT(('Raw Data'!$B$2:$B$9999="Control")*('Raw Data'!$A$2:$A$9999=$A9)*('Raw Data'!$C$2:$C$9999=$C$3)*'Raw Data'!$D$2:$D$9999*'Raw Data'!$R$2:$R$9999)/SUMIFS('Raw Data'!$D:$D, 'Raw Data'!$B:$B, "Control", 'Raw Data'!$A:$A, $A9, 'Raw Data'!$C:$C, $C$3),""))</f>
        <v>112.34</v>
      </c>
      <c r="AS9" s="90">
        <f>IF($A9="","",IFERROR(SUMPRODUCT(('Raw Data'!$B$2:$B$9999="Variant")*('Raw Data'!$A$2:$A$9999=$A9)*('Raw Data'!$C$2:$C$9999=$C$3)*'Raw Data'!$D$2:$D$9999*'Raw Data'!$R$2:$R$9999)/SUMIFS('Raw Data'!$D:$D, 'Raw Data'!$B:$B, "Variant", 'Raw Data'!$A:$A, $A9, 'Raw Data'!$C:$C, $C$3),""))</f>
        <v>145.93</v>
      </c>
      <c r="AT9" s="77">
        <f t="shared" si="15"/>
        <v>0.2990030265</v>
      </c>
      <c r="AU9" s="90">
        <f>IF($A9="","",IFERROR(SUMPRODUCT(('Raw Data'!$B$2:$B$9999="Control")*('Raw Data'!$A$2:$A$9999=$A9)*('Raw Data'!$C$2:$C$9999=$C$3)*'Raw Data'!$D$2:$D$9999*'Raw Data'!$S$2:$S$9999)/SUMIFS('Raw Data'!$D:$D, 'Raw Data'!$B:$B, "Control", 'Raw Data'!$A:$A, $A9, 'Raw Data'!$C:$C, $C$3),""))</f>
        <v>38.49</v>
      </c>
      <c r="AV9" s="90">
        <f>IF($A9="","",IFERROR(SUMPRODUCT(('Raw Data'!$B$2:$B$9999="Variant")*('Raw Data'!$A$2:$A$9999=$A9)*('Raw Data'!$C$2:$C$9999=$C$3)*'Raw Data'!$D$2:$D$9999*'Raw Data'!$S$2:$S$9999)/SUMIFS('Raw Data'!$D:$D, 'Raw Data'!$B:$B, "Variant", 'Raw Data'!$A:$A, $A9, 'Raw Data'!$C:$C, $C$3),""))</f>
        <v>17.77</v>
      </c>
      <c r="AW9" s="77">
        <f t="shared" si="16"/>
        <v>-0.538321642</v>
      </c>
      <c r="AX9" s="90">
        <f>IF($A9="","",IFERROR(SUMPRODUCT(('Raw Data'!$B$2:$B$9999="Control")*('Raw Data'!$A$2:$A$9999=$A9)*('Raw Data'!$C$2:$C$9999=$C$3)*'Raw Data'!$D$2:$D$9999*'Raw Data'!$T$2:$T$9999)/SUMIFS('Raw Data'!$D:$D, 'Raw Data'!$B:$B, "Control", 'Raw Data'!$A:$A, $A9, 'Raw Data'!$C:$C, $C$3),""))</f>
        <v>21.51</v>
      </c>
      <c r="AY9" s="90">
        <f>IF($A9="","",IFERROR(SUMPRODUCT(('Raw Data'!$B$2:$B$9999="Variant")*('Raw Data'!$A$2:$A$9999=$A9)*('Raw Data'!$C$2:$C$9999=$C$3)*'Raw Data'!$D$2:$D$9999*'Raw Data'!$T$2:$T$9999)/SUMIFS('Raw Data'!$D:$D, 'Raw Data'!$B:$B, "Variant", 'Raw Data'!$A:$A, $A9, 'Raw Data'!$C:$C, $C$3),""))</f>
        <v>22.47</v>
      </c>
      <c r="AZ9" s="86">
        <f t="shared" si="17"/>
        <v>0.04463040446</v>
      </c>
      <c r="BA9" s="90">
        <f>IF($A9="","",IFERROR(SUMPRODUCT(('Raw Data'!$B$2:$B$9999="Control")*('Raw Data'!$A$2:$A$9999=$A9)*('Raw Data'!$C$2:$C$9999=$C$3)*'Raw Data'!$D$2:$D$9999*'Raw Data'!$U$2:$U$9999)/SUMIFS('Raw Data'!$D:$D, 'Raw Data'!$B:$B, "Control", 'Raw Data'!$A:$A, $A9, 'Raw Data'!$C:$C, $C$3),""))</f>
        <v>129.32</v>
      </c>
      <c r="BB9" s="90">
        <f>IF($A9="","",IFERROR(SUMPRODUCT(('Raw Data'!$B$2:$B$9999="Variant")*('Raw Data'!$A$2:$A$9999=$A9)*('Raw Data'!$C$2:$C$9999=$C$3)*'Raw Data'!$D$2:$D$9999*'Raw Data'!$U$2:$U$9999)/SUMIFS('Raw Data'!$D:$D, 'Raw Data'!$B:$B, "Variant", 'Raw Data'!$A:$A, $A9, 'Raw Data'!$C:$C, $C$3),""))</f>
        <v>141.23</v>
      </c>
      <c r="BC9" s="77">
        <f t="shared" si="18"/>
        <v>0.09209712341</v>
      </c>
      <c r="BD9" s="90">
        <f>IF($A9="","",IFERROR(SUMPRODUCT(('Raw Data'!$B$2:$B$9999="Control")*('Raw Data'!$A$2:$A$9999=$A9)*('Raw Data'!$C$2:$C$9999=$C$3)*'Raw Data'!$D$2:$D$9999*'Raw Data'!$V$2:$V$9999)/SUMIFS('Raw Data'!$D:$D, 'Raw Data'!$B:$B, "Control", 'Raw Data'!$A:$A, $A9, 'Raw Data'!$C:$C, $C$3),""))</f>
        <v>179.3</v>
      </c>
      <c r="BE9" s="90">
        <f>IF($A9="","",IFERROR(SUMPRODUCT(('Raw Data'!$B$2:$B$9999="Variant")*('Raw Data'!$A$2:$A$9999=$A9)*('Raw Data'!$C$2:$C$9999=$C$3)*'Raw Data'!$D$2:$D$9999*'Raw Data'!$V$2:$V$9999)/SUMIFS('Raw Data'!$D:$D, 'Raw Data'!$B:$B, "Variant", 'Raw Data'!$A:$A, $A9, 'Raw Data'!$C:$C, $C$3),""))</f>
        <v>167.58</v>
      </c>
      <c r="BF9" s="77">
        <f t="shared" si="19"/>
        <v>-0.06536530954</v>
      </c>
      <c r="BG9" s="90">
        <f>IF($A9="","",IFERROR(SUMPRODUCT(('Raw Data'!$B$2:$B$9999="Control")*('Raw Data'!$A$2:$A$9999=$A9)*('Raw Data'!$C$2:$C$9999=$C$3)*'Raw Data'!$D$2:$D$9999*('Raw Data'!$Q$2:$Q$9999-'Raw Data'!$V$2:$V$9999))/SUMIFS('Raw Data'!$D:$D, 'Raw Data'!$B:$B, "Control", 'Raw Data'!$A:$A, $A9, 'Raw Data'!$C:$C, $C$3),""))</f>
        <v>-28.47</v>
      </c>
      <c r="BH9" s="90">
        <f>IF($A9="","",IFERROR(SUMPRODUCT(('Raw Data'!$B$2:$B$9999="Variant")*('Raw Data'!$A$2:$A$9999=$A9)*('Raw Data'!$C$2:$C$9999=$C$3)*'Raw Data'!$D$2:$D$9999*('Raw Data'!$Q$2:$Q$9999-'Raw Data'!$V$2:$V$9999))/SUMIFS('Raw Data'!$D:$D, 'Raw Data'!$B:$B, "Variant", 'Raw Data'!$A:$A, $A9, 'Raw Data'!$C:$C, $C$3),""))</f>
        <v>-3.88</v>
      </c>
      <c r="BI9" s="77">
        <f t="shared" si="20"/>
        <v>0.8637161925</v>
      </c>
      <c r="BJ9" s="90">
        <f>IF($A9="","",IFERROR(SUMPRODUCT(('Raw Data'!$B$2:$B$9999="Control")*('Raw Data'!$A$2:$A$9999=$A9)*('Raw Data'!$C$2:$C$9999=$C$3)*'Raw Data'!$D$2:$D$9999*'Raw Data'!$W$2:$W$9999)/SUMIFS('Raw Data'!$D:$D, 'Raw Data'!$B:$B, "Control", 'Raw Data'!$A:$A, $A9, 'Raw Data'!$C:$C, $C$3),""))</f>
        <v>4.2833</v>
      </c>
      <c r="BK9" s="90">
        <f>IF($A9="","",IFERROR(SUMPRODUCT(('Raw Data'!$B$2:$B$9999="Variant")*('Raw Data'!$A$2:$A$9999=$A9)*('Raw Data'!$C$2:$C$9999=$C$3)*'Raw Data'!$D$2:$D$9999*'Raw Data'!$W$2:$W$9999)/SUMIFS('Raw Data'!$D:$D, 'Raw Data'!$B:$B, "Variant", 'Raw Data'!$A:$A, $A9, 'Raw Data'!$C:$C, $C$3),""))</f>
        <v>3.8859</v>
      </c>
      <c r="BL9" s="77">
        <f t="shared" si="21"/>
        <v>-0.09277893213</v>
      </c>
      <c r="BM9" s="91">
        <f>IF($A9="","",IFERROR(SUMPRODUCT(('Raw Data'!$B$2:$B$9999="Control")*('Raw Data'!$A$2:$A$9999=$A9)*('Raw Data'!$C$2:$C$9999=$C$3)*'Raw Data'!$D$2:$D$9999*'Raw Data'!$X$2:$X$9999)/SUMIFS('Raw Data'!$D:$D, 'Raw Data'!$B:$B, "Control", 'Raw Data'!$A:$A, $A9, 'Raw Data'!$C:$C, $C$3),""))</f>
        <v>14.26</v>
      </c>
      <c r="BN9" s="91">
        <f>IF($A9="","",IFERROR(SUMPRODUCT(('Raw Data'!$B$2:$B$9999="Variant")*('Raw Data'!$A$2:$A$9999=$A9)*('Raw Data'!$C$2:$C$9999=$C$3)*'Raw Data'!$D$2:$D$9999*'Raw Data'!$X$2:$X$9999)/SUMIFS('Raw Data'!$D:$D, 'Raw Data'!$B:$B, "Variant", 'Raw Data'!$A:$A, $A9, 'Raw Data'!$C:$C, $C$3),""))</f>
        <v>13.73</v>
      </c>
      <c r="BO9" s="86">
        <f t="shared" si="22"/>
        <v>-0.03716690042</v>
      </c>
      <c r="BP9" s="76">
        <f>IF($A9="","",IFERROR(SUMPRODUCT(('Raw Data'!$B$2:$B$9999="Control")*('Raw Data'!$A$2:$A$9999=$A9)*('Raw Data'!$C$2:$C$9999=$C$3)*'Raw Data'!$D$2:$D$9999*'Raw Data'!$Y$2:$Y$9999)/SUMIFS('Raw Data'!$D:$D, 'Raw Data'!$B:$B, "Control", 'Raw Data'!$A:$A, $A9, 'Raw Data'!$C:$C, $C$3),""))</f>
        <v>105</v>
      </c>
      <c r="BQ9" s="76">
        <f>IF($A9="","",IFERROR(SUMPRODUCT(('Raw Data'!$B$2:$B$9999="Variant")*('Raw Data'!$A$2:$A$9999=$A9)*('Raw Data'!$C$2:$C$9999=$C$3)*'Raw Data'!$D$2:$D$9999*'Raw Data'!$Y$2:$Y$9999)/SUMIFS('Raw Data'!$D:$D, 'Raw Data'!$B:$B, "Variant", 'Raw Data'!$A:$A, $A9, 'Raw Data'!$C:$C, $C$3),""))</f>
        <v>105</v>
      </c>
      <c r="BR9" s="77">
        <f t="shared" si="23"/>
        <v>0</v>
      </c>
      <c r="BS9" s="76">
        <f>IF($A9="","",IFERROR(SUMPRODUCT(('Raw Data'!$B$2:$B$9999="Control")*('Raw Data'!$A$2:$A$9999=$A9)*('Raw Data'!$C$2:$C$9999=$C$3)*'Raw Data'!$D$2:$D$9999*'Raw Data'!$Z$2:$Z$9999)/SUMIFS('Raw Data'!$D:$D, 'Raw Data'!$B:$B, "Control", 'Raw Data'!$A:$A, $A9, 'Raw Data'!$C:$C, $C$3),""))</f>
        <v>548</v>
      </c>
      <c r="BT9" s="76">
        <f>IF($A9="","",IFERROR(SUMPRODUCT(('Raw Data'!$B$2:$B$9999="Variant")*('Raw Data'!$A$2:$A$9999=$A9)*('Raw Data'!$C$2:$C$9999=$C$3)*'Raw Data'!$D$2:$D$9999*'Raw Data'!$Z$2:$Z$9999)/SUMIFS('Raw Data'!$D:$D, 'Raw Data'!$B:$B, "Variant", 'Raw Data'!$A:$A, $A9, 'Raw Data'!$C:$C, $C$3),""))</f>
        <v>490</v>
      </c>
      <c r="BU9" s="77">
        <f t="shared" si="24"/>
        <v>-0.1058394161</v>
      </c>
      <c r="BV9" s="76">
        <f>IF($A9="","",IFERROR(SUMPRODUCT(('Raw Data'!$B$2:$B$9999="Control")*('Raw Data'!$A$2:$A$9999=$A9)*('Raw Data'!$C$2:$C$9999=$C$3)*'Raw Data'!$D$2:$D$9999*'Raw Data'!$AA$2:$AA$9999)/SUMIFS('Raw Data'!$D:$D, 'Raw Data'!$B:$B, "Control", 'Raw Data'!$A:$A, $A9, 'Raw Data'!$C:$C, $C$3),""))</f>
        <v>4175</v>
      </c>
      <c r="BW9" s="76">
        <f>IF($A9="","",IFERROR(SUMPRODUCT(('Raw Data'!$B$2:$B$9999="Variant")*('Raw Data'!$A$2:$A$9999=$A9)*('Raw Data'!$C$2:$C$9999=$C$3)*'Raw Data'!$D$2:$D$9999*'Raw Data'!$AA$2:$AA$9999)/SUMIFS('Raw Data'!$D:$D, 'Raw Data'!$B:$B, "Variant", 'Raw Data'!$A:$A, $A9, 'Raw Data'!$C:$C, $C$3),""))</f>
        <v>4280</v>
      </c>
      <c r="BX9" s="77">
        <f t="shared" si="25"/>
        <v>0.0251497006</v>
      </c>
      <c r="BY9" s="90">
        <f>IF($A9="","",IFERROR(SUMPRODUCT(('Raw Data'!$B$2:$B$9999="Control")*('Raw Data'!$A$2:$A$9999=$A9)*('Raw Data'!$C$2:$C$9999=$C$3)*'Raw Data'!$D$2:$D$9999*'Raw Data'!$AB$2:$AB$9999)/SUMIFS('Raw Data'!$D:$D, 'Raw Data'!$B:$B, "Control", 'Raw Data'!$A:$A, $A9, 'Raw Data'!$C:$C, $C$3),""))</f>
        <v>55.9566</v>
      </c>
      <c r="BZ9" s="90">
        <f>IF($A9="","",IFERROR(SUMPRODUCT(('Raw Data'!$B$2:$B$9999="Variant")*('Raw Data'!$A$2:$A$9999=$A9)*('Raw Data'!$C$2:$C$9999=$C$3)*'Raw Data'!$D$2:$D$9999*'Raw Data'!$AB$2:$AB$9999)/SUMIFS('Raw Data'!$D:$D, 'Raw Data'!$B:$B, "Variant", 'Raw Data'!$A:$A, $A9, 'Raw Data'!$C:$C, $C$3),""))</f>
        <v>55.6467</v>
      </c>
      <c r="CA9" s="86">
        <f t="shared" si="26"/>
        <v>-0.005538220692</v>
      </c>
      <c r="CB9" s="90">
        <f>IF($A9="","",IFERROR(SUMPRODUCT(('Raw Data'!$B$2:$B$9999="Control")*('Raw Data'!$A$2:$A$9999=$A9)*('Raw Data'!$C$2:$C$9999=$C$3)*'Raw Data'!$D$2:$D$9999*'Raw Data'!$AC$2:$AC$9999)/SUMIFS('Raw Data'!$D:$D, 'Raw Data'!$B:$B, "Control", 'Raw Data'!$A:$A, $A9, 'Raw Data'!$C:$C, $C$3),""))</f>
        <v>0.7437</v>
      </c>
      <c r="CC9" s="90">
        <f>IF($A9="","",IFERROR(SUMPRODUCT(('Raw Data'!$B$2:$B$9999="Variant")*('Raw Data'!$A$2:$A$9999=$A9)*('Raw Data'!$C$2:$C$9999=$C$3)*'Raw Data'!$D$2:$D$9999*'Raw Data'!$AC$2:$AC$9999)/SUMIFS('Raw Data'!$D:$D, 'Raw Data'!$B:$B, "Variant", 'Raw Data'!$A:$A, $A9, 'Raw Data'!$C:$C, $C$3),""))</f>
        <v>0.7324</v>
      </c>
      <c r="CD9" s="86">
        <f t="shared" si="27"/>
        <v>-0.01519429878</v>
      </c>
      <c r="CE9" s="90">
        <f>IF($A9="","",IFERROR(SUMPRODUCT(('Raw Data'!$B$2:$B$9999="Control")*('Raw Data'!$A$2:$A$9999=$A9)*('Raw Data'!$C$2:$C$9999=$C$3)*'Raw Data'!$D$2:$D$9999*'Raw Data'!$AD$2:$AD$9999)/SUMIFS('Raw Data'!$D:$D, 'Raw Data'!$B:$B, "Control", 'Raw Data'!$A:$A, $A9, 'Raw Data'!$C:$C, $C$3),""))</f>
        <v>17.03</v>
      </c>
      <c r="CF9" s="90">
        <f>IF($A9="","",IFERROR(SUMPRODUCT(('Raw Data'!$B$2:$B$9999="Variant")*('Raw Data'!$A$2:$A$9999=$A9)*('Raw Data'!$C$2:$C$9999=$C$3)*'Raw Data'!$D$2:$D$9999*'Raw Data'!$AD$2:$AD$9999)/SUMIFS('Raw Data'!$D:$D, 'Raw Data'!$B:$B, "Variant", 'Raw Data'!$A:$A, $A9, 'Raw Data'!$C:$C, $C$3),""))</f>
        <v>17.75</v>
      </c>
      <c r="CG9" s="86">
        <f t="shared" si="28"/>
        <v>0.04227833235</v>
      </c>
      <c r="CH9" s="90">
        <f>IF($A9="","",IFERROR(SUMPRODUCT(('Raw Data'!$B$2:$B$9999="Control")*('Raw Data'!$A$2:$A$9999=$A9)*('Raw Data'!$C$2:$C$9999=$C$3)*'Raw Data'!$D$2:$D$9999*'Raw Data'!$AE$2:$AE$9999)/SUMIFS('Raw Data'!$D:$D, 'Raw Data'!$B:$B, "Control", 'Raw Data'!$A:$A, $A9, 'Raw Data'!$C:$C, $C$3),""))</f>
        <v>7</v>
      </c>
      <c r="CI9" s="90">
        <f>IF($A9="","",IFERROR(SUMPRODUCT(('Raw Data'!$B$2:$B$9999="Variant")*('Raw Data'!$A$2:$A$9999=$A9)*('Raw Data'!$C$2:$C$9999=$C$3)*'Raw Data'!$D$2:$D$9999*'Raw Data'!$AE$2:$AE$9999)/SUMIFS('Raw Data'!$D:$D, 'Raw Data'!$B:$B, "Variant", 'Raw Data'!$A:$A, $A9, 'Raw Data'!$C:$C, $C$3),""))</f>
        <v>8</v>
      </c>
      <c r="CJ9" s="86">
        <f t="shared" si="29"/>
        <v>0.1428571429</v>
      </c>
      <c r="CK9" s="90">
        <f>IF($A9="","",IFERROR(SUMPRODUCT(('Raw Data'!$B$2:$B$9999="Control")*('Raw Data'!$A$2:$A$9999=$A9)*('Raw Data'!$C$2:$C$9999=$C$3)*'Raw Data'!$D$2:$D$9999*'Raw Data'!$AF$2:$AF$9999)/SUMIFS('Raw Data'!$D:$D, 'Raw Data'!$B:$B, "Control", 'Raw Data'!$A:$A, $A9, 'Raw Data'!$C:$C, $C$3),""))</f>
        <v>13</v>
      </c>
      <c r="CL9" s="90">
        <f>IF($A9="","",IFERROR(SUMPRODUCT(('Raw Data'!$B$2:$B$9999="Variant")*('Raw Data'!$A$2:$A$9999=$A9)*('Raw Data'!$C$2:$C$9999=$C$3)*'Raw Data'!$D$2:$D$9999*'Raw Data'!$AF$2:$AF$9999)/SUMIFS('Raw Data'!$D:$D, 'Raw Data'!$B:$B, "Variant", 'Raw Data'!$A:$A, $A9, 'Raw Data'!$C:$C, $C$3),""))</f>
        <v>14</v>
      </c>
      <c r="CM9" s="86">
        <f t="shared" si="30"/>
        <v>0.07692307692</v>
      </c>
      <c r="CN9" s="90">
        <f>IF($A9="","",IFERROR(SUMPRODUCT(('Raw Data'!$B$2:$B$9999="Control")*('Raw Data'!$A$2:$A$9999=$A9)*('Raw Data'!$C$2:$C$9999=$C$3)*'Raw Data'!$D$2:$D$9999*'Raw Data'!$AG$2:$AG$9999)/SUMIFS('Raw Data'!$D:$D, 'Raw Data'!$B:$B, "Control", 'Raw Data'!$A:$A, $A9, 'Raw Data'!$C:$C, $C$3),""))</f>
        <v>23</v>
      </c>
      <c r="CO9" s="90">
        <f>IF($A9="","",IFERROR(SUMPRODUCT(('Raw Data'!$B$2:$B$9999="Variant")*('Raw Data'!$A$2:$A$9999=$A9)*('Raw Data'!$C$2:$C$9999=$C$3)*'Raw Data'!$D$2:$D$9999*'Raw Data'!$AG$2:$AG$9999)/SUMIFS('Raw Data'!$D:$D, 'Raw Data'!$B:$B, "Variant", 'Raw Data'!$A:$A, $A9, 'Raw Data'!$C:$C, $C$3),""))</f>
        <v>23</v>
      </c>
      <c r="CP9" s="86">
        <f t="shared" si="31"/>
        <v>0</v>
      </c>
      <c r="CQ9" s="90">
        <f>IF($A9="","",IFERROR(SUMPRODUCT(('Raw Data'!$B$2:$B$9999="Control")*('Raw Data'!$A$2:$A$9999=$A9)*('Raw Data'!$C$2:$C$9999=$C$3)*'Raw Data'!$D$2:$D$9999*'Raw Data'!$AH$2:$AH$9999)/SUMIFS('Raw Data'!$D:$D, 'Raw Data'!$B:$B, "Control", 'Raw Data'!$A:$A, $A9, 'Raw Data'!$C:$C, $C$3),""))</f>
        <v>36</v>
      </c>
      <c r="CR9" s="90">
        <f>IF($A9="","",IFERROR(SUMPRODUCT(('Raw Data'!$B$2:$B$9999="Variant")*('Raw Data'!$A$2:$A$9999=$A9)*('Raw Data'!$C$2:$C$9999=$C$3)*'Raw Data'!$D$2:$D$9999*'Raw Data'!$AH$2:$AH$9999)/SUMIFS('Raw Data'!$D:$D, 'Raw Data'!$B:$B, "Variant", 'Raw Data'!$A:$A, $A9, 'Raw Data'!$C:$C, $C$3),""))</f>
        <v>37</v>
      </c>
      <c r="CS9" s="86">
        <f t="shared" si="32"/>
        <v>0.02777777778</v>
      </c>
      <c r="CT9" s="79">
        <f>IF($A9="","",IFERROR(SUMPRODUCT(('Raw Data'!$B$2:$B$9999="Control")*('Raw Data'!$A$2:$A$9999=$A9)*('Raw Data'!$C$2:$C$9999=$C$3)*'Raw Data'!$D$2:$D$9999*'Raw Data'!$AI$2:$AI$9999)/SUMIFS('Raw Data'!$D:$D, 'Raw Data'!$B:$B, "Control", 'Raw Data'!$A:$A, $A9, 'Raw Data'!$C:$C, $C$3),""))</f>
        <v>57.74</v>
      </c>
      <c r="CU9" s="79">
        <f>IF($A9="","",IFERROR(SUMPRODUCT(('Raw Data'!$B$2:$B$9999="Variant")*('Raw Data'!$A$2:$A$9999=$A9)*('Raw Data'!$C$2:$C$9999=$C$3)*'Raw Data'!$D$2:$D$9999*'Raw Data'!$AI$2:$AI$9999)/SUMIFS('Raw Data'!$D:$D, 'Raw Data'!$B:$B, "Variant", 'Raw Data'!$A:$A, $A9, 'Raw Data'!$C:$C, $C$3),""))</f>
        <v>60.58</v>
      </c>
      <c r="CV9" s="93">
        <f t="shared" si="33"/>
        <v>0.04918600623</v>
      </c>
      <c r="CW9" s="79">
        <f>IF($A9="","",IFERROR(SUMPRODUCT(('Raw Data'!$B$2:$B$9999="Control")*('Raw Data'!$A$2:$A$9999=$A9)*('Raw Data'!$C$2:$C$9999=$C$3)*'Raw Data'!$D$2:$D$9999*'Raw Data'!$AJ$2:$AJ$9999)/SUMIFS('Raw Data'!$D:$D, 'Raw Data'!$B:$B, "Control", 'Raw Data'!$A:$A, $A9, 'Raw Data'!$C:$C, $C$3),""))</f>
        <v>21.06</v>
      </c>
      <c r="CX9" s="79">
        <f>IF($A9="","",IFERROR(SUMPRODUCT(('Raw Data'!$B$2:$B$9999="Variant")*('Raw Data'!$A$2:$A$9999=$A9)*('Raw Data'!$C$2:$C$9999=$C$3)*'Raw Data'!$D$2:$D$9999*'Raw Data'!$AJ$2:$AJ$9999)/SUMIFS('Raw Data'!$D:$D, 'Raw Data'!$B:$B, "Variant", 'Raw Data'!$A:$A, $A9, 'Raw Data'!$C:$C, $C$3),""))</f>
        <v>21.7</v>
      </c>
      <c r="CY9" s="93">
        <f t="shared" si="34"/>
        <v>0.03038936372</v>
      </c>
      <c r="CZ9" s="79">
        <f>IF($A9="","",IFERROR(SUMPRODUCT(('Raw Data'!$B$2:$B$9999="Control")*('Raw Data'!$A$2:$A$9999=$A9)*('Raw Data'!$C$2:$C$9999=$C$3)*'Raw Data'!$D$2:$D$9999*'Raw Data'!$AK$2:$AK$9999)/SUMIFS('Raw Data'!$D:$D, 'Raw Data'!$B:$B, "Control", 'Raw Data'!$A:$A, $A9, 'Raw Data'!$C:$C, $C$3),""))</f>
        <v>6.52</v>
      </c>
      <c r="DA9" s="79">
        <f>IF($A9="","",IFERROR(SUMPRODUCT(('Raw Data'!$B$2:$B$9999="Variant")*('Raw Data'!$A$2:$A$9999=$A9)*('Raw Data'!$C$2:$C$9999=$C$3)*'Raw Data'!$D$2:$D$9999*'Raw Data'!$AK$2:$AK$9999)/SUMIFS('Raw Data'!$D:$D, 'Raw Data'!$B:$B, "Variant", 'Raw Data'!$A:$A, $A9, 'Raw Data'!$C:$C, $C$3),""))</f>
        <v>7.1</v>
      </c>
      <c r="DB9" s="86">
        <f t="shared" si="35"/>
        <v>0.08895705521</v>
      </c>
      <c r="DC9" s="91">
        <f>IF($A9="","",IFERROR(SUMPRODUCT(('Raw Data'!$B$2:$B$9999="Control")*('Raw Data'!$A$2:$A$9999=$A9)*('Raw Data'!$C$2:$C$9999=$C$3)*'Raw Data'!$D$2:$D$9999*'Raw Data'!$AL$2:$AL$9999)/SUMIFS('Raw Data'!$D:$D, 'Raw Data'!$B:$B, "Control", 'Raw Data'!$A:$A, $A9, 'Raw Data'!$C:$C, $C$3),""))</f>
        <v>0.1718</v>
      </c>
      <c r="DD9" s="91">
        <f>IF($A9="","",IFERROR(SUMPRODUCT(('Raw Data'!$B$2:$B$9999="Variant")*('Raw Data'!$A$2:$A$9999=$A9)*('Raw Data'!$C$2:$C$9999=$C$3)*'Raw Data'!$D$2:$D$9999*'Raw Data'!$AL$2:$AL$9999)/SUMIFS('Raw Data'!$D:$D, 'Raw Data'!$B:$B, "Variant", 'Raw Data'!$A:$A, $A9, 'Raw Data'!$C:$C, $C$3),""))</f>
        <v>0.1699</v>
      </c>
      <c r="DE9" s="93">
        <f t="shared" si="36"/>
        <v>-0.01105937136</v>
      </c>
      <c r="DF9" s="107"/>
      <c r="DG9" s="79">
        <f>IF($A9="","",IFERROR(SUMPRODUCT(('Raw Data'!$B$2:$B$9999="Variant")*('Raw Data'!$A$2:$A$9999=$A9)*('Raw Data'!$C$2:$C$9999=$C$3)*'Raw Data'!$D$2:$D$9999*'Raw Data'!$AM$2:$AM$9999)/SUMIFS('Raw Data'!$D:$D, 'Raw Data'!$B:$B, "Variant", 'Raw Data'!$A:$A, $A9, 'Raw Data'!$C:$C, $C$3),""))</f>
        <v>57.52</v>
      </c>
      <c r="DH9" s="108"/>
      <c r="DI9" s="107"/>
      <c r="DJ9" s="79">
        <f>IF($A9="","",IFERROR(SUMPRODUCT(('Raw Data'!$B$2:$B$9999="Variant")*('Raw Data'!$A$2:$A$9999=$A9)*('Raw Data'!$C$2:$C$9999=$C$3)*'Raw Data'!$D$2:$D$9999*'Raw Data'!$AN$2:$AN$9999)/SUMIFS('Raw Data'!$D:$D, 'Raw Data'!$B:$B, "Variant", 'Raw Data'!$A:$A, $A9, 'Raw Data'!$C:$C, $C$3),""))</f>
        <v>57.52</v>
      </c>
      <c r="DK9" s="108"/>
      <c r="DL9" s="107"/>
      <c r="DM9" s="79">
        <f>IF($A9="","",IFERROR(SUMPRODUCT(('Raw Data'!$B$2:$B$9999="Variant")*('Raw Data'!$A$2:$A$9999=$A9)*('Raw Data'!$C$2:$C$9999=$C$3)*'Raw Data'!$D$2:$D$9999*'Raw Data'!$AO$2:$AO$9999)/SUMIFS('Raw Data'!$D:$D, 'Raw Data'!$B:$B, "Variant", 'Raw Data'!$A:$A, $A9, 'Raw Data'!$C:$C, $C$3),""))</f>
        <v>32.27</v>
      </c>
      <c r="DN9" s="108"/>
      <c r="DO9" s="107"/>
      <c r="DP9" s="79">
        <f>IF($A9="","",IFERROR(SUMPRODUCT(('Raw Data'!$B$2:$B$9999="Variant")*('Raw Data'!$A$2:$A$9999=$A9)*('Raw Data'!$C$2:$C$9999=$C$3)*'Raw Data'!$D$2:$D$9999*'Raw Data'!$AP$2:$AP$9999)/SUMIFS('Raw Data'!$D:$D, 'Raw Data'!$B:$B, "Variant", 'Raw Data'!$A:$A, $A9, 'Raw Data'!$C:$C, $C$3),""))</f>
        <v>16.52</v>
      </c>
      <c r="DQ9" s="108"/>
      <c r="DR9" s="91">
        <f>IF($A9="","",IFERROR(SUMPRODUCT(('Raw Data'!$B$2:$B$9999="Control")*('Raw Data'!$A$2:$A$9999=$A9)*('Raw Data'!$C$2:$C$9999=$C$3)*'Raw Data'!$D$2:$D$9999*'Raw Data'!$AQ$2:$AQ$9999)/SUMIFS('Raw Data'!$D:$D, 'Raw Data'!$B:$B, "Control", 'Raw Data'!$A:$A, $A9, 'Raw Data'!$C:$C, $C$3),""))</f>
        <v>8.323</v>
      </c>
      <c r="DS9" s="91">
        <f>IF($A9="","",IFERROR(SUMPRODUCT(('Raw Data'!$B$2:$B$9999="Variant")*('Raw Data'!$A$2:$A$9999=$A9)*('Raw Data'!$C$2:$C$9999=$C$3)*'Raw Data'!$D$2:$D$9999*'Raw Data'!$AQ$2:$AQ$9999)/SUMIFS('Raw Data'!$D:$D, 'Raw Data'!$B:$B, "Variant", 'Raw Data'!$A:$A, $A9, 'Raw Data'!$C:$C, $C$3),""))</f>
        <v>9.3841</v>
      </c>
      <c r="DT9" s="110">
        <f t="shared" si="37"/>
        <v>0.1274900877</v>
      </c>
      <c r="DU9" s="91">
        <f>IF($A9="","",IFERROR(SUMPRODUCT(('Raw Data'!$B$2:$B$9999="Control")*('Raw Data'!$A$2:$A$9999=$A9)*('Raw Data'!$C$2:$C$9999=$C$3)*'Raw Data'!$D$2:$D$9999*'Raw Data'!$AR$2:$AR$9999)/SUMIFS('Raw Data'!$D:$D, 'Raw Data'!$B:$B, "Control", 'Raw Data'!$A:$A, $A9, 'Raw Data'!$C:$C, $C$3),""))</f>
        <v>0.1906</v>
      </c>
      <c r="DV9" s="91">
        <f>IF($A9="","",IFERROR(SUMPRODUCT(('Raw Data'!$B$2:$B$9999="Variant")*('Raw Data'!$A$2:$A$9999=$A9)*('Raw Data'!$C$2:$C$9999=$C$3)*'Raw Data'!$D$2:$D$9999*'Raw Data'!$AR$2:$AR$9999)/SUMIFS('Raw Data'!$D:$D, 'Raw Data'!$B:$B, "Variant", 'Raw Data'!$A:$A, $A9, 'Raw Data'!$C:$C, $C$3),""))</f>
        <v>0.2295</v>
      </c>
      <c r="DW9" s="110">
        <f t="shared" si="38"/>
        <v>0.20409234</v>
      </c>
      <c r="DX9" s="91">
        <f>IF($A9="","",IFERROR(SUMPRODUCT(('Raw Data'!$B$2:$B$9999="Control")*('Raw Data'!$A$2:$A$9999=$A9)*('Raw Data'!$C$2:$C$9999=$C$3)*'Raw Data'!$D$2:$D$9999*'Raw Data'!$AS$2:$AS$9999)/SUMIFS('Raw Data'!$D:$D, 'Raw Data'!$B:$B, "Control", 'Raw Data'!$A:$A, $A9, 'Raw Data'!$C:$C, $C$3),""))</f>
        <v>8.1324</v>
      </c>
      <c r="DY9" s="91">
        <f>IF($A9="","",IFERROR(SUMPRODUCT(('Raw Data'!$B$2:$B$9999="Variant")*('Raw Data'!$A$2:$A$9999=$A9)*('Raw Data'!$C$2:$C$9999=$C$3)*'Raw Data'!$D$2:$D$9999*'Raw Data'!$AS$2:$AS$9999)/SUMIFS('Raw Data'!$D:$D, 'Raw Data'!$B:$B, "Variant", 'Raw Data'!$A:$A, $A9, 'Raw Data'!$C:$C, $C$3),""))</f>
        <v>9.1546</v>
      </c>
      <c r="DZ9" s="111">
        <f t="shared" si="39"/>
        <v>0.1256947519</v>
      </c>
      <c r="EA9" s="91">
        <f>IF($A9="","",IFERROR(SUMPRODUCT(('Raw Data'!$B$2:$B$9999="Control")*('Raw Data'!$A$2:$A$9999=$A9)*('Raw Data'!$C$2:$C$9999=$C$3)*'Raw Data'!$D$2:$D$9999*'Raw Data'!$AT$2:$AT$9999)/SUMIFS('Raw Data'!$D:$D, 'Raw Data'!$B:$B, "Control", 'Raw Data'!$A:$A, $A9, 'Raw Data'!$C:$C, $C$3),""))</f>
        <v>9.1569</v>
      </c>
      <c r="EB9" s="91">
        <f>IF($A9="","",IFERROR(SUMPRODUCT(('Raw Data'!$B$2:$B$9999="Variant")*('Raw Data'!$A$2:$A$9999=$A9)*('Raw Data'!$C$2:$C$9999=$C$3)*'Raw Data'!$D$2:$D$9999*'Raw Data'!$AT$2:$AT$9999)/SUMIFS('Raw Data'!$D:$D, 'Raw Data'!$B:$B, "Variant", 'Raw Data'!$A:$A, $A9, 'Raw Data'!$C:$C, $C$3),""))</f>
        <v>9.4564</v>
      </c>
      <c r="EC9" s="110">
        <f t="shared" si="40"/>
        <v>0.03270757571</v>
      </c>
      <c r="ED9" s="91">
        <f>IF($A9="","",IFERROR(SUMPRODUCT(('Raw Data'!$B$2:$B$9999="Control")*('Raw Data'!$A$2:$A$9999=$A9)*('Raw Data'!$C$2:$C$9999=$C$3)*'Raw Data'!$D$2:$D$9999*('Raw Data'!$AQ$2:$AQ$9999-'Raw Data'!$AT$2:$AT$9999))/SUMIFS('Raw Data'!$D:$D, 'Raw Data'!$B:$B, "Control", 'Raw Data'!$A:$A, $A9, 'Raw Data'!$C:$C, $C$3),""))</f>
        <v>-0.8339</v>
      </c>
      <c r="EE9" s="91">
        <f>IF($A9="","",IFERROR(SUMPRODUCT(('Raw Data'!$B$2:$B$9999="Variant")*('Raw Data'!$A$2:$A$9999=$A9)*('Raw Data'!$C$2:$C$9999=$C$3)*'Raw Data'!$D$2:$D$9999*('Raw Data'!$AQ$2:$AQ$9999-'Raw Data'!$AT$2:$AT$9999))/SUMIFS('Raw Data'!$D:$D, 'Raw Data'!$B:$B, "Variant", 'Raw Data'!$A:$A, $A9, 'Raw Data'!$C:$C, $C$3),""))</f>
        <v>-0.0723</v>
      </c>
      <c r="EF9" s="111">
        <f t="shared" si="41"/>
        <v>0.9132989567</v>
      </c>
      <c r="EG9" s="91">
        <f>IF($A9="","",IFERROR(SUMPRODUCT(('Raw Data'!$B$2:$B$9999="Control")*('Raw Data'!$A$2:$A$9999=$A9)*('Raw Data'!$C$2:$C$9999=$C$3)*'Raw Data'!$D$2:$D$9999*'Raw Data'!$AU$2:$AU$9999)/SUMIFS('Raw Data'!$D:$D, 'Raw Data'!$B:$B, "Control", 'Raw Data'!$A:$A, $A9, 'Raw Data'!$C:$C, $C$3),""))</f>
        <v>0.2188</v>
      </c>
      <c r="EH9" s="91">
        <f>IF($A9="","",IFERROR(SUMPRODUCT(('Raw Data'!$B$2:$B$9999="Variant")*('Raw Data'!$A$2:$A$9999=$A9)*('Raw Data'!$C$2:$C$9999=$C$3)*'Raw Data'!$D$2:$D$9999*'Raw Data'!$AU$2:$AU$9999)/SUMIFS('Raw Data'!$D:$D, 'Raw Data'!$B:$B, "Variant", 'Raw Data'!$A:$A, $A9, 'Raw Data'!$C:$C, $C$3),""))</f>
        <v>0.2192</v>
      </c>
      <c r="EI9" s="110">
        <f t="shared" si="42"/>
        <v>0.001828153565</v>
      </c>
    </row>
    <row r="10" ht="15.75" customHeight="1">
      <c r="A10" s="74">
        <v>46233.0</v>
      </c>
      <c r="B10" s="76">
        <f>IF($A10="","",SUMIFS('Raw Data'!$D:$D, 'Raw Data'!$B:$B, "Control", 'Raw Data'!$A:$A, $A10, 'Raw Data'!$C:$C, $C$3))</f>
        <v>3721</v>
      </c>
      <c r="C10" s="76">
        <f>IF($A10="","",SUMIFS('Raw Data'!$D:$D, 'Raw Data'!$B:$B, "Variant", 'Raw Data'!$A:$A, $A10, 'Raw Data'!$C:$C, $C$3))</f>
        <v>4052</v>
      </c>
      <c r="D10" s="77">
        <f t="shared" si="1"/>
        <v>0.0889545821</v>
      </c>
      <c r="E10" s="79">
        <f>IF($A10="","",IFERROR(SUMPRODUCT(('Raw Data'!$B$2:$B$9999="Control")*('Raw Data'!$A$2:$A$9999=$A10)*('Raw Data'!$C$2:$C$9999=$C$3)*'Raw Data'!$D$2:$D$9999*'Raw Data'!$E$2:$E$9999)/SUMIFS('Raw Data'!$D:$D, 'Raw Data'!$B:$B, "Control", 'Raw Data'!$A:$A, $A10, 'Raw Data'!$C:$C, $C$3),""))</f>
        <v>16.24</v>
      </c>
      <c r="F10" s="79">
        <f>IF($A10="","",IFERROR(SUMPRODUCT(('Raw Data'!$B$2:$B$9999="Variant")*('Raw Data'!$A$2:$A$9999=$A10)*('Raw Data'!$C$2:$C$9999=$C$3)*'Raw Data'!$D$2:$D$9999*'Raw Data'!$E$2:$E$9999)/SUMIFS('Raw Data'!$D:$D, 'Raw Data'!$B:$B, "Variant", 'Raw Data'!$A:$A, $A10, 'Raw Data'!$C:$C, $C$3),""))</f>
        <v>17.92</v>
      </c>
      <c r="G10" s="77">
        <f t="shared" si="2"/>
        <v>0.1034482759</v>
      </c>
      <c r="H10" s="85">
        <f>IF($A10="","",SUMIFS('Raw Data'!$F:$F, 'Raw Data'!$B:$B, "Control", 'Raw Data'!$A:$A, $A10, 'Raw Data'!$C:$C, $C$3))</f>
        <v>906.68</v>
      </c>
      <c r="I10" s="85">
        <f>IF($A10="","",SUMIFS('Raw Data'!$F:$F, 'Raw Data'!$B:$B, "Variant", 'Raw Data'!$A:$A, $A10, 'Raw Data'!$C:$C, $C$3))</f>
        <v>755.56</v>
      </c>
      <c r="J10" s="86">
        <f t="shared" si="3"/>
        <v>-0.1666740195</v>
      </c>
      <c r="K10" s="88">
        <f>IF($A10="","",IFERROR(SUMIFS('Raw Data'!$F:$F, 'Raw Data'!$B:$B, "Control", 'Raw Data'!$A:$A, $A10, 'Raw Data'!$C:$C, $C$3)/SUMIFS('Raw Data'!$D:$D, 'Raw Data'!$B:$B, "Control", 'Raw Data'!$A:$A, $A10, 'Raw Data'!$C:$C, $C$3),""))</f>
        <v>0.2436656813</v>
      </c>
      <c r="L10" s="88">
        <f>IF($A10="","",IFERROR(SUMIFS('Raw Data'!$F:$F, 'Raw Data'!$B:$B, "Variant", 'Raw Data'!$A:$A, $A10, 'Raw Data'!$C:$C, $C$3)/SUMIFS('Raw Data'!$D:$D, 'Raw Data'!$B:$B, "Variant", 'Raw Data'!$A:$A, $A10, 'Raw Data'!$C:$C, $C$3),""))</f>
        <v>0.1864659427</v>
      </c>
      <c r="M10" s="86">
        <f t="shared" si="4"/>
        <v>-0.2347467983</v>
      </c>
      <c r="N10" s="79">
        <f>IF($A10="","",IFERROR(SUMPRODUCT(('Raw Data'!$B$2:$B$9999="Control")*('Raw Data'!$A$2:$A$9999=$A10)*('Raw Data'!$C$2:$C$9999=$C$3)*'Raw Data'!$D$2:$D$9999*'Raw Data'!$H$2:$H$9999/100)/SUMIFS('Raw Data'!$D:$D, 'Raw Data'!$B:$B, "Control", 'Raw Data'!$A:$A, $A10, 'Raw Data'!$C:$C, $C$3)*100,""))</f>
        <v>5.16</v>
      </c>
      <c r="O10" s="79">
        <f>IF($A10="","",IFERROR(SUMPRODUCT(('Raw Data'!$B$2:$B$9999="Variant")*('Raw Data'!$A$2:$A$9999=$A10)*('Raw Data'!$C$2:$C$9999=$C$3)*'Raw Data'!$D$2:$D$9999*'Raw Data'!$H$2:$H$9999/100)/SUMIFS('Raw Data'!$D:$D, 'Raw Data'!$B:$B, "Variant", 'Raw Data'!$A:$A, $A10, 'Raw Data'!$C:$C, $C$3)*100,""))</f>
        <v>4.69</v>
      </c>
      <c r="P10" s="86">
        <f t="shared" si="5"/>
        <v>-0.09108527132</v>
      </c>
      <c r="Q10" s="88">
        <f>IF($A10="","",IFERROR(SUMIFS('Raw Data'!$F:$F, 'Raw Data'!$B:$B, "Control", 'Raw Data'!$A:$A, $A10, 'Raw Data'!$C:$C, $C$3)/SUMPRODUCT(('Raw Data'!$B$2:$B$9999="Control")*('Raw Data'!$A$2:$A$9999=$A10)*('Raw Data'!$C$2:$C$9999=$C$3)*'Raw Data'!$D$2:$D$9999*'Raw Data'!$H$2:$H$9999/100),""))</f>
        <v>4.722203125</v>
      </c>
      <c r="R10" s="88">
        <f>IF($A10="","",IFERROR(SUMIFS('Raw Data'!$F:$F, 'Raw Data'!$B:$B, "Variant", 'Raw Data'!$A:$A, $A10, 'Raw Data'!$C:$C, $C$3)/SUMPRODUCT(('Raw Data'!$B$2:$B$9999="Variant")*('Raw Data'!$A$2:$A$9999=$A10)*('Raw Data'!$C$2:$C$9999=$C$3)*'Raw Data'!$D$2:$D$9999*'Raw Data'!$H$2:$H$9999/100),""))</f>
        <v>3.975819675</v>
      </c>
      <c r="S10" s="86">
        <f t="shared" si="6"/>
        <v>-0.1580583111</v>
      </c>
      <c r="T10" s="90">
        <f>IF($A10="","",IFERROR(SUMPRODUCT(('Raw Data'!$B$2:$B$9999="Control")*('Raw Data'!$A$2:$A$9999=$A10)*('Raw Data'!$C$2:$C$9999=$C$3)*'Raw Data'!$D$2:$D$9999*'Raw Data'!$J$2:$J$9999)/SUMIFS('Raw Data'!$D:$D, 'Raw Data'!$B:$B, "Control", 'Raw Data'!$A:$A, $A10, 'Raw Data'!$C:$C, $C$3),""))</f>
        <v>74.16</v>
      </c>
      <c r="U10" s="90">
        <f>IF($A10="","",IFERROR(SUMPRODUCT(('Raw Data'!$B$2:$B$9999="Variant")*('Raw Data'!$A$2:$A$9999=$A10)*('Raw Data'!$C$2:$C$9999=$C$3)*'Raw Data'!$D$2:$D$9999*'Raw Data'!$J$2:$J$9999)/SUMIFS('Raw Data'!$D:$D, 'Raw Data'!$B:$B, "Variant", 'Raw Data'!$A:$A, $A10, 'Raw Data'!$C:$C, $C$3),""))</f>
        <v>84.6</v>
      </c>
      <c r="V10" s="86">
        <f t="shared" si="7"/>
        <v>0.140776699</v>
      </c>
      <c r="W10" s="90">
        <f>IF($A10="","",IFERROR(SUMPRODUCT(('Raw Data'!$B$2:$B$9999="Control")*('Raw Data'!$A$2:$A$9999=$A10)*('Raw Data'!$C$2:$C$9999=$C$3)*'Raw Data'!$D$2:$D$9999*'Raw Data'!$K$2:$K$9999)/SUMIFS('Raw Data'!$D:$D, 'Raw Data'!$B:$B, "Control", 'Raw Data'!$A:$A, $A10, 'Raw Data'!$C:$C, $C$3),""))</f>
        <v>39.2</v>
      </c>
      <c r="X10" s="90">
        <f>IF($A10="","",IFERROR(SUMPRODUCT(('Raw Data'!$B$2:$B$9999="Variant")*('Raw Data'!$A$2:$A$9999=$A10)*('Raw Data'!$C$2:$C$9999=$C$3)*'Raw Data'!$D$2:$D$9999*'Raw Data'!$K$2:$K$9999)/SUMIFS('Raw Data'!$D:$D, 'Raw Data'!$B:$B, "Variant", 'Raw Data'!$A:$A, $A10, 'Raw Data'!$C:$C, $C$3),""))</f>
        <v>43.58</v>
      </c>
      <c r="Y10" s="86">
        <f t="shared" si="8"/>
        <v>0.1117346939</v>
      </c>
      <c r="Z10" s="90">
        <f>IF($A10="","",IFERROR(SUMPRODUCT(('Raw Data'!$B$2:$B$9999="Control")*('Raw Data'!$A$2:$A$9999=$A10)*('Raw Data'!$C$2:$C$9999=$C$3)*'Raw Data'!$D$2:$D$9999*'Raw Data'!$L$2:$L$9999)/SUMIFS('Raw Data'!$D:$D, 'Raw Data'!$B:$B, "Control", 'Raw Data'!$A:$A, $A10, 'Raw Data'!$C:$C, $C$3),""))</f>
        <v>26.78</v>
      </c>
      <c r="AA10" s="90">
        <f>IF($A10="","",IFERROR(SUMPRODUCT(('Raw Data'!$B$2:$B$9999="Variant")*('Raw Data'!$A$2:$A$9999=$A10)*('Raw Data'!$C$2:$C$9999=$C$3)*'Raw Data'!$D$2:$D$9999*'Raw Data'!$L$2:$L$9999)/SUMIFS('Raw Data'!$D:$D, 'Raw Data'!$B:$B, "Variant", 'Raw Data'!$A:$A, $A10, 'Raw Data'!$C:$C, $C$3),""))</f>
        <v>27.7</v>
      </c>
      <c r="AB10" s="86">
        <f t="shared" si="9"/>
        <v>0.03435399552</v>
      </c>
      <c r="AC10" s="91">
        <f>IF($A10="","",IFERROR(SUMPRODUCT(('Raw Data'!$B$2:$B$9999="Control")*('Raw Data'!$A$2:$A$9999=$A10)*('Raw Data'!$C$2:$C$9999=$C$3)*'Raw Data'!$D$2:$D$9999*'Raw Data'!$M$2:$M$9999)/SUMIFS('Raw Data'!$D:$D, 'Raw Data'!$B:$B, "Control", 'Raw Data'!$A:$A, $A10, 'Raw Data'!$C:$C, $C$3),""))</f>
        <v>0.6831</v>
      </c>
      <c r="AD10" s="91">
        <f>IF($A10="","",IFERROR(SUMPRODUCT(('Raw Data'!$B$2:$B$9999="Variant")*('Raw Data'!$A$2:$A$9999=$A10)*('Raw Data'!$C$2:$C$9999=$C$3)*'Raw Data'!$D$2:$D$9999*'Raw Data'!$M$2:$M$9999)/SUMIFS('Raw Data'!$D:$D, 'Raw Data'!$B:$B, "Variant", 'Raw Data'!$A:$A, $A10, 'Raw Data'!$C:$C, $C$3),""))</f>
        <v>0.6357</v>
      </c>
      <c r="AE10" s="93">
        <f t="shared" si="10"/>
        <v>-0.06938954765</v>
      </c>
      <c r="AF10" s="91">
        <f>IF($A10="","",IFERROR(SUMPRODUCT(('Raw Data'!$B$2:$B$9999="Control")*('Raw Data'!$A$2:$A$9999=$A10)*('Raw Data'!$C$2:$C$9999=$C$3)*'Raw Data'!$D$2:$D$9999*'Raw Data'!$N$2:$N$9999)/SUMIFS('Raw Data'!$D:$D, 'Raw Data'!$B:$B, "Control", 'Raw Data'!$A:$A, $A10, 'Raw Data'!$C:$C, $C$3),""))</f>
        <v>0.4798</v>
      </c>
      <c r="AG10" s="91">
        <f>IF($A10="","",IFERROR(SUMPRODUCT(('Raw Data'!$B$2:$B$9999="Variant")*('Raw Data'!$A$2:$A$9999=$A10)*('Raw Data'!$C$2:$C$9999=$C$3)*'Raw Data'!$D$2:$D$9999*'Raw Data'!$N$2:$N$9999)/SUMIFS('Raw Data'!$D:$D, 'Raw Data'!$B:$B, "Variant", 'Raw Data'!$A:$A, $A10, 'Raw Data'!$C:$C, $C$3),""))</f>
        <v>0.5206</v>
      </c>
      <c r="AH10" s="93">
        <f t="shared" si="11"/>
        <v>0.08503543143</v>
      </c>
      <c r="AI10" s="91">
        <f>IF($A10="","",IFERROR(SUMPRODUCT(('Raw Data'!$B$2:$B$9999="Control")*('Raw Data'!$A$2:$A$9999=$A10)*('Raw Data'!$C$2:$C$9999=$C$3)*'Raw Data'!$D$2:$D$9999*'Raw Data'!$O$2:$O$9999)/SUMIFS('Raw Data'!$D:$D, 'Raw Data'!$B:$B, "Control", 'Raw Data'!$A:$A, $A10, 'Raw Data'!$C:$C, $C$3),""))</f>
        <v>0.327</v>
      </c>
      <c r="AJ10" s="91">
        <f>IF($A10="","",IFERROR(SUMPRODUCT(('Raw Data'!$B$2:$B$9999="Variant")*('Raw Data'!$A$2:$A$9999=$A10)*('Raw Data'!$C$2:$C$9999=$C$3)*'Raw Data'!$D$2:$D$9999*'Raw Data'!$O$2:$O$9999)/SUMIFS('Raw Data'!$D:$D, 'Raw Data'!$B:$B, "Variant", 'Raw Data'!$A:$A, $A10, 'Raw Data'!$C:$C, $C$3),""))</f>
        <v>0.3449</v>
      </c>
      <c r="AK10" s="86">
        <f t="shared" si="12"/>
        <v>0.05474006116</v>
      </c>
      <c r="AL10" s="90">
        <f>IF($A10="","",IFERROR(SUMPRODUCT(('Raw Data'!$B$2:$B$9999="Control")*('Raw Data'!$A$2:$A$9999=$A10)*('Raw Data'!$C$2:$C$9999=$C$3)*'Raw Data'!$D$2:$D$9999*'Raw Data'!$P$2:$P$9999)/SUMIFS('Raw Data'!$D:$D, 'Raw Data'!$B:$B, "Control", 'Raw Data'!$A:$A, $A10, 'Raw Data'!$C:$C, $C$3),""))</f>
        <v>1.464</v>
      </c>
      <c r="AM10" s="90">
        <f>IF($A10="","",IFERROR(SUMPRODUCT(('Raw Data'!$B$2:$B$9999="Variant")*('Raw Data'!$A$2:$A$9999=$A10)*('Raw Data'!$C$2:$C$9999=$C$3)*'Raw Data'!$D$2:$D$9999*'Raw Data'!$P$2:$P$9999)/SUMIFS('Raw Data'!$D:$D, 'Raw Data'!$B:$B, "Variant", 'Raw Data'!$A:$A, $A10, 'Raw Data'!$C:$C, $C$3),""))</f>
        <v>1.573</v>
      </c>
      <c r="AN10" s="86">
        <f t="shared" si="13"/>
        <v>0.07445355191</v>
      </c>
      <c r="AO10" s="90">
        <f>IF($A10="","",IFERROR(SUMPRODUCT(('Raw Data'!$B$2:$B$9999="Control")*('Raw Data'!$A$2:$A$9999=$A10)*('Raw Data'!$C$2:$C$9999=$C$3)*'Raw Data'!$D$2:$D$9999*'Raw Data'!$Q$2:$Q$9999)/SUMIFS('Raw Data'!$D:$D, 'Raw Data'!$B:$B, "Control", 'Raw Data'!$A:$A, $A10, 'Raw Data'!$C:$C, $C$3),""))</f>
        <v>206.85</v>
      </c>
      <c r="AP10" s="90">
        <f>IF($A10="","",IFERROR(SUMPRODUCT(('Raw Data'!$B$2:$B$9999="Variant")*('Raw Data'!$A$2:$A$9999=$A10)*('Raw Data'!$C$2:$C$9999=$C$3)*'Raw Data'!$D$2:$D$9999*'Raw Data'!$Q$2:$Q$9999)/SUMIFS('Raw Data'!$D:$D, 'Raw Data'!$B:$B, "Variant", 'Raw Data'!$A:$A, $A10, 'Raw Data'!$C:$C, $C$3),""))</f>
        <v>150.95</v>
      </c>
      <c r="AQ10" s="77">
        <f t="shared" si="14"/>
        <v>-0.2702441383</v>
      </c>
      <c r="AR10" s="90">
        <f>IF($A10="","",IFERROR(SUMPRODUCT(('Raw Data'!$B$2:$B$9999="Control")*('Raw Data'!$A$2:$A$9999=$A10)*('Raw Data'!$C$2:$C$9999=$C$3)*'Raw Data'!$D$2:$D$9999*'Raw Data'!$R$2:$R$9999)/SUMIFS('Raw Data'!$D:$D, 'Raw Data'!$B:$B, "Control", 'Raw Data'!$A:$A, $A10, 'Raw Data'!$C:$C, $C$3),""))</f>
        <v>168.03</v>
      </c>
      <c r="AS10" s="90">
        <f>IF($A10="","",IFERROR(SUMPRODUCT(('Raw Data'!$B$2:$B$9999="Variant")*('Raw Data'!$A$2:$A$9999=$A10)*('Raw Data'!$C$2:$C$9999=$C$3)*'Raw Data'!$D$2:$D$9999*'Raw Data'!$R$2:$R$9999)/SUMIFS('Raw Data'!$D:$D, 'Raw Data'!$B:$B, "Variant", 'Raw Data'!$A:$A, $A10, 'Raw Data'!$C:$C, $C$3),""))</f>
        <v>133.49</v>
      </c>
      <c r="AT10" s="77">
        <f t="shared" si="15"/>
        <v>-0.2055585312</v>
      </c>
      <c r="AU10" s="90">
        <f>IF($A10="","",IFERROR(SUMPRODUCT(('Raw Data'!$B$2:$B$9999="Control")*('Raw Data'!$A$2:$A$9999=$A10)*('Raw Data'!$C$2:$C$9999=$C$3)*'Raw Data'!$D$2:$D$9999*'Raw Data'!$S$2:$S$9999)/SUMIFS('Raw Data'!$D:$D, 'Raw Data'!$B:$B, "Control", 'Raw Data'!$A:$A, $A10, 'Raw Data'!$C:$C, $C$3),""))</f>
        <v>38.82</v>
      </c>
      <c r="AV10" s="90">
        <f>IF($A10="","",IFERROR(SUMPRODUCT(('Raw Data'!$B$2:$B$9999="Variant")*('Raw Data'!$A$2:$A$9999=$A10)*('Raw Data'!$C$2:$C$9999=$C$3)*'Raw Data'!$D$2:$D$9999*'Raw Data'!$S$2:$S$9999)/SUMIFS('Raw Data'!$D:$D, 'Raw Data'!$B:$B, "Variant", 'Raw Data'!$A:$A, $A10, 'Raw Data'!$C:$C, $C$3),""))</f>
        <v>17.46</v>
      </c>
      <c r="AW10" s="77">
        <f t="shared" si="16"/>
        <v>-0.5502318393</v>
      </c>
      <c r="AX10" s="90">
        <f>IF($A10="","",IFERROR(SUMPRODUCT(('Raw Data'!$B$2:$B$9999="Control")*('Raw Data'!$A$2:$A$9999=$A10)*('Raw Data'!$C$2:$C$9999=$C$3)*'Raw Data'!$D$2:$D$9999*'Raw Data'!$T$2:$T$9999)/SUMIFS('Raw Data'!$D:$D, 'Raw Data'!$B:$B, "Control", 'Raw Data'!$A:$A, $A10, 'Raw Data'!$C:$C, $C$3),""))</f>
        <v>21.1</v>
      </c>
      <c r="AY10" s="90">
        <f>IF($A10="","",IFERROR(SUMPRODUCT(('Raw Data'!$B$2:$B$9999="Variant")*('Raw Data'!$A$2:$A$9999=$A10)*('Raw Data'!$C$2:$C$9999=$C$3)*'Raw Data'!$D$2:$D$9999*'Raw Data'!$T$2:$T$9999)/SUMIFS('Raw Data'!$D:$D, 'Raw Data'!$B:$B, "Variant", 'Raw Data'!$A:$A, $A10, 'Raw Data'!$C:$C, $C$3),""))</f>
        <v>16.35</v>
      </c>
      <c r="AZ10" s="86">
        <f t="shared" si="17"/>
        <v>-0.2251184834</v>
      </c>
      <c r="BA10" s="90">
        <f>IF($A10="","",IFERROR(SUMPRODUCT(('Raw Data'!$B$2:$B$9999="Control")*('Raw Data'!$A$2:$A$9999=$A10)*('Raw Data'!$C$2:$C$9999=$C$3)*'Raw Data'!$D$2:$D$9999*'Raw Data'!$U$2:$U$9999)/SUMIFS('Raw Data'!$D:$D, 'Raw Data'!$B:$B, "Control", 'Raw Data'!$A:$A, $A10, 'Raw Data'!$C:$C, $C$3),""))</f>
        <v>185.75</v>
      </c>
      <c r="BB10" s="90">
        <f>IF($A10="","",IFERROR(SUMPRODUCT(('Raw Data'!$B$2:$B$9999="Variant")*('Raw Data'!$A$2:$A$9999=$A10)*('Raw Data'!$C$2:$C$9999=$C$3)*'Raw Data'!$D$2:$D$9999*'Raw Data'!$U$2:$U$9999)/SUMIFS('Raw Data'!$D:$D, 'Raw Data'!$B:$B, "Variant", 'Raw Data'!$A:$A, $A10, 'Raw Data'!$C:$C, $C$3),""))</f>
        <v>134.6</v>
      </c>
      <c r="BC10" s="77">
        <f t="shared" si="18"/>
        <v>-0.2753701211</v>
      </c>
      <c r="BD10" s="90">
        <f>IF($A10="","",IFERROR(SUMPRODUCT(('Raw Data'!$B$2:$B$9999="Control")*('Raw Data'!$A$2:$A$9999=$A10)*('Raw Data'!$C$2:$C$9999=$C$3)*'Raw Data'!$D$2:$D$9999*'Raw Data'!$V$2:$V$9999)/SUMIFS('Raw Data'!$D:$D, 'Raw Data'!$B:$B, "Control", 'Raw Data'!$A:$A, $A10, 'Raw Data'!$C:$C, $C$3),""))</f>
        <v>182.52</v>
      </c>
      <c r="BE10" s="90">
        <f>IF($A10="","",IFERROR(SUMPRODUCT(('Raw Data'!$B$2:$B$9999="Variant")*('Raw Data'!$A$2:$A$9999=$A10)*('Raw Data'!$C$2:$C$9999=$C$3)*'Raw Data'!$D$2:$D$9999*'Raw Data'!$V$2:$V$9999)/SUMIFS('Raw Data'!$D:$D, 'Raw Data'!$B:$B, "Variant", 'Raw Data'!$A:$A, $A10, 'Raw Data'!$C:$C, $C$3),""))</f>
        <v>158.73</v>
      </c>
      <c r="BF10" s="77">
        <f t="shared" si="19"/>
        <v>-0.1303418803</v>
      </c>
      <c r="BG10" s="90">
        <f>IF($A10="","",IFERROR(SUMPRODUCT(('Raw Data'!$B$2:$B$9999="Control")*('Raw Data'!$A$2:$A$9999=$A10)*('Raw Data'!$C$2:$C$9999=$C$3)*'Raw Data'!$D$2:$D$9999*('Raw Data'!$Q$2:$Q$9999-'Raw Data'!$V$2:$V$9999))/SUMIFS('Raw Data'!$D:$D, 'Raw Data'!$B:$B, "Control", 'Raw Data'!$A:$A, $A10, 'Raw Data'!$C:$C, $C$3),""))</f>
        <v>24.33</v>
      </c>
      <c r="BH10" s="90">
        <f>IF($A10="","",IFERROR(SUMPRODUCT(('Raw Data'!$B$2:$B$9999="Variant")*('Raw Data'!$A$2:$A$9999=$A10)*('Raw Data'!$C$2:$C$9999=$C$3)*'Raw Data'!$D$2:$D$9999*('Raw Data'!$Q$2:$Q$9999-'Raw Data'!$V$2:$V$9999))/SUMIFS('Raw Data'!$D:$D, 'Raw Data'!$B:$B, "Variant", 'Raw Data'!$A:$A, $A10, 'Raw Data'!$C:$C, $C$3),""))</f>
        <v>-7.78</v>
      </c>
      <c r="BI10" s="77">
        <f t="shared" si="20"/>
        <v>-1.319769831</v>
      </c>
      <c r="BJ10" s="90">
        <f>IF($A10="","",IFERROR(SUMPRODUCT(('Raw Data'!$B$2:$B$9999="Control")*('Raw Data'!$A$2:$A$9999=$A10)*('Raw Data'!$C$2:$C$9999=$C$3)*'Raw Data'!$D$2:$D$9999*'Raw Data'!$W$2:$W$9999)/SUMIFS('Raw Data'!$D:$D, 'Raw Data'!$B:$B, "Control", 'Raw Data'!$A:$A, $A10, 'Raw Data'!$C:$C, $C$3),""))</f>
        <v>4.6558</v>
      </c>
      <c r="BK10" s="90">
        <f>IF($A10="","",IFERROR(SUMPRODUCT(('Raw Data'!$B$2:$B$9999="Variant")*('Raw Data'!$A$2:$A$9999=$A10)*('Raw Data'!$C$2:$C$9999=$C$3)*'Raw Data'!$D$2:$D$9999*'Raw Data'!$W$2:$W$9999)/SUMIFS('Raw Data'!$D:$D, 'Raw Data'!$B:$B, "Variant", 'Raw Data'!$A:$A, $A10, 'Raw Data'!$C:$C, $C$3),""))</f>
        <v>3.6435</v>
      </c>
      <c r="BL10" s="77">
        <f t="shared" si="21"/>
        <v>-0.2174277246</v>
      </c>
      <c r="BM10" s="91">
        <f>IF($A10="","",IFERROR(SUMPRODUCT(('Raw Data'!$B$2:$B$9999="Control")*('Raw Data'!$A$2:$A$9999=$A10)*('Raw Data'!$C$2:$C$9999=$C$3)*'Raw Data'!$D$2:$D$9999*'Raw Data'!$X$2:$X$9999)/SUMIFS('Raw Data'!$D:$D, 'Raw Data'!$B:$B, "Control", 'Raw Data'!$A:$A, $A10, 'Raw Data'!$C:$C, $C$3),""))</f>
        <v>10.2</v>
      </c>
      <c r="BN10" s="91">
        <f>IF($A10="","",IFERROR(SUMPRODUCT(('Raw Data'!$B$2:$B$9999="Variant")*('Raw Data'!$A$2:$A$9999=$A10)*('Raw Data'!$C$2:$C$9999=$C$3)*'Raw Data'!$D$2:$D$9999*'Raw Data'!$X$2:$X$9999)/SUMIFS('Raw Data'!$D:$D, 'Raw Data'!$B:$B, "Variant", 'Raw Data'!$A:$A, $A10, 'Raw Data'!$C:$C, $C$3),""))</f>
        <v>10.83</v>
      </c>
      <c r="BO10" s="86">
        <f t="shared" si="22"/>
        <v>0.06176470588</v>
      </c>
      <c r="BP10" s="76">
        <f>IF($A10="","",IFERROR(SUMPRODUCT(('Raw Data'!$B$2:$B$9999="Control")*('Raw Data'!$A$2:$A$9999=$A10)*('Raw Data'!$C$2:$C$9999=$C$3)*'Raw Data'!$D$2:$D$9999*'Raw Data'!$Y$2:$Y$9999)/SUMIFS('Raw Data'!$D:$D, 'Raw Data'!$B:$B, "Control", 'Raw Data'!$A:$A, $A10, 'Raw Data'!$C:$C, $C$3),""))</f>
        <v>125</v>
      </c>
      <c r="BQ10" s="76">
        <f>IF($A10="","",IFERROR(SUMPRODUCT(('Raw Data'!$B$2:$B$9999="Variant")*('Raw Data'!$A$2:$A$9999=$A10)*('Raw Data'!$C$2:$C$9999=$C$3)*'Raw Data'!$D$2:$D$9999*'Raw Data'!$Y$2:$Y$9999)/SUMIFS('Raw Data'!$D:$D, 'Raw Data'!$B:$B, "Variant", 'Raw Data'!$A:$A, $A10, 'Raw Data'!$C:$C, $C$3),""))</f>
        <v>111</v>
      </c>
      <c r="BR10" s="77">
        <f t="shared" si="23"/>
        <v>-0.112</v>
      </c>
      <c r="BS10" s="76">
        <f>IF($A10="","",IFERROR(SUMPRODUCT(('Raw Data'!$B$2:$B$9999="Control")*('Raw Data'!$A$2:$A$9999=$A10)*('Raw Data'!$C$2:$C$9999=$C$3)*'Raw Data'!$D$2:$D$9999*'Raw Data'!$Z$2:$Z$9999)/SUMIFS('Raw Data'!$D:$D, 'Raw Data'!$B:$B, "Control", 'Raw Data'!$A:$A, $A10, 'Raw Data'!$C:$C, $C$3),""))</f>
        <v>541</v>
      </c>
      <c r="BT10" s="76">
        <f>IF($A10="","",IFERROR(SUMPRODUCT(('Raw Data'!$B$2:$B$9999="Variant")*('Raw Data'!$A$2:$A$9999=$A10)*('Raw Data'!$C$2:$C$9999=$C$3)*'Raw Data'!$D$2:$D$9999*'Raw Data'!$Z$2:$Z$9999)/SUMIFS('Raw Data'!$D:$D, 'Raw Data'!$B:$B, "Variant", 'Raw Data'!$A:$A, $A10, 'Raw Data'!$C:$C, $C$3),""))</f>
        <v>505</v>
      </c>
      <c r="BU10" s="77">
        <f t="shared" si="24"/>
        <v>-0.06654343808</v>
      </c>
      <c r="BV10" s="76">
        <f>IF($A10="","",IFERROR(SUMPRODUCT(('Raw Data'!$B$2:$B$9999="Control")*('Raw Data'!$A$2:$A$9999=$A10)*('Raw Data'!$C$2:$C$9999=$C$3)*'Raw Data'!$D$2:$D$9999*'Raw Data'!$AA$2:$AA$9999)/SUMIFS('Raw Data'!$D:$D, 'Raw Data'!$B:$B, "Control", 'Raw Data'!$A:$A, $A10, 'Raw Data'!$C:$C, $C$3),""))</f>
        <v>4041</v>
      </c>
      <c r="BW10" s="76">
        <f>IF($A10="","",IFERROR(SUMPRODUCT(('Raw Data'!$B$2:$B$9999="Variant")*('Raw Data'!$A$2:$A$9999=$A10)*('Raw Data'!$C$2:$C$9999=$C$3)*'Raw Data'!$D$2:$D$9999*'Raw Data'!$AA$2:$AA$9999)/SUMIFS('Raw Data'!$D:$D, 'Raw Data'!$B:$B, "Variant", 'Raw Data'!$A:$A, $A10, 'Raw Data'!$C:$C, $C$3),""))</f>
        <v>4348</v>
      </c>
      <c r="BX10" s="77">
        <f t="shared" si="25"/>
        <v>0.07597129423</v>
      </c>
      <c r="BY10" s="90">
        <f>IF($A10="","",IFERROR(SUMPRODUCT(('Raw Data'!$B$2:$B$9999="Control")*('Raw Data'!$A$2:$A$9999=$A10)*('Raw Data'!$C$2:$C$9999=$C$3)*'Raw Data'!$D$2:$D$9999*'Raw Data'!$AB$2:$AB$9999)/SUMIFS('Raw Data'!$D:$D, 'Raw Data'!$B:$B, "Control", 'Raw Data'!$A:$A, $A10, 'Raw Data'!$C:$C, $C$3),""))</f>
        <v>55.9423</v>
      </c>
      <c r="BZ10" s="90">
        <f>IF($A10="","",IFERROR(SUMPRODUCT(('Raw Data'!$B$2:$B$9999="Variant")*('Raw Data'!$A$2:$A$9999=$A10)*('Raw Data'!$C$2:$C$9999=$C$3)*'Raw Data'!$D$2:$D$9999*'Raw Data'!$AB$2:$AB$9999)/SUMIFS('Raw Data'!$D:$D, 'Raw Data'!$B:$B, "Variant", 'Raw Data'!$A:$A, $A10, 'Raw Data'!$C:$C, $C$3),""))</f>
        <v>55.7235</v>
      </c>
      <c r="CA10" s="86">
        <f t="shared" si="26"/>
        <v>-0.003911172762</v>
      </c>
      <c r="CB10" s="90">
        <f>IF($A10="","",IFERROR(SUMPRODUCT(('Raw Data'!$B$2:$B$9999="Control")*('Raw Data'!$A$2:$A$9999=$A10)*('Raw Data'!$C$2:$C$9999=$C$3)*'Raw Data'!$D$2:$D$9999*'Raw Data'!$AC$2:$AC$9999)/SUMIFS('Raw Data'!$D:$D, 'Raw Data'!$B:$B, "Control", 'Raw Data'!$A:$A, $A10, 'Raw Data'!$C:$C, $C$3),""))</f>
        <v>0.7438</v>
      </c>
      <c r="CC10" s="90">
        <f>IF($A10="","",IFERROR(SUMPRODUCT(('Raw Data'!$B$2:$B$9999="Variant")*('Raw Data'!$A$2:$A$9999=$A10)*('Raw Data'!$C$2:$C$9999=$C$3)*'Raw Data'!$D$2:$D$9999*'Raw Data'!$AC$2:$AC$9999)/SUMIFS('Raw Data'!$D:$D, 'Raw Data'!$B:$B, "Variant", 'Raw Data'!$A:$A, $A10, 'Raw Data'!$C:$C, $C$3),""))</f>
        <v>0.7374</v>
      </c>
      <c r="CD10" s="86">
        <f t="shared" si="27"/>
        <v>-0.008604463565</v>
      </c>
      <c r="CE10" s="90">
        <f>IF($A10="","",IFERROR(SUMPRODUCT(('Raw Data'!$B$2:$B$9999="Control")*('Raw Data'!$A$2:$A$9999=$A10)*('Raw Data'!$C$2:$C$9999=$C$3)*'Raw Data'!$D$2:$D$9999*'Raw Data'!$AD$2:$AD$9999)/SUMIFS('Raw Data'!$D:$D, 'Raw Data'!$B:$B, "Control", 'Raw Data'!$A:$A, $A10, 'Raw Data'!$C:$C, $C$3),""))</f>
        <v>17.91</v>
      </c>
      <c r="CF10" s="90">
        <f>IF($A10="","",IFERROR(SUMPRODUCT(('Raw Data'!$B$2:$B$9999="Variant")*('Raw Data'!$A$2:$A$9999=$A10)*('Raw Data'!$C$2:$C$9999=$C$3)*'Raw Data'!$D$2:$D$9999*'Raw Data'!$AD$2:$AD$9999)/SUMIFS('Raw Data'!$D:$D, 'Raw Data'!$B:$B, "Variant", 'Raw Data'!$A:$A, $A10, 'Raw Data'!$C:$C, $C$3),""))</f>
        <v>17.32</v>
      </c>
      <c r="CG10" s="86">
        <f t="shared" si="28"/>
        <v>-0.03294249023</v>
      </c>
      <c r="CH10" s="90">
        <f>IF($A10="","",IFERROR(SUMPRODUCT(('Raw Data'!$B$2:$B$9999="Control")*('Raw Data'!$A$2:$A$9999=$A10)*('Raw Data'!$C$2:$C$9999=$C$3)*'Raw Data'!$D$2:$D$9999*'Raw Data'!$AE$2:$AE$9999)/SUMIFS('Raw Data'!$D:$D, 'Raw Data'!$B:$B, "Control", 'Raw Data'!$A:$A, $A10, 'Raw Data'!$C:$C, $C$3),""))</f>
        <v>7</v>
      </c>
      <c r="CI10" s="90">
        <f>IF($A10="","",IFERROR(SUMPRODUCT(('Raw Data'!$B$2:$B$9999="Variant")*('Raw Data'!$A$2:$A$9999=$A10)*('Raw Data'!$C$2:$C$9999=$C$3)*'Raw Data'!$D$2:$D$9999*'Raw Data'!$AE$2:$AE$9999)/SUMIFS('Raw Data'!$D:$D, 'Raw Data'!$B:$B, "Variant", 'Raw Data'!$A:$A, $A10, 'Raw Data'!$C:$C, $C$3),""))</f>
        <v>7</v>
      </c>
      <c r="CJ10" s="86">
        <f t="shared" si="29"/>
        <v>0</v>
      </c>
      <c r="CK10" s="90">
        <f>IF($A10="","",IFERROR(SUMPRODUCT(('Raw Data'!$B$2:$B$9999="Control")*('Raw Data'!$A$2:$A$9999=$A10)*('Raw Data'!$C$2:$C$9999=$C$3)*'Raw Data'!$D$2:$D$9999*'Raw Data'!$AF$2:$AF$9999)/SUMIFS('Raw Data'!$D:$D, 'Raw Data'!$B:$B, "Control", 'Raw Data'!$A:$A, $A10, 'Raw Data'!$C:$C, $C$3),""))</f>
        <v>13</v>
      </c>
      <c r="CL10" s="90">
        <f>IF($A10="","",IFERROR(SUMPRODUCT(('Raw Data'!$B$2:$B$9999="Variant")*('Raw Data'!$A$2:$A$9999=$A10)*('Raw Data'!$C$2:$C$9999=$C$3)*'Raw Data'!$D$2:$D$9999*'Raw Data'!$AF$2:$AF$9999)/SUMIFS('Raw Data'!$D:$D, 'Raw Data'!$B:$B, "Variant", 'Raw Data'!$A:$A, $A10, 'Raw Data'!$C:$C, $C$3),""))</f>
        <v>13</v>
      </c>
      <c r="CM10" s="86">
        <f t="shared" si="30"/>
        <v>0</v>
      </c>
      <c r="CN10" s="90">
        <f>IF($A10="","",IFERROR(SUMPRODUCT(('Raw Data'!$B$2:$B$9999="Control")*('Raw Data'!$A$2:$A$9999=$A10)*('Raw Data'!$C$2:$C$9999=$C$3)*'Raw Data'!$D$2:$D$9999*'Raw Data'!$AG$2:$AG$9999)/SUMIFS('Raw Data'!$D:$D, 'Raw Data'!$B:$B, "Control", 'Raw Data'!$A:$A, $A10, 'Raw Data'!$C:$C, $C$3),""))</f>
        <v>24</v>
      </c>
      <c r="CO10" s="90">
        <f>IF($A10="","",IFERROR(SUMPRODUCT(('Raw Data'!$B$2:$B$9999="Variant")*('Raw Data'!$A$2:$A$9999=$A10)*('Raw Data'!$C$2:$C$9999=$C$3)*'Raw Data'!$D$2:$D$9999*'Raw Data'!$AG$2:$AG$9999)/SUMIFS('Raw Data'!$D:$D, 'Raw Data'!$B:$B, "Variant", 'Raw Data'!$A:$A, $A10, 'Raw Data'!$C:$C, $C$3),""))</f>
        <v>23</v>
      </c>
      <c r="CP10" s="86">
        <f t="shared" si="31"/>
        <v>-0.04166666667</v>
      </c>
      <c r="CQ10" s="90">
        <f>IF($A10="","",IFERROR(SUMPRODUCT(('Raw Data'!$B$2:$B$9999="Control")*('Raw Data'!$A$2:$A$9999=$A10)*('Raw Data'!$C$2:$C$9999=$C$3)*'Raw Data'!$D$2:$D$9999*'Raw Data'!$AH$2:$AH$9999)/SUMIFS('Raw Data'!$D:$D, 'Raw Data'!$B:$B, "Control", 'Raw Data'!$A:$A, $A10, 'Raw Data'!$C:$C, $C$3),""))</f>
        <v>40</v>
      </c>
      <c r="CR10" s="90">
        <f>IF($A10="","",IFERROR(SUMPRODUCT(('Raw Data'!$B$2:$B$9999="Variant")*('Raw Data'!$A$2:$A$9999=$A10)*('Raw Data'!$C$2:$C$9999=$C$3)*'Raw Data'!$D$2:$D$9999*'Raw Data'!$AH$2:$AH$9999)/SUMIFS('Raw Data'!$D:$D, 'Raw Data'!$B:$B, "Variant", 'Raw Data'!$A:$A, $A10, 'Raw Data'!$C:$C, $C$3),""))</f>
        <v>37</v>
      </c>
      <c r="CS10" s="86">
        <f t="shared" si="32"/>
        <v>-0.075</v>
      </c>
      <c r="CT10" s="79">
        <f>IF($A10="","",IFERROR(SUMPRODUCT(('Raw Data'!$B$2:$B$9999="Control")*('Raw Data'!$A$2:$A$9999=$A10)*('Raw Data'!$C$2:$C$9999=$C$3)*'Raw Data'!$D$2:$D$9999*'Raw Data'!$AI$2:$AI$9999)/SUMIFS('Raw Data'!$D:$D, 'Raw Data'!$B:$B, "Control", 'Raw Data'!$A:$A, $A10, 'Raw Data'!$C:$C, $C$3),""))</f>
        <v>59.07</v>
      </c>
      <c r="CU10" s="79">
        <f>IF($A10="","",IFERROR(SUMPRODUCT(('Raw Data'!$B$2:$B$9999="Variant")*('Raw Data'!$A$2:$A$9999=$A10)*('Raw Data'!$C$2:$C$9999=$C$3)*'Raw Data'!$D$2:$D$9999*'Raw Data'!$AI$2:$AI$9999)/SUMIFS('Raw Data'!$D:$D, 'Raw Data'!$B:$B, "Variant", 'Raw Data'!$A:$A, $A10, 'Raw Data'!$C:$C, $C$3),""))</f>
        <v>58.05</v>
      </c>
      <c r="CV10" s="93">
        <f t="shared" si="33"/>
        <v>-0.01726764855</v>
      </c>
      <c r="CW10" s="79">
        <f>IF($A10="","",IFERROR(SUMPRODUCT(('Raw Data'!$B$2:$B$9999="Control")*('Raw Data'!$A$2:$A$9999=$A10)*('Raw Data'!$C$2:$C$9999=$C$3)*'Raw Data'!$D$2:$D$9999*'Raw Data'!$AJ$2:$AJ$9999)/SUMIFS('Raw Data'!$D:$D, 'Raw Data'!$B:$B, "Control", 'Raw Data'!$A:$A, $A10, 'Raw Data'!$C:$C, $C$3),""))</f>
        <v>23.19</v>
      </c>
      <c r="CX10" s="79">
        <f>IF($A10="","",IFERROR(SUMPRODUCT(('Raw Data'!$B$2:$B$9999="Variant")*('Raw Data'!$A$2:$A$9999=$A10)*('Raw Data'!$C$2:$C$9999=$C$3)*'Raw Data'!$D$2:$D$9999*'Raw Data'!$AJ$2:$AJ$9999)/SUMIFS('Raw Data'!$D:$D, 'Raw Data'!$B:$B, "Variant", 'Raw Data'!$A:$A, $A10, 'Raw Data'!$C:$C, $C$3),""))</f>
        <v>21.69</v>
      </c>
      <c r="CY10" s="93">
        <f t="shared" si="34"/>
        <v>-0.06468305304</v>
      </c>
      <c r="CZ10" s="79">
        <f>IF($A10="","",IFERROR(SUMPRODUCT(('Raw Data'!$B$2:$B$9999="Control")*('Raw Data'!$A$2:$A$9999=$A10)*('Raw Data'!$C$2:$C$9999=$C$3)*'Raw Data'!$D$2:$D$9999*'Raw Data'!$AK$2:$AK$9999)/SUMIFS('Raw Data'!$D:$D, 'Raw Data'!$B:$B, "Control", 'Raw Data'!$A:$A, $A10, 'Raw Data'!$C:$C, $C$3),""))</f>
        <v>8.73</v>
      </c>
      <c r="DA10" s="79">
        <f>IF($A10="","",IFERROR(SUMPRODUCT(('Raw Data'!$B$2:$B$9999="Variant")*('Raw Data'!$A$2:$A$9999=$A10)*('Raw Data'!$C$2:$C$9999=$C$3)*'Raw Data'!$D$2:$D$9999*'Raw Data'!$AK$2:$AK$9999)/SUMIFS('Raw Data'!$D:$D, 'Raw Data'!$B:$B, "Variant", 'Raw Data'!$A:$A, $A10, 'Raw Data'!$C:$C, $C$3),""))</f>
        <v>7.33</v>
      </c>
      <c r="DB10" s="86">
        <f t="shared" si="35"/>
        <v>-0.1603665521</v>
      </c>
      <c r="DC10" s="91">
        <f>IF($A10="","",IFERROR(SUMPRODUCT(('Raw Data'!$B$2:$B$9999="Control")*('Raw Data'!$A$2:$A$9999=$A10)*('Raw Data'!$C$2:$C$9999=$C$3)*'Raw Data'!$D$2:$D$9999*'Raw Data'!$AL$2:$AL$9999)/SUMIFS('Raw Data'!$D:$D, 'Raw Data'!$B:$B, "Control", 'Raw Data'!$A:$A, $A10, 'Raw Data'!$C:$C, $C$3),""))</f>
        <v>0.1787</v>
      </c>
      <c r="DD10" s="91">
        <f>IF($A10="","",IFERROR(SUMPRODUCT(('Raw Data'!$B$2:$B$9999="Variant")*('Raw Data'!$A$2:$A$9999=$A10)*('Raw Data'!$C$2:$C$9999=$C$3)*'Raw Data'!$D$2:$D$9999*'Raw Data'!$AL$2:$AL$9999)/SUMIFS('Raw Data'!$D:$D, 'Raw Data'!$B:$B, "Variant", 'Raw Data'!$A:$A, $A10, 'Raw Data'!$C:$C, $C$3),""))</f>
        <v>0.1705</v>
      </c>
      <c r="DE10" s="93">
        <f t="shared" si="36"/>
        <v>-0.04588696139</v>
      </c>
      <c r="DF10" s="107"/>
      <c r="DG10" s="79">
        <f>IF($A10="","",IFERROR(SUMPRODUCT(('Raw Data'!$B$2:$B$9999="Variant")*('Raw Data'!$A$2:$A$9999=$A10)*('Raw Data'!$C$2:$C$9999=$C$3)*'Raw Data'!$D$2:$D$9999*'Raw Data'!$AM$2:$AM$9999)/SUMIFS('Raw Data'!$D:$D, 'Raw Data'!$B:$B, "Variant", 'Raw Data'!$A:$A, $A10, 'Raw Data'!$C:$C, $C$3),""))</f>
        <v>60.14</v>
      </c>
      <c r="DH10" s="108"/>
      <c r="DI10" s="107"/>
      <c r="DJ10" s="79">
        <f>IF($A10="","",IFERROR(SUMPRODUCT(('Raw Data'!$B$2:$B$9999="Variant")*('Raw Data'!$A$2:$A$9999=$A10)*('Raw Data'!$C$2:$C$9999=$C$3)*'Raw Data'!$D$2:$D$9999*'Raw Data'!$AN$2:$AN$9999)/SUMIFS('Raw Data'!$D:$D, 'Raw Data'!$B:$B, "Variant", 'Raw Data'!$A:$A, $A10, 'Raw Data'!$C:$C, $C$3),""))</f>
        <v>60.14</v>
      </c>
      <c r="DK10" s="108"/>
      <c r="DL10" s="107"/>
      <c r="DM10" s="79">
        <f>IF($A10="","",IFERROR(SUMPRODUCT(('Raw Data'!$B$2:$B$9999="Variant")*('Raw Data'!$A$2:$A$9999=$A10)*('Raw Data'!$C$2:$C$9999=$C$3)*'Raw Data'!$D$2:$D$9999*'Raw Data'!$AO$2:$AO$9999)/SUMIFS('Raw Data'!$D:$D, 'Raw Data'!$B:$B, "Variant", 'Raw Data'!$A:$A, $A10, 'Raw Data'!$C:$C, $C$3),""))</f>
        <v>36.15</v>
      </c>
      <c r="DN10" s="108"/>
      <c r="DO10" s="107"/>
      <c r="DP10" s="79">
        <f>IF($A10="","",IFERROR(SUMPRODUCT(('Raw Data'!$B$2:$B$9999="Variant")*('Raw Data'!$A$2:$A$9999=$A10)*('Raw Data'!$C$2:$C$9999=$C$3)*'Raw Data'!$D$2:$D$9999*'Raw Data'!$AP$2:$AP$9999)/SUMIFS('Raw Data'!$D:$D, 'Raw Data'!$B:$B, "Variant", 'Raw Data'!$A:$A, $A10, 'Raw Data'!$C:$C, $C$3),""))</f>
        <v>19.42</v>
      </c>
      <c r="DQ10" s="108"/>
      <c r="DR10" s="91">
        <f>IF($A10="","",IFERROR(SUMPRODUCT(('Raw Data'!$B$2:$B$9999="Control")*('Raw Data'!$A$2:$A$9999=$A10)*('Raw Data'!$C$2:$C$9999=$C$3)*'Raw Data'!$D$2:$D$9999*'Raw Data'!$AQ$2:$AQ$9999)/SUMIFS('Raw Data'!$D:$D, 'Raw Data'!$B:$B, "Control", 'Raw Data'!$A:$A, $A10, 'Raw Data'!$C:$C, $C$3),""))</f>
        <v>9.5816</v>
      </c>
      <c r="DS10" s="91">
        <f>IF($A10="","",IFERROR(SUMPRODUCT(('Raw Data'!$B$2:$B$9999="Variant")*('Raw Data'!$A$2:$A$9999=$A10)*('Raw Data'!$C$2:$C$9999=$C$3)*'Raw Data'!$D$2:$D$9999*'Raw Data'!$AQ$2:$AQ$9999)/SUMIFS('Raw Data'!$D:$D, 'Raw Data'!$B:$B, "Variant", 'Raw Data'!$A:$A, $A10, 'Raw Data'!$C:$C, $C$3),""))</f>
        <v>8.8122</v>
      </c>
      <c r="DT10" s="110">
        <f t="shared" si="37"/>
        <v>-0.08029974117</v>
      </c>
      <c r="DU10" s="91">
        <f>IF($A10="","",IFERROR(SUMPRODUCT(('Raw Data'!$B$2:$B$9999="Control")*('Raw Data'!$A$2:$A$9999=$A10)*('Raw Data'!$C$2:$C$9999=$C$3)*'Raw Data'!$D$2:$D$9999*'Raw Data'!$AR$2:$AR$9999)/SUMIFS('Raw Data'!$D:$D, 'Raw Data'!$B:$B, "Control", 'Raw Data'!$A:$A, $A10, 'Raw Data'!$C:$C, $C$3),""))</f>
        <v>0.2354</v>
      </c>
      <c r="DV10" s="91">
        <f>IF($A10="","",IFERROR(SUMPRODUCT(('Raw Data'!$B$2:$B$9999="Variant")*('Raw Data'!$A$2:$A$9999=$A10)*('Raw Data'!$C$2:$C$9999=$C$3)*'Raw Data'!$D$2:$D$9999*'Raw Data'!$AR$2:$AR$9999)/SUMIFS('Raw Data'!$D:$D, 'Raw Data'!$B:$B, "Variant", 'Raw Data'!$A:$A, $A10, 'Raw Data'!$C:$C, $C$3),""))</f>
        <v>0.1676</v>
      </c>
      <c r="DW10" s="110">
        <f t="shared" si="38"/>
        <v>-0.2880203908</v>
      </c>
      <c r="DX10" s="91">
        <f>IF($A10="","",IFERROR(SUMPRODUCT(('Raw Data'!$B$2:$B$9999="Control")*('Raw Data'!$A$2:$A$9999=$A10)*('Raw Data'!$C$2:$C$9999=$C$3)*'Raw Data'!$D$2:$D$9999*'Raw Data'!$AS$2:$AS$9999)/SUMIFS('Raw Data'!$D:$D, 'Raw Data'!$B:$B, "Control", 'Raw Data'!$A:$A, $A10, 'Raw Data'!$C:$C, $C$3),""))</f>
        <v>9.3461</v>
      </c>
      <c r="DY10" s="91">
        <f>IF($A10="","",IFERROR(SUMPRODUCT(('Raw Data'!$B$2:$B$9999="Variant")*('Raw Data'!$A$2:$A$9999=$A10)*('Raw Data'!$C$2:$C$9999=$C$3)*'Raw Data'!$D$2:$D$9999*'Raw Data'!$AS$2:$AS$9999)/SUMIFS('Raw Data'!$D:$D, 'Raw Data'!$B:$B, "Variant", 'Raw Data'!$A:$A, $A10, 'Raw Data'!$C:$C, $C$3),""))</f>
        <v>8.6446</v>
      </c>
      <c r="DZ10" s="111">
        <f t="shared" si="39"/>
        <v>-0.0750580456</v>
      </c>
      <c r="EA10" s="91">
        <f>IF($A10="","",IFERROR(SUMPRODUCT(('Raw Data'!$B$2:$B$9999="Control")*('Raw Data'!$A$2:$A$9999=$A10)*('Raw Data'!$C$2:$C$9999=$C$3)*'Raw Data'!$D$2:$D$9999*'Raw Data'!$AT$2:$AT$9999)/SUMIFS('Raw Data'!$D:$D, 'Raw Data'!$B:$B, "Control", 'Raw Data'!$A:$A, $A10, 'Raw Data'!$C:$C, $C$3),""))</f>
        <v>8.7847</v>
      </c>
      <c r="EB10" s="91">
        <f>IF($A10="","",IFERROR(SUMPRODUCT(('Raw Data'!$B$2:$B$9999="Variant")*('Raw Data'!$A$2:$A$9999=$A10)*('Raw Data'!$C$2:$C$9999=$C$3)*'Raw Data'!$D$2:$D$9999*'Raw Data'!$AT$2:$AT$9999)/SUMIFS('Raw Data'!$D:$D, 'Raw Data'!$B:$B, "Variant", 'Raw Data'!$A:$A, $A10, 'Raw Data'!$C:$C, $C$3),""))</f>
        <v>9.0155</v>
      </c>
      <c r="EC10" s="110">
        <f t="shared" si="40"/>
        <v>0.02627295184</v>
      </c>
      <c r="ED10" s="91">
        <f>IF($A10="","",IFERROR(SUMPRODUCT(('Raw Data'!$B$2:$B$9999="Control")*('Raw Data'!$A$2:$A$9999=$A10)*('Raw Data'!$C$2:$C$9999=$C$3)*'Raw Data'!$D$2:$D$9999*('Raw Data'!$AQ$2:$AQ$9999-'Raw Data'!$AT$2:$AT$9999))/SUMIFS('Raw Data'!$D:$D, 'Raw Data'!$B:$B, "Control", 'Raw Data'!$A:$A, $A10, 'Raw Data'!$C:$C, $C$3),""))</f>
        <v>0.7969</v>
      </c>
      <c r="EE10" s="91">
        <f>IF($A10="","",IFERROR(SUMPRODUCT(('Raw Data'!$B$2:$B$9999="Variant")*('Raw Data'!$A$2:$A$9999=$A10)*('Raw Data'!$C$2:$C$9999=$C$3)*'Raw Data'!$D$2:$D$9999*('Raw Data'!$AQ$2:$AQ$9999-'Raw Data'!$AT$2:$AT$9999))/SUMIFS('Raw Data'!$D:$D, 'Raw Data'!$B:$B, "Variant", 'Raw Data'!$A:$A, $A10, 'Raw Data'!$C:$C, $C$3),""))</f>
        <v>-0.2033</v>
      </c>
      <c r="EF10" s="111">
        <f t="shared" si="41"/>
        <v>-1.255113565</v>
      </c>
      <c r="EG10" s="91">
        <f>IF($A10="","",IFERROR(SUMPRODUCT(('Raw Data'!$B$2:$B$9999="Control")*('Raw Data'!$A$2:$A$9999=$A10)*('Raw Data'!$C$2:$C$9999=$C$3)*'Raw Data'!$D$2:$D$9999*'Raw Data'!$AU$2:$AU$9999)/SUMIFS('Raw Data'!$D:$D, 'Raw Data'!$B:$B, "Control", 'Raw Data'!$A:$A, $A10, 'Raw Data'!$C:$C, $C$3),""))</f>
        <v>0.2241</v>
      </c>
      <c r="EH10" s="91">
        <f>IF($A10="","",IFERROR(SUMPRODUCT(('Raw Data'!$B$2:$B$9999="Variant")*('Raw Data'!$A$2:$A$9999=$A10)*('Raw Data'!$C$2:$C$9999=$C$3)*'Raw Data'!$D$2:$D$9999*'Raw Data'!$AU$2:$AU$9999)/SUMIFS('Raw Data'!$D:$D, 'Raw Data'!$B:$B, "Variant", 'Raw Data'!$A:$A, $A10, 'Raw Data'!$C:$C, $C$3),""))</f>
        <v>0.2069</v>
      </c>
      <c r="EI10" s="110">
        <f t="shared" si="42"/>
        <v>-0.07675145025</v>
      </c>
    </row>
    <row r="11" ht="15.75" customHeight="1">
      <c r="A11" s="74">
        <v>46234.0</v>
      </c>
      <c r="B11" s="76">
        <f>IF($A11="","",SUMIFS('Raw Data'!$D:$D, 'Raw Data'!$B:$B, "Control", 'Raw Data'!$A:$A, $A11, 'Raw Data'!$C:$C, $C$3))</f>
        <v>3765</v>
      </c>
      <c r="C11" s="76">
        <f>IF($A11="","",SUMIFS('Raw Data'!$D:$D, 'Raw Data'!$B:$B, "Variant", 'Raw Data'!$A:$A, $A11, 'Raw Data'!$C:$C, $C$3))</f>
        <v>4047</v>
      </c>
      <c r="D11" s="77">
        <f t="shared" si="1"/>
        <v>0.07490039841</v>
      </c>
      <c r="E11" s="79">
        <f>IF($A11="","",IFERROR(SUMPRODUCT(('Raw Data'!$B$2:$B$9999="Control")*('Raw Data'!$A$2:$A$9999=$A11)*('Raw Data'!$C$2:$C$9999=$C$3)*'Raw Data'!$D$2:$D$9999*'Raw Data'!$E$2:$E$9999)/SUMIFS('Raw Data'!$D:$D, 'Raw Data'!$B:$B, "Control", 'Raw Data'!$A:$A, $A11, 'Raw Data'!$C:$C, $C$3),""))</f>
        <v>16.63</v>
      </c>
      <c r="F11" s="79">
        <f>IF($A11="","",IFERROR(SUMPRODUCT(('Raw Data'!$B$2:$B$9999="Variant")*('Raw Data'!$A$2:$A$9999=$A11)*('Raw Data'!$C$2:$C$9999=$C$3)*'Raw Data'!$D$2:$D$9999*'Raw Data'!$E$2:$E$9999)/SUMIFS('Raw Data'!$D:$D, 'Raw Data'!$B:$B, "Variant", 'Raw Data'!$A:$A, $A11, 'Raw Data'!$C:$C, $C$3),""))</f>
        <v>17.86</v>
      </c>
      <c r="G11" s="77">
        <f t="shared" si="2"/>
        <v>0.07396271798</v>
      </c>
      <c r="H11" s="85">
        <f>IF($A11="","",SUMIFS('Raw Data'!$F:$F, 'Raw Data'!$B:$B, "Control", 'Raw Data'!$A:$A, $A11, 'Raw Data'!$C:$C, $C$3))</f>
        <v>811.95</v>
      </c>
      <c r="I11" s="85">
        <f>IF($A11="","",SUMIFS('Raw Data'!$F:$F, 'Raw Data'!$B:$B, "Variant", 'Raw Data'!$A:$A, $A11, 'Raw Data'!$C:$C, $C$3))</f>
        <v>855.07</v>
      </c>
      <c r="J11" s="86">
        <f t="shared" si="3"/>
        <v>0.05310671839</v>
      </c>
      <c r="K11" s="88">
        <f>IF($A11="","",IFERROR(SUMIFS('Raw Data'!$F:$F, 'Raw Data'!$B:$B, "Control", 'Raw Data'!$A:$A, $A11, 'Raw Data'!$C:$C, $C$3)/SUMIFS('Raw Data'!$D:$D, 'Raw Data'!$B:$B, "Control", 'Raw Data'!$A:$A, $A11, 'Raw Data'!$C:$C, $C$3),""))</f>
        <v>0.2156573705</v>
      </c>
      <c r="L11" s="88">
        <f>IF($A11="","",IFERROR(SUMIFS('Raw Data'!$F:$F, 'Raw Data'!$B:$B, "Variant", 'Raw Data'!$A:$A, $A11, 'Raw Data'!$C:$C, $C$3)/SUMIFS('Raw Data'!$D:$D, 'Raw Data'!$B:$B, "Variant", 'Raw Data'!$A:$A, $A11, 'Raw Data'!$C:$C, $C$3),""))</f>
        <v>0.2112849024</v>
      </c>
      <c r="M11" s="86">
        <f t="shared" si="4"/>
        <v>-0.02027506925</v>
      </c>
      <c r="N11" s="79">
        <f>IF($A11="","",IFERROR(SUMPRODUCT(('Raw Data'!$B$2:$B$9999="Control")*('Raw Data'!$A$2:$A$9999=$A11)*('Raw Data'!$C$2:$C$9999=$C$3)*'Raw Data'!$D$2:$D$9999*'Raw Data'!$H$2:$H$9999/100)/SUMIFS('Raw Data'!$D:$D, 'Raw Data'!$B:$B, "Control", 'Raw Data'!$A:$A, $A11, 'Raw Data'!$C:$C, $C$3)*100,""))</f>
        <v>4.83</v>
      </c>
      <c r="O11" s="79">
        <f>IF($A11="","",IFERROR(SUMPRODUCT(('Raw Data'!$B$2:$B$9999="Variant")*('Raw Data'!$A$2:$A$9999=$A11)*('Raw Data'!$C$2:$C$9999=$C$3)*'Raw Data'!$D$2:$D$9999*'Raw Data'!$H$2:$H$9999/100)/SUMIFS('Raw Data'!$D:$D, 'Raw Data'!$B:$B, "Variant", 'Raw Data'!$A:$A, $A11, 'Raw Data'!$C:$C, $C$3)*100,""))</f>
        <v>4.89</v>
      </c>
      <c r="P11" s="86">
        <f t="shared" si="5"/>
        <v>0.01242236025</v>
      </c>
      <c r="Q11" s="88">
        <f>IF($A11="","",IFERROR(SUMIFS('Raw Data'!$F:$F, 'Raw Data'!$B:$B, "Control", 'Raw Data'!$A:$A, $A11, 'Raw Data'!$C:$C, $C$3)/SUMPRODUCT(('Raw Data'!$B$2:$B$9999="Control")*('Raw Data'!$A$2:$A$9999=$A11)*('Raw Data'!$C$2:$C$9999=$C$3)*'Raw Data'!$D$2:$D$9999*'Raw Data'!$H$2:$H$9999/100),""))</f>
        <v>4.464955911</v>
      </c>
      <c r="R11" s="88">
        <f>IF($A11="","",IFERROR(SUMIFS('Raw Data'!$F:$F, 'Raw Data'!$B:$B, "Variant", 'Raw Data'!$A:$A, $A11, 'Raw Data'!$C:$C, $C$3)/SUMPRODUCT(('Raw Data'!$B$2:$B$9999="Variant")*('Raw Data'!$A$2:$A$9999=$A11)*('Raw Data'!$C$2:$C$9999=$C$3)*'Raw Data'!$D$2:$D$9999*'Raw Data'!$H$2:$H$9999/100),""))</f>
        <v>4.32075465</v>
      </c>
      <c r="S11" s="86">
        <f t="shared" si="6"/>
        <v>-0.03229623404</v>
      </c>
      <c r="T11" s="90">
        <f>IF($A11="","",IFERROR(SUMPRODUCT(('Raw Data'!$B$2:$B$9999="Control")*('Raw Data'!$A$2:$A$9999=$A11)*('Raw Data'!$C$2:$C$9999=$C$3)*'Raw Data'!$D$2:$D$9999*'Raw Data'!$J$2:$J$9999)/SUMIFS('Raw Data'!$D:$D, 'Raw Data'!$B:$B, "Control", 'Raw Data'!$A:$A, $A11, 'Raw Data'!$C:$C, $C$3),""))</f>
        <v>80.82</v>
      </c>
      <c r="U11" s="90">
        <f>IF($A11="","",IFERROR(SUMPRODUCT(('Raw Data'!$B$2:$B$9999="Variant")*('Raw Data'!$A$2:$A$9999=$A11)*('Raw Data'!$C$2:$C$9999=$C$3)*'Raw Data'!$D$2:$D$9999*'Raw Data'!$J$2:$J$9999)/SUMIFS('Raw Data'!$D:$D, 'Raw Data'!$B:$B, "Variant", 'Raw Data'!$A:$A, $A11, 'Raw Data'!$C:$C, $C$3),""))</f>
        <v>79.39</v>
      </c>
      <c r="V11" s="86">
        <f t="shared" si="7"/>
        <v>-0.01769364019</v>
      </c>
      <c r="W11" s="90">
        <f>IF($A11="","",IFERROR(SUMPRODUCT(('Raw Data'!$B$2:$B$9999="Control")*('Raw Data'!$A$2:$A$9999=$A11)*('Raw Data'!$C$2:$C$9999=$C$3)*'Raw Data'!$D$2:$D$9999*'Raw Data'!$K$2:$K$9999)/SUMIFS('Raw Data'!$D:$D, 'Raw Data'!$B:$B, "Control", 'Raw Data'!$A:$A, $A11, 'Raw Data'!$C:$C, $C$3),""))</f>
        <v>42.51</v>
      </c>
      <c r="X11" s="90">
        <f>IF($A11="","",IFERROR(SUMPRODUCT(('Raw Data'!$B$2:$B$9999="Variant")*('Raw Data'!$A$2:$A$9999=$A11)*('Raw Data'!$C$2:$C$9999=$C$3)*'Raw Data'!$D$2:$D$9999*'Raw Data'!$K$2:$K$9999)/SUMIFS('Raw Data'!$D:$D, 'Raw Data'!$B:$B, "Variant", 'Raw Data'!$A:$A, $A11, 'Raw Data'!$C:$C, $C$3),""))</f>
        <v>40.78</v>
      </c>
      <c r="Y11" s="86">
        <f t="shared" si="8"/>
        <v>-0.04069630675</v>
      </c>
      <c r="Z11" s="90">
        <f>IF($A11="","",IFERROR(SUMPRODUCT(('Raw Data'!$B$2:$B$9999="Control")*('Raw Data'!$A$2:$A$9999=$A11)*('Raw Data'!$C$2:$C$9999=$C$3)*'Raw Data'!$D$2:$D$9999*'Raw Data'!$L$2:$L$9999)/SUMIFS('Raw Data'!$D:$D, 'Raw Data'!$B:$B, "Control", 'Raw Data'!$A:$A, $A11, 'Raw Data'!$C:$C, $C$3),""))</f>
        <v>28.29</v>
      </c>
      <c r="AA11" s="90">
        <f>IF($A11="","",IFERROR(SUMPRODUCT(('Raw Data'!$B$2:$B$9999="Variant")*('Raw Data'!$A$2:$A$9999=$A11)*('Raw Data'!$C$2:$C$9999=$C$3)*'Raw Data'!$D$2:$D$9999*'Raw Data'!$L$2:$L$9999)/SUMIFS('Raw Data'!$D:$D, 'Raw Data'!$B:$B, "Variant", 'Raw Data'!$A:$A, $A11, 'Raw Data'!$C:$C, $C$3),""))</f>
        <v>27.65</v>
      </c>
      <c r="AB11" s="86">
        <f t="shared" si="9"/>
        <v>-0.02262283492</v>
      </c>
      <c r="AC11" s="91">
        <f>IF($A11="","",IFERROR(SUMPRODUCT(('Raw Data'!$B$2:$B$9999="Control")*('Raw Data'!$A$2:$A$9999=$A11)*('Raw Data'!$C$2:$C$9999=$C$3)*'Raw Data'!$D$2:$D$9999*'Raw Data'!$M$2:$M$9999)/SUMIFS('Raw Data'!$D:$D, 'Raw Data'!$B:$B, "Control", 'Raw Data'!$A:$A, $A11, 'Raw Data'!$C:$C, $C$3),""))</f>
        <v>0.6654</v>
      </c>
      <c r="AD11" s="91">
        <f>IF($A11="","",IFERROR(SUMPRODUCT(('Raw Data'!$B$2:$B$9999="Variant")*('Raw Data'!$A$2:$A$9999=$A11)*('Raw Data'!$C$2:$C$9999=$C$3)*'Raw Data'!$D$2:$D$9999*'Raw Data'!$M$2:$M$9999)/SUMIFS('Raw Data'!$D:$D, 'Raw Data'!$B:$B, "Variant", 'Raw Data'!$A:$A, $A11, 'Raw Data'!$C:$C, $C$3),""))</f>
        <v>0.6781</v>
      </c>
      <c r="AE11" s="93">
        <f t="shared" si="10"/>
        <v>0.0190862639</v>
      </c>
      <c r="AF11" s="91">
        <f>IF($A11="","",IFERROR(SUMPRODUCT(('Raw Data'!$B$2:$B$9999="Control")*('Raw Data'!$A$2:$A$9999=$A11)*('Raw Data'!$C$2:$C$9999=$C$3)*'Raw Data'!$D$2:$D$9999*'Raw Data'!$N$2:$N$9999)/SUMIFS('Raw Data'!$D:$D, 'Raw Data'!$B:$B, "Control", 'Raw Data'!$A:$A, $A11, 'Raw Data'!$C:$C, $C$3),""))</f>
        <v>0.4955</v>
      </c>
      <c r="AG11" s="91">
        <f>IF($A11="","",IFERROR(SUMPRODUCT(('Raw Data'!$B$2:$B$9999="Variant")*('Raw Data'!$A$2:$A$9999=$A11)*('Raw Data'!$C$2:$C$9999=$C$3)*'Raw Data'!$D$2:$D$9999*'Raw Data'!$N$2:$N$9999)/SUMIFS('Raw Data'!$D:$D, 'Raw Data'!$B:$B, "Variant", 'Raw Data'!$A:$A, $A11, 'Raw Data'!$C:$C, $C$3),""))</f>
        <v>0.4889</v>
      </c>
      <c r="AH11" s="93">
        <f t="shared" si="11"/>
        <v>-0.01331987891</v>
      </c>
      <c r="AI11" s="91">
        <f>IF($A11="","",IFERROR(SUMPRODUCT(('Raw Data'!$B$2:$B$9999="Control")*('Raw Data'!$A$2:$A$9999=$A11)*('Raw Data'!$C$2:$C$9999=$C$3)*'Raw Data'!$D$2:$D$9999*'Raw Data'!$O$2:$O$9999)/SUMIFS('Raw Data'!$D:$D, 'Raw Data'!$B:$B, "Control", 'Raw Data'!$A:$A, $A11, 'Raw Data'!$C:$C, $C$3),""))</f>
        <v>0.3327</v>
      </c>
      <c r="AJ11" s="91">
        <f>IF($A11="","",IFERROR(SUMPRODUCT(('Raw Data'!$B$2:$B$9999="Variant")*('Raw Data'!$A$2:$A$9999=$A11)*('Raw Data'!$C$2:$C$9999=$C$3)*'Raw Data'!$D$2:$D$9999*'Raw Data'!$O$2:$O$9999)/SUMIFS('Raw Data'!$D:$D, 'Raw Data'!$B:$B, "Variant", 'Raw Data'!$A:$A, $A11, 'Raw Data'!$C:$C, $C$3),""))</f>
        <v>0.3343</v>
      </c>
      <c r="AK11" s="86">
        <f t="shared" si="12"/>
        <v>0.004809137361</v>
      </c>
      <c r="AL11" s="90">
        <f>IF($A11="","",IFERROR(SUMPRODUCT(('Raw Data'!$B$2:$B$9999="Control")*('Raw Data'!$A$2:$A$9999=$A11)*('Raw Data'!$C$2:$C$9999=$C$3)*'Raw Data'!$D$2:$D$9999*'Raw Data'!$P$2:$P$9999)/SUMIFS('Raw Data'!$D:$D, 'Raw Data'!$B:$B, "Control", 'Raw Data'!$A:$A, $A11, 'Raw Data'!$C:$C, $C$3),""))</f>
        <v>1.503</v>
      </c>
      <c r="AM11" s="90">
        <f>IF($A11="","",IFERROR(SUMPRODUCT(('Raw Data'!$B$2:$B$9999="Variant")*('Raw Data'!$A$2:$A$9999=$A11)*('Raw Data'!$C$2:$C$9999=$C$3)*'Raw Data'!$D$2:$D$9999*'Raw Data'!$P$2:$P$9999)/SUMIFS('Raw Data'!$D:$D, 'Raw Data'!$B:$B, "Variant", 'Raw Data'!$A:$A, $A11, 'Raw Data'!$C:$C, $C$3),""))</f>
        <v>1.4748</v>
      </c>
      <c r="AN11" s="86">
        <f t="shared" si="13"/>
        <v>-0.01876247505</v>
      </c>
      <c r="AO11" s="90">
        <f>IF($A11="","",IFERROR(SUMPRODUCT(('Raw Data'!$B$2:$B$9999="Control")*('Raw Data'!$A$2:$A$9999=$A11)*('Raw Data'!$C$2:$C$9999=$C$3)*'Raw Data'!$D$2:$D$9999*'Raw Data'!$Q$2:$Q$9999)/SUMIFS('Raw Data'!$D:$D, 'Raw Data'!$B:$B, "Control", 'Raw Data'!$A:$A, $A11, 'Raw Data'!$C:$C, $C$3),""))</f>
        <v>203.92</v>
      </c>
      <c r="AP11" s="90">
        <f>IF($A11="","",IFERROR(SUMPRODUCT(('Raw Data'!$B$2:$B$9999="Variant")*('Raw Data'!$A$2:$A$9999=$A11)*('Raw Data'!$C$2:$C$9999=$C$3)*'Raw Data'!$D$2:$D$9999*'Raw Data'!$Q$2:$Q$9999)/SUMIFS('Raw Data'!$D:$D, 'Raw Data'!$B:$B, "Variant", 'Raw Data'!$A:$A, $A11, 'Raw Data'!$C:$C, $C$3),""))</f>
        <v>212.4</v>
      </c>
      <c r="AQ11" s="77">
        <f t="shared" si="14"/>
        <v>0.04158493527</v>
      </c>
      <c r="AR11" s="90">
        <f>IF($A11="","",IFERROR(SUMPRODUCT(('Raw Data'!$B$2:$B$9999="Control")*('Raw Data'!$A$2:$A$9999=$A11)*('Raw Data'!$C$2:$C$9999=$C$3)*'Raw Data'!$D$2:$D$9999*'Raw Data'!$R$2:$R$9999)/SUMIFS('Raw Data'!$D:$D, 'Raw Data'!$B:$B, "Control", 'Raw Data'!$A:$A, $A11, 'Raw Data'!$C:$C, $C$3),""))</f>
        <v>163.24</v>
      </c>
      <c r="AS11" s="90">
        <f>IF($A11="","",IFERROR(SUMPRODUCT(('Raw Data'!$B$2:$B$9999="Variant")*('Raw Data'!$A$2:$A$9999=$A11)*('Raw Data'!$C$2:$C$9999=$C$3)*'Raw Data'!$D$2:$D$9999*'Raw Data'!$R$2:$R$9999)/SUMIFS('Raw Data'!$D:$D, 'Raw Data'!$B:$B, "Variant", 'Raw Data'!$A:$A, $A11, 'Raw Data'!$C:$C, $C$3),""))</f>
        <v>195.07</v>
      </c>
      <c r="AT11" s="77">
        <f t="shared" si="15"/>
        <v>0.1949889733</v>
      </c>
      <c r="AU11" s="90">
        <f>IF($A11="","",IFERROR(SUMPRODUCT(('Raw Data'!$B$2:$B$9999="Control")*('Raw Data'!$A$2:$A$9999=$A11)*('Raw Data'!$C$2:$C$9999=$C$3)*'Raw Data'!$D$2:$D$9999*'Raw Data'!$S$2:$S$9999)/SUMIFS('Raw Data'!$D:$D, 'Raw Data'!$B:$B, "Control", 'Raw Data'!$A:$A, $A11, 'Raw Data'!$C:$C, $C$3),""))</f>
        <v>40.68</v>
      </c>
      <c r="AV11" s="90">
        <f>IF($A11="","",IFERROR(SUMPRODUCT(('Raw Data'!$B$2:$B$9999="Variant")*('Raw Data'!$A$2:$A$9999=$A11)*('Raw Data'!$C$2:$C$9999=$C$3)*'Raw Data'!$D$2:$D$9999*'Raw Data'!$S$2:$S$9999)/SUMIFS('Raw Data'!$D:$D, 'Raw Data'!$B:$B, "Variant", 'Raw Data'!$A:$A, $A11, 'Raw Data'!$C:$C, $C$3),""))</f>
        <v>17.33</v>
      </c>
      <c r="AW11" s="77">
        <f t="shared" si="16"/>
        <v>-0.5739921337</v>
      </c>
      <c r="AX11" s="90">
        <f>IF($A11="","",IFERROR(SUMPRODUCT(('Raw Data'!$B$2:$B$9999="Control")*('Raw Data'!$A$2:$A$9999=$A11)*('Raw Data'!$C$2:$C$9999=$C$3)*'Raw Data'!$D$2:$D$9999*'Raw Data'!$T$2:$T$9999)/SUMIFS('Raw Data'!$D:$D, 'Raw Data'!$B:$B, "Control", 'Raw Data'!$A:$A, $A11, 'Raw Data'!$C:$C, $C$3),""))</f>
        <v>19.04</v>
      </c>
      <c r="AY11" s="90">
        <f>IF($A11="","",IFERROR(SUMPRODUCT(('Raw Data'!$B$2:$B$9999="Variant")*('Raw Data'!$A$2:$A$9999=$A11)*('Raw Data'!$C$2:$C$9999=$C$3)*'Raw Data'!$D$2:$D$9999*'Raw Data'!$T$2:$T$9999)/SUMIFS('Raw Data'!$D:$D, 'Raw Data'!$B:$B, "Variant", 'Raw Data'!$A:$A, $A11, 'Raw Data'!$C:$C, $C$3),""))</f>
        <v>18.67</v>
      </c>
      <c r="AZ11" s="86">
        <f t="shared" si="17"/>
        <v>-0.01943277311</v>
      </c>
      <c r="BA11" s="90">
        <f>IF($A11="","",IFERROR(SUMPRODUCT(('Raw Data'!$B$2:$B$9999="Control")*('Raw Data'!$A$2:$A$9999=$A11)*('Raw Data'!$C$2:$C$9999=$C$3)*'Raw Data'!$D$2:$D$9999*'Raw Data'!$U$2:$U$9999)/SUMIFS('Raw Data'!$D:$D, 'Raw Data'!$B:$B, "Control", 'Raw Data'!$A:$A, $A11, 'Raw Data'!$C:$C, $C$3),""))</f>
        <v>184.88</v>
      </c>
      <c r="BB11" s="90">
        <f>IF($A11="","",IFERROR(SUMPRODUCT(('Raw Data'!$B$2:$B$9999="Variant")*('Raw Data'!$A$2:$A$9999=$A11)*('Raw Data'!$C$2:$C$9999=$C$3)*'Raw Data'!$D$2:$D$9999*'Raw Data'!$U$2:$U$9999)/SUMIFS('Raw Data'!$D:$D, 'Raw Data'!$B:$B, "Variant", 'Raw Data'!$A:$A, $A11, 'Raw Data'!$C:$C, $C$3),""))</f>
        <v>193.74</v>
      </c>
      <c r="BC11" s="77">
        <f t="shared" si="18"/>
        <v>0.04792297707</v>
      </c>
      <c r="BD11" s="90">
        <f>IF($A11="","",IFERROR(SUMPRODUCT(('Raw Data'!$B$2:$B$9999="Control")*('Raw Data'!$A$2:$A$9999=$A11)*('Raw Data'!$C$2:$C$9999=$C$3)*'Raw Data'!$D$2:$D$9999*'Raw Data'!$V$2:$V$9999)/SUMIFS('Raw Data'!$D:$D, 'Raw Data'!$B:$B, "Control", 'Raw Data'!$A:$A, $A11, 'Raw Data'!$C:$C, $C$3),""))</f>
        <v>189.99</v>
      </c>
      <c r="BE11" s="90">
        <f>IF($A11="","",IFERROR(SUMPRODUCT(('Raw Data'!$B$2:$B$9999="Variant")*('Raw Data'!$A$2:$A$9999=$A11)*('Raw Data'!$C$2:$C$9999=$C$3)*'Raw Data'!$D$2:$D$9999*'Raw Data'!$V$2:$V$9999)/SUMIFS('Raw Data'!$D:$D, 'Raw Data'!$B:$B, "Variant", 'Raw Data'!$A:$A, $A11, 'Raw Data'!$C:$C, $C$3),""))</f>
        <v>188.64</v>
      </c>
      <c r="BF11" s="77">
        <f t="shared" si="19"/>
        <v>-0.007105637139</v>
      </c>
      <c r="BG11" s="90">
        <f>IF($A11="","",IFERROR(SUMPRODUCT(('Raw Data'!$B$2:$B$9999="Control")*('Raw Data'!$A$2:$A$9999=$A11)*('Raw Data'!$C$2:$C$9999=$C$3)*'Raw Data'!$D$2:$D$9999*('Raw Data'!$Q$2:$Q$9999-'Raw Data'!$V$2:$V$9999))/SUMIFS('Raw Data'!$D:$D, 'Raw Data'!$B:$B, "Control", 'Raw Data'!$A:$A, $A11, 'Raw Data'!$C:$C, $C$3),""))</f>
        <v>13.93</v>
      </c>
      <c r="BH11" s="90">
        <f>IF($A11="","",IFERROR(SUMPRODUCT(('Raw Data'!$B$2:$B$9999="Variant")*('Raw Data'!$A$2:$A$9999=$A11)*('Raw Data'!$C$2:$C$9999=$C$3)*'Raw Data'!$D$2:$D$9999*('Raw Data'!$Q$2:$Q$9999-'Raw Data'!$V$2:$V$9999))/SUMIFS('Raw Data'!$D:$D, 'Raw Data'!$B:$B, "Variant", 'Raw Data'!$A:$A, $A11, 'Raw Data'!$C:$C, $C$3),""))</f>
        <v>23.76</v>
      </c>
      <c r="BI11" s="77">
        <f t="shared" si="20"/>
        <v>0.7056712132</v>
      </c>
      <c r="BJ11" s="90">
        <f>IF($A11="","",IFERROR(SUMPRODUCT(('Raw Data'!$B$2:$B$9999="Control")*('Raw Data'!$A$2:$A$9999=$A11)*('Raw Data'!$C$2:$C$9999=$C$3)*'Raw Data'!$D$2:$D$9999*'Raw Data'!$W$2:$W$9999)/SUMIFS('Raw Data'!$D:$D, 'Raw Data'!$B:$B, "Control", 'Raw Data'!$A:$A, $A11, 'Raw Data'!$C:$C, $C$3),""))</f>
        <v>4.4689</v>
      </c>
      <c r="BK11" s="90">
        <f>IF($A11="","",IFERROR(SUMPRODUCT(('Raw Data'!$B$2:$B$9999="Variant")*('Raw Data'!$A$2:$A$9999=$A11)*('Raw Data'!$C$2:$C$9999=$C$3)*'Raw Data'!$D$2:$D$9999*'Raw Data'!$W$2:$W$9999)/SUMIFS('Raw Data'!$D:$D, 'Raw Data'!$B:$B, "Variant", 'Raw Data'!$A:$A, $A11, 'Raw Data'!$C:$C, $C$3),""))</f>
        <v>4.6247</v>
      </c>
      <c r="BL11" s="77">
        <f t="shared" si="21"/>
        <v>0.03486316543</v>
      </c>
      <c r="BM11" s="91">
        <f>IF($A11="","",IFERROR(SUMPRODUCT(('Raw Data'!$B$2:$B$9999="Control")*('Raw Data'!$A$2:$A$9999=$A11)*('Raw Data'!$C$2:$C$9999=$C$3)*'Raw Data'!$D$2:$D$9999*'Raw Data'!$X$2:$X$9999)/SUMIFS('Raw Data'!$D:$D, 'Raw Data'!$B:$B, "Control", 'Raw Data'!$A:$A, $A11, 'Raw Data'!$C:$C, $C$3),""))</f>
        <v>9.34</v>
      </c>
      <c r="BN11" s="91">
        <f>IF($A11="","",IFERROR(SUMPRODUCT(('Raw Data'!$B$2:$B$9999="Variant")*('Raw Data'!$A$2:$A$9999=$A11)*('Raw Data'!$C$2:$C$9999=$C$3)*'Raw Data'!$D$2:$D$9999*'Raw Data'!$X$2:$X$9999)/SUMIFS('Raw Data'!$D:$D, 'Raw Data'!$B:$B, "Variant", 'Raw Data'!$A:$A, $A11, 'Raw Data'!$C:$C, $C$3),""))</f>
        <v>8.79</v>
      </c>
      <c r="BO11" s="86">
        <f t="shared" si="22"/>
        <v>-0.05888650964</v>
      </c>
      <c r="BP11" s="76">
        <f>IF($A11="","",IFERROR(SUMPRODUCT(('Raw Data'!$B$2:$B$9999="Control")*('Raw Data'!$A$2:$A$9999=$A11)*('Raw Data'!$C$2:$C$9999=$C$3)*'Raw Data'!$D$2:$D$9999*'Raw Data'!$Y$2:$Y$9999)/SUMIFS('Raw Data'!$D:$D, 'Raw Data'!$B:$B, "Control", 'Raw Data'!$A:$A, $A11, 'Raw Data'!$C:$C, $C$3),""))</f>
        <v>124</v>
      </c>
      <c r="BQ11" s="76">
        <f>IF($A11="","",IFERROR(SUMPRODUCT(('Raw Data'!$B$2:$B$9999="Variant")*('Raw Data'!$A$2:$A$9999=$A11)*('Raw Data'!$C$2:$C$9999=$C$3)*'Raw Data'!$D$2:$D$9999*'Raw Data'!$Y$2:$Y$9999)/SUMIFS('Raw Data'!$D:$D, 'Raw Data'!$B:$B, "Variant", 'Raw Data'!$A:$A, $A11, 'Raw Data'!$C:$C, $C$3),""))</f>
        <v>128</v>
      </c>
      <c r="BR11" s="77">
        <f t="shared" si="23"/>
        <v>0.03225806452</v>
      </c>
      <c r="BS11" s="76">
        <f>IF($A11="","",IFERROR(SUMPRODUCT(('Raw Data'!$B$2:$B$9999="Control")*('Raw Data'!$A$2:$A$9999=$A11)*('Raw Data'!$C$2:$C$9999=$C$3)*'Raw Data'!$D$2:$D$9999*'Raw Data'!$Z$2:$Z$9999)/SUMIFS('Raw Data'!$D:$D, 'Raw Data'!$B:$B, "Control", 'Raw Data'!$A:$A, $A11, 'Raw Data'!$C:$C, $C$3),""))</f>
        <v>564</v>
      </c>
      <c r="BT11" s="76">
        <f>IF($A11="","",IFERROR(SUMPRODUCT(('Raw Data'!$B$2:$B$9999="Variant")*('Raw Data'!$A$2:$A$9999=$A11)*('Raw Data'!$C$2:$C$9999=$C$3)*'Raw Data'!$D$2:$D$9999*'Raw Data'!$Z$2:$Z$9999)/SUMIFS('Raw Data'!$D:$D, 'Raw Data'!$B:$B, "Variant", 'Raw Data'!$A:$A, $A11, 'Raw Data'!$C:$C, $C$3),""))</f>
        <v>563</v>
      </c>
      <c r="BU11" s="77">
        <f t="shared" si="24"/>
        <v>-0.001773049645</v>
      </c>
      <c r="BV11" s="76">
        <f>IF($A11="","",IFERROR(SUMPRODUCT(('Raw Data'!$B$2:$B$9999="Control")*('Raw Data'!$A$2:$A$9999=$A11)*('Raw Data'!$C$2:$C$9999=$C$3)*'Raw Data'!$D$2:$D$9999*'Raw Data'!$AA$2:$AA$9999)/SUMIFS('Raw Data'!$D:$D, 'Raw Data'!$B:$B, "Control", 'Raw Data'!$A:$A, $A11, 'Raw Data'!$C:$C, $C$3),""))</f>
        <v>4189</v>
      </c>
      <c r="BW11" s="76">
        <f>IF($A11="","",IFERROR(SUMPRODUCT(('Raw Data'!$B$2:$B$9999="Variant")*('Raw Data'!$A$2:$A$9999=$A11)*('Raw Data'!$C$2:$C$9999=$C$3)*'Raw Data'!$D$2:$D$9999*'Raw Data'!$AA$2:$AA$9999)/SUMIFS('Raw Data'!$D:$D, 'Raw Data'!$B:$B, "Variant", 'Raw Data'!$A:$A, $A11, 'Raw Data'!$C:$C, $C$3),""))</f>
        <v>4411</v>
      </c>
      <c r="BX11" s="77">
        <f t="shared" si="25"/>
        <v>0.05299594175</v>
      </c>
      <c r="BY11" s="90">
        <f>IF($A11="","",IFERROR(SUMPRODUCT(('Raw Data'!$B$2:$B$9999="Control")*('Raw Data'!$A$2:$A$9999=$A11)*('Raw Data'!$C$2:$C$9999=$C$3)*'Raw Data'!$D$2:$D$9999*'Raw Data'!$AB$2:$AB$9999)/SUMIFS('Raw Data'!$D:$D, 'Raw Data'!$B:$B, "Control", 'Raw Data'!$A:$A, $A11, 'Raw Data'!$C:$C, $C$3),""))</f>
        <v>55.796</v>
      </c>
      <c r="BZ11" s="90">
        <f>IF($A11="","",IFERROR(SUMPRODUCT(('Raw Data'!$B$2:$B$9999="Variant")*('Raw Data'!$A$2:$A$9999=$A11)*('Raw Data'!$C$2:$C$9999=$C$3)*'Raw Data'!$D$2:$D$9999*'Raw Data'!$AB$2:$AB$9999)/SUMIFS('Raw Data'!$D:$D, 'Raw Data'!$B:$B, "Variant", 'Raw Data'!$A:$A, $A11, 'Raw Data'!$C:$C, $C$3),""))</f>
        <v>55.7737</v>
      </c>
      <c r="CA11" s="86">
        <f t="shared" si="26"/>
        <v>-0.0003996702273</v>
      </c>
      <c r="CB11" s="90">
        <f>IF($A11="","",IFERROR(SUMPRODUCT(('Raw Data'!$B$2:$B$9999="Control")*('Raw Data'!$A$2:$A$9999=$A11)*('Raw Data'!$C$2:$C$9999=$C$3)*'Raw Data'!$D$2:$D$9999*'Raw Data'!$AC$2:$AC$9999)/SUMIFS('Raw Data'!$D:$D, 'Raw Data'!$B:$B, "Control", 'Raw Data'!$A:$A, $A11, 'Raw Data'!$C:$C, $C$3),""))</f>
        <v>0.7423</v>
      </c>
      <c r="CC11" s="90">
        <f>IF($A11="","",IFERROR(SUMPRODUCT(('Raw Data'!$B$2:$B$9999="Variant")*('Raw Data'!$A$2:$A$9999=$A11)*('Raw Data'!$C$2:$C$9999=$C$3)*'Raw Data'!$D$2:$D$9999*'Raw Data'!$AC$2:$AC$9999)/SUMIFS('Raw Data'!$D:$D, 'Raw Data'!$B:$B, "Variant", 'Raw Data'!$A:$A, $A11, 'Raw Data'!$C:$C, $C$3),""))</f>
        <v>0.738</v>
      </c>
      <c r="CD11" s="86">
        <f t="shared" si="27"/>
        <v>-0.005792806143</v>
      </c>
      <c r="CE11" s="90">
        <f>IF($A11="","",IFERROR(SUMPRODUCT(('Raw Data'!$B$2:$B$9999="Control")*('Raw Data'!$A$2:$A$9999=$A11)*('Raw Data'!$C$2:$C$9999=$C$3)*'Raw Data'!$D$2:$D$9999*'Raw Data'!$AD$2:$AD$9999)/SUMIFS('Raw Data'!$D:$D, 'Raw Data'!$B:$B, "Control", 'Raw Data'!$A:$A, $A11, 'Raw Data'!$C:$C, $C$3),""))</f>
        <v>18.2</v>
      </c>
      <c r="CF11" s="90">
        <f>IF($A11="","",IFERROR(SUMPRODUCT(('Raw Data'!$B$2:$B$9999="Variant")*('Raw Data'!$A$2:$A$9999=$A11)*('Raw Data'!$C$2:$C$9999=$C$3)*'Raw Data'!$D$2:$D$9999*'Raw Data'!$AD$2:$AD$9999)/SUMIFS('Raw Data'!$D:$D, 'Raw Data'!$B:$B, "Variant", 'Raw Data'!$A:$A, $A11, 'Raw Data'!$C:$C, $C$3),""))</f>
        <v>18.11</v>
      </c>
      <c r="CG11" s="86">
        <f t="shared" si="28"/>
        <v>-0.004945054945</v>
      </c>
      <c r="CH11" s="90">
        <f>IF($A11="","",IFERROR(SUMPRODUCT(('Raw Data'!$B$2:$B$9999="Control")*('Raw Data'!$A$2:$A$9999=$A11)*('Raw Data'!$C$2:$C$9999=$C$3)*'Raw Data'!$D$2:$D$9999*'Raw Data'!$AE$2:$AE$9999)/SUMIFS('Raw Data'!$D:$D, 'Raw Data'!$B:$B, "Control", 'Raw Data'!$A:$A, $A11, 'Raw Data'!$C:$C, $C$3),""))</f>
        <v>8</v>
      </c>
      <c r="CI11" s="90">
        <f>IF($A11="","",IFERROR(SUMPRODUCT(('Raw Data'!$B$2:$B$9999="Variant")*('Raw Data'!$A$2:$A$9999=$A11)*('Raw Data'!$C$2:$C$9999=$C$3)*'Raw Data'!$D$2:$D$9999*'Raw Data'!$AE$2:$AE$9999)/SUMIFS('Raw Data'!$D:$D, 'Raw Data'!$B:$B, "Variant", 'Raw Data'!$A:$A, $A11, 'Raw Data'!$C:$C, $C$3),""))</f>
        <v>7</v>
      </c>
      <c r="CJ11" s="86">
        <f t="shared" si="29"/>
        <v>-0.125</v>
      </c>
      <c r="CK11" s="90">
        <f>IF($A11="","",IFERROR(SUMPRODUCT(('Raw Data'!$B$2:$B$9999="Control")*('Raw Data'!$A$2:$A$9999=$A11)*('Raw Data'!$C$2:$C$9999=$C$3)*'Raw Data'!$D$2:$D$9999*'Raw Data'!$AF$2:$AF$9999)/SUMIFS('Raw Data'!$D:$D, 'Raw Data'!$B:$B, "Control", 'Raw Data'!$A:$A, $A11, 'Raw Data'!$C:$C, $C$3),""))</f>
        <v>14</v>
      </c>
      <c r="CL11" s="90">
        <f>IF($A11="","",IFERROR(SUMPRODUCT(('Raw Data'!$B$2:$B$9999="Variant")*('Raw Data'!$A$2:$A$9999=$A11)*('Raw Data'!$C$2:$C$9999=$C$3)*'Raw Data'!$D$2:$D$9999*'Raw Data'!$AF$2:$AF$9999)/SUMIFS('Raw Data'!$D:$D, 'Raw Data'!$B:$B, "Variant", 'Raw Data'!$A:$A, $A11, 'Raw Data'!$C:$C, $C$3),""))</f>
        <v>14</v>
      </c>
      <c r="CM11" s="86">
        <f t="shared" si="30"/>
        <v>0</v>
      </c>
      <c r="CN11" s="90">
        <f>IF($A11="","",IFERROR(SUMPRODUCT(('Raw Data'!$B$2:$B$9999="Control")*('Raw Data'!$A$2:$A$9999=$A11)*('Raw Data'!$C$2:$C$9999=$C$3)*'Raw Data'!$D$2:$D$9999*'Raw Data'!$AG$2:$AG$9999)/SUMIFS('Raw Data'!$D:$D, 'Raw Data'!$B:$B, "Control", 'Raw Data'!$A:$A, $A11, 'Raw Data'!$C:$C, $C$3),""))</f>
        <v>25</v>
      </c>
      <c r="CO11" s="90">
        <f>IF($A11="","",IFERROR(SUMPRODUCT(('Raw Data'!$B$2:$B$9999="Variant")*('Raw Data'!$A$2:$A$9999=$A11)*('Raw Data'!$C$2:$C$9999=$C$3)*'Raw Data'!$D$2:$D$9999*'Raw Data'!$AG$2:$AG$9999)/SUMIFS('Raw Data'!$D:$D, 'Raw Data'!$B:$B, "Variant", 'Raw Data'!$A:$A, $A11, 'Raw Data'!$C:$C, $C$3),""))</f>
        <v>25</v>
      </c>
      <c r="CP11" s="86">
        <f t="shared" si="31"/>
        <v>0</v>
      </c>
      <c r="CQ11" s="90">
        <f>IF($A11="","",IFERROR(SUMPRODUCT(('Raw Data'!$B$2:$B$9999="Control")*('Raw Data'!$A$2:$A$9999=$A11)*('Raw Data'!$C$2:$C$9999=$C$3)*'Raw Data'!$D$2:$D$9999*'Raw Data'!$AH$2:$AH$9999)/SUMIFS('Raw Data'!$D:$D, 'Raw Data'!$B:$B, "Control", 'Raw Data'!$A:$A, $A11, 'Raw Data'!$C:$C, $C$3),""))</f>
        <v>38</v>
      </c>
      <c r="CR11" s="90">
        <f>IF($A11="","",IFERROR(SUMPRODUCT(('Raw Data'!$B$2:$B$9999="Variant")*('Raw Data'!$A$2:$A$9999=$A11)*('Raw Data'!$C$2:$C$9999=$C$3)*'Raw Data'!$D$2:$D$9999*'Raw Data'!$AH$2:$AH$9999)/SUMIFS('Raw Data'!$D:$D, 'Raw Data'!$B:$B, "Variant", 'Raw Data'!$A:$A, $A11, 'Raw Data'!$C:$C, $C$3),""))</f>
        <v>38</v>
      </c>
      <c r="CS11" s="86">
        <f t="shared" si="32"/>
        <v>0</v>
      </c>
      <c r="CT11" s="79">
        <f>IF($A11="","",IFERROR(SUMPRODUCT(('Raw Data'!$B$2:$B$9999="Control")*('Raw Data'!$A$2:$A$9999=$A11)*('Raw Data'!$C$2:$C$9999=$C$3)*'Raw Data'!$D$2:$D$9999*'Raw Data'!$AI$2:$AI$9999)/SUMIFS('Raw Data'!$D:$D, 'Raw Data'!$B:$B, "Control", 'Raw Data'!$A:$A, $A11, 'Raw Data'!$C:$C, $C$3),""))</f>
        <v>62.05</v>
      </c>
      <c r="CU11" s="79">
        <f>IF($A11="","",IFERROR(SUMPRODUCT(('Raw Data'!$B$2:$B$9999="Variant")*('Raw Data'!$A$2:$A$9999=$A11)*('Raw Data'!$C$2:$C$9999=$C$3)*'Raw Data'!$D$2:$D$9999*'Raw Data'!$AI$2:$AI$9999)/SUMIFS('Raw Data'!$D:$D, 'Raw Data'!$B:$B, "Variant", 'Raw Data'!$A:$A, $A11, 'Raw Data'!$C:$C, $C$3),""))</f>
        <v>61.53</v>
      </c>
      <c r="CV11" s="93">
        <f t="shared" si="33"/>
        <v>-0.008380338437</v>
      </c>
      <c r="CW11" s="79">
        <f>IF($A11="","",IFERROR(SUMPRODUCT(('Raw Data'!$B$2:$B$9999="Control")*('Raw Data'!$A$2:$A$9999=$A11)*('Raw Data'!$C$2:$C$9999=$C$3)*'Raw Data'!$D$2:$D$9999*'Raw Data'!$AJ$2:$AJ$9999)/SUMIFS('Raw Data'!$D:$D, 'Raw Data'!$B:$B, "Control", 'Raw Data'!$A:$A, $A11, 'Raw Data'!$C:$C, $C$3),""))</f>
        <v>23.35</v>
      </c>
      <c r="CX11" s="79">
        <f>IF($A11="","",IFERROR(SUMPRODUCT(('Raw Data'!$B$2:$B$9999="Variant")*('Raw Data'!$A$2:$A$9999=$A11)*('Raw Data'!$C$2:$C$9999=$C$3)*'Raw Data'!$D$2:$D$9999*'Raw Data'!$AJ$2:$AJ$9999)/SUMIFS('Raw Data'!$D:$D, 'Raw Data'!$B:$B, "Variant", 'Raw Data'!$A:$A, $A11, 'Raw Data'!$C:$C, $C$3),""))</f>
        <v>23.92</v>
      </c>
      <c r="CY11" s="93">
        <f t="shared" si="34"/>
        <v>0.0244111349</v>
      </c>
      <c r="CZ11" s="79">
        <f>IF($A11="","",IFERROR(SUMPRODUCT(('Raw Data'!$B$2:$B$9999="Control")*('Raw Data'!$A$2:$A$9999=$A11)*('Raw Data'!$C$2:$C$9999=$C$3)*'Raw Data'!$D$2:$D$9999*'Raw Data'!$AK$2:$AK$9999)/SUMIFS('Raw Data'!$D:$D, 'Raw Data'!$B:$B, "Control", 'Raw Data'!$A:$A, $A11, 'Raw Data'!$C:$C, $C$3),""))</f>
        <v>7.7</v>
      </c>
      <c r="DA11" s="79">
        <f>IF($A11="","",IFERROR(SUMPRODUCT(('Raw Data'!$B$2:$B$9999="Variant")*('Raw Data'!$A$2:$A$9999=$A11)*('Raw Data'!$C$2:$C$9999=$C$3)*'Raw Data'!$D$2:$D$9999*'Raw Data'!$AK$2:$AK$9999)/SUMIFS('Raw Data'!$D:$D, 'Raw Data'!$B:$B, "Variant", 'Raw Data'!$A:$A, $A11, 'Raw Data'!$C:$C, $C$3),""))</f>
        <v>7.31</v>
      </c>
      <c r="DB11" s="86">
        <f t="shared" si="35"/>
        <v>-0.05064935065</v>
      </c>
      <c r="DC11" s="91">
        <f>IF($A11="","",IFERROR(SUMPRODUCT(('Raw Data'!$B$2:$B$9999="Control")*('Raw Data'!$A$2:$A$9999=$A11)*('Raw Data'!$C$2:$C$9999=$C$3)*'Raw Data'!$D$2:$D$9999*'Raw Data'!$AL$2:$AL$9999)/SUMIFS('Raw Data'!$D:$D, 'Raw Data'!$B:$B, "Control", 'Raw Data'!$A:$A, $A11, 'Raw Data'!$C:$C, $C$3),""))</f>
        <v>0.2</v>
      </c>
      <c r="DD11" s="91">
        <f>IF($A11="","",IFERROR(SUMPRODUCT(('Raw Data'!$B$2:$B$9999="Variant")*('Raw Data'!$A$2:$A$9999=$A11)*('Raw Data'!$C$2:$C$9999=$C$3)*'Raw Data'!$D$2:$D$9999*'Raw Data'!$AL$2:$AL$9999)/SUMIFS('Raw Data'!$D:$D, 'Raw Data'!$B:$B, "Variant", 'Raw Data'!$A:$A, $A11, 'Raw Data'!$C:$C, $C$3),""))</f>
        <v>0.1987</v>
      </c>
      <c r="DE11" s="93">
        <f t="shared" si="36"/>
        <v>-0.0065</v>
      </c>
      <c r="DF11" s="107"/>
      <c r="DG11" s="79">
        <f>IF($A11="","",IFERROR(SUMPRODUCT(('Raw Data'!$B$2:$B$9999="Variant")*('Raw Data'!$A$2:$A$9999=$A11)*('Raw Data'!$C$2:$C$9999=$C$3)*'Raw Data'!$D$2:$D$9999*'Raw Data'!$AM$2:$AM$9999)/SUMIFS('Raw Data'!$D:$D, 'Raw Data'!$B:$B, "Variant", 'Raw Data'!$A:$A, $A11, 'Raw Data'!$C:$C, $C$3),""))</f>
        <v>63.26</v>
      </c>
      <c r="DH11" s="108"/>
      <c r="DI11" s="107"/>
      <c r="DJ11" s="79">
        <f>IF($A11="","",IFERROR(SUMPRODUCT(('Raw Data'!$B$2:$B$9999="Variant")*('Raw Data'!$A$2:$A$9999=$A11)*('Raw Data'!$C$2:$C$9999=$C$3)*'Raw Data'!$D$2:$D$9999*'Raw Data'!$AN$2:$AN$9999)/SUMIFS('Raw Data'!$D:$D, 'Raw Data'!$B:$B, "Variant", 'Raw Data'!$A:$A, $A11, 'Raw Data'!$C:$C, $C$3),""))</f>
        <v>63.26</v>
      </c>
      <c r="DK11" s="108"/>
      <c r="DL11" s="107"/>
      <c r="DM11" s="79">
        <f>IF($A11="","",IFERROR(SUMPRODUCT(('Raw Data'!$B$2:$B$9999="Variant")*('Raw Data'!$A$2:$A$9999=$A11)*('Raw Data'!$C$2:$C$9999=$C$3)*'Raw Data'!$D$2:$D$9999*'Raw Data'!$AO$2:$AO$9999)/SUMIFS('Raw Data'!$D:$D, 'Raw Data'!$B:$B, "Variant", 'Raw Data'!$A:$A, $A11, 'Raw Data'!$C:$C, $C$3),""))</f>
        <v>37.66</v>
      </c>
      <c r="DN11" s="108"/>
      <c r="DO11" s="107"/>
      <c r="DP11" s="79">
        <f>IF($A11="","",IFERROR(SUMPRODUCT(('Raw Data'!$B$2:$B$9999="Variant")*('Raw Data'!$A$2:$A$9999=$A11)*('Raw Data'!$C$2:$C$9999=$C$3)*'Raw Data'!$D$2:$D$9999*'Raw Data'!$AP$2:$AP$9999)/SUMIFS('Raw Data'!$D:$D, 'Raw Data'!$B:$B, "Variant", 'Raw Data'!$A:$A, $A11, 'Raw Data'!$C:$C, $C$3),""))</f>
        <v>19.64</v>
      </c>
      <c r="DQ11" s="108"/>
      <c r="DR11" s="91">
        <f>IF($A11="","",IFERROR(SUMPRODUCT(('Raw Data'!$B$2:$B$9999="Control")*('Raw Data'!$A$2:$A$9999=$A11)*('Raw Data'!$C$2:$C$9999=$C$3)*'Raw Data'!$D$2:$D$9999*'Raw Data'!$AQ$2:$AQ$9999)/SUMIFS('Raw Data'!$D:$D, 'Raw Data'!$B:$B, "Control", 'Raw Data'!$A:$A, $A11, 'Raw Data'!$C:$C, $C$3),""))</f>
        <v>12.1854</v>
      </c>
      <c r="DS11" s="91">
        <f>IF($A11="","",IFERROR(SUMPRODUCT(('Raw Data'!$B$2:$B$9999="Variant")*('Raw Data'!$A$2:$A$9999=$A11)*('Raw Data'!$C$2:$C$9999=$C$3)*'Raw Data'!$D$2:$D$9999*'Raw Data'!$AQ$2:$AQ$9999)/SUMIFS('Raw Data'!$D:$D, 'Raw Data'!$B:$B, "Variant", 'Raw Data'!$A:$A, $A11, 'Raw Data'!$C:$C, $C$3),""))</f>
        <v>10.9422</v>
      </c>
      <c r="DT11" s="110">
        <f t="shared" si="37"/>
        <v>-0.1020237333</v>
      </c>
      <c r="DU11" s="91">
        <f>IF($A11="","",IFERROR(SUMPRODUCT(('Raw Data'!$B$2:$B$9999="Control")*('Raw Data'!$A$2:$A$9999=$A11)*('Raw Data'!$C$2:$C$9999=$C$3)*'Raw Data'!$D$2:$D$9999*'Raw Data'!$AR$2:$AR$9999)/SUMIFS('Raw Data'!$D:$D, 'Raw Data'!$B:$B, "Control", 'Raw Data'!$A:$A, $A11, 'Raw Data'!$C:$C, $C$3),""))</f>
        <v>0.2181</v>
      </c>
      <c r="DV11" s="91">
        <f>IF($A11="","",IFERROR(SUMPRODUCT(('Raw Data'!$B$2:$B$9999="Variant")*('Raw Data'!$A$2:$A$9999=$A11)*('Raw Data'!$C$2:$C$9999=$C$3)*'Raw Data'!$D$2:$D$9999*'Raw Data'!$AR$2:$AR$9999)/SUMIFS('Raw Data'!$D:$D, 'Raw Data'!$B:$B, "Variant", 'Raw Data'!$A:$A, $A11, 'Raw Data'!$C:$C, $C$3),""))</f>
        <v>0.1945</v>
      </c>
      <c r="DW11" s="110">
        <f t="shared" si="38"/>
        <v>-0.1082072444</v>
      </c>
      <c r="DX11" s="91">
        <f>IF($A11="","",IFERROR(SUMPRODUCT(('Raw Data'!$B$2:$B$9999="Control")*('Raw Data'!$A$2:$A$9999=$A11)*('Raw Data'!$C$2:$C$9999=$C$3)*'Raw Data'!$D$2:$D$9999*'Raw Data'!$AS$2:$AS$9999)/SUMIFS('Raw Data'!$D:$D, 'Raw Data'!$B:$B, "Control", 'Raw Data'!$A:$A, $A11, 'Raw Data'!$C:$C, $C$3),""))</f>
        <v>11.9673</v>
      </c>
      <c r="DY11" s="91">
        <f>IF($A11="","",IFERROR(SUMPRODUCT(('Raw Data'!$B$2:$B$9999="Variant")*('Raw Data'!$A$2:$A$9999=$A11)*('Raw Data'!$C$2:$C$9999=$C$3)*'Raw Data'!$D$2:$D$9999*'Raw Data'!$AS$2:$AS$9999)/SUMIFS('Raw Data'!$D:$D, 'Raw Data'!$B:$B, "Variant", 'Raw Data'!$A:$A, $A11, 'Raw Data'!$C:$C, $C$3),""))</f>
        <v>10.7477</v>
      </c>
      <c r="DZ11" s="111">
        <f t="shared" si="39"/>
        <v>-0.1019110409</v>
      </c>
      <c r="EA11" s="91">
        <f>IF($A11="","",IFERROR(SUMPRODUCT(('Raw Data'!$B$2:$B$9999="Control")*('Raw Data'!$A$2:$A$9999=$A11)*('Raw Data'!$C$2:$C$9999=$C$3)*'Raw Data'!$D$2:$D$9999*'Raw Data'!$AT$2:$AT$9999)/SUMIFS('Raw Data'!$D:$D, 'Raw Data'!$B:$B, "Control", 'Raw Data'!$A:$A, $A11, 'Raw Data'!$C:$C, $C$3),""))</f>
        <v>10.1065</v>
      </c>
      <c r="EB11" s="91">
        <f>IF($A11="","",IFERROR(SUMPRODUCT(('Raw Data'!$B$2:$B$9999="Variant")*('Raw Data'!$A$2:$A$9999=$A11)*('Raw Data'!$C$2:$C$9999=$C$3)*'Raw Data'!$D$2:$D$9999*'Raw Data'!$AT$2:$AT$9999)/SUMIFS('Raw Data'!$D:$D, 'Raw Data'!$B:$B, "Variant", 'Raw Data'!$A:$A, $A11, 'Raw Data'!$C:$C, $C$3),""))</f>
        <v>9.381</v>
      </c>
      <c r="EC11" s="110">
        <f t="shared" si="40"/>
        <v>-0.07178548459</v>
      </c>
      <c r="ED11" s="91">
        <f>IF($A11="","",IFERROR(SUMPRODUCT(('Raw Data'!$B$2:$B$9999="Control")*('Raw Data'!$A$2:$A$9999=$A11)*('Raw Data'!$C$2:$C$9999=$C$3)*'Raw Data'!$D$2:$D$9999*('Raw Data'!$AQ$2:$AQ$9999-'Raw Data'!$AT$2:$AT$9999))/SUMIFS('Raw Data'!$D:$D, 'Raw Data'!$B:$B, "Control", 'Raw Data'!$A:$A, $A11, 'Raw Data'!$C:$C, $C$3),""))</f>
        <v>2.0789</v>
      </c>
      <c r="EE11" s="91">
        <f>IF($A11="","",IFERROR(SUMPRODUCT(('Raw Data'!$B$2:$B$9999="Variant")*('Raw Data'!$A$2:$A$9999=$A11)*('Raw Data'!$C$2:$C$9999=$C$3)*'Raw Data'!$D$2:$D$9999*('Raw Data'!$AQ$2:$AQ$9999-'Raw Data'!$AT$2:$AT$9999))/SUMIFS('Raw Data'!$D:$D, 'Raw Data'!$B:$B, "Variant", 'Raw Data'!$A:$A, $A11, 'Raw Data'!$C:$C, $C$3),""))</f>
        <v>1.5612</v>
      </c>
      <c r="EF11" s="111">
        <f t="shared" si="41"/>
        <v>-0.2490259272</v>
      </c>
      <c r="EG11" s="91">
        <f>IF($A11="","",IFERROR(SUMPRODUCT(('Raw Data'!$B$2:$B$9999="Control")*('Raw Data'!$A$2:$A$9999=$A11)*('Raw Data'!$C$2:$C$9999=$C$3)*'Raw Data'!$D$2:$D$9999*'Raw Data'!$AU$2:$AU$9999)/SUMIFS('Raw Data'!$D:$D, 'Raw Data'!$B:$B, "Control", 'Raw Data'!$A:$A, $A11, 'Raw Data'!$C:$C, $C$3),""))</f>
        <v>0.2377</v>
      </c>
      <c r="EH11" s="91">
        <f>IF($A11="","",IFERROR(SUMPRODUCT(('Raw Data'!$B$2:$B$9999="Variant")*('Raw Data'!$A$2:$A$9999=$A11)*('Raw Data'!$C$2:$C$9999=$C$3)*'Raw Data'!$D$2:$D$9999*'Raw Data'!$AU$2:$AU$9999)/SUMIFS('Raw Data'!$D:$D, 'Raw Data'!$B:$B, "Variant", 'Raw Data'!$A:$A, $A11, 'Raw Data'!$C:$C, $C$3),""))</f>
        <v>0.23</v>
      </c>
      <c r="EI11" s="110">
        <f t="shared" si="42"/>
        <v>-0.03239377366</v>
      </c>
    </row>
    <row r="12" ht="15.75" customHeight="1">
      <c r="A12" s="74">
        <v>46235.0</v>
      </c>
      <c r="B12" s="76">
        <f>IF($A12="","",SUMIFS('Raw Data'!$D:$D, 'Raw Data'!$B:$B, "Control", 'Raw Data'!$A:$A, $A12, 'Raw Data'!$C:$C, $C$3))</f>
        <v>3684</v>
      </c>
      <c r="C12" s="76">
        <f>IF($A12="","",SUMIFS('Raw Data'!$D:$D, 'Raw Data'!$B:$B, "Variant", 'Raw Data'!$A:$A, $A12, 'Raw Data'!$C:$C, $C$3))</f>
        <v>3969</v>
      </c>
      <c r="D12" s="77">
        <f t="shared" si="1"/>
        <v>0.07736156352</v>
      </c>
      <c r="E12" s="79">
        <f>IF($A12="","",IFERROR(SUMPRODUCT(('Raw Data'!$B$2:$B$9999="Control")*('Raw Data'!$A$2:$A$9999=$A12)*('Raw Data'!$C$2:$C$9999=$C$3)*'Raw Data'!$D$2:$D$9999*'Raw Data'!$E$2:$E$9999)/SUMIFS('Raw Data'!$D:$D, 'Raw Data'!$B:$B, "Control", 'Raw Data'!$A:$A, $A12, 'Raw Data'!$C:$C, $C$3),""))</f>
        <v>16.62</v>
      </c>
      <c r="F12" s="79">
        <f>IF($A12="","",IFERROR(SUMPRODUCT(('Raw Data'!$B$2:$B$9999="Variant")*('Raw Data'!$A$2:$A$9999=$A12)*('Raw Data'!$C$2:$C$9999=$C$3)*'Raw Data'!$D$2:$D$9999*'Raw Data'!$E$2:$E$9999)/SUMIFS('Raw Data'!$D:$D, 'Raw Data'!$B:$B, "Variant", 'Raw Data'!$A:$A, $A12, 'Raw Data'!$C:$C, $C$3),""))</f>
        <v>18.03</v>
      </c>
      <c r="G12" s="77">
        <f t="shared" si="2"/>
        <v>0.08483754513</v>
      </c>
      <c r="H12" s="85">
        <f>IF($A12="","",SUMIFS('Raw Data'!$F:$F, 'Raw Data'!$B:$B, "Control", 'Raw Data'!$A:$A, $A12, 'Raw Data'!$C:$C, $C$3))</f>
        <v>924.15</v>
      </c>
      <c r="I12" s="85">
        <f>IF($A12="","",SUMIFS('Raw Data'!$F:$F, 'Raw Data'!$B:$B, "Variant", 'Raw Data'!$A:$A, $A12, 'Raw Data'!$C:$C, $C$3))</f>
        <v>1076.12</v>
      </c>
      <c r="J12" s="86">
        <f t="shared" si="3"/>
        <v>0.1644430017</v>
      </c>
      <c r="K12" s="88">
        <f>IF($A12="","",IFERROR(SUMIFS('Raw Data'!$F:$F, 'Raw Data'!$B:$B, "Control", 'Raw Data'!$A:$A, $A12, 'Raw Data'!$C:$C, $C$3)/SUMIFS('Raw Data'!$D:$D, 'Raw Data'!$B:$B, "Control", 'Raw Data'!$A:$A, $A12, 'Raw Data'!$C:$C, $C$3),""))</f>
        <v>0.2508550489</v>
      </c>
      <c r="L12" s="88">
        <f>IF($A12="","",IFERROR(SUMIFS('Raw Data'!$F:$F, 'Raw Data'!$B:$B, "Variant", 'Raw Data'!$A:$A, $A12, 'Raw Data'!$C:$C, $C$3)/SUMIFS('Raw Data'!$D:$D, 'Raw Data'!$B:$B, "Variant", 'Raw Data'!$A:$A, $A12, 'Raw Data'!$C:$C, $C$3),""))</f>
        <v>0.2711312673</v>
      </c>
      <c r="M12" s="86">
        <f t="shared" si="4"/>
        <v>0.08082842484</v>
      </c>
      <c r="N12" s="79">
        <f>IF($A12="","",IFERROR(SUMPRODUCT(('Raw Data'!$B$2:$B$9999="Control")*('Raw Data'!$A$2:$A$9999=$A12)*('Raw Data'!$C$2:$C$9999=$C$3)*'Raw Data'!$D$2:$D$9999*'Raw Data'!$H$2:$H$9999/100)/SUMIFS('Raw Data'!$D:$D, 'Raw Data'!$B:$B, "Control", 'Raw Data'!$A:$A, $A12, 'Raw Data'!$C:$C, $C$3)*100,""))</f>
        <v>5.43</v>
      </c>
      <c r="O12" s="79">
        <f>IF($A12="","",IFERROR(SUMPRODUCT(('Raw Data'!$B$2:$B$9999="Variant")*('Raw Data'!$A$2:$A$9999=$A12)*('Raw Data'!$C$2:$C$9999=$C$3)*'Raw Data'!$D$2:$D$9999*'Raw Data'!$H$2:$H$9999/100)/SUMIFS('Raw Data'!$D:$D, 'Raw Data'!$B:$B, "Variant", 'Raw Data'!$A:$A, $A12, 'Raw Data'!$C:$C, $C$3)*100,""))</f>
        <v>4.91</v>
      </c>
      <c r="P12" s="86">
        <f t="shared" si="5"/>
        <v>-0.09576427256</v>
      </c>
      <c r="Q12" s="88">
        <f>IF($A12="","",IFERROR(SUMIFS('Raw Data'!$F:$F, 'Raw Data'!$B:$B, "Control", 'Raw Data'!$A:$A, $A12, 'Raw Data'!$C:$C, $C$3)/SUMPRODUCT(('Raw Data'!$B$2:$B$9999="Control")*('Raw Data'!$A$2:$A$9999=$A12)*('Raw Data'!$C$2:$C$9999=$C$3)*'Raw Data'!$D$2:$D$9999*'Raw Data'!$H$2:$H$9999/100),""))</f>
        <v>4.619798322</v>
      </c>
      <c r="R12" s="88">
        <f>IF($A12="","",IFERROR(SUMIFS('Raw Data'!$F:$F, 'Raw Data'!$B:$B, "Variant", 'Raw Data'!$A:$A, $A12, 'Raw Data'!$C:$C, $C$3)/SUMPRODUCT(('Raw Data'!$B$2:$B$9999="Variant")*('Raw Data'!$A$2:$A$9999=$A12)*('Raw Data'!$C$2:$C$9999=$C$3)*'Raw Data'!$D$2:$D$9999*'Raw Data'!$H$2:$H$9999/100),""))</f>
        <v>5.522021738</v>
      </c>
      <c r="S12" s="86">
        <f t="shared" si="6"/>
        <v>0.195294979</v>
      </c>
      <c r="T12" s="90">
        <f>IF($A12="","",IFERROR(SUMPRODUCT(('Raw Data'!$B$2:$B$9999="Control")*('Raw Data'!$A$2:$A$9999=$A12)*('Raw Data'!$C$2:$C$9999=$C$3)*'Raw Data'!$D$2:$D$9999*'Raw Data'!$J$2:$J$9999)/SUMIFS('Raw Data'!$D:$D, 'Raw Data'!$B:$B, "Control", 'Raw Data'!$A:$A, $A12, 'Raw Data'!$C:$C, $C$3),""))</f>
        <v>78.96</v>
      </c>
      <c r="U12" s="90">
        <f>IF($A12="","",IFERROR(SUMPRODUCT(('Raw Data'!$B$2:$B$9999="Variant")*('Raw Data'!$A$2:$A$9999=$A12)*('Raw Data'!$C$2:$C$9999=$C$3)*'Raw Data'!$D$2:$D$9999*'Raw Data'!$J$2:$J$9999)/SUMIFS('Raw Data'!$D:$D, 'Raw Data'!$B:$B, "Variant", 'Raw Data'!$A:$A, $A12, 'Raw Data'!$C:$C, $C$3),""))</f>
        <v>77.27</v>
      </c>
      <c r="V12" s="86">
        <f t="shared" si="7"/>
        <v>-0.02140324215</v>
      </c>
      <c r="W12" s="90">
        <f>IF($A12="","",IFERROR(SUMPRODUCT(('Raw Data'!$B$2:$B$9999="Control")*('Raw Data'!$A$2:$A$9999=$A12)*('Raw Data'!$C$2:$C$9999=$C$3)*'Raw Data'!$D$2:$D$9999*'Raw Data'!$K$2:$K$9999)/SUMIFS('Raw Data'!$D:$D, 'Raw Data'!$B:$B, "Control", 'Raw Data'!$A:$A, $A12, 'Raw Data'!$C:$C, $C$3),""))</f>
        <v>41.4</v>
      </c>
      <c r="X12" s="90">
        <f>IF($A12="","",IFERROR(SUMPRODUCT(('Raw Data'!$B$2:$B$9999="Variant")*('Raw Data'!$A$2:$A$9999=$A12)*('Raw Data'!$C$2:$C$9999=$C$3)*'Raw Data'!$D$2:$D$9999*'Raw Data'!$K$2:$K$9999)/SUMIFS('Raw Data'!$D:$D, 'Raw Data'!$B:$B, "Variant", 'Raw Data'!$A:$A, $A12, 'Raw Data'!$C:$C, $C$3),""))</f>
        <v>40.02</v>
      </c>
      <c r="Y12" s="86">
        <f t="shared" si="8"/>
        <v>-0.03333333333</v>
      </c>
      <c r="Z12" s="90">
        <f>IF($A12="","",IFERROR(SUMPRODUCT(('Raw Data'!$B$2:$B$9999="Control")*('Raw Data'!$A$2:$A$9999=$A12)*('Raw Data'!$C$2:$C$9999=$C$3)*'Raw Data'!$D$2:$D$9999*'Raw Data'!$L$2:$L$9999)/SUMIFS('Raw Data'!$D:$D, 'Raw Data'!$B:$B, "Control", 'Raw Data'!$A:$A, $A12, 'Raw Data'!$C:$C, $C$3),""))</f>
        <v>28.34</v>
      </c>
      <c r="AA12" s="90">
        <f>IF($A12="","",IFERROR(SUMPRODUCT(('Raw Data'!$B$2:$B$9999="Variant")*('Raw Data'!$A$2:$A$9999=$A12)*('Raw Data'!$C$2:$C$9999=$C$3)*'Raw Data'!$D$2:$D$9999*'Raw Data'!$L$2:$L$9999)/SUMIFS('Raw Data'!$D:$D, 'Raw Data'!$B:$B, "Variant", 'Raw Data'!$A:$A, $A12, 'Raw Data'!$C:$C, $C$3),""))</f>
        <v>26.34</v>
      </c>
      <c r="AB12" s="86">
        <f t="shared" si="9"/>
        <v>-0.0705716302</v>
      </c>
      <c r="AC12" s="91">
        <f>IF($A12="","",IFERROR(SUMPRODUCT(('Raw Data'!$B$2:$B$9999="Control")*('Raw Data'!$A$2:$A$9999=$A12)*('Raw Data'!$C$2:$C$9999=$C$3)*'Raw Data'!$D$2:$D$9999*'Raw Data'!$M$2:$M$9999)/SUMIFS('Raw Data'!$D:$D, 'Raw Data'!$B:$B, "Control", 'Raw Data'!$A:$A, $A12, 'Raw Data'!$C:$C, $C$3),""))</f>
        <v>0.6847</v>
      </c>
      <c r="AD12" s="91">
        <f>IF($A12="","",IFERROR(SUMPRODUCT(('Raw Data'!$B$2:$B$9999="Variant")*('Raw Data'!$A$2:$A$9999=$A12)*('Raw Data'!$C$2:$C$9999=$C$3)*'Raw Data'!$D$2:$D$9999*'Raw Data'!$M$2:$M$9999)/SUMIFS('Raw Data'!$D:$D, 'Raw Data'!$B:$B, "Variant", 'Raw Data'!$A:$A, $A12, 'Raw Data'!$C:$C, $C$3),""))</f>
        <v>0.6581</v>
      </c>
      <c r="AE12" s="93">
        <f t="shared" si="10"/>
        <v>-0.03884913101</v>
      </c>
      <c r="AF12" s="91">
        <f>IF($A12="","",IFERROR(SUMPRODUCT(('Raw Data'!$B$2:$B$9999="Control")*('Raw Data'!$A$2:$A$9999=$A12)*('Raw Data'!$C$2:$C$9999=$C$3)*'Raw Data'!$D$2:$D$9999*'Raw Data'!$N$2:$N$9999)/SUMIFS('Raw Data'!$D:$D, 'Raw Data'!$B:$B, "Control", 'Raw Data'!$A:$A, $A12, 'Raw Data'!$C:$C, $C$3),""))</f>
        <v>0.4819</v>
      </c>
      <c r="AG12" s="91">
        <f>IF($A12="","",IFERROR(SUMPRODUCT(('Raw Data'!$B$2:$B$9999="Variant")*('Raw Data'!$A$2:$A$9999=$A12)*('Raw Data'!$C$2:$C$9999=$C$3)*'Raw Data'!$D$2:$D$9999*'Raw Data'!$N$2:$N$9999)/SUMIFS('Raw Data'!$D:$D, 'Raw Data'!$B:$B, "Variant", 'Raw Data'!$A:$A, $A12, 'Raw Data'!$C:$C, $C$3),""))</f>
        <v>0.5058</v>
      </c>
      <c r="AH12" s="93">
        <f t="shared" si="11"/>
        <v>0.04959535173</v>
      </c>
      <c r="AI12" s="91">
        <f>IF($A12="","",IFERROR(SUMPRODUCT(('Raw Data'!$B$2:$B$9999="Control")*('Raw Data'!$A$2:$A$9999=$A12)*('Raw Data'!$C$2:$C$9999=$C$3)*'Raw Data'!$D$2:$D$9999*'Raw Data'!$O$2:$O$9999)/SUMIFS('Raw Data'!$D:$D, 'Raw Data'!$B:$B, "Control", 'Raw Data'!$A:$A, $A12, 'Raw Data'!$C:$C, $C$3),""))</f>
        <v>0.3316</v>
      </c>
      <c r="AJ12" s="91">
        <f>IF($A12="","",IFERROR(SUMPRODUCT(('Raw Data'!$B$2:$B$9999="Variant")*('Raw Data'!$A$2:$A$9999=$A12)*('Raw Data'!$C$2:$C$9999=$C$3)*'Raw Data'!$D$2:$D$9999*'Raw Data'!$O$2:$O$9999)/SUMIFS('Raw Data'!$D:$D, 'Raw Data'!$B:$B, "Variant", 'Raw Data'!$A:$A, $A12, 'Raw Data'!$C:$C, $C$3),""))</f>
        <v>0.342</v>
      </c>
      <c r="AK12" s="86">
        <f t="shared" si="12"/>
        <v>0.03136308806</v>
      </c>
      <c r="AL12" s="90">
        <f>IF($A12="","",IFERROR(SUMPRODUCT(('Raw Data'!$B$2:$B$9999="Control")*('Raw Data'!$A$2:$A$9999=$A12)*('Raw Data'!$C$2:$C$9999=$C$3)*'Raw Data'!$D$2:$D$9999*'Raw Data'!$P$2:$P$9999)/SUMIFS('Raw Data'!$D:$D, 'Raw Data'!$B:$B, "Control", 'Raw Data'!$A:$A, $A12, 'Raw Data'!$C:$C, $C$3),""))</f>
        <v>1.4606</v>
      </c>
      <c r="AM12" s="90">
        <f>IF($A12="","",IFERROR(SUMPRODUCT(('Raw Data'!$B$2:$B$9999="Variant")*('Raw Data'!$A$2:$A$9999=$A12)*('Raw Data'!$C$2:$C$9999=$C$3)*'Raw Data'!$D$2:$D$9999*'Raw Data'!$P$2:$P$9999)/SUMIFS('Raw Data'!$D:$D, 'Raw Data'!$B:$B, "Variant", 'Raw Data'!$A:$A, $A12, 'Raw Data'!$C:$C, $C$3),""))</f>
        <v>1.5194</v>
      </c>
      <c r="AN12" s="86">
        <f t="shared" si="13"/>
        <v>0.04025742845</v>
      </c>
      <c r="AO12" s="90">
        <f>IF($A12="","",IFERROR(SUMPRODUCT(('Raw Data'!$B$2:$B$9999="Control")*('Raw Data'!$A$2:$A$9999=$A12)*('Raw Data'!$C$2:$C$9999=$C$3)*'Raw Data'!$D$2:$D$9999*'Raw Data'!$Q$2:$Q$9999)/SUMIFS('Raw Data'!$D:$D, 'Raw Data'!$B:$B, "Control", 'Raw Data'!$A:$A, $A12, 'Raw Data'!$C:$C, $C$3),""))</f>
        <v>199.93</v>
      </c>
      <c r="AP12" s="90">
        <f>IF($A12="","",IFERROR(SUMPRODUCT(('Raw Data'!$B$2:$B$9999="Variant")*('Raw Data'!$A$2:$A$9999=$A12)*('Raw Data'!$C$2:$C$9999=$C$3)*'Raw Data'!$D$2:$D$9999*'Raw Data'!$Q$2:$Q$9999)/SUMIFS('Raw Data'!$D:$D, 'Raw Data'!$B:$B, "Variant", 'Raw Data'!$A:$A, $A12, 'Raw Data'!$C:$C, $C$3),""))</f>
        <v>160.4</v>
      </c>
      <c r="AQ12" s="77">
        <f t="shared" si="14"/>
        <v>-0.1977192017</v>
      </c>
      <c r="AR12" s="90">
        <f>IF($A12="","",IFERROR(SUMPRODUCT(('Raw Data'!$B$2:$B$9999="Control")*('Raw Data'!$A$2:$A$9999=$A12)*('Raw Data'!$C$2:$C$9999=$C$3)*'Raw Data'!$D$2:$D$9999*'Raw Data'!$R$2:$R$9999)/SUMIFS('Raw Data'!$D:$D, 'Raw Data'!$B:$B, "Control", 'Raw Data'!$A:$A, $A12, 'Raw Data'!$C:$C, $C$3),""))</f>
        <v>159.11</v>
      </c>
      <c r="AS12" s="90">
        <f>IF($A12="","",IFERROR(SUMPRODUCT(('Raw Data'!$B$2:$B$9999="Variant")*('Raw Data'!$A$2:$A$9999=$A12)*('Raw Data'!$C$2:$C$9999=$C$3)*'Raw Data'!$D$2:$D$9999*'Raw Data'!$R$2:$R$9999)/SUMIFS('Raw Data'!$D:$D, 'Raw Data'!$B:$B, "Variant", 'Raw Data'!$A:$A, $A12, 'Raw Data'!$C:$C, $C$3),""))</f>
        <v>143.88</v>
      </c>
      <c r="AT12" s="77">
        <f t="shared" si="15"/>
        <v>-0.09571994218</v>
      </c>
      <c r="AU12" s="90">
        <f>IF($A12="","",IFERROR(SUMPRODUCT(('Raw Data'!$B$2:$B$9999="Control")*('Raw Data'!$A$2:$A$9999=$A12)*('Raw Data'!$C$2:$C$9999=$C$3)*'Raw Data'!$D$2:$D$9999*'Raw Data'!$S$2:$S$9999)/SUMIFS('Raw Data'!$D:$D, 'Raw Data'!$B:$B, "Control", 'Raw Data'!$A:$A, $A12, 'Raw Data'!$C:$C, $C$3),""))</f>
        <v>40.82</v>
      </c>
      <c r="AV12" s="90">
        <f>IF($A12="","",IFERROR(SUMPRODUCT(('Raw Data'!$B$2:$B$9999="Variant")*('Raw Data'!$A$2:$A$9999=$A12)*('Raw Data'!$C$2:$C$9999=$C$3)*'Raw Data'!$D$2:$D$9999*'Raw Data'!$S$2:$S$9999)/SUMIFS('Raw Data'!$D:$D, 'Raw Data'!$B:$B, "Variant", 'Raw Data'!$A:$A, $A12, 'Raw Data'!$C:$C, $C$3),""))</f>
        <v>16.52</v>
      </c>
      <c r="AW12" s="77">
        <f t="shared" si="16"/>
        <v>-0.5952964233</v>
      </c>
      <c r="AX12" s="90">
        <f>IF($A12="","",IFERROR(SUMPRODUCT(('Raw Data'!$B$2:$B$9999="Control")*('Raw Data'!$A$2:$A$9999=$A12)*('Raw Data'!$C$2:$C$9999=$C$3)*'Raw Data'!$D$2:$D$9999*'Raw Data'!$T$2:$T$9999)/SUMIFS('Raw Data'!$D:$D, 'Raw Data'!$B:$B, "Control", 'Raw Data'!$A:$A, $A12, 'Raw Data'!$C:$C, $C$3),""))</f>
        <v>20.7</v>
      </c>
      <c r="AY12" s="90">
        <f>IF($A12="","",IFERROR(SUMPRODUCT(('Raw Data'!$B$2:$B$9999="Variant")*('Raw Data'!$A$2:$A$9999=$A12)*('Raw Data'!$C$2:$C$9999=$C$3)*'Raw Data'!$D$2:$D$9999*'Raw Data'!$T$2:$T$9999)/SUMIFS('Raw Data'!$D:$D, 'Raw Data'!$B:$B, "Variant", 'Raw Data'!$A:$A, $A12, 'Raw Data'!$C:$C, $C$3),""))</f>
        <v>20.41</v>
      </c>
      <c r="AZ12" s="86">
        <f t="shared" si="17"/>
        <v>-0.01400966184</v>
      </c>
      <c r="BA12" s="90">
        <f>IF($A12="","",IFERROR(SUMPRODUCT(('Raw Data'!$B$2:$B$9999="Control")*('Raw Data'!$A$2:$A$9999=$A12)*('Raw Data'!$C$2:$C$9999=$C$3)*'Raw Data'!$D$2:$D$9999*'Raw Data'!$U$2:$U$9999)/SUMIFS('Raw Data'!$D:$D, 'Raw Data'!$B:$B, "Control", 'Raw Data'!$A:$A, $A12, 'Raw Data'!$C:$C, $C$3),""))</f>
        <v>179.23</v>
      </c>
      <c r="BB12" s="90">
        <f>IF($A12="","",IFERROR(SUMPRODUCT(('Raw Data'!$B$2:$B$9999="Variant")*('Raw Data'!$A$2:$A$9999=$A12)*('Raw Data'!$C$2:$C$9999=$C$3)*'Raw Data'!$D$2:$D$9999*'Raw Data'!$U$2:$U$9999)/SUMIFS('Raw Data'!$D:$D, 'Raw Data'!$B:$B, "Variant", 'Raw Data'!$A:$A, $A12, 'Raw Data'!$C:$C, $C$3),""))</f>
        <v>139.99</v>
      </c>
      <c r="BC12" s="77">
        <f t="shared" si="18"/>
        <v>-0.218936562</v>
      </c>
      <c r="BD12" s="90">
        <f>IF($A12="","",IFERROR(SUMPRODUCT(('Raw Data'!$B$2:$B$9999="Control")*('Raw Data'!$A$2:$A$9999=$A12)*('Raw Data'!$C$2:$C$9999=$C$3)*'Raw Data'!$D$2:$D$9999*'Raw Data'!$V$2:$V$9999)/SUMIFS('Raw Data'!$D:$D, 'Raw Data'!$B:$B, "Control", 'Raw Data'!$A:$A, $A12, 'Raw Data'!$C:$C, $C$3),""))</f>
        <v>194.56</v>
      </c>
      <c r="BE12" s="90">
        <f>IF($A12="","",IFERROR(SUMPRODUCT(('Raw Data'!$B$2:$B$9999="Variant")*('Raw Data'!$A$2:$A$9999=$A12)*('Raw Data'!$C$2:$C$9999=$C$3)*'Raw Data'!$D$2:$D$9999*'Raw Data'!$V$2:$V$9999)/SUMIFS('Raw Data'!$D:$D, 'Raw Data'!$B:$B, "Variant", 'Raw Data'!$A:$A, $A12, 'Raw Data'!$C:$C, $C$3),""))</f>
        <v>172.83</v>
      </c>
      <c r="BF12" s="77">
        <f t="shared" si="19"/>
        <v>-0.1116879112</v>
      </c>
      <c r="BG12" s="90">
        <f>IF($A12="","",IFERROR(SUMPRODUCT(('Raw Data'!$B$2:$B$9999="Control")*('Raw Data'!$A$2:$A$9999=$A12)*('Raw Data'!$C$2:$C$9999=$C$3)*'Raw Data'!$D$2:$D$9999*('Raw Data'!$Q$2:$Q$9999-'Raw Data'!$V$2:$V$9999))/SUMIFS('Raw Data'!$D:$D, 'Raw Data'!$B:$B, "Control", 'Raw Data'!$A:$A, $A12, 'Raw Data'!$C:$C, $C$3),""))</f>
        <v>5.37</v>
      </c>
      <c r="BH12" s="90">
        <f>IF($A12="","",IFERROR(SUMPRODUCT(('Raw Data'!$B$2:$B$9999="Variant")*('Raw Data'!$A$2:$A$9999=$A12)*('Raw Data'!$C$2:$C$9999=$C$3)*'Raw Data'!$D$2:$D$9999*('Raw Data'!$Q$2:$Q$9999-'Raw Data'!$V$2:$V$9999))/SUMIFS('Raw Data'!$D:$D, 'Raw Data'!$B:$B, "Variant", 'Raw Data'!$A:$A, $A12, 'Raw Data'!$C:$C, $C$3),""))</f>
        <v>-12.43</v>
      </c>
      <c r="BI12" s="77">
        <f t="shared" si="20"/>
        <v>-3.314711359</v>
      </c>
      <c r="BJ12" s="90">
        <f>IF($A12="","",IFERROR(SUMPRODUCT(('Raw Data'!$B$2:$B$9999="Control")*('Raw Data'!$A$2:$A$9999=$A12)*('Raw Data'!$C$2:$C$9999=$C$3)*'Raw Data'!$D$2:$D$9999*'Raw Data'!$W$2:$W$9999)/SUMIFS('Raw Data'!$D:$D, 'Raw Data'!$B:$B, "Control", 'Raw Data'!$A:$A, $A12, 'Raw Data'!$C:$C, $C$3),""))</f>
        <v>4.7</v>
      </c>
      <c r="BK12" s="90">
        <f>IF($A12="","",IFERROR(SUMPRODUCT(('Raw Data'!$B$2:$B$9999="Variant")*('Raw Data'!$A$2:$A$9999=$A12)*('Raw Data'!$C$2:$C$9999=$C$3)*'Raw Data'!$D$2:$D$9999*'Raw Data'!$W$2:$W$9999)/SUMIFS('Raw Data'!$D:$D, 'Raw Data'!$B:$B, "Variant", 'Raw Data'!$A:$A, $A12, 'Raw Data'!$C:$C, $C$3),""))</f>
        <v>4.3174</v>
      </c>
      <c r="BL12" s="77">
        <f t="shared" si="21"/>
        <v>-0.08140425532</v>
      </c>
      <c r="BM12" s="91">
        <f>IF($A12="","",IFERROR(SUMPRODUCT(('Raw Data'!$B$2:$B$9999="Control")*('Raw Data'!$A$2:$A$9999=$A12)*('Raw Data'!$C$2:$C$9999=$C$3)*'Raw Data'!$D$2:$D$9999*'Raw Data'!$X$2:$X$9999)/SUMIFS('Raw Data'!$D:$D, 'Raw Data'!$B:$B, "Control", 'Raw Data'!$A:$A, $A12, 'Raw Data'!$C:$C, $C$3),""))</f>
        <v>10.35</v>
      </c>
      <c r="BN12" s="91">
        <f>IF($A12="","",IFERROR(SUMPRODUCT(('Raw Data'!$B$2:$B$9999="Variant")*('Raw Data'!$A$2:$A$9999=$A12)*('Raw Data'!$C$2:$C$9999=$C$3)*'Raw Data'!$D$2:$D$9999*'Raw Data'!$X$2:$X$9999)/SUMIFS('Raw Data'!$D:$D, 'Raw Data'!$B:$B, "Variant", 'Raw Data'!$A:$A, $A12, 'Raw Data'!$C:$C, $C$3),""))</f>
        <v>12.73</v>
      </c>
      <c r="BO12" s="86">
        <f t="shared" si="22"/>
        <v>0.2299516908</v>
      </c>
      <c r="BP12" s="76">
        <f>IF($A12="","",IFERROR(SUMPRODUCT(('Raw Data'!$B$2:$B$9999="Control")*('Raw Data'!$A$2:$A$9999=$A12)*('Raw Data'!$C$2:$C$9999=$C$3)*'Raw Data'!$D$2:$D$9999*'Raw Data'!$Y$2:$Y$9999)/SUMIFS('Raw Data'!$D:$D, 'Raw Data'!$B:$B, "Control", 'Raw Data'!$A:$A, $A12, 'Raw Data'!$C:$C, $C$3),""))</f>
        <v>130</v>
      </c>
      <c r="BQ12" s="76">
        <f>IF($A12="","",IFERROR(SUMPRODUCT(('Raw Data'!$B$2:$B$9999="Variant")*('Raw Data'!$A$2:$A$9999=$A12)*('Raw Data'!$C$2:$C$9999=$C$3)*'Raw Data'!$D$2:$D$9999*'Raw Data'!$Y$2:$Y$9999)/SUMIFS('Raw Data'!$D:$D, 'Raw Data'!$B:$B, "Variant", 'Raw Data'!$A:$A, $A12, 'Raw Data'!$C:$C, $C$3),""))</f>
        <v>117</v>
      </c>
      <c r="BR12" s="77">
        <f t="shared" si="23"/>
        <v>-0.1</v>
      </c>
      <c r="BS12" s="76">
        <f>IF($A12="","",IFERROR(SUMPRODUCT(('Raw Data'!$B$2:$B$9999="Control")*('Raw Data'!$A$2:$A$9999=$A12)*('Raw Data'!$C$2:$C$9999=$C$3)*'Raw Data'!$D$2:$D$9999*'Raw Data'!$Z$2:$Z$9999)/SUMIFS('Raw Data'!$D:$D, 'Raw Data'!$B:$B, "Control", 'Raw Data'!$A:$A, $A12, 'Raw Data'!$C:$C, $C$3),""))</f>
        <v>556</v>
      </c>
      <c r="BT12" s="76">
        <f>IF($A12="","",IFERROR(SUMPRODUCT(('Raw Data'!$B$2:$B$9999="Variant")*('Raw Data'!$A$2:$A$9999=$A12)*('Raw Data'!$C$2:$C$9999=$C$3)*'Raw Data'!$D$2:$D$9999*'Raw Data'!$Z$2:$Z$9999)/SUMIFS('Raw Data'!$D:$D, 'Raw Data'!$B:$B, "Variant", 'Raw Data'!$A:$A, $A12, 'Raw Data'!$C:$C, $C$3),""))</f>
        <v>481</v>
      </c>
      <c r="BU12" s="77">
        <f t="shared" si="24"/>
        <v>-0.1348920863</v>
      </c>
      <c r="BV12" s="76">
        <f>IF($A12="","",IFERROR(SUMPRODUCT(('Raw Data'!$B$2:$B$9999="Control")*('Raw Data'!$A$2:$A$9999=$A12)*('Raw Data'!$C$2:$C$9999=$C$3)*'Raw Data'!$D$2:$D$9999*'Raw Data'!$AA$2:$AA$9999)/SUMIFS('Raw Data'!$D:$D, 'Raw Data'!$B:$B, "Control", 'Raw Data'!$A:$A, $A12, 'Raw Data'!$C:$C, $C$3),""))</f>
        <v>3774</v>
      </c>
      <c r="BW12" s="76">
        <f>IF($A12="","",IFERROR(SUMPRODUCT(('Raw Data'!$B$2:$B$9999="Variant")*('Raw Data'!$A$2:$A$9999=$A12)*('Raw Data'!$C$2:$C$9999=$C$3)*'Raw Data'!$D$2:$D$9999*'Raw Data'!$AA$2:$AA$9999)/SUMIFS('Raw Data'!$D:$D, 'Raw Data'!$B:$B, "Variant", 'Raw Data'!$A:$A, $A12, 'Raw Data'!$C:$C, $C$3),""))</f>
        <v>3795</v>
      </c>
      <c r="BX12" s="77">
        <f t="shared" si="25"/>
        <v>0.005564387917</v>
      </c>
      <c r="BY12" s="90">
        <f>IF($A12="","",IFERROR(SUMPRODUCT(('Raw Data'!$B$2:$B$9999="Control")*('Raw Data'!$A$2:$A$9999=$A12)*('Raw Data'!$C$2:$C$9999=$C$3)*'Raw Data'!$D$2:$D$9999*'Raw Data'!$AB$2:$AB$9999)/SUMIFS('Raw Data'!$D:$D, 'Raw Data'!$B:$B, "Control", 'Raw Data'!$A:$A, $A12, 'Raw Data'!$C:$C, $C$3),""))</f>
        <v>55.862</v>
      </c>
      <c r="BZ12" s="90">
        <f>IF($A12="","",IFERROR(SUMPRODUCT(('Raw Data'!$B$2:$B$9999="Variant")*('Raw Data'!$A$2:$A$9999=$A12)*('Raw Data'!$C$2:$C$9999=$C$3)*'Raw Data'!$D$2:$D$9999*'Raw Data'!$AB$2:$AB$9999)/SUMIFS('Raw Data'!$D:$D, 'Raw Data'!$B:$B, "Variant", 'Raw Data'!$A:$A, $A12, 'Raw Data'!$C:$C, $C$3),""))</f>
        <v>55.6577</v>
      </c>
      <c r="CA12" s="86">
        <f t="shared" si="26"/>
        <v>-0.003657226737</v>
      </c>
      <c r="CB12" s="90">
        <f>IF($A12="","",IFERROR(SUMPRODUCT(('Raw Data'!$B$2:$B$9999="Control")*('Raw Data'!$A$2:$A$9999=$A12)*('Raw Data'!$C$2:$C$9999=$C$3)*'Raw Data'!$D$2:$D$9999*'Raw Data'!$AC$2:$AC$9999)/SUMIFS('Raw Data'!$D:$D, 'Raw Data'!$B:$B, "Control", 'Raw Data'!$A:$A, $A12, 'Raw Data'!$C:$C, $C$3),""))</f>
        <v>0.7514</v>
      </c>
      <c r="CC12" s="90">
        <f>IF($A12="","",IFERROR(SUMPRODUCT(('Raw Data'!$B$2:$B$9999="Variant")*('Raw Data'!$A$2:$A$9999=$A12)*('Raw Data'!$C$2:$C$9999=$C$3)*'Raw Data'!$D$2:$D$9999*'Raw Data'!$AC$2:$AC$9999)/SUMIFS('Raw Data'!$D:$D, 'Raw Data'!$B:$B, "Variant", 'Raw Data'!$A:$A, $A12, 'Raw Data'!$C:$C, $C$3),""))</f>
        <v>0.745</v>
      </c>
      <c r="CD12" s="86">
        <f t="shared" si="27"/>
        <v>-0.008517434123</v>
      </c>
      <c r="CE12" s="90">
        <f>IF($A12="","",IFERROR(SUMPRODUCT(('Raw Data'!$B$2:$B$9999="Control")*('Raw Data'!$A$2:$A$9999=$A12)*('Raw Data'!$C$2:$C$9999=$C$3)*'Raw Data'!$D$2:$D$9999*'Raw Data'!$AD$2:$AD$9999)/SUMIFS('Raw Data'!$D:$D, 'Raw Data'!$B:$B, "Control", 'Raw Data'!$A:$A, $A12, 'Raw Data'!$C:$C, $C$3),""))</f>
        <v>18.43</v>
      </c>
      <c r="CF12" s="90">
        <f>IF($A12="","",IFERROR(SUMPRODUCT(('Raw Data'!$B$2:$B$9999="Variant")*('Raw Data'!$A$2:$A$9999=$A12)*('Raw Data'!$C$2:$C$9999=$C$3)*'Raw Data'!$D$2:$D$9999*'Raw Data'!$AD$2:$AD$9999)/SUMIFS('Raw Data'!$D:$D, 'Raw Data'!$B:$B, "Variant", 'Raw Data'!$A:$A, $A12, 'Raw Data'!$C:$C, $C$3),""))</f>
        <v>17.01</v>
      </c>
      <c r="CG12" s="86">
        <f t="shared" si="28"/>
        <v>-0.07704829083</v>
      </c>
      <c r="CH12" s="90">
        <f>IF($A12="","",IFERROR(SUMPRODUCT(('Raw Data'!$B$2:$B$9999="Control")*('Raw Data'!$A$2:$A$9999=$A12)*('Raw Data'!$C$2:$C$9999=$C$3)*'Raw Data'!$D$2:$D$9999*'Raw Data'!$AE$2:$AE$9999)/SUMIFS('Raw Data'!$D:$D, 'Raw Data'!$B:$B, "Control", 'Raw Data'!$A:$A, $A12, 'Raw Data'!$C:$C, $C$3),""))</f>
        <v>8</v>
      </c>
      <c r="CI12" s="90">
        <f>IF($A12="","",IFERROR(SUMPRODUCT(('Raw Data'!$B$2:$B$9999="Variant")*('Raw Data'!$A$2:$A$9999=$A12)*('Raw Data'!$C$2:$C$9999=$C$3)*'Raw Data'!$D$2:$D$9999*'Raw Data'!$AE$2:$AE$9999)/SUMIFS('Raw Data'!$D:$D, 'Raw Data'!$B:$B, "Variant", 'Raw Data'!$A:$A, $A12, 'Raw Data'!$C:$C, $C$3),""))</f>
        <v>6</v>
      </c>
      <c r="CJ12" s="86">
        <f t="shared" si="29"/>
        <v>-0.25</v>
      </c>
      <c r="CK12" s="90">
        <f>IF($A12="","",IFERROR(SUMPRODUCT(('Raw Data'!$B$2:$B$9999="Control")*('Raw Data'!$A$2:$A$9999=$A12)*('Raw Data'!$C$2:$C$9999=$C$3)*'Raw Data'!$D$2:$D$9999*'Raw Data'!$AF$2:$AF$9999)/SUMIFS('Raw Data'!$D:$D, 'Raw Data'!$B:$B, "Control", 'Raw Data'!$A:$A, $A12, 'Raw Data'!$C:$C, $C$3),""))</f>
        <v>14</v>
      </c>
      <c r="CL12" s="90">
        <f>IF($A12="","",IFERROR(SUMPRODUCT(('Raw Data'!$B$2:$B$9999="Variant")*('Raw Data'!$A$2:$A$9999=$A12)*('Raw Data'!$C$2:$C$9999=$C$3)*'Raw Data'!$D$2:$D$9999*'Raw Data'!$AF$2:$AF$9999)/SUMIFS('Raw Data'!$D:$D, 'Raw Data'!$B:$B, "Variant", 'Raw Data'!$A:$A, $A12, 'Raw Data'!$C:$C, $C$3),""))</f>
        <v>12</v>
      </c>
      <c r="CM12" s="86">
        <f t="shared" si="30"/>
        <v>-0.1428571429</v>
      </c>
      <c r="CN12" s="90">
        <f>IF($A12="","",IFERROR(SUMPRODUCT(('Raw Data'!$B$2:$B$9999="Control")*('Raw Data'!$A$2:$A$9999=$A12)*('Raw Data'!$C$2:$C$9999=$C$3)*'Raw Data'!$D$2:$D$9999*'Raw Data'!$AG$2:$AG$9999)/SUMIFS('Raw Data'!$D:$D, 'Raw Data'!$B:$B, "Control", 'Raw Data'!$A:$A, $A12, 'Raw Data'!$C:$C, $C$3),""))</f>
        <v>25</v>
      </c>
      <c r="CO12" s="90">
        <f>IF($A12="","",IFERROR(SUMPRODUCT(('Raw Data'!$B$2:$B$9999="Variant")*('Raw Data'!$A$2:$A$9999=$A12)*('Raw Data'!$C$2:$C$9999=$C$3)*'Raw Data'!$D$2:$D$9999*'Raw Data'!$AG$2:$AG$9999)/SUMIFS('Raw Data'!$D:$D, 'Raw Data'!$B:$B, "Variant", 'Raw Data'!$A:$A, $A12, 'Raw Data'!$C:$C, $C$3),""))</f>
        <v>24</v>
      </c>
      <c r="CP12" s="86">
        <f t="shared" si="31"/>
        <v>-0.04</v>
      </c>
      <c r="CQ12" s="90">
        <f>IF($A12="","",IFERROR(SUMPRODUCT(('Raw Data'!$B$2:$B$9999="Control")*('Raw Data'!$A$2:$A$9999=$A12)*('Raw Data'!$C$2:$C$9999=$C$3)*'Raw Data'!$D$2:$D$9999*'Raw Data'!$AH$2:$AH$9999)/SUMIFS('Raw Data'!$D:$D, 'Raw Data'!$B:$B, "Control", 'Raw Data'!$A:$A, $A12, 'Raw Data'!$C:$C, $C$3),""))</f>
        <v>38</v>
      </c>
      <c r="CR12" s="90">
        <f>IF($A12="","",IFERROR(SUMPRODUCT(('Raw Data'!$B$2:$B$9999="Variant")*('Raw Data'!$A$2:$A$9999=$A12)*('Raw Data'!$C$2:$C$9999=$C$3)*'Raw Data'!$D$2:$D$9999*'Raw Data'!$AH$2:$AH$9999)/SUMIFS('Raw Data'!$D:$D, 'Raw Data'!$B:$B, "Variant", 'Raw Data'!$A:$A, $A12, 'Raw Data'!$C:$C, $C$3),""))</f>
        <v>37</v>
      </c>
      <c r="CS12" s="86">
        <f t="shared" si="32"/>
        <v>-0.02631578947</v>
      </c>
      <c r="CT12" s="79">
        <f>IF($A12="","",IFERROR(SUMPRODUCT(('Raw Data'!$B$2:$B$9999="Control")*('Raw Data'!$A$2:$A$9999=$A12)*('Raw Data'!$C$2:$C$9999=$C$3)*'Raw Data'!$D$2:$D$9999*'Raw Data'!$AI$2:$AI$9999)/SUMIFS('Raw Data'!$D:$D, 'Raw Data'!$B:$B, "Control", 'Raw Data'!$A:$A, $A12, 'Raw Data'!$C:$C, $C$3),""))</f>
        <v>61.64</v>
      </c>
      <c r="CU12" s="79">
        <f>IF($A12="","",IFERROR(SUMPRODUCT(('Raw Data'!$B$2:$B$9999="Variant")*('Raw Data'!$A$2:$A$9999=$A12)*('Raw Data'!$C$2:$C$9999=$C$3)*'Raw Data'!$D$2:$D$9999*'Raw Data'!$AI$2:$AI$9999)/SUMIFS('Raw Data'!$D:$D, 'Raw Data'!$B:$B, "Variant", 'Raw Data'!$A:$A, $A12, 'Raw Data'!$C:$C, $C$3),""))</f>
        <v>56.46</v>
      </c>
      <c r="CV12" s="93">
        <f t="shared" si="33"/>
        <v>-0.08403634004</v>
      </c>
      <c r="CW12" s="79">
        <f>IF($A12="","",IFERROR(SUMPRODUCT(('Raw Data'!$B$2:$B$9999="Control")*('Raw Data'!$A$2:$A$9999=$A12)*('Raw Data'!$C$2:$C$9999=$C$3)*'Raw Data'!$D$2:$D$9999*'Raw Data'!$AJ$2:$AJ$9999)/SUMIFS('Raw Data'!$D:$D, 'Raw Data'!$B:$B, "Control", 'Raw Data'!$A:$A, $A12, 'Raw Data'!$C:$C, $C$3),""))</f>
        <v>24.73</v>
      </c>
      <c r="CX12" s="79">
        <f>IF($A12="","",IFERROR(SUMPRODUCT(('Raw Data'!$B$2:$B$9999="Variant")*('Raw Data'!$A$2:$A$9999=$A12)*('Raw Data'!$C$2:$C$9999=$C$3)*'Raw Data'!$D$2:$D$9999*'Raw Data'!$AJ$2:$AJ$9999)/SUMIFS('Raw Data'!$D:$D, 'Raw Data'!$B:$B, "Variant", 'Raw Data'!$A:$A, $A12, 'Raw Data'!$C:$C, $C$3),""))</f>
        <v>22.02</v>
      </c>
      <c r="CY12" s="93">
        <f t="shared" si="34"/>
        <v>-0.1095835018</v>
      </c>
      <c r="CZ12" s="79">
        <f>IF($A12="","",IFERROR(SUMPRODUCT(('Raw Data'!$B$2:$B$9999="Control")*('Raw Data'!$A$2:$A$9999=$A12)*('Raw Data'!$C$2:$C$9999=$C$3)*'Raw Data'!$D$2:$D$9999*'Raw Data'!$AK$2:$AK$9999)/SUMIFS('Raw Data'!$D:$D, 'Raw Data'!$B:$B, "Control", 'Raw Data'!$A:$A, $A12, 'Raw Data'!$C:$C, $C$3),""))</f>
        <v>8.12</v>
      </c>
      <c r="DA12" s="79">
        <f>IF($A12="","",IFERROR(SUMPRODUCT(('Raw Data'!$B$2:$B$9999="Variant")*('Raw Data'!$A$2:$A$9999=$A12)*('Raw Data'!$C$2:$C$9999=$C$3)*'Raw Data'!$D$2:$D$9999*'Raw Data'!$AK$2:$AK$9999)/SUMIFS('Raw Data'!$D:$D, 'Raw Data'!$B:$B, "Variant", 'Raw Data'!$A:$A, $A12, 'Raw Data'!$C:$C, $C$3),""))</f>
        <v>7</v>
      </c>
      <c r="DB12" s="86">
        <f t="shared" si="35"/>
        <v>-0.1379310345</v>
      </c>
      <c r="DC12" s="91">
        <f>IF($A12="","",IFERROR(SUMPRODUCT(('Raw Data'!$B$2:$B$9999="Control")*('Raw Data'!$A$2:$A$9999=$A12)*('Raw Data'!$C$2:$C$9999=$C$3)*'Raw Data'!$D$2:$D$9999*'Raw Data'!$AL$2:$AL$9999)/SUMIFS('Raw Data'!$D:$D, 'Raw Data'!$B:$B, "Control", 'Raw Data'!$A:$A, $A12, 'Raw Data'!$C:$C, $C$3),""))</f>
        <v>0.2003</v>
      </c>
      <c r="DD12" s="91">
        <f>IF($A12="","",IFERROR(SUMPRODUCT(('Raw Data'!$B$2:$B$9999="Variant")*('Raw Data'!$A$2:$A$9999=$A12)*('Raw Data'!$C$2:$C$9999=$C$3)*'Raw Data'!$D$2:$D$9999*'Raw Data'!$AL$2:$AL$9999)/SUMIFS('Raw Data'!$D:$D, 'Raw Data'!$B:$B, "Variant", 'Raw Data'!$A:$A, $A12, 'Raw Data'!$C:$C, $C$3),""))</f>
        <v>0.188</v>
      </c>
      <c r="DE12" s="93">
        <f t="shared" si="36"/>
        <v>-0.06140788817</v>
      </c>
      <c r="DF12" s="107"/>
      <c r="DG12" s="79">
        <f>IF($A12="","",IFERROR(SUMPRODUCT(('Raw Data'!$B$2:$B$9999="Variant")*('Raw Data'!$A$2:$A$9999=$A12)*('Raw Data'!$C$2:$C$9999=$C$3)*'Raw Data'!$D$2:$D$9999*'Raw Data'!$AM$2:$AM$9999)/SUMIFS('Raw Data'!$D:$D, 'Raw Data'!$B:$B, "Variant", 'Raw Data'!$A:$A, $A12, 'Raw Data'!$C:$C, $C$3),""))</f>
        <v>60.39</v>
      </c>
      <c r="DH12" s="108"/>
      <c r="DI12" s="107"/>
      <c r="DJ12" s="79">
        <f>IF($A12="","",IFERROR(SUMPRODUCT(('Raw Data'!$B$2:$B$9999="Variant")*('Raw Data'!$A$2:$A$9999=$A12)*('Raw Data'!$C$2:$C$9999=$C$3)*'Raw Data'!$D$2:$D$9999*'Raw Data'!$AN$2:$AN$9999)/SUMIFS('Raw Data'!$D:$D, 'Raw Data'!$B:$B, "Variant", 'Raw Data'!$A:$A, $A12, 'Raw Data'!$C:$C, $C$3),""))</f>
        <v>60.39</v>
      </c>
      <c r="DK12" s="108"/>
      <c r="DL12" s="107"/>
      <c r="DM12" s="79">
        <f>IF($A12="","",IFERROR(SUMPRODUCT(('Raw Data'!$B$2:$B$9999="Variant")*('Raw Data'!$A$2:$A$9999=$A12)*('Raw Data'!$C$2:$C$9999=$C$3)*'Raw Data'!$D$2:$D$9999*'Raw Data'!$AO$2:$AO$9999)/SUMIFS('Raw Data'!$D:$D, 'Raw Data'!$B:$B, "Variant", 'Raw Data'!$A:$A, $A12, 'Raw Data'!$C:$C, $C$3),""))</f>
        <v>35.4</v>
      </c>
      <c r="DN12" s="108"/>
      <c r="DO12" s="107"/>
      <c r="DP12" s="79">
        <f>IF($A12="","",IFERROR(SUMPRODUCT(('Raw Data'!$B$2:$B$9999="Variant")*('Raw Data'!$A$2:$A$9999=$A12)*('Raw Data'!$C$2:$C$9999=$C$3)*'Raw Data'!$D$2:$D$9999*'Raw Data'!$AP$2:$AP$9999)/SUMIFS('Raw Data'!$D:$D, 'Raw Data'!$B:$B, "Variant", 'Raw Data'!$A:$A, $A12, 'Raw Data'!$C:$C, $C$3),""))</f>
        <v>19.25</v>
      </c>
      <c r="DQ12" s="108"/>
      <c r="DR12" s="91">
        <f>IF($A12="","",IFERROR(SUMPRODUCT(('Raw Data'!$B$2:$B$9999="Control")*('Raw Data'!$A$2:$A$9999=$A12)*('Raw Data'!$C$2:$C$9999=$C$3)*'Raw Data'!$D$2:$D$9999*'Raw Data'!$AQ$2:$AQ$9999)/SUMIFS('Raw Data'!$D:$D, 'Raw Data'!$B:$B, "Control", 'Raw Data'!$A:$A, $A12, 'Raw Data'!$C:$C, $C$3),""))</f>
        <v>10.6088</v>
      </c>
      <c r="DS12" s="91">
        <f>IF($A12="","",IFERROR(SUMPRODUCT(('Raw Data'!$B$2:$B$9999="Variant")*('Raw Data'!$A$2:$A$9999=$A12)*('Raw Data'!$C$2:$C$9999=$C$3)*'Raw Data'!$D$2:$D$9999*'Raw Data'!$AQ$2:$AQ$9999)/SUMIFS('Raw Data'!$D:$D, 'Raw Data'!$B:$B, "Variant", 'Raw Data'!$A:$A, $A12, 'Raw Data'!$C:$C, $C$3),""))</f>
        <v>7.4528</v>
      </c>
      <c r="DT12" s="110">
        <f t="shared" si="37"/>
        <v>-0.2974888772</v>
      </c>
      <c r="DU12" s="91">
        <f>IF($A12="","",IFERROR(SUMPRODUCT(('Raw Data'!$B$2:$B$9999="Control")*('Raw Data'!$A$2:$A$9999=$A12)*('Raw Data'!$C$2:$C$9999=$C$3)*'Raw Data'!$D$2:$D$9999*'Raw Data'!$AR$2:$AR$9999)/SUMIFS('Raw Data'!$D:$D, 'Raw Data'!$B:$B, "Control", 'Raw Data'!$A:$A, $A12, 'Raw Data'!$C:$C, $C$3),""))</f>
        <v>0.2305</v>
      </c>
      <c r="DV12" s="91">
        <f>IF($A12="","",IFERROR(SUMPRODUCT(('Raw Data'!$B$2:$B$9999="Variant")*('Raw Data'!$A$2:$A$9999=$A12)*('Raw Data'!$C$2:$C$9999=$C$3)*'Raw Data'!$D$2:$D$9999*'Raw Data'!$AR$2:$AR$9999)/SUMIFS('Raw Data'!$D:$D, 'Raw Data'!$B:$B, "Variant", 'Raw Data'!$A:$A, $A12, 'Raw Data'!$C:$C, $C$3),""))</f>
        <v>0.2298</v>
      </c>
      <c r="DW12" s="110">
        <f t="shared" si="38"/>
        <v>-0.003036876356</v>
      </c>
      <c r="DX12" s="91">
        <f>IF($A12="","",IFERROR(SUMPRODUCT(('Raw Data'!$B$2:$B$9999="Control")*('Raw Data'!$A$2:$A$9999=$A12)*('Raw Data'!$C$2:$C$9999=$C$3)*'Raw Data'!$D$2:$D$9999*'Raw Data'!$AS$2:$AS$9999)/SUMIFS('Raw Data'!$D:$D, 'Raw Data'!$B:$B, "Control", 'Raw Data'!$A:$A, $A12, 'Raw Data'!$C:$C, $C$3),""))</f>
        <v>10.3784</v>
      </c>
      <c r="DY12" s="91">
        <f>IF($A12="","",IFERROR(SUMPRODUCT(('Raw Data'!$B$2:$B$9999="Variant")*('Raw Data'!$A$2:$A$9999=$A12)*('Raw Data'!$C$2:$C$9999=$C$3)*'Raw Data'!$D$2:$D$9999*'Raw Data'!$AS$2:$AS$9999)/SUMIFS('Raw Data'!$D:$D, 'Raw Data'!$B:$B, "Variant", 'Raw Data'!$A:$A, $A12, 'Raw Data'!$C:$C, $C$3),""))</f>
        <v>7.223</v>
      </c>
      <c r="DZ12" s="111">
        <f t="shared" si="39"/>
        <v>-0.3040353041</v>
      </c>
      <c r="EA12" s="91">
        <f>IF($A12="","",IFERROR(SUMPRODUCT(('Raw Data'!$B$2:$B$9999="Control")*('Raw Data'!$A$2:$A$9999=$A12)*('Raw Data'!$C$2:$C$9999=$C$3)*'Raw Data'!$D$2:$D$9999*'Raw Data'!$AT$2:$AT$9999)/SUMIFS('Raw Data'!$D:$D, 'Raw Data'!$B:$B, "Control", 'Raw Data'!$A:$A, $A12, 'Raw Data'!$C:$C, $C$3),""))</f>
        <v>9.6721</v>
      </c>
      <c r="EB12" s="91">
        <f>IF($A12="","",IFERROR(SUMPRODUCT(('Raw Data'!$B$2:$B$9999="Variant")*('Raw Data'!$A$2:$A$9999=$A12)*('Raw Data'!$C$2:$C$9999=$C$3)*'Raw Data'!$D$2:$D$9999*'Raw Data'!$AT$2:$AT$9999)/SUMIFS('Raw Data'!$D:$D, 'Raw Data'!$B:$B, "Variant", 'Raw Data'!$A:$A, $A12, 'Raw Data'!$C:$C, $C$3),""))</f>
        <v>8.1141</v>
      </c>
      <c r="EC12" s="110">
        <f t="shared" si="40"/>
        <v>-0.1610818747</v>
      </c>
      <c r="ED12" s="91">
        <f>IF($A12="","",IFERROR(SUMPRODUCT(('Raw Data'!$B$2:$B$9999="Control")*('Raw Data'!$A$2:$A$9999=$A12)*('Raw Data'!$C$2:$C$9999=$C$3)*'Raw Data'!$D$2:$D$9999*('Raw Data'!$AQ$2:$AQ$9999-'Raw Data'!$AT$2:$AT$9999))/SUMIFS('Raw Data'!$D:$D, 'Raw Data'!$B:$B, "Control", 'Raw Data'!$A:$A, $A12, 'Raw Data'!$C:$C, $C$3),""))</f>
        <v>0.9367</v>
      </c>
      <c r="EE12" s="91">
        <f>IF($A12="","",IFERROR(SUMPRODUCT(('Raw Data'!$B$2:$B$9999="Variant")*('Raw Data'!$A$2:$A$9999=$A12)*('Raw Data'!$C$2:$C$9999=$C$3)*'Raw Data'!$D$2:$D$9999*('Raw Data'!$AQ$2:$AQ$9999-'Raw Data'!$AT$2:$AT$9999))/SUMIFS('Raw Data'!$D:$D, 'Raw Data'!$B:$B, "Variant", 'Raw Data'!$A:$A, $A12, 'Raw Data'!$C:$C, $C$3),""))</f>
        <v>-0.6613</v>
      </c>
      <c r="EF12" s="111">
        <f t="shared" si="41"/>
        <v>-1.705989111</v>
      </c>
      <c r="EG12" s="91">
        <f>IF($A12="","",IFERROR(SUMPRODUCT(('Raw Data'!$B$2:$B$9999="Control")*('Raw Data'!$A$2:$A$9999=$A12)*('Raw Data'!$C$2:$C$9999=$C$3)*'Raw Data'!$D$2:$D$9999*'Raw Data'!$AU$2:$AU$9999)/SUMIFS('Raw Data'!$D:$D, 'Raw Data'!$B:$B, "Control", 'Raw Data'!$A:$A, $A12, 'Raw Data'!$C:$C, $C$3),""))</f>
        <v>0.2337</v>
      </c>
      <c r="EH12" s="91">
        <f>IF($A12="","",IFERROR(SUMPRODUCT(('Raw Data'!$B$2:$B$9999="Variant")*('Raw Data'!$A$2:$A$9999=$A12)*('Raw Data'!$C$2:$C$9999=$C$3)*'Raw Data'!$D$2:$D$9999*'Raw Data'!$AU$2:$AU$9999)/SUMIFS('Raw Data'!$D:$D, 'Raw Data'!$B:$B, "Variant", 'Raw Data'!$A:$A, $A12, 'Raw Data'!$C:$C, $C$3),""))</f>
        <v>0.2027</v>
      </c>
      <c r="EI12" s="110">
        <f t="shared" si="42"/>
        <v>-0.1326486949</v>
      </c>
    </row>
    <row r="13" ht="15.75" customHeight="1">
      <c r="A13" s="74">
        <v>46236.0</v>
      </c>
      <c r="B13" s="76">
        <f>IF($A13="","",SUMIFS('Raw Data'!$D:$D, 'Raw Data'!$B:$B, "Control", 'Raw Data'!$A:$A, $A13, 'Raw Data'!$C:$C, $C$3))</f>
        <v>3682</v>
      </c>
      <c r="C13" s="76">
        <f>IF($A13="","",SUMIFS('Raw Data'!$D:$D, 'Raw Data'!$B:$B, "Variant", 'Raw Data'!$A:$A, $A13, 'Raw Data'!$C:$C, $C$3))</f>
        <v>4007</v>
      </c>
      <c r="D13" s="77">
        <f t="shared" si="1"/>
        <v>0.08826724606</v>
      </c>
      <c r="E13" s="79">
        <f>IF($A13="","",IFERROR(SUMPRODUCT(('Raw Data'!$B$2:$B$9999="Control")*('Raw Data'!$A$2:$A$9999=$A13)*('Raw Data'!$C$2:$C$9999=$C$3)*'Raw Data'!$D$2:$D$9999*'Raw Data'!$E$2:$E$9999)/SUMIFS('Raw Data'!$D:$D, 'Raw Data'!$B:$B, "Control", 'Raw Data'!$A:$A, $A13, 'Raw Data'!$C:$C, $C$3),""))</f>
        <v>16.62</v>
      </c>
      <c r="F13" s="79">
        <f>IF($A13="","",IFERROR(SUMPRODUCT(('Raw Data'!$B$2:$B$9999="Variant")*('Raw Data'!$A$2:$A$9999=$A13)*('Raw Data'!$C$2:$C$9999=$C$3)*'Raw Data'!$D$2:$D$9999*'Raw Data'!$E$2:$E$9999)/SUMIFS('Raw Data'!$D:$D, 'Raw Data'!$B:$B, "Variant", 'Raw Data'!$A:$A, $A13, 'Raw Data'!$C:$C, $C$3),""))</f>
        <v>18.01</v>
      </c>
      <c r="G13" s="77">
        <f t="shared" si="2"/>
        <v>0.08363417569</v>
      </c>
      <c r="H13" s="85">
        <f>IF($A13="","",SUMIFS('Raw Data'!$F:$F, 'Raw Data'!$B:$B, "Control", 'Raw Data'!$A:$A, $A13, 'Raw Data'!$C:$C, $C$3))</f>
        <v>1049.97</v>
      </c>
      <c r="I13" s="85">
        <f>IF($A13="","",SUMIFS('Raw Data'!$F:$F, 'Raw Data'!$B:$B, "Variant", 'Raw Data'!$A:$A, $A13, 'Raw Data'!$C:$C, $C$3))</f>
        <v>919.9</v>
      </c>
      <c r="J13" s="86">
        <f t="shared" si="3"/>
        <v>-0.1238797299</v>
      </c>
      <c r="K13" s="88">
        <f>IF($A13="","",IFERROR(SUMIFS('Raw Data'!$F:$F, 'Raw Data'!$B:$B, "Control", 'Raw Data'!$A:$A, $A13, 'Raw Data'!$C:$C, $C$3)/SUMIFS('Raw Data'!$D:$D, 'Raw Data'!$B:$B, "Control", 'Raw Data'!$A:$A, $A13, 'Raw Data'!$C:$C, $C$3),""))</f>
        <v>0.2851629549</v>
      </c>
      <c r="L13" s="88">
        <f>IF($A13="","",IFERROR(SUMIFS('Raw Data'!$F:$F, 'Raw Data'!$B:$B, "Variant", 'Raw Data'!$A:$A, $A13, 'Raw Data'!$C:$C, $C$3)/SUMIFS('Raw Data'!$D:$D, 'Raw Data'!$B:$B, "Variant", 'Raw Data'!$A:$A, $A13, 'Raw Data'!$C:$C, $C$3),""))</f>
        <v>0.2295732468</v>
      </c>
      <c r="M13" s="86">
        <f t="shared" si="4"/>
        <v>-0.1949401461</v>
      </c>
      <c r="N13" s="79">
        <f>IF($A13="","",IFERROR(SUMPRODUCT(('Raw Data'!$B$2:$B$9999="Control")*('Raw Data'!$A$2:$A$9999=$A13)*('Raw Data'!$C$2:$C$9999=$C$3)*'Raw Data'!$D$2:$D$9999*'Raw Data'!$H$2:$H$9999/100)/SUMIFS('Raw Data'!$D:$D, 'Raw Data'!$B:$B, "Control", 'Raw Data'!$A:$A, $A13, 'Raw Data'!$C:$C, $C$3)*100,""))</f>
        <v>5.35</v>
      </c>
      <c r="O13" s="79">
        <f>IF($A13="","",IFERROR(SUMPRODUCT(('Raw Data'!$B$2:$B$9999="Variant")*('Raw Data'!$A$2:$A$9999=$A13)*('Raw Data'!$C$2:$C$9999=$C$3)*'Raw Data'!$D$2:$D$9999*'Raw Data'!$H$2:$H$9999/100)/SUMIFS('Raw Data'!$D:$D, 'Raw Data'!$B:$B, "Variant", 'Raw Data'!$A:$A, $A13, 'Raw Data'!$C:$C, $C$3)*100,""))</f>
        <v>5.12</v>
      </c>
      <c r="P13" s="86">
        <f t="shared" si="5"/>
        <v>-0.04299065421</v>
      </c>
      <c r="Q13" s="88">
        <f>IF($A13="","",IFERROR(SUMIFS('Raw Data'!$F:$F, 'Raw Data'!$B:$B, "Control", 'Raw Data'!$A:$A, $A13, 'Raw Data'!$C:$C, $C$3)/SUMPRODUCT(('Raw Data'!$B$2:$B$9999="Control")*('Raw Data'!$A$2:$A$9999=$A13)*('Raw Data'!$C$2:$C$9999=$C$3)*'Raw Data'!$D$2:$D$9999*'Raw Data'!$H$2:$H$9999/100),""))</f>
        <v>5.33014869</v>
      </c>
      <c r="R13" s="88">
        <f>IF($A13="","",IFERROR(SUMIFS('Raw Data'!$F:$F, 'Raw Data'!$B:$B, "Variant", 'Raw Data'!$A:$A, $A13, 'Raw Data'!$C:$C, $C$3)/SUMPRODUCT(('Raw Data'!$B$2:$B$9999="Variant")*('Raw Data'!$A$2:$A$9999=$A13)*('Raw Data'!$C$2:$C$9999=$C$3)*'Raw Data'!$D$2:$D$9999*'Raw Data'!$H$2:$H$9999/100),""))</f>
        <v>4.483852477</v>
      </c>
      <c r="S13" s="86">
        <f t="shared" si="6"/>
        <v>-0.158775348</v>
      </c>
      <c r="T13" s="90">
        <f>IF($A13="","",IFERROR(SUMPRODUCT(('Raw Data'!$B$2:$B$9999="Control")*('Raw Data'!$A$2:$A$9999=$A13)*('Raw Data'!$C$2:$C$9999=$C$3)*'Raw Data'!$D$2:$D$9999*'Raw Data'!$J$2:$J$9999)/SUMIFS('Raw Data'!$D:$D, 'Raw Data'!$B:$B, "Control", 'Raw Data'!$A:$A, $A13, 'Raw Data'!$C:$C, $C$3),""))</f>
        <v>80.8</v>
      </c>
      <c r="U13" s="90">
        <f>IF($A13="","",IFERROR(SUMPRODUCT(('Raw Data'!$B$2:$B$9999="Variant")*('Raw Data'!$A$2:$A$9999=$A13)*('Raw Data'!$C$2:$C$9999=$C$3)*'Raw Data'!$D$2:$D$9999*'Raw Data'!$J$2:$J$9999)/SUMIFS('Raw Data'!$D:$D, 'Raw Data'!$B:$B, "Variant", 'Raw Data'!$A:$A, $A13, 'Raw Data'!$C:$C, $C$3),""))</f>
        <v>77.54</v>
      </c>
      <c r="V13" s="86">
        <f t="shared" si="7"/>
        <v>-0.04034653465</v>
      </c>
      <c r="W13" s="90">
        <f>IF($A13="","",IFERROR(SUMPRODUCT(('Raw Data'!$B$2:$B$9999="Control")*('Raw Data'!$A$2:$A$9999=$A13)*('Raw Data'!$C$2:$C$9999=$C$3)*'Raw Data'!$D$2:$D$9999*'Raw Data'!$K$2:$K$9999)/SUMIFS('Raw Data'!$D:$D, 'Raw Data'!$B:$B, "Control", 'Raw Data'!$A:$A, $A13, 'Raw Data'!$C:$C, $C$3),""))</f>
        <v>43.07</v>
      </c>
      <c r="X13" s="90">
        <f>IF($A13="","",IFERROR(SUMPRODUCT(('Raw Data'!$B$2:$B$9999="Variant")*('Raw Data'!$A$2:$A$9999=$A13)*('Raw Data'!$C$2:$C$9999=$C$3)*'Raw Data'!$D$2:$D$9999*'Raw Data'!$K$2:$K$9999)/SUMIFS('Raw Data'!$D:$D, 'Raw Data'!$B:$B, "Variant", 'Raw Data'!$A:$A, $A13, 'Raw Data'!$C:$C, $C$3),""))</f>
        <v>40.61</v>
      </c>
      <c r="Y13" s="86">
        <f t="shared" si="8"/>
        <v>-0.05711632227</v>
      </c>
      <c r="Z13" s="90">
        <f>IF($A13="","",IFERROR(SUMPRODUCT(('Raw Data'!$B$2:$B$9999="Control")*('Raw Data'!$A$2:$A$9999=$A13)*('Raw Data'!$C$2:$C$9999=$C$3)*'Raw Data'!$D$2:$D$9999*'Raw Data'!$L$2:$L$9999)/SUMIFS('Raw Data'!$D:$D, 'Raw Data'!$B:$B, "Control", 'Raw Data'!$A:$A, $A13, 'Raw Data'!$C:$C, $C$3),""))</f>
        <v>28.73</v>
      </c>
      <c r="AA13" s="90">
        <f>IF($A13="","",IFERROR(SUMPRODUCT(('Raw Data'!$B$2:$B$9999="Variant")*('Raw Data'!$A$2:$A$9999=$A13)*('Raw Data'!$C$2:$C$9999=$C$3)*'Raw Data'!$D$2:$D$9999*'Raw Data'!$L$2:$L$9999)/SUMIFS('Raw Data'!$D:$D, 'Raw Data'!$B:$B, "Variant", 'Raw Data'!$A:$A, $A13, 'Raw Data'!$C:$C, $C$3),""))</f>
        <v>26.51</v>
      </c>
      <c r="AB13" s="86">
        <f t="shared" si="9"/>
        <v>-0.07727114514</v>
      </c>
      <c r="AC13" s="91">
        <f>IF($A13="","",IFERROR(SUMPRODUCT(('Raw Data'!$B$2:$B$9999="Control")*('Raw Data'!$A$2:$A$9999=$A13)*('Raw Data'!$C$2:$C$9999=$C$3)*'Raw Data'!$D$2:$D$9999*'Raw Data'!$M$2:$M$9999)/SUMIFS('Raw Data'!$D:$D, 'Raw Data'!$B:$B, "Control", 'Raw Data'!$A:$A, $A13, 'Raw Data'!$C:$C, $C$3),""))</f>
        <v>0.6671</v>
      </c>
      <c r="AD13" s="91">
        <f>IF($A13="","",IFERROR(SUMPRODUCT(('Raw Data'!$B$2:$B$9999="Variant")*('Raw Data'!$A$2:$A$9999=$A13)*('Raw Data'!$C$2:$C$9999=$C$3)*'Raw Data'!$D$2:$D$9999*'Raw Data'!$M$2:$M$9999)/SUMIFS('Raw Data'!$D:$D, 'Raw Data'!$B:$B, "Variant", 'Raw Data'!$A:$A, $A13, 'Raw Data'!$C:$C, $C$3),""))</f>
        <v>0.653</v>
      </c>
      <c r="AE13" s="93">
        <f t="shared" si="10"/>
        <v>-0.02113626143</v>
      </c>
      <c r="AF13" s="91">
        <f>IF($A13="","",IFERROR(SUMPRODUCT(('Raw Data'!$B$2:$B$9999="Control")*('Raw Data'!$A$2:$A$9999=$A13)*('Raw Data'!$C$2:$C$9999=$C$3)*'Raw Data'!$D$2:$D$9999*'Raw Data'!$N$2:$N$9999)/SUMIFS('Raw Data'!$D:$D, 'Raw Data'!$B:$B, "Control", 'Raw Data'!$A:$A, $A13, 'Raw Data'!$C:$C, $C$3),""))</f>
        <v>0.4942</v>
      </c>
      <c r="AG13" s="91">
        <f>IF($A13="","",IFERROR(SUMPRODUCT(('Raw Data'!$B$2:$B$9999="Variant")*('Raw Data'!$A$2:$A$9999=$A13)*('Raw Data'!$C$2:$C$9999=$C$3)*'Raw Data'!$D$2:$D$9999*'Raw Data'!$N$2:$N$9999)/SUMIFS('Raw Data'!$D:$D, 'Raw Data'!$B:$B, "Variant", 'Raw Data'!$A:$A, $A13, 'Raw Data'!$C:$C, $C$3),""))</f>
        <v>0.5082</v>
      </c>
      <c r="AH13" s="93">
        <f t="shared" si="11"/>
        <v>0.0283286119</v>
      </c>
      <c r="AI13" s="91">
        <f>IF($A13="","",IFERROR(SUMPRODUCT(('Raw Data'!$B$2:$B$9999="Control")*('Raw Data'!$A$2:$A$9999=$A13)*('Raw Data'!$C$2:$C$9999=$C$3)*'Raw Data'!$D$2:$D$9999*'Raw Data'!$O$2:$O$9999)/SUMIFS('Raw Data'!$D:$D, 'Raw Data'!$B:$B, "Control", 'Raw Data'!$A:$A, $A13, 'Raw Data'!$C:$C, $C$3),""))</f>
        <v>0.3334</v>
      </c>
      <c r="AJ13" s="91">
        <f>IF($A13="","",IFERROR(SUMPRODUCT(('Raw Data'!$B$2:$B$9999="Variant")*('Raw Data'!$A$2:$A$9999=$A13)*('Raw Data'!$C$2:$C$9999=$C$3)*'Raw Data'!$D$2:$D$9999*'Raw Data'!$O$2:$O$9999)/SUMIFS('Raw Data'!$D:$D, 'Raw Data'!$B:$B, "Variant", 'Raw Data'!$A:$A, $A13, 'Raw Data'!$C:$C, $C$3),""))</f>
        <v>0.3423</v>
      </c>
      <c r="AK13" s="86">
        <f t="shared" si="12"/>
        <v>0.02669466107</v>
      </c>
      <c r="AL13" s="90">
        <f>IF($A13="","",IFERROR(SUMPRODUCT(('Raw Data'!$B$2:$B$9999="Control")*('Raw Data'!$A$2:$A$9999=$A13)*('Raw Data'!$C$2:$C$9999=$C$3)*'Raw Data'!$D$2:$D$9999*'Raw Data'!$P$2:$P$9999)/SUMIFS('Raw Data'!$D:$D, 'Raw Data'!$B:$B, "Control", 'Raw Data'!$A:$A, $A13, 'Raw Data'!$C:$C, $C$3),""))</f>
        <v>1.4991</v>
      </c>
      <c r="AM13" s="90">
        <f>IF($A13="","",IFERROR(SUMPRODUCT(('Raw Data'!$B$2:$B$9999="Variant")*('Raw Data'!$A$2:$A$9999=$A13)*('Raw Data'!$C$2:$C$9999=$C$3)*'Raw Data'!$D$2:$D$9999*'Raw Data'!$P$2:$P$9999)/SUMIFS('Raw Data'!$D:$D, 'Raw Data'!$B:$B, "Variant", 'Raw Data'!$A:$A, $A13, 'Raw Data'!$C:$C, $C$3),""))</f>
        <v>1.5315</v>
      </c>
      <c r="AN13" s="86">
        <f t="shared" si="13"/>
        <v>0.02161296778</v>
      </c>
      <c r="AO13" s="90">
        <f>IF($A13="","",IFERROR(SUMPRODUCT(('Raw Data'!$B$2:$B$9999="Control")*('Raw Data'!$A$2:$A$9999=$A13)*('Raw Data'!$C$2:$C$9999=$C$3)*'Raw Data'!$D$2:$D$9999*'Raw Data'!$Q$2:$Q$9999)/SUMIFS('Raw Data'!$D:$D, 'Raw Data'!$B:$B, "Control", 'Raw Data'!$A:$A, $A13, 'Raw Data'!$C:$C, $C$3),""))</f>
        <v>168.34</v>
      </c>
      <c r="AP13" s="90">
        <f>IF($A13="","",IFERROR(SUMPRODUCT(('Raw Data'!$B$2:$B$9999="Variant")*('Raw Data'!$A$2:$A$9999=$A13)*('Raw Data'!$C$2:$C$9999=$C$3)*'Raw Data'!$D$2:$D$9999*'Raw Data'!$Q$2:$Q$9999)/SUMIFS('Raw Data'!$D:$D, 'Raw Data'!$B:$B, "Variant", 'Raw Data'!$A:$A, $A13, 'Raw Data'!$C:$C, $C$3),""))</f>
        <v>152.68</v>
      </c>
      <c r="AQ13" s="77">
        <f t="shared" si="14"/>
        <v>-0.09302601877</v>
      </c>
      <c r="AR13" s="90">
        <f>IF($A13="","",IFERROR(SUMPRODUCT(('Raw Data'!$B$2:$B$9999="Control")*('Raw Data'!$A$2:$A$9999=$A13)*('Raw Data'!$C$2:$C$9999=$C$3)*'Raw Data'!$D$2:$D$9999*'Raw Data'!$R$2:$R$9999)/SUMIFS('Raw Data'!$D:$D, 'Raw Data'!$B:$B, "Control", 'Raw Data'!$A:$A, $A13, 'Raw Data'!$C:$C, $C$3),""))</f>
        <v>127.05</v>
      </c>
      <c r="AS13" s="90">
        <f>IF($A13="","",IFERROR(SUMPRODUCT(('Raw Data'!$B$2:$B$9999="Variant")*('Raw Data'!$A$2:$A$9999=$A13)*('Raw Data'!$C$2:$C$9999=$C$3)*'Raw Data'!$D$2:$D$9999*'Raw Data'!$R$2:$R$9999)/SUMIFS('Raw Data'!$D:$D, 'Raw Data'!$B:$B, "Variant", 'Raw Data'!$A:$A, $A13, 'Raw Data'!$C:$C, $C$3),""))</f>
        <v>135.95</v>
      </c>
      <c r="AT13" s="77">
        <f t="shared" si="15"/>
        <v>0.07005116096</v>
      </c>
      <c r="AU13" s="90">
        <f>IF($A13="","",IFERROR(SUMPRODUCT(('Raw Data'!$B$2:$B$9999="Control")*('Raw Data'!$A$2:$A$9999=$A13)*('Raw Data'!$C$2:$C$9999=$C$3)*'Raw Data'!$D$2:$D$9999*'Raw Data'!$S$2:$S$9999)/SUMIFS('Raw Data'!$D:$D, 'Raw Data'!$B:$B, "Control", 'Raw Data'!$A:$A, $A13, 'Raw Data'!$C:$C, $C$3),""))</f>
        <v>41.29</v>
      </c>
      <c r="AV13" s="90">
        <f>IF($A13="","",IFERROR(SUMPRODUCT(('Raw Data'!$B$2:$B$9999="Variant")*('Raw Data'!$A$2:$A$9999=$A13)*('Raw Data'!$C$2:$C$9999=$C$3)*'Raw Data'!$D$2:$D$9999*'Raw Data'!$S$2:$S$9999)/SUMIFS('Raw Data'!$D:$D, 'Raw Data'!$B:$B, "Variant", 'Raw Data'!$A:$A, $A13, 'Raw Data'!$C:$C, $C$3),""))</f>
        <v>16.73</v>
      </c>
      <c r="AW13" s="77">
        <f t="shared" si="16"/>
        <v>-0.594817147</v>
      </c>
      <c r="AX13" s="90">
        <f>IF($A13="","",IFERROR(SUMPRODUCT(('Raw Data'!$B$2:$B$9999="Control")*('Raw Data'!$A$2:$A$9999=$A13)*('Raw Data'!$C$2:$C$9999=$C$3)*'Raw Data'!$D$2:$D$9999*'Raw Data'!$T$2:$T$9999)/SUMIFS('Raw Data'!$D:$D, 'Raw Data'!$B:$B, "Control", 'Raw Data'!$A:$A, $A13, 'Raw Data'!$C:$C, $C$3),""))</f>
        <v>23.56</v>
      </c>
      <c r="AY13" s="90">
        <f>IF($A13="","",IFERROR(SUMPRODUCT(('Raw Data'!$B$2:$B$9999="Variant")*('Raw Data'!$A$2:$A$9999=$A13)*('Raw Data'!$C$2:$C$9999=$C$3)*'Raw Data'!$D$2:$D$9999*'Raw Data'!$T$2:$T$9999)/SUMIFS('Raw Data'!$D:$D, 'Raw Data'!$B:$B, "Variant", 'Raw Data'!$A:$A, $A13, 'Raw Data'!$C:$C, $C$3),""))</f>
        <v>18.98</v>
      </c>
      <c r="AZ13" s="86">
        <f t="shared" si="17"/>
        <v>-0.1943972835</v>
      </c>
      <c r="BA13" s="90">
        <f>IF($A13="","",IFERROR(SUMPRODUCT(('Raw Data'!$B$2:$B$9999="Control")*('Raw Data'!$A$2:$A$9999=$A13)*('Raw Data'!$C$2:$C$9999=$C$3)*'Raw Data'!$D$2:$D$9999*'Raw Data'!$U$2:$U$9999)/SUMIFS('Raw Data'!$D:$D, 'Raw Data'!$B:$B, "Control", 'Raw Data'!$A:$A, $A13, 'Raw Data'!$C:$C, $C$3),""))</f>
        <v>144.79</v>
      </c>
      <c r="BB13" s="90">
        <f>IF($A13="","",IFERROR(SUMPRODUCT(('Raw Data'!$B$2:$B$9999="Variant")*('Raw Data'!$A$2:$A$9999=$A13)*('Raw Data'!$C$2:$C$9999=$C$3)*'Raw Data'!$D$2:$D$9999*'Raw Data'!$U$2:$U$9999)/SUMIFS('Raw Data'!$D:$D, 'Raw Data'!$B:$B, "Variant", 'Raw Data'!$A:$A, $A13, 'Raw Data'!$C:$C, $C$3),""))</f>
        <v>133.7</v>
      </c>
      <c r="BC13" s="77">
        <f t="shared" si="18"/>
        <v>-0.07659368741</v>
      </c>
      <c r="BD13" s="90">
        <f>IF($A13="","",IFERROR(SUMPRODUCT(('Raw Data'!$B$2:$B$9999="Control")*('Raw Data'!$A$2:$A$9999=$A13)*('Raw Data'!$C$2:$C$9999=$C$3)*'Raw Data'!$D$2:$D$9999*'Raw Data'!$V$2:$V$9999)/SUMIFS('Raw Data'!$D:$D, 'Raw Data'!$B:$B, "Control", 'Raw Data'!$A:$A, $A13, 'Raw Data'!$C:$C, $C$3),""))</f>
        <v>188.69</v>
      </c>
      <c r="BE13" s="90">
        <f>IF($A13="","",IFERROR(SUMPRODUCT(('Raw Data'!$B$2:$B$9999="Variant")*('Raw Data'!$A$2:$A$9999=$A13)*('Raw Data'!$C$2:$C$9999=$C$3)*'Raw Data'!$D$2:$D$9999*'Raw Data'!$V$2:$V$9999)/SUMIFS('Raw Data'!$D:$D, 'Raw Data'!$B:$B, "Variant", 'Raw Data'!$A:$A, $A13, 'Raw Data'!$C:$C, $C$3),""))</f>
        <v>164.53</v>
      </c>
      <c r="BF13" s="77">
        <f t="shared" si="19"/>
        <v>-0.1280407017</v>
      </c>
      <c r="BG13" s="90">
        <f>IF($A13="","",IFERROR(SUMPRODUCT(('Raw Data'!$B$2:$B$9999="Control")*('Raw Data'!$A$2:$A$9999=$A13)*('Raw Data'!$C$2:$C$9999=$C$3)*'Raw Data'!$D$2:$D$9999*('Raw Data'!$Q$2:$Q$9999-'Raw Data'!$V$2:$V$9999))/SUMIFS('Raw Data'!$D:$D, 'Raw Data'!$B:$B, "Control", 'Raw Data'!$A:$A, $A13, 'Raw Data'!$C:$C, $C$3),""))</f>
        <v>-20.35</v>
      </c>
      <c r="BH13" s="90">
        <f>IF($A13="","",IFERROR(SUMPRODUCT(('Raw Data'!$B$2:$B$9999="Variant")*('Raw Data'!$A$2:$A$9999=$A13)*('Raw Data'!$C$2:$C$9999=$C$3)*'Raw Data'!$D$2:$D$9999*('Raw Data'!$Q$2:$Q$9999-'Raw Data'!$V$2:$V$9999))/SUMIFS('Raw Data'!$D:$D, 'Raw Data'!$B:$B, "Variant", 'Raw Data'!$A:$A, $A13, 'Raw Data'!$C:$C, $C$3),""))</f>
        <v>-11.85</v>
      </c>
      <c r="BI13" s="77">
        <f t="shared" si="20"/>
        <v>0.4176904177</v>
      </c>
      <c r="BJ13" s="90">
        <f>IF($A13="","",IFERROR(SUMPRODUCT(('Raw Data'!$B$2:$B$9999="Control")*('Raw Data'!$A$2:$A$9999=$A13)*('Raw Data'!$C$2:$C$9999=$C$3)*'Raw Data'!$D$2:$D$9999*'Raw Data'!$W$2:$W$9999)/SUMIFS('Raw Data'!$D:$D, 'Raw Data'!$B:$B, "Control", 'Raw Data'!$A:$A, $A13, 'Raw Data'!$C:$C, $C$3),""))</f>
        <v>4.3806</v>
      </c>
      <c r="BK13" s="90">
        <f>IF($A13="","",IFERROR(SUMPRODUCT(('Raw Data'!$B$2:$B$9999="Variant")*('Raw Data'!$A$2:$A$9999=$A13)*('Raw Data'!$C$2:$C$9999=$C$3)*'Raw Data'!$D$2:$D$9999*'Raw Data'!$W$2:$W$9999)/SUMIFS('Raw Data'!$D:$D, 'Raw Data'!$B:$B, "Variant", 'Raw Data'!$A:$A, $A13, 'Raw Data'!$C:$C, $C$3),""))</f>
        <v>4.0531</v>
      </c>
      <c r="BL13" s="77">
        <f t="shared" si="21"/>
        <v>-0.0747614482</v>
      </c>
      <c r="BM13" s="91">
        <f>IF($A13="","",IFERROR(SUMPRODUCT(('Raw Data'!$B$2:$B$9999="Control")*('Raw Data'!$A$2:$A$9999=$A13)*('Raw Data'!$C$2:$C$9999=$C$3)*'Raw Data'!$D$2:$D$9999*'Raw Data'!$X$2:$X$9999)/SUMIFS('Raw Data'!$D:$D, 'Raw Data'!$B:$B, "Control", 'Raw Data'!$A:$A, $A13, 'Raw Data'!$C:$C, $C$3),""))</f>
        <v>13.99</v>
      </c>
      <c r="BN13" s="91">
        <f>IF($A13="","",IFERROR(SUMPRODUCT(('Raw Data'!$B$2:$B$9999="Variant")*('Raw Data'!$A$2:$A$9999=$A13)*('Raw Data'!$C$2:$C$9999=$C$3)*'Raw Data'!$D$2:$D$9999*'Raw Data'!$X$2:$X$9999)/SUMIFS('Raw Data'!$D:$D, 'Raw Data'!$B:$B, "Variant", 'Raw Data'!$A:$A, $A13, 'Raw Data'!$C:$C, $C$3),""))</f>
        <v>12.43</v>
      </c>
      <c r="BO13" s="86">
        <f t="shared" si="22"/>
        <v>-0.1115082202</v>
      </c>
      <c r="BP13" s="76">
        <f>IF($A13="","",IFERROR(SUMPRODUCT(('Raw Data'!$B$2:$B$9999="Control")*('Raw Data'!$A$2:$A$9999=$A13)*('Raw Data'!$C$2:$C$9999=$C$3)*'Raw Data'!$D$2:$D$9999*'Raw Data'!$Y$2:$Y$9999)/SUMIFS('Raw Data'!$D:$D, 'Raw Data'!$B:$B, "Control", 'Raw Data'!$A:$A, $A13, 'Raw Data'!$C:$C, $C$3),""))</f>
        <v>114</v>
      </c>
      <c r="BQ13" s="76">
        <f>IF($A13="","",IFERROR(SUMPRODUCT(('Raw Data'!$B$2:$B$9999="Variant")*('Raw Data'!$A$2:$A$9999=$A13)*('Raw Data'!$C$2:$C$9999=$C$3)*'Raw Data'!$D$2:$D$9999*'Raw Data'!$Y$2:$Y$9999)/SUMIFS('Raw Data'!$D:$D, 'Raw Data'!$B:$B, "Variant", 'Raw Data'!$A:$A, $A13, 'Raw Data'!$C:$C, $C$3),""))</f>
        <v>108</v>
      </c>
      <c r="BR13" s="77">
        <f t="shared" si="23"/>
        <v>-0.05263157895</v>
      </c>
      <c r="BS13" s="76">
        <f>IF($A13="","",IFERROR(SUMPRODUCT(('Raw Data'!$B$2:$B$9999="Control")*('Raw Data'!$A$2:$A$9999=$A13)*('Raw Data'!$C$2:$C$9999=$C$3)*'Raw Data'!$D$2:$D$9999*'Raw Data'!$Z$2:$Z$9999)/SUMIFS('Raw Data'!$D:$D, 'Raw Data'!$B:$B, "Control", 'Raw Data'!$A:$A, $A13, 'Raw Data'!$C:$C, $C$3),""))</f>
        <v>579</v>
      </c>
      <c r="BT13" s="76">
        <f>IF($A13="","",IFERROR(SUMPRODUCT(('Raw Data'!$B$2:$B$9999="Variant")*('Raw Data'!$A$2:$A$9999=$A13)*('Raw Data'!$C$2:$C$9999=$C$3)*'Raw Data'!$D$2:$D$9999*'Raw Data'!$Z$2:$Z$9999)/SUMIFS('Raw Data'!$D:$D, 'Raw Data'!$B:$B, "Variant", 'Raw Data'!$A:$A, $A13, 'Raw Data'!$C:$C, $C$3),""))</f>
        <v>465</v>
      </c>
      <c r="BU13" s="77">
        <f t="shared" si="24"/>
        <v>-0.1968911917</v>
      </c>
      <c r="BV13" s="76">
        <f>IF($A13="","",IFERROR(SUMPRODUCT(('Raw Data'!$B$2:$B$9999="Control")*('Raw Data'!$A$2:$A$9999=$A13)*('Raw Data'!$C$2:$C$9999=$C$3)*'Raw Data'!$D$2:$D$9999*'Raw Data'!$AA$2:$AA$9999)/SUMIFS('Raw Data'!$D:$D, 'Raw Data'!$B:$B, "Control", 'Raw Data'!$A:$A, $A13, 'Raw Data'!$C:$C, $C$3),""))</f>
        <v>4262</v>
      </c>
      <c r="BW13" s="76">
        <f>IF($A13="","",IFERROR(SUMPRODUCT(('Raw Data'!$B$2:$B$9999="Variant")*('Raw Data'!$A$2:$A$9999=$A13)*('Raw Data'!$C$2:$C$9999=$C$3)*'Raw Data'!$D$2:$D$9999*'Raw Data'!$AA$2:$AA$9999)/SUMIFS('Raw Data'!$D:$D, 'Raw Data'!$B:$B, "Variant", 'Raw Data'!$A:$A, $A13, 'Raw Data'!$C:$C, $C$3),""))</f>
        <v>3912</v>
      </c>
      <c r="BX13" s="77">
        <f t="shared" si="25"/>
        <v>-0.08212106992</v>
      </c>
      <c r="BY13" s="90">
        <f>IF($A13="","",IFERROR(SUMPRODUCT(('Raw Data'!$B$2:$B$9999="Control")*('Raw Data'!$A$2:$A$9999=$A13)*('Raw Data'!$C$2:$C$9999=$C$3)*'Raw Data'!$D$2:$D$9999*'Raw Data'!$AB$2:$AB$9999)/SUMIFS('Raw Data'!$D:$D, 'Raw Data'!$B:$B, "Control", 'Raw Data'!$A:$A, $A13, 'Raw Data'!$C:$C, $C$3),""))</f>
        <v>55.8879</v>
      </c>
      <c r="BZ13" s="90">
        <f>IF($A13="","",IFERROR(SUMPRODUCT(('Raw Data'!$B$2:$B$9999="Variant")*('Raw Data'!$A$2:$A$9999=$A13)*('Raw Data'!$C$2:$C$9999=$C$3)*'Raw Data'!$D$2:$D$9999*'Raw Data'!$AB$2:$AB$9999)/SUMIFS('Raw Data'!$D:$D, 'Raw Data'!$B:$B, "Variant", 'Raw Data'!$A:$A, $A13, 'Raw Data'!$C:$C, $C$3),""))</f>
        <v>55.8261</v>
      </c>
      <c r="CA13" s="86">
        <f t="shared" si="26"/>
        <v>-0.001105784973</v>
      </c>
      <c r="CB13" s="90">
        <f>IF($A13="","",IFERROR(SUMPRODUCT(('Raw Data'!$B$2:$B$9999="Control")*('Raw Data'!$A$2:$A$9999=$A13)*('Raw Data'!$C$2:$C$9999=$C$3)*'Raw Data'!$D$2:$D$9999*'Raw Data'!$AC$2:$AC$9999)/SUMIFS('Raw Data'!$D:$D, 'Raw Data'!$B:$B, "Control", 'Raw Data'!$A:$A, $A13, 'Raw Data'!$C:$C, $C$3),""))</f>
        <v>0.7562</v>
      </c>
      <c r="CC13" s="90">
        <f>IF($A13="","",IFERROR(SUMPRODUCT(('Raw Data'!$B$2:$B$9999="Variant")*('Raw Data'!$A$2:$A$9999=$A13)*('Raw Data'!$C$2:$C$9999=$C$3)*'Raw Data'!$D$2:$D$9999*'Raw Data'!$AC$2:$AC$9999)/SUMIFS('Raw Data'!$D:$D, 'Raw Data'!$B:$B, "Variant", 'Raw Data'!$A:$A, $A13, 'Raw Data'!$C:$C, $C$3),""))</f>
        <v>0.7444</v>
      </c>
      <c r="CD13" s="86">
        <f t="shared" si="27"/>
        <v>-0.01560433748</v>
      </c>
      <c r="CE13" s="90">
        <f>IF($A13="","",IFERROR(SUMPRODUCT(('Raw Data'!$B$2:$B$9999="Control")*('Raw Data'!$A$2:$A$9999=$A13)*('Raw Data'!$C$2:$C$9999=$C$3)*'Raw Data'!$D$2:$D$9999*'Raw Data'!$AD$2:$AD$9999)/SUMIFS('Raw Data'!$D:$D, 'Raw Data'!$B:$B, "Control", 'Raw Data'!$A:$A, $A13, 'Raw Data'!$C:$C, $C$3),""))</f>
        <v>18.56</v>
      </c>
      <c r="CF13" s="90">
        <f>IF($A13="","",IFERROR(SUMPRODUCT(('Raw Data'!$B$2:$B$9999="Variant")*('Raw Data'!$A$2:$A$9999=$A13)*('Raw Data'!$C$2:$C$9999=$C$3)*'Raw Data'!$D$2:$D$9999*'Raw Data'!$AD$2:$AD$9999)/SUMIFS('Raw Data'!$D:$D, 'Raw Data'!$B:$B, "Variant", 'Raw Data'!$A:$A, $A13, 'Raw Data'!$C:$C, $C$3),""))</f>
        <v>16.95</v>
      </c>
      <c r="CG13" s="86">
        <f t="shared" si="28"/>
        <v>-0.08674568966</v>
      </c>
      <c r="CH13" s="90">
        <f>IF($A13="","",IFERROR(SUMPRODUCT(('Raw Data'!$B$2:$B$9999="Control")*('Raw Data'!$A$2:$A$9999=$A13)*('Raw Data'!$C$2:$C$9999=$C$3)*'Raw Data'!$D$2:$D$9999*'Raw Data'!$AE$2:$AE$9999)/SUMIFS('Raw Data'!$D:$D, 'Raw Data'!$B:$B, "Control", 'Raw Data'!$A:$A, $A13, 'Raw Data'!$C:$C, $C$3),""))</f>
        <v>7</v>
      </c>
      <c r="CI13" s="90">
        <f>IF($A13="","",IFERROR(SUMPRODUCT(('Raw Data'!$B$2:$B$9999="Variant")*('Raw Data'!$A$2:$A$9999=$A13)*('Raw Data'!$C$2:$C$9999=$C$3)*'Raw Data'!$D$2:$D$9999*'Raw Data'!$AE$2:$AE$9999)/SUMIFS('Raw Data'!$D:$D, 'Raw Data'!$B:$B, "Variant", 'Raw Data'!$A:$A, $A13, 'Raw Data'!$C:$C, $C$3),""))</f>
        <v>7</v>
      </c>
      <c r="CJ13" s="86">
        <f t="shared" si="29"/>
        <v>0</v>
      </c>
      <c r="CK13" s="90">
        <f>IF($A13="","",IFERROR(SUMPRODUCT(('Raw Data'!$B$2:$B$9999="Control")*('Raw Data'!$A$2:$A$9999=$A13)*('Raw Data'!$C$2:$C$9999=$C$3)*'Raw Data'!$D$2:$D$9999*'Raw Data'!$AF$2:$AF$9999)/SUMIFS('Raw Data'!$D:$D, 'Raw Data'!$B:$B, "Control", 'Raw Data'!$A:$A, $A13, 'Raw Data'!$C:$C, $C$3),""))</f>
        <v>14</v>
      </c>
      <c r="CL13" s="90">
        <f>IF($A13="","",IFERROR(SUMPRODUCT(('Raw Data'!$B$2:$B$9999="Variant")*('Raw Data'!$A$2:$A$9999=$A13)*('Raw Data'!$C$2:$C$9999=$C$3)*'Raw Data'!$D$2:$D$9999*'Raw Data'!$AF$2:$AF$9999)/SUMIFS('Raw Data'!$D:$D, 'Raw Data'!$B:$B, "Variant", 'Raw Data'!$A:$A, $A13, 'Raw Data'!$C:$C, $C$3),""))</f>
        <v>13</v>
      </c>
      <c r="CM13" s="86">
        <f t="shared" si="30"/>
        <v>-0.07142857143</v>
      </c>
      <c r="CN13" s="90">
        <f>IF($A13="","",IFERROR(SUMPRODUCT(('Raw Data'!$B$2:$B$9999="Control")*('Raw Data'!$A$2:$A$9999=$A13)*('Raw Data'!$C$2:$C$9999=$C$3)*'Raw Data'!$D$2:$D$9999*'Raw Data'!$AG$2:$AG$9999)/SUMIFS('Raw Data'!$D:$D, 'Raw Data'!$B:$B, "Control", 'Raw Data'!$A:$A, $A13, 'Raw Data'!$C:$C, $C$3),""))</f>
        <v>25</v>
      </c>
      <c r="CO13" s="90">
        <f>IF($A13="","",IFERROR(SUMPRODUCT(('Raw Data'!$B$2:$B$9999="Variant")*('Raw Data'!$A$2:$A$9999=$A13)*('Raw Data'!$C$2:$C$9999=$C$3)*'Raw Data'!$D$2:$D$9999*'Raw Data'!$AG$2:$AG$9999)/SUMIFS('Raw Data'!$D:$D, 'Raw Data'!$B:$B, "Variant", 'Raw Data'!$A:$A, $A13, 'Raw Data'!$C:$C, $C$3),""))</f>
        <v>23</v>
      </c>
      <c r="CP13" s="86">
        <f t="shared" si="31"/>
        <v>-0.08</v>
      </c>
      <c r="CQ13" s="90">
        <f>IF($A13="","",IFERROR(SUMPRODUCT(('Raw Data'!$B$2:$B$9999="Control")*('Raw Data'!$A$2:$A$9999=$A13)*('Raw Data'!$C$2:$C$9999=$C$3)*'Raw Data'!$D$2:$D$9999*'Raw Data'!$AH$2:$AH$9999)/SUMIFS('Raw Data'!$D:$D, 'Raw Data'!$B:$B, "Control", 'Raw Data'!$A:$A, $A13, 'Raw Data'!$C:$C, $C$3),""))</f>
        <v>40</v>
      </c>
      <c r="CR13" s="90">
        <f>IF($A13="","",IFERROR(SUMPRODUCT(('Raw Data'!$B$2:$B$9999="Variant")*('Raw Data'!$A$2:$A$9999=$A13)*('Raw Data'!$C$2:$C$9999=$C$3)*'Raw Data'!$D$2:$D$9999*'Raw Data'!$AH$2:$AH$9999)/SUMIFS('Raw Data'!$D:$D, 'Raw Data'!$B:$B, "Variant", 'Raw Data'!$A:$A, $A13, 'Raw Data'!$C:$C, $C$3),""))</f>
        <v>37</v>
      </c>
      <c r="CS13" s="86">
        <f t="shared" si="32"/>
        <v>-0.075</v>
      </c>
      <c r="CT13" s="79">
        <f>IF($A13="","",IFERROR(SUMPRODUCT(('Raw Data'!$B$2:$B$9999="Control")*('Raw Data'!$A$2:$A$9999=$A13)*('Raw Data'!$C$2:$C$9999=$C$3)*'Raw Data'!$D$2:$D$9999*'Raw Data'!$AI$2:$AI$9999)/SUMIFS('Raw Data'!$D:$D, 'Raw Data'!$B:$B, "Control", 'Raw Data'!$A:$A, $A13, 'Raw Data'!$C:$C, $C$3),""))</f>
        <v>59.45</v>
      </c>
      <c r="CU13" s="79">
        <f>IF($A13="","",IFERROR(SUMPRODUCT(('Raw Data'!$B$2:$B$9999="Variant")*('Raw Data'!$A$2:$A$9999=$A13)*('Raw Data'!$C$2:$C$9999=$C$3)*'Raw Data'!$D$2:$D$9999*'Raw Data'!$AI$2:$AI$9999)/SUMIFS('Raw Data'!$D:$D, 'Raw Data'!$B:$B, "Variant", 'Raw Data'!$A:$A, $A13, 'Raw Data'!$C:$C, $C$3),""))</f>
        <v>57.62</v>
      </c>
      <c r="CV13" s="93">
        <f t="shared" si="33"/>
        <v>-0.03078216989</v>
      </c>
      <c r="CW13" s="79">
        <f>IF($A13="","",IFERROR(SUMPRODUCT(('Raw Data'!$B$2:$B$9999="Control")*('Raw Data'!$A$2:$A$9999=$A13)*('Raw Data'!$C$2:$C$9999=$C$3)*'Raw Data'!$D$2:$D$9999*'Raw Data'!$AJ$2:$AJ$9999)/SUMIFS('Raw Data'!$D:$D, 'Raw Data'!$B:$B, "Control", 'Raw Data'!$A:$A, $A13, 'Raw Data'!$C:$C, $C$3),""))</f>
        <v>24.88</v>
      </c>
      <c r="CX13" s="79">
        <f>IF($A13="","",IFERROR(SUMPRODUCT(('Raw Data'!$B$2:$B$9999="Variant")*('Raw Data'!$A$2:$A$9999=$A13)*('Raw Data'!$C$2:$C$9999=$C$3)*'Raw Data'!$D$2:$D$9999*'Raw Data'!$AJ$2:$AJ$9999)/SUMIFS('Raw Data'!$D:$D, 'Raw Data'!$B:$B, "Variant", 'Raw Data'!$A:$A, $A13, 'Raw Data'!$C:$C, $C$3),""))</f>
        <v>20.86</v>
      </c>
      <c r="CY13" s="93">
        <f t="shared" si="34"/>
        <v>-0.1615755627</v>
      </c>
      <c r="CZ13" s="79">
        <f>IF($A13="","",IFERROR(SUMPRODUCT(('Raw Data'!$B$2:$B$9999="Control")*('Raw Data'!$A$2:$A$9999=$A13)*('Raw Data'!$C$2:$C$9999=$C$3)*'Raw Data'!$D$2:$D$9999*'Raw Data'!$AK$2:$AK$9999)/SUMIFS('Raw Data'!$D:$D, 'Raw Data'!$B:$B, "Control", 'Raw Data'!$A:$A, $A13, 'Raw Data'!$C:$C, $C$3),""))</f>
        <v>8.8</v>
      </c>
      <c r="DA13" s="79">
        <f>IF($A13="","",IFERROR(SUMPRODUCT(('Raw Data'!$B$2:$B$9999="Variant")*('Raw Data'!$A$2:$A$9999=$A13)*('Raw Data'!$C$2:$C$9999=$C$3)*'Raw Data'!$D$2:$D$9999*'Raw Data'!$AK$2:$AK$9999)/SUMIFS('Raw Data'!$D:$D, 'Raw Data'!$B:$B, "Variant", 'Raw Data'!$A:$A, $A13, 'Raw Data'!$C:$C, $C$3),""))</f>
        <v>6.71</v>
      </c>
      <c r="DB13" s="86">
        <f t="shared" si="35"/>
        <v>-0.2375</v>
      </c>
      <c r="DC13" s="91">
        <f>IF($A13="","",IFERROR(SUMPRODUCT(('Raw Data'!$B$2:$B$9999="Control")*('Raw Data'!$A$2:$A$9999=$A13)*('Raw Data'!$C$2:$C$9999=$C$3)*'Raw Data'!$D$2:$D$9999*'Raw Data'!$AL$2:$AL$9999)/SUMIFS('Raw Data'!$D:$D, 'Raw Data'!$B:$B, "Control", 'Raw Data'!$A:$A, $A13, 'Raw Data'!$C:$C, $C$3),""))</f>
        <v>0</v>
      </c>
      <c r="DD13" s="91">
        <f>IF($A13="","",IFERROR(SUMPRODUCT(('Raw Data'!$B$2:$B$9999="Variant")*('Raw Data'!$A$2:$A$9999=$A13)*('Raw Data'!$C$2:$C$9999=$C$3)*'Raw Data'!$D$2:$D$9999*'Raw Data'!$AL$2:$AL$9999)/SUMIFS('Raw Data'!$D:$D, 'Raw Data'!$B:$B, "Variant", 'Raw Data'!$A:$A, $A13, 'Raw Data'!$C:$C, $C$3),""))</f>
        <v>0</v>
      </c>
      <c r="DE13" s="93" t="str">
        <f t="shared" si="36"/>
        <v/>
      </c>
      <c r="DF13" s="107"/>
      <c r="DG13" s="79">
        <f>IF($A13="","",IFERROR(SUMPRODUCT(('Raw Data'!$B$2:$B$9999="Variant")*('Raw Data'!$A$2:$A$9999=$A13)*('Raw Data'!$C$2:$C$9999=$C$3)*'Raw Data'!$D$2:$D$9999*'Raw Data'!$AM$2:$AM$9999)/SUMIFS('Raw Data'!$D:$D, 'Raw Data'!$B:$B, "Variant", 'Raw Data'!$A:$A, $A13, 'Raw Data'!$C:$C, $C$3),""))</f>
        <v>60.52</v>
      </c>
      <c r="DH13" s="108"/>
      <c r="DI13" s="107"/>
      <c r="DJ13" s="79">
        <f>IF($A13="","",IFERROR(SUMPRODUCT(('Raw Data'!$B$2:$B$9999="Variant")*('Raw Data'!$A$2:$A$9999=$A13)*('Raw Data'!$C$2:$C$9999=$C$3)*'Raw Data'!$D$2:$D$9999*'Raw Data'!$AN$2:$AN$9999)/SUMIFS('Raw Data'!$D:$D, 'Raw Data'!$B:$B, "Variant", 'Raw Data'!$A:$A, $A13, 'Raw Data'!$C:$C, $C$3),""))</f>
        <v>60.52</v>
      </c>
      <c r="DK13" s="108"/>
      <c r="DL13" s="107"/>
      <c r="DM13" s="79">
        <f>IF($A13="","",IFERROR(SUMPRODUCT(('Raw Data'!$B$2:$B$9999="Variant")*('Raw Data'!$A$2:$A$9999=$A13)*('Raw Data'!$C$2:$C$9999=$C$3)*'Raw Data'!$D$2:$D$9999*'Raw Data'!$AO$2:$AO$9999)/SUMIFS('Raw Data'!$D:$D, 'Raw Data'!$B:$B, "Variant", 'Raw Data'!$A:$A, $A13, 'Raw Data'!$C:$C, $C$3),""))</f>
        <v>34.76</v>
      </c>
      <c r="DN13" s="108"/>
      <c r="DO13" s="107"/>
      <c r="DP13" s="79">
        <f>IF($A13="","",IFERROR(SUMPRODUCT(('Raw Data'!$B$2:$B$9999="Variant")*('Raw Data'!$A$2:$A$9999=$A13)*('Raw Data'!$C$2:$C$9999=$C$3)*'Raw Data'!$D$2:$D$9999*'Raw Data'!$AP$2:$AP$9999)/SUMIFS('Raw Data'!$D:$D, 'Raw Data'!$B:$B, "Variant", 'Raw Data'!$A:$A, $A13, 'Raw Data'!$C:$C, $C$3),""))</f>
        <v>19.54</v>
      </c>
      <c r="DQ13" s="108"/>
      <c r="DR13" s="91">
        <f>IF($A13="","",IFERROR(SUMPRODUCT(('Raw Data'!$B$2:$B$9999="Control")*('Raw Data'!$A$2:$A$9999=$A13)*('Raw Data'!$C$2:$C$9999=$C$3)*'Raw Data'!$D$2:$D$9999*'Raw Data'!$AQ$2:$AQ$9999)/SUMIFS('Raw Data'!$D:$D, 'Raw Data'!$B:$B, "Control", 'Raw Data'!$A:$A, $A13, 'Raw Data'!$C:$C, $C$3),""))</f>
        <v>9.8726</v>
      </c>
      <c r="DS13" s="91">
        <f>IF($A13="","",IFERROR(SUMPRODUCT(('Raw Data'!$B$2:$B$9999="Variant")*('Raw Data'!$A$2:$A$9999=$A13)*('Raw Data'!$C$2:$C$9999=$C$3)*'Raw Data'!$D$2:$D$9999*'Raw Data'!$AQ$2:$AQ$9999)/SUMIFS('Raw Data'!$D:$D, 'Raw Data'!$B:$B, "Variant", 'Raw Data'!$A:$A, $A13, 'Raw Data'!$C:$C, $C$3),""))</f>
        <v>6.8755</v>
      </c>
      <c r="DT13" s="110">
        <f t="shared" si="37"/>
        <v>-0.3035775783</v>
      </c>
      <c r="DU13" s="91">
        <f>IF($A13="","",IFERROR(SUMPRODUCT(('Raw Data'!$B$2:$B$9999="Control")*('Raw Data'!$A$2:$A$9999=$A13)*('Raw Data'!$C$2:$C$9999=$C$3)*'Raw Data'!$D$2:$D$9999*'Raw Data'!$AR$2:$AR$9999)/SUMIFS('Raw Data'!$D:$D, 'Raw Data'!$B:$B, "Control", 'Raw Data'!$A:$A, $A13, 'Raw Data'!$C:$C, $C$3),""))</f>
        <v>0.2344</v>
      </c>
      <c r="DV13" s="91">
        <f>IF($A13="","",IFERROR(SUMPRODUCT(('Raw Data'!$B$2:$B$9999="Variant")*('Raw Data'!$A$2:$A$9999=$A13)*('Raw Data'!$C$2:$C$9999=$C$3)*'Raw Data'!$D$2:$D$9999*'Raw Data'!$AR$2:$AR$9999)/SUMIFS('Raw Data'!$D:$D, 'Raw Data'!$B:$B, "Variant", 'Raw Data'!$A:$A, $A13, 'Raw Data'!$C:$C, $C$3),""))</f>
        <v>0.1957</v>
      </c>
      <c r="DW13" s="110">
        <f t="shared" si="38"/>
        <v>-0.1651023891</v>
      </c>
      <c r="DX13" s="91">
        <f>IF($A13="","",IFERROR(SUMPRODUCT(('Raw Data'!$B$2:$B$9999="Control")*('Raw Data'!$A$2:$A$9999=$A13)*('Raw Data'!$C$2:$C$9999=$C$3)*'Raw Data'!$D$2:$D$9999*'Raw Data'!$AS$2:$AS$9999)/SUMIFS('Raw Data'!$D:$D, 'Raw Data'!$B:$B, "Control", 'Raw Data'!$A:$A, $A13, 'Raw Data'!$C:$C, $C$3),""))</f>
        <v>9.6382</v>
      </c>
      <c r="DY13" s="91">
        <f>IF($A13="","",IFERROR(SUMPRODUCT(('Raw Data'!$B$2:$B$9999="Variant")*('Raw Data'!$A$2:$A$9999=$A13)*('Raw Data'!$C$2:$C$9999=$C$3)*'Raw Data'!$D$2:$D$9999*'Raw Data'!$AS$2:$AS$9999)/SUMIFS('Raw Data'!$D:$D, 'Raw Data'!$B:$B, "Variant", 'Raw Data'!$A:$A, $A13, 'Raw Data'!$C:$C, $C$3),""))</f>
        <v>6.6798</v>
      </c>
      <c r="DZ13" s="111">
        <f t="shared" si="39"/>
        <v>-0.3069452802</v>
      </c>
      <c r="EA13" s="91">
        <f>IF($A13="","",IFERROR(SUMPRODUCT(('Raw Data'!$B$2:$B$9999="Control")*('Raw Data'!$A$2:$A$9999=$A13)*('Raw Data'!$C$2:$C$9999=$C$3)*'Raw Data'!$D$2:$D$9999*'Raw Data'!$AT$2:$AT$9999)/SUMIFS('Raw Data'!$D:$D, 'Raw Data'!$B:$B, "Control", 'Raw Data'!$A:$A, $A13, 'Raw Data'!$C:$C, $C$3),""))</f>
        <v>9.7097</v>
      </c>
      <c r="EB13" s="91">
        <f>IF($A13="","",IFERROR(SUMPRODUCT(('Raw Data'!$B$2:$B$9999="Variant")*('Raw Data'!$A$2:$A$9999=$A13)*('Raw Data'!$C$2:$C$9999=$C$3)*'Raw Data'!$D$2:$D$9999*'Raw Data'!$AT$2:$AT$9999)/SUMIFS('Raw Data'!$D:$D, 'Raw Data'!$B:$B, "Variant", 'Raw Data'!$A:$A, $A13, 'Raw Data'!$C:$C, $C$3),""))</f>
        <v>7.7427</v>
      </c>
      <c r="EC13" s="110">
        <f t="shared" si="40"/>
        <v>-0.2025809242</v>
      </c>
      <c r="ED13" s="91">
        <f>IF($A13="","",IFERROR(SUMPRODUCT(('Raw Data'!$B$2:$B$9999="Control")*('Raw Data'!$A$2:$A$9999=$A13)*('Raw Data'!$C$2:$C$9999=$C$3)*'Raw Data'!$D$2:$D$9999*('Raw Data'!$AQ$2:$AQ$9999-'Raw Data'!$AT$2:$AT$9999))/SUMIFS('Raw Data'!$D:$D, 'Raw Data'!$B:$B, "Control", 'Raw Data'!$A:$A, $A13, 'Raw Data'!$C:$C, $C$3),""))</f>
        <v>0.1629</v>
      </c>
      <c r="EE13" s="91">
        <f>IF($A13="","",IFERROR(SUMPRODUCT(('Raw Data'!$B$2:$B$9999="Variant")*('Raw Data'!$A$2:$A$9999=$A13)*('Raw Data'!$C$2:$C$9999=$C$3)*'Raw Data'!$D$2:$D$9999*('Raw Data'!$AQ$2:$AQ$9999-'Raw Data'!$AT$2:$AT$9999))/SUMIFS('Raw Data'!$D:$D, 'Raw Data'!$B:$B, "Variant", 'Raw Data'!$A:$A, $A13, 'Raw Data'!$C:$C, $C$3),""))</f>
        <v>-0.8672</v>
      </c>
      <c r="EF13" s="111">
        <f t="shared" si="41"/>
        <v>-6.323511357</v>
      </c>
      <c r="EG13" s="91">
        <f>IF($A13="","",IFERROR(SUMPRODUCT(('Raw Data'!$B$2:$B$9999="Control")*('Raw Data'!$A$2:$A$9999=$A13)*('Raw Data'!$C$2:$C$9999=$C$3)*'Raw Data'!$D$2:$D$9999*'Raw Data'!$AU$2:$AU$9999)/SUMIFS('Raw Data'!$D:$D, 'Raw Data'!$B:$B, "Control", 'Raw Data'!$A:$A, $A13, 'Raw Data'!$C:$C, $C$3),""))</f>
        <v>0.2254</v>
      </c>
      <c r="EH13" s="91">
        <f>IF($A13="","",IFERROR(SUMPRODUCT(('Raw Data'!$B$2:$B$9999="Variant")*('Raw Data'!$A$2:$A$9999=$A13)*('Raw Data'!$C$2:$C$9999=$C$3)*'Raw Data'!$D$2:$D$9999*'Raw Data'!$AU$2:$AU$9999)/SUMIFS('Raw Data'!$D:$D, 'Raw Data'!$B:$B, "Variant", 'Raw Data'!$A:$A, $A13, 'Raw Data'!$C:$C, $C$3),""))</f>
        <v>0.1907</v>
      </c>
      <c r="EI13" s="110">
        <f t="shared" si="42"/>
        <v>-0.1539485359</v>
      </c>
    </row>
    <row r="14" ht="15.75" customHeight="1">
      <c r="A14" s="74">
        <v>46237.0</v>
      </c>
      <c r="B14" s="76">
        <f>IF($A14="","",SUMIFS('Raw Data'!$D:$D, 'Raw Data'!$B:$B, "Control", 'Raw Data'!$A:$A, $A14, 'Raw Data'!$C:$C, $C$3))</f>
        <v>0</v>
      </c>
      <c r="C14" s="76">
        <f>IF($A14="","",SUMIFS('Raw Data'!$D:$D, 'Raw Data'!$B:$B, "Variant", 'Raw Data'!$A:$A, $A14, 'Raw Data'!$C:$C, $C$3))</f>
        <v>0</v>
      </c>
      <c r="D14" s="77" t="str">
        <f t="shared" si="1"/>
        <v/>
      </c>
      <c r="E14" s="79" t="str">
        <f>IF($A14="","",IFERROR(SUMPRODUCT(('Raw Data'!$B$2:$B$9999="Control")*('Raw Data'!$A$2:$A$9999=$A14)*('Raw Data'!$C$2:$C$9999=$C$3)*'Raw Data'!$D$2:$D$9999*'Raw Data'!$E$2:$E$9999)/SUMIFS('Raw Data'!$D:$D, 'Raw Data'!$B:$B, "Control", 'Raw Data'!$A:$A, $A14, 'Raw Data'!$C:$C, $C$3),""))</f>
        <v/>
      </c>
      <c r="F14" s="79" t="str">
        <f>IF($A14="","",IFERROR(SUMPRODUCT(('Raw Data'!$B$2:$B$9999="Variant")*('Raw Data'!$A$2:$A$9999=$A14)*('Raw Data'!$C$2:$C$9999=$C$3)*'Raw Data'!$D$2:$D$9999*'Raw Data'!$E$2:$E$9999)/SUMIFS('Raw Data'!$D:$D, 'Raw Data'!$B:$B, "Variant", 'Raw Data'!$A:$A, $A14, 'Raw Data'!$C:$C, $C$3),""))</f>
        <v/>
      </c>
      <c r="G14" s="77" t="str">
        <f t="shared" si="2"/>
        <v/>
      </c>
      <c r="H14" s="85">
        <f>IF($A14="","",SUMIFS('Raw Data'!$F:$F, 'Raw Data'!$B:$B, "Control", 'Raw Data'!$A:$A, $A14, 'Raw Data'!$C:$C, $C$3))</f>
        <v>0</v>
      </c>
      <c r="I14" s="85">
        <f>IF($A14="","",SUMIFS('Raw Data'!$F:$F, 'Raw Data'!$B:$B, "Variant", 'Raw Data'!$A:$A, $A14, 'Raw Data'!$C:$C, $C$3))</f>
        <v>0</v>
      </c>
      <c r="J14" s="86" t="str">
        <f t="shared" si="3"/>
        <v/>
      </c>
      <c r="K14" s="88" t="str">
        <f>IF($A14="","",IFERROR(SUMIFS('Raw Data'!$F:$F, 'Raw Data'!$B:$B, "Control", 'Raw Data'!$A:$A, $A14, 'Raw Data'!$C:$C, $C$3)/SUMIFS('Raw Data'!$D:$D, 'Raw Data'!$B:$B, "Control", 'Raw Data'!$A:$A, $A14, 'Raw Data'!$C:$C, $C$3),""))</f>
        <v/>
      </c>
      <c r="L14" s="88" t="str">
        <f>IF($A14="","",IFERROR(SUMIFS('Raw Data'!$F:$F, 'Raw Data'!$B:$B, "Variant", 'Raw Data'!$A:$A, $A14, 'Raw Data'!$C:$C, $C$3)/SUMIFS('Raw Data'!$D:$D, 'Raw Data'!$B:$B, "Variant", 'Raw Data'!$A:$A, $A14, 'Raw Data'!$C:$C, $C$3),""))</f>
        <v/>
      </c>
      <c r="M14" s="86" t="str">
        <f t="shared" si="4"/>
        <v/>
      </c>
      <c r="N14" s="79" t="str">
        <f>IF($A14="","",IFERROR(SUMPRODUCT(('Raw Data'!$B$2:$B$9999="Control")*('Raw Data'!$A$2:$A$9999=$A14)*('Raw Data'!$C$2:$C$9999=$C$3)*'Raw Data'!$D$2:$D$9999*'Raw Data'!$H$2:$H$9999/100)/SUMIFS('Raw Data'!$D:$D, 'Raw Data'!$B:$B, "Control", 'Raw Data'!$A:$A, $A14, 'Raw Data'!$C:$C, $C$3)*100,""))</f>
        <v/>
      </c>
      <c r="O14" s="79" t="str">
        <f>IF($A14="","",IFERROR(SUMPRODUCT(('Raw Data'!$B$2:$B$9999="Variant")*('Raw Data'!$A$2:$A$9999=$A14)*('Raw Data'!$C$2:$C$9999=$C$3)*'Raw Data'!$D$2:$D$9999*'Raw Data'!$H$2:$H$9999/100)/SUMIFS('Raw Data'!$D:$D, 'Raw Data'!$B:$B, "Variant", 'Raw Data'!$A:$A, $A14, 'Raw Data'!$C:$C, $C$3)*100,""))</f>
        <v/>
      </c>
      <c r="P14" s="86" t="str">
        <f t="shared" si="5"/>
        <v/>
      </c>
      <c r="Q14" s="88" t="str">
        <f>IF($A14="","",IFERROR(SUMIFS('Raw Data'!$F:$F, 'Raw Data'!$B:$B, "Control", 'Raw Data'!$A:$A, $A14, 'Raw Data'!$C:$C, $C$3)/SUMPRODUCT(('Raw Data'!$B$2:$B$9999="Control")*('Raw Data'!$A$2:$A$9999=$A14)*('Raw Data'!$C$2:$C$9999=$C$3)*'Raw Data'!$D$2:$D$9999*'Raw Data'!$H$2:$H$9999/100),""))</f>
        <v/>
      </c>
      <c r="R14" s="88" t="str">
        <f>IF($A14="","",IFERROR(SUMIFS('Raw Data'!$F:$F, 'Raw Data'!$B:$B, "Variant", 'Raw Data'!$A:$A, $A14, 'Raw Data'!$C:$C, $C$3)/SUMPRODUCT(('Raw Data'!$B$2:$B$9999="Variant")*('Raw Data'!$A$2:$A$9999=$A14)*('Raw Data'!$C$2:$C$9999=$C$3)*'Raw Data'!$D$2:$D$9999*'Raw Data'!$H$2:$H$9999/100),""))</f>
        <v/>
      </c>
      <c r="S14" s="86" t="str">
        <f t="shared" si="6"/>
        <v/>
      </c>
      <c r="T14" s="90" t="str">
        <f>IF($A14="","",IFERROR(SUMPRODUCT(('Raw Data'!$B$2:$B$9999="Control")*('Raw Data'!$A$2:$A$9999=$A14)*('Raw Data'!$C$2:$C$9999=$C$3)*'Raw Data'!$D$2:$D$9999*'Raw Data'!$J$2:$J$9999)/SUMIFS('Raw Data'!$D:$D, 'Raw Data'!$B:$B, "Control", 'Raw Data'!$A:$A, $A14, 'Raw Data'!$C:$C, $C$3),""))</f>
        <v/>
      </c>
      <c r="U14" s="90" t="str">
        <f>IF($A14="","",IFERROR(SUMPRODUCT(('Raw Data'!$B$2:$B$9999="Variant")*('Raw Data'!$A$2:$A$9999=$A14)*('Raw Data'!$C$2:$C$9999=$C$3)*'Raw Data'!$D$2:$D$9999*'Raw Data'!$J$2:$J$9999)/SUMIFS('Raw Data'!$D:$D, 'Raw Data'!$B:$B, "Variant", 'Raw Data'!$A:$A, $A14, 'Raw Data'!$C:$C, $C$3),""))</f>
        <v/>
      </c>
      <c r="V14" s="86" t="str">
        <f t="shared" si="7"/>
        <v/>
      </c>
      <c r="W14" s="90" t="str">
        <f>IF($A14="","",IFERROR(SUMPRODUCT(('Raw Data'!$B$2:$B$9999="Control")*('Raw Data'!$A$2:$A$9999=$A14)*('Raw Data'!$C$2:$C$9999=$C$3)*'Raw Data'!$D$2:$D$9999*'Raw Data'!$K$2:$K$9999)/SUMIFS('Raw Data'!$D:$D, 'Raw Data'!$B:$B, "Control", 'Raw Data'!$A:$A, $A14, 'Raw Data'!$C:$C, $C$3),""))</f>
        <v/>
      </c>
      <c r="X14" s="90" t="str">
        <f>IF($A14="","",IFERROR(SUMPRODUCT(('Raw Data'!$B$2:$B$9999="Variant")*('Raw Data'!$A$2:$A$9999=$A14)*('Raw Data'!$C$2:$C$9999=$C$3)*'Raw Data'!$D$2:$D$9999*'Raw Data'!$K$2:$K$9999)/SUMIFS('Raw Data'!$D:$D, 'Raw Data'!$B:$B, "Variant", 'Raw Data'!$A:$A, $A14, 'Raw Data'!$C:$C, $C$3),""))</f>
        <v/>
      </c>
      <c r="Y14" s="86" t="str">
        <f t="shared" si="8"/>
        <v/>
      </c>
      <c r="Z14" s="90" t="str">
        <f>IF($A14="","",IFERROR(SUMPRODUCT(('Raw Data'!$B$2:$B$9999="Control")*('Raw Data'!$A$2:$A$9999=$A14)*('Raw Data'!$C$2:$C$9999=$C$3)*'Raw Data'!$D$2:$D$9999*'Raw Data'!$L$2:$L$9999)/SUMIFS('Raw Data'!$D:$D, 'Raw Data'!$B:$B, "Control", 'Raw Data'!$A:$A, $A14, 'Raw Data'!$C:$C, $C$3),""))</f>
        <v/>
      </c>
      <c r="AA14" s="90" t="str">
        <f>IF($A14="","",IFERROR(SUMPRODUCT(('Raw Data'!$B$2:$B$9999="Variant")*('Raw Data'!$A$2:$A$9999=$A14)*('Raw Data'!$C$2:$C$9999=$C$3)*'Raw Data'!$D$2:$D$9999*'Raw Data'!$L$2:$L$9999)/SUMIFS('Raw Data'!$D:$D, 'Raw Data'!$B:$B, "Variant", 'Raw Data'!$A:$A, $A14, 'Raw Data'!$C:$C, $C$3),""))</f>
        <v/>
      </c>
      <c r="AB14" s="86" t="str">
        <f t="shared" si="9"/>
        <v/>
      </c>
      <c r="AC14" s="91" t="str">
        <f>IF($A14="","",IFERROR(SUMPRODUCT(('Raw Data'!$B$2:$B$9999="Control")*('Raw Data'!$A$2:$A$9999=$A14)*('Raw Data'!$C$2:$C$9999=$C$3)*'Raw Data'!$D$2:$D$9999*'Raw Data'!$M$2:$M$9999)/SUMIFS('Raw Data'!$D:$D, 'Raw Data'!$B:$B, "Control", 'Raw Data'!$A:$A, $A14, 'Raw Data'!$C:$C, $C$3),""))</f>
        <v/>
      </c>
      <c r="AD14" s="91" t="str">
        <f>IF($A14="","",IFERROR(SUMPRODUCT(('Raw Data'!$B$2:$B$9999="Variant")*('Raw Data'!$A$2:$A$9999=$A14)*('Raw Data'!$C$2:$C$9999=$C$3)*'Raw Data'!$D$2:$D$9999*'Raw Data'!$M$2:$M$9999)/SUMIFS('Raw Data'!$D:$D, 'Raw Data'!$B:$B, "Variant", 'Raw Data'!$A:$A, $A14, 'Raw Data'!$C:$C, $C$3),""))</f>
        <v/>
      </c>
      <c r="AE14" s="93" t="str">
        <f t="shared" si="10"/>
        <v/>
      </c>
      <c r="AF14" s="91" t="str">
        <f>IF($A14="","",IFERROR(SUMPRODUCT(('Raw Data'!$B$2:$B$9999="Control")*('Raw Data'!$A$2:$A$9999=$A14)*('Raw Data'!$C$2:$C$9999=$C$3)*'Raw Data'!$D$2:$D$9999*'Raw Data'!$N$2:$N$9999)/SUMIFS('Raw Data'!$D:$D, 'Raw Data'!$B:$B, "Control", 'Raw Data'!$A:$A, $A14, 'Raw Data'!$C:$C, $C$3),""))</f>
        <v/>
      </c>
      <c r="AG14" s="91" t="str">
        <f>IF($A14="","",IFERROR(SUMPRODUCT(('Raw Data'!$B$2:$B$9999="Variant")*('Raw Data'!$A$2:$A$9999=$A14)*('Raw Data'!$C$2:$C$9999=$C$3)*'Raw Data'!$D$2:$D$9999*'Raw Data'!$N$2:$N$9999)/SUMIFS('Raw Data'!$D:$D, 'Raw Data'!$B:$B, "Variant", 'Raw Data'!$A:$A, $A14, 'Raw Data'!$C:$C, $C$3),""))</f>
        <v/>
      </c>
      <c r="AH14" s="93" t="str">
        <f t="shared" si="11"/>
        <v/>
      </c>
      <c r="AI14" s="91" t="str">
        <f>IF($A14="","",IFERROR(SUMPRODUCT(('Raw Data'!$B$2:$B$9999="Control")*('Raw Data'!$A$2:$A$9999=$A14)*('Raw Data'!$C$2:$C$9999=$C$3)*'Raw Data'!$D$2:$D$9999*'Raw Data'!$O$2:$O$9999)/SUMIFS('Raw Data'!$D:$D, 'Raw Data'!$B:$B, "Control", 'Raw Data'!$A:$A, $A14, 'Raw Data'!$C:$C, $C$3),""))</f>
        <v/>
      </c>
      <c r="AJ14" s="91" t="str">
        <f>IF($A14="","",IFERROR(SUMPRODUCT(('Raw Data'!$B$2:$B$9999="Variant")*('Raw Data'!$A$2:$A$9999=$A14)*('Raw Data'!$C$2:$C$9999=$C$3)*'Raw Data'!$D$2:$D$9999*'Raw Data'!$O$2:$O$9999)/SUMIFS('Raw Data'!$D:$D, 'Raw Data'!$B:$B, "Variant", 'Raw Data'!$A:$A, $A14, 'Raw Data'!$C:$C, $C$3),""))</f>
        <v/>
      </c>
      <c r="AK14" s="86" t="str">
        <f t="shared" si="12"/>
        <v/>
      </c>
      <c r="AL14" s="90" t="str">
        <f>IF($A14="","",IFERROR(SUMPRODUCT(('Raw Data'!$B$2:$B$9999="Control")*('Raw Data'!$A$2:$A$9999=$A14)*('Raw Data'!$C$2:$C$9999=$C$3)*'Raw Data'!$D$2:$D$9999*'Raw Data'!$P$2:$P$9999)/SUMIFS('Raw Data'!$D:$D, 'Raw Data'!$B:$B, "Control", 'Raw Data'!$A:$A, $A14, 'Raw Data'!$C:$C, $C$3),""))</f>
        <v/>
      </c>
      <c r="AM14" s="90" t="str">
        <f>IF($A14="","",IFERROR(SUMPRODUCT(('Raw Data'!$B$2:$B$9999="Variant")*('Raw Data'!$A$2:$A$9999=$A14)*('Raw Data'!$C$2:$C$9999=$C$3)*'Raw Data'!$D$2:$D$9999*'Raw Data'!$P$2:$P$9999)/SUMIFS('Raw Data'!$D:$D, 'Raw Data'!$B:$B, "Variant", 'Raw Data'!$A:$A, $A14, 'Raw Data'!$C:$C, $C$3),""))</f>
        <v/>
      </c>
      <c r="AN14" s="86" t="str">
        <f t="shared" si="13"/>
        <v/>
      </c>
      <c r="AO14" s="90" t="str">
        <f>IF($A14="","",IFERROR(SUMPRODUCT(('Raw Data'!$B$2:$B$9999="Control")*('Raw Data'!$A$2:$A$9999=$A14)*('Raw Data'!$C$2:$C$9999=$C$3)*'Raw Data'!$D$2:$D$9999*'Raw Data'!$Q$2:$Q$9999)/SUMIFS('Raw Data'!$D:$D, 'Raw Data'!$B:$B, "Control", 'Raw Data'!$A:$A, $A14, 'Raw Data'!$C:$C, $C$3),""))</f>
        <v/>
      </c>
      <c r="AP14" s="90" t="str">
        <f>IF($A14="","",IFERROR(SUMPRODUCT(('Raw Data'!$B$2:$B$9999="Variant")*('Raw Data'!$A$2:$A$9999=$A14)*('Raw Data'!$C$2:$C$9999=$C$3)*'Raw Data'!$D$2:$D$9999*'Raw Data'!$Q$2:$Q$9999)/SUMIFS('Raw Data'!$D:$D, 'Raw Data'!$B:$B, "Variant", 'Raw Data'!$A:$A, $A14, 'Raw Data'!$C:$C, $C$3),""))</f>
        <v/>
      </c>
      <c r="AQ14" s="77" t="str">
        <f t="shared" si="14"/>
        <v/>
      </c>
      <c r="AR14" s="90" t="str">
        <f>IF($A14="","",IFERROR(SUMPRODUCT(('Raw Data'!$B$2:$B$9999="Control")*('Raw Data'!$A$2:$A$9999=$A14)*('Raw Data'!$C$2:$C$9999=$C$3)*'Raw Data'!$D$2:$D$9999*'Raw Data'!$R$2:$R$9999)/SUMIFS('Raw Data'!$D:$D, 'Raw Data'!$B:$B, "Control", 'Raw Data'!$A:$A, $A14, 'Raw Data'!$C:$C, $C$3),""))</f>
        <v/>
      </c>
      <c r="AS14" s="90" t="str">
        <f>IF($A14="","",IFERROR(SUMPRODUCT(('Raw Data'!$B$2:$B$9999="Variant")*('Raw Data'!$A$2:$A$9999=$A14)*('Raw Data'!$C$2:$C$9999=$C$3)*'Raw Data'!$D$2:$D$9999*'Raw Data'!$R$2:$R$9999)/SUMIFS('Raw Data'!$D:$D, 'Raw Data'!$B:$B, "Variant", 'Raw Data'!$A:$A, $A14, 'Raw Data'!$C:$C, $C$3),""))</f>
        <v/>
      </c>
      <c r="AT14" s="77" t="str">
        <f t="shared" si="15"/>
        <v/>
      </c>
      <c r="AU14" s="90" t="str">
        <f>IF($A14="","",IFERROR(SUMPRODUCT(('Raw Data'!$B$2:$B$9999="Control")*('Raw Data'!$A$2:$A$9999=$A14)*('Raw Data'!$C$2:$C$9999=$C$3)*'Raw Data'!$D$2:$D$9999*'Raw Data'!$S$2:$S$9999)/SUMIFS('Raw Data'!$D:$D, 'Raw Data'!$B:$B, "Control", 'Raw Data'!$A:$A, $A14, 'Raw Data'!$C:$C, $C$3),""))</f>
        <v/>
      </c>
      <c r="AV14" s="90" t="str">
        <f>IF($A14="","",IFERROR(SUMPRODUCT(('Raw Data'!$B$2:$B$9999="Variant")*('Raw Data'!$A$2:$A$9999=$A14)*('Raw Data'!$C$2:$C$9999=$C$3)*'Raw Data'!$D$2:$D$9999*'Raw Data'!$S$2:$S$9999)/SUMIFS('Raw Data'!$D:$D, 'Raw Data'!$B:$B, "Variant", 'Raw Data'!$A:$A, $A14, 'Raw Data'!$C:$C, $C$3),""))</f>
        <v/>
      </c>
      <c r="AW14" s="77" t="str">
        <f t="shared" si="16"/>
        <v/>
      </c>
      <c r="AX14" s="90" t="str">
        <f>IF($A14="","",IFERROR(SUMPRODUCT(('Raw Data'!$B$2:$B$9999="Control")*('Raw Data'!$A$2:$A$9999=$A14)*('Raw Data'!$C$2:$C$9999=$C$3)*'Raw Data'!$D$2:$D$9999*'Raw Data'!$T$2:$T$9999)/SUMIFS('Raw Data'!$D:$D, 'Raw Data'!$B:$B, "Control", 'Raw Data'!$A:$A, $A14, 'Raw Data'!$C:$C, $C$3),""))</f>
        <v/>
      </c>
      <c r="AY14" s="90" t="str">
        <f>IF($A14="","",IFERROR(SUMPRODUCT(('Raw Data'!$B$2:$B$9999="Variant")*('Raw Data'!$A$2:$A$9999=$A14)*('Raw Data'!$C$2:$C$9999=$C$3)*'Raw Data'!$D$2:$D$9999*'Raw Data'!$T$2:$T$9999)/SUMIFS('Raw Data'!$D:$D, 'Raw Data'!$B:$B, "Variant", 'Raw Data'!$A:$A, $A14, 'Raw Data'!$C:$C, $C$3),""))</f>
        <v/>
      </c>
      <c r="AZ14" s="86" t="str">
        <f t="shared" si="17"/>
        <v/>
      </c>
      <c r="BA14" s="90" t="str">
        <f>IF($A14="","",IFERROR(SUMPRODUCT(('Raw Data'!$B$2:$B$9999="Control")*('Raw Data'!$A$2:$A$9999=$A14)*('Raw Data'!$C$2:$C$9999=$C$3)*'Raw Data'!$D$2:$D$9999*'Raw Data'!$U$2:$U$9999)/SUMIFS('Raw Data'!$D:$D, 'Raw Data'!$B:$B, "Control", 'Raw Data'!$A:$A, $A14, 'Raw Data'!$C:$C, $C$3),""))</f>
        <v/>
      </c>
      <c r="BB14" s="90" t="str">
        <f>IF($A14="","",IFERROR(SUMPRODUCT(('Raw Data'!$B$2:$B$9999="Variant")*('Raw Data'!$A$2:$A$9999=$A14)*('Raw Data'!$C$2:$C$9999=$C$3)*'Raw Data'!$D$2:$D$9999*'Raw Data'!$U$2:$U$9999)/SUMIFS('Raw Data'!$D:$D, 'Raw Data'!$B:$B, "Variant", 'Raw Data'!$A:$A, $A14, 'Raw Data'!$C:$C, $C$3),""))</f>
        <v/>
      </c>
      <c r="BC14" s="77" t="str">
        <f t="shared" si="18"/>
        <v/>
      </c>
      <c r="BD14" s="90" t="str">
        <f>IF($A14="","",IFERROR(SUMPRODUCT(('Raw Data'!$B$2:$B$9999="Control")*('Raw Data'!$A$2:$A$9999=$A14)*('Raw Data'!$C$2:$C$9999=$C$3)*'Raw Data'!$D$2:$D$9999*'Raw Data'!$V$2:$V$9999)/SUMIFS('Raw Data'!$D:$D, 'Raw Data'!$B:$B, "Control", 'Raw Data'!$A:$A, $A14, 'Raw Data'!$C:$C, $C$3),""))</f>
        <v/>
      </c>
      <c r="BE14" s="90" t="str">
        <f>IF($A14="","",IFERROR(SUMPRODUCT(('Raw Data'!$B$2:$B$9999="Variant")*('Raw Data'!$A$2:$A$9999=$A14)*('Raw Data'!$C$2:$C$9999=$C$3)*'Raw Data'!$D$2:$D$9999*'Raw Data'!$V$2:$V$9999)/SUMIFS('Raw Data'!$D:$D, 'Raw Data'!$B:$B, "Variant", 'Raw Data'!$A:$A, $A14, 'Raw Data'!$C:$C, $C$3),""))</f>
        <v/>
      </c>
      <c r="BF14" s="77" t="str">
        <f t="shared" si="19"/>
        <v/>
      </c>
      <c r="BG14" s="90" t="str">
        <f>IF($A14="","",IFERROR(SUMPRODUCT(('Raw Data'!$B$2:$B$9999="Control")*('Raw Data'!$A$2:$A$9999=$A14)*('Raw Data'!$C$2:$C$9999=$C$3)*'Raw Data'!$D$2:$D$9999*('Raw Data'!$Q$2:$Q$9999-'Raw Data'!$V$2:$V$9999))/SUMIFS('Raw Data'!$D:$D, 'Raw Data'!$B:$B, "Control", 'Raw Data'!$A:$A, $A14, 'Raw Data'!$C:$C, $C$3),""))</f>
        <v/>
      </c>
      <c r="BH14" s="90" t="str">
        <f>IF($A14="","",IFERROR(SUMPRODUCT(('Raw Data'!$B$2:$B$9999="Variant")*('Raw Data'!$A$2:$A$9999=$A14)*('Raw Data'!$C$2:$C$9999=$C$3)*'Raw Data'!$D$2:$D$9999*('Raw Data'!$Q$2:$Q$9999-'Raw Data'!$V$2:$V$9999))/SUMIFS('Raw Data'!$D:$D, 'Raw Data'!$B:$B, "Variant", 'Raw Data'!$A:$A, $A14, 'Raw Data'!$C:$C, $C$3),""))</f>
        <v/>
      </c>
      <c r="BI14" s="77" t="str">
        <f t="shared" si="20"/>
        <v/>
      </c>
      <c r="BJ14" s="90" t="str">
        <f>IF($A14="","",IFERROR(SUMPRODUCT(('Raw Data'!$B$2:$B$9999="Control")*('Raw Data'!$A$2:$A$9999=$A14)*('Raw Data'!$C$2:$C$9999=$C$3)*'Raw Data'!$D$2:$D$9999*'Raw Data'!$W$2:$W$9999)/SUMIFS('Raw Data'!$D:$D, 'Raw Data'!$B:$B, "Control", 'Raw Data'!$A:$A, $A14, 'Raw Data'!$C:$C, $C$3),""))</f>
        <v/>
      </c>
      <c r="BK14" s="90" t="str">
        <f>IF($A14="","",IFERROR(SUMPRODUCT(('Raw Data'!$B$2:$B$9999="Variant")*('Raw Data'!$A$2:$A$9999=$A14)*('Raw Data'!$C$2:$C$9999=$C$3)*'Raw Data'!$D$2:$D$9999*'Raw Data'!$W$2:$W$9999)/SUMIFS('Raw Data'!$D:$D, 'Raw Data'!$B:$B, "Variant", 'Raw Data'!$A:$A, $A14, 'Raw Data'!$C:$C, $C$3),""))</f>
        <v/>
      </c>
      <c r="BL14" s="77" t="str">
        <f t="shared" si="21"/>
        <v/>
      </c>
      <c r="BM14" s="91" t="str">
        <f>IF($A14="","",IFERROR(SUMPRODUCT(('Raw Data'!$B$2:$B$9999="Control")*('Raw Data'!$A$2:$A$9999=$A14)*('Raw Data'!$C$2:$C$9999=$C$3)*'Raw Data'!$D$2:$D$9999*'Raw Data'!$X$2:$X$9999)/SUMIFS('Raw Data'!$D:$D, 'Raw Data'!$B:$B, "Control", 'Raw Data'!$A:$A, $A14, 'Raw Data'!$C:$C, $C$3),""))</f>
        <v/>
      </c>
      <c r="BN14" s="91" t="str">
        <f>IF($A14="","",IFERROR(SUMPRODUCT(('Raw Data'!$B$2:$B$9999="Variant")*('Raw Data'!$A$2:$A$9999=$A14)*('Raw Data'!$C$2:$C$9999=$C$3)*'Raw Data'!$D$2:$D$9999*'Raw Data'!$X$2:$X$9999)/SUMIFS('Raw Data'!$D:$D, 'Raw Data'!$B:$B, "Variant", 'Raw Data'!$A:$A, $A14, 'Raw Data'!$C:$C, $C$3),""))</f>
        <v/>
      </c>
      <c r="BO14" s="86" t="str">
        <f t="shared" si="22"/>
        <v/>
      </c>
      <c r="BP14" s="76" t="str">
        <f>IF($A14="","",IFERROR(SUMPRODUCT(('Raw Data'!$B$2:$B$9999="Control")*('Raw Data'!$A$2:$A$9999=$A14)*('Raw Data'!$C$2:$C$9999=$C$3)*'Raw Data'!$D$2:$D$9999*'Raw Data'!$Y$2:$Y$9999)/SUMIFS('Raw Data'!$D:$D, 'Raw Data'!$B:$B, "Control", 'Raw Data'!$A:$A, $A14, 'Raw Data'!$C:$C, $C$3),""))</f>
        <v/>
      </c>
      <c r="BQ14" s="76" t="str">
        <f>IF($A14="","",IFERROR(SUMPRODUCT(('Raw Data'!$B$2:$B$9999="Variant")*('Raw Data'!$A$2:$A$9999=$A14)*('Raw Data'!$C$2:$C$9999=$C$3)*'Raw Data'!$D$2:$D$9999*'Raw Data'!$Y$2:$Y$9999)/SUMIFS('Raw Data'!$D:$D, 'Raw Data'!$B:$B, "Variant", 'Raw Data'!$A:$A, $A14, 'Raw Data'!$C:$C, $C$3),""))</f>
        <v/>
      </c>
      <c r="BR14" s="77" t="str">
        <f t="shared" si="23"/>
        <v/>
      </c>
      <c r="BS14" s="76" t="str">
        <f>IF($A14="","",IFERROR(SUMPRODUCT(('Raw Data'!$B$2:$B$9999="Control")*('Raw Data'!$A$2:$A$9999=$A14)*('Raw Data'!$C$2:$C$9999=$C$3)*'Raw Data'!$D$2:$D$9999*'Raw Data'!$Z$2:$Z$9999)/SUMIFS('Raw Data'!$D:$D, 'Raw Data'!$B:$B, "Control", 'Raw Data'!$A:$A, $A14, 'Raw Data'!$C:$C, $C$3),""))</f>
        <v/>
      </c>
      <c r="BT14" s="76" t="str">
        <f>IF($A14="","",IFERROR(SUMPRODUCT(('Raw Data'!$B$2:$B$9999="Variant")*('Raw Data'!$A$2:$A$9999=$A14)*('Raw Data'!$C$2:$C$9999=$C$3)*'Raw Data'!$D$2:$D$9999*'Raw Data'!$Z$2:$Z$9999)/SUMIFS('Raw Data'!$D:$D, 'Raw Data'!$B:$B, "Variant", 'Raw Data'!$A:$A, $A14, 'Raw Data'!$C:$C, $C$3),""))</f>
        <v/>
      </c>
      <c r="BU14" s="77" t="str">
        <f t="shared" si="24"/>
        <v/>
      </c>
      <c r="BV14" s="76" t="str">
        <f>IF($A14="","",IFERROR(SUMPRODUCT(('Raw Data'!$B$2:$B$9999="Control")*('Raw Data'!$A$2:$A$9999=$A14)*('Raw Data'!$C$2:$C$9999=$C$3)*'Raw Data'!$D$2:$D$9999*'Raw Data'!$AA$2:$AA$9999)/SUMIFS('Raw Data'!$D:$D, 'Raw Data'!$B:$B, "Control", 'Raw Data'!$A:$A, $A14, 'Raw Data'!$C:$C, $C$3),""))</f>
        <v/>
      </c>
      <c r="BW14" s="76" t="str">
        <f>IF($A14="","",IFERROR(SUMPRODUCT(('Raw Data'!$B$2:$B$9999="Variant")*('Raw Data'!$A$2:$A$9999=$A14)*('Raw Data'!$C$2:$C$9999=$C$3)*'Raw Data'!$D$2:$D$9999*'Raw Data'!$AA$2:$AA$9999)/SUMIFS('Raw Data'!$D:$D, 'Raw Data'!$B:$B, "Variant", 'Raw Data'!$A:$A, $A14, 'Raw Data'!$C:$C, $C$3),""))</f>
        <v/>
      </c>
      <c r="BX14" s="77" t="str">
        <f t="shared" si="25"/>
        <v/>
      </c>
      <c r="BY14" s="90" t="str">
        <f>IF($A14="","",IFERROR(SUMPRODUCT(('Raw Data'!$B$2:$B$9999="Control")*('Raw Data'!$A$2:$A$9999=$A14)*('Raw Data'!$C$2:$C$9999=$C$3)*'Raw Data'!$D$2:$D$9999*'Raw Data'!$AB$2:$AB$9999)/SUMIFS('Raw Data'!$D:$D, 'Raw Data'!$B:$B, "Control", 'Raw Data'!$A:$A, $A14, 'Raw Data'!$C:$C, $C$3),""))</f>
        <v/>
      </c>
      <c r="BZ14" s="90" t="str">
        <f>IF($A14="","",IFERROR(SUMPRODUCT(('Raw Data'!$B$2:$B$9999="Variant")*('Raw Data'!$A$2:$A$9999=$A14)*('Raw Data'!$C$2:$C$9999=$C$3)*'Raw Data'!$D$2:$D$9999*'Raw Data'!$AB$2:$AB$9999)/SUMIFS('Raw Data'!$D:$D, 'Raw Data'!$B:$B, "Variant", 'Raw Data'!$A:$A, $A14, 'Raw Data'!$C:$C, $C$3),""))</f>
        <v/>
      </c>
      <c r="CA14" s="86" t="str">
        <f t="shared" si="26"/>
        <v/>
      </c>
      <c r="CB14" s="90" t="str">
        <f>IF($A14="","",IFERROR(SUMPRODUCT(('Raw Data'!$B$2:$B$9999="Control")*('Raw Data'!$A$2:$A$9999=$A14)*('Raw Data'!$C$2:$C$9999=$C$3)*'Raw Data'!$D$2:$D$9999*'Raw Data'!$AC$2:$AC$9999)/SUMIFS('Raw Data'!$D:$D, 'Raw Data'!$B:$B, "Control", 'Raw Data'!$A:$A, $A14, 'Raw Data'!$C:$C, $C$3),""))</f>
        <v/>
      </c>
      <c r="CC14" s="90" t="str">
        <f>IF($A14="","",IFERROR(SUMPRODUCT(('Raw Data'!$B$2:$B$9999="Variant")*('Raw Data'!$A$2:$A$9999=$A14)*('Raw Data'!$C$2:$C$9999=$C$3)*'Raw Data'!$D$2:$D$9999*'Raw Data'!$AC$2:$AC$9999)/SUMIFS('Raw Data'!$D:$D, 'Raw Data'!$B:$B, "Variant", 'Raw Data'!$A:$A, $A14, 'Raw Data'!$C:$C, $C$3),""))</f>
        <v/>
      </c>
      <c r="CD14" s="86" t="str">
        <f t="shared" si="27"/>
        <v/>
      </c>
      <c r="CE14" s="90" t="str">
        <f>IF($A14="","",IFERROR(SUMPRODUCT(('Raw Data'!$B$2:$B$9999="Control")*('Raw Data'!$A$2:$A$9999=$A14)*('Raw Data'!$C$2:$C$9999=$C$3)*'Raw Data'!$D$2:$D$9999*'Raw Data'!$AD$2:$AD$9999)/SUMIFS('Raw Data'!$D:$D, 'Raw Data'!$B:$B, "Control", 'Raw Data'!$A:$A, $A14, 'Raw Data'!$C:$C, $C$3),""))</f>
        <v/>
      </c>
      <c r="CF14" s="90" t="str">
        <f>IF($A14="","",IFERROR(SUMPRODUCT(('Raw Data'!$B$2:$B$9999="Variant")*('Raw Data'!$A$2:$A$9999=$A14)*('Raw Data'!$C$2:$C$9999=$C$3)*'Raw Data'!$D$2:$D$9999*'Raw Data'!$AD$2:$AD$9999)/SUMIFS('Raw Data'!$D:$D, 'Raw Data'!$B:$B, "Variant", 'Raw Data'!$A:$A, $A14, 'Raw Data'!$C:$C, $C$3),""))</f>
        <v/>
      </c>
      <c r="CG14" s="86" t="str">
        <f t="shared" si="28"/>
        <v/>
      </c>
      <c r="CH14" s="90" t="str">
        <f>IF($A14="","",IFERROR(SUMPRODUCT(('Raw Data'!$B$2:$B$9999="Control")*('Raw Data'!$A$2:$A$9999=$A14)*('Raw Data'!$C$2:$C$9999=$C$3)*'Raw Data'!$D$2:$D$9999*'Raw Data'!$AE$2:$AE$9999)/SUMIFS('Raw Data'!$D:$D, 'Raw Data'!$B:$B, "Control", 'Raw Data'!$A:$A, $A14, 'Raw Data'!$C:$C, $C$3),""))</f>
        <v/>
      </c>
      <c r="CI14" s="90" t="str">
        <f>IF($A14="","",IFERROR(SUMPRODUCT(('Raw Data'!$B$2:$B$9999="Variant")*('Raw Data'!$A$2:$A$9999=$A14)*('Raw Data'!$C$2:$C$9999=$C$3)*'Raw Data'!$D$2:$D$9999*'Raw Data'!$AE$2:$AE$9999)/SUMIFS('Raw Data'!$D:$D, 'Raw Data'!$B:$B, "Variant", 'Raw Data'!$A:$A, $A14, 'Raw Data'!$C:$C, $C$3),""))</f>
        <v/>
      </c>
      <c r="CJ14" s="86" t="str">
        <f t="shared" si="29"/>
        <v/>
      </c>
      <c r="CK14" s="90" t="str">
        <f>IF($A14="","",IFERROR(SUMPRODUCT(('Raw Data'!$B$2:$B$9999="Control")*('Raw Data'!$A$2:$A$9999=$A14)*('Raw Data'!$C$2:$C$9999=$C$3)*'Raw Data'!$D$2:$D$9999*'Raw Data'!$AF$2:$AF$9999)/SUMIFS('Raw Data'!$D:$D, 'Raw Data'!$B:$B, "Control", 'Raw Data'!$A:$A, $A14, 'Raw Data'!$C:$C, $C$3),""))</f>
        <v/>
      </c>
      <c r="CL14" s="90" t="str">
        <f>IF($A14="","",IFERROR(SUMPRODUCT(('Raw Data'!$B$2:$B$9999="Variant")*('Raw Data'!$A$2:$A$9999=$A14)*('Raw Data'!$C$2:$C$9999=$C$3)*'Raw Data'!$D$2:$D$9999*'Raw Data'!$AF$2:$AF$9999)/SUMIFS('Raw Data'!$D:$D, 'Raw Data'!$B:$B, "Variant", 'Raw Data'!$A:$A, $A14, 'Raw Data'!$C:$C, $C$3),""))</f>
        <v/>
      </c>
      <c r="CM14" s="86" t="str">
        <f t="shared" si="30"/>
        <v/>
      </c>
      <c r="CN14" s="90" t="str">
        <f>IF($A14="","",IFERROR(SUMPRODUCT(('Raw Data'!$B$2:$B$9999="Control")*('Raw Data'!$A$2:$A$9999=$A14)*('Raw Data'!$C$2:$C$9999=$C$3)*'Raw Data'!$D$2:$D$9999*'Raw Data'!$AG$2:$AG$9999)/SUMIFS('Raw Data'!$D:$D, 'Raw Data'!$B:$B, "Control", 'Raw Data'!$A:$A, $A14, 'Raw Data'!$C:$C, $C$3),""))</f>
        <v/>
      </c>
      <c r="CO14" s="90" t="str">
        <f>IF($A14="","",IFERROR(SUMPRODUCT(('Raw Data'!$B$2:$B$9999="Variant")*('Raw Data'!$A$2:$A$9999=$A14)*('Raw Data'!$C$2:$C$9999=$C$3)*'Raw Data'!$D$2:$D$9999*'Raw Data'!$AG$2:$AG$9999)/SUMIFS('Raw Data'!$D:$D, 'Raw Data'!$B:$B, "Variant", 'Raw Data'!$A:$A, $A14, 'Raw Data'!$C:$C, $C$3),""))</f>
        <v/>
      </c>
      <c r="CP14" s="86" t="str">
        <f t="shared" si="31"/>
        <v/>
      </c>
      <c r="CQ14" s="90" t="str">
        <f>IF($A14="","",IFERROR(SUMPRODUCT(('Raw Data'!$B$2:$B$9999="Control")*('Raw Data'!$A$2:$A$9999=$A14)*('Raw Data'!$C$2:$C$9999=$C$3)*'Raw Data'!$D$2:$D$9999*'Raw Data'!$AH$2:$AH$9999)/SUMIFS('Raw Data'!$D:$D, 'Raw Data'!$B:$B, "Control", 'Raw Data'!$A:$A, $A14, 'Raw Data'!$C:$C, $C$3),""))</f>
        <v/>
      </c>
      <c r="CR14" s="90" t="str">
        <f>IF($A14="","",IFERROR(SUMPRODUCT(('Raw Data'!$B$2:$B$9999="Variant")*('Raw Data'!$A$2:$A$9999=$A14)*('Raw Data'!$C$2:$C$9999=$C$3)*'Raw Data'!$D$2:$D$9999*'Raw Data'!$AH$2:$AH$9999)/SUMIFS('Raw Data'!$D:$D, 'Raw Data'!$B:$B, "Variant", 'Raw Data'!$A:$A, $A14, 'Raw Data'!$C:$C, $C$3),""))</f>
        <v/>
      </c>
      <c r="CS14" s="86" t="str">
        <f t="shared" si="32"/>
        <v/>
      </c>
      <c r="CT14" s="79" t="str">
        <f>IF($A14="","",IFERROR(SUMPRODUCT(('Raw Data'!$B$2:$B$9999="Control")*('Raw Data'!$A$2:$A$9999=$A14)*('Raw Data'!$C$2:$C$9999=$C$3)*'Raw Data'!$D$2:$D$9999*'Raw Data'!$AI$2:$AI$9999)/SUMIFS('Raw Data'!$D:$D, 'Raw Data'!$B:$B, "Control", 'Raw Data'!$A:$A, $A14, 'Raw Data'!$C:$C, $C$3),""))</f>
        <v/>
      </c>
      <c r="CU14" s="79" t="str">
        <f>IF($A14="","",IFERROR(SUMPRODUCT(('Raw Data'!$B$2:$B$9999="Variant")*('Raw Data'!$A$2:$A$9999=$A14)*('Raw Data'!$C$2:$C$9999=$C$3)*'Raw Data'!$D$2:$D$9999*'Raw Data'!$AI$2:$AI$9999)/SUMIFS('Raw Data'!$D:$D, 'Raw Data'!$B:$B, "Variant", 'Raw Data'!$A:$A, $A14, 'Raw Data'!$C:$C, $C$3),""))</f>
        <v/>
      </c>
      <c r="CV14" s="93" t="str">
        <f t="shared" si="33"/>
        <v/>
      </c>
      <c r="CW14" s="79" t="str">
        <f>IF($A14="","",IFERROR(SUMPRODUCT(('Raw Data'!$B$2:$B$9999="Control")*('Raw Data'!$A$2:$A$9999=$A14)*('Raw Data'!$C$2:$C$9999=$C$3)*'Raw Data'!$D$2:$D$9999*'Raw Data'!$AJ$2:$AJ$9999)/SUMIFS('Raw Data'!$D:$D, 'Raw Data'!$B:$B, "Control", 'Raw Data'!$A:$A, $A14, 'Raw Data'!$C:$C, $C$3),""))</f>
        <v/>
      </c>
      <c r="CX14" s="79" t="str">
        <f>IF($A14="","",IFERROR(SUMPRODUCT(('Raw Data'!$B$2:$B$9999="Variant")*('Raw Data'!$A$2:$A$9999=$A14)*('Raw Data'!$C$2:$C$9999=$C$3)*'Raw Data'!$D$2:$D$9999*'Raw Data'!$AJ$2:$AJ$9999)/SUMIFS('Raw Data'!$D:$D, 'Raw Data'!$B:$B, "Variant", 'Raw Data'!$A:$A, $A14, 'Raw Data'!$C:$C, $C$3),""))</f>
        <v/>
      </c>
      <c r="CY14" s="93" t="str">
        <f t="shared" si="34"/>
        <v/>
      </c>
      <c r="CZ14" s="79" t="str">
        <f>IF($A14="","",IFERROR(SUMPRODUCT(('Raw Data'!$B$2:$B$9999="Control")*('Raw Data'!$A$2:$A$9999=$A14)*('Raw Data'!$C$2:$C$9999=$C$3)*'Raw Data'!$D$2:$D$9999*'Raw Data'!$AK$2:$AK$9999)/SUMIFS('Raw Data'!$D:$D, 'Raw Data'!$B:$B, "Control", 'Raw Data'!$A:$A, $A14, 'Raw Data'!$C:$C, $C$3),""))</f>
        <v/>
      </c>
      <c r="DA14" s="79" t="str">
        <f>IF($A14="","",IFERROR(SUMPRODUCT(('Raw Data'!$B$2:$B$9999="Variant")*('Raw Data'!$A$2:$A$9999=$A14)*('Raw Data'!$C$2:$C$9999=$C$3)*'Raw Data'!$D$2:$D$9999*'Raw Data'!$AK$2:$AK$9999)/SUMIFS('Raw Data'!$D:$D, 'Raw Data'!$B:$B, "Variant", 'Raw Data'!$A:$A, $A14, 'Raw Data'!$C:$C, $C$3),""))</f>
        <v/>
      </c>
      <c r="DB14" s="86" t="str">
        <f t="shared" si="35"/>
        <v/>
      </c>
      <c r="DC14" s="91" t="str">
        <f>IF($A14="","",IFERROR(SUMPRODUCT(('Raw Data'!$B$2:$B$9999="Control")*('Raw Data'!$A$2:$A$9999=$A14)*('Raw Data'!$C$2:$C$9999=$C$3)*'Raw Data'!$D$2:$D$9999*'Raw Data'!$AL$2:$AL$9999)/SUMIFS('Raw Data'!$D:$D, 'Raw Data'!$B:$B, "Control", 'Raw Data'!$A:$A, $A14, 'Raw Data'!$C:$C, $C$3),""))</f>
        <v/>
      </c>
      <c r="DD14" s="91" t="str">
        <f>IF($A14="","",IFERROR(SUMPRODUCT(('Raw Data'!$B$2:$B$9999="Variant")*('Raw Data'!$A$2:$A$9999=$A14)*('Raw Data'!$C$2:$C$9999=$C$3)*'Raw Data'!$D$2:$D$9999*'Raw Data'!$AL$2:$AL$9999)/SUMIFS('Raw Data'!$D:$D, 'Raw Data'!$B:$B, "Variant", 'Raw Data'!$A:$A, $A14, 'Raw Data'!$C:$C, $C$3),""))</f>
        <v/>
      </c>
      <c r="DE14" s="93" t="str">
        <f t="shared" si="36"/>
        <v/>
      </c>
      <c r="DF14" s="107"/>
      <c r="DG14" s="79" t="str">
        <f>IF($A14="","",IFERROR(SUMPRODUCT(('Raw Data'!$B$2:$B$9999="Variant")*('Raw Data'!$A$2:$A$9999=$A14)*('Raw Data'!$C$2:$C$9999=$C$3)*'Raw Data'!$D$2:$D$9999*'Raw Data'!$AM$2:$AM$9999)/SUMIFS('Raw Data'!$D:$D, 'Raw Data'!$B:$B, "Variant", 'Raw Data'!$A:$A, $A14, 'Raw Data'!$C:$C, $C$3),""))</f>
        <v/>
      </c>
      <c r="DH14" s="108"/>
      <c r="DI14" s="107"/>
      <c r="DJ14" s="79" t="str">
        <f>IF($A14="","",IFERROR(SUMPRODUCT(('Raw Data'!$B$2:$B$9999="Variant")*('Raw Data'!$A$2:$A$9999=$A14)*('Raw Data'!$C$2:$C$9999=$C$3)*'Raw Data'!$D$2:$D$9999*'Raw Data'!$AN$2:$AN$9999)/SUMIFS('Raw Data'!$D:$D, 'Raw Data'!$B:$B, "Variant", 'Raw Data'!$A:$A, $A14, 'Raw Data'!$C:$C, $C$3),""))</f>
        <v/>
      </c>
      <c r="DK14" s="108"/>
      <c r="DL14" s="107"/>
      <c r="DM14" s="79" t="str">
        <f>IF($A14="","",IFERROR(SUMPRODUCT(('Raw Data'!$B$2:$B$9999="Variant")*('Raw Data'!$A$2:$A$9999=$A14)*('Raw Data'!$C$2:$C$9999=$C$3)*'Raw Data'!$D$2:$D$9999*'Raw Data'!$AO$2:$AO$9999)/SUMIFS('Raw Data'!$D:$D, 'Raw Data'!$B:$B, "Variant", 'Raw Data'!$A:$A, $A14, 'Raw Data'!$C:$C, $C$3),""))</f>
        <v/>
      </c>
      <c r="DN14" s="108"/>
      <c r="DO14" s="107"/>
      <c r="DP14" s="79" t="str">
        <f>IF($A14="","",IFERROR(SUMPRODUCT(('Raw Data'!$B$2:$B$9999="Variant")*('Raw Data'!$A$2:$A$9999=$A14)*('Raw Data'!$C$2:$C$9999=$C$3)*'Raw Data'!$D$2:$D$9999*'Raw Data'!$AP$2:$AP$9999)/SUMIFS('Raw Data'!$D:$D, 'Raw Data'!$B:$B, "Variant", 'Raw Data'!$A:$A, $A14, 'Raw Data'!$C:$C, $C$3),""))</f>
        <v/>
      </c>
      <c r="DQ14" s="108"/>
      <c r="DR14" s="91" t="str">
        <f>IF($A14="","",IFERROR(SUMPRODUCT(('Raw Data'!$B$2:$B$9999="Control")*('Raw Data'!$A$2:$A$9999=$A14)*('Raw Data'!$C$2:$C$9999=$C$3)*'Raw Data'!$D$2:$D$9999*'Raw Data'!$AQ$2:$AQ$9999)/SUMIFS('Raw Data'!$D:$D, 'Raw Data'!$B:$B, "Control", 'Raw Data'!$A:$A, $A14, 'Raw Data'!$C:$C, $C$3),""))</f>
        <v/>
      </c>
      <c r="DS14" s="91" t="str">
        <f>IF($A14="","",IFERROR(SUMPRODUCT(('Raw Data'!$B$2:$B$9999="Variant")*('Raw Data'!$A$2:$A$9999=$A14)*('Raw Data'!$C$2:$C$9999=$C$3)*'Raw Data'!$D$2:$D$9999*'Raw Data'!$AQ$2:$AQ$9999)/SUMIFS('Raw Data'!$D:$D, 'Raw Data'!$B:$B, "Variant", 'Raw Data'!$A:$A, $A14, 'Raw Data'!$C:$C, $C$3),""))</f>
        <v/>
      </c>
      <c r="DT14" s="110" t="str">
        <f t="shared" si="37"/>
        <v/>
      </c>
      <c r="DU14" s="91" t="str">
        <f>IF($A14="","",IFERROR(SUMPRODUCT(('Raw Data'!$B$2:$B$9999="Control")*('Raw Data'!$A$2:$A$9999=$A14)*('Raw Data'!$C$2:$C$9999=$C$3)*'Raw Data'!$D$2:$D$9999*'Raw Data'!$AR$2:$AR$9999)/SUMIFS('Raw Data'!$D:$D, 'Raw Data'!$B:$B, "Control", 'Raw Data'!$A:$A, $A14, 'Raw Data'!$C:$C, $C$3),""))</f>
        <v/>
      </c>
      <c r="DV14" s="91" t="str">
        <f>IF($A14="","",IFERROR(SUMPRODUCT(('Raw Data'!$B$2:$B$9999="Variant")*('Raw Data'!$A$2:$A$9999=$A14)*('Raw Data'!$C$2:$C$9999=$C$3)*'Raw Data'!$D$2:$D$9999*'Raw Data'!$AR$2:$AR$9999)/SUMIFS('Raw Data'!$D:$D, 'Raw Data'!$B:$B, "Variant", 'Raw Data'!$A:$A, $A14, 'Raw Data'!$C:$C, $C$3),""))</f>
        <v/>
      </c>
      <c r="DW14" s="110" t="str">
        <f t="shared" si="38"/>
        <v/>
      </c>
      <c r="DX14" s="91" t="str">
        <f>IF($A14="","",IFERROR(SUMPRODUCT(('Raw Data'!$B$2:$B$9999="Control")*('Raw Data'!$A$2:$A$9999=$A14)*('Raw Data'!$C$2:$C$9999=$C$3)*'Raw Data'!$D$2:$D$9999*'Raw Data'!$AS$2:$AS$9999)/SUMIFS('Raw Data'!$D:$D, 'Raw Data'!$B:$B, "Control", 'Raw Data'!$A:$A, $A14, 'Raw Data'!$C:$C, $C$3),""))</f>
        <v/>
      </c>
      <c r="DY14" s="91" t="str">
        <f>IF($A14="","",IFERROR(SUMPRODUCT(('Raw Data'!$B$2:$B$9999="Variant")*('Raw Data'!$A$2:$A$9999=$A14)*('Raw Data'!$C$2:$C$9999=$C$3)*'Raw Data'!$D$2:$D$9999*'Raw Data'!$AS$2:$AS$9999)/SUMIFS('Raw Data'!$D:$D, 'Raw Data'!$B:$B, "Variant", 'Raw Data'!$A:$A, $A14, 'Raw Data'!$C:$C, $C$3),""))</f>
        <v/>
      </c>
      <c r="DZ14" s="111" t="str">
        <f t="shared" si="39"/>
        <v/>
      </c>
      <c r="EA14" s="91" t="str">
        <f>IF($A14="","",IFERROR(SUMPRODUCT(('Raw Data'!$B$2:$B$9999="Control")*('Raw Data'!$A$2:$A$9999=$A14)*('Raw Data'!$C$2:$C$9999=$C$3)*'Raw Data'!$D$2:$D$9999*'Raw Data'!$AT$2:$AT$9999)/SUMIFS('Raw Data'!$D:$D, 'Raw Data'!$B:$B, "Control", 'Raw Data'!$A:$A, $A14, 'Raw Data'!$C:$C, $C$3),""))</f>
        <v/>
      </c>
      <c r="EB14" s="91" t="str">
        <f>IF($A14="","",IFERROR(SUMPRODUCT(('Raw Data'!$B$2:$B$9999="Variant")*('Raw Data'!$A$2:$A$9999=$A14)*('Raw Data'!$C$2:$C$9999=$C$3)*'Raw Data'!$D$2:$D$9999*'Raw Data'!$AT$2:$AT$9999)/SUMIFS('Raw Data'!$D:$D, 'Raw Data'!$B:$B, "Variant", 'Raw Data'!$A:$A, $A14, 'Raw Data'!$C:$C, $C$3),""))</f>
        <v/>
      </c>
      <c r="EC14" s="110" t="str">
        <f t="shared" si="40"/>
        <v/>
      </c>
      <c r="ED14" s="91" t="str">
        <f>IF($A14="","",IFERROR(SUMPRODUCT(('Raw Data'!$B$2:$B$9999="Control")*('Raw Data'!$A$2:$A$9999=$A14)*('Raw Data'!$C$2:$C$9999=$C$3)*'Raw Data'!$D$2:$D$9999*('Raw Data'!$AQ$2:$AQ$9999-'Raw Data'!$AT$2:$AT$9999))/SUMIFS('Raw Data'!$D:$D, 'Raw Data'!$B:$B, "Control", 'Raw Data'!$A:$A, $A14, 'Raw Data'!$C:$C, $C$3),""))</f>
        <v/>
      </c>
      <c r="EE14" s="91" t="str">
        <f>IF($A14="","",IFERROR(SUMPRODUCT(('Raw Data'!$B$2:$B$9999="Variant")*('Raw Data'!$A$2:$A$9999=$A14)*('Raw Data'!$C$2:$C$9999=$C$3)*'Raw Data'!$D$2:$D$9999*('Raw Data'!$AQ$2:$AQ$9999-'Raw Data'!$AT$2:$AT$9999))/SUMIFS('Raw Data'!$D:$D, 'Raw Data'!$B:$B, "Variant", 'Raw Data'!$A:$A, $A14, 'Raw Data'!$C:$C, $C$3),""))</f>
        <v/>
      </c>
      <c r="EF14" s="111" t="str">
        <f t="shared" si="41"/>
        <v/>
      </c>
      <c r="EG14" s="91" t="str">
        <f>IF($A14="","",IFERROR(SUMPRODUCT(('Raw Data'!$B$2:$B$9999="Control")*('Raw Data'!$A$2:$A$9999=$A14)*('Raw Data'!$C$2:$C$9999=$C$3)*'Raw Data'!$D$2:$D$9999*'Raw Data'!$AU$2:$AU$9999)/SUMIFS('Raw Data'!$D:$D, 'Raw Data'!$B:$B, "Control", 'Raw Data'!$A:$A, $A14, 'Raw Data'!$C:$C, $C$3),""))</f>
        <v/>
      </c>
      <c r="EH14" s="91" t="str">
        <f>IF($A14="","",IFERROR(SUMPRODUCT(('Raw Data'!$B$2:$B$9999="Variant")*('Raw Data'!$A$2:$A$9999=$A14)*('Raw Data'!$C$2:$C$9999=$C$3)*'Raw Data'!$D$2:$D$9999*'Raw Data'!$AU$2:$AU$9999)/SUMIFS('Raw Data'!$D:$D, 'Raw Data'!$B:$B, "Variant", 'Raw Data'!$A:$A, $A14, 'Raw Data'!$C:$C, $C$3),""))</f>
        <v/>
      </c>
      <c r="EI14" s="110" t="str">
        <f t="shared" si="42"/>
        <v/>
      </c>
    </row>
    <row r="15" ht="15.75" customHeight="1">
      <c r="A15" s="74">
        <v>46238.0</v>
      </c>
      <c r="B15" s="76">
        <f>IF($A15="","",SUMIFS('Raw Data'!$D:$D, 'Raw Data'!$B:$B, "Control", 'Raw Data'!$A:$A, $A15, 'Raw Data'!$C:$C, $C$3))</f>
        <v>0</v>
      </c>
      <c r="C15" s="76">
        <f>IF($A15="","",SUMIFS('Raw Data'!$D:$D, 'Raw Data'!$B:$B, "Variant", 'Raw Data'!$A:$A, $A15, 'Raw Data'!$C:$C, $C$3))</f>
        <v>0</v>
      </c>
      <c r="D15" s="77" t="str">
        <f t="shared" si="1"/>
        <v/>
      </c>
      <c r="E15" s="79" t="str">
        <f>IF($A15="","",IFERROR(SUMPRODUCT(('Raw Data'!$B$2:$B$9999="Control")*('Raw Data'!$A$2:$A$9999=$A15)*('Raw Data'!$C$2:$C$9999=$C$3)*'Raw Data'!$D$2:$D$9999*'Raw Data'!$E$2:$E$9999)/SUMIFS('Raw Data'!$D:$D, 'Raw Data'!$B:$B, "Control", 'Raw Data'!$A:$A, $A15, 'Raw Data'!$C:$C, $C$3),""))</f>
        <v/>
      </c>
      <c r="F15" s="79" t="str">
        <f>IF($A15="","",IFERROR(SUMPRODUCT(('Raw Data'!$B$2:$B$9999="Variant")*('Raw Data'!$A$2:$A$9999=$A15)*('Raw Data'!$C$2:$C$9999=$C$3)*'Raw Data'!$D$2:$D$9999*'Raw Data'!$E$2:$E$9999)/SUMIFS('Raw Data'!$D:$D, 'Raw Data'!$B:$B, "Variant", 'Raw Data'!$A:$A, $A15, 'Raw Data'!$C:$C, $C$3),""))</f>
        <v/>
      </c>
      <c r="G15" s="77" t="str">
        <f t="shared" si="2"/>
        <v/>
      </c>
      <c r="H15" s="85">
        <f>IF($A15="","",SUMIFS('Raw Data'!$F:$F, 'Raw Data'!$B:$B, "Control", 'Raw Data'!$A:$A, $A15, 'Raw Data'!$C:$C, $C$3))</f>
        <v>0</v>
      </c>
      <c r="I15" s="85">
        <f>IF($A15="","",SUMIFS('Raw Data'!$F:$F, 'Raw Data'!$B:$B, "Variant", 'Raw Data'!$A:$A, $A15, 'Raw Data'!$C:$C, $C$3))</f>
        <v>0</v>
      </c>
      <c r="J15" s="86" t="str">
        <f t="shared" si="3"/>
        <v/>
      </c>
      <c r="K15" s="88" t="str">
        <f>IF($A15="","",IFERROR(SUMIFS('Raw Data'!$F:$F, 'Raw Data'!$B:$B, "Control", 'Raw Data'!$A:$A, $A15, 'Raw Data'!$C:$C, $C$3)/SUMIFS('Raw Data'!$D:$D, 'Raw Data'!$B:$B, "Control", 'Raw Data'!$A:$A, $A15, 'Raw Data'!$C:$C, $C$3),""))</f>
        <v/>
      </c>
      <c r="L15" s="88" t="str">
        <f>IF($A15="","",IFERROR(SUMIFS('Raw Data'!$F:$F, 'Raw Data'!$B:$B, "Variant", 'Raw Data'!$A:$A, $A15, 'Raw Data'!$C:$C, $C$3)/SUMIFS('Raw Data'!$D:$D, 'Raw Data'!$B:$B, "Variant", 'Raw Data'!$A:$A, $A15, 'Raw Data'!$C:$C, $C$3),""))</f>
        <v/>
      </c>
      <c r="M15" s="86" t="str">
        <f t="shared" si="4"/>
        <v/>
      </c>
      <c r="N15" s="79" t="str">
        <f>IF($A15="","",IFERROR(SUMPRODUCT(('Raw Data'!$B$2:$B$9999="Control")*('Raw Data'!$A$2:$A$9999=$A15)*('Raw Data'!$C$2:$C$9999=$C$3)*'Raw Data'!$D$2:$D$9999*'Raw Data'!$H$2:$H$9999/100)/SUMIFS('Raw Data'!$D:$D, 'Raw Data'!$B:$B, "Control", 'Raw Data'!$A:$A, $A15, 'Raw Data'!$C:$C, $C$3)*100,""))</f>
        <v/>
      </c>
      <c r="O15" s="79" t="str">
        <f>IF($A15="","",IFERROR(SUMPRODUCT(('Raw Data'!$B$2:$B$9999="Variant")*('Raw Data'!$A$2:$A$9999=$A15)*('Raw Data'!$C$2:$C$9999=$C$3)*'Raw Data'!$D$2:$D$9999*'Raw Data'!$H$2:$H$9999/100)/SUMIFS('Raw Data'!$D:$D, 'Raw Data'!$B:$B, "Variant", 'Raw Data'!$A:$A, $A15, 'Raw Data'!$C:$C, $C$3)*100,""))</f>
        <v/>
      </c>
      <c r="P15" s="86" t="str">
        <f t="shared" si="5"/>
        <v/>
      </c>
      <c r="Q15" s="88" t="str">
        <f>IF($A15="","",IFERROR(SUMIFS('Raw Data'!$F:$F, 'Raw Data'!$B:$B, "Control", 'Raw Data'!$A:$A, $A15, 'Raw Data'!$C:$C, $C$3)/SUMPRODUCT(('Raw Data'!$B$2:$B$9999="Control")*('Raw Data'!$A$2:$A$9999=$A15)*('Raw Data'!$C$2:$C$9999=$C$3)*'Raw Data'!$D$2:$D$9999*'Raw Data'!$H$2:$H$9999/100),""))</f>
        <v/>
      </c>
      <c r="R15" s="88" t="str">
        <f>IF($A15="","",IFERROR(SUMIFS('Raw Data'!$F:$F, 'Raw Data'!$B:$B, "Variant", 'Raw Data'!$A:$A, $A15, 'Raw Data'!$C:$C, $C$3)/SUMPRODUCT(('Raw Data'!$B$2:$B$9999="Variant")*('Raw Data'!$A$2:$A$9999=$A15)*('Raw Data'!$C$2:$C$9999=$C$3)*'Raw Data'!$D$2:$D$9999*'Raw Data'!$H$2:$H$9999/100),""))</f>
        <v/>
      </c>
      <c r="S15" s="86" t="str">
        <f t="shared" si="6"/>
        <v/>
      </c>
      <c r="T15" s="90" t="str">
        <f>IF($A15="","",IFERROR(SUMPRODUCT(('Raw Data'!$B$2:$B$9999="Control")*('Raw Data'!$A$2:$A$9999=$A15)*('Raw Data'!$C$2:$C$9999=$C$3)*'Raw Data'!$D$2:$D$9999*'Raw Data'!$J$2:$J$9999)/SUMIFS('Raw Data'!$D:$D, 'Raw Data'!$B:$B, "Control", 'Raw Data'!$A:$A, $A15, 'Raw Data'!$C:$C, $C$3),""))</f>
        <v/>
      </c>
      <c r="U15" s="90" t="str">
        <f>IF($A15="","",IFERROR(SUMPRODUCT(('Raw Data'!$B$2:$B$9999="Variant")*('Raw Data'!$A$2:$A$9999=$A15)*('Raw Data'!$C$2:$C$9999=$C$3)*'Raw Data'!$D$2:$D$9999*'Raw Data'!$J$2:$J$9999)/SUMIFS('Raw Data'!$D:$D, 'Raw Data'!$B:$B, "Variant", 'Raw Data'!$A:$A, $A15, 'Raw Data'!$C:$C, $C$3),""))</f>
        <v/>
      </c>
      <c r="V15" s="86" t="str">
        <f t="shared" si="7"/>
        <v/>
      </c>
      <c r="W15" s="90" t="str">
        <f>IF($A15="","",IFERROR(SUMPRODUCT(('Raw Data'!$B$2:$B$9999="Control")*('Raw Data'!$A$2:$A$9999=$A15)*('Raw Data'!$C$2:$C$9999=$C$3)*'Raw Data'!$D$2:$D$9999*'Raw Data'!$K$2:$K$9999)/SUMIFS('Raw Data'!$D:$D, 'Raw Data'!$B:$B, "Control", 'Raw Data'!$A:$A, $A15, 'Raw Data'!$C:$C, $C$3),""))</f>
        <v/>
      </c>
      <c r="X15" s="90" t="str">
        <f>IF($A15="","",IFERROR(SUMPRODUCT(('Raw Data'!$B$2:$B$9999="Variant")*('Raw Data'!$A$2:$A$9999=$A15)*('Raw Data'!$C$2:$C$9999=$C$3)*'Raw Data'!$D$2:$D$9999*'Raw Data'!$K$2:$K$9999)/SUMIFS('Raw Data'!$D:$D, 'Raw Data'!$B:$B, "Variant", 'Raw Data'!$A:$A, $A15, 'Raw Data'!$C:$C, $C$3),""))</f>
        <v/>
      </c>
      <c r="Y15" s="86" t="str">
        <f t="shared" si="8"/>
        <v/>
      </c>
      <c r="Z15" s="90" t="str">
        <f>IF($A15="","",IFERROR(SUMPRODUCT(('Raw Data'!$B$2:$B$9999="Control")*('Raw Data'!$A$2:$A$9999=$A15)*('Raw Data'!$C$2:$C$9999=$C$3)*'Raw Data'!$D$2:$D$9999*'Raw Data'!$L$2:$L$9999)/SUMIFS('Raw Data'!$D:$D, 'Raw Data'!$B:$B, "Control", 'Raw Data'!$A:$A, $A15, 'Raw Data'!$C:$C, $C$3),""))</f>
        <v/>
      </c>
      <c r="AA15" s="90" t="str">
        <f>IF($A15="","",IFERROR(SUMPRODUCT(('Raw Data'!$B$2:$B$9999="Variant")*('Raw Data'!$A$2:$A$9999=$A15)*('Raw Data'!$C$2:$C$9999=$C$3)*'Raw Data'!$D$2:$D$9999*'Raw Data'!$L$2:$L$9999)/SUMIFS('Raw Data'!$D:$D, 'Raw Data'!$B:$B, "Variant", 'Raw Data'!$A:$A, $A15, 'Raw Data'!$C:$C, $C$3),""))</f>
        <v/>
      </c>
      <c r="AB15" s="86" t="str">
        <f t="shared" si="9"/>
        <v/>
      </c>
      <c r="AC15" s="91" t="str">
        <f>IF($A15="","",IFERROR(SUMPRODUCT(('Raw Data'!$B$2:$B$9999="Control")*('Raw Data'!$A$2:$A$9999=$A15)*('Raw Data'!$C$2:$C$9999=$C$3)*'Raw Data'!$D$2:$D$9999*'Raw Data'!$M$2:$M$9999)/SUMIFS('Raw Data'!$D:$D, 'Raw Data'!$B:$B, "Control", 'Raw Data'!$A:$A, $A15, 'Raw Data'!$C:$C, $C$3),""))</f>
        <v/>
      </c>
      <c r="AD15" s="91" t="str">
        <f>IF($A15="","",IFERROR(SUMPRODUCT(('Raw Data'!$B$2:$B$9999="Variant")*('Raw Data'!$A$2:$A$9999=$A15)*('Raw Data'!$C$2:$C$9999=$C$3)*'Raw Data'!$D$2:$D$9999*'Raw Data'!$M$2:$M$9999)/SUMIFS('Raw Data'!$D:$D, 'Raw Data'!$B:$B, "Variant", 'Raw Data'!$A:$A, $A15, 'Raw Data'!$C:$C, $C$3),""))</f>
        <v/>
      </c>
      <c r="AE15" s="93" t="str">
        <f t="shared" si="10"/>
        <v/>
      </c>
      <c r="AF15" s="91" t="str">
        <f>IF($A15="","",IFERROR(SUMPRODUCT(('Raw Data'!$B$2:$B$9999="Control")*('Raw Data'!$A$2:$A$9999=$A15)*('Raw Data'!$C$2:$C$9999=$C$3)*'Raw Data'!$D$2:$D$9999*'Raw Data'!$N$2:$N$9999)/SUMIFS('Raw Data'!$D:$D, 'Raw Data'!$B:$B, "Control", 'Raw Data'!$A:$A, $A15, 'Raw Data'!$C:$C, $C$3),""))</f>
        <v/>
      </c>
      <c r="AG15" s="91" t="str">
        <f>IF($A15="","",IFERROR(SUMPRODUCT(('Raw Data'!$B$2:$B$9999="Variant")*('Raw Data'!$A$2:$A$9999=$A15)*('Raw Data'!$C$2:$C$9999=$C$3)*'Raw Data'!$D$2:$D$9999*'Raw Data'!$N$2:$N$9999)/SUMIFS('Raw Data'!$D:$D, 'Raw Data'!$B:$B, "Variant", 'Raw Data'!$A:$A, $A15, 'Raw Data'!$C:$C, $C$3),""))</f>
        <v/>
      </c>
      <c r="AH15" s="93" t="str">
        <f t="shared" si="11"/>
        <v/>
      </c>
      <c r="AI15" s="91" t="str">
        <f>IF($A15="","",IFERROR(SUMPRODUCT(('Raw Data'!$B$2:$B$9999="Control")*('Raw Data'!$A$2:$A$9999=$A15)*('Raw Data'!$C$2:$C$9999=$C$3)*'Raw Data'!$D$2:$D$9999*'Raw Data'!$O$2:$O$9999)/SUMIFS('Raw Data'!$D:$D, 'Raw Data'!$B:$B, "Control", 'Raw Data'!$A:$A, $A15, 'Raw Data'!$C:$C, $C$3),""))</f>
        <v/>
      </c>
      <c r="AJ15" s="91" t="str">
        <f>IF($A15="","",IFERROR(SUMPRODUCT(('Raw Data'!$B$2:$B$9999="Variant")*('Raw Data'!$A$2:$A$9999=$A15)*('Raw Data'!$C$2:$C$9999=$C$3)*'Raw Data'!$D$2:$D$9999*'Raw Data'!$O$2:$O$9999)/SUMIFS('Raw Data'!$D:$D, 'Raw Data'!$B:$B, "Variant", 'Raw Data'!$A:$A, $A15, 'Raw Data'!$C:$C, $C$3),""))</f>
        <v/>
      </c>
      <c r="AK15" s="86" t="str">
        <f t="shared" si="12"/>
        <v/>
      </c>
      <c r="AL15" s="90" t="str">
        <f>IF($A15="","",IFERROR(SUMPRODUCT(('Raw Data'!$B$2:$B$9999="Control")*('Raw Data'!$A$2:$A$9999=$A15)*('Raw Data'!$C$2:$C$9999=$C$3)*'Raw Data'!$D$2:$D$9999*'Raw Data'!$P$2:$P$9999)/SUMIFS('Raw Data'!$D:$D, 'Raw Data'!$B:$B, "Control", 'Raw Data'!$A:$A, $A15, 'Raw Data'!$C:$C, $C$3),""))</f>
        <v/>
      </c>
      <c r="AM15" s="90" t="str">
        <f>IF($A15="","",IFERROR(SUMPRODUCT(('Raw Data'!$B$2:$B$9999="Variant")*('Raw Data'!$A$2:$A$9999=$A15)*('Raw Data'!$C$2:$C$9999=$C$3)*'Raw Data'!$D$2:$D$9999*'Raw Data'!$P$2:$P$9999)/SUMIFS('Raw Data'!$D:$D, 'Raw Data'!$B:$B, "Variant", 'Raw Data'!$A:$A, $A15, 'Raw Data'!$C:$C, $C$3),""))</f>
        <v/>
      </c>
      <c r="AN15" s="86" t="str">
        <f t="shared" si="13"/>
        <v/>
      </c>
      <c r="AO15" s="90" t="str">
        <f>IF($A15="","",IFERROR(SUMPRODUCT(('Raw Data'!$B$2:$B$9999="Control")*('Raw Data'!$A$2:$A$9999=$A15)*('Raw Data'!$C$2:$C$9999=$C$3)*'Raw Data'!$D$2:$D$9999*'Raw Data'!$Q$2:$Q$9999)/SUMIFS('Raw Data'!$D:$D, 'Raw Data'!$B:$B, "Control", 'Raw Data'!$A:$A, $A15, 'Raw Data'!$C:$C, $C$3),""))</f>
        <v/>
      </c>
      <c r="AP15" s="90" t="str">
        <f>IF($A15="","",IFERROR(SUMPRODUCT(('Raw Data'!$B$2:$B$9999="Variant")*('Raw Data'!$A$2:$A$9999=$A15)*('Raw Data'!$C$2:$C$9999=$C$3)*'Raw Data'!$D$2:$D$9999*'Raw Data'!$Q$2:$Q$9999)/SUMIFS('Raw Data'!$D:$D, 'Raw Data'!$B:$B, "Variant", 'Raw Data'!$A:$A, $A15, 'Raw Data'!$C:$C, $C$3),""))</f>
        <v/>
      </c>
      <c r="AQ15" s="77" t="str">
        <f t="shared" si="14"/>
        <v/>
      </c>
      <c r="AR15" s="90" t="str">
        <f>IF($A15="","",IFERROR(SUMPRODUCT(('Raw Data'!$B$2:$B$9999="Control")*('Raw Data'!$A$2:$A$9999=$A15)*('Raw Data'!$C$2:$C$9999=$C$3)*'Raw Data'!$D$2:$D$9999*'Raw Data'!$R$2:$R$9999)/SUMIFS('Raw Data'!$D:$D, 'Raw Data'!$B:$B, "Control", 'Raw Data'!$A:$A, $A15, 'Raw Data'!$C:$C, $C$3),""))</f>
        <v/>
      </c>
      <c r="AS15" s="90" t="str">
        <f>IF($A15="","",IFERROR(SUMPRODUCT(('Raw Data'!$B$2:$B$9999="Variant")*('Raw Data'!$A$2:$A$9999=$A15)*('Raw Data'!$C$2:$C$9999=$C$3)*'Raw Data'!$D$2:$D$9999*'Raw Data'!$R$2:$R$9999)/SUMIFS('Raw Data'!$D:$D, 'Raw Data'!$B:$B, "Variant", 'Raw Data'!$A:$A, $A15, 'Raw Data'!$C:$C, $C$3),""))</f>
        <v/>
      </c>
      <c r="AT15" s="77" t="str">
        <f t="shared" si="15"/>
        <v/>
      </c>
      <c r="AU15" s="90" t="str">
        <f>IF($A15="","",IFERROR(SUMPRODUCT(('Raw Data'!$B$2:$B$9999="Control")*('Raw Data'!$A$2:$A$9999=$A15)*('Raw Data'!$C$2:$C$9999=$C$3)*'Raw Data'!$D$2:$D$9999*'Raw Data'!$S$2:$S$9999)/SUMIFS('Raw Data'!$D:$D, 'Raw Data'!$B:$B, "Control", 'Raw Data'!$A:$A, $A15, 'Raw Data'!$C:$C, $C$3),""))</f>
        <v/>
      </c>
      <c r="AV15" s="90" t="str">
        <f>IF($A15="","",IFERROR(SUMPRODUCT(('Raw Data'!$B$2:$B$9999="Variant")*('Raw Data'!$A$2:$A$9999=$A15)*('Raw Data'!$C$2:$C$9999=$C$3)*'Raw Data'!$D$2:$D$9999*'Raw Data'!$S$2:$S$9999)/SUMIFS('Raw Data'!$D:$D, 'Raw Data'!$B:$B, "Variant", 'Raw Data'!$A:$A, $A15, 'Raw Data'!$C:$C, $C$3),""))</f>
        <v/>
      </c>
      <c r="AW15" s="77" t="str">
        <f t="shared" si="16"/>
        <v/>
      </c>
      <c r="AX15" s="90" t="str">
        <f>IF($A15="","",IFERROR(SUMPRODUCT(('Raw Data'!$B$2:$B$9999="Control")*('Raw Data'!$A$2:$A$9999=$A15)*('Raw Data'!$C$2:$C$9999=$C$3)*'Raw Data'!$D$2:$D$9999*'Raw Data'!$T$2:$T$9999)/SUMIFS('Raw Data'!$D:$D, 'Raw Data'!$B:$B, "Control", 'Raw Data'!$A:$A, $A15, 'Raw Data'!$C:$C, $C$3),""))</f>
        <v/>
      </c>
      <c r="AY15" s="90" t="str">
        <f>IF($A15="","",IFERROR(SUMPRODUCT(('Raw Data'!$B$2:$B$9999="Variant")*('Raw Data'!$A$2:$A$9999=$A15)*('Raw Data'!$C$2:$C$9999=$C$3)*'Raw Data'!$D$2:$D$9999*'Raw Data'!$T$2:$T$9999)/SUMIFS('Raw Data'!$D:$D, 'Raw Data'!$B:$B, "Variant", 'Raw Data'!$A:$A, $A15, 'Raw Data'!$C:$C, $C$3),""))</f>
        <v/>
      </c>
      <c r="AZ15" s="86" t="str">
        <f t="shared" si="17"/>
        <v/>
      </c>
      <c r="BA15" s="90" t="str">
        <f>IF($A15="","",IFERROR(SUMPRODUCT(('Raw Data'!$B$2:$B$9999="Control")*('Raw Data'!$A$2:$A$9999=$A15)*('Raw Data'!$C$2:$C$9999=$C$3)*'Raw Data'!$D$2:$D$9999*'Raw Data'!$U$2:$U$9999)/SUMIFS('Raw Data'!$D:$D, 'Raw Data'!$B:$B, "Control", 'Raw Data'!$A:$A, $A15, 'Raw Data'!$C:$C, $C$3),""))</f>
        <v/>
      </c>
      <c r="BB15" s="90" t="str">
        <f>IF($A15="","",IFERROR(SUMPRODUCT(('Raw Data'!$B$2:$B$9999="Variant")*('Raw Data'!$A$2:$A$9999=$A15)*('Raw Data'!$C$2:$C$9999=$C$3)*'Raw Data'!$D$2:$D$9999*'Raw Data'!$U$2:$U$9999)/SUMIFS('Raw Data'!$D:$D, 'Raw Data'!$B:$B, "Variant", 'Raw Data'!$A:$A, $A15, 'Raw Data'!$C:$C, $C$3),""))</f>
        <v/>
      </c>
      <c r="BC15" s="77" t="str">
        <f t="shared" si="18"/>
        <v/>
      </c>
      <c r="BD15" s="90" t="str">
        <f>IF($A15="","",IFERROR(SUMPRODUCT(('Raw Data'!$B$2:$B$9999="Control")*('Raw Data'!$A$2:$A$9999=$A15)*('Raw Data'!$C$2:$C$9999=$C$3)*'Raw Data'!$D$2:$D$9999*'Raw Data'!$V$2:$V$9999)/SUMIFS('Raw Data'!$D:$D, 'Raw Data'!$B:$B, "Control", 'Raw Data'!$A:$A, $A15, 'Raw Data'!$C:$C, $C$3),""))</f>
        <v/>
      </c>
      <c r="BE15" s="90" t="str">
        <f>IF($A15="","",IFERROR(SUMPRODUCT(('Raw Data'!$B$2:$B$9999="Variant")*('Raw Data'!$A$2:$A$9999=$A15)*('Raw Data'!$C$2:$C$9999=$C$3)*'Raw Data'!$D$2:$D$9999*'Raw Data'!$V$2:$V$9999)/SUMIFS('Raw Data'!$D:$D, 'Raw Data'!$B:$B, "Variant", 'Raw Data'!$A:$A, $A15, 'Raw Data'!$C:$C, $C$3),""))</f>
        <v/>
      </c>
      <c r="BF15" s="77" t="str">
        <f t="shared" si="19"/>
        <v/>
      </c>
      <c r="BG15" s="90" t="str">
        <f>IF($A15="","",IFERROR(SUMPRODUCT(('Raw Data'!$B$2:$B$9999="Control")*('Raw Data'!$A$2:$A$9999=$A15)*('Raw Data'!$C$2:$C$9999=$C$3)*'Raw Data'!$D$2:$D$9999*('Raw Data'!$Q$2:$Q$9999-'Raw Data'!$V$2:$V$9999))/SUMIFS('Raw Data'!$D:$D, 'Raw Data'!$B:$B, "Control", 'Raw Data'!$A:$A, $A15, 'Raw Data'!$C:$C, $C$3),""))</f>
        <v/>
      </c>
      <c r="BH15" s="90" t="str">
        <f>IF($A15="","",IFERROR(SUMPRODUCT(('Raw Data'!$B$2:$B$9999="Variant")*('Raw Data'!$A$2:$A$9999=$A15)*('Raw Data'!$C$2:$C$9999=$C$3)*'Raw Data'!$D$2:$D$9999*('Raw Data'!$Q$2:$Q$9999-'Raw Data'!$V$2:$V$9999))/SUMIFS('Raw Data'!$D:$D, 'Raw Data'!$B:$B, "Variant", 'Raw Data'!$A:$A, $A15, 'Raw Data'!$C:$C, $C$3),""))</f>
        <v/>
      </c>
      <c r="BI15" s="77" t="str">
        <f t="shared" si="20"/>
        <v/>
      </c>
      <c r="BJ15" s="90" t="str">
        <f>IF($A15="","",IFERROR(SUMPRODUCT(('Raw Data'!$B$2:$B$9999="Control")*('Raw Data'!$A$2:$A$9999=$A15)*('Raw Data'!$C$2:$C$9999=$C$3)*'Raw Data'!$D$2:$D$9999*'Raw Data'!$W$2:$W$9999)/SUMIFS('Raw Data'!$D:$D, 'Raw Data'!$B:$B, "Control", 'Raw Data'!$A:$A, $A15, 'Raw Data'!$C:$C, $C$3),""))</f>
        <v/>
      </c>
      <c r="BK15" s="90" t="str">
        <f>IF($A15="","",IFERROR(SUMPRODUCT(('Raw Data'!$B$2:$B$9999="Variant")*('Raw Data'!$A$2:$A$9999=$A15)*('Raw Data'!$C$2:$C$9999=$C$3)*'Raw Data'!$D$2:$D$9999*'Raw Data'!$W$2:$W$9999)/SUMIFS('Raw Data'!$D:$D, 'Raw Data'!$B:$B, "Variant", 'Raw Data'!$A:$A, $A15, 'Raw Data'!$C:$C, $C$3),""))</f>
        <v/>
      </c>
      <c r="BL15" s="77" t="str">
        <f t="shared" si="21"/>
        <v/>
      </c>
      <c r="BM15" s="91" t="str">
        <f>IF($A15="","",IFERROR(SUMPRODUCT(('Raw Data'!$B$2:$B$9999="Control")*('Raw Data'!$A$2:$A$9999=$A15)*('Raw Data'!$C$2:$C$9999=$C$3)*'Raw Data'!$D$2:$D$9999*'Raw Data'!$X$2:$X$9999)/SUMIFS('Raw Data'!$D:$D, 'Raw Data'!$B:$B, "Control", 'Raw Data'!$A:$A, $A15, 'Raw Data'!$C:$C, $C$3),""))</f>
        <v/>
      </c>
      <c r="BN15" s="91" t="str">
        <f>IF($A15="","",IFERROR(SUMPRODUCT(('Raw Data'!$B$2:$B$9999="Variant")*('Raw Data'!$A$2:$A$9999=$A15)*('Raw Data'!$C$2:$C$9999=$C$3)*'Raw Data'!$D$2:$D$9999*'Raw Data'!$X$2:$X$9999)/SUMIFS('Raw Data'!$D:$D, 'Raw Data'!$B:$B, "Variant", 'Raw Data'!$A:$A, $A15, 'Raw Data'!$C:$C, $C$3),""))</f>
        <v/>
      </c>
      <c r="BO15" s="86" t="str">
        <f t="shared" si="22"/>
        <v/>
      </c>
      <c r="BP15" s="76" t="str">
        <f>IF($A15="","",IFERROR(SUMPRODUCT(('Raw Data'!$B$2:$B$9999="Control")*('Raw Data'!$A$2:$A$9999=$A15)*('Raw Data'!$C$2:$C$9999=$C$3)*'Raw Data'!$D$2:$D$9999*'Raw Data'!$Y$2:$Y$9999)/SUMIFS('Raw Data'!$D:$D, 'Raw Data'!$B:$B, "Control", 'Raw Data'!$A:$A, $A15, 'Raw Data'!$C:$C, $C$3),""))</f>
        <v/>
      </c>
      <c r="BQ15" s="76" t="str">
        <f>IF($A15="","",IFERROR(SUMPRODUCT(('Raw Data'!$B$2:$B$9999="Variant")*('Raw Data'!$A$2:$A$9999=$A15)*('Raw Data'!$C$2:$C$9999=$C$3)*'Raw Data'!$D$2:$D$9999*'Raw Data'!$Y$2:$Y$9999)/SUMIFS('Raw Data'!$D:$D, 'Raw Data'!$B:$B, "Variant", 'Raw Data'!$A:$A, $A15, 'Raw Data'!$C:$C, $C$3),""))</f>
        <v/>
      </c>
      <c r="BR15" s="77" t="str">
        <f t="shared" si="23"/>
        <v/>
      </c>
      <c r="BS15" s="76" t="str">
        <f>IF($A15="","",IFERROR(SUMPRODUCT(('Raw Data'!$B$2:$B$9999="Control")*('Raw Data'!$A$2:$A$9999=$A15)*('Raw Data'!$C$2:$C$9999=$C$3)*'Raw Data'!$D$2:$D$9999*'Raw Data'!$Z$2:$Z$9999)/SUMIFS('Raw Data'!$D:$D, 'Raw Data'!$B:$B, "Control", 'Raw Data'!$A:$A, $A15, 'Raw Data'!$C:$C, $C$3),""))</f>
        <v/>
      </c>
      <c r="BT15" s="76" t="str">
        <f>IF($A15="","",IFERROR(SUMPRODUCT(('Raw Data'!$B$2:$B$9999="Variant")*('Raw Data'!$A$2:$A$9999=$A15)*('Raw Data'!$C$2:$C$9999=$C$3)*'Raw Data'!$D$2:$D$9999*'Raw Data'!$Z$2:$Z$9999)/SUMIFS('Raw Data'!$D:$D, 'Raw Data'!$B:$B, "Variant", 'Raw Data'!$A:$A, $A15, 'Raw Data'!$C:$C, $C$3),""))</f>
        <v/>
      </c>
      <c r="BU15" s="77" t="str">
        <f t="shared" si="24"/>
        <v/>
      </c>
      <c r="BV15" s="76" t="str">
        <f>IF($A15="","",IFERROR(SUMPRODUCT(('Raw Data'!$B$2:$B$9999="Control")*('Raw Data'!$A$2:$A$9999=$A15)*('Raw Data'!$C$2:$C$9999=$C$3)*'Raw Data'!$D$2:$D$9999*'Raw Data'!$AA$2:$AA$9999)/SUMIFS('Raw Data'!$D:$D, 'Raw Data'!$B:$B, "Control", 'Raw Data'!$A:$A, $A15, 'Raw Data'!$C:$C, $C$3),""))</f>
        <v/>
      </c>
      <c r="BW15" s="76" t="str">
        <f>IF($A15="","",IFERROR(SUMPRODUCT(('Raw Data'!$B$2:$B$9999="Variant")*('Raw Data'!$A$2:$A$9999=$A15)*('Raw Data'!$C$2:$C$9999=$C$3)*'Raw Data'!$D$2:$D$9999*'Raw Data'!$AA$2:$AA$9999)/SUMIFS('Raw Data'!$D:$D, 'Raw Data'!$B:$B, "Variant", 'Raw Data'!$A:$A, $A15, 'Raw Data'!$C:$C, $C$3),""))</f>
        <v/>
      </c>
      <c r="BX15" s="77" t="str">
        <f t="shared" si="25"/>
        <v/>
      </c>
      <c r="BY15" s="90" t="str">
        <f>IF($A15="","",IFERROR(SUMPRODUCT(('Raw Data'!$B$2:$B$9999="Control")*('Raw Data'!$A$2:$A$9999=$A15)*('Raw Data'!$C$2:$C$9999=$C$3)*'Raw Data'!$D$2:$D$9999*'Raw Data'!$AB$2:$AB$9999)/SUMIFS('Raw Data'!$D:$D, 'Raw Data'!$B:$B, "Control", 'Raw Data'!$A:$A, $A15, 'Raw Data'!$C:$C, $C$3),""))</f>
        <v/>
      </c>
      <c r="BZ15" s="90" t="str">
        <f>IF($A15="","",IFERROR(SUMPRODUCT(('Raw Data'!$B$2:$B$9999="Variant")*('Raw Data'!$A$2:$A$9999=$A15)*('Raw Data'!$C$2:$C$9999=$C$3)*'Raw Data'!$D$2:$D$9999*'Raw Data'!$AB$2:$AB$9999)/SUMIFS('Raw Data'!$D:$D, 'Raw Data'!$B:$B, "Variant", 'Raw Data'!$A:$A, $A15, 'Raw Data'!$C:$C, $C$3),""))</f>
        <v/>
      </c>
      <c r="CA15" s="86" t="str">
        <f t="shared" si="26"/>
        <v/>
      </c>
      <c r="CB15" s="90" t="str">
        <f>IF($A15="","",IFERROR(SUMPRODUCT(('Raw Data'!$B$2:$B$9999="Control")*('Raw Data'!$A$2:$A$9999=$A15)*('Raw Data'!$C$2:$C$9999=$C$3)*'Raw Data'!$D$2:$D$9999*'Raw Data'!$AC$2:$AC$9999)/SUMIFS('Raw Data'!$D:$D, 'Raw Data'!$B:$B, "Control", 'Raw Data'!$A:$A, $A15, 'Raw Data'!$C:$C, $C$3),""))</f>
        <v/>
      </c>
      <c r="CC15" s="90" t="str">
        <f>IF($A15="","",IFERROR(SUMPRODUCT(('Raw Data'!$B$2:$B$9999="Variant")*('Raw Data'!$A$2:$A$9999=$A15)*('Raw Data'!$C$2:$C$9999=$C$3)*'Raw Data'!$D$2:$D$9999*'Raw Data'!$AC$2:$AC$9999)/SUMIFS('Raw Data'!$D:$D, 'Raw Data'!$B:$B, "Variant", 'Raw Data'!$A:$A, $A15, 'Raw Data'!$C:$C, $C$3),""))</f>
        <v/>
      </c>
      <c r="CD15" s="86" t="str">
        <f t="shared" si="27"/>
        <v/>
      </c>
      <c r="CE15" s="90" t="str">
        <f>IF($A15="","",IFERROR(SUMPRODUCT(('Raw Data'!$B$2:$B$9999="Control")*('Raw Data'!$A$2:$A$9999=$A15)*('Raw Data'!$C$2:$C$9999=$C$3)*'Raw Data'!$D$2:$D$9999*'Raw Data'!$AD$2:$AD$9999)/SUMIFS('Raw Data'!$D:$D, 'Raw Data'!$B:$B, "Control", 'Raw Data'!$A:$A, $A15, 'Raw Data'!$C:$C, $C$3),""))</f>
        <v/>
      </c>
      <c r="CF15" s="90" t="str">
        <f>IF($A15="","",IFERROR(SUMPRODUCT(('Raw Data'!$B$2:$B$9999="Variant")*('Raw Data'!$A$2:$A$9999=$A15)*('Raw Data'!$C$2:$C$9999=$C$3)*'Raw Data'!$D$2:$D$9999*'Raw Data'!$AD$2:$AD$9999)/SUMIFS('Raw Data'!$D:$D, 'Raw Data'!$B:$B, "Variant", 'Raw Data'!$A:$A, $A15, 'Raw Data'!$C:$C, $C$3),""))</f>
        <v/>
      </c>
      <c r="CG15" s="86" t="str">
        <f t="shared" si="28"/>
        <v/>
      </c>
      <c r="CH15" s="90" t="str">
        <f>IF($A15="","",IFERROR(SUMPRODUCT(('Raw Data'!$B$2:$B$9999="Control")*('Raw Data'!$A$2:$A$9999=$A15)*('Raw Data'!$C$2:$C$9999=$C$3)*'Raw Data'!$D$2:$D$9999*'Raw Data'!$AE$2:$AE$9999)/SUMIFS('Raw Data'!$D:$D, 'Raw Data'!$B:$B, "Control", 'Raw Data'!$A:$A, $A15, 'Raw Data'!$C:$C, $C$3),""))</f>
        <v/>
      </c>
      <c r="CI15" s="90" t="str">
        <f>IF($A15="","",IFERROR(SUMPRODUCT(('Raw Data'!$B$2:$B$9999="Variant")*('Raw Data'!$A$2:$A$9999=$A15)*('Raw Data'!$C$2:$C$9999=$C$3)*'Raw Data'!$D$2:$D$9999*'Raw Data'!$AE$2:$AE$9999)/SUMIFS('Raw Data'!$D:$D, 'Raw Data'!$B:$B, "Variant", 'Raw Data'!$A:$A, $A15, 'Raw Data'!$C:$C, $C$3),""))</f>
        <v/>
      </c>
      <c r="CJ15" s="86" t="str">
        <f t="shared" si="29"/>
        <v/>
      </c>
      <c r="CK15" s="90" t="str">
        <f>IF($A15="","",IFERROR(SUMPRODUCT(('Raw Data'!$B$2:$B$9999="Control")*('Raw Data'!$A$2:$A$9999=$A15)*('Raw Data'!$C$2:$C$9999=$C$3)*'Raw Data'!$D$2:$D$9999*'Raw Data'!$AF$2:$AF$9999)/SUMIFS('Raw Data'!$D:$D, 'Raw Data'!$B:$B, "Control", 'Raw Data'!$A:$A, $A15, 'Raw Data'!$C:$C, $C$3),""))</f>
        <v/>
      </c>
      <c r="CL15" s="90" t="str">
        <f>IF($A15="","",IFERROR(SUMPRODUCT(('Raw Data'!$B$2:$B$9999="Variant")*('Raw Data'!$A$2:$A$9999=$A15)*('Raw Data'!$C$2:$C$9999=$C$3)*'Raw Data'!$D$2:$D$9999*'Raw Data'!$AF$2:$AF$9999)/SUMIFS('Raw Data'!$D:$D, 'Raw Data'!$B:$B, "Variant", 'Raw Data'!$A:$A, $A15, 'Raw Data'!$C:$C, $C$3),""))</f>
        <v/>
      </c>
      <c r="CM15" s="86" t="str">
        <f t="shared" si="30"/>
        <v/>
      </c>
      <c r="CN15" s="90" t="str">
        <f>IF($A15="","",IFERROR(SUMPRODUCT(('Raw Data'!$B$2:$B$9999="Control")*('Raw Data'!$A$2:$A$9999=$A15)*('Raw Data'!$C$2:$C$9999=$C$3)*'Raw Data'!$D$2:$D$9999*'Raw Data'!$AG$2:$AG$9999)/SUMIFS('Raw Data'!$D:$D, 'Raw Data'!$B:$B, "Control", 'Raw Data'!$A:$A, $A15, 'Raw Data'!$C:$C, $C$3),""))</f>
        <v/>
      </c>
      <c r="CO15" s="90" t="str">
        <f>IF($A15="","",IFERROR(SUMPRODUCT(('Raw Data'!$B$2:$B$9999="Variant")*('Raw Data'!$A$2:$A$9999=$A15)*('Raw Data'!$C$2:$C$9999=$C$3)*'Raw Data'!$D$2:$D$9999*'Raw Data'!$AG$2:$AG$9999)/SUMIFS('Raw Data'!$D:$D, 'Raw Data'!$B:$B, "Variant", 'Raw Data'!$A:$A, $A15, 'Raw Data'!$C:$C, $C$3),""))</f>
        <v/>
      </c>
      <c r="CP15" s="86" t="str">
        <f t="shared" si="31"/>
        <v/>
      </c>
      <c r="CQ15" s="90" t="str">
        <f>IF($A15="","",IFERROR(SUMPRODUCT(('Raw Data'!$B$2:$B$9999="Control")*('Raw Data'!$A$2:$A$9999=$A15)*('Raw Data'!$C$2:$C$9999=$C$3)*'Raw Data'!$D$2:$D$9999*'Raw Data'!$AH$2:$AH$9999)/SUMIFS('Raw Data'!$D:$D, 'Raw Data'!$B:$B, "Control", 'Raw Data'!$A:$A, $A15, 'Raw Data'!$C:$C, $C$3),""))</f>
        <v/>
      </c>
      <c r="CR15" s="90" t="str">
        <f>IF($A15="","",IFERROR(SUMPRODUCT(('Raw Data'!$B$2:$B$9999="Variant")*('Raw Data'!$A$2:$A$9999=$A15)*('Raw Data'!$C$2:$C$9999=$C$3)*'Raw Data'!$D$2:$D$9999*'Raw Data'!$AH$2:$AH$9999)/SUMIFS('Raw Data'!$D:$D, 'Raw Data'!$B:$B, "Variant", 'Raw Data'!$A:$A, $A15, 'Raw Data'!$C:$C, $C$3),""))</f>
        <v/>
      </c>
      <c r="CS15" s="86" t="str">
        <f t="shared" si="32"/>
        <v/>
      </c>
      <c r="CT15" s="79" t="str">
        <f>IF($A15="","",IFERROR(SUMPRODUCT(('Raw Data'!$B$2:$B$9999="Control")*('Raw Data'!$A$2:$A$9999=$A15)*('Raw Data'!$C$2:$C$9999=$C$3)*'Raw Data'!$D$2:$D$9999*'Raw Data'!$AI$2:$AI$9999)/SUMIFS('Raw Data'!$D:$D, 'Raw Data'!$B:$B, "Control", 'Raw Data'!$A:$A, $A15, 'Raw Data'!$C:$C, $C$3),""))</f>
        <v/>
      </c>
      <c r="CU15" s="79" t="str">
        <f>IF($A15="","",IFERROR(SUMPRODUCT(('Raw Data'!$B$2:$B$9999="Variant")*('Raw Data'!$A$2:$A$9999=$A15)*('Raw Data'!$C$2:$C$9999=$C$3)*'Raw Data'!$D$2:$D$9999*'Raw Data'!$AI$2:$AI$9999)/SUMIFS('Raw Data'!$D:$D, 'Raw Data'!$B:$B, "Variant", 'Raw Data'!$A:$A, $A15, 'Raw Data'!$C:$C, $C$3),""))</f>
        <v/>
      </c>
      <c r="CV15" s="93" t="str">
        <f t="shared" si="33"/>
        <v/>
      </c>
      <c r="CW15" s="79" t="str">
        <f>IF($A15="","",IFERROR(SUMPRODUCT(('Raw Data'!$B$2:$B$9999="Control")*('Raw Data'!$A$2:$A$9999=$A15)*('Raw Data'!$C$2:$C$9999=$C$3)*'Raw Data'!$D$2:$D$9999*'Raw Data'!$AJ$2:$AJ$9999)/SUMIFS('Raw Data'!$D:$D, 'Raw Data'!$B:$B, "Control", 'Raw Data'!$A:$A, $A15, 'Raw Data'!$C:$C, $C$3),""))</f>
        <v/>
      </c>
      <c r="CX15" s="79" t="str">
        <f>IF($A15="","",IFERROR(SUMPRODUCT(('Raw Data'!$B$2:$B$9999="Variant")*('Raw Data'!$A$2:$A$9999=$A15)*('Raw Data'!$C$2:$C$9999=$C$3)*'Raw Data'!$D$2:$D$9999*'Raw Data'!$AJ$2:$AJ$9999)/SUMIFS('Raw Data'!$D:$D, 'Raw Data'!$B:$B, "Variant", 'Raw Data'!$A:$A, $A15, 'Raw Data'!$C:$C, $C$3),""))</f>
        <v/>
      </c>
      <c r="CY15" s="93" t="str">
        <f t="shared" si="34"/>
        <v/>
      </c>
      <c r="CZ15" s="79" t="str">
        <f>IF($A15="","",IFERROR(SUMPRODUCT(('Raw Data'!$B$2:$B$9999="Control")*('Raw Data'!$A$2:$A$9999=$A15)*('Raw Data'!$C$2:$C$9999=$C$3)*'Raw Data'!$D$2:$D$9999*'Raw Data'!$AK$2:$AK$9999)/SUMIFS('Raw Data'!$D:$D, 'Raw Data'!$B:$B, "Control", 'Raw Data'!$A:$A, $A15, 'Raw Data'!$C:$C, $C$3),""))</f>
        <v/>
      </c>
      <c r="DA15" s="79" t="str">
        <f>IF($A15="","",IFERROR(SUMPRODUCT(('Raw Data'!$B$2:$B$9999="Variant")*('Raw Data'!$A$2:$A$9999=$A15)*('Raw Data'!$C$2:$C$9999=$C$3)*'Raw Data'!$D$2:$D$9999*'Raw Data'!$AK$2:$AK$9999)/SUMIFS('Raw Data'!$D:$D, 'Raw Data'!$B:$B, "Variant", 'Raw Data'!$A:$A, $A15, 'Raw Data'!$C:$C, $C$3),""))</f>
        <v/>
      </c>
      <c r="DB15" s="86" t="str">
        <f t="shared" si="35"/>
        <v/>
      </c>
      <c r="DC15" s="91" t="str">
        <f>IF($A15="","",IFERROR(SUMPRODUCT(('Raw Data'!$B$2:$B$9999="Control")*('Raw Data'!$A$2:$A$9999=$A15)*('Raw Data'!$C$2:$C$9999=$C$3)*'Raw Data'!$D$2:$D$9999*'Raw Data'!$AL$2:$AL$9999)/SUMIFS('Raw Data'!$D:$D, 'Raw Data'!$B:$B, "Control", 'Raw Data'!$A:$A, $A15, 'Raw Data'!$C:$C, $C$3),""))</f>
        <v/>
      </c>
      <c r="DD15" s="91" t="str">
        <f>IF($A15="","",IFERROR(SUMPRODUCT(('Raw Data'!$B$2:$B$9999="Variant")*('Raw Data'!$A$2:$A$9999=$A15)*('Raw Data'!$C$2:$C$9999=$C$3)*'Raw Data'!$D$2:$D$9999*'Raw Data'!$AL$2:$AL$9999)/SUMIFS('Raw Data'!$D:$D, 'Raw Data'!$B:$B, "Variant", 'Raw Data'!$A:$A, $A15, 'Raw Data'!$C:$C, $C$3),""))</f>
        <v/>
      </c>
      <c r="DE15" s="93" t="str">
        <f t="shared" si="36"/>
        <v/>
      </c>
      <c r="DF15" s="107"/>
      <c r="DG15" s="79" t="str">
        <f>IF($A15="","",IFERROR(SUMPRODUCT(('Raw Data'!$B$2:$B$9999="Variant")*('Raw Data'!$A$2:$A$9999=$A15)*('Raw Data'!$C$2:$C$9999=$C$3)*'Raw Data'!$D$2:$D$9999*'Raw Data'!$AM$2:$AM$9999)/SUMIFS('Raw Data'!$D:$D, 'Raw Data'!$B:$B, "Variant", 'Raw Data'!$A:$A, $A15, 'Raw Data'!$C:$C, $C$3),""))</f>
        <v/>
      </c>
      <c r="DH15" s="108"/>
      <c r="DI15" s="107"/>
      <c r="DJ15" s="79" t="str">
        <f>IF($A15="","",IFERROR(SUMPRODUCT(('Raw Data'!$B$2:$B$9999="Variant")*('Raw Data'!$A$2:$A$9999=$A15)*('Raw Data'!$C$2:$C$9999=$C$3)*'Raw Data'!$D$2:$D$9999*'Raw Data'!$AN$2:$AN$9999)/SUMIFS('Raw Data'!$D:$D, 'Raw Data'!$B:$B, "Variant", 'Raw Data'!$A:$A, $A15, 'Raw Data'!$C:$C, $C$3),""))</f>
        <v/>
      </c>
      <c r="DK15" s="108"/>
      <c r="DL15" s="107"/>
      <c r="DM15" s="79" t="str">
        <f>IF($A15="","",IFERROR(SUMPRODUCT(('Raw Data'!$B$2:$B$9999="Variant")*('Raw Data'!$A$2:$A$9999=$A15)*('Raw Data'!$C$2:$C$9999=$C$3)*'Raw Data'!$D$2:$D$9999*'Raw Data'!$AO$2:$AO$9999)/SUMIFS('Raw Data'!$D:$D, 'Raw Data'!$B:$B, "Variant", 'Raw Data'!$A:$A, $A15, 'Raw Data'!$C:$C, $C$3),""))</f>
        <v/>
      </c>
      <c r="DN15" s="108"/>
      <c r="DO15" s="107"/>
      <c r="DP15" s="79" t="str">
        <f>IF($A15="","",IFERROR(SUMPRODUCT(('Raw Data'!$B$2:$B$9999="Variant")*('Raw Data'!$A$2:$A$9999=$A15)*('Raw Data'!$C$2:$C$9999=$C$3)*'Raw Data'!$D$2:$D$9999*'Raw Data'!$AP$2:$AP$9999)/SUMIFS('Raw Data'!$D:$D, 'Raw Data'!$B:$B, "Variant", 'Raw Data'!$A:$A, $A15, 'Raw Data'!$C:$C, $C$3),""))</f>
        <v/>
      </c>
      <c r="DQ15" s="108"/>
      <c r="DR15" s="91" t="str">
        <f>IF($A15="","",IFERROR(SUMPRODUCT(('Raw Data'!$B$2:$B$9999="Control")*('Raw Data'!$A$2:$A$9999=$A15)*('Raw Data'!$C$2:$C$9999=$C$3)*'Raw Data'!$D$2:$D$9999*'Raw Data'!$AQ$2:$AQ$9999)/SUMIFS('Raw Data'!$D:$D, 'Raw Data'!$B:$B, "Control", 'Raw Data'!$A:$A, $A15, 'Raw Data'!$C:$C, $C$3),""))</f>
        <v/>
      </c>
      <c r="DS15" s="91" t="str">
        <f>IF($A15="","",IFERROR(SUMPRODUCT(('Raw Data'!$B$2:$B$9999="Variant")*('Raw Data'!$A$2:$A$9999=$A15)*('Raw Data'!$C$2:$C$9999=$C$3)*'Raw Data'!$D$2:$D$9999*'Raw Data'!$AQ$2:$AQ$9999)/SUMIFS('Raw Data'!$D:$D, 'Raw Data'!$B:$B, "Variant", 'Raw Data'!$A:$A, $A15, 'Raw Data'!$C:$C, $C$3),""))</f>
        <v/>
      </c>
      <c r="DT15" s="110" t="str">
        <f t="shared" si="37"/>
        <v/>
      </c>
      <c r="DU15" s="91" t="str">
        <f>IF($A15="","",IFERROR(SUMPRODUCT(('Raw Data'!$B$2:$B$9999="Control")*('Raw Data'!$A$2:$A$9999=$A15)*('Raw Data'!$C$2:$C$9999=$C$3)*'Raw Data'!$D$2:$D$9999*'Raw Data'!$AR$2:$AR$9999)/SUMIFS('Raw Data'!$D:$D, 'Raw Data'!$B:$B, "Control", 'Raw Data'!$A:$A, $A15, 'Raw Data'!$C:$C, $C$3),""))</f>
        <v/>
      </c>
      <c r="DV15" s="91" t="str">
        <f>IF($A15="","",IFERROR(SUMPRODUCT(('Raw Data'!$B$2:$B$9999="Variant")*('Raw Data'!$A$2:$A$9999=$A15)*('Raw Data'!$C$2:$C$9999=$C$3)*'Raw Data'!$D$2:$D$9999*'Raw Data'!$AR$2:$AR$9999)/SUMIFS('Raw Data'!$D:$D, 'Raw Data'!$B:$B, "Variant", 'Raw Data'!$A:$A, $A15, 'Raw Data'!$C:$C, $C$3),""))</f>
        <v/>
      </c>
      <c r="DW15" s="110" t="str">
        <f t="shared" si="38"/>
        <v/>
      </c>
      <c r="DX15" s="91" t="str">
        <f>IF($A15="","",IFERROR(SUMPRODUCT(('Raw Data'!$B$2:$B$9999="Control")*('Raw Data'!$A$2:$A$9999=$A15)*('Raw Data'!$C$2:$C$9999=$C$3)*'Raw Data'!$D$2:$D$9999*'Raw Data'!$AS$2:$AS$9999)/SUMIFS('Raw Data'!$D:$D, 'Raw Data'!$B:$B, "Control", 'Raw Data'!$A:$A, $A15, 'Raw Data'!$C:$C, $C$3),""))</f>
        <v/>
      </c>
      <c r="DY15" s="91" t="str">
        <f>IF($A15="","",IFERROR(SUMPRODUCT(('Raw Data'!$B$2:$B$9999="Variant")*('Raw Data'!$A$2:$A$9999=$A15)*('Raw Data'!$C$2:$C$9999=$C$3)*'Raw Data'!$D$2:$D$9999*'Raw Data'!$AS$2:$AS$9999)/SUMIFS('Raw Data'!$D:$D, 'Raw Data'!$B:$B, "Variant", 'Raw Data'!$A:$A, $A15, 'Raw Data'!$C:$C, $C$3),""))</f>
        <v/>
      </c>
      <c r="DZ15" s="111" t="str">
        <f t="shared" si="39"/>
        <v/>
      </c>
      <c r="EA15" s="91" t="str">
        <f>IF($A15="","",IFERROR(SUMPRODUCT(('Raw Data'!$B$2:$B$9999="Control")*('Raw Data'!$A$2:$A$9999=$A15)*('Raw Data'!$C$2:$C$9999=$C$3)*'Raw Data'!$D$2:$D$9999*'Raw Data'!$AT$2:$AT$9999)/SUMIFS('Raw Data'!$D:$D, 'Raw Data'!$B:$B, "Control", 'Raw Data'!$A:$A, $A15, 'Raw Data'!$C:$C, $C$3),""))</f>
        <v/>
      </c>
      <c r="EB15" s="91" t="str">
        <f>IF($A15="","",IFERROR(SUMPRODUCT(('Raw Data'!$B$2:$B$9999="Variant")*('Raw Data'!$A$2:$A$9999=$A15)*('Raw Data'!$C$2:$C$9999=$C$3)*'Raw Data'!$D$2:$D$9999*'Raw Data'!$AT$2:$AT$9999)/SUMIFS('Raw Data'!$D:$D, 'Raw Data'!$B:$B, "Variant", 'Raw Data'!$A:$A, $A15, 'Raw Data'!$C:$C, $C$3),""))</f>
        <v/>
      </c>
      <c r="EC15" s="110" t="str">
        <f t="shared" si="40"/>
        <v/>
      </c>
      <c r="ED15" s="91" t="str">
        <f>IF($A15="","",IFERROR(SUMPRODUCT(('Raw Data'!$B$2:$B$9999="Control")*('Raw Data'!$A$2:$A$9999=$A15)*('Raw Data'!$C$2:$C$9999=$C$3)*'Raw Data'!$D$2:$D$9999*('Raw Data'!$AQ$2:$AQ$9999-'Raw Data'!$AT$2:$AT$9999))/SUMIFS('Raw Data'!$D:$D, 'Raw Data'!$B:$B, "Control", 'Raw Data'!$A:$A, $A15, 'Raw Data'!$C:$C, $C$3),""))</f>
        <v/>
      </c>
      <c r="EE15" s="91" t="str">
        <f>IF($A15="","",IFERROR(SUMPRODUCT(('Raw Data'!$B$2:$B$9999="Variant")*('Raw Data'!$A$2:$A$9999=$A15)*('Raw Data'!$C$2:$C$9999=$C$3)*'Raw Data'!$D$2:$D$9999*('Raw Data'!$AQ$2:$AQ$9999-'Raw Data'!$AT$2:$AT$9999))/SUMIFS('Raw Data'!$D:$D, 'Raw Data'!$B:$B, "Variant", 'Raw Data'!$A:$A, $A15, 'Raw Data'!$C:$C, $C$3),""))</f>
        <v/>
      </c>
      <c r="EF15" s="111" t="str">
        <f t="shared" si="41"/>
        <v/>
      </c>
      <c r="EG15" s="91" t="str">
        <f>IF($A15="","",IFERROR(SUMPRODUCT(('Raw Data'!$B$2:$B$9999="Control")*('Raw Data'!$A$2:$A$9999=$A15)*('Raw Data'!$C$2:$C$9999=$C$3)*'Raw Data'!$D$2:$D$9999*'Raw Data'!$AU$2:$AU$9999)/SUMIFS('Raw Data'!$D:$D, 'Raw Data'!$B:$B, "Control", 'Raw Data'!$A:$A, $A15, 'Raw Data'!$C:$C, $C$3),""))</f>
        <v/>
      </c>
      <c r="EH15" s="91" t="str">
        <f>IF($A15="","",IFERROR(SUMPRODUCT(('Raw Data'!$B$2:$B$9999="Variant")*('Raw Data'!$A$2:$A$9999=$A15)*('Raw Data'!$C$2:$C$9999=$C$3)*'Raw Data'!$D$2:$D$9999*'Raw Data'!$AU$2:$AU$9999)/SUMIFS('Raw Data'!$D:$D, 'Raw Data'!$B:$B, "Variant", 'Raw Data'!$A:$A, $A15, 'Raw Data'!$C:$C, $C$3),""))</f>
        <v/>
      </c>
      <c r="EI15" s="110" t="str">
        <f t="shared" si="42"/>
        <v/>
      </c>
    </row>
    <row r="16" ht="15.75" customHeight="1">
      <c r="A16" s="74">
        <v>46239.0</v>
      </c>
      <c r="B16" s="76">
        <f>IF($A16="","",SUMIFS('Raw Data'!$D:$D, 'Raw Data'!$B:$B, "Control", 'Raw Data'!$A:$A, $A16, 'Raw Data'!$C:$C, $C$3))</f>
        <v>0</v>
      </c>
      <c r="C16" s="76">
        <f>IF($A16="","",SUMIFS('Raw Data'!$D:$D, 'Raw Data'!$B:$B, "Variant", 'Raw Data'!$A:$A, $A16, 'Raw Data'!$C:$C, $C$3))</f>
        <v>0</v>
      </c>
      <c r="D16" s="77" t="str">
        <f t="shared" si="1"/>
        <v/>
      </c>
      <c r="E16" s="79" t="str">
        <f>IF($A16="","",IFERROR(SUMPRODUCT(('Raw Data'!$B$2:$B$9999="Control")*('Raw Data'!$A$2:$A$9999=$A16)*('Raw Data'!$C$2:$C$9999=$C$3)*'Raw Data'!$D$2:$D$9999*'Raw Data'!$E$2:$E$9999)/SUMIFS('Raw Data'!$D:$D, 'Raw Data'!$B:$B, "Control", 'Raw Data'!$A:$A, $A16, 'Raw Data'!$C:$C, $C$3),""))</f>
        <v/>
      </c>
      <c r="F16" s="79" t="str">
        <f>IF($A16="","",IFERROR(SUMPRODUCT(('Raw Data'!$B$2:$B$9999="Variant")*('Raw Data'!$A$2:$A$9999=$A16)*('Raw Data'!$C$2:$C$9999=$C$3)*'Raw Data'!$D$2:$D$9999*'Raw Data'!$E$2:$E$9999)/SUMIFS('Raw Data'!$D:$D, 'Raw Data'!$B:$B, "Variant", 'Raw Data'!$A:$A, $A16, 'Raw Data'!$C:$C, $C$3),""))</f>
        <v/>
      </c>
      <c r="G16" s="77" t="str">
        <f t="shared" si="2"/>
        <v/>
      </c>
      <c r="H16" s="85">
        <f>IF($A16="","",SUMIFS('Raw Data'!$F:$F, 'Raw Data'!$B:$B, "Control", 'Raw Data'!$A:$A, $A16, 'Raw Data'!$C:$C, $C$3))</f>
        <v>0</v>
      </c>
      <c r="I16" s="85">
        <f>IF($A16="","",SUMIFS('Raw Data'!$F:$F, 'Raw Data'!$B:$B, "Variant", 'Raw Data'!$A:$A, $A16, 'Raw Data'!$C:$C, $C$3))</f>
        <v>0</v>
      </c>
      <c r="J16" s="86" t="str">
        <f t="shared" si="3"/>
        <v/>
      </c>
      <c r="K16" s="88" t="str">
        <f>IF($A16="","",IFERROR(SUMIFS('Raw Data'!$F:$F, 'Raw Data'!$B:$B, "Control", 'Raw Data'!$A:$A, $A16, 'Raw Data'!$C:$C, $C$3)/SUMIFS('Raw Data'!$D:$D, 'Raw Data'!$B:$B, "Control", 'Raw Data'!$A:$A, $A16, 'Raw Data'!$C:$C, $C$3),""))</f>
        <v/>
      </c>
      <c r="L16" s="88" t="str">
        <f>IF($A16="","",IFERROR(SUMIFS('Raw Data'!$F:$F, 'Raw Data'!$B:$B, "Variant", 'Raw Data'!$A:$A, $A16, 'Raw Data'!$C:$C, $C$3)/SUMIFS('Raw Data'!$D:$D, 'Raw Data'!$B:$B, "Variant", 'Raw Data'!$A:$A, $A16, 'Raw Data'!$C:$C, $C$3),""))</f>
        <v/>
      </c>
      <c r="M16" s="86" t="str">
        <f t="shared" si="4"/>
        <v/>
      </c>
      <c r="N16" s="79" t="str">
        <f>IF($A16="","",IFERROR(SUMPRODUCT(('Raw Data'!$B$2:$B$9999="Control")*('Raw Data'!$A$2:$A$9999=$A16)*('Raw Data'!$C$2:$C$9999=$C$3)*'Raw Data'!$D$2:$D$9999*'Raw Data'!$H$2:$H$9999/100)/SUMIFS('Raw Data'!$D:$D, 'Raw Data'!$B:$B, "Control", 'Raw Data'!$A:$A, $A16, 'Raw Data'!$C:$C, $C$3)*100,""))</f>
        <v/>
      </c>
      <c r="O16" s="79" t="str">
        <f>IF($A16="","",IFERROR(SUMPRODUCT(('Raw Data'!$B$2:$B$9999="Variant")*('Raw Data'!$A$2:$A$9999=$A16)*('Raw Data'!$C$2:$C$9999=$C$3)*'Raw Data'!$D$2:$D$9999*'Raw Data'!$H$2:$H$9999/100)/SUMIFS('Raw Data'!$D:$D, 'Raw Data'!$B:$B, "Variant", 'Raw Data'!$A:$A, $A16, 'Raw Data'!$C:$C, $C$3)*100,""))</f>
        <v/>
      </c>
      <c r="P16" s="86" t="str">
        <f t="shared" si="5"/>
        <v/>
      </c>
      <c r="Q16" s="88" t="str">
        <f>IF($A16="","",IFERROR(SUMIFS('Raw Data'!$F:$F, 'Raw Data'!$B:$B, "Control", 'Raw Data'!$A:$A, $A16, 'Raw Data'!$C:$C, $C$3)/SUMPRODUCT(('Raw Data'!$B$2:$B$9999="Control")*('Raw Data'!$A$2:$A$9999=$A16)*('Raw Data'!$C$2:$C$9999=$C$3)*'Raw Data'!$D$2:$D$9999*'Raw Data'!$H$2:$H$9999/100),""))</f>
        <v/>
      </c>
      <c r="R16" s="88" t="str">
        <f>IF($A16="","",IFERROR(SUMIFS('Raw Data'!$F:$F, 'Raw Data'!$B:$B, "Variant", 'Raw Data'!$A:$A, $A16, 'Raw Data'!$C:$C, $C$3)/SUMPRODUCT(('Raw Data'!$B$2:$B$9999="Variant")*('Raw Data'!$A$2:$A$9999=$A16)*('Raw Data'!$C$2:$C$9999=$C$3)*'Raw Data'!$D$2:$D$9999*'Raw Data'!$H$2:$H$9999/100),""))</f>
        <v/>
      </c>
      <c r="S16" s="86" t="str">
        <f t="shared" si="6"/>
        <v/>
      </c>
      <c r="T16" s="90" t="str">
        <f>IF($A16="","",IFERROR(SUMPRODUCT(('Raw Data'!$B$2:$B$9999="Control")*('Raw Data'!$A$2:$A$9999=$A16)*('Raw Data'!$C$2:$C$9999=$C$3)*'Raw Data'!$D$2:$D$9999*'Raw Data'!$J$2:$J$9999)/SUMIFS('Raw Data'!$D:$D, 'Raw Data'!$B:$B, "Control", 'Raw Data'!$A:$A, $A16, 'Raw Data'!$C:$C, $C$3),""))</f>
        <v/>
      </c>
      <c r="U16" s="90" t="str">
        <f>IF($A16="","",IFERROR(SUMPRODUCT(('Raw Data'!$B$2:$B$9999="Variant")*('Raw Data'!$A$2:$A$9999=$A16)*('Raw Data'!$C$2:$C$9999=$C$3)*'Raw Data'!$D$2:$D$9999*'Raw Data'!$J$2:$J$9999)/SUMIFS('Raw Data'!$D:$D, 'Raw Data'!$B:$B, "Variant", 'Raw Data'!$A:$A, $A16, 'Raw Data'!$C:$C, $C$3),""))</f>
        <v/>
      </c>
      <c r="V16" s="86" t="str">
        <f t="shared" si="7"/>
        <v/>
      </c>
      <c r="W16" s="90" t="str">
        <f>IF($A16="","",IFERROR(SUMPRODUCT(('Raw Data'!$B$2:$B$9999="Control")*('Raw Data'!$A$2:$A$9999=$A16)*('Raw Data'!$C$2:$C$9999=$C$3)*'Raw Data'!$D$2:$D$9999*'Raw Data'!$K$2:$K$9999)/SUMIFS('Raw Data'!$D:$D, 'Raw Data'!$B:$B, "Control", 'Raw Data'!$A:$A, $A16, 'Raw Data'!$C:$C, $C$3),""))</f>
        <v/>
      </c>
      <c r="X16" s="90" t="str">
        <f>IF($A16="","",IFERROR(SUMPRODUCT(('Raw Data'!$B$2:$B$9999="Variant")*('Raw Data'!$A$2:$A$9999=$A16)*('Raw Data'!$C$2:$C$9999=$C$3)*'Raw Data'!$D$2:$D$9999*'Raw Data'!$K$2:$K$9999)/SUMIFS('Raw Data'!$D:$D, 'Raw Data'!$B:$B, "Variant", 'Raw Data'!$A:$A, $A16, 'Raw Data'!$C:$C, $C$3),""))</f>
        <v/>
      </c>
      <c r="Y16" s="86" t="str">
        <f t="shared" si="8"/>
        <v/>
      </c>
      <c r="Z16" s="90" t="str">
        <f>IF($A16="","",IFERROR(SUMPRODUCT(('Raw Data'!$B$2:$B$9999="Control")*('Raw Data'!$A$2:$A$9999=$A16)*('Raw Data'!$C$2:$C$9999=$C$3)*'Raw Data'!$D$2:$D$9999*'Raw Data'!$L$2:$L$9999)/SUMIFS('Raw Data'!$D:$D, 'Raw Data'!$B:$B, "Control", 'Raw Data'!$A:$A, $A16, 'Raw Data'!$C:$C, $C$3),""))</f>
        <v/>
      </c>
      <c r="AA16" s="90" t="str">
        <f>IF($A16="","",IFERROR(SUMPRODUCT(('Raw Data'!$B$2:$B$9999="Variant")*('Raw Data'!$A$2:$A$9999=$A16)*('Raw Data'!$C$2:$C$9999=$C$3)*'Raw Data'!$D$2:$D$9999*'Raw Data'!$L$2:$L$9999)/SUMIFS('Raw Data'!$D:$D, 'Raw Data'!$B:$B, "Variant", 'Raw Data'!$A:$A, $A16, 'Raw Data'!$C:$C, $C$3),""))</f>
        <v/>
      </c>
      <c r="AB16" s="86" t="str">
        <f t="shared" si="9"/>
        <v/>
      </c>
      <c r="AC16" s="91" t="str">
        <f>IF($A16="","",IFERROR(SUMPRODUCT(('Raw Data'!$B$2:$B$9999="Control")*('Raw Data'!$A$2:$A$9999=$A16)*('Raw Data'!$C$2:$C$9999=$C$3)*'Raw Data'!$D$2:$D$9999*'Raw Data'!$M$2:$M$9999)/SUMIFS('Raw Data'!$D:$D, 'Raw Data'!$B:$B, "Control", 'Raw Data'!$A:$A, $A16, 'Raw Data'!$C:$C, $C$3),""))</f>
        <v/>
      </c>
      <c r="AD16" s="91" t="str">
        <f>IF($A16="","",IFERROR(SUMPRODUCT(('Raw Data'!$B$2:$B$9999="Variant")*('Raw Data'!$A$2:$A$9999=$A16)*('Raw Data'!$C$2:$C$9999=$C$3)*'Raw Data'!$D$2:$D$9999*'Raw Data'!$M$2:$M$9999)/SUMIFS('Raw Data'!$D:$D, 'Raw Data'!$B:$B, "Variant", 'Raw Data'!$A:$A, $A16, 'Raw Data'!$C:$C, $C$3),""))</f>
        <v/>
      </c>
      <c r="AE16" s="93" t="str">
        <f t="shared" si="10"/>
        <v/>
      </c>
      <c r="AF16" s="91" t="str">
        <f>IF($A16="","",IFERROR(SUMPRODUCT(('Raw Data'!$B$2:$B$9999="Control")*('Raw Data'!$A$2:$A$9999=$A16)*('Raw Data'!$C$2:$C$9999=$C$3)*'Raw Data'!$D$2:$D$9999*'Raw Data'!$N$2:$N$9999)/SUMIFS('Raw Data'!$D:$D, 'Raw Data'!$B:$B, "Control", 'Raw Data'!$A:$A, $A16, 'Raw Data'!$C:$C, $C$3),""))</f>
        <v/>
      </c>
      <c r="AG16" s="91" t="str">
        <f>IF($A16="","",IFERROR(SUMPRODUCT(('Raw Data'!$B$2:$B$9999="Variant")*('Raw Data'!$A$2:$A$9999=$A16)*('Raw Data'!$C$2:$C$9999=$C$3)*'Raw Data'!$D$2:$D$9999*'Raw Data'!$N$2:$N$9999)/SUMIFS('Raw Data'!$D:$D, 'Raw Data'!$B:$B, "Variant", 'Raw Data'!$A:$A, $A16, 'Raw Data'!$C:$C, $C$3),""))</f>
        <v/>
      </c>
      <c r="AH16" s="93" t="str">
        <f t="shared" si="11"/>
        <v/>
      </c>
      <c r="AI16" s="91" t="str">
        <f>IF($A16="","",IFERROR(SUMPRODUCT(('Raw Data'!$B$2:$B$9999="Control")*('Raw Data'!$A$2:$A$9999=$A16)*('Raw Data'!$C$2:$C$9999=$C$3)*'Raw Data'!$D$2:$D$9999*'Raw Data'!$O$2:$O$9999)/SUMIFS('Raw Data'!$D:$D, 'Raw Data'!$B:$B, "Control", 'Raw Data'!$A:$A, $A16, 'Raw Data'!$C:$C, $C$3),""))</f>
        <v/>
      </c>
      <c r="AJ16" s="91" t="str">
        <f>IF($A16="","",IFERROR(SUMPRODUCT(('Raw Data'!$B$2:$B$9999="Variant")*('Raw Data'!$A$2:$A$9999=$A16)*('Raw Data'!$C$2:$C$9999=$C$3)*'Raw Data'!$D$2:$D$9999*'Raw Data'!$O$2:$O$9999)/SUMIFS('Raw Data'!$D:$D, 'Raw Data'!$B:$B, "Variant", 'Raw Data'!$A:$A, $A16, 'Raw Data'!$C:$C, $C$3),""))</f>
        <v/>
      </c>
      <c r="AK16" s="86" t="str">
        <f t="shared" si="12"/>
        <v/>
      </c>
      <c r="AL16" s="90" t="str">
        <f>IF($A16="","",IFERROR(SUMPRODUCT(('Raw Data'!$B$2:$B$9999="Control")*('Raw Data'!$A$2:$A$9999=$A16)*('Raw Data'!$C$2:$C$9999=$C$3)*'Raw Data'!$D$2:$D$9999*'Raw Data'!$P$2:$P$9999)/SUMIFS('Raw Data'!$D:$D, 'Raw Data'!$B:$B, "Control", 'Raw Data'!$A:$A, $A16, 'Raw Data'!$C:$C, $C$3),""))</f>
        <v/>
      </c>
      <c r="AM16" s="90" t="str">
        <f>IF($A16="","",IFERROR(SUMPRODUCT(('Raw Data'!$B$2:$B$9999="Variant")*('Raw Data'!$A$2:$A$9999=$A16)*('Raw Data'!$C$2:$C$9999=$C$3)*'Raw Data'!$D$2:$D$9999*'Raw Data'!$P$2:$P$9999)/SUMIFS('Raw Data'!$D:$D, 'Raw Data'!$B:$B, "Variant", 'Raw Data'!$A:$A, $A16, 'Raw Data'!$C:$C, $C$3),""))</f>
        <v/>
      </c>
      <c r="AN16" s="86" t="str">
        <f t="shared" si="13"/>
        <v/>
      </c>
      <c r="AO16" s="90" t="str">
        <f>IF($A16="","",IFERROR(SUMPRODUCT(('Raw Data'!$B$2:$B$9999="Control")*('Raw Data'!$A$2:$A$9999=$A16)*('Raw Data'!$C$2:$C$9999=$C$3)*'Raw Data'!$D$2:$D$9999*'Raw Data'!$Q$2:$Q$9999)/SUMIFS('Raw Data'!$D:$D, 'Raw Data'!$B:$B, "Control", 'Raw Data'!$A:$A, $A16, 'Raw Data'!$C:$C, $C$3),""))</f>
        <v/>
      </c>
      <c r="AP16" s="90" t="str">
        <f>IF($A16="","",IFERROR(SUMPRODUCT(('Raw Data'!$B$2:$B$9999="Variant")*('Raw Data'!$A$2:$A$9999=$A16)*('Raw Data'!$C$2:$C$9999=$C$3)*'Raw Data'!$D$2:$D$9999*'Raw Data'!$Q$2:$Q$9999)/SUMIFS('Raw Data'!$D:$D, 'Raw Data'!$B:$B, "Variant", 'Raw Data'!$A:$A, $A16, 'Raw Data'!$C:$C, $C$3),""))</f>
        <v/>
      </c>
      <c r="AQ16" s="77" t="str">
        <f t="shared" si="14"/>
        <v/>
      </c>
      <c r="AR16" s="90" t="str">
        <f>IF($A16="","",IFERROR(SUMPRODUCT(('Raw Data'!$B$2:$B$9999="Control")*('Raw Data'!$A$2:$A$9999=$A16)*('Raw Data'!$C$2:$C$9999=$C$3)*'Raw Data'!$D$2:$D$9999*'Raw Data'!$R$2:$R$9999)/SUMIFS('Raw Data'!$D:$D, 'Raw Data'!$B:$B, "Control", 'Raw Data'!$A:$A, $A16, 'Raw Data'!$C:$C, $C$3),""))</f>
        <v/>
      </c>
      <c r="AS16" s="90" t="str">
        <f>IF($A16="","",IFERROR(SUMPRODUCT(('Raw Data'!$B$2:$B$9999="Variant")*('Raw Data'!$A$2:$A$9999=$A16)*('Raw Data'!$C$2:$C$9999=$C$3)*'Raw Data'!$D$2:$D$9999*'Raw Data'!$R$2:$R$9999)/SUMIFS('Raw Data'!$D:$D, 'Raw Data'!$B:$B, "Variant", 'Raw Data'!$A:$A, $A16, 'Raw Data'!$C:$C, $C$3),""))</f>
        <v/>
      </c>
      <c r="AT16" s="77" t="str">
        <f t="shared" si="15"/>
        <v/>
      </c>
      <c r="AU16" s="90" t="str">
        <f>IF($A16="","",IFERROR(SUMPRODUCT(('Raw Data'!$B$2:$B$9999="Control")*('Raw Data'!$A$2:$A$9999=$A16)*('Raw Data'!$C$2:$C$9999=$C$3)*'Raw Data'!$D$2:$D$9999*'Raw Data'!$S$2:$S$9999)/SUMIFS('Raw Data'!$D:$D, 'Raw Data'!$B:$B, "Control", 'Raw Data'!$A:$A, $A16, 'Raw Data'!$C:$C, $C$3),""))</f>
        <v/>
      </c>
      <c r="AV16" s="90" t="str">
        <f>IF($A16="","",IFERROR(SUMPRODUCT(('Raw Data'!$B$2:$B$9999="Variant")*('Raw Data'!$A$2:$A$9999=$A16)*('Raw Data'!$C$2:$C$9999=$C$3)*'Raw Data'!$D$2:$D$9999*'Raw Data'!$S$2:$S$9999)/SUMIFS('Raw Data'!$D:$D, 'Raw Data'!$B:$B, "Variant", 'Raw Data'!$A:$A, $A16, 'Raw Data'!$C:$C, $C$3),""))</f>
        <v/>
      </c>
      <c r="AW16" s="77" t="str">
        <f t="shared" si="16"/>
        <v/>
      </c>
      <c r="AX16" s="90" t="str">
        <f>IF($A16="","",IFERROR(SUMPRODUCT(('Raw Data'!$B$2:$B$9999="Control")*('Raw Data'!$A$2:$A$9999=$A16)*('Raw Data'!$C$2:$C$9999=$C$3)*'Raw Data'!$D$2:$D$9999*'Raw Data'!$T$2:$T$9999)/SUMIFS('Raw Data'!$D:$D, 'Raw Data'!$B:$B, "Control", 'Raw Data'!$A:$A, $A16, 'Raw Data'!$C:$C, $C$3),""))</f>
        <v/>
      </c>
      <c r="AY16" s="90" t="str">
        <f>IF($A16="","",IFERROR(SUMPRODUCT(('Raw Data'!$B$2:$B$9999="Variant")*('Raw Data'!$A$2:$A$9999=$A16)*('Raw Data'!$C$2:$C$9999=$C$3)*'Raw Data'!$D$2:$D$9999*'Raw Data'!$T$2:$T$9999)/SUMIFS('Raw Data'!$D:$D, 'Raw Data'!$B:$B, "Variant", 'Raw Data'!$A:$A, $A16, 'Raw Data'!$C:$C, $C$3),""))</f>
        <v/>
      </c>
      <c r="AZ16" s="86" t="str">
        <f t="shared" si="17"/>
        <v/>
      </c>
      <c r="BA16" s="90" t="str">
        <f>IF($A16="","",IFERROR(SUMPRODUCT(('Raw Data'!$B$2:$B$9999="Control")*('Raw Data'!$A$2:$A$9999=$A16)*('Raw Data'!$C$2:$C$9999=$C$3)*'Raw Data'!$D$2:$D$9999*'Raw Data'!$U$2:$U$9999)/SUMIFS('Raw Data'!$D:$D, 'Raw Data'!$B:$B, "Control", 'Raw Data'!$A:$A, $A16, 'Raw Data'!$C:$C, $C$3),""))</f>
        <v/>
      </c>
      <c r="BB16" s="90" t="str">
        <f>IF($A16="","",IFERROR(SUMPRODUCT(('Raw Data'!$B$2:$B$9999="Variant")*('Raw Data'!$A$2:$A$9999=$A16)*('Raw Data'!$C$2:$C$9999=$C$3)*'Raw Data'!$D$2:$D$9999*'Raw Data'!$U$2:$U$9999)/SUMIFS('Raw Data'!$D:$D, 'Raw Data'!$B:$B, "Variant", 'Raw Data'!$A:$A, $A16, 'Raw Data'!$C:$C, $C$3),""))</f>
        <v/>
      </c>
      <c r="BC16" s="77" t="str">
        <f t="shared" si="18"/>
        <v/>
      </c>
      <c r="BD16" s="90" t="str">
        <f>IF($A16="","",IFERROR(SUMPRODUCT(('Raw Data'!$B$2:$B$9999="Control")*('Raw Data'!$A$2:$A$9999=$A16)*('Raw Data'!$C$2:$C$9999=$C$3)*'Raw Data'!$D$2:$D$9999*'Raw Data'!$V$2:$V$9999)/SUMIFS('Raw Data'!$D:$D, 'Raw Data'!$B:$B, "Control", 'Raw Data'!$A:$A, $A16, 'Raw Data'!$C:$C, $C$3),""))</f>
        <v/>
      </c>
      <c r="BE16" s="90" t="str">
        <f>IF($A16="","",IFERROR(SUMPRODUCT(('Raw Data'!$B$2:$B$9999="Variant")*('Raw Data'!$A$2:$A$9999=$A16)*('Raw Data'!$C$2:$C$9999=$C$3)*'Raw Data'!$D$2:$D$9999*'Raw Data'!$V$2:$V$9999)/SUMIFS('Raw Data'!$D:$D, 'Raw Data'!$B:$B, "Variant", 'Raw Data'!$A:$A, $A16, 'Raw Data'!$C:$C, $C$3),""))</f>
        <v/>
      </c>
      <c r="BF16" s="77" t="str">
        <f t="shared" si="19"/>
        <v/>
      </c>
      <c r="BG16" s="90" t="str">
        <f>IF($A16="","",IFERROR(SUMPRODUCT(('Raw Data'!$B$2:$B$9999="Control")*('Raw Data'!$A$2:$A$9999=$A16)*('Raw Data'!$C$2:$C$9999=$C$3)*'Raw Data'!$D$2:$D$9999*('Raw Data'!$Q$2:$Q$9999-'Raw Data'!$V$2:$V$9999))/SUMIFS('Raw Data'!$D:$D, 'Raw Data'!$B:$B, "Control", 'Raw Data'!$A:$A, $A16, 'Raw Data'!$C:$C, $C$3),""))</f>
        <v/>
      </c>
      <c r="BH16" s="90" t="str">
        <f>IF($A16="","",IFERROR(SUMPRODUCT(('Raw Data'!$B$2:$B$9999="Variant")*('Raw Data'!$A$2:$A$9999=$A16)*('Raw Data'!$C$2:$C$9999=$C$3)*'Raw Data'!$D$2:$D$9999*('Raw Data'!$Q$2:$Q$9999-'Raw Data'!$V$2:$V$9999))/SUMIFS('Raw Data'!$D:$D, 'Raw Data'!$B:$B, "Variant", 'Raw Data'!$A:$A, $A16, 'Raw Data'!$C:$C, $C$3),""))</f>
        <v/>
      </c>
      <c r="BI16" s="77" t="str">
        <f t="shared" si="20"/>
        <v/>
      </c>
      <c r="BJ16" s="90" t="str">
        <f>IF($A16="","",IFERROR(SUMPRODUCT(('Raw Data'!$B$2:$B$9999="Control")*('Raw Data'!$A$2:$A$9999=$A16)*('Raw Data'!$C$2:$C$9999=$C$3)*'Raw Data'!$D$2:$D$9999*'Raw Data'!$W$2:$W$9999)/SUMIFS('Raw Data'!$D:$D, 'Raw Data'!$B:$B, "Control", 'Raw Data'!$A:$A, $A16, 'Raw Data'!$C:$C, $C$3),""))</f>
        <v/>
      </c>
      <c r="BK16" s="90" t="str">
        <f>IF($A16="","",IFERROR(SUMPRODUCT(('Raw Data'!$B$2:$B$9999="Variant")*('Raw Data'!$A$2:$A$9999=$A16)*('Raw Data'!$C$2:$C$9999=$C$3)*'Raw Data'!$D$2:$D$9999*'Raw Data'!$W$2:$W$9999)/SUMIFS('Raw Data'!$D:$D, 'Raw Data'!$B:$B, "Variant", 'Raw Data'!$A:$A, $A16, 'Raw Data'!$C:$C, $C$3),""))</f>
        <v/>
      </c>
      <c r="BL16" s="77" t="str">
        <f t="shared" si="21"/>
        <v/>
      </c>
      <c r="BM16" s="91" t="str">
        <f>IF($A16="","",IFERROR(SUMPRODUCT(('Raw Data'!$B$2:$B$9999="Control")*('Raw Data'!$A$2:$A$9999=$A16)*('Raw Data'!$C$2:$C$9999=$C$3)*'Raw Data'!$D$2:$D$9999*'Raw Data'!$X$2:$X$9999)/SUMIFS('Raw Data'!$D:$D, 'Raw Data'!$B:$B, "Control", 'Raw Data'!$A:$A, $A16, 'Raw Data'!$C:$C, $C$3),""))</f>
        <v/>
      </c>
      <c r="BN16" s="91" t="str">
        <f>IF($A16="","",IFERROR(SUMPRODUCT(('Raw Data'!$B$2:$B$9999="Variant")*('Raw Data'!$A$2:$A$9999=$A16)*('Raw Data'!$C$2:$C$9999=$C$3)*'Raw Data'!$D$2:$D$9999*'Raw Data'!$X$2:$X$9999)/SUMIFS('Raw Data'!$D:$D, 'Raw Data'!$B:$B, "Variant", 'Raw Data'!$A:$A, $A16, 'Raw Data'!$C:$C, $C$3),""))</f>
        <v/>
      </c>
      <c r="BO16" s="86" t="str">
        <f t="shared" si="22"/>
        <v/>
      </c>
      <c r="BP16" s="76" t="str">
        <f>IF($A16="","",IFERROR(SUMPRODUCT(('Raw Data'!$B$2:$B$9999="Control")*('Raw Data'!$A$2:$A$9999=$A16)*('Raw Data'!$C$2:$C$9999=$C$3)*'Raw Data'!$D$2:$D$9999*'Raw Data'!$Y$2:$Y$9999)/SUMIFS('Raw Data'!$D:$D, 'Raw Data'!$B:$B, "Control", 'Raw Data'!$A:$A, $A16, 'Raw Data'!$C:$C, $C$3),""))</f>
        <v/>
      </c>
      <c r="BQ16" s="76" t="str">
        <f>IF($A16="","",IFERROR(SUMPRODUCT(('Raw Data'!$B$2:$B$9999="Variant")*('Raw Data'!$A$2:$A$9999=$A16)*('Raw Data'!$C$2:$C$9999=$C$3)*'Raw Data'!$D$2:$D$9999*'Raw Data'!$Y$2:$Y$9999)/SUMIFS('Raw Data'!$D:$D, 'Raw Data'!$B:$B, "Variant", 'Raw Data'!$A:$A, $A16, 'Raw Data'!$C:$C, $C$3),""))</f>
        <v/>
      </c>
      <c r="BR16" s="77" t="str">
        <f t="shared" si="23"/>
        <v/>
      </c>
      <c r="BS16" s="76" t="str">
        <f>IF($A16="","",IFERROR(SUMPRODUCT(('Raw Data'!$B$2:$B$9999="Control")*('Raw Data'!$A$2:$A$9999=$A16)*('Raw Data'!$C$2:$C$9999=$C$3)*'Raw Data'!$D$2:$D$9999*'Raw Data'!$Z$2:$Z$9999)/SUMIFS('Raw Data'!$D:$D, 'Raw Data'!$B:$B, "Control", 'Raw Data'!$A:$A, $A16, 'Raw Data'!$C:$C, $C$3),""))</f>
        <v/>
      </c>
      <c r="BT16" s="76" t="str">
        <f>IF($A16="","",IFERROR(SUMPRODUCT(('Raw Data'!$B$2:$B$9999="Variant")*('Raw Data'!$A$2:$A$9999=$A16)*('Raw Data'!$C$2:$C$9999=$C$3)*'Raw Data'!$D$2:$D$9999*'Raw Data'!$Z$2:$Z$9999)/SUMIFS('Raw Data'!$D:$D, 'Raw Data'!$B:$B, "Variant", 'Raw Data'!$A:$A, $A16, 'Raw Data'!$C:$C, $C$3),""))</f>
        <v/>
      </c>
      <c r="BU16" s="77" t="str">
        <f t="shared" si="24"/>
        <v/>
      </c>
      <c r="BV16" s="76" t="str">
        <f>IF($A16="","",IFERROR(SUMPRODUCT(('Raw Data'!$B$2:$B$9999="Control")*('Raw Data'!$A$2:$A$9999=$A16)*('Raw Data'!$C$2:$C$9999=$C$3)*'Raw Data'!$D$2:$D$9999*'Raw Data'!$AA$2:$AA$9999)/SUMIFS('Raw Data'!$D:$D, 'Raw Data'!$B:$B, "Control", 'Raw Data'!$A:$A, $A16, 'Raw Data'!$C:$C, $C$3),""))</f>
        <v/>
      </c>
      <c r="BW16" s="76" t="str">
        <f>IF($A16="","",IFERROR(SUMPRODUCT(('Raw Data'!$B$2:$B$9999="Variant")*('Raw Data'!$A$2:$A$9999=$A16)*('Raw Data'!$C$2:$C$9999=$C$3)*'Raw Data'!$D$2:$D$9999*'Raw Data'!$AA$2:$AA$9999)/SUMIFS('Raw Data'!$D:$D, 'Raw Data'!$B:$B, "Variant", 'Raw Data'!$A:$A, $A16, 'Raw Data'!$C:$C, $C$3),""))</f>
        <v/>
      </c>
      <c r="BX16" s="77" t="str">
        <f t="shared" si="25"/>
        <v/>
      </c>
      <c r="BY16" s="90" t="str">
        <f>IF($A16="","",IFERROR(SUMPRODUCT(('Raw Data'!$B$2:$B$9999="Control")*('Raw Data'!$A$2:$A$9999=$A16)*('Raw Data'!$C$2:$C$9999=$C$3)*'Raw Data'!$D$2:$D$9999*'Raw Data'!$AB$2:$AB$9999)/SUMIFS('Raw Data'!$D:$D, 'Raw Data'!$B:$B, "Control", 'Raw Data'!$A:$A, $A16, 'Raw Data'!$C:$C, $C$3),""))</f>
        <v/>
      </c>
      <c r="BZ16" s="90" t="str">
        <f>IF($A16="","",IFERROR(SUMPRODUCT(('Raw Data'!$B$2:$B$9999="Variant")*('Raw Data'!$A$2:$A$9999=$A16)*('Raw Data'!$C$2:$C$9999=$C$3)*'Raw Data'!$D$2:$D$9999*'Raw Data'!$AB$2:$AB$9999)/SUMIFS('Raw Data'!$D:$D, 'Raw Data'!$B:$B, "Variant", 'Raw Data'!$A:$A, $A16, 'Raw Data'!$C:$C, $C$3),""))</f>
        <v/>
      </c>
      <c r="CA16" s="86" t="str">
        <f t="shared" si="26"/>
        <v/>
      </c>
      <c r="CB16" s="90" t="str">
        <f>IF($A16="","",IFERROR(SUMPRODUCT(('Raw Data'!$B$2:$B$9999="Control")*('Raw Data'!$A$2:$A$9999=$A16)*('Raw Data'!$C$2:$C$9999=$C$3)*'Raw Data'!$D$2:$D$9999*'Raw Data'!$AC$2:$AC$9999)/SUMIFS('Raw Data'!$D:$D, 'Raw Data'!$B:$B, "Control", 'Raw Data'!$A:$A, $A16, 'Raw Data'!$C:$C, $C$3),""))</f>
        <v/>
      </c>
      <c r="CC16" s="90" t="str">
        <f>IF($A16="","",IFERROR(SUMPRODUCT(('Raw Data'!$B$2:$B$9999="Variant")*('Raw Data'!$A$2:$A$9999=$A16)*('Raw Data'!$C$2:$C$9999=$C$3)*'Raw Data'!$D$2:$D$9999*'Raw Data'!$AC$2:$AC$9999)/SUMIFS('Raw Data'!$D:$D, 'Raw Data'!$B:$B, "Variant", 'Raw Data'!$A:$A, $A16, 'Raw Data'!$C:$C, $C$3),""))</f>
        <v/>
      </c>
      <c r="CD16" s="86" t="str">
        <f t="shared" si="27"/>
        <v/>
      </c>
      <c r="CE16" s="90" t="str">
        <f>IF($A16="","",IFERROR(SUMPRODUCT(('Raw Data'!$B$2:$B$9999="Control")*('Raw Data'!$A$2:$A$9999=$A16)*('Raw Data'!$C$2:$C$9999=$C$3)*'Raw Data'!$D$2:$D$9999*'Raw Data'!$AD$2:$AD$9999)/SUMIFS('Raw Data'!$D:$D, 'Raw Data'!$B:$B, "Control", 'Raw Data'!$A:$A, $A16, 'Raw Data'!$C:$C, $C$3),""))</f>
        <v/>
      </c>
      <c r="CF16" s="90" t="str">
        <f>IF($A16="","",IFERROR(SUMPRODUCT(('Raw Data'!$B$2:$B$9999="Variant")*('Raw Data'!$A$2:$A$9999=$A16)*('Raw Data'!$C$2:$C$9999=$C$3)*'Raw Data'!$D$2:$D$9999*'Raw Data'!$AD$2:$AD$9999)/SUMIFS('Raw Data'!$D:$D, 'Raw Data'!$B:$B, "Variant", 'Raw Data'!$A:$A, $A16, 'Raw Data'!$C:$C, $C$3),""))</f>
        <v/>
      </c>
      <c r="CG16" s="86" t="str">
        <f t="shared" si="28"/>
        <v/>
      </c>
      <c r="CH16" s="90" t="str">
        <f>IF($A16="","",IFERROR(SUMPRODUCT(('Raw Data'!$B$2:$B$9999="Control")*('Raw Data'!$A$2:$A$9999=$A16)*('Raw Data'!$C$2:$C$9999=$C$3)*'Raw Data'!$D$2:$D$9999*'Raw Data'!$AE$2:$AE$9999)/SUMIFS('Raw Data'!$D:$D, 'Raw Data'!$B:$B, "Control", 'Raw Data'!$A:$A, $A16, 'Raw Data'!$C:$C, $C$3),""))</f>
        <v/>
      </c>
      <c r="CI16" s="90" t="str">
        <f>IF($A16="","",IFERROR(SUMPRODUCT(('Raw Data'!$B$2:$B$9999="Variant")*('Raw Data'!$A$2:$A$9999=$A16)*('Raw Data'!$C$2:$C$9999=$C$3)*'Raw Data'!$D$2:$D$9999*'Raw Data'!$AE$2:$AE$9999)/SUMIFS('Raw Data'!$D:$D, 'Raw Data'!$B:$B, "Variant", 'Raw Data'!$A:$A, $A16, 'Raw Data'!$C:$C, $C$3),""))</f>
        <v/>
      </c>
      <c r="CJ16" s="86" t="str">
        <f t="shared" si="29"/>
        <v/>
      </c>
      <c r="CK16" s="90" t="str">
        <f>IF($A16="","",IFERROR(SUMPRODUCT(('Raw Data'!$B$2:$B$9999="Control")*('Raw Data'!$A$2:$A$9999=$A16)*('Raw Data'!$C$2:$C$9999=$C$3)*'Raw Data'!$D$2:$D$9999*'Raw Data'!$AF$2:$AF$9999)/SUMIFS('Raw Data'!$D:$D, 'Raw Data'!$B:$B, "Control", 'Raw Data'!$A:$A, $A16, 'Raw Data'!$C:$C, $C$3),""))</f>
        <v/>
      </c>
      <c r="CL16" s="90" t="str">
        <f>IF($A16="","",IFERROR(SUMPRODUCT(('Raw Data'!$B$2:$B$9999="Variant")*('Raw Data'!$A$2:$A$9999=$A16)*('Raw Data'!$C$2:$C$9999=$C$3)*'Raw Data'!$D$2:$D$9999*'Raw Data'!$AF$2:$AF$9999)/SUMIFS('Raw Data'!$D:$D, 'Raw Data'!$B:$B, "Variant", 'Raw Data'!$A:$A, $A16, 'Raw Data'!$C:$C, $C$3),""))</f>
        <v/>
      </c>
      <c r="CM16" s="86" t="str">
        <f t="shared" si="30"/>
        <v/>
      </c>
      <c r="CN16" s="90" t="str">
        <f>IF($A16="","",IFERROR(SUMPRODUCT(('Raw Data'!$B$2:$B$9999="Control")*('Raw Data'!$A$2:$A$9999=$A16)*('Raw Data'!$C$2:$C$9999=$C$3)*'Raw Data'!$D$2:$D$9999*'Raw Data'!$AG$2:$AG$9999)/SUMIFS('Raw Data'!$D:$D, 'Raw Data'!$B:$B, "Control", 'Raw Data'!$A:$A, $A16, 'Raw Data'!$C:$C, $C$3),""))</f>
        <v/>
      </c>
      <c r="CO16" s="90" t="str">
        <f>IF($A16="","",IFERROR(SUMPRODUCT(('Raw Data'!$B$2:$B$9999="Variant")*('Raw Data'!$A$2:$A$9999=$A16)*('Raw Data'!$C$2:$C$9999=$C$3)*'Raw Data'!$D$2:$D$9999*'Raw Data'!$AG$2:$AG$9999)/SUMIFS('Raw Data'!$D:$D, 'Raw Data'!$B:$B, "Variant", 'Raw Data'!$A:$A, $A16, 'Raw Data'!$C:$C, $C$3),""))</f>
        <v/>
      </c>
      <c r="CP16" s="86" t="str">
        <f t="shared" si="31"/>
        <v/>
      </c>
      <c r="CQ16" s="90" t="str">
        <f>IF($A16="","",IFERROR(SUMPRODUCT(('Raw Data'!$B$2:$B$9999="Control")*('Raw Data'!$A$2:$A$9999=$A16)*('Raw Data'!$C$2:$C$9999=$C$3)*'Raw Data'!$D$2:$D$9999*'Raw Data'!$AH$2:$AH$9999)/SUMIFS('Raw Data'!$D:$D, 'Raw Data'!$B:$B, "Control", 'Raw Data'!$A:$A, $A16, 'Raw Data'!$C:$C, $C$3),""))</f>
        <v/>
      </c>
      <c r="CR16" s="90" t="str">
        <f>IF($A16="","",IFERROR(SUMPRODUCT(('Raw Data'!$B$2:$B$9999="Variant")*('Raw Data'!$A$2:$A$9999=$A16)*('Raw Data'!$C$2:$C$9999=$C$3)*'Raw Data'!$D$2:$D$9999*'Raw Data'!$AH$2:$AH$9999)/SUMIFS('Raw Data'!$D:$D, 'Raw Data'!$B:$B, "Variant", 'Raw Data'!$A:$A, $A16, 'Raw Data'!$C:$C, $C$3),""))</f>
        <v/>
      </c>
      <c r="CS16" s="86" t="str">
        <f t="shared" si="32"/>
        <v/>
      </c>
      <c r="CT16" s="79" t="str">
        <f>IF($A16="","",IFERROR(SUMPRODUCT(('Raw Data'!$B$2:$B$9999="Control")*('Raw Data'!$A$2:$A$9999=$A16)*('Raw Data'!$C$2:$C$9999=$C$3)*'Raw Data'!$D$2:$D$9999*'Raw Data'!$AI$2:$AI$9999)/SUMIFS('Raw Data'!$D:$D, 'Raw Data'!$B:$B, "Control", 'Raw Data'!$A:$A, $A16, 'Raw Data'!$C:$C, $C$3),""))</f>
        <v/>
      </c>
      <c r="CU16" s="79" t="str">
        <f>IF($A16="","",IFERROR(SUMPRODUCT(('Raw Data'!$B$2:$B$9999="Variant")*('Raw Data'!$A$2:$A$9999=$A16)*('Raw Data'!$C$2:$C$9999=$C$3)*'Raw Data'!$D$2:$D$9999*'Raw Data'!$AI$2:$AI$9999)/SUMIFS('Raw Data'!$D:$D, 'Raw Data'!$B:$B, "Variant", 'Raw Data'!$A:$A, $A16, 'Raw Data'!$C:$C, $C$3),""))</f>
        <v/>
      </c>
      <c r="CV16" s="93" t="str">
        <f t="shared" si="33"/>
        <v/>
      </c>
      <c r="CW16" s="79" t="str">
        <f>IF($A16="","",IFERROR(SUMPRODUCT(('Raw Data'!$B$2:$B$9999="Control")*('Raw Data'!$A$2:$A$9999=$A16)*('Raw Data'!$C$2:$C$9999=$C$3)*'Raw Data'!$D$2:$D$9999*'Raw Data'!$AJ$2:$AJ$9999)/SUMIFS('Raw Data'!$D:$D, 'Raw Data'!$B:$B, "Control", 'Raw Data'!$A:$A, $A16, 'Raw Data'!$C:$C, $C$3),""))</f>
        <v/>
      </c>
      <c r="CX16" s="79" t="str">
        <f>IF($A16="","",IFERROR(SUMPRODUCT(('Raw Data'!$B$2:$B$9999="Variant")*('Raw Data'!$A$2:$A$9999=$A16)*('Raw Data'!$C$2:$C$9999=$C$3)*'Raw Data'!$D$2:$D$9999*'Raw Data'!$AJ$2:$AJ$9999)/SUMIFS('Raw Data'!$D:$D, 'Raw Data'!$B:$B, "Variant", 'Raw Data'!$A:$A, $A16, 'Raw Data'!$C:$C, $C$3),""))</f>
        <v/>
      </c>
      <c r="CY16" s="93" t="str">
        <f t="shared" si="34"/>
        <v/>
      </c>
      <c r="CZ16" s="79" t="str">
        <f>IF($A16="","",IFERROR(SUMPRODUCT(('Raw Data'!$B$2:$B$9999="Control")*('Raw Data'!$A$2:$A$9999=$A16)*('Raw Data'!$C$2:$C$9999=$C$3)*'Raw Data'!$D$2:$D$9999*'Raw Data'!$AK$2:$AK$9999)/SUMIFS('Raw Data'!$D:$D, 'Raw Data'!$B:$B, "Control", 'Raw Data'!$A:$A, $A16, 'Raw Data'!$C:$C, $C$3),""))</f>
        <v/>
      </c>
      <c r="DA16" s="79" t="str">
        <f>IF($A16="","",IFERROR(SUMPRODUCT(('Raw Data'!$B$2:$B$9999="Variant")*('Raw Data'!$A$2:$A$9999=$A16)*('Raw Data'!$C$2:$C$9999=$C$3)*'Raw Data'!$D$2:$D$9999*'Raw Data'!$AK$2:$AK$9999)/SUMIFS('Raw Data'!$D:$D, 'Raw Data'!$B:$B, "Variant", 'Raw Data'!$A:$A, $A16, 'Raw Data'!$C:$C, $C$3),""))</f>
        <v/>
      </c>
      <c r="DB16" s="86" t="str">
        <f t="shared" si="35"/>
        <v/>
      </c>
      <c r="DC16" s="91" t="str">
        <f>IF($A16="","",IFERROR(SUMPRODUCT(('Raw Data'!$B$2:$B$9999="Control")*('Raw Data'!$A$2:$A$9999=$A16)*('Raw Data'!$C$2:$C$9999=$C$3)*'Raw Data'!$D$2:$D$9999*'Raw Data'!$AL$2:$AL$9999)/SUMIFS('Raw Data'!$D:$D, 'Raw Data'!$B:$B, "Control", 'Raw Data'!$A:$A, $A16, 'Raw Data'!$C:$C, $C$3),""))</f>
        <v/>
      </c>
      <c r="DD16" s="91" t="str">
        <f>IF($A16="","",IFERROR(SUMPRODUCT(('Raw Data'!$B$2:$B$9999="Variant")*('Raw Data'!$A$2:$A$9999=$A16)*('Raw Data'!$C$2:$C$9999=$C$3)*'Raw Data'!$D$2:$D$9999*'Raw Data'!$AL$2:$AL$9999)/SUMIFS('Raw Data'!$D:$D, 'Raw Data'!$B:$B, "Variant", 'Raw Data'!$A:$A, $A16, 'Raw Data'!$C:$C, $C$3),""))</f>
        <v/>
      </c>
      <c r="DE16" s="93" t="str">
        <f t="shared" si="36"/>
        <v/>
      </c>
      <c r="DF16" s="107"/>
      <c r="DG16" s="79" t="str">
        <f>IF($A16="","",IFERROR(SUMPRODUCT(('Raw Data'!$B$2:$B$9999="Variant")*('Raw Data'!$A$2:$A$9999=$A16)*('Raw Data'!$C$2:$C$9999=$C$3)*'Raw Data'!$D$2:$D$9999*'Raw Data'!$AM$2:$AM$9999)/SUMIFS('Raw Data'!$D:$D, 'Raw Data'!$B:$B, "Variant", 'Raw Data'!$A:$A, $A16, 'Raw Data'!$C:$C, $C$3),""))</f>
        <v/>
      </c>
      <c r="DH16" s="108"/>
      <c r="DI16" s="107"/>
      <c r="DJ16" s="79" t="str">
        <f>IF($A16="","",IFERROR(SUMPRODUCT(('Raw Data'!$B$2:$B$9999="Variant")*('Raw Data'!$A$2:$A$9999=$A16)*('Raw Data'!$C$2:$C$9999=$C$3)*'Raw Data'!$D$2:$D$9999*'Raw Data'!$AN$2:$AN$9999)/SUMIFS('Raw Data'!$D:$D, 'Raw Data'!$B:$B, "Variant", 'Raw Data'!$A:$A, $A16, 'Raw Data'!$C:$C, $C$3),""))</f>
        <v/>
      </c>
      <c r="DK16" s="108"/>
      <c r="DL16" s="107"/>
      <c r="DM16" s="79" t="str">
        <f>IF($A16="","",IFERROR(SUMPRODUCT(('Raw Data'!$B$2:$B$9999="Variant")*('Raw Data'!$A$2:$A$9999=$A16)*('Raw Data'!$C$2:$C$9999=$C$3)*'Raw Data'!$D$2:$D$9999*'Raw Data'!$AO$2:$AO$9999)/SUMIFS('Raw Data'!$D:$D, 'Raw Data'!$B:$B, "Variant", 'Raw Data'!$A:$A, $A16, 'Raw Data'!$C:$C, $C$3),""))</f>
        <v/>
      </c>
      <c r="DN16" s="108"/>
      <c r="DO16" s="107"/>
      <c r="DP16" s="79" t="str">
        <f>IF($A16="","",IFERROR(SUMPRODUCT(('Raw Data'!$B$2:$B$9999="Variant")*('Raw Data'!$A$2:$A$9999=$A16)*('Raw Data'!$C$2:$C$9999=$C$3)*'Raw Data'!$D$2:$D$9999*'Raw Data'!$AP$2:$AP$9999)/SUMIFS('Raw Data'!$D:$D, 'Raw Data'!$B:$B, "Variant", 'Raw Data'!$A:$A, $A16, 'Raw Data'!$C:$C, $C$3),""))</f>
        <v/>
      </c>
      <c r="DQ16" s="108"/>
      <c r="DR16" s="91" t="str">
        <f>IF($A16="","",IFERROR(SUMPRODUCT(('Raw Data'!$B$2:$B$9999="Control")*('Raw Data'!$A$2:$A$9999=$A16)*('Raw Data'!$C$2:$C$9999=$C$3)*'Raw Data'!$D$2:$D$9999*'Raw Data'!$AQ$2:$AQ$9999)/SUMIFS('Raw Data'!$D:$D, 'Raw Data'!$B:$B, "Control", 'Raw Data'!$A:$A, $A16, 'Raw Data'!$C:$C, $C$3),""))</f>
        <v/>
      </c>
      <c r="DS16" s="91" t="str">
        <f>IF($A16="","",IFERROR(SUMPRODUCT(('Raw Data'!$B$2:$B$9999="Variant")*('Raw Data'!$A$2:$A$9999=$A16)*('Raw Data'!$C$2:$C$9999=$C$3)*'Raw Data'!$D$2:$D$9999*'Raw Data'!$AQ$2:$AQ$9999)/SUMIFS('Raw Data'!$D:$D, 'Raw Data'!$B:$B, "Variant", 'Raw Data'!$A:$A, $A16, 'Raw Data'!$C:$C, $C$3),""))</f>
        <v/>
      </c>
      <c r="DT16" s="110" t="str">
        <f t="shared" si="37"/>
        <v/>
      </c>
      <c r="DU16" s="91" t="str">
        <f>IF($A16="","",IFERROR(SUMPRODUCT(('Raw Data'!$B$2:$B$9999="Control")*('Raw Data'!$A$2:$A$9999=$A16)*('Raw Data'!$C$2:$C$9999=$C$3)*'Raw Data'!$D$2:$D$9999*'Raw Data'!$AR$2:$AR$9999)/SUMIFS('Raw Data'!$D:$D, 'Raw Data'!$B:$B, "Control", 'Raw Data'!$A:$A, $A16, 'Raw Data'!$C:$C, $C$3),""))</f>
        <v/>
      </c>
      <c r="DV16" s="91" t="str">
        <f>IF($A16="","",IFERROR(SUMPRODUCT(('Raw Data'!$B$2:$B$9999="Variant")*('Raw Data'!$A$2:$A$9999=$A16)*('Raw Data'!$C$2:$C$9999=$C$3)*'Raw Data'!$D$2:$D$9999*'Raw Data'!$AR$2:$AR$9999)/SUMIFS('Raw Data'!$D:$D, 'Raw Data'!$B:$B, "Variant", 'Raw Data'!$A:$A, $A16, 'Raw Data'!$C:$C, $C$3),""))</f>
        <v/>
      </c>
      <c r="DW16" s="110" t="str">
        <f t="shared" si="38"/>
        <v/>
      </c>
      <c r="DX16" s="91" t="str">
        <f>IF($A16="","",IFERROR(SUMPRODUCT(('Raw Data'!$B$2:$B$9999="Control")*('Raw Data'!$A$2:$A$9999=$A16)*('Raw Data'!$C$2:$C$9999=$C$3)*'Raw Data'!$D$2:$D$9999*'Raw Data'!$AS$2:$AS$9999)/SUMIFS('Raw Data'!$D:$D, 'Raw Data'!$B:$B, "Control", 'Raw Data'!$A:$A, $A16, 'Raw Data'!$C:$C, $C$3),""))</f>
        <v/>
      </c>
      <c r="DY16" s="91" t="str">
        <f>IF($A16="","",IFERROR(SUMPRODUCT(('Raw Data'!$B$2:$B$9999="Variant")*('Raw Data'!$A$2:$A$9999=$A16)*('Raw Data'!$C$2:$C$9999=$C$3)*'Raw Data'!$D$2:$D$9999*'Raw Data'!$AS$2:$AS$9999)/SUMIFS('Raw Data'!$D:$D, 'Raw Data'!$B:$B, "Variant", 'Raw Data'!$A:$A, $A16, 'Raw Data'!$C:$C, $C$3),""))</f>
        <v/>
      </c>
      <c r="DZ16" s="111" t="str">
        <f t="shared" si="39"/>
        <v/>
      </c>
      <c r="EA16" s="91" t="str">
        <f>IF($A16="","",IFERROR(SUMPRODUCT(('Raw Data'!$B$2:$B$9999="Control")*('Raw Data'!$A$2:$A$9999=$A16)*('Raw Data'!$C$2:$C$9999=$C$3)*'Raw Data'!$D$2:$D$9999*'Raw Data'!$AT$2:$AT$9999)/SUMIFS('Raw Data'!$D:$D, 'Raw Data'!$B:$B, "Control", 'Raw Data'!$A:$A, $A16, 'Raw Data'!$C:$C, $C$3),""))</f>
        <v/>
      </c>
      <c r="EB16" s="91" t="str">
        <f>IF($A16="","",IFERROR(SUMPRODUCT(('Raw Data'!$B$2:$B$9999="Variant")*('Raw Data'!$A$2:$A$9999=$A16)*('Raw Data'!$C$2:$C$9999=$C$3)*'Raw Data'!$D$2:$D$9999*'Raw Data'!$AT$2:$AT$9999)/SUMIFS('Raw Data'!$D:$D, 'Raw Data'!$B:$B, "Variant", 'Raw Data'!$A:$A, $A16, 'Raw Data'!$C:$C, $C$3),""))</f>
        <v/>
      </c>
      <c r="EC16" s="110" t="str">
        <f t="shared" si="40"/>
        <v/>
      </c>
      <c r="ED16" s="91" t="str">
        <f>IF($A16="","",IFERROR(SUMPRODUCT(('Raw Data'!$B$2:$B$9999="Control")*('Raw Data'!$A$2:$A$9999=$A16)*('Raw Data'!$C$2:$C$9999=$C$3)*'Raw Data'!$D$2:$D$9999*('Raw Data'!$AQ$2:$AQ$9999-'Raw Data'!$AT$2:$AT$9999))/SUMIFS('Raw Data'!$D:$D, 'Raw Data'!$B:$B, "Control", 'Raw Data'!$A:$A, $A16, 'Raw Data'!$C:$C, $C$3),""))</f>
        <v/>
      </c>
      <c r="EE16" s="91" t="str">
        <f>IF($A16="","",IFERROR(SUMPRODUCT(('Raw Data'!$B$2:$B$9999="Variant")*('Raw Data'!$A$2:$A$9999=$A16)*('Raw Data'!$C$2:$C$9999=$C$3)*'Raw Data'!$D$2:$D$9999*('Raw Data'!$AQ$2:$AQ$9999-'Raw Data'!$AT$2:$AT$9999))/SUMIFS('Raw Data'!$D:$D, 'Raw Data'!$B:$B, "Variant", 'Raw Data'!$A:$A, $A16, 'Raw Data'!$C:$C, $C$3),""))</f>
        <v/>
      </c>
      <c r="EF16" s="111" t="str">
        <f t="shared" si="41"/>
        <v/>
      </c>
      <c r="EG16" s="91" t="str">
        <f>IF($A16="","",IFERROR(SUMPRODUCT(('Raw Data'!$B$2:$B$9999="Control")*('Raw Data'!$A$2:$A$9999=$A16)*('Raw Data'!$C$2:$C$9999=$C$3)*'Raw Data'!$D$2:$D$9999*'Raw Data'!$AU$2:$AU$9999)/SUMIFS('Raw Data'!$D:$D, 'Raw Data'!$B:$B, "Control", 'Raw Data'!$A:$A, $A16, 'Raw Data'!$C:$C, $C$3),""))</f>
        <v/>
      </c>
      <c r="EH16" s="91" t="str">
        <f>IF($A16="","",IFERROR(SUMPRODUCT(('Raw Data'!$B$2:$B$9999="Variant")*('Raw Data'!$A$2:$A$9999=$A16)*('Raw Data'!$C$2:$C$9999=$C$3)*'Raw Data'!$D$2:$D$9999*'Raw Data'!$AU$2:$AU$9999)/SUMIFS('Raw Data'!$D:$D, 'Raw Data'!$B:$B, "Variant", 'Raw Data'!$A:$A, $A16, 'Raw Data'!$C:$C, $C$3),""))</f>
        <v/>
      </c>
      <c r="EI16" s="110" t="str">
        <f t="shared" si="42"/>
        <v/>
      </c>
    </row>
    <row r="17" ht="15.75" customHeight="1">
      <c r="A17" s="74">
        <v>46240.0</v>
      </c>
      <c r="B17" s="76">
        <f>IF($A17="","",SUMIFS('Raw Data'!$D:$D, 'Raw Data'!$B:$B, "Control", 'Raw Data'!$A:$A, $A17, 'Raw Data'!$C:$C, $C$3))</f>
        <v>0</v>
      </c>
      <c r="C17" s="76">
        <f>IF($A17="","",SUMIFS('Raw Data'!$D:$D, 'Raw Data'!$B:$B, "Variant", 'Raw Data'!$A:$A, $A17, 'Raw Data'!$C:$C, $C$3))</f>
        <v>0</v>
      </c>
      <c r="D17" s="77" t="str">
        <f t="shared" si="1"/>
        <v/>
      </c>
      <c r="E17" s="79" t="str">
        <f>IF($A17="","",IFERROR(SUMPRODUCT(('Raw Data'!$B$2:$B$9999="Control")*('Raw Data'!$A$2:$A$9999=$A17)*('Raw Data'!$C$2:$C$9999=$C$3)*'Raw Data'!$D$2:$D$9999*'Raw Data'!$E$2:$E$9999)/SUMIFS('Raw Data'!$D:$D, 'Raw Data'!$B:$B, "Control", 'Raw Data'!$A:$A, $A17, 'Raw Data'!$C:$C, $C$3),""))</f>
        <v/>
      </c>
      <c r="F17" s="79" t="str">
        <f>IF($A17="","",IFERROR(SUMPRODUCT(('Raw Data'!$B$2:$B$9999="Variant")*('Raw Data'!$A$2:$A$9999=$A17)*('Raw Data'!$C$2:$C$9999=$C$3)*'Raw Data'!$D$2:$D$9999*'Raw Data'!$E$2:$E$9999)/SUMIFS('Raw Data'!$D:$D, 'Raw Data'!$B:$B, "Variant", 'Raw Data'!$A:$A, $A17, 'Raw Data'!$C:$C, $C$3),""))</f>
        <v/>
      </c>
      <c r="G17" s="77" t="str">
        <f t="shared" si="2"/>
        <v/>
      </c>
      <c r="H17" s="85">
        <f>IF($A17="","",SUMIFS('Raw Data'!$F:$F, 'Raw Data'!$B:$B, "Control", 'Raw Data'!$A:$A, $A17, 'Raw Data'!$C:$C, $C$3))</f>
        <v>0</v>
      </c>
      <c r="I17" s="85">
        <f>IF($A17="","",SUMIFS('Raw Data'!$F:$F, 'Raw Data'!$B:$B, "Variant", 'Raw Data'!$A:$A, $A17, 'Raw Data'!$C:$C, $C$3))</f>
        <v>0</v>
      </c>
      <c r="J17" s="86" t="str">
        <f t="shared" si="3"/>
        <v/>
      </c>
      <c r="K17" s="88" t="str">
        <f>IF($A17="","",IFERROR(SUMIFS('Raw Data'!$F:$F, 'Raw Data'!$B:$B, "Control", 'Raw Data'!$A:$A, $A17, 'Raw Data'!$C:$C, $C$3)/SUMIFS('Raw Data'!$D:$D, 'Raw Data'!$B:$B, "Control", 'Raw Data'!$A:$A, $A17, 'Raw Data'!$C:$C, $C$3),""))</f>
        <v/>
      </c>
      <c r="L17" s="88" t="str">
        <f>IF($A17="","",IFERROR(SUMIFS('Raw Data'!$F:$F, 'Raw Data'!$B:$B, "Variant", 'Raw Data'!$A:$A, $A17, 'Raw Data'!$C:$C, $C$3)/SUMIFS('Raw Data'!$D:$D, 'Raw Data'!$B:$B, "Variant", 'Raw Data'!$A:$A, $A17, 'Raw Data'!$C:$C, $C$3),""))</f>
        <v/>
      </c>
      <c r="M17" s="86" t="str">
        <f t="shared" si="4"/>
        <v/>
      </c>
      <c r="N17" s="79" t="str">
        <f>IF($A17="","",IFERROR(SUMPRODUCT(('Raw Data'!$B$2:$B$9999="Control")*('Raw Data'!$A$2:$A$9999=$A17)*('Raw Data'!$C$2:$C$9999=$C$3)*'Raw Data'!$D$2:$D$9999*'Raw Data'!$H$2:$H$9999/100)/SUMIFS('Raw Data'!$D:$D, 'Raw Data'!$B:$B, "Control", 'Raw Data'!$A:$A, $A17, 'Raw Data'!$C:$C, $C$3)*100,""))</f>
        <v/>
      </c>
      <c r="O17" s="79" t="str">
        <f>IF($A17="","",IFERROR(SUMPRODUCT(('Raw Data'!$B$2:$B$9999="Variant")*('Raw Data'!$A$2:$A$9999=$A17)*('Raw Data'!$C$2:$C$9999=$C$3)*'Raw Data'!$D$2:$D$9999*'Raw Data'!$H$2:$H$9999/100)/SUMIFS('Raw Data'!$D:$D, 'Raw Data'!$B:$B, "Variant", 'Raw Data'!$A:$A, $A17, 'Raw Data'!$C:$C, $C$3)*100,""))</f>
        <v/>
      </c>
      <c r="P17" s="86" t="str">
        <f t="shared" si="5"/>
        <v/>
      </c>
      <c r="Q17" s="88" t="str">
        <f>IF($A17="","",IFERROR(SUMIFS('Raw Data'!$F:$F, 'Raw Data'!$B:$B, "Control", 'Raw Data'!$A:$A, $A17, 'Raw Data'!$C:$C, $C$3)/SUMPRODUCT(('Raw Data'!$B$2:$B$9999="Control")*('Raw Data'!$A$2:$A$9999=$A17)*('Raw Data'!$C$2:$C$9999=$C$3)*'Raw Data'!$D$2:$D$9999*'Raw Data'!$H$2:$H$9999/100),""))</f>
        <v/>
      </c>
      <c r="R17" s="88" t="str">
        <f>IF($A17="","",IFERROR(SUMIFS('Raw Data'!$F:$F, 'Raw Data'!$B:$B, "Variant", 'Raw Data'!$A:$A, $A17, 'Raw Data'!$C:$C, $C$3)/SUMPRODUCT(('Raw Data'!$B$2:$B$9999="Variant")*('Raw Data'!$A$2:$A$9999=$A17)*('Raw Data'!$C$2:$C$9999=$C$3)*'Raw Data'!$D$2:$D$9999*'Raw Data'!$H$2:$H$9999/100),""))</f>
        <v/>
      </c>
      <c r="S17" s="86" t="str">
        <f t="shared" si="6"/>
        <v/>
      </c>
      <c r="T17" s="90" t="str">
        <f>IF($A17="","",IFERROR(SUMPRODUCT(('Raw Data'!$B$2:$B$9999="Control")*('Raw Data'!$A$2:$A$9999=$A17)*('Raw Data'!$C$2:$C$9999=$C$3)*'Raw Data'!$D$2:$D$9999*'Raw Data'!$J$2:$J$9999)/SUMIFS('Raw Data'!$D:$D, 'Raw Data'!$B:$B, "Control", 'Raw Data'!$A:$A, $A17, 'Raw Data'!$C:$C, $C$3),""))</f>
        <v/>
      </c>
      <c r="U17" s="90" t="str">
        <f>IF($A17="","",IFERROR(SUMPRODUCT(('Raw Data'!$B$2:$B$9999="Variant")*('Raw Data'!$A$2:$A$9999=$A17)*('Raw Data'!$C$2:$C$9999=$C$3)*'Raw Data'!$D$2:$D$9999*'Raw Data'!$J$2:$J$9999)/SUMIFS('Raw Data'!$D:$D, 'Raw Data'!$B:$B, "Variant", 'Raw Data'!$A:$A, $A17, 'Raw Data'!$C:$C, $C$3),""))</f>
        <v/>
      </c>
      <c r="V17" s="86" t="str">
        <f t="shared" si="7"/>
        <v/>
      </c>
      <c r="W17" s="90" t="str">
        <f>IF($A17="","",IFERROR(SUMPRODUCT(('Raw Data'!$B$2:$B$9999="Control")*('Raw Data'!$A$2:$A$9999=$A17)*('Raw Data'!$C$2:$C$9999=$C$3)*'Raw Data'!$D$2:$D$9999*'Raw Data'!$K$2:$K$9999)/SUMIFS('Raw Data'!$D:$D, 'Raw Data'!$B:$B, "Control", 'Raw Data'!$A:$A, $A17, 'Raw Data'!$C:$C, $C$3),""))</f>
        <v/>
      </c>
      <c r="X17" s="90" t="str">
        <f>IF($A17="","",IFERROR(SUMPRODUCT(('Raw Data'!$B$2:$B$9999="Variant")*('Raw Data'!$A$2:$A$9999=$A17)*('Raw Data'!$C$2:$C$9999=$C$3)*'Raw Data'!$D$2:$D$9999*'Raw Data'!$K$2:$K$9999)/SUMIFS('Raw Data'!$D:$D, 'Raw Data'!$B:$B, "Variant", 'Raw Data'!$A:$A, $A17, 'Raw Data'!$C:$C, $C$3),""))</f>
        <v/>
      </c>
      <c r="Y17" s="86" t="str">
        <f t="shared" si="8"/>
        <v/>
      </c>
      <c r="Z17" s="90" t="str">
        <f>IF($A17="","",IFERROR(SUMPRODUCT(('Raw Data'!$B$2:$B$9999="Control")*('Raw Data'!$A$2:$A$9999=$A17)*('Raw Data'!$C$2:$C$9999=$C$3)*'Raw Data'!$D$2:$D$9999*'Raw Data'!$L$2:$L$9999)/SUMIFS('Raw Data'!$D:$D, 'Raw Data'!$B:$B, "Control", 'Raw Data'!$A:$A, $A17, 'Raw Data'!$C:$C, $C$3),""))</f>
        <v/>
      </c>
      <c r="AA17" s="90" t="str">
        <f>IF($A17="","",IFERROR(SUMPRODUCT(('Raw Data'!$B$2:$B$9999="Variant")*('Raw Data'!$A$2:$A$9999=$A17)*('Raw Data'!$C$2:$C$9999=$C$3)*'Raw Data'!$D$2:$D$9999*'Raw Data'!$L$2:$L$9999)/SUMIFS('Raw Data'!$D:$D, 'Raw Data'!$B:$B, "Variant", 'Raw Data'!$A:$A, $A17, 'Raw Data'!$C:$C, $C$3),""))</f>
        <v/>
      </c>
      <c r="AB17" s="86" t="str">
        <f t="shared" si="9"/>
        <v/>
      </c>
      <c r="AC17" s="91" t="str">
        <f>IF($A17="","",IFERROR(SUMPRODUCT(('Raw Data'!$B$2:$B$9999="Control")*('Raw Data'!$A$2:$A$9999=$A17)*('Raw Data'!$C$2:$C$9999=$C$3)*'Raw Data'!$D$2:$D$9999*'Raw Data'!$M$2:$M$9999)/SUMIFS('Raw Data'!$D:$D, 'Raw Data'!$B:$B, "Control", 'Raw Data'!$A:$A, $A17, 'Raw Data'!$C:$C, $C$3),""))</f>
        <v/>
      </c>
      <c r="AD17" s="91" t="str">
        <f>IF($A17="","",IFERROR(SUMPRODUCT(('Raw Data'!$B$2:$B$9999="Variant")*('Raw Data'!$A$2:$A$9999=$A17)*('Raw Data'!$C$2:$C$9999=$C$3)*'Raw Data'!$D$2:$D$9999*'Raw Data'!$M$2:$M$9999)/SUMIFS('Raw Data'!$D:$D, 'Raw Data'!$B:$B, "Variant", 'Raw Data'!$A:$A, $A17, 'Raw Data'!$C:$C, $C$3),""))</f>
        <v/>
      </c>
      <c r="AE17" s="93" t="str">
        <f t="shared" si="10"/>
        <v/>
      </c>
      <c r="AF17" s="91" t="str">
        <f>IF($A17="","",IFERROR(SUMPRODUCT(('Raw Data'!$B$2:$B$9999="Control")*('Raw Data'!$A$2:$A$9999=$A17)*('Raw Data'!$C$2:$C$9999=$C$3)*'Raw Data'!$D$2:$D$9999*'Raw Data'!$N$2:$N$9999)/SUMIFS('Raw Data'!$D:$D, 'Raw Data'!$B:$B, "Control", 'Raw Data'!$A:$A, $A17, 'Raw Data'!$C:$C, $C$3),""))</f>
        <v/>
      </c>
      <c r="AG17" s="91" t="str">
        <f>IF($A17="","",IFERROR(SUMPRODUCT(('Raw Data'!$B$2:$B$9999="Variant")*('Raw Data'!$A$2:$A$9999=$A17)*('Raw Data'!$C$2:$C$9999=$C$3)*'Raw Data'!$D$2:$D$9999*'Raw Data'!$N$2:$N$9999)/SUMIFS('Raw Data'!$D:$D, 'Raw Data'!$B:$B, "Variant", 'Raw Data'!$A:$A, $A17, 'Raw Data'!$C:$C, $C$3),""))</f>
        <v/>
      </c>
      <c r="AH17" s="93" t="str">
        <f t="shared" si="11"/>
        <v/>
      </c>
      <c r="AI17" s="91" t="str">
        <f>IF($A17="","",IFERROR(SUMPRODUCT(('Raw Data'!$B$2:$B$9999="Control")*('Raw Data'!$A$2:$A$9999=$A17)*('Raw Data'!$C$2:$C$9999=$C$3)*'Raw Data'!$D$2:$D$9999*'Raw Data'!$O$2:$O$9999)/SUMIFS('Raw Data'!$D:$D, 'Raw Data'!$B:$B, "Control", 'Raw Data'!$A:$A, $A17, 'Raw Data'!$C:$C, $C$3),""))</f>
        <v/>
      </c>
      <c r="AJ17" s="91" t="str">
        <f>IF($A17="","",IFERROR(SUMPRODUCT(('Raw Data'!$B$2:$B$9999="Variant")*('Raw Data'!$A$2:$A$9999=$A17)*('Raw Data'!$C$2:$C$9999=$C$3)*'Raw Data'!$D$2:$D$9999*'Raw Data'!$O$2:$O$9999)/SUMIFS('Raw Data'!$D:$D, 'Raw Data'!$B:$B, "Variant", 'Raw Data'!$A:$A, $A17, 'Raw Data'!$C:$C, $C$3),""))</f>
        <v/>
      </c>
      <c r="AK17" s="86" t="str">
        <f t="shared" si="12"/>
        <v/>
      </c>
      <c r="AL17" s="90" t="str">
        <f>IF($A17="","",IFERROR(SUMPRODUCT(('Raw Data'!$B$2:$B$9999="Control")*('Raw Data'!$A$2:$A$9999=$A17)*('Raw Data'!$C$2:$C$9999=$C$3)*'Raw Data'!$D$2:$D$9999*'Raw Data'!$P$2:$P$9999)/SUMIFS('Raw Data'!$D:$D, 'Raw Data'!$B:$B, "Control", 'Raw Data'!$A:$A, $A17, 'Raw Data'!$C:$C, $C$3),""))</f>
        <v/>
      </c>
      <c r="AM17" s="90" t="str">
        <f>IF($A17="","",IFERROR(SUMPRODUCT(('Raw Data'!$B$2:$B$9999="Variant")*('Raw Data'!$A$2:$A$9999=$A17)*('Raw Data'!$C$2:$C$9999=$C$3)*'Raw Data'!$D$2:$D$9999*'Raw Data'!$P$2:$P$9999)/SUMIFS('Raw Data'!$D:$D, 'Raw Data'!$B:$B, "Variant", 'Raw Data'!$A:$A, $A17, 'Raw Data'!$C:$C, $C$3),""))</f>
        <v/>
      </c>
      <c r="AN17" s="86" t="str">
        <f t="shared" si="13"/>
        <v/>
      </c>
      <c r="AO17" s="90" t="str">
        <f>IF($A17="","",IFERROR(SUMPRODUCT(('Raw Data'!$B$2:$B$9999="Control")*('Raw Data'!$A$2:$A$9999=$A17)*('Raw Data'!$C$2:$C$9999=$C$3)*'Raw Data'!$D$2:$D$9999*'Raw Data'!$Q$2:$Q$9999)/SUMIFS('Raw Data'!$D:$D, 'Raw Data'!$B:$B, "Control", 'Raw Data'!$A:$A, $A17, 'Raw Data'!$C:$C, $C$3),""))</f>
        <v/>
      </c>
      <c r="AP17" s="90" t="str">
        <f>IF($A17="","",IFERROR(SUMPRODUCT(('Raw Data'!$B$2:$B$9999="Variant")*('Raw Data'!$A$2:$A$9999=$A17)*('Raw Data'!$C$2:$C$9999=$C$3)*'Raw Data'!$D$2:$D$9999*'Raw Data'!$Q$2:$Q$9999)/SUMIFS('Raw Data'!$D:$D, 'Raw Data'!$B:$B, "Variant", 'Raw Data'!$A:$A, $A17, 'Raw Data'!$C:$C, $C$3),""))</f>
        <v/>
      </c>
      <c r="AQ17" s="77" t="str">
        <f t="shared" si="14"/>
        <v/>
      </c>
      <c r="AR17" s="90" t="str">
        <f>IF($A17="","",IFERROR(SUMPRODUCT(('Raw Data'!$B$2:$B$9999="Control")*('Raw Data'!$A$2:$A$9999=$A17)*('Raw Data'!$C$2:$C$9999=$C$3)*'Raw Data'!$D$2:$D$9999*'Raw Data'!$R$2:$R$9999)/SUMIFS('Raw Data'!$D:$D, 'Raw Data'!$B:$B, "Control", 'Raw Data'!$A:$A, $A17, 'Raw Data'!$C:$C, $C$3),""))</f>
        <v/>
      </c>
      <c r="AS17" s="90" t="str">
        <f>IF($A17="","",IFERROR(SUMPRODUCT(('Raw Data'!$B$2:$B$9999="Variant")*('Raw Data'!$A$2:$A$9999=$A17)*('Raw Data'!$C$2:$C$9999=$C$3)*'Raw Data'!$D$2:$D$9999*'Raw Data'!$R$2:$R$9999)/SUMIFS('Raw Data'!$D:$D, 'Raw Data'!$B:$B, "Variant", 'Raw Data'!$A:$A, $A17, 'Raw Data'!$C:$C, $C$3),""))</f>
        <v/>
      </c>
      <c r="AT17" s="77" t="str">
        <f t="shared" si="15"/>
        <v/>
      </c>
      <c r="AU17" s="90" t="str">
        <f>IF($A17="","",IFERROR(SUMPRODUCT(('Raw Data'!$B$2:$B$9999="Control")*('Raw Data'!$A$2:$A$9999=$A17)*('Raw Data'!$C$2:$C$9999=$C$3)*'Raw Data'!$D$2:$D$9999*'Raw Data'!$S$2:$S$9999)/SUMIFS('Raw Data'!$D:$D, 'Raw Data'!$B:$B, "Control", 'Raw Data'!$A:$A, $A17, 'Raw Data'!$C:$C, $C$3),""))</f>
        <v/>
      </c>
      <c r="AV17" s="90" t="str">
        <f>IF($A17="","",IFERROR(SUMPRODUCT(('Raw Data'!$B$2:$B$9999="Variant")*('Raw Data'!$A$2:$A$9999=$A17)*('Raw Data'!$C$2:$C$9999=$C$3)*'Raw Data'!$D$2:$D$9999*'Raw Data'!$S$2:$S$9999)/SUMIFS('Raw Data'!$D:$D, 'Raw Data'!$B:$B, "Variant", 'Raw Data'!$A:$A, $A17, 'Raw Data'!$C:$C, $C$3),""))</f>
        <v/>
      </c>
      <c r="AW17" s="77" t="str">
        <f t="shared" si="16"/>
        <v/>
      </c>
      <c r="AX17" s="90" t="str">
        <f>IF($A17="","",IFERROR(SUMPRODUCT(('Raw Data'!$B$2:$B$9999="Control")*('Raw Data'!$A$2:$A$9999=$A17)*('Raw Data'!$C$2:$C$9999=$C$3)*'Raw Data'!$D$2:$D$9999*'Raw Data'!$T$2:$T$9999)/SUMIFS('Raw Data'!$D:$D, 'Raw Data'!$B:$B, "Control", 'Raw Data'!$A:$A, $A17, 'Raw Data'!$C:$C, $C$3),""))</f>
        <v/>
      </c>
      <c r="AY17" s="90" t="str">
        <f>IF($A17="","",IFERROR(SUMPRODUCT(('Raw Data'!$B$2:$B$9999="Variant")*('Raw Data'!$A$2:$A$9999=$A17)*('Raw Data'!$C$2:$C$9999=$C$3)*'Raw Data'!$D$2:$D$9999*'Raw Data'!$T$2:$T$9999)/SUMIFS('Raw Data'!$D:$D, 'Raw Data'!$B:$B, "Variant", 'Raw Data'!$A:$A, $A17, 'Raw Data'!$C:$C, $C$3),""))</f>
        <v/>
      </c>
      <c r="AZ17" s="86" t="str">
        <f t="shared" si="17"/>
        <v/>
      </c>
      <c r="BA17" s="90" t="str">
        <f>IF($A17="","",IFERROR(SUMPRODUCT(('Raw Data'!$B$2:$B$9999="Control")*('Raw Data'!$A$2:$A$9999=$A17)*('Raw Data'!$C$2:$C$9999=$C$3)*'Raw Data'!$D$2:$D$9999*'Raw Data'!$U$2:$U$9999)/SUMIFS('Raw Data'!$D:$D, 'Raw Data'!$B:$B, "Control", 'Raw Data'!$A:$A, $A17, 'Raw Data'!$C:$C, $C$3),""))</f>
        <v/>
      </c>
      <c r="BB17" s="90" t="str">
        <f>IF($A17="","",IFERROR(SUMPRODUCT(('Raw Data'!$B$2:$B$9999="Variant")*('Raw Data'!$A$2:$A$9999=$A17)*('Raw Data'!$C$2:$C$9999=$C$3)*'Raw Data'!$D$2:$D$9999*'Raw Data'!$U$2:$U$9999)/SUMIFS('Raw Data'!$D:$D, 'Raw Data'!$B:$B, "Variant", 'Raw Data'!$A:$A, $A17, 'Raw Data'!$C:$C, $C$3),""))</f>
        <v/>
      </c>
      <c r="BC17" s="77" t="str">
        <f t="shared" si="18"/>
        <v/>
      </c>
      <c r="BD17" s="90" t="str">
        <f>IF($A17="","",IFERROR(SUMPRODUCT(('Raw Data'!$B$2:$B$9999="Control")*('Raw Data'!$A$2:$A$9999=$A17)*('Raw Data'!$C$2:$C$9999=$C$3)*'Raw Data'!$D$2:$D$9999*'Raw Data'!$V$2:$V$9999)/SUMIFS('Raw Data'!$D:$D, 'Raw Data'!$B:$B, "Control", 'Raw Data'!$A:$A, $A17, 'Raw Data'!$C:$C, $C$3),""))</f>
        <v/>
      </c>
      <c r="BE17" s="90" t="str">
        <f>IF($A17="","",IFERROR(SUMPRODUCT(('Raw Data'!$B$2:$B$9999="Variant")*('Raw Data'!$A$2:$A$9999=$A17)*('Raw Data'!$C$2:$C$9999=$C$3)*'Raw Data'!$D$2:$D$9999*'Raw Data'!$V$2:$V$9999)/SUMIFS('Raw Data'!$D:$D, 'Raw Data'!$B:$B, "Variant", 'Raw Data'!$A:$A, $A17, 'Raw Data'!$C:$C, $C$3),""))</f>
        <v/>
      </c>
      <c r="BF17" s="77" t="str">
        <f t="shared" si="19"/>
        <v/>
      </c>
      <c r="BG17" s="90" t="str">
        <f>IF($A17="","",IFERROR(SUMPRODUCT(('Raw Data'!$B$2:$B$9999="Control")*('Raw Data'!$A$2:$A$9999=$A17)*('Raw Data'!$C$2:$C$9999=$C$3)*'Raw Data'!$D$2:$D$9999*('Raw Data'!$Q$2:$Q$9999-'Raw Data'!$V$2:$V$9999))/SUMIFS('Raw Data'!$D:$D, 'Raw Data'!$B:$B, "Control", 'Raw Data'!$A:$A, $A17, 'Raw Data'!$C:$C, $C$3),""))</f>
        <v/>
      </c>
      <c r="BH17" s="90" t="str">
        <f>IF($A17="","",IFERROR(SUMPRODUCT(('Raw Data'!$B$2:$B$9999="Variant")*('Raw Data'!$A$2:$A$9999=$A17)*('Raw Data'!$C$2:$C$9999=$C$3)*'Raw Data'!$D$2:$D$9999*('Raw Data'!$Q$2:$Q$9999-'Raw Data'!$V$2:$V$9999))/SUMIFS('Raw Data'!$D:$D, 'Raw Data'!$B:$B, "Variant", 'Raw Data'!$A:$A, $A17, 'Raw Data'!$C:$C, $C$3),""))</f>
        <v/>
      </c>
      <c r="BI17" s="77" t="str">
        <f t="shared" si="20"/>
        <v/>
      </c>
      <c r="BJ17" s="90" t="str">
        <f>IF($A17="","",IFERROR(SUMPRODUCT(('Raw Data'!$B$2:$B$9999="Control")*('Raw Data'!$A$2:$A$9999=$A17)*('Raw Data'!$C$2:$C$9999=$C$3)*'Raw Data'!$D$2:$D$9999*'Raw Data'!$W$2:$W$9999)/SUMIFS('Raw Data'!$D:$D, 'Raw Data'!$B:$B, "Control", 'Raw Data'!$A:$A, $A17, 'Raw Data'!$C:$C, $C$3),""))</f>
        <v/>
      </c>
      <c r="BK17" s="90" t="str">
        <f>IF($A17="","",IFERROR(SUMPRODUCT(('Raw Data'!$B$2:$B$9999="Variant")*('Raw Data'!$A$2:$A$9999=$A17)*('Raw Data'!$C$2:$C$9999=$C$3)*'Raw Data'!$D$2:$D$9999*'Raw Data'!$W$2:$W$9999)/SUMIFS('Raw Data'!$D:$D, 'Raw Data'!$B:$B, "Variant", 'Raw Data'!$A:$A, $A17, 'Raw Data'!$C:$C, $C$3),""))</f>
        <v/>
      </c>
      <c r="BL17" s="77" t="str">
        <f t="shared" si="21"/>
        <v/>
      </c>
      <c r="BM17" s="91" t="str">
        <f>IF($A17="","",IFERROR(SUMPRODUCT(('Raw Data'!$B$2:$B$9999="Control")*('Raw Data'!$A$2:$A$9999=$A17)*('Raw Data'!$C$2:$C$9999=$C$3)*'Raw Data'!$D$2:$D$9999*'Raw Data'!$X$2:$X$9999)/SUMIFS('Raw Data'!$D:$D, 'Raw Data'!$B:$B, "Control", 'Raw Data'!$A:$A, $A17, 'Raw Data'!$C:$C, $C$3),""))</f>
        <v/>
      </c>
      <c r="BN17" s="91" t="str">
        <f>IF($A17="","",IFERROR(SUMPRODUCT(('Raw Data'!$B$2:$B$9999="Variant")*('Raw Data'!$A$2:$A$9999=$A17)*('Raw Data'!$C$2:$C$9999=$C$3)*'Raw Data'!$D$2:$D$9999*'Raw Data'!$X$2:$X$9999)/SUMIFS('Raw Data'!$D:$D, 'Raw Data'!$B:$B, "Variant", 'Raw Data'!$A:$A, $A17, 'Raw Data'!$C:$C, $C$3),""))</f>
        <v/>
      </c>
      <c r="BO17" s="86" t="str">
        <f t="shared" si="22"/>
        <v/>
      </c>
      <c r="BP17" s="76" t="str">
        <f>IF($A17="","",IFERROR(SUMPRODUCT(('Raw Data'!$B$2:$B$9999="Control")*('Raw Data'!$A$2:$A$9999=$A17)*('Raw Data'!$C$2:$C$9999=$C$3)*'Raw Data'!$D$2:$D$9999*'Raw Data'!$Y$2:$Y$9999)/SUMIFS('Raw Data'!$D:$D, 'Raw Data'!$B:$B, "Control", 'Raw Data'!$A:$A, $A17, 'Raw Data'!$C:$C, $C$3),""))</f>
        <v/>
      </c>
      <c r="BQ17" s="76" t="str">
        <f>IF($A17="","",IFERROR(SUMPRODUCT(('Raw Data'!$B$2:$B$9999="Variant")*('Raw Data'!$A$2:$A$9999=$A17)*('Raw Data'!$C$2:$C$9999=$C$3)*'Raw Data'!$D$2:$D$9999*'Raw Data'!$Y$2:$Y$9999)/SUMIFS('Raw Data'!$D:$D, 'Raw Data'!$B:$B, "Variant", 'Raw Data'!$A:$A, $A17, 'Raw Data'!$C:$C, $C$3),""))</f>
        <v/>
      </c>
      <c r="BR17" s="77" t="str">
        <f t="shared" si="23"/>
        <v/>
      </c>
      <c r="BS17" s="76" t="str">
        <f>IF($A17="","",IFERROR(SUMPRODUCT(('Raw Data'!$B$2:$B$9999="Control")*('Raw Data'!$A$2:$A$9999=$A17)*('Raw Data'!$C$2:$C$9999=$C$3)*'Raw Data'!$D$2:$D$9999*'Raw Data'!$Z$2:$Z$9999)/SUMIFS('Raw Data'!$D:$D, 'Raw Data'!$B:$B, "Control", 'Raw Data'!$A:$A, $A17, 'Raw Data'!$C:$C, $C$3),""))</f>
        <v/>
      </c>
      <c r="BT17" s="76" t="str">
        <f>IF($A17="","",IFERROR(SUMPRODUCT(('Raw Data'!$B$2:$B$9999="Variant")*('Raw Data'!$A$2:$A$9999=$A17)*('Raw Data'!$C$2:$C$9999=$C$3)*'Raw Data'!$D$2:$D$9999*'Raw Data'!$Z$2:$Z$9999)/SUMIFS('Raw Data'!$D:$D, 'Raw Data'!$B:$B, "Variant", 'Raw Data'!$A:$A, $A17, 'Raw Data'!$C:$C, $C$3),""))</f>
        <v/>
      </c>
      <c r="BU17" s="77" t="str">
        <f t="shared" si="24"/>
        <v/>
      </c>
      <c r="BV17" s="76" t="str">
        <f>IF($A17="","",IFERROR(SUMPRODUCT(('Raw Data'!$B$2:$B$9999="Control")*('Raw Data'!$A$2:$A$9999=$A17)*('Raw Data'!$C$2:$C$9999=$C$3)*'Raw Data'!$D$2:$D$9999*'Raw Data'!$AA$2:$AA$9999)/SUMIFS('Raw Data'!$D:$D, 'Raw Data'!$B:$B, "Control", 'Raw Data'!$A:$A, $A17, 'Raw Data'!$C:$C, $C$3),""))</f>
        <v/>
      </c>
      <c r="BW17" s="76" t="str">
        <f>IF($A17="","",IFERROR(SUMPRODUCT(('Raw Data'!$B$2:$B$9999="Variant")*('Raw Data'!$A$2:$A$9999=$A17)*('Raw Data'!$C$2:$C$9999=$C$3)*'Raw Data'!$D$2:$D$9999*'Raw Data'!$AA$2:$AA$9999)/SUMIFS('Raw Data'!$D:$D, 'Raw Data'!$B:$B, "Variant", 'Raw Data'!$A:$A, $A17, 'Raw Data'!$C:$C, $C$3),""))</f>
        <v/>
      </c>
      <c r="BX17" s="77" t="str">
        <f t="shared" si="25"/>
        <v/>
      </c>
      <c r="BY17" s="90" t="str">
        <f>IF($A17="","",IFERROR(SUMPRODUCT(('Raw Data'!$B$2:$B$9999="Control")*('Raw Data'!$A$2:$A$9999=$A17)*('Raw Data'!$C$2:$C$9999=$C$3)*'Raw Data'!$D$2:$D$9999*'Raw Data'!$AB$2:$AB$9999)/SUMIFS('Raw Data'!$D:$D, 'Raw Data'!$B:$B, "Control", 'Raw Data'!$A:$A, $A17, 'Raw Data'!$C:$C, $C$3),""))</f>
        <v/>
      </c>
      <c r="BZ17" s="90" t="str">
        <f>IF($A17="","",IFERROR(SUMPRODUCT(('Raw Data'!$B$2:$B$9999="Variant")*('Raw Data'!$A$2:$A$9999=$A17)*('Raw Data'!$C$2:$C$9999=$C$3)*'Raw Data'!$D$2:$D$9999*'Raw Data'!$AB$2:$AB$9999)/SUMIFS('Raw Data'!$D:$D, 'Raw Data'!$B:$B, "Variant", 'Raw Data'!$A:$A, $A17, 'Raw Data'!$C:$C, $C$3),""))</f>
        <v/>
      </c>
      <c r="CA17" s="86" t="str">
        <f t="shared" si="26"/>
        <v/>
      </c>
      <c r="CB17" s="90" t="str">
        <f>IF($A17="","",IFERROR(SUMPRODUCT(('Raw Data'!$B$2:$B$9999="Control")*('Raw Data'!$A$2:$A$9999=$A17)*('Raw Data'!$C$2:$C$9999=$C$3)*'Raw Data'!$D$2:$D$9999*'Raw Data'!$AC$2:$AC$9999)/SUMIFS('Raw Data'!$D:$D, 'Raw Data'!$B:$B, "Control", 'Raw Data'!$A:$A, $A17, 'Raw Data'!$C:$C, $C$3),""))</f>
        <v/>
      </c>
      <c r="CC17" s="90" t="str">
        <f>IF($A17="","",IFERROR(SUMPRODUCT(('Raw Data'!$B$2:$B$9999="Variant")*('Raw Data'!$A$2:$A$9999=$A17)*('Raw Data'!$C$2:$C$9999=$C$3)*'Raw Data'!$D$2:$D$9999*'Raw Data'!$AC$2:$AC$9999)/SUMIFS('Raw Data'!$D:$D, 'Raw Data'!$B:$B, "Variant", 'Raw Data'!$A:$A, $A17, 'Raw Data'!$C:$C, $C$3),""))</f>
        <v/>
      </c>
      <c r="CD17" s="86" t="str">
        <f t="shared" si="27"/>
        <v/>
      </c>
      <c r="CE17" s="90" t="str">
        <f>IF($A17="","",IFERROR(SUMPRODUCT(('Raw Data'!$B$2:$B$9999="Control")*('Raw Data'!$A$2:$A$9999=$A17)*('Raw Data'!$C$2:$C$9999=$C$3)*'Raw Data'!$D$2:$D$9999*'Raw Data'!$AD$2:$AD$9999)/SUMIFS('Raw Data'!$D:$D, 'Raw Data'!$B:$B, "Control", 'Raw Data'!$A:$A, $A17, 'Raw Data'!$C:$C, $C$3),""))</f>
        <v/>
      </c>
      <c r="CF17" s="90" t="str">
        <f>IF($A17="","",IFERROR(SUMPRODUCT(('Raw Data'!$B$2:$B$9999="Variant")*('Raw Data'!$A$2:$A$9999=$A17)*('Raw Data'!$C$2:$C$9999=$C$3)*'Raw Data'!$D$2:$D$9999*'Raw Data'!$AD$2:$AD$9999)/SUMIFS('Raw Data'!$D:$D, 'Raw Data'!$B:$B, "Variant", 'Raw Data'!$A:$A, $A17, 'Raw Data'!$C:$C, $C$3),""))</f>
        <v/>
      </c>
      <c r="CG17" s="86" t="str">
        <f t="shared" si="28"/>
        <v/>
      </c>
      <c r="CH17" s="90" t="str">
        <f>IF($A17="","",IFERROR(SUMPRODUCT(('Raw Data'!$B$2:$B$9999="Control")*('Raw Data'!$A$2:$A$9999=$A17)*('Raw Data'!$C$2:$C$9999=$C$3)*'Raw Data'!$D$2:$D$9999*'Raw Data'!$AE$2:$AE$9999)/SUMIFS('Raw Data'!$D:$D, 'Raw Data'!$B:$B, "Control", 'Raw Data'!$A:$A, $A17, 'Raw Data'!$C:$C, $C$3),""))</f>
        <v/>
      </c>
      <c r="CI17" s="90" t="str">
        <f>IF($A17="","",IFERROR(SUMPRODUCT(('Raw Data'!$B$2:$B$9999="Variant")*('Raw Data'!$A$2:$A$9999=$A17)*('Raw Data'!$C$2:$C$9999=$C$3)*'Raw Data'!$D$2:$D$9999*'Raw Data'!$AE$2:$AE$9999)/SUMIFS('Raw Data'!$D:$D, 'Raw Data'!$B:$B, "Variant", 'Raw Data'!$A:$A, $A17, 'Raw Data'!$C:$C, $C$3),""))</f>
        <v/>
      </c>
      <c r="CJ17" s="86" t="str">
        <f t="shared" si="29"/>
        <v/>
      </c>
      <c r="CK17" s="90" t="str">
        <f>IF($A17="","",IFERROR(SUMPRODUCT(('Raw Data'!$B$2:$B$9999="Control")*('Raw Data'!$A$2:$A$9999=$A17)*('Raw Data'!$C$2:$C$9999=$C$3)*'Raw Data'!$D$2:$D$9999*'Raw Data'!$AF$2:$AF$9999)/SUMIFS('Raw Data'!$D:$D, 'Raw Data'!$B:$B, "Control", 'Raw Data'!$A:$A, $A17, 'Raw Data'!$C:$C, $C$3),""))</f>
        <v/>
      </c>
      <c r="CL17" s="90" t="str">
        <f>IF($A17="","",IFERROR(SUMPRODUCT(('Raw Data'!$B$2:$B$9999="Variant")*('Raw Data'!$A$2:$A$9999=$A17)*('Raw Data'!$C$2:$C$9999=$C$3)*'Raw Data'!$D$2:$D$9999*'Raw Data'!$AF$2:$AF$9999)/SUMIFS('Raw Data'!$D:$D, 'Raw Data'!$B:$B, "Variant", 'Raw Data'!$A:$A, $A17, 'Raw Data'!$C:$C, $C$3),""))</f>
        <v/>
      </c>
      <c r="CM17" s="86" t="str">
        <f t="shared" si="30"/>
        <v/>
      </c>
      <c r="CN17" s="90" t="str">
        <f>IF($A17="","",IFERROR(SUMPRODUCT(('Raw Data'!$B$2:$B$9999="Control")*('Raw Data'!$A$2:$A$9999=$A17)*('Raw Data'!$C$2:$C$9999=$C$3)*'Raw Data'!$D$2:$D$9999*'Raw Data'!$AG$2:$AG$9999)/SUMIFS('Raw Data'!$D:$D, 'Raw Data'!$B:$B, "Control", 'Raw Data'!$A:$A, $A17, 'Raw Data'!$C:$C, $C$3),""))</f>
        <v/>
      </c>
      <c r="CO17" s="90" t="str">
        <f>IF($A17="","",IFERROR(SUMPRODUCT(('Raw Data'!$B$2:$B$9999="Variant")*('Raw Data'!$A$2:$A$9999=$A17)*('Raw Data'!$C$2:$C$9999=$C$3)*'Raw Data'!$D$2:$D$9999*'Raw Data'!$AG$2:$AG$9999)/SUMIFS('Raw Data'!$D:$D, 'Raw Data'!$B:$B, "Variant", 'Raw Data'!$A:$A, $A17, 'Raw Data'!$C:$C, $C$3),""))</f>
        <v/>
      </c>
      <c r="CP17" s="86" t="str">
        <f t="shared" si="31"/>
        <v/>
      </c>
      <c r="CQ17" s="90" t="str">
        <f>IF($A17="","",IFERROR(SUMPRODUCT(('Raw Data'!$B$2:$B$9999="Control")*('Raw Data'!$A$2:$A$9999=$A17)*('Raw Data'!$C$2:$C$9999=$C$3)*'Raw Data'!$D$2:$D$9999*'Raw Data'!$AH$2:$AH$9999)/SUMIFS('Raw Data'!$D:$D, 'Raw Data'!$B:$B, "Control", 'Raw Data'!$A:$A, $A17, 'Raw Data'!$C:$C, $C$3),""))</f>
        <v/>
      </c>
      <c r="CR17" s="90" t="str">
        <f>IF($A17="","",IFERROR(SUMPRODUCT(('Raw Data'!$B$2:$B$9999="Variant")*('Raw Data'!$A$2:$A$9999=$A17)*('Raw Data'!$C$2:$C$9999=$C$3)*'Raw Data'!$D$2:$D$9999*'Raw Data'!$AH$2:$AH$9999)/SUMIFS('Raw Data'!$D:$D, 'Raw Data'!$B:$B, "Variant", 'Raw Data'!$A:$A, $A17, 'Raw Data'!$C:$C, $C$3),""))</f>
        <v/>
      </c>
      <c r="CS17" s="86" t="str">
        <f t="shared" si="32"/>
        <v/>
      </c>
      <c r="CT17" s="79" t="str">
        <f>IF($A17="","",IFERROR(SUMPRODUCT(('Raw Data'!$B$2:$B$9999="Control")*('Raw Data'!$A$2:$A$9999=$A17)*('Raw Data'!$C$2:$C$9999=$C$3)*'Raw Data'!$D$2:$D$9999*'Raw Data'!$AI$2:$AI$9999)/SUMIFS('Raw Data'!$D:$D, 'Raw Data'!$B:$B, "Control", 'Raw Data'!$A:$A, $A17, 'Raw Data'!$C:$C, $C$3),""))</f>
        <v/>
      </c>
      <c r="CU17" s="79" t="str">
        <f>IF($A17="","",IFERROR(SUMPRODUCT(('Raw Data'!$B$2:$B$9999="Variant")*('Raw Data'!$A$2:$A$9999=$A17)*('Raw Data'!$C$2:$C$9999=$C$3)*'Raw Data'!$D$2:$D$9999*'Raw Data'!$AI$2:$AI$9999)/SUMIFS('Raw Data'!$D:$D, 'Raw Data'!$B:$B, "Variant", 'Raw Data'!$A:$A, $A17, 'Raw Data'!$C:$C, $C$3),""))</f>
        <v/>
      </c>
      <c r="CV17" s="93" t="str">
        <f t="shared" si="33"/>
        <v/>
      </c>
      <c r="CW17" s="79" t="str">
        <f>IF($A17="","",IFERROR(SUMPRODUCT(('Raw Data'!$B$2:$B$9999="Control")*('Raw Data'!$A$2:$A$9999=$A17)*('Raw Data'!$C$2:$C$9999=$C$3)*'Raw Data'!$D$2:$D$9999*'Raw Data'!$AJ$2:$AJ$9999)/SUMIFS('Raw Data'!$D:$D, 'Raw Data'!$B:$B, "Control", 'Raw Data'!$A:$A, $A17, 'Raw Data'!$C:$C, $C$3),""))</f>
        <v/>
      </c>
      <c r="CX17" s="79" t="str">
        <f>IF($A17="","",IFERROR(SUMPRODUCT(('Raw Data'!$B$2:$B$9999="Variant")*('Raw Data'!$A$2:$A$9999=$A17)*('Raw Data'!$C$2:$C$9999=$C$3)*'Raw Data'!$D$2:$D$9999*'Raw Data'!$AJ$2:$AJ$9999)/SUMIFS('Raw Data'!$D:$D, 'Raw Data'!$B:$B, "Variant", 'Raw Data'!$A:$A, $A17, 'Raw Data'!$C:$C, $C$3),""))</f>
        <v/>
      </c>
      <c r="CY17" s="93" t="str">
        <f t="shared" si="34"/>
        <v/>
      </c>
      <c r="CZ17" s="79" t="str">
        <f>IF($A17="","",IFERROR(SUMPRODUCT(('Raw Data'!$B$2:$B$9999="Control")*('Raw Data'!$A$2:$A$9999=$A17)*('Raw Data'!$C$2:$C$9999=$C$3)*'Raw Data'!$D$2:$D$9999*'Raw Data'!$AK$2:$AK$9999)/SUMIFS('Raw Data'!$D:$D, 'Raw Data'!$B:$B, "Control", 'Raw Data'!$A:$A, $A17, 'Raw Data'!$C:$C, $C$3),""))</f>
        <v/>
      </c>
      <c r="DA17" s="79" t="str">
        <f>IF($A17="","",IFERROR(SUMPRODUCT(('Raw Data'!$B$2:$B$9999="Variant")*('Raw Data'!$A$2:$A$9999=$A17)*('Raw Data'!$C$2:$C$9999=$C$3)*'Raw Data'!$D$2:$D$9999*'Raw Data'!$AK$2:$AK$9999)/SUMIFS('Raw Data'!$D:$D, 'Raw Data'!$B:$B, "Variant", 'Raw Data'!$A:$A, $A17, 'Raw Data'!$C:$C, $C$3),""))</f>
        <v/>
      </c>
      <c r="DB17" s="86" t="str">
        <f t="shared" si="35"/>
        <v/>
      </c>
      <c r="DC17" s="91" t="str">
        <f>IF($A17="","",IFERROR(SUMPRODUCT(('Raw Data'!$B$2:$B$9999="Control")*('Raw Data'!$A$2:$A$9999=$A17)*('Raw Data'!$C$2:$C$9999=$C$3)*'Raw Data'!$D$2:$D$9999*'Raw Data'!$AL$2:$AL$9999)/SUMIFS('Raw Data'!$D:$D, 'Raw Data'!$B:$B, "Control", 'Raw Data'!$A:$A, $A17, 'Raw Data'!$C:$C, $C$3),""))</f>
        <v/>
      </c>
      <c r="DD17" s="91" t="str">
        <f>IF($A17="","",IFERROR(SUMPRODUCT(('Raw Data'!$B$2:$B$9999="Variant")*('Raw Data'!$A$2:$A$9999=$A17)*('Raw Data'!$C$2:$C$9999=$C$3)*'Raw Data'!$D$2:$D$9999*'Raw Data'!$AL$2:$AL$9999)/SUMIFS('Raw Data'!$D:$D, 'Raw Data'!$B:$B, "Variant", 'Raw Data'!$A:$A, $A17, 'Raw Data'!$C:$C, $C$3),""))</f>
        <v/>
      </c>
      <c r="DE17" s="93" t="str">
        <f t="shared" si="36"/>
        <v/>
      </c>
      <c r="DF17" s="107"/>
      <c r="DG17" s="79" t="str">
        <f>IF($A17="","",IFERROR(SUMPRODUCT(('Raw Data'!$B$2:$B$9999="Variant")*('Raw Data'!$A$2:$A$9999=$A17)*('Raw Data'!$C$2:$C$9999=$C$3)*'Raw Data'!$D$2:$D$9999*'Raw Data'!$AM$2:$AM$9999)/SUMIFS('Raw Data'!$D:$D, 'Raw Data'!$B:$B, "Variant", 'Raw Data'!$A:$A, $A17, 'Raw Data'!$C:$C, $C$3),""))</f>
        <v/>
      </c>
      <c r="DH17" s="108"/>
      <c r="DI17" s="107"/>
      <c r="DJ17" s="79" t="str">
        <f>IF($A17="","",IFERROR(SUMPRODUCT(('Raw Data'!$B$2:$B$9999="Variant")*('Raw Data'!$A$2:$A$9999=$A17)*('Raw Data'!$C$2:$C$9999=$C$3)*'Raw Data'!$D$2:$D$9999*'Raw Data'!$AN$2:$AN$9999)/SUMIFS('Raw Data'!$D:$D, 'Raw Data'!$B:$B, "Variant", 'Raw Data'!$A:$A, $A17, 'Raw Data'!$C:$C, $C$3),""))</f>
        <v/>
      </c>
      <c r="DK17" s="108"/>
      <c r="DL17" s="107"/>
      <c r="DM17" s="79" t="str">
        <f>IF($A17="","",IFERROR(SUMPRODUCT(('Raw Data'!$B$2:$B$9999="Variant")*('Raw Data'!$A$2:$A$9999=$A17)*('Raw Data'!$C$2:$C$9999=$C$3)*'Raw Data'!$D$2:$D$9999*'Raw Data'!$AO$2:$AO$9999)/SUMIFS('Raw Data'!$D:$D, 'Raw Data'!$B:$B, "Variant", 'Raw Data'!$A:$A, $A17, 'Raw Data'!$C:$C, $C$3),""))</f>
        <v/>
      </c>
      <c r="DN17" s="108"/>
      <c r="DO17" s="107"/>
      <c r="DP17" s="79" t="str">
        <f>IF($A17="","",IFERROR(SUMPRODUCT(('Raw Data'!$B$2:$B$9999="Variant")*('Raw Data'!$A$2:$A$9999=$A17)*('Raw Data'!$C$2:$C$9999=$C$3)*'Raw Data'!$D$2:$D$9999*'Raw Data'!$AP$2:$AP$9999)/SUMIFS('Raw Data'!$D:$D, 'Raw Data'!$B:$B, "Variant", 'Raw Data'!$A:$A, $A17, 'Raw Data'!$C:$C, $C$3),""))</f>
        <v/>
      </c>
      <c r="DQ17" s="108"/>
      <c r="DR17" s="91" t="str">
        <f>IF($A17="","",IFERROR(SUMPRODUCT(('Raw Data'!$B$2:$B$9999="Control")*('Raw Data'!$A$2:$A$9999=$A17)*('Raw Data'!$C$2:$C$9999=$C$3)*'Raw Data'!$D$2:$D$9999*'Raw Data'!$AQ$2:$AQ$9999)/SUMIFS('Raw Data'!$D:$D, 'Raw Data'!$B:$B, "Control", 'Raw Data'!$A:$A, $A17, 'Raw Data'!$C:$C, $C$3),""))</f>
        <v/>
      </c>
      <c r="DS17" s="91" t="str">
        <f>IF($A17="","",IFERROR(SUMPRODUCT(('Raw Data'!$B$2:$B$9999="Variant")*('Raw Data'!$A$2:$A$9999=$A17)*('Raw Data'!$C$2:$C$9999=$C$3)*'Raw Data'!$D$2:$D$9999*'Raw Data'!$AQ$2:$AQ$9999)/SUMIFS('Raw Data'!$D:$D, 'Raw Data'!$B:$B, "Variant", 'Raw Data'!$A:$A, $A17, 'Raw Data'!$C:$C, $C$3),""))</f>
        <v/>
      </c>
      <c r="DT17" s="110" t="str">
        <f t="shared" si="37"/>
        <v/>
      </c>
      <c r="DU17" s="91" t="str">
        <f>IF($A17="","",IFERROR(SUMPRODUCT(('Raw Data'!$B$2:$B$9999="Control")*('Raw Data'!$A$2:$A$9999=$A17)*('Raw Data'!$C$2:$C$9999=$C$3)*'Raw Data'!$D$2:$D$9999*'Raw Data'!$AR$2:$AR$9999)/SUMIFS('Raw Data'!$D:$D, 'Raw Data'!$B:$B, "Control", 'Raw Data'!$A:$A, $A17, 'Raw Data'!$C:$C, $C$3),""))</f>
        <v/>
      </c>
      <c r="DV17" s="91" t="str">
        <f>IF($A17="","",IFERROR(SUMPRODUCT(('Raw Data'!$B$2:$B$9999="Variant")*('Raw Data'!$A$2:$A$9999=$A17)*('Raw Data'!$C$2:$C$9999=$C$3)*'Raw Data'!$D$2:$D$9999*'Raw Data'!$AR$2:$AR$9999)/SUMIFS('Raw Data'!$D:$D, 'Raw Data'!$B:$B, "Variant", 'Raw Data'!$A:$A, $A17, 'Raw Data'!$C:$C, $C$3),""))</f>
        <v/>
      </c>
      <c r="DW17" s="110" t="str">
        <f t="shared" si="38"/>
        <v/>
      </c>
      <c r="DX17" s="91" t="str">
        <f>IF($A17="","",IFERROR(SUMPRODUCT(('Raw Data'!$B$2:$B$9999="Control")*('Raw Data'!$A$2:$A$9999=$A17)*('Raw Data'!$C$2:$C$9999=$C$3)*'Raw Data'!$D$2:$D$9999*'Raw Data'!$AS$2:$AS$9999)/SUMIFS('Raw Data'!$D:$D, 'Raw Data'!$B:$B, "Control", 'Raw Data'!$A:$A, $A17, 'Raw Data'!$C:$C, $C$3),""))</f>
        <v/>
      </c>
      <c r="DY17" s="91" t="str">
        <f>IF($A17="","",IFERROR(SUMPRODUCT(('Raw Data'!$B$2:$B$9999="Variant")*('Raw Data'!$A$2:$A$9999=$A17)*('Raw Data'!$C$2:$C$9999=$C$3)*'Raw Data'!$D$2:$D$9999*'Raw Data'!$AS$2:$AS$9999)/SUMIFS('Raw Data'!$D:$D, 'Raw Data'!$B:$B, "Variant", 'Raw Data'!$A:$A, $A17, 'Raw Data'!$C:$C, $C$3),""))</f>
        <v/>
      </c>
      <c r="DZ17" s="111" t="str">
        <f t="shared" si="39"/>
        <v/>
      </c>
      <c r="EA17" s="91" t="str">
        <f>IF($A17="","",IFERROR(SUMPRODUCT(('Raw Data'!$B$2:$B$9999="Control")*('Raw Data'!$A$2:$A$9999=$A17)*('Raw Data'!$C$2:$C$9999=$C$3)*'Raw Data'!$D$2:$D$9999*'Raw Data'!$AT$2:$AT$9999)/SUMIFS('Raw Data'!$D:$D, 'Raw Data'!$B:$B, "Control", 'Raw Data'!$A:$A, $A17, 'Raw Data'!$C:$C, $C$3),""))</f>
        <v/>
      </c>
      <c r="EB17" s="91" t="str">
        <f>IF($A17="","",IFERROR(SUMPRODUCT(('Raw Data'!$B$2:$B$9999="Variant")*('Raw Data'!$A$2:$A$9999=$A17)*('Raw Data'!$C$2:$C$9999=$C$3)*'Raw Data'!$D$2:$D$9999*'Raw Data'!$AT$2:$AT$9999)/SUMIFS('Raw Data'!$D:$D, 'Raw Data'!$B:$B, "Variant", 'Raw Data'!$A:$A, $A17, 'Raw Data'!$C:$C, $C$3),""))</f>
        <v/>
      </c>
      <c r="EC17" s="110" t="str">
        <f t="shared" si="40"/>
        <v/>
      </c>
      <c r="ED17" s="91" t="str">
        <f>IF($A17="","",IFERROR(SUMPRODUCT(('Raw Data'!$B$2:$B$9999="Control")*('Raw Data'!$A$2:$A$9999=$A17)*('Raw Data'!$C$2:$C$9999=$C$3)*'Raw Data'!$D$2:$D$9999*('Raw Data'!$AQ$2:$AQ$9999-'Raw Data'!$AT$2:$AT$9999))/SUMIFS('Raw Data'!$D:$D, 'Raw Data'!$B:$B, "Control", 'Raw Data'!$A:$A, $A17, 'Raw Data'!$C:$C, $C$3),""))</f>
        <v/>
      </c>
      <c r="EE17" s="91" t="str">
        <f>IF($A17="","",IFERROR(SUMPRODUCT(('Raw Data'!$B$2:$B$9999="Variant")*('Raw Data'!$A$2:$A$9999=$A17)*('Raw Data'!$C$2:$C$9999=$C$3)*'Raw Data'!$D$2:$D$9999*('Raw Data'!$AQ$2:$AQ$9999-'Raw Data'!$AT$2:$AT$9999))/SUMIFS('Raw Data'!$D:$D, 'Raw Data'!$B:$B, "Variant", 'Raw Data'!$A:$A, $A17, 'Raw Data'!$C:$C, $C$3),""))</f>
        <v/>
      </c>
      <c r="EF17" s="111" t="str">
        <f t="shared" si="41"/>
        <v/>
      </c>
      <c r="EG17" s="91" t="str">
        <f>IF($A17="","",IFERROR(SUMPRODUCT(('Raw Data'!$B$2:$B$9999="Control")*('Raw Data'!$A$2:$A$9999=$A17)*('Raw Data'!$C$2:$C$9999=$C$3)*'Raw Data'!$D$2:$D$9999*'Raw Data'!$AU$2:$AU$9999)/SUMIFS('Raw Data'!$D:$D, 'Raw Data'!$B:$B, "Control", 'Raw Data'!$A:$A, $A17, 'Raw Data'!$C:$C, $C$3),""))</f>
        <v/>
      </c>
      <c r="EH17" s="91" t="str">
        <f>IF($A17="","",IFERROR(SUMPRODUCT(('Raw Data'!$B$2:$B$9999="Variant")*('Raw Data'!$A$2:$A$9999=$A17)*('Raw Data'!$C$2:$C$9999=$C$3)*'Raw Data'!$D$2:$D$9999*'Raw Data'!$AU$2:$AU$9999)/SUMIFS('Raw Data'!$D:$D, 'Raw Data'!$B:$B, "Variant", 'Raw Data'!$A:$A, $A17, 'Raw Data'!$C:$C, $C$3),""))</f>
        <v/>
      </c>
      <c r="EI17" s="110" t="str">
        <f t="shared" si="42"/>
        <v/>
      </c>
    </row>
    <row r="18" ht="15.75" customHeight="1">
      <c r="A18" s="74">
        <v>46241.0</v>
      </c>
      <c r="B18" s="76">
        <f>IF($A18="","",SUMIFS('Raw Data'!$D:$D, 'Raw Data'!$B:$B, "Control", 'Raw Data'!$A:$A, $A18, 'Raw Data'!$C:$C, $C$3))</f>
        <v>0</v>
      </c>
      <c r="C18" s="76">
        <f>IF($A18="","",SUMIFS('Raw Data'!$D:$D, 'Raw Data'!$B:$B, "Variant", 'Raw Data'!$A:$A, $A18, 'Raw Data'!$C:$C, $C$3))</f>
        <v>0</v>
      </c>
      <c r="D18" s="77" t="str">
        <f t="shared" si="1"/>
        <v/>
      </c>
      <c r="E18" s="79" t="str">
        <f>IF($A18="","",IFERROR(SUMPRODUCT(('Raw Data'!$B$2:$B$9999="Control")*('Raw Data'!$A$2:$A$9999=$A18)*('Raw Data'!$C$2:$C$9999=$C$3)*'Raw Data'!$D$2:$D$9999*'Raw Data'!$E$2:$E$9999)/SUMIFS('Raw Data'!$D:$D, 'Raw Data'!$B:$B, "Control", 'Raw Data'!$A:$A, $A18, 'Raw Data'!$C:$C, $C$3),""))</f>
        <v/>
      </c>
      <c r="F18" s="79" t="str">
        <f>IF($A18="","",IFERROR(SUMPRODUCT(('Raw Data'!$B$2:$B$9999="Variant")*('Raw Data'!$A$2:$A$9999=$A18)*('Raw Data'!$C$2:$C$9999=$C$3)*'Raw Data'!$D$2:$D$9999*'Raw Data'!$E$2:$E$9999)/SUMIFS('Raw Data'!$D:$D, 'Raw Data'!$B:$B, "Variant", 'Raw Data'!$A:$A, $A18, 'Raw Data'!$C:$C, $C$3),""))</f>
        <v/>
      </c>
      <c r="G18" s="77" t="str">
        <f t="shared" si="2"/>
        <v/>
      </c>
      <c r="H18" s="85">
        <f>IF($A18="","",SUMIFS('Raw Data'!$F:$F, 'Raw Data'!$B:$B, "Control", 'Raw Data'!$A:$A, $A18, 'Raw Data'!$C:$C, $C$3))</f>
        <v>0</v>
      </c>
      <c r="I18" s="85">
        <f>IF($A18="","",SUMIFS('Raw Data'!$F:$F, 'Raw Data'!$B:$B, "Variant", 'Raw Data'!$A:$A, $A18, 'Raw Data'!$C:$C, $C$3))</f>
        <v>0</v>
      </c>
      <c r="J18" s="86" t="str">
        <f t="shared" si="3"/>
        <v/>
      </c>
      <c r="K18" s="88" t="str">
        <f>IF($A18="","",IFERROR(SUMIFS('Raw Data'!$F:$F, 'Raw Data'!$B:$B, "Control", 'Raw Data'!$A:$A, $A18, 'Raw Data'!$C:$C, $C$3)/SUMIFS('Raw Data'!$D:$D, 'Raw Data'!$B:$B, "Control", 'Raw Data'!$A:$A, $A18, 'Raw Data'!$C:$C, $C$3),""))</f>
        <v/>
      </c>
      <c r="L18" s="88" t="str">
        <f>IF($A18="","",IFERROR(SUMIFS('Raw Data'!$F:$F, 'Raw Data'!$B:$B, "Variant", 'Raw Data'!$A:$A, $A18, 'Raw Data'!$C:$C, $C$3)/SUMIFS('Raw Data'!$D:$D, 'Raw Data'!$B:$B, "Variant", 'Raw Data'!$A:$A, $A18, 'Raw Data'!$C:$C, $C$3),""))</f>
        <v/>
      </c>
      <c r="M18" s="86" t="str">
        <f t="shared" si="4"/>
        <v/>
      </c>
      <c r="N18" s="79" t="str">
        <f>IF($A18="","",IFERROR(SUMPRODUCT(('Raw Data'!$B$2:$B$9999="Control")*('Raw Data'!$A$2:$A$9999=$A18)*('Raw Data'!$C$2:$C$9999=$C$3)*'Raw Data'!$D$2:$D$9999*'Raw Data'!$H$2:$H$9999/100)/SUMIFS('Raw Data'!$D:$D, 'Raw Data'!$B:$B, "Control", 'Raw Data'!$A:$A, $A18, 'Raw Data'!$C:$C, $C$3)*100,""))</f>
        <v/>
      </c>
      <c r="O18" s="79" t="str">
        <f>IF($A18="","",IFERROR(SUMPRODUCT(('Raw Data'!$B$2:$B$9999="Variant")*('Raw Data'!$A$2:$A$9999=$A18)*('Raw Data'!$C$2:$C$9999=$C$3)*'Raw Data'!$D$2:$D$9999*'Raw Data'!$H$2:$H$9999/100)/SUMIFS('Raw Data'!$D:$D, 'Raw Data'!$B:$B, "Variant", 'Raw Data'!$A:$A, $A18, 'Raw Data'!$C:$C, $C$3)*100,""))</f>
        <v/>
      </c>
      <c r="P18" s="86" t="str">
        <f t="shared" si="5"/>
        <v/>
      </c>
      <c r="Q18" s="88" t="str">
        <f>IF($A18="","",IFERROR(SUMIFS('Raw Data'!$F:$F, 'Raw Data'!$B:$B, "Control", 'Raw Data'!$A:$A, $A18, 'Raw Data'!$C:$C, $C$3)/SUMPRODUCT(('Raw Data'!$B$2:$B$9999="Control")*('Raw Data'!$A$2:$A$9999=$A18)*('Raw Data'!$C$2:$C$9999=$C$3)*'Raw Data'!$D$2:$D$9999*'Raw Data'!$H$2:$H$9999/100),""))</f>
        <v/>
      </c>
      <c r="R18" s="88" t="str">
        <f>IF($A18="","",IFERROR(SUMIFS('Raw Data'!$F:$F, 'Raw Data'!$B:$B, "Variant", 'Raw Data'!$A:$A, $A18, 'Raw Data'!$C:$C, $C$3)/SUMPRODUCT(('Raw Data'!$B$2:$B$9999="Variant")*('Raw Data'!$A$2:$A$9999=$A18)*('Raw Data'!$C$2:$C$9999=$C$3)*'Raw Data'!$D$2:$D$9999*'Raw Data'!$H$2:$H$9999/100),""))</f>
        <v/>
      </c>
      <c r="S18" s="86" t="str">
        <f t="shared" si="6"/>
        <v/>
      </c>
      <c r="T18" s="90" t="str">
        <f>IF($A18="","",IFERROR(SUMPRODUCT(('Raw Data'!$B$2:$B$9999="Control")*('Raw Data'!$A$2:$A$9999=$A18)*('Raw Data'!$C$2:$C$9999=$C$3)*'Raw Data'!$D$2:$D$9999*'Raw Data'!$J$2:$J$9999)/SUMIFS('Raw Data'!$D:$D, 'Raw Data'!$B:$B, "Control", 'Raw Data'!$A:$A, $A18, 'Raw Data'!$C:$C, $C$3),""))</f>
        <v/>
      </c>
      <c r="U18" s="90" t="str">
        <f>IF($A18="","",IFERROR(SUMPRODUCT(('Raw Data'!$B$2:$B$9999="Variant")*('Raw Data'!$A$2:$A$9999=$A18)*('Raw Data'!$C$2:$C$9999=$C$3)*'Raw Data'!$D$2:$D$9999*'Raw Data'!$J$2:$J$9999)/SUMIFS('Raw Data'!$D:$D, 'Raw Data'!$B:$B, "Variant", 'Raw Data'!$A:$A, $A18, 'Raw Data'!$C:$C, $C$3),""))</f>
        <v/>
      </c>
      <c r="V18" s="86" t="str">
        <f t="shared" si="7"/>
        <v/>
      </c>
      <c r="W18" s="90" t="str">
        <f>IF($A18="","",IFERROR(SUMPRODUCT(('Raw Data'!$B$2:$B$9999="Control")*('Raw Data'!$A$2:$A$9999=$A18)*('Raw Data'!$C$2:$C$9999=$C$3)*'Raw Data'!$D$2:$D$9999*'Raw Data'!$K$2:$K$9999)/SUMIFS('Raw Data'!$D:$D, 'Raw Data'!$B:$B, "Control", 'Raw Data'!$A:$A, $A18, 'Raw Data'!$C:$C, $C$3),""))</f>
        <v/>
      </c>
      <c r="X18" s="90" t="str">
        <f>IF($A18="","",IFERROR(SUMPRODUCT(('Raw Data'!$B$2:$B$9999="Variant")*('Raw Data'!$A$2:$A$9999=$A18)*('Raw Data'!$C$2:$C$9999=$C$3)*'Raw Data'!$D$2:$D$9999*'Raw Data'!$K$2:$K$9999)/SUMIFS('Raw Data'!$D:$D, 'Raw Data'!$B:$B, "Variant", 'Raw Data'!$A:$A, $A18, 'Raw Data'!$C:$C, $C$3),""))</f>
        <v/>
      </c>
      <c r="Y18" s="86" t="str">
        <f t="shared" si="8"/>
        <v/>
      </c>
      <c r="Z18" s="90" t="str">
        <f>IF($A18="","",IFERROR(SUMPRODUCT(('Raw Data'!$B$2:$B$9999="Control")*('Raw Data'!$A$2:$A$9999=$A18)*('Raw Data'!$C$2:$C$9999=$C$3)*'Raw Data'!$D$2:$D$9999*'Raw Data'!$L$2:$L$9999)/SUMIFS('Raw Data'!$D:$D, 'Raw Data'!$B:$B, "Control", 'Raw Data'!$A:$A, $A18, 'Raw Data'!$C:$C, $C$3),""))</f>
        <v/>
      </c>
      <c r="AA18" s="90" t="str">
        <f>IF($A18="","",IFERROR(SUMPRODUCT(('Raw Data'!$B$2:$B$9999="Variant")*('Raw Data'!$A$2:$A$9999=$A18)*('Raw Data'!$C$2:$C$9999=$C$3)*'Raw Data'!$D$2:$D$9999*'Raw Data'!$L$2:$L$9999)/SUMIFS('Raw Data'!$D:$D, 'Raw Data'!$B:$B, "Variant", 'Raw Data'!$A:$A, $A18, 'Raw Data'!$C:$C, $C$3),""))</f>
        <v/>
      </c>
      <c r="AB18" s="86" t="str">
        <f t="shared" si="9"/>
        <v/>
      </c>
      <c r="AC18" s="91" t="str">
        <f>IF($A18="","",IFERROR(SUMPRODUCT(('Raw Data'!$B$2:$B$9999="Control")*('Raw Data'!$A$2:$A$9999=$A18)*('Raw Data'!$C$2:$C$9999=$C$3)*'Raw Data'!$D$2:$D$9999*'Raw Data'!$M$2:$M$9999)/SUMIFS('Raw Data'!$D:$D, 'Raw Data'!$B:$B, "Control", 'Raw Data'!$A:$A, $A18, 'Raw Data'!$C:$C, $C$3),""))</f>
        <v/>
      </c>
      <c r="AD18" s="91" t="str">
        <f>IF($A18="","",IFERROR(SUMPRODUCT(('Raw Data'!$B$2:$B$9999="Variant")*('Raw Data'!$A$2:$A$9999=$A18)*('Raw Data'!$C$2:$C$9999=$C$3)*'Raw Data'!$D$2:$D$9999*'Raw Data'!$M$2:$M$9999)/SUMIFS('Raw Data'!$D:$D, 'Raw Data'!$B:$B, "Variant", 'Raw Data'!$A:$A, $A18, 'Raw Data'!$C:$C, $C$3),""))</f>
        <v/>
      </c>
      <c r="AE18" s="93" t="str">
        <f t="shared" si="10"/>
        <v/>
      </c>
      <c r="AF18" s="91" t="str">
        <f>IF($A18="","",IFERROR(SUMPRODUCT(('Raw Data'!$B$2:$B$9999="Control")*('Raw Data'!$A$2:$A$9999=$A18)*('Raw Data'!$C$2:$C$9999=$C$3)*'Raw Data'!$D$2:$D$9999*'Raw Data'!$N$2:$N$9999)/SUMIFS('Raw Data'!$D:$D, 'Raw Data'!$B:$B, "Control", 'Raw Data'!$A:$A, $A18, 'Raw Data'!$C:$C, $C$3),""))</f>
        <v/>
      </c>
      <c r="AG18" s="91" t="str">
        <f>IF($A18="","",IFERROR(SUMPRODUCT(('Raw Data'!$B$2:$B$9999="Variant")*('Raw Data'!$A$2:$A$9999=$A18)*('Raw Data'!$C$2:$C$9999=$C$3)*'Raw Data'!$D$2:$D$9999*'Raw Data'!$N$2:$N$9999)/SUMIFS('Raw Data'!$D:$D, 'Raw Data'!$B:$B, "Variant", 'Raw Data'!$A:$A, $A18, 'Raw Data'!$C:$C, $C$3),""))</f>
        <v/>
      </c>
      <c r="AH18" s="93" t="str">
        <f t="shared" si="11"/>
        <v/>
      </c>
      <c r="AI18" s="91" t="str">
        <f>IF($A18="","",IFERROR(SUMPRODUCT(('Raw Data'!$B$2:$B$9999="Control")*('Raw Data'!$A$2:$A$9999=$A18)*('Raw Data'!$C$2:$C$9999=$C$3)*'Raw Data'!$D$2:$D$9999*'Raw Data'!$O$2:$O$9999)/SUMIFS('Raw Data'!$D:$D, 'Raw Data'!$B:$B, "Control", 'Raw Data'!$A:$A, $A18, 'Raw Data'!$C:$C, $C$3),""))</f>
        <v/>
      </c>
      <c r="AJ18" s="91" t="str">
        <f>IF($A18="","",IFERROR(SUMPRODUCT(('Raw Data'!$B$2:$B$9999="Variant")*('Raw Data'!$A$2:$A$9999=$A18)*('Raw Data'!$C$2:$C$9999=$C$3)*'Raw Data'!$D$2:$D$9999*'Raw Data'!$O$2:$O$9999)/SUMIFS('Raw Data'!$D:$D, 'Raw Data'!$B:$B, "Variant", 'Raw Data'!$A:$A, $A18, 'Raw Data'!$C:$C, $C$3),""))</f>
        <v/>
      </c>
      <c r="AK18" s="86" t="str">
        <f t="shared" si="12"/>
        <v/>
      </c>
      <c r="AL18" s="90" t="str">
        <f>IF($A18="","",IFERROR(SUMPRODUCT(('Raw Data'!$B$2:$B$9999="Control")*('Raw Data'!$A$2:$A$9999=$A18)*('Raw Data'!$C$2:$C$9999=$C$3)*'Raw Data'!$D$2:$D$9999*'Raw Data'!$P$2:$P$9999)/SUMIFS('Raw Data'!$D:$D, 'Raw Data'!$B:$B, "Control", 'Raw Data'!$A:$A, $A18, 'Raw Data'!$C:$C, $C$3),""))</f>
        <v/>
      </c>
      <c r="AM18" s="90" t="str">
        <f>IF($A18="","",IFERROR(SUMPRODUCT(('Raw Data'!$B$2:$B$9999="Variant")*('Raw Data'!$A$2:$A$9999=$A18)*('Raw Data'!$C$2:$C$9999=$C$3)*'Raw Data'!$D$2:$D$9999*'Raw Data'!$P$2:$P$9999)/SUMIFS('Raw Data'!$D:$D, 'Raw Data'!$B:$B, "Variant", 'Raw Data'!$A:$A, $A18, 'Raw Data'!$C:$C, $C$3),""))</f>
        <v/>
      </c>
      <c r="AN18" s="86" t="str">
        <f t="shared" si="13"/>
        <v/>
      </c>
      <c r="AO18" s="90" t="str">
        <f>IF($A18="","",IFERROR(SUMPRODUCT(('Raw Data'!$B$2:$B$9999="Control")*('Raw Data'!$A$2:$A$9999=$A18)*('Raw Data'!$C$2:$C$9999=$C$3)*'Raw Data'!$D$2:$D$9999*'Raw Data'!$Q$2:$Q$9999)/SUMIFS('Raw Data'!$D:$D, 'Raw Data'!$B:$B, "Control", 'Raw Data'!$A:$A, $A18, 'Raw Data'!$C:$C, $C$3),""))</f>
        <v/>
      </c>
      <c r="AP18" s="90" t="str">
        <f>IF($A18="","",IFERROR(SUMPRODUCT(('Raw Data'!$B$2:$B$9999="Variant")*('Raw Data'!$A$2:$A$9999=$A18)*('Raw Data'!$C$2:$C$9999=$C$3)*'Raw Data'!$D$2:$D$9999*'Raw Data'!$Q$2:$Q$9999)/SUMIFS('Raw Data'!$D:$D, 'Raw Data'!$B:$B, "Variant", 'Raw Data'!$A:$A, $A18, 'Raw Data'!$C:$C, $C$3),""))</f>
        <v/>
      </c>
      <c r="AQ18" s="77" t="str">
        <f t="shared" si="14"/>
        <v/>
      </c>
      <c r="AR18" s="90" t="str">
        <f>IF($A18="","",IFERROR(SUMPRODUCT(('Raw Data'!$B$2:$B$9999="Control")*('Raw Data'!$A$2:$A$9999=$A18)*('Raw Data'!$C$2:$C$9999=$C$3)*'Raw Data'!$D$2:$D$9999*'Raw Data'!$R$2:$R$9999)/SUMIFS('Raw Data'!$D:$D, 'Raw Data'!$B:$B, "Control", 'Raw Data'!$A:$A, $A18, 'Raw Data'!$C:$C, $C$3),""))</f>
        <v/>
      </c>
      <c r="AS18" s="90" t="str">
        <f>IF($A18="","",IFERROR(SUMPRODUCT(('Raw Data'!$B$2:$B$9999="Variant")*('Raw Data'!$A$2:$A$9999=$A18)*('Raw Data'!$C$2:$C$9999=$C$3)*'Raw Data'!$D$2:$D$9999*'Raw Data'!$R$2:$R$9999)/SUMIFS('Raw Data'!$D:$D, 'Raw Data'!$B:$B, "Variant", 'Raw Data'!$A:$A, $A18, 'Raw Data'!$C:$C, $C$3),""))</f>
        <v/>
      </c>
      <c r="AT18" s="77" t="str">
        <f t="shared" si="15"/>
        <v/>
      </c>
      <c r="AU18" s="90" t="str">
        <f>IF($A18="","",IFERROR(SUMPRODUCT(('Raw Data'!$B$2:$B$9999="Control")*('Raw Data'!$A$2:$A$9999=$A18)*('Raw Data'!$C$2:$C$9999=$C$3)*'Raw Data'!$D$2:$D$9999*'Raw Data'!$S$2:$S$9999)/SUMIFS('Raw Data'!$D:$D, 'Raw Data'!$B:$B, "Control", 'Raw Data'!$A:$A, $A18, 'Raw Data'!$C:$C, $C$3),""))</f>
        <v/>
      </c>
      <c r="AV18" s="90" t="str">
        <f>IF($A18="","",IFERROR(SUMPRODUCT(('Raw Data'!$B$2:$B$9999="Variant")*('Raw Data'!$A$2:$A$9999=$A18)*('Raw Data'!$C$2:$C$9999=$C$3)*'Raw Data'!$D$2:$D$9999*'Raw Data'!$S$2:$S$9999)/SUMIFS('Raw Data'!$D:$D, 'Raw Data'!$B:$B, "Variant", 'Raw Data'!$A:$A, $A18, 'Raw Data'!$C:$C, $C$3),""))</f>
        <v/>
      </c>
      <c r="AW18" s="77" t="str">
        <f t="shared" si="16"/>
        <v/>
      </c>
      <c r="AX18" s="90" t="str">
        <f>IF($A18="","",IFERROR(SUMPRODUCT(('Raw Data'!$B$2:$B$9999="Control")*('Raw Data'!$A$2:$A$9999=$A18)*('Raw Data'!$C$2:$C$9999=$C$3)*'Raw Data'!$D$2:$D$9999*'Raw Data'!$T$2:$T$9999)/SUMIFS('Raw Data'!$D:$D, 'Raw Data'!$B:$B, "Control", 'Raw Data'!$A:$A, $A18, 'Raw Data'!$C:$C, $C$3),""))</f>
        <v/>
      </c>
      <c r="AY18" s="90" t="str">
        <f>IF($A18="","",IFERROR(SUMPRODUCT(('Raw Data'!$B$2:$B$9999="Variant")*('Raw Data'!$A$2:$A$9999=$A18)*('Raw Data'!$C$2:$C$9999=$C$3)*'Raw Data'!$D$2:$D$9999*'Raw Data'!$T$2:$T$9999)/SUMIFS('Raw Data'!$D:$D, 'Raw Data'!$B:$B, "Variant", 'Raw Data'!$A:$A, $A18, 'Raw Data'!$C:$C, $C$3),""))</f>
        <v/>
      </c>
      <c r="AZ18" s="86" t="str">
        <f t="shared" si="17"/>
        <v/>
      </c>
      <c r="BA18" s="90" t="str">
        <f>IF($A18="","",IFERROR(SUMPRODUCT(('Raw Data'!$B$2:$B$9999="Control")*('Raw Data'!$A$2:$A$9999=$A18)*('Raw Data'!$C$2:$C$9999=$C$3)*'Raw Data'!$D$2:$D$9999*'Raw Data'!$U$2:$U$9999)/SUMIFS('Raw Data'!$D:$D, 'Raw Data'!$B:$B, "Control", 'Raw Data'!$A:$A, $A18, 'Raw Data'!$C:$C, $C$3),""))</f>
        <v/>
      </c>
      <c r="BB18" s="90" t="str">
        <f>IF($A18="","",IFERROR(SUMPRODUCT(('Raw Data'!$B$2:$B$9999="Variant")*('Raw Data'!$A$2:$A$9999=$A18)*('Raw Data'!$C$2:$C$9999=$C$3)*'Raw Data'!$D$2:$D$9999*'Raw Data'!$U$2:$U$9999)/SUMIFS('Raw Data'!$D:$D, 'Raw Data'!$B:$B, "Variant", 'Raw Data'!$A:$A, $A18, 'Raw Data'!$C:$C, $C$3),""))</f>
        <v/>
      </c>
      <c r="BC18" s="77" t="str">
        <f t="shared" si="18"/>
        <v/>
      </c>
      <c r="BD18" s="90" t="str">
        <f>IF($A18="","",IFERROR(SUMPRODUCT(('Raw Data'!$B$2:$B$9999="Control")*('Raw Data'!$A$2:$A$9999=$A18)*('Raw Data'!$C$2:$C$9999=$C$3)*'Raw Data'!$D$2:$D$9999*'Raw Data'!$V$2:$V$9999)/SUMIFS('Raw Data'!$D:$D, 'Raw Data'!$B:$B, "Control", 'Raw Data'!$A:$A, $A18, 'Raw Data'!$C:$C, $C$3),""))</f>
        <v/>
      </c>
      <c r="BE18" s="90" t="str">
        <f>IF($A18="","",IFERROR(SUMPRODUCT(('Raw Data'!$B$2:$B$9999="Variant")*('Raw Data'!$A$2:$A$9999=$A18)*('Raw Data'!$C$2:$C$9999=$C$3)*'Raw Data'!$D$2:$D$9999*'Raw Data'!$V$2:$V$9999)/SUMIFS('Raw Data'!$D:$D, 'Raw Data'!$B:$B, "Variant", 'Raw Data'!$A:$A, $A18, 'Raw Data'!$C:$C, $C$3),""))</f>
        <v/>
      </c>
      <c r="BF18" s="77" t="str">
        <f t="shared" si="19"/>
        <v/>
      </c>
      <c r="BG18" s="90" t="str">
        <f>IF($A18="","",IFERROR(SUMPRODUCT(('Raw Data'!$B$2:$B$9999="Control")*('Raw Data'!$A$2:$A$9999=$A18)*('Raw Data'!$C$2:$C$9999=$C$3)*'Raw Data'!$D$2:$D$9999*('Raw Data'!$Q$2:$Q$9999-'Raw Data'!$V$2:$V$9999))/SUMIFS('Raw Data'!$D:$D, 'Raw Data'!$B:$B, "Control", 'Raw Data'!$A:$A, $A18, 'Raw Data'!$C:$C, $C$3),""))</f>
        <v/>
      </c>
      <c r="BH18" s="90" t="str">
        <f>IF($A18="","",IFERROR(SUMPRODUCT(('Raw Data'!$B$2:$B$9999="Variant")*('Raw Data'!$A$2:$A$9999=$A18)*('Raw Data'!$C$2:$C$9999=$C$3)*'Raw Data'!$D$2:$D$9999*('Raw Data'!$Q$2:$Q$9999-'Raw Data'!$V$2:$V$9999))/SUMIFS('Raw Data'!$D:$D, 'Raw Data'!$B:$B, "Variant", 'Raw Data'!$A:$A, $A18, 'Raw Data'!$C:$C, $C$3),""))</f>
        <v/>
      </c>
      <c r="BI18" s="77" t="str">
        <f t="shared" si="20"/>
        <v/>
      </c>
      <c r="BJ18" s="90" t="str">
        <f>IF($A18="","",IFERROR(SUMPRODUCT(('Raw Data'!$B$2:$B$9999="Control")*('Raw Data'!$A$2:$A$9999=$A18)*('Raw Data'!$C$2:$C$9999=$C$3)*'Raw Data'!$D$2:$D$9999*'Raw Data'!$W$2:$W$9999)/SUMIFS('Raw Data'!$D:$D, 'Raw Data'!$B:$B, "Control", 'Raw Data'!$A:$A, $A18, 'Raw Data'!$C:$C, $C$3),""))</f>
        <v/>
      </c>
      <c r="BK18" s="90" t="str">
        <f>IF($A18="","",IFERROR(SUMPRODUCT(('Raw Data'!$B$2:$B$9999="Variant")*('Raw Data'!$A$2:$A$9999=$A18)*('Raw Data'!$C$2:$C$9999=$C$3)*'Raw Data'!$D$2:$D$9999*'Raw Data'!$W$2:$W$9999)/SUMIFS('Raw Data'!$D:$D, 'Raw Data'!$B:$B, "Variant", 'Raw Data'!$A:$A, $A18, 'Raw Data'!$C:$C, $C$3),""))</f>
        <v/>
      </c>
      <c r="BL18" s="77" t="str">
        <f t="shared" si="21"/>
        <v/>
      </c>
      <c r="BM18" s="91" t="str">
        <f>IF($A18="","",IFERROR(SUMPRODUCT(('Raw Data'!$B$2:$B$9999="Control")*('Raw Data'!$A$2:$A$9999=$A18)*('Raw Data'!$C$2:$C$9999=$C$3)*'Raw Data'!$D$2:$D$9999*'Raw Data'!$X$2:$X$9999)/SUMIFS('Raw Data'!$D:$D, 'Raw Data'!$B:$B, "Control", 'Raw Data'!$A:$A, $A18, 'Raw Data'!$C:$C, $C$3),""))</f>
        <v/>
      </c>
      <c r="BN18" s="91" t="str">
        <f>IF($A18="","",IFERROR(SUMPRODUCT(('Raw Data'!$B$2:$B$9999="Variant")*('Raw Data'!$A$2:$A$9999=$A18)*('Raw Data'!$C$2:$C$9999=$C$3)*'Raw Data'!$D$2:$D$9999*'Raw Data'!$X$2:$X$9999)/SUMIFS('Raw Data'!$D:$D, 'Raw Data'!$B:$B, "Variant", 'Raw Data'!$A:$A, $A18, 'Raw Data'!$C:$C, $C$3),""))</f>
        <v/>
      </c>
      <c r="BO18" s="86" t="str">
        <f t="shared" si="22"/>
        <v/>
      </c>
      <c r="BP18" s="76" t="str">
        <f>IF($A18="","",IFERROR(SUMPRODUCT(('Raw Data'!$B$2:$B$9999="Control")*('Raw Data'!$A$2:$A$9999=$A18)*('Raw Data'!$C$2:$C$9999=$C$3)*'Raw Data'!$D$2:$D$9999*'Raw Data'!$Y$2:$Y$9999)/SUMIFS('Raw Data'!$D:$D, 'Raw Data'!$B:$B, "Control", 'Raw Data'!$A:$A, $A18, 'Raw Data'!$C:$C, $C$3),""))</f>
        <v/>
      </c>
      <c r="BQ18" s="76" t="str">
        <f>IF($A18="","",IFERROR(SUMPRODUCT(('Raw Data'!$B$2:$B$9999="Variant")*('Raw Data'!$A$2:$A$9999=$A18)*('Raw Data'!$C$2:$C$9999=$C$3)*'Raw Data'!$D$2:$D$9999*'Raw Data'!$Y$2:$Y$9999)/SUMIFS('Raw Data'!$D:$D, 'Raw Data'!$B:$B, "Variant", 'Raw Data'!$A:$A, $A18, 'Raw Data'!$C:$C, $C$3),""))</f>
        <v/>
      </c>
      <c r="BR18" s="77" t="str">
        <f t="shared" si="23"/>
        <v/>
      </c>
      <c r="BS18" s="76" t="str">
        <f>IF($A18="","",IFERROR(SUMPRODUCT(('Raw Data'!$B$2:$B$9999="Control")*('Raw Data'!$A$2:$A$9999=$A18)*('Raw Data'!$C$2:$C$9999=$C$3)*'Raw Data'!$D$2:$D$9999*'Raw Data'!$Z$2:$Z$9999)/SUMIFS('Raw Data'!$D:$D, 'Raw Data'!$B:$B, "Control", 'Raw Data'!$A:$A, $A18, 'Raw Data'!$C:$C, $C$3),""))</f>
        <v/>
      </c>
      <c r="BT18" s="76" t="str">
        <f>IF($A18="","",IFERROR(SUMPRODUCT(('Raw Data'!$B$2:$B$9999="Variant")*('Raw Data'!$A$2:$A$9999=$A18)*('Raw Data'!$C$2:$C$9999=$C$3)*'Raw Data'!$D$2:$D$9999*'Raw Data'!$Z$2:$Z$9999)/SUMIFS('Raw Data'!$D:$D, 'Raw Data'!$B:$B, "Variant", 'Raw Data'!$A:$A, $A18, 'Raw Data'!$C:$C, $C$3),""))</f>
        <v/>
      </c>
      <c r="BU18" s="77" t="str">
        <f t="shared" si="24"/>
        <v/>
      </c>
      <c r="BV18" s="76" t="str">
        <f>IF($A18="","",IFERROR(SUMPRODUCT(('Raw Data'!$B$2:$B$9999="Control")*('Raw Data'!$A$2:$A$9999=$A18)*('Raw Data'!$C$2:$C$9999=$C$3)*'Raw Data'!$D$2:$D$9999*'Raw Data'!$AA$2:$AA$9999)/SUMIFS('Raw Data'!$D:$D, 'Raw Data'!$B:$B, "Control", 'Raw Data'!$A:$A, $A18, 'Raw Data'!$C:$C, $C$3),""))</f>
        <v/>
      </c>
      <c r="BW18" s="76" t="str">
        <f>IF($A18="","",IFERROR(SUMPRODUCT(('Raw Data'!$B$2:$B$9999="Variant")*('Raw Data'!$A$2:$A$9999=$A18)*('Raw Data'!$C$2:$C$9999=$C$3)*'Raw Data'!$D$2:$D$9999*'Raw Data'!$AA$2:$AA$9999)/SUMIFS('Raw Data'!$D:$D, 'Raw Data'!$B:$B, "Variant", 'Raw Data'!$A:$A, $A18, 'Raw Data'!$C:$C, $C$3),""))</f>
        <v/>
      </c>
      <c r="BX18" s="77" t="str">
        <f t="shared" si="25"/>
        <v/>
      </c>
      <c r="BY18" s="90" t="str">
        <f>IF($A18="","",IFERROR(SUMPRODUCT(('Raw Data'!$B$2:$B$9999="Control")*('Raw Data'!$A$2:$A$9999=$A18)*('Raw Data'!$C$2:$C$9999=$C$3)*'Raw Data'!$D$2:$D$9999*'Raw Data'!$AB$2:$AB$9999)/SUMIFS('Raw Data'!$D:$D, 'Raw Data'!$B:$B, "Control", 'Raw Data'!$A:$A, $A18, 'Raw Data'!$C:$C, $C$3),""))</f>
        <v/>
      </c>
      <c r="BZ18" s="90" t="str">
        <f>IF($A18="","",IFERROR(SUMPRODUCT(('Raw Data'!$B$2:$B$9999="Variant")*('Raw Data'!$A$2:$A$9999=$A18)*('Raw Data'!$C$2:$C$9999=$C$3)*'Raw Data'!$D$2:$D$9999*'Raw Data'!$AB$2:$AB$9999)/SUMIFS('Raw Data'!$D:$D, 'Raw Data'!$B:$B, "Variant", 'Raw Data'!$A:$A, $A18, 'Raw Data'!$C:$C, $C$3),""))</f>
        <v/>
      </c>
      <c r="CA18" s="86" t="str">
        <f t="shared" si="26"/>
        <v/>
      </c>
      <c r="CB18" s="90" t="str">
        <f>IF($A18="","",IFERROR(SUMPRODUCT(('Raw Data'!$B$2:$B$9999="Control")*('Raw Data'!$A$2:$A$9999=$A18)*('Raw Data'!$C$2:$C$9999=$C$3)*'Raw Data'!$D$2:$D$9999*'Raw Data'!$AC$2:$AC$9999)/SUMIFS('Raw Data'!$D:$D, 'Raw Data'!$B:$B, "Control", 'Raw Data'!$A:$A, $A18, 'Raw Data'!$C:$C, $C$3),""))</f>
        <v/>
      </c>
      <c r="CC18" s="90" t="str">
        <f>IF($A18="","",IFERROR(SUMPRODUCT(('Raw Data'!$B$2:$B$9999="Variant")*('Raw Data'!$A$2:$A$9999=$A18)*('Raw Data'!$C$2:$C$9999=$C$3)*'Raw Data'!$D$2:$D$9999*'Raw Data'!$AC$2:$AC$9999)/SUMIFS('Raw Data'!$D:$D, 'Raw Data'!$B:$B, "Variant", 'Raw Data'!$A:$A, $A18, 'Raw Data'!$C:$C, $C$3),""))</f>
        <v/>
      </c>
      <c r="CD18" s="86" t="str">
        <f t="shared" si="27"/>
        <v/>
      </c>
      <c r="CE18" s="90" t="str">
        <f>IF($A18="","",IFERROR(SUMPRODUCT(('Raw Data'!$B$2:$B$9999="Control")*('Raw Data'!$A$2:$A$9999=$A18)*('Raw Data'!$C$2:$C$9999=$C$3)*'Raw Data'!$D$2:$D$9999*'Raw Data'!$AD$2:$AD$9999)/SUMIFS('Raw Data'!$D:$D, 'Raw Data'!$B:$B, "Control", 'Raw Data'!$A:$A, $A18, 'Raw Data'!$C:$C, $C$3),""))</f>
        <v/>
      </c>
      <c r="CF18" s="90" t="str">
        <f>IF($A18="","",IFERROR(SUMPRODUCT(('Raw Data'!$B$2:$B$9999="Variant")*('Raw Data'!$A$2:$A$9999=$A18)*('Raw Data'!$C$2:$C$9999=$C$3)*'Raw Data'!$D$2:$D$9999*'Raw Data'!$AD$2:$AD$9999)/SUMIFS('Raw Data'!$D:$D, 'Raw Data'!$B:$B, "Variant", 'Raw Data'!$A:$A, $A18, 'Raw Data'!$C:$C, $C$3),""))</f>
        <v/>
      </c>
      <c r="CG18" s="86" t="str">
        <f t="shared" si="28"/>
        <v/>
      </c>
      <c r="CH18" s="90" t="str">
        <f>IF($A18="","",IFERROR(SUMPRODUCT(('Raw Data'!$B$2:$B$9999="Control")*('Raw Data'!$A$2:$A$9999=$A18)*('Raw Data'!$C$2:$C$9999=$C$3)*'Raw Data'!$D$2:$D$9999*'Raw Data'!$AE$2:$AE$9999)/SUMIFS('Raw Data'!$D:$D, 'Raw Data'!$B:$B, "Control", 'Raw Data'!$A:$A, $A18, 'Raw Data'!$C:$C, $C$3),""))</f>
        <v/>
      </c>
      <c r="CI18" s="90" t="str">
        <f>IF($A18="","",IFERROR(SUMPRODUCT(('Raw Data'!$B$2:$B$9999="Variant")*('Raw Data'!$A$2:$A$9999=$A18)*('Raw Data'!$C$2:$C$9999=$C$3)*'Raw Data'!$D$2:$D$9999*'Raw Data'!$AE$2:$AE$9999)/SUMIFS('Raw Data'!$D:$D, 'Raw Data'!$B:$B, "Variant", 'Raw Data'!$A:$A, $A18, 'Raw Data'!$C:$C, $C$3),""))</f>
        <v/>
      </c>
      <c r="CJ18" s="86" t="str">
        <f t="shared" si="29"/>
        <v/>
      </c>
      <c r="CK18" s="90" t="str">
        <f>IF($A18="","",IFERROR(SUMPRODUCT(('Raw Data'!$B$2:$B$9999="Control")*('Raw Data'!$A$2:$A$9999=$A18)*('Raw Data'!$C$2:$C$9999=$C$3)*'Raw Data'!$D$2:$D$9999*'Raw Data'!$AF$2:$AF$9999)/SUMIFS('Raw Data'!$D:$D, 'Raw Data'!$B:$B, "Control", 'Raw Data'!$A:$A, $A18, 'Raw Data'!$C:$C, $C$3),""))</f>
        <v/>
      </c>
      <c r="CL18" s="90" t="str">
        <f>IF($A18="","",IFERROR(SUMPRODUCT(('Raw Data'!$B$2:$B$9999="Variant")*('Raw Data'!$A$2:$A$9999=$A18)*('Raw Data'!$C$2:$C$9999=$C$3)*'Raw Data'!$D$2:$D$9999*'Raw Data'!$AF$2:$AF$9999)/SUMIFS('Raw Data'!$D:$D, 'Raw Data'!$B:$B, "Variant", 'Raw Data'!$A:$A, $A18, 'Raw Data'!$C:$C, $C$3),""))</f>
        <v/>
      </c>
      <c r="CM18" s="86" t="str">
        <f t="shared" si="30"/>
        <v/>
      </c>
      <c r="CN18" s="90" t="str">
        <f>IF($A18="","",IFERROR(SUMPRODUCT(('Raw Data'!$B$2:$B$9999="Control")*('Raw Data'!$A$2:$A$9999=$A18)*('Raw Data'!$C$2:$C$9999=$C$3)*'Raw Data'!$D$2:$D$9999*'Raw Data'!$AG$2:$AG$9999)/SUMIFS('Raw Data'!$D:$D, 'Raw Data'!$B:$B, "Control", 'Raw Data'!$A:$A, $A18, 'Raw Data'!$C:$C, $C$3),""))</f>
        <v/>
      </c>
      <c r="CO18" s="90" t="str">
        <f>IF($A18="","",IFERROR(SUMPRODUCT(('Raw Data'!$B$2:$B$9999="Variant")*('Raw Data'!$A$2:$A$9999=$A18)*('Raw Data'!$C$2:$C$9999=$C$3)*'Raw Data'!$D$2:$D$9999*'Raw Data'!$AG$2:$AG$9999)/SUMIFS('Raw Data'!$D:$D, 'Raw Data'!$B:$B, "Variant", 'Raw Data'!$A:$A, $A18, 'Raw Data'!$C:$C, $C$3),""))</f>
        <v/>
      </c>
      <c r="CP18" s="86" t="str">
        <f t="shared" si="31"/>
        <v/>
      </c>
      <c r="CQ18" s="90" t="str">
        <f>IF($A18="","",IFERROR(SUMPRODUCT(('Raw Data'!$B$2:$B$9999="Control")*('Raw Data'!$A$2:$A$9999=$A18)*('Raw Data'!$C$2:$C$9999=$C$3)*'Raw Data'!$D$2:$D$9999*'Raw Data'!$AH$2:$AH$9999)/SUMIFS('Raw Data'!$D:$D, 'Raw Data'!$B:$B, "Control", 'Raw Data'!$A:$A, $A18, 'Raw Data'!$C:$C, $C$3),""))</f>
        <v/>
      </c>
      <c r="CR18" s="90" t="str">
        <f>IF($A18="","",IFERROR(SUMPRODUCT(('Raw Data'!$B$2:$B$9999="Variant")*('Raw Data'!$A$2:$A$9999=$A18)*('Raw Data'!$C$2:$C$9999=$C$3)*'Raw Data'!$D$2:$D$9999*'Raw Data'!$AH$2:$AH$9999)/SUMIFS('Raw Data'!$D:$D, 'Raw Data'!$B:$B, "Variant", 'Raw Data'!$A:$A, $A18, 'Raw Data'!$C:$C, $C$3),""))</f>
        <v/>
      </c>
      <c r="CS18" s="86" t="str">
        <f t="shared" si="32"/>
        <v/>
      </c>
      <c r="CT18" s="79" t="str">
        <f>IF($A18="","",IFERROR(SUMPRODUCT(('Raw Data'!$B$2:$B$9999="Control")*('Raw Data'!$A$2:$A$9999=$A18)*('Raw Data'!$C$2:$C$9999=$C$3)*'Raw Data'!$D$2:$D$9999*'Raw Data'!$AI$2:$AI$9999)/SUMIFS('Raw Data'!$D:$D, 'Raw Data'!$B:$B, "Control", 'Raw Data'!$A:$A, $A18, 'Raw Data'!$C:$C, $C$3),""))</f>
        <v/>
      </c>
      <c r="CU18" s="79" t="str">
        <f>IF($A18="","",IFERROR(SUMPRODUCT(('Raw Data'!$B$2:$B$9999="Variant")*('Raw Data'!$A$2:$A$9999=$A18)*('Raw Data'!$C$2:$C$9999=$C$3)*'Raw Data'!$D$2:$D$9999*'Raw Data'!$AI$2:$AI$9999)/SUMIFS('Raw Data'!$D:$D, 'Raw Data'!$B:$B, "Variant", 'Raw Data'!$A:$A, $A18, 'Raw Data'!$C:$C, $C$3),""))</f>
        <v/>
      </c>
      <c r="CV18" s="93" t="str">
        <f t="shared" si="33"/>
        <v/>
      </c>
      <c r="CW18" s="79" t="str">
        <f>IF($A18="","",IFERROR(SUMPRODUCT(('Raw Data'!$B$2:$B$9999="Control")*('Raw Data'!$A$2:$A$9999=$A18)*('Raw Data'!$C$2:$C$9999=$C$3)*'Raw Data'!$D$2:$D$9999*'Raw Data'!$AJ$2:$AJ$9999)/SUMIFS('Raw Data'!$D:$D, 'Raw Data'!$B:$B, "Control", 'Raw Data'!$A:$A, $A18, 'Raw Data'!$C:$C, $C$3),""))</f>
        <v/>
      </c>
      <c r="CX18" s="79" t="str">
        <f>IF($A18="","",IFERROR(SUMPRODUCT(('Raw Data'!$B$2:$B$9999="Variant")*('Raw Data'!$A$2:$A$9999=$A18)*('Raw Data'!$C$2:$C$9999=$C$3)*'Raw Data'!$D$2:$D$9999*'Raw Data'!$AJ$2:$AJ$9999)/SUMIFS('Raw Data'!$D:$D, 'Raw Data'!$B:$B, "Variant", 'Raw Data'!$A:$A, $A18, 'Raw Data'!$C:$C, $C$3),""))</f>
        <v/>
      </c>
      <c r="CY18" s="93" t="str">
        <f t="shared" si="34"/>
        <v/>
      </c>
      <c r="CZ18" s="79" t="str">
        <f>IF($A18="","",IFERROR(SUMPRODUCT(('Raw Data'!$B$2:$B$9999="Control")*('Raw Data'!$A$2:$A$9999=$A18)*('Raw Data'!$C$2:$C$9999=$C$3)*'Raw Data'!$D$2:$D$9999*'Raw Data'!$AK$2:$AK$9999)/SUMIFS('Raw Data'!$D:$D, 'Raw Data'!$B:$B, "Control", 'Raw Data'!$A:$A, $A18, 'Raw Data'!$C:$C, $C$3),""))</f>
        <v/>
      </c>
      <c r="DA18" s="79" t="str">
        <f>IF($A18="","",IFERROR(SUMPRODUCT(('Raw Data'!$B$2:$B$9999="Variant")*('Raw Data'!$A$2:$A$9999=$A18)*('Raw Data'!$C$2:$C$9999=$C$3)*'Raw Data'!$D$2:$D$9999*'Raw Data'!$AK$2:$AK$9999)/SUMIFS('Raw Data'!$D:$D, 'Raw Data'!$B:$B, "Variant", 'Raw Data'!$A:$A, $A18, 'Raw Data'!$C:$C, $C$3),""))</f>
        <v/>
      </c>
      <c r="DB18" s="86" t="str">
        <f t="shared" si="35"/>
        <v/>
      </c>
      <c r="DC18" s="91" t="str">
        <f>IF($A18="","",IFERROR(SUMPRODUCT(('Raw Data'!$B$2:$B$9999="Control")*('Raw Data'!$A$2:$A$9999=$A18)*('Raw Data'!$C$2:$C$9999=$C$3)*'Raw Data'!$D$2:$D$9999*'Raw Data'!$AL$2:$AL$9999)/SUMIFS('Raw Data'!$D:$D, 'Raw Data'!$B:$B, "Control", 'Raw Data'!$A:$A, $A18, 'Raw Data'!$C:$C, $C$3),""))</f>
        <v/>
      </c>
      <c r="DD18" s="91" t="str">
        <f>IF($A18="","",IFERROR(SUMPRODUCT(('Raw Data'!$B$2:$B$9999="Variant")*('Raw Data'!$A$2:$A$9999=$A18)*('Raw Data'!$C$2:$C$9999=$C$3)*'Raw Data'!$D$2:$D$9999*'Raw Data'!$AL$2:$AL$9999)/SUMIFS('Raw Data'!$D:$D, 'Raw Data'!$B:$B, "Variant", 'Raw Data'!$A:$A, $A18, 'Raw Data'!$C:$C, $C$3),""))</f>
        <v/>
      </c>
      <c r="DE18" s="93" t="str">
        <f t="shared" si="36"/>
        <v/>
      </c>
      <c r="DF18" s="107"/>
      <c r="DG18" s="79" t="str">
        <f>IF($A18="","",IFERROR(SUMPRODUCT(('Raw Data'!$B$2:$B$9999="Variant")*('Raw Data'!$A$2:$A$9999=$A18)*('Raw Data'!$C$2:$C$9999=$C$3)*'Raw Data'!$D$2:$D$9999*'Raw Data'!$AM$2:$AM$9999)/SUMIFS('Raw Data'!$D:$D, 'Raw Data'!$B:$B, "Variant", 'Raw Data'!$A:$A, $A18, 'Raw Data'!$C:$C, $C$3),""))</f>
        <v/>
      </c>
      <c r="DH18" s="108"/>
      <c r="DI18" s="107"/>
      <c r="DJ18" s="79" t="str">
        <f>IF($A18="","",IFERROR(SUMPRODUCT(('Raw Data'!$B$2:$B$9999="Variant")*('Raw Data'!$A$2:$A$9999=$A18)*('Raw Data'!$C$2:$C$9999=$C$3)*'Raw Data'!$D$2:$D$9999*'Raw Data'!$AN$2:$AN$9999)/SUMIFS('Raw Data'!$D:$D, 'Raw Data'!$B:$B, "Variant", 'Raw Data'!$A:$A, $A18, 'Raw Data'!$C:$C, $C$3),""))</f>
        <v/>
      </c>
      <c r="DK18" s="108"/>
      <c r="DL18" s="107"/>
      <c r="DM18" s="79" t="str">
        <f>IF($A18="","",IFERROR(SUMPRODUCT(('Raw Data'!$B$2:$B$9999="Variant")*('Raw Data'!$A$2:$A$9999=$A18)*('Raw Data'!$C$2:$C$9999=$C$3)*'Raw Data'!$D$2:$D$9999*'Raw Data'!$AO$2:$AO$9999)/SUMIFS('Raw Data'!$D:$D, 'Raw Data'!$B:$B, "Variant", 'Raw Data'!$A:$A, $A18, 'Raw Data'!$C:$C, $C$3),""))</f>
        <v/>
      </c>
      <c r="DN18" s="108"/>
      <c r="DO18" s="107"/>
      <c r="DP18" s="79" t="str">
        <f>IF($A18="","",IFERROR(SUMPRODUCT(('Raw Data'!$B$2:$B$9999="Variant")*('Raw Data'!$A$2:$A$9999=$A18)*('Raw Data'!$C$2:$C$9999=$C$3)*'Raw Data'!$D$2:$D$9999*'Raw Data'!$AP$2:$AP$9999)/SUMIFS('Raw Data'!$D:$D, 'Raw Data'!$B:$B, "Variant", 'Raw Data'!$A:$A, $A18, 'Raw Data'!$C:$C, $C$3),""))</f>
        <v/>
      </c>
      <c r="DQ18" s="108"/>
      <c r="DR18" s="91" t="str">
        <f>IF($A18="","",IFERROR(SUMPRODUCT(('Raw Data'!$B$2:$B$9999="Control")*('Raw Data'!$A$2:$A$9999=$A18)*('Raw Data'!$C$2:$C$9999=$C$3)*'Raw Data'!$D$2:$D$9999*'Raw Data'!$AQ$2:$AQ$9999)/SUMIFS('Raw Data'!$D:$D, 'Raw Data'!$B:$B, "Control", 'Raw Data'!$A:$A, $A18, 'Raw Data'!$C:$C, $C$3),""))</f>
        <v/>
      </c>
      <c r="DS18" s="91" t="str">
        <f>IF($A18="","",IFERROR(SUMPRODUCT(('Raw Data'!$B$2:$B$9999="Variant")*('Raw Data'!$A$2:$A$9999=$A18)*('Raw Data'!$C$2:$C$9999=$C$3)*'Raw Data'!$D$2:$D$9999*'Raw Data'!$AQ$2:$AQ$9999)/SUMIFS('Raw Data'!$D:$D, 'Raw Data'!$B:$B, "Variant", 'Raw Data'!$A:$A, $A18, 'Raw Data'!$C:$C, $C$3),""))</f>
        <v/>
      </c>
      <c r="DT18" s="110" t="str">
        <f t="shared" si="37"/>
        <v/>
      </c>
      <c r="DU18" s="91" t="str">
        <f>IF($A18="","",IFERROR(SUMPRODUCT(('Raw Data'!$B$2:$B$9999="Control")*('Raw Data'!$A$2:$A$9999=$A18)*('Raw Data'!$C$2:$C$9999=$C$3)*'Raw Data'!$D$2:$D$9999*'Raw Data'!$AR$2:$AR$9999)/SUMIFS('Raw Data'!$D:$D, 'Raw Data'!$B:$B, "Control", 'Raw Data'!$A:$A, $A18, 'Raw Data'!$C:$C, $C$3),""))</f>
        <v/>
      </c>
      <c r="DV18" s="91" t="str">
        <f>IF($A18="","",IFERROR(SUMPRODUCT(('Raw Data'!$B$2:$B$9999="Variant")*('Raw Data'!$A$2:$A$9999=$A18)*('Raw Data'!$C$2:$C$9999=$C$3)*'Raw Data'!$D$2:$D$9999*'Raw Data'!$AR$2:$AR$9999)/SUMIFS('Raw Data'!$D:$D, 'Raw Data'!$B:$B, "Variant", 'Raw Data'!$A:$A, $A18, 'Raw Data'!$C:$C, $C$3),""))</f>
        <v/>
      </c>
      <c r="DW18" s="110" t="str">
        <f t="shared" si="38"/>
        <v/>
      </c>
      <c r="DX18" s="91" t="str">
        <f>IF($A18="","",IFERROR(SUMPRODUCT(('Raw Data'!$B$2:$B$9999="Control")*('Raw Data'!$A$2:$A$9999=$A18)*('Raw Data'!$C$2:$C$9999=$C$3)*'Raw Data'!$D$2:$D$9999*'Raw Data'!$AS$2:$AS$9999)/SUMIFS('Raw Data'!$D:$D, 'Raw Data'!$B:$B, "Control", 'Raw Data'!$A:$A, $A18, 'Raw Data'!$C:$C, $C$3),""))</f>
        <v/>
      </c>
      <c r="DY18" s="91" t="str">
        <f>IF($A18="","",IFERROR(SUMPRODUCT(('Raw Data'!$B$2:$B$9999="Variant")*('Raw Data'!$A$2:$A$9999=$A18)*('Raw Data'!$C$2:$C$9999=$C$3)*'Raw Data'!$D$2:$D$9999*'Raw Data'!$AS$2:$AS$9999)/SUMIFS('Raw Data'!$D:$D, 'Raw Data'!$B:$B, "Variant", 'Raw Data'!$A:$A, $A18, 'Raw Data'!$C:$C, $C$3),""))</f>
        <v/>
      </c>
      <c r="DZ18" s="111" t="str">
        <f t="shared" si="39"/>
        <v/>
      </c>
      <c r="EA18" s="91" t="str">
        <f>IF($A18="","",IFERROR(SUMPRODUCT(('Raw Data'!$B$2:$B$9999="Control")*('Raw Data'!$A$2:$A$9999=$A18)*('Raw Data'!$C$2:$C$9999=$C$3)*'Raw Data'!$D$2:$D$9999*'Raw Data'!$AT$2:$AT$9999)/SUMIFS('Raw Data'!$D:$D, 'Raw Data'!$B:$B, "Control", 'Raw Data'!$A:$A, $A18, 'Raw Data'!$C:$C, $C$3),""))</f>
        <v/>
      </c>
      <c r="EB18" s="91" t="str">
        <f>IF($A18="","",IFERROR(SUMPRODUCT(('Raw Data'!$B$2:$B$9999="Variant")*('Raw Data'!$A$2:$A$9999=$A18)*('Raw Data'!$C$2:$C$9999=$C$3)*'Raw Data'!$D$2:$D$9999*'Raw Data'!$AT$2:$AT$9999)/SUMIFS('Raw Data'!$D:$D, 'Raw Data'!$B:$B, "Variant", 'Raw Data'!$A:$A, $A18, 'Raw Data'!$C:$C, $C$3),""))</f>
        <v/>
      </c>
      <c r="EC18" s="110" t="str">
        <f t="shared" si="40"/>
        <v/>
      </c>
      <c r="ED18" s="91" t="str">
        <f>IF($A18="","",IFERROR(SUMPRODUCT(('Raw Data'!$B$2:$B$9999="Control")*('Raw Data'!$A$2:$A$9999=$A18)*('Raw Data'!$C$2:$C$9999=$C$3)*'Raw Data'!$D$2:$D$9999*('Raw Data'!$AQ$2:$AQ$9999-'Raw Data'!$AT$2:$AT$9999))/SUMIFS('Raw Data'!$D:$D, 'Raw Data'!$B:$B, "Control", 'Raw Data'!$A:$A, $A18, 'Raw Data'!$C:$C, $C$3),""))</f>
        <v/>
      </c>
      <c r="EE18" s="91" t="str">
        <f>IF($A18="","",IFERROR(SUMPRODUCT(('Raw Data'!$B$2:$B$9999="Variant")*('Raw Data'!$A$2:$A$9999=$A18)*('Raw Data'!$C$2:$C$9999=$C$3)*'Raw Data'!$D$2:$D$9999*('Raw Data'!$AQ$2:$AQ$9999-'Raw Data'!$AT$2:$AT$9999))/SUMIFS('Raw Data'!$D:$D, 'Raw Data'!$B:$B, "Variant", 'Raw Data'!$A:$A, $A18, 'Raw Data'!$C:$C, $C$3),""))</f>
        <v/>
      </c>
      <c r="EF18" s="111" t="str">
        <f t="shared" si="41"/>
        <v/>
      </c>
      <c r="EG18" s="91" t="str">
        <f>IF($A18="","",IFERROR(SUMPRODUCT(('Raw Data'!$B$2:$B$9999="Control")*('Raw Data'!$A$2:$A$9999=$A18)*('Raw Data'!$C$2:$C$9999=$C$3)*'Raw Data'!$D$2:$D$9999*'Raw Data'!$AU$2:$AU$9999)/SUMIFS('Raw Data'!$D:$D, 'Raw Data'!$B:$B, "Control", 'Raw Data'!$A:$A, $A18, 'Raw Data'!$C:$C, $C$3),""))</f>
        <v/>
      </c>
      <c r="EH18" s="91" t="str">
        <f>IF($A18="","",IFERROR(SUMPRODUCT(('Raw Data'!$B$2:$B$9999="Variant")*('Raw Data'!$A$2:$A$9999=$A18)*('Raw Data'!$C$2:$C$9999=$C$3)*'Raw Data'!$D$2:$D$9999*'Raw Data'!$AU$2:$AU$9999)/SUMIFS('Raw Data'!$D:$D, 'Raw Data'!$B:$B, "Variant", 'Raw Data'!$A:$A, $A18, 'Raw Data'!$C:$C, $C$3),""))</f>
        <v/>
      </c>
      <c r="EI18" s="110" t="str">
        <f t="shared" si="42"/>
        <v/>
      </c>
    </row>
    <row r="19" ht="15.75" customHeight="1">
      <c r="A19" s="74">
        <v>46242.0</v>
      </c>
      <c r="B19" s="76">
        <f>IF($A19="","",SUMIFS('Raw Data'!$D:$D, 'Raw Data'!$B:$B, "Control", 'Raw Data'!$A:$A, $A19, 'Raw Data'!$C:$C, $C$3))</f>
        <v>0</v>
      </c>
      <c r="C19" s="76">
        <f>IF($A19="","",SUMIFS('Raw Data'!$D:$D, 'Raw Data'!$B:$B, "Variant", 'Raw Data'!$A:$A, $A19, 'Raw Data'!$C:$C, $C$3))</f>
        <v>0</v>
      </c>
      <c r="D19" s="77" t="str">
        <f t="shared" si="1"/>
        <v/>
      </c>
      <c r="E19" s="79" t="str">
        <f>IF($A19="","",IFERROR(SUMPRODUCT(('Raw Data'!$B$2:$B$9999="Control")*('Raw Data'!$A$2:$A$9999=$A19)*('Raw Data'!$C$2:$C$9999=$C$3)*'Raw Data'!$D$2:$D$9999*'Raw Data'!$E$2:$E$9999)/SUMIFS('Raw Data'!$D:$D, 'Raw Data'!$B:$B, "Control", 'Raw Data'!$A:$A, $A19, 'Raw Data'!$C:$C, $C$3),""))</f>
        <v/>
      </c>
      <c r="F19" s="79" t="str">
        <f>IF($A19="","",IFERROR(SUMPRODUCT(('Raw Data'!$B$2:$B$9999="Variant")*('Raw Data'!$A$2:$A$9999=$A19)*('Raw Data'!$C$2:$C$9999=$C$3)*'Raw Data'!$D$2:$D$9999*'Raw Data'!$E$2:$E$9999)/SUMIFS('Raw Data'!$D:$D, 'Raw Data'!$B:$B, "Variant", 'Raw Data'!$A:$A, $A19, 'Raw Data'!$C:$C, $C$3),""))</f>
        <v/>
      </c>
      <c r="G19" s="77" t="str">
        <f t="shared" si="2"/>
        <v/>
      </c>
      <c r="H19" s="85">
        <f>IF($A19="","",SUMIFS('Raw Data'!$F:$F, 'Raw Data'!$B:$B, "Control", 'Raw Data'!$A:$A, $A19, 'Raw Data'!$C:$C, $C$3))</f>
        <v>0</v>
      </c>
      <c r="I19" s="85">
        <f>IF($A19="","",SUMIFS('Raw Data'!$F:$F, 'Raw Data'!$B:$B, "Variant", 'Raw Data'!$A:$A, $A19, 'Raw Data'!$C:$C, $C$3))</f>
        <v>0</v>
      </c>
      <c r="J19" s="86" t="str">
        <f t="shared" si="3"/>
        <v/>
      </c>
      <c r="K19" s="88" t="str">
        <f>IF($A19="","",IFERROR(SUMIFS('Raw Data'!$F:$F, 'Raw Data'!$B:$B, "Control", 'Raw Data'!$A:$A, $A19, 'Raw Data'!$C:$C, $C$3)/SUMIFS('Raw Data'!$D:$D, 'Raw Data'!$B:$B, "Control", 'Raw Data'!$A:$A, $A19, 'Raw Data'!$C:$C, $C$3),""))</f>
        <v/>
      </c>
      <c r="L19" s="88" t="str">
        <f>IF($A19="","",IFERROR(SUMIFS('Raw Data'!$F:$F, 'Raw Data'!$B:$B, "Variant", 'Raw Data'!$A:$A, $A19, 'Raw Data'!$C:$C, $C$3)/SUMIFS('Raw Data'!$D:$D, 'Raw Data'!$B:$B, "Variant", 'Raw Data'!$A:$A, $A19, 'Raw Data'!$C:$C, $C$3),""))</f>
        <v/>
      </c>
      <c r="M19" s="86" t="str">
        <f t="shared" si="4"/>
        <v/>
      </c>
      <c r="N19" s="79" t="str">
        <f>IF($A19="","",IFERROR(SUMPRODUCT(('Raw Data'!$B$2:$B$9999="Control")*('Raw Data'!$A$2:$A$9999=$A19)*('Raw Data'!$C$2:$C$9999=$C$3)*'Raw Data'!$D$2:$D$9999*'Raw Data'!$H$2:$H$9999/100)/SUMIFS('Raw Data'!$D:$D, 'Raw Data'!$B:$B, "Control", 'Raw Data'!$A:$A, $A19, 'Raw Data'!$C:$C, $C$3)*100,""))</f>
        <v/>
      </c>
      <c r="O19" s="79" t="str">
        <f>IF($A19="","",IFERROR(SUMPRODUCT(('Raw Data'!$B$2:$B$9999="Variant")*('Raw Data'!$A$2:$A$9999=$A19)*('Raw Data'!$C$2:$C$9999=$C$3)*'Raw Data'!$D$2:$D$9999*'Raw Data'!$H$2:$H$9999/100)/SUMIFS('Raw Data'!$D:$D, 'Raw Data'!$B:$B, "Variant", 'Raw Data'!$A:$A, $A19, 'Raw Data'!$C:$C, $C$3)*100,""))</f>
        <v/>
      </c>
      <c r="P19" s="86" t="str">
        <f t="shared" si="5"/>
        <v/>
      </c>
      <c r="Q19" s="88" t="str">
        <f>IF($A19="","",IFERROR(SUMIFS('Raw Data'!$F:$F, 'Raw Data'!$B:$B, "Control", 'Raw Data'!$A:$A, $A19, 'Raw Data'!$C:$C, $C$3)/SUMPRODUCT(('Raw Data'!$B$2:$B$9999="Control")*('Raw Data'!$A$2:$A$9999=$A19)*('Raw Data'!$C$2:$C$9999=$C$3)*'Raw Data'!$D$2:$D$9999*'Raw Data'!$H$2:$H$9999/100),""))</f>
        <v/>
      </c>
      <c r="R19" s="88" t="str">
        <f>IF($A19="","",IFERROR(SUMIFS('Raw Data'!$F:$F, 'Raw Data'!$B:$B, "Variant", 'Raw Data'!$A:$A, $A19, 'Raw Data'!$C:$C, $C$3)/SUMPRODUCT(('Raw Data'!$B$2:$B$9999="Variant")*('Raw Data'!$A$2:$A$9999=$A19)*('Raw Data'!$C$2:$C$9999=$C$3)*'Raw Data'!$D$2:$D$9999*'Raw Data'!$H$2:$H$9999/100),""))</f>
        <v/>
      </c>
      <c r="S19" s="86" t="str">
        <f t="shared" si="6"/>
        <v/>
      </c>
      <c r="T19" s="90" t="str">
        <f>IF($A19="","",IFERROR(SUMPRODUCT(('Raw Data'!$B$2:$B$9999="Control")*('Raw Data'!$A$2:$A$9999=$A19)*('Raw Data'!$C$2:$C$9999=$C$3)*'Raw Data'!$D$2:$D$9999*'Raw Data'!$J$2:$J$9999)/SUMIFS('Raw Data'!$D:$D, 'Raw Data'!$B:$B, "Control", 'Raw Data'!$A:$A, $A19, 'Raw Data'!$C:$C, $C$3),""))</f>
        <v/>
      </c>
      <c r="U19" s="90" t="str">
        <f>IF($A19="","",IFERROR(SUMPRODUCT(('Raw Data'!$B$2:$B$9999="Variant")*('Raw Data'!$A$2:$A$9999=$A19)*('Raw Data'!$C$2:$C$9999=$C$3)*'Raw Data'!$D$2:$D$9999*'Raw Data'!$J$2:$J$9999)/SUMIFS('Raw Data'!$D:$D, 'Raw Data'!$B:$B, "Variant", 'Raw Data'!$A:$A, $A19, 'Raw Data'!$C:$C, $C$3),""))</f>
        <v/>
      </c>
      <c r="V19" s="86" t="str">
        <f t="shared" si="7"/>
        <v/>
      </c>
      <c r="W19" s="90" t="str">
        <f>IF($A19="","",IFERROR(SUMPRODUCT(('Raw Data'!$B$2:$B$9999="Control")*('Raw Data'!$A$2:$A$9999=$A19)*('Raw Data'!$C$2:$C$9999=$C$3)*'Raw Data'!$D$2:$D$9999*'Raw Data'!$K$2:$K$9999)/SUMIFS('Raw Data'!$D:$D, 'Raw Data'!$B:$B, "Control", 'Raw Data'!$A:$A, $A19, 'Raw Data'!$C:$C, $C$3),""))</f>
        <v/>
      </c>
      <c r="X19" s="90" t="str">
        <f>IF($A19="","",IFERROR(SUMPRODUCT(('Raw Data'!$B$2:$B$9999="Variant")*('Raw Data'!$A$2:$A$9999=$A19)*('Raw Data'!$C$2:$C$9999=$C$3)*'Raw Data'!$D$2:$D$9999*'Raw Data'!$K$2:$K$9999)/SUMIFS('Raw Data'!$D:$D, 'Raw Data'!$B:$B, "Variant", 'Raw Data'!$A:$A, $A19, 'Raw Data'!$C:$C, $C$3),""))</f>
        <v/>
      </c>
      <c r="Y19" s="86" t="str">
        <f t="shared" si="8"/>
        <v/>
      </c>
      <c r="Z19" s="90" t="str">
        <f>IF($A19="","",IFERROR(SUMPRODUCT(('Raw Data'!$B$2:$B$9999="Control")*('Raw Data'!$A$2:$A$9999=$A19)*('Raw Data'!$C$2:$C$9999=$C$3)*'Raw Data'!$D$2:$D$9999*'Raw Data'!$L$2:$L$9999)/SUMIFS('Raw Data'!$D:$D, 'Raw Data'!$B:$B, "Control", 'Raw Data'!$A:$A, $A19, 'Raw Data'!$C:$C, $C$3),""))</f>
        <v/>
      </c>
      <c r="AA19" s="90" t="str">
        <f>IF($A19="","",IFERROR(SUMPRODUCT(('Raw Data'!$B$2:$B$9999="Variant")*('Raw Data'!$A$2:$A$9999=$A19)*('Raw Data'!$C$2:$C$9999=$C$3)*'Raw Data'!$D$2:$D$9999*'Raw Data'!$L$2:$L$9999)/SUMIFS('Raw Data'!$D:$D, 'Raw Data'!$B:$B, "Variant", 'Raw Data'!$A:$A, $A19, 'Raw Data'!$C:$C, $C$3),""))</f>
        <v/>
      </c>
      <c r="AB19" s="86" t="str">
        <f t="shared" si="9"/>
        <v/>
      </c>
      <c r="AC19" s="91" t="str">
        <f>IF($A19="","",IFERROR(SUMPRODUCT(('Raw Data'!$B$2:$B$9999="Control")*('Raw Data'!$A$2:$A$9999=$A19)*('Raw Data'!$C$2:$C$9999=$C$3)*'Raw Data'!$D$2:$D$9999*'Raw Data'!$M$2:$M$9999)/SUMIFS('Raw Data'!$D:$D, 'Raw Data'!$B:$B, "Control", 'Raw Data'!$A:$A, $A19, 'Raw Data'!$C:$C, $C$3),""))</f>
        <v/>
      </c>
      <c r="AD19" s="91" t="str">
        <f>IF($A19="","",IFERROR(SUMPRODUCT(('Raw Data'!$B$2:$B$9999="Variant")*('Raw Data'!$A$2:$A$9999=$A19)*('Raw Data'!$C$2:$C$9999=$C$3)*'Raw Data'!$D$2:$D$9999*'Raw Data'!$M$2:$M$9999)/SUMIFS('Raw Data'!$D:$D, 'Raw Data'!$B:$B, "Variant", 'Raw Data'!$A:$A, $A19, 'Raw Data'!$C:$C, $C$3),""))</f>
        <v/>
      </c>
      <c r="AE19" s="93" t="str">
        <f t="shared" si="10"/>
        <v/>
      </c>
      <c r="AF19" s="91" t="str">
        <f>IF($A19="","",IFERROR(SUMPRODUCT(('Raw Data'!$B$2:$B$9999="Control")*('Raw Data'!$A$2:$A$9999=$A19)*('Raw Data'!$C$2:$C$9999=$C$3)*'Raw Data'!$D$2:$D$9999*'Raw Data'!$N$2:$N$9999)/SUMIFS('Raw Data'!$D:$D, 'Raw Data'!$B:$B, "Control", 'Raw Data'!$A:$A, $A19, 'Raw Data'!$C:$C, $C$3),""))</f>
        <v/>
      </c>
      <c r="AG19" s="91" t="str">
        <f>IF($A19="","",IFERROR(SUMPRODUCT(('Raw Data'!$B$2:$B$9999="Variant")*('Raw Data'!$A$2:$A$9999=$A19)*('Raw Data'!$C$2:$C$9999=$C$3)*'Raw Data'!$D$2:$D$9999*'Raw Data'!$N$2:$N$9999)/SUMIFS('Raw Data'!$D:$D, 'Raw Data'!$B:$B, "Variant", 'Raw Data'!$A:$A, $A19, 'Raw Data'!$C:$C, $C$3),""))</f>
        <v/>
      </c>
      <c r="AH19" s="93" t="str">
        <f t="shared" si="11"/>
        <v/>
      </c>
      <c r="AI19" s="91" t="str">
        <f>IF($A19="","",IFERROR(SUMPRODUCT(('Raw Data'!$B$2:$B$9999="Control")*('Raw Data'!$A$2:$A$9999=$A19)*('Raw Data'!$C$2:$C$9999=$C$3)*'Raw Data'!$D$2:$D$9999*'Raw Data'!$O$2:$O$9999)/SUMIFS('Raw Data'!$D:$D, 'Raw Data'!$B:$B, "Control", 'Raw Data'!$A:$A, $A19, 'Raw Data'!$C:$C, $C$3),""))</f>
        <v/>
      </c>
      <c r="AJ19" s="91" t="str">
        <f>IF($A19="","",IFERROR(SUMPRODUCT(('Raw Data'!$B$2:$B$9999="Variant")*('Raw Data'!$A$2:$A$9999=$A19)*('Raw Data'!$C$2:$C$9999=$C$3)*'Raw Data'!$D$2:$D$9999*'Raw Data'!$O$2:$O$9999)/SUMIFS('Raw Data'!$D:$D, 'Raw Data'!$B:$B, "Variant", 'Raw Data'!$A:$A, $A19, 'Raw Data'!$C:$C, $C$3),""))</f>
        <v/>
      </c>
      <c r="AK19" s="86" t="str">
        <f t="shared" si="12"/>
        <v/>
      </c>
      <c r="AL19" s="90" t="str">
        <f>IF($A19="","",IFERROR(SUMPRODUCT(('Raw Data'!$B$2:$B$9999="Control")*('Raw Data'!$A$2:$A$9999=$A19)*('Raw Data'!$C$2:$C$9999=$C$3)*'Raw Data'!$D$2:$D$9999*'Raw Data'!$P$2:$P$9999)/SUMIFS('Raw Data'!$D:$D, 'Raw Data'!$B:$B, "Control", 'Raw Data'!$A:$A, $A19, 'Raw Data'!$C:$C, $C$3),""))</f>
        <v/>
      </c>
      <c r="AM19" s="90" t="str">
        <f>IF($A19="","",IFERROR(SUMPRODUCT(('Raw Data'!$B$2:$B$9999="Variant")*('Raw Data'!$A$2:$A$9999=$A19)*('Raw Data'!$C$2:$C$9999=$C$3)*'Raw Data'!$D$2:$D$9999*'Raw Data'!$P$2:$P$9999)/SUMIFS('Raw Data'!$D:$D, 'Raw Data'!$B:$B, "Variant", 'Raw Data'!$A:$A, $A19, 'Raw Data'!$C:$C, $C$3),""))</f>
        <v/>
      </c>
      <c r="AN19" s="86" t="str">
        <f t="shared" si="13"/>
        <v/>
      </c>
      <c r="AO19" s="90" t="str">
        <f>IF($A19="","",IFERROR(SUMPRODUCT(('Raw Data'!$B$2:$B$9999="Control")*('Raw Data'!$A$2:$A$9999=$A19)*('Raw Data'!$C$2:$C$9999=$C$3)*'Raw Data'!$D$2:$D$9999*'Raw Data'!$Q$2:$Q$9999)/SUMIFS('Raw Data'!$D:$D, 'Raw Data'!$B:$B, "Control", 'Raw Data'!$A:$A, $A19, 'Raw Data'!$C:$C, $C$3),""))</f>
        <v/>
      </c>
      <c r="AP19" s="90" t="str">
        <f>IF($A19="","",IFERROR(SUMPRODUCT(('Raw Data'!$B$2:$B$9999="Variant")*('Raw Data'!$A$2:$A$9999=$A19)*('Raw Data'!$C$2:$C$9999=$C$3)*'Raw Data'!$D$2:$D$9999*'Raw Data'!$Q$2:$Q$9999)/SUMIFS('Raw Data'!$D:$D, 'Raw Data'!$B:$B, "Variant", 'Raw Data'!$A:$A, $A19, 'Raw Data'!$C:$C, $C$3),""))</f>
        <v/>
      </c>
      <c r="AQ19" s="77" t="str">
        <f t="shared" si="14"/>
        <v/>
      </c>
      <c r="AR19" s="90" t="str">
        <f>IF($A19="","",IFERROR(SUMPRODUCT(('Raw Data'!$B$2:$B$9999="Control")*('Raw Data'!$A$2:$A$9999=$A19)*('Raw Data'!$C$2:$C$9999=$C$3)*'Raw Data'!$D$2:$D$9999*'Raw Data'!$R$2:$R$9999)/SUMIFS('Raw Data'!$D:$D, 'Raw Data'!$B:$B, "Control", 'Raw Data'!$A:$A, $A19, 'Raw Data'!$C:$C, $C$3),""))</f>
        <v/>
      </c>
      <c r="AS19" s="90" t="str">
        <f>IF($A19="","",IFERROR(SUMPRODUCT(('Raw Data'!$B$2:$B$9999="Variant")*('Raw Data'!$A$2:$A$9999=$A19)*('Raw Data'!$C$2:$C$9999=$C$3)*'Raw Data'!$D$2:$D$9999*'Raw Data'!$R$2:$R$9999)/SUMIFS('Raw Data'!$D:$D, 'Raw Data'!$B:$B, "Variant", 'Raw Data'!$A:$A, $A19, 'Raw Data'!$C:$C, $C$3),""))</f>
        <v/>
      </c>
      <c r="AT19" s="77" t="str">
        <f t="shared" si="15"/>
        <v/>
      </c>
      <c r="AU19" s="90" t="str">
        <f>IF($A19="","",IFERROR(SUMPRODUCT(('Raw Data'!$B$2:$B$9999="Control")*('Raw Data'!$A$2:$A$9999=$A19)*('Raw Data'!$C$2:$C$9999=$C$3)*'Raw Data'!$D$2:$D$9999*'Raw Data'!$S$2:$S$9999)/SUMIFS('Raw Data'!$D:$D, 'Raw Data'!$B:$B, "Control", 'Raw Data'!$A:$A, $A19, 'Raw Data'!$C:$C, $C$3),""))</f>
        <v/>
      </c>
      <c r="AV19" s="90" t="str">
        <f>IF($A19="","",IFERROR(SUMPRODUCT(('Raw Data'!$B$2:$B$9999="Variant")*('Raw Data'!$A$2:$A$9999=$A19)*('Raw Data'!$C$2:$C$9999=$C$3)*'Raw Data'!$D$2:$D$9999*'Raw Data'!$S$2:$S$9999)/SUMIFS('Raw Data'!$D:$D, 'Raw Data'!$B:$B, "Variant", 'Raw Data'!$A:$A, $A19, 'Raw Data'!$C:$C, $C$3),""))</f>
        <v/>
      </c>
      <c r="AW19" s="77" t="str">
        <f t="shared" si="16"/>
        <v/>
      </c>
      <c r="AX19" s="90" t="str">
        <f>IF($A19="","",IFERROR(SUMPRODUCT(('Raw Data'!$B$2:$B$9999="Control")*('Raw Data'!$A$2:$A$9999=$A19)*('Raw Data'!$C$2:$C$9999=$C$3)*'Raw Data'!$D$2:$D$9999*'Raw Data'!$T$2:$T$9999)/SUMIFS('Raw Data'!$D:$D, 'Raw Data'!$B:$B, "Control", 'Raw Data'!$A:$A, $A19, 'Raw Data'!$C:$C, $C$3),""))</f>
        <v/>
      </c>
      <c r="AY19" s="90" t="str">
        <f>IF($A19="","",IFERROR(SUMPRODUCT(('Raw Data'!$B$2:$B$9999="Variant")*('Raw Data'!$A$2:$A$9999=$A19)*('Raw Data'!$C$2:$C$9999=$C$3)*'Raw Data'!$D$2:$D$9999*'Raw Data'!$T$2:$T$9999)/SUMIFS('Raw Data'!$D:$D, 'Raw Data'!$B:$B, "Variant", 'Raw Data'!$A:$A, $A19, 'Raw Data'!$C:$C, $C$3),""))</f>
        <v/>
      </c>
      <c r="AZ19" s="86" t="str">
        <f t="shared" si="17"/>
        <v/>
      </c>
      <c r="BA19" s="90" t="str">
        <f>IF($A19="","",IFERROR(SUMPRODUCT(('Raw Data'!$B$2:$B$9999="Control")*('Raw Data'!$A$2:$A$9999=$A19)*('Raw Data'!$C$2:$C$9999=$C$3)*'Raw Data'!$D$2:$D$9999*'Raw Data'!$U$2:$U$9999)/SUMIFS('Raw Data'!$D:$D, 'Raw Data'!$B:$B, "Control", 'Raw Data'!$A:$A, $A19, 'Raw Data'!$C:$C, $C$3),""))</f>
        <v/>
      </c>
      <c r="BB19" s="90" t="str">
        <f>IF($A19="","",IFERROR(SUMPRODUCT(('Raw Data'!$B$2:$B$9999="Variant")*('Raw Data'!$A$2:$A$9999=$A19)*('Raw Data'!$C$2:$C$9999=$C$3)*'Raw Data'!$D$2:$D$9999*'Raw Data'!$U$2:$U$9999)/SUMIFS('Raw Data'!$D:$D, 'Raw Data'!$B:$B, "Variant", 'Raw Data'!$A:$A, $A19, 'Raw Data'!$C:$C, $C$3),""))</f>
        <v/>
      </c>
      <c r="BC19" s="77" t="str">
        <f t="shared" si="18"/>
        <v/>
      </c>
      <c r="BD19" s="90" t="str">
        <f>IF($A19="","",IFERROR(SUMPRODUCT(('Raw Data'!$B$2:$B$9999="Control")*('Raw Data'!$A$2:$A$9999=$A19)*('Raw Data'!$C$2:$C$9999=$C$3)*'Raw Data'!$D$2:$D$9999*'Raw Data'!$V$2:$V$9999)/SUMIFS('Raw Data'!$D:$D, 'Raw Data'!$B:$B, "Control", 'Raw Data'!$A:$A, $A19, 'Raw Data'!$C:$C, $C$3),""))</f>
        <v/>
      </c>
      <c r="BE19" s="90" t="str">
        <f>IF($A19="","",IFERROR(SUMPRODUCT(('Raw Data'!$B$2:$B$9999="Variant")*('Raw Data'!$A$2:$A$9999=$A19)*('Raw Data'!$C$2:$C$9999=$C$3)*'Raw Data'!$D$2:$D$9999*'Raw Data'!$V$2:$V$9999)/SUMIFS('Raw Data'!$D:$D, 'Raw Data'!$B:$B, "Variant", 'Raw Data'!$A:$A, $A19, 'Raw Data'!$C:$C, $C$3),""))</f>
        <v/>
      </c>
      <c r="BF19" s="77" t="str">
        <f t="shared" si="19"/>
        <v/>
      </c>
      <c r="BG19" s="90" t="str">
        <f>IF($A19="","",IFERROR(SUMPRODUCT(('Raw Data'!$B$2:$B$9999="Control")*('Raw Data'!$A$2:$A$9999=$A19)*('Raw Data'!$C$2:$C$9999=$C$3)*'Raw Data'!$D$2:$D$9999*('Raw Data'!$Q$2:$Q$9999-'Raw Data'!$V$2:$V$9999))/SUMIFS('Raw Data'!$D:$D, 'Raw Data'!$B:$B, "Control", 'Raw Data'!$A:$A, $A19, 'Raw Data'!$C:$C, $C$3),""))</f>
        <v/>
      </c>
      <c r="BH19" s="90" t="str">
        <f>IF($A19="","",IFERROR(SUMPRODUCT(('Raw Data'!$B$2:$B$9999="Variant")*('Raw Data'!$A$2:$A$9999=$A19)*('Raw Data'!$C$2:$C$9999=$C$3)*'Raw Data'!$D$2:$D$9999*('Raw Data'!$Q$2:$Q$9999-'Raw Data'!$V$2:$V$9999))/SUMIFS('Raw Data'!$D:$D, 'Raw Data'!$B:$B, "Variant", 'Raw Data'!$A:$A, $A19, 'Raw Data'!$C:$C, $C$3),""))</f>
        <v/>
      </c>
      <c r="BI19" s="77" t="str">
        <f t="shared" si="20"/>
        <v/>
      </c>
      <c r="BJ19" s="90" t="str">
        <f>IF($A19="","",IFERROR(SUMPRODUCT(('Raw Data'!$B$2:$B$9999="Control")*('Raw Data'!$A$2:$A$9999=$A19)*('Raw Data'!$C$2:$C$9999=$C$3)*'Raw Data'!$D$2:$D$9999*'Raw Data'!$W$2:$W$9999)/SUMIFS('Raw Data'!$D:$D, 'Raw Data'!$B:$B, "Control", 'Raw Data'!$A:$A, $A19, 'Raw Data'!$C:$C, $C$3),""))</f>
        <v/>
      </c>
      <c r="BK19" s="90" t="str">
        <f>IF($A19="","",IFERROR(SUMPRODUCT(('Raw Data'!$B$2:$B$9999="Variant")*('Raw Data'!$A$2:$A$9999=$A19)*('Raw Data'!$C$2:$C$9999=$C$3)*'Raw Data'!$D$2:$D$9999*'Raw Data'!$W$2:$W$9999)/SUMIFS('Raw Data'!$D:$D, 'Raw Data'!$B:$B, "Variant", 'Raw Data'!$A:$A, $A19, 'Raw Data'!$C:$C, $C$3),""))</f>
        <v/>
      </c>
      <c r="BL19" s="77" t="str">
        <f t="shared" si="21"/>
        <v/>
      </c>
      <c r="BM19" s="91" t="str">
        <f>IF($A19="","",IFERROR(SUMPRODUCT(('Raw Data'!$B$2:$B$9999="Control")*('Raw Data'!$A$2:$A$9999=$A19)*('Raw Data'!$C$2:$C$9999=$C$3)*'Raw Data'!$D$2:$D$9999*'Raw Data'!$X$2:$X$9999)/SUMIFS('Raw Data'!$D:$D, 'Raw Data'!$B:$B, "Control", 'Raw Data'!$A:$A, $A19, 'Raw Data'!$C:$C, $C$3),""))</f>
        <v/>
      </c>
      <c r="BN19" s="91" t="str">
        <f>IF($A19="","",IFERROR(SUMPRODUCT(('Raw Data'!$B$2:$B$9999="Variant")*('Raw Data'!$A$2:$A$9999=$A19)*('Raw Data'!$C$2:$C$9999=$C$3)*'Raw Data'!$D$2:$D$9999*'Raw Data'!$X$2:$X$9999)/SUMIFS('Raw Data'!$D:$D, 'Raw Data'!$B:$B, "Variant", 'Raw Data'!$A:$A, $A19, 'Raw Data'!$C:$C, $C$3),""))</f>
        <v/>
      </c>
      <c r="BO19" s="86" t="str">
        <f t="shared" si="22"/>
        <v/>
      </c>
      <c r="BP19" s="76" t="str">
        <f>IF($A19="","",IFERROR(SUMPRODUCT(('Raw Data'!$B$2:$B$9999="Control")*('Raw Data'!$A$2:$A$9999=$A19)*('Raw Data'!$C$2:$C$9999=$C$3)*'Raw Data'!$D$2:$D$9999*'Raw Data'!$Y$2:$Y$9999)/SUMIFS('Raw Data'!$D:$D, 'Raw Data'!$B:$B, "Control", 'Raw Data'!$A:$A, $A19, 'Raw Data'!$C:$C, $C$3),""))</f>
        <v/>
      </c>
      <c r="BQ19" s="76" t="str">
        <f>IF($A19="","",IFERROR(SUMPRODUCT(('Raw Data'!$B$2:$B$9999="Variant")*('Raw Data'!$A$2:$A$9999=$A19)*('Raw Data'!$C$2:$C$9999=$C$3)*'Raw Data'!$D$2:$D$9999*'Raw Data'!$Y$2:$Y$9999)/SUMIFS('Raw Data'!$D:$D, 'Raw Data'!$B:$B, "Variant", 'Raw Data'!$A:$A, $A19, 'Raw Data'!$C:$C, $C$3),""))</f>
        <v/>
      </c>
      <c r="BR19" s="77" t="str">
        <f t="shared" si="23"/>
        <v/>
      </c>
      <c r="BS19" s="76" t="str">
        <f>IF($A19="","",IFERROR(SUMPRODUCT(('Raw Data'!$B$2:$B$9999="Control")*('Raw Data'!$A$2:$A$9999=$A19)*('Raw Data'!$C$2:$C$9999=$C$3)*'Raw Data'!$D$2:$D$9999*'Raw Data'!$Z$2:$Z$9999)/SUMIFS('Raw Data'!$D:$D, 'Raw Data'!$B:$B, "Control", 'Raw Data'!$A:$A, $A19, 'Raw Data'!$C:$C, $C$3),""))</f>
        <v/>
      </c>
      <c r="BT19" s="76" t="str">
        <f>IF($A19="","",IFERROR(SUMPRODUCT(('Raw Data'!$B$2:$B$9999="Variant")*('Raw Data'!$A$2:$A$9999=$A19)*('Raw Data'!$C$2:$C$9999=$C$3)*'Raw Data'!$D$2:$D$9999*'Raw Data'!$Z$2:$Z$9999)/SUMIFS('Raw Data'!$D:$D, 'Raw Data'!$B:$B, "Variant", 'Raw Data'!$A:$A, $A19, 'Raw Data'!$C:$C, $C$3),""))</f>
        <v/>
      </c>
      <c r="BU19" s="77" t="str">
        <f t="shared" si="24"/>
        <v/>
      </c>
      <c r="BV19" s="76" t="str">
        <f>IF($A19="","",IFERROR(SUMPRODUCT(('Raw Data'!$B$2:$B$9999="Control")*('Raw Data'!$A$2:$A$9999=$A19)*('Raw Data'!$C$2:$C$9999=$C$3)*'Raw Data'!$D$2:$D$9999*'Raw Data'!$AA$2:$AA$9999)/SUMIFS('Raw Data'!$D:$D, 'Raw Data'!$B:$B, "Control", 'Raw Data'!$A:$A, $A19, 'Raw Data'!$C:$C, $C$3),""))</f>
        <v/>
      </c>
      <c r="BW19" s="76" t="str">
        <f>IF($A19="","",IFERROR(SUMPRODUCT(('Raw Data'!$B$2:$B$9999="Variant")*('Raw Data'!$A$2:$A$9999=$A19)*('Raw Data'!$C$2:$C$9999=$C$3)*'Raw Data'!$D$2:$D$9999*'Raw Data'!$AA$2:$AA$9999)/SUMIFS('Raw Data'!$D:$D, 'Raw Data'!$B:$B, "Variant", 'Raw Data'!$A:$A, $A19, 'Raw Data'!$C:$C, $C$3),""))</f>
        <v/>
      </c>
      <c r="BX19" s="77" t="str">
        <f t="shared" si="25"/>
        <v/>
      </c>
      <c r="BY19" s="90" t="str">
        <f>IF($A19="","",IFERROR(SUMPRODUCT(('Raw Data'!$B$2:$B$9999="Control")*('Raw Data'!$A$2:$A$9999=$A19)*('Raw Data'!$C$2:$C$9999=$C$3)*'Raw Data'!$D$2:$D$9999*'Raw Data'!$AB$2:$AB$9999)/SUMIFS('Raw Data'!$D:$D, 'Raw Data'!$B:$B, "Control", 'Raw Data'!$A:$A, $A19, 'Raw Data'!$C:$C, $C$3),""))</f>
        <v/>
      </c>
      <c r="BZ19" s="90" t="str">
        <f>IF($A19="","",IFERROR(SUMPRODUCT(('Raw Data'!$B$2:$B$9999="Variant")*('Raw Data'!$A$2:$A$9999=$A19)*('Raw Data'!$C$2:$C$9999=$C$3)*'Raw Data'!$D$2:$D$9999*'Raw Data'!$AB$2:$AB$9999)/SUMIFS('Raw Data'!$D:$D, 'Raw Data'!$B:$B, "Variant", 'Raw Data'!$A:$A, $A19, 'Raw Data'!$C:$C, $C$3),""))</f>
        <v/>
      </c>
      <c r="CA19" s="86" t="str">
        <f t="shared" si="26"/>
        <v/>
      </c>
      <c r="CB19" s="90" t="str">
        <f>IF($A19="","",IFERROR(SUMPRODUCT(('Raw Data'!$B$2:$B$9999="Control")*('Raw Data'!$A$2:$A$9999=$A19)*('Raw Data'!$C$2:$C$9999=$C$3)*'Raw Data'!$D$2:$D$9999*'Raw Data'!$AC$2:$AC$9999)/SUMIFS('Raw Data'!$D:$D, 'Raw Data'!$B:$B, "Control", 'Raw Data'!$A:$A, $A19, 'Raw Data'!$C:$C, $C$3),""))</f>
        <v/>
      </c>
      <c r="CC19" s="90" t="str">
        <f>IF($A19="","",IFERROR(SUMPRODUCT(('Raw Data'!$B$2:$B$9999="Variant")*('Raw Data'!$A$2:$A$9999=$A19)*('Raw Data'!$C$2:$C$9999=$C$3)*'Raw Data'!$D$2:$D$9999*'Raw Data'!$AC$2:$AC$9999)/SUMIFS('Raw Data'!$D:$D, 'Raw Data'!$B:$B, "Variant", 'Raw Data'!$A:$A, $A19, 'Raw Data'!$C:$C, $C$3),""))</f>
        <v/>
      </c>
      <c r="CD19" s="86" t="str">
        <f t="shared" si="27"/>
        <v/>
      </c>
      <c r="CE19" s="90" t="str">
        <f>IF($A19="","",IFERROR(SUMPRODUCT(('Raw Data'!$B$2:$B$9999="Control")*('Raw Data'!$A$2:$A$9999=$A19)*('Raw Data'!$C$2:$C$9999=$C$3)*'Raw Data'!$D$2:$D$9999*'Raw Data'!$AD$2:$AD$9999)/SUMIFS('Raw Data'!$D:$D, 'Raw Data'!$B:$B, "Control", 'Raw Data'!$A:$A, $A19, 'Raw Data'!$C:$C, $C$3),""))</f>
        <v/>
      </c>
      <c r="CF19" s="90" t="str">
        <f>IF($A19="","",IFERROR(SUMPRODUCT(('Raw Data'!$B$2:$B$9999="Variant")*('Raw Data'!$A$2:$A$9999=$A19)*('Raw Data'!$C$2:$C$9999=$C$3)*'Raw Data'!$D$2:$D$9999*'Raw Data'!$AD$2:$AD$9999)/SUMIFS('Raw Data'!$D:$D, 'Raw Data'!$B:$B, "Variant", 'Raw Data'!$A:$A, $A19, 'Raw Data'!$C:$C, $C$3),""))</f>
        <v/>
      </c>
      <c r="CG19" s="86" t="str">
        <f t="shared" si="28"/>
        <v/>
      </c>
      <c r="CH19" s="90" t="str">
        <f>IF($A19="","",IFERROR(SUMPRODUCT(('Raw Data'!$B$2:$B$9999="Control")*('Raw Data'!$A$2:$A$9999=$A19)*('Raw Data'!$C$2:$C$9999=$C$3)*'Raw Data'!$D$2:$D$9999*'Raw Data'!$AE$2:$AE$9999)/SUMIFS('Raw Data'!$D:$D, 'Raw Data'!$B:$B, "Control", 'Raw Data'!$A:$A, $A19, 'Raw Data'!$C:$C, $C$3),""))</f>
        <v/>
      </c>
      <c r="CI19" s="90" t="str">
        <f>IF($A19="","",IFERROR(SUMPRODUCT(('Raw Data'!$B$2:$B$9999="Variant")*('Raw Data'!$A$2:$A$9999=$A19)*('Raw Data'!$C$2:$C$9999=$C$3)*'Raw Data'!$D$2:$D$9999*'Raw Data'!$AE$2:$AE$9999)/SUMIFS('Raw Data'!$D:$D, 'Raw Data'!$B:$B, "Variant", 'Raw Data'!$A:$A, $A19, 'Raw Data'!$C:$C, $C$3),""))</f>
        <v/>
      </c>
      <c r="CJ19" s="86" t="str">
        <f t="shared" si="29"/>
        <v/>
      </c>
      <c r="CK19" s="90" t="str">
        <f>IF($A19="","",IFERROR(SUMPRODUCT(('Raw Data'!$B$2:$B$9999="Control")*('Raw Data'!$A$2:$A$9999=$A19)*('Raw Data'!$C$2:$C$9999=$C$3)*'Raw Data'!$D$2:$D$9999*'Raw Data'!$AF$2:$AF$9999)/SUMIFS('Raw Data'!$D:$D, 'Raw Data'!$B:$B, "Control", 'Raw Data'!$A:$A, $A19, 'Raw Data'!$C:$C, $C$3),""))</f>
        <v/>
      </c>
      <c r="CL19" s="90" t="str">
        <f>IF($A19="","",IFERROR(SUMPRODUCT(('Raw Data'!$B$2:$B$9999="Variant")*('Raw Data'!$A$2:$A$9999=$A19)*('Raw Data'!$C$2:$C$9999=$C$3)*'Raw Data'!$D$2:$D$9999*'Raw Data'!$AF$2:$AF$9999)/SUMIFS('Raw Data'!$D:$D, 'Raw Data'!$B:$B, "Variant", 'Raw Data'!$A:$A, $A19, 'Raw Data'!$C:$C, $C$3),""))</f>
        <v/>
      </c>
      <c r="CM19" s="86" t="str">
        <f t="shared" si="30"/>
        <v/>
      </c>
      <c r="CN19" s="90" t="str">
        <f>IF($A19="","",IFERROR(SUMPRODUCT(('Raw Data'!$B$2:$B$9999="Control")*('Raw Data'!$A$2:$A$9999=$A19)*('Raw Data'!$C$2:$C$9999=$C$3)*'Raw Data'!$D$2:$D$9999*'Raw Data'!$AG$2:$AG$9999)/SUMIFS('Raw Data'!$D:$D, 'Raw Data'!$B:$B, "Control", 'Raw Data'!$A:$A, $A19, 'Raw Data'!$C:$C, $C$3),""))</f>
        <v/>
      </c>
      <c r="CO19" s="90" t="str">
        <f>IF($A19="","",IFERROR(SUMPRODUCT(('Raw Data'!$B$2:$B$9999="Variant")*('Raw Data'!$A$2:$A$9999=$A19)*('Raw Data'!$C$2:$C$9999=$C$3)*'Raw Data'!$D$2:$D$9999*'Raw Data'!$AG$2:$AG$9999)/SUMIFS('Raw Data'!$D:$D, 'Raw Data'!$B:$B, "Variant", 'Raw Data'!$A:$A, $A19, 'Raw Data'!$C:$C, $C$3),""))</f>
        <v/>
      </c>
      <c r="CP19" s="86" t="str">
        <f t="shared" si="31"/>
        <v/>
      </c>
      <c r="CQ19" s="90" t="str">
        <f>IF($A19="","",IFERROR(SUMPRODUCT(('Raw Data'!$B$2:$B$9999="Control")*('Raw Data'!$A$2:$A$9999=$A19)*('Raw Data'!$C$2:$C$9999=$C$3)*'Raw Data'!$D$2:$D$9999*'Raw Data'!$AH$2:$AH$9999)/SUMIFS('Raw Data'!$D:$D, 'Raw Data'!$B:$B, "Control", 'Raw Data'!$A:$A, $A19, 'Raw Data'!$C:$C, $C$3),""))</f>
        <v/>
      </c>
      <c r="CR19" s="90" t="str">
        <f>IF($A19="","",IFERROR(SUMPRODUCT(('Raw Data'!$B$2:$B$9999="Variant")*('Raw Data'!$A$2:$A$9999=$A19)*('Raw Data'!$C$2:$C$9999=$C$3)*'Raw Data'!$D$2:$D$9999*'Raw Data'!$AH$2:$AH$9999)/SUMIFS('Raw Data'!$D:$D, 'Raw Data'!$B:$B, "Variant", 'Raw Data'!$A:$A, $A19, 'Raw Data'!$C:$C, $C$3),""))</f>
        <v/>
      </c>
      <c r="CS19" s="86" t="str">
        <f t="shared" si="32"/>
        <v/>
      </c>
      <c r="CT19" s="79" t="str">
        <f>IF($A19="","",IFERROR(SUMPRODUCT(('Raw Data'!$B$2:$B$9999="Control")*('Raw Data'!$A$2:$A$9999=$A19)*('Raw Data'!$C$2:$C$9999=$C$3)*'Raw Data'!$D$2:$D$9999*'Raw Data'!$AI$2:$AI$9999)/SUMIFS('Raw Data'!$D:$D, 'Raw Data'!$B:$B, "Control", 'Raw Data'!$A:$A, $A19, 'Raw Data'!$C:$C, $C$3),""))</f>
        <v/>
      </c>
      <c r="CU19" s="79" t="str">
        <f>IF($A19="","",IFERROR(SUMPRODUCT(('Raw Data'!$B$2:$B$9999="Variant")*('Raw Data'!$A$2:$A$9999=$A19)*('Raw Data'!$C$2:$C$9999=$C$3)*'Raw Data'!$D$2:$D$9999*'Raw Data'!$AI$2:$AI$9999)/SUMIFS('Raw Data'!$D:$D, 'Raw Data'!$B:$B, "Variant", 'Raw Data'!$A:$A, $A19, 'Raw Data'!$C:$C, $C$3),""))</f>
        <v/>
      </c>
      <c r="CV19" s="93" t="str">
        <f t="shared" si="33"/>
        <v/>
      </c>
      <c r="CW19" s="79" t="str">
        <f>IF($A19="","",IFERROR(SUMPRODUCT(('Raw Data'!$B$2:$B$9999="Control")*('Raw Data'!$A$2:$A$9999=$A19)*('Raw Data'!$C$2:$C$9999=$C$3)*'Raw Data'!$D$2:$D$9999*'Raw Data'!$AJ$2:$AJ$9999)/SUMIFS('Raw Data'!$D:$D, 'Raw Data'!$B:$B, "Control", 'Raw Data'!$A:$A, $A19, 'Raw Data'!$C:$C, $C$3),""))</f>
        <v/>
      </c>
      <c r="CX19" s="79" t="str">
        <f>IF($A19="","",IFERROR(SUMPRODUCT(('Raw Data'!$B$2:$B$9999="Variant")*('Raw Data'!$A$2:$A$9999=$A19)*('Raw Data'!$C$2:$C$9999=$C$3)*'Raw Data'!$D$2:$D$9999*'Raw Data'!$AJ$2:$AJ$9999)/SUMIFS('Raw Data'!$D:$D, 'Raw Data'!$B:$B, "Variant", 'Raw Data'!$A:$A, $A19, 'Raw Data'!$C:$C, $C$3),""))</f>
        <v/>
      </c>
      <c r="CY19" s="93" t="str">
        <f t="shared" si="34"/>
        <v/>
      </c>
      <c r="CZ19" s="79" t="str">
        <f>IF($A19="","",IFERROR(SUMPRODUCT(('Raw Data'!$B$2:$B$9999="Control")*('Raw Data'!$A$2:$A$9999=$A19)*('Raw Data'!$C$2:$C$9999=$C$3)*'Raw Data'!$D$2:$D$9999*'Raw Data'!$AK$2:$AK$9999)/SUMIFS('Raw Data'!$D:$D, 'Raw Data'!$B:$B, "Control", 'Raw Data'!$A:$A, $A19, 'Raw Data'!$C:$C, $C$3),""))</f>
        <v/>
      </c>
      <c r="DA19" s="79" t="str">
        <f>IF($A19="","",IFERROR(SUMPRODUCT(('Raw Data'!$B$2:$B$9999="Variant")*('Raw Data'!$A$2:$A$9999=$A19)*('Raw Data'!$C$2:$C$9999=$C$3)*'Raw Data'!$D$2:$D$9999*'Raw Data'!$AK$2:$AK$9999)/SUMIFS('Raw Data'!$D:$D, 'Raw Data'!$B:$B, "Variant", 'Raw Data'!$A:$A, $A19, 'Raw Data'!$C:$C, $C$3),""))</f>
        <v/>
      </c>
      <c r="DB19" s="86" t="str">
        <f t="shared" si="35"/>
        <v/>
      </c>
      <c r="DC19" s="91" t="str">
        <f>IF($A19="","",IFERROR(SUMPRODUCT(('Raw Data'!$B$2:$B$9999="Control")*('Raw Data'!$A$2:$A$9999=$A19)*('Raw Data'!$C$2:$C$9999=$C$3)*'Raw Data'!$D$2:$D$9999*'Raw Data'!$AL$2:$AL$9999)/SUMIFS('Raw Data'!$D:$D, 'Raw Data'!$B:$B, "Control", 'Raw Data'!$A:$A, $A19, 'Raw Data'!$C:$C, $C$3),""))</f>
        <v/>
      </c>
      <c r="DD19" s="91" t="str">
        <f>IF($A19="","",IFERROR(SUMPRODUCT(('Raw Data'!$B$2:$B$9999="Variant")*('Raw Data'!$A$2:$A$9999=$A19)*('Raw Data'!$C$2:$C$9999=$C$3)*'Raw Data'!$D$2:$D$9999*'Raw Data'!$AL$2:$AL$9999)/SUMIFS('Raw Data'!$D:$D, 'Raw Data'!$B:$B, "Variant", 'Raw Data'!$A:$A, $A19, 'Raw Data'!$C:$C, $C$3),""))</f>
        <v/>
      </c>
      <c r="DE19" s="93" t="str">
        <f t="shared" si="36"/>
        <v/>
      </c>
      <c r="DF19" s="107"/>
      <c r="DG19" s="79" t="str">
        <f>IF($A19="","",IFERROR(SUMPRODUCT(('Raw Data'!$B$2:$B$9999="Variant")*('Raw Data'!$A$2:$A$9999=$A19)*('Raw Data'!$C$2:$C$9999=$C$3)*'Raw Data'!$D$2:$D$9999*'Raw Data'!$AM$2:$AM$9999)/SUMIFS('Raw Data'!$D:$D, 'Raw Data'!$B:$B, "Variant", 'Raw Data'!$A:$A, $A19, 'Raw Data'!$C:$C, $C$3),""))</f>
        <v/>
      </c>
      <c r="DH19" s="108"/>
      <c r="DI19" s="107"/>
      <c r="DJ19" s="79" t="str">
        <f>IF($A19="","",IFERROR(SUMPRODUCT(('Raw Data'!$B$2:$B$9999="Variant")*('Raw Data'!$A$2:$A$9999=$A19)*('Raw Data'!$C$2:$C$9999=$C$3)*'Raw Data'!$D$2:$D$9999*'Raw Data'!$AN$2:$AN$9999)/SUMIFS('Raw Data'!$D:$D, 'Raw Data'!$B:$B, "Variant", 'Raw Data'!$A:$A, $A19, 'Raw Data'!$C:$C, $C$3),""))</f>
        <v/>
      </c>
      <c r="DK19" s="108"/>
      <c r="DL19" s="107"/>
      <c r="DM19" s="79" t="str">
        <f>IF($A19="","",IFERROR(SUMPRODUCT(('Raw Data'!$B$2:$B$9999="Variant")*('Raw Data'!$A$2:$A$9999=$A19)*('Raw Data'!$C$2:$C$9999=$C$3)*'Raw Data'!$D$2:$D$9999*'Raw Data'!$AO$2:$AO$9999)/SUMIFS('Raw Data'!$D:$D, 'Raw Data'!$B:$B, "Variant", 'Raw Data'!$A:$A, $A19, 'Raw Data'!$C:$C, $C$3),""))</f>
        <v/>
      </c>
      <c r="DN19" s="108"/>
      <c r="DO19" s="107"/>
      <c r="DP19" s="79" t="str">
        <f>IF($A19="","",IFERROR(SUMPRODUCT(('Raw Data'!$B$2:$B$9999="Variant")*('Raw Data'!$A$2:$A$9999=$A19)*('Raw Data'!$C$2:$C$9999=$C$3)*'Raw Data'!$D$2:$D$9999*'Raw Data'!$AP$2:$AP$9999)/SUMIFS('Raw Data'!$D:$D, 'Raw Data'!$B:$B, "Variant", 'Raw Data'!$A:$A, $A19, 'Raw Data'!$C:$C, $C$3),""))</f>
        <v/>
      </c>
      <c r="DQ19" s="108"/>
      <c r="DR19" s="91" t="str">
        <f>IF($A19="","",IFERROR(SUMPRODUCT(('Raw Data'!$B$2:$B$9999="Control")*('Raw Data'!$A$2:$A$9999=$A19)*('Raw Data'!$C$2:$C$9999=$C$3)*'Raw Data'!$D$2:$D$9999*'Raw Data'!$AQ$2:$AQ$9999)/SUMIFS('Raw Data'!$D:$D, 'Raw Data'!$B:$B, "Control", 'Raw Data'!$A:$A, $A19, 'Raw Data'!$C:$C, $C$3),""))</f>
        <v/>
      </c>
      <c r="DS19" s="91" t="str">
        <f>IF($A19="","",IFERROR(SUMPRODUCT(('Raw Data'!$B$2:$B$9999="Variant")*('Raw Data'!$A$2:$A$9999=$A19)*('Raw Data'!$C$2:$C$9999=$C$3)*'Raw Data'!$D$2:$D$9999*'Raw Data'!$AQ$2:$AQ$9999)/SUMIFS('Raw Data'!$D:$D, 'Raw Data'!$B:$B, "Variant", 'Raw Data'!$A:$A, $A19, 'Raw Data'!$C:$C, $C$3),""))</f>
        <v/>
      </c>
      <c r="DT19" s="110" t="str">
        <f t="shared" si="37"/>
        <v/>
      </c>
      <c r="DU19" s="91" t="str">
        <f>IF($A19="","",IFERROR(SUMPRODUCT(('Raw Data'!$B$2:$B$9999="Control")*('Raw Data'!$A$2:$A$9999=$A19)*('Raw Data'!$C$2:$C$9999=$C$3)*'Raw Data'!$D$2:$D$9999*'Raw Data'!$AR$2:$AR$9999)/SUMIFS('Raw Data'!$D:$D, 'Raw Data'!$B:$B, "Control", 'Raw Data'!$A:$A, $A19, 'Raw Data'!$C:$C, $C$3),""))</f>
        <v/>
      </c>
      <c r="DV19" s="91" t="str">
        <f>IF($A19="","",IFERROR(SUMPRODUCT(('Raw Data'!$B$2:$B$9999="Variant")*('Raw Data'!$A$2:$A$9999=$A19)*('Raw Data'!$C$2:$C$9999=$C$3)*'Raw Data'!$D$2:$D$9999*'Raw Data'!$AR$2:$AR$9999)/SUMIFS('Raw Data'!$D:$D, 'Raw Data'!$B:$B, "Variant", 'Raw Data'!$A:$A, $A19, 'Raw Data'!$C:$C, $C$3),""))</f>
        <v/>
      </c>
      <c r="DW19" s="110" t="str">
        <f t="shared" si="38"/>
        <v/>
      </c>
      <c r="DX19" s="91" t="str">
        <f>IF($A19="","",IFERROR(SUMPRODUCT(('Raw Data'!$B$2:$B$9999="Control")*('Raw Data'!$A$2:$A$9999=$A19)*('Raw Data'!$C$2:$C$9999=$C$3)*'Raw Data'!$D$2:$D$9999*'Raw Data'!$AS$2:$AS$9999)/SUMIFS('Raw Data'!$D:$D, 'Raw Data'!$B:$B, "Control", 'Raw Data'!$A:$A, $A19, 'Raw Data'!$C:$C, $C$3),""))</f>
        <v/>
      </c>
      <c r="DY19" s="91" t="str">
        <f>IF($A19="","",IFERROR(SUMPRODUCT(('Raw Data'!$B$2:$B$9999="Variant")*('Raw Data'!$A$2:$A$9999=$A19)*('Raw Data'!$C$2:$C$9999=$C$3)*'Raw Data'!$D$2:$D$9999*'Raw Data'!$AS$2:$AS$9999)/SUMIFS('Raw Data'!$D:$D, 'Raw Data'!$B:$B, "Variant", 'Raw Data'!$A:$A, $A19, 'Raw Data'!$C:$C, $C$3),""))</f>
        <v/>
      </c>
      <c r="DZ19" s="111" t="str">
        <f t="shared" si="39"/>
        <v/>
      </c>
      <c r="EA19" s="91" t="str">
        <f>IF($A19="","",IFERROR(SUMPRODUCT(('Raw Data'!$B$2:$B$9999="Control")*('Raw Data'!$A$2:$A$9999=$A19)*('Raw Data'!$C$2:$C$9999=$C$3)*'Raw Data'!$D$2:$D$9999*'Raw Data'!$AT$2:$AT$9999)/SUMIFS('Raw Data'!$D:$D, 'Raw Data'!$B:$B, "Control", 'Raw Data'!$A:$A, $A19, 'Raw Data'!$C:$C, $C$3),""))</f>
        <v/>
      </c>
      <c r="EB19" s="91" t="str">
        <f>IF($A19="","",IFERROR(SUMPRODUCT(('Raw Data'!$B$2:$B$9999="Variant")*('Raw Data'!$A$2:$A$9999=$A19)*('Raw Data'!$C$2:$C$9999=$C$3)*'Raw Data'!$D$2:$D$9999*'Raw Data'!$AT$2:$AT$9999)/SUMIFS('Raw Data'!$D:$D, 'Raw Data'!$B:$B, "Variant", 'Raw Data'!$A:$A, $A19, 'Raw Data'!$C:$C, $C$3),""))</f>
        <v/>
      </c>
      <c r="EC19" s="110" t="str">
        <f t="shared" si="40"/>
        <v/>
      </c>
      <c r="ED19" s="91" t="str">
        <f>IF($A19="","",IFERROR(SUMPRODUCT(('Raw Data'!$B$2:$B$9999="Control")*('Raw Data'!$A$2:$A$9999=$A19)*('Raw Data'!$C$2:$C$9999=$C$3)*'Raw Data'!$D$2:$D$9999*('Raw Data'!$AQ$2:$AQ$9999-'Raw Data'!$AT$2:$AT$9999))/SUMIFS('Raw Data'!$D:$D, 'Raw Data'!$B:$B, "Control", 'Raw Data'!$A:$A, $A19, 'Raw Data'!$C:$C, $C$3),""))</f>
        <v/>
      </c>
      <c r="EE19" s="91" t="str">
        <f>IF($A19="","",IFERROR(SUMPRODUCT(('Raw Data'!$B$2:$B$9999="Variant")*('Raw Data'!$A$2:$A$9999=$A19)*('Raw Data'!$C$2:$C$9999=$C$3)*'Raw Data'!$D$2:$D$9999*('Raw Data'!$AQ$2:$AQ$9999-'Raw Data'!$AT$2:$AT$9999))/SUMIFS('Raw Data'!$D:$D, 'Raw Data'!$B:$B, "Variant", 'Raw Data'!$A:$A, $A19, 'Raw Data'!$C:$C, $C$3),""))</f>
        <v/>
      </c>
      <c r="EF19" s="111" t="str">
        <f t="shared" si="41"/>
        <v/>
      </c>
      <c r="EG19" s="91" t="str">
        <f>IF($A19="","",IFERROR(SUMPRODUCT(('Raw Data'!$B$2:$B$9999="Control")*('Raw Data'!$A$2:$A$9999=$A19)*('Raw Data'!$C$2:$C$9999=$C$3)*'Raw Data'!$D$2:$D$9999*'Raw Data'!$AU$2:$AU$9999)/SUMIFS('Raw Data'!$D:$D, 'Raw Data'!$B:$B, "Control", 'Raw Data'!$A:$A, $A19, 'Raw Data'!$C:$C, $C$3),""))</f>
        <v/>
      </c>
      <c r="EH19" s="91" t="str">
        <f>IF($A19="","",IFERROR(SUMPRODUCT(('Raw Data'!$B$2:$B$9999="Variant")*('Raw Data'!$A$2:$A$9999=$A19)*('Raw Data'!$C$2:$C$9999=$C$3)*'Raw Data'!$D$2:$D$9999*'Raw Data'!$AU$2:$AU$9999)/SUMIFS('Raw Data'!$D:$D, 'Raw Data'!$B:$B, "Variant", 'Raw Data'!$A:$A, $A19, 'Raw Data'!$C:$C, $C$3),""))</f>
        <v/>
      </c>
      <c r="EI19" s="110" t="str">
        <f t="shared" si="42"/>
        <v/>
      </c>
    </row>
    <row r="20" ht="15.75" customHeight="1">
      <c r="A20" s="74">
        <v>46243.0</v>
      </c>
      <c r="B20" s="76">
        <f>IF($A20="","",SUMIFS('Raw Data'!$D:$D, 'Raw Data'!$B:$B, "Control", 'Raw Data'!$A:$A, $A20, 'Raw Data'!$C:$C, $C$3))</f>
        <v>0</v>
      </c>
      <c r="C20" s="76">
        <f>IF($A20="","",SUMIFS('Raw Data'!$D:$D, 'Raw Data'!$B:$B, "Variant", 'Raw Data'!$A:$A, $A20, 'Raw Data'!$C:$C, $C$3))</f>
        <v>0</v>
      </c>
      <c r="D20" s="77" t="str">
        <f t="shared" si="1"/>
        <v/>
      </c>
      <c r="E20" s="79" t="str">
        <f>IF($A20="","",IFERROR(SUMPRODUCT(('Raw Data'!$B$2:$B$9999="Control")*('Raw Data'!$A$2:$A$9999=$A20)*('Raw Data'!$C$2:$C$9999=$C$3)*'Raw Data'!$D$2:$D$9999*'Raw Data'!$E$2:$E$9999)/SUMIFS('Raw Data'!$D:$D, 'Raw Data'!$B:$B, "Control", 'Raw Data'!$A:$A, $A20, 'Raw Data'!$C:$C, $C$3),""))</f>
        <v/>
      </c>
      <c r="F20" s="79" t="str">
        <f>IF($A20="","",IFERROR(SUMPRODUCT(('Raw Data'!$B$2:$B$9999="Variant")*('Raw Data'!$A$2:$A$9999=$A20)*('Raw Data'!$C$2:$C$9999=$C$3)*'Raw Data'!$D$2:$D$9999*'Raw Data'!$E$2:$E$9999)/SUMIFS('Raw Data'!$D:$D, 'Raw Data'!$B:$B, "Variant", 'Raw Data'!$A:$A, $A20, 'Raw Data'!$C:$C, $C$3),""))</f>
        <v/>
      </c>
      <c r="G20" s="77" t="str">
        <f t="shared" si="2"/>
        <v/>
      </c>
      <c r="H20" s="85">
        <f>IF($A20="","",SUMIFS('Raw Data'!$F:$F, 'Raw Data'!$B:$B, "Control", 'Raw Data'!$A:$A, $A20, 'Raw Data'!$C:$C, $C$3))</f>
        <v>0</v>
      </c>
      <c r="I20" s="85">
        <f>IF($A20="","",SUMIFS('Raw Data'!$F:$F, 'Raw Data'!$B:$B, "Variant", 'Raw Data'!$A:$A, $A20, 'Raw Data'!$C:$C, $C$3))</f>
        <v>0</v>
      </c>
      <c r="J20" s="86" t="str">
        <f t="shared" si="3"/>
        <v/>
      </c>
      <c r="K20" s="88" t="str">
        <f>IF($A20="","",IFERROR(SUMIFS('Raw Data'!$F:$F, 'Raw Data'!$B:$B, "Control", 'Raw Data'!$A:$A, $A20, 'Raw Data'!$C:$C, $C$3)/SUMIFS('Raw Data'!$D:$D, 'Raw Data'!$B:$B, "Control", 'Raw Data'!$A:$A, $A20, 'Raw Data'!$C:$C, $C$3),""))</f>
        <v/>
      </c>
      <c r="L20" s="88" t="str">
        <f>IF($A20="","",IFERROR(SUMIFS('Raw Data'!$F:$F, 'Raw Data'!$B:$B, "Variant", 'Raw Data'!$A:$A, $A20, 'Raw Data'!$C:$C, $C$3)/SUMIFS('Raw Data'!$D:$D, 'Raw Data'!$B:$B, "Variant", 'Raw Data'!$A:$A, $A20, 'Raw Data'!$C:$C, $C$3),""))</f>
        <v/>
      </c>
      <c r="M20" s="86" t="str">
        <f t="shared" si="4"/>
        <v/>
      </c>
      <c r="N20" s="79" t="str">
        <f>IF($A20="","",IFERROR(SUMPRODUCT(('Raw Data'!$B$2:$B$9999="Control")*('Raw Data'!$A$2:$A$9999=$A20)*('Raw Data'!$C$2:$C$9999=$C$3)*'Raw Data'!$D$2:$D$9999*'Raw Data'!$H$2:$H$9999/100)/SUMIFS('Raw Data'!$D:$D, 'Raw Data'!$B:$B, "Control", 'Raw Data'!$A:$A, $A20, 'Raw Data'!$C:$C, $C$3)*100,""))</f>
        <v/>
      </c>
      <c r="O20" s="79" t="str">
        <f>IF($A20="","",IFERROR(SUMPRODUCT(('Raw Data'!$B$2:$B$9999="Variant")*('Raw Data'!$A$2:$A$9999=$A20)*('Raw Data'!$C$2:$C$9999=$C$3)*'Raw Data'!$D$2:$D$9999*'Raw Data'!$H$2:$H$9999/100)/SUMIFS('Raw Data'!$D:$D, 'Raw Data'!$B:$B, "Variant", 'Raw Data'!$A:$A, $A20, 'Raw Data'!$C:$C, $C$3)*100,""))</f>
        <v/>
      </c>
      <c r="P20" s="86" t="str">
        <f t="shared" si="5"/>
        <v/>
      </c>
      <c r="Q20" s="88" t="str">
        <f>IF($A20="","",IFERROR(SUMIFS('Raw Data'!$F:$F, 'Raw Data'!$B:$B, "Control", 'Raw Data'!$A:$A, $A20, 'Raw Data'!$C:$C, $C$3)/SUMPRODUCT(('Raw Data'!$B$2:$B$9999="Control")*('Raw Data'!$A$2:$A$9999=$A20)*('Raw Data'!$C$2:$C$9999=$C$3)*'Raw Data'!$D$2:$D$9999*'Raw Data'!$H$2:$H$9999/100),""))</f>
        <v/>
      </c>
      <c r="R20" s="88" t="str">
        <f>IF($A20="","",IFERROR(SUMIFS('Raw Data'!$F:$F, 'Raw Data'!$B:$B, "Variant", 'Raw Data'!$A:$A, $A20, 'Raw Data'!$C:$C, $C$3)/SUMPRODUCT(('Raw Data'!$B$2:$B$9999="Variant")*('Raw Data'!$A$2:$A$9999=$A20)*('Raw Data'!$C$2:$C$9999=$C$3)*'Raw Data'!$D$2:$D$9999*'Raw Data'!$H$2:$H$9999/100),""))</f>
        <v/>
      </c>
      <c r="S20" s="86" t="str">
        <f t="shared" si="6"/>
        <v/>
      </c>
      <c r="T20" s="90" t="str">
        <f>IF($A20="","",IFERROR(SUMPRODUCT(('Raw Data'!$B$2:$B$9999="Control")*('Raw Data'!$A$2:$A$9999=$A20)*('Raw Data'!$C$2:$C$9999=$C$3)*'Raw Data'!$D$2:$D$9999*'Raw Data'!$J$2:$J$9999)/SUMIFS('Raw Data'!$D:$D, 'Raw Data'!$B:$B, "Control", 'Raw Data'!$A:$A, $A20, 'Raw Data'!$C:$C, $C$3),""))</f>
        <v/>
      </c>
      <c r="U20" s="90" t="str">
        <f>IF($A20="","",IFERROR(SUMPRODUCT(('Raw Data'!$B$2:$B$9999="Variant")*('Raw Data'!$A$2:$A$9999=$A20)*('Raw Data'!$C$2:$C$9999=$C$3)*'Raw Data'!$D$2:$D$9999*'Raw Data'!$J$2:$J$9999)/SUMIFS('Raw Data'!$D:$D, 'Raw Data'!$B:$B, "Variant", 'Raw Data'!$A:$A, $A20, 'Raw Data'!$C:$C, $C$3),""))</f>
        <v/>
      </c>
      <c r="V20" s="86" t="str">
        <f t="shared" si="7"/>
        <v/>
      </c>
      <c r="W20" s="90" t="str">
        <f>IF($A20="","",IFERROR(SUMPRODUCT(('Raw Data'!$B$2:$B$9999="Control")*('Raw Data'!$A$2:$A$9999=$A20)*('Raw Data'!$C$2:$C$9999=$C$3)*'Raw Data'!$D$2:$D$9999*'Raw Data'!$K$2:$K$9999)/SUMIFS('Raw Data'!$D:$D, 'Raw Data'!$B:$B, "Control", 'Raw Data'!$A:$A, $A20, 'Raw Data'!$C:$C, $C$3),""))</f>
        <v/>
      </c>
      <c r="X20" s="90" t="str">
        <f>IF($A20="","",IFERROR(SUMPRODUCT(('Raw Data'!$B$2:$B$9999="Variant")*('Raw Data'!$A$2:$A$9999=$A20)*('Raw Data'!$C$2:$C$9999=$C$3)*'Raw Data'!$D$2:$D$9999*'Raw Data'!$K$2:$K$9999)/SUMIFS('Raw Data'!$D:$D, 'Raw Data'!$B:$B, "Variant", 'Raw Data'!$A:$A, $A20, 'Raw Data'!$C:$C, $C$3),""))</f>
        <v/>
      </c>
      <c r="Y20" s="86" t="str">
        <f t="shared" si="8"/>
        <v/>
      </c>
      <c r="Z20" s="90" t="str">
        <f>IF($A20="","",IFERROR(SUMPRODUCT(('Raw Data'!$B$2:$B$9999="Control")*('Raw Data'!$A$2:$A$9999=$A20)*('Raw Data'!$C$2:$C$9999=$C$3)*'Raw Data'!$D$2:$D$9999*'Raw Data'!$L$2:$L$9999)/SUMIFS('Raw Data'!$D:$D, 'Raw Data'!$B:$B, "Control", 'Raw Data'!$A:$A, $A20, 'Raw Data'!$C:$C, $C$3),""))</f>
        <v/>
      </c>
      <c r="AA20" s="90" t="str">
        <f>IF($A20="","",IFERROR(SUMPRODUCT(('Raw Data'!$B$2:$B$9999="Variant")*('Raw Data'!$A$2:$A$9999=$A20)*('Raw Data'!$C$2:$C$9999=$C$3)*'Raw Data'!$D$2:$D$9999*'Raw Data'!$L$2:$L$9999)/SUMIFS('Raw Data'!$D:$D, 'Raw Data'!$B:$B, "Variant", 'Raw Data'!$A:$A, $A20, 'Raw Data'!$C:$C, $C$3),""))</f>
        <v/>
      </c>
      <c r="AB20" s="86" t="str">
        <f t="shared" si="9"/>
        <v/>
      </c>
      <c r="AC20" s="91" t="str">
        <f>IF($A20="","",IFERROR(SUMPRODUCT(('Raw Data'!$B$2:$B$9999="Control")*('Raw Data'!$A$2:$A$9999=$A20)*('Raw Data'!$C$2:$C$9999=$C$3)*'Raw Data'!$D$2:$D$9999*'Raw Data'!$M$2:$M$9999)/SUMIFS('Raw Data'!$D:$D, 'Raw Data'!$B:$B, "Control", 'Raw Data'!$A:$A, $A20, 'Raw Data'!$C:$C, $C$3),""))</f>
        <v/>
      </c>
      <c r="AD20" s="91" t="str">
        <f>IF($A20="","",IFERROR(SUMPRODUCT(('Raw Data'!$B$2:$B$9999="Variant")*('Raw Data'!$A$2:$A$9999=$A20)*('Raw Data'!$C$2:$C$9999=$C$3)*'Raw Data'!$D$2:$D$9999*'Raw Data'!$M$2:$M$9999)/SUMIFS('Raw Data'!$D:$D, 'Raw Data'!$B:$B, "Variant", 'Raw Data'!$A:$A, $A20, 'Raw Data'!$C:$C, $C$3),""))</f>
        <v/>
      </c>
      <c r="AE20" s="93" t="str">
        <f t="shared" si="10"/>
        <v/>
      </c>
      <c r="AF20" s="91" t="str">
        <f>IF($A20="","",IFERROR(SUMPRODUCT(('Raw Data'!$B$2:$B$9999="Control")*('Raw Data'!$A$2:$A$9999=$A20)*('Raw Data'!$C$2:$C$9999=$C$3)*'Raw Data'!$D$2:$D$9999*'Raw Data'!$N$2:$N$9999)/SUMIFS('Raw Data'!$D:$D, 'Raw Data'!$B:$B, "Control", 'Raw Data'!$A:$A, $A20, 'Raw Data'!$C:$C, $C$3),""))</f>
        <v/>
      </c>
      <c r="AG20" s="91" t="str">
        <f>IF($A20="","",IFERROR(SUMPRODUCT(('Raw Data'!$B$2:$B$9999="Variant")*('Raw Data'!$A$2:$A$9999=$A20)*('Raw Data'!$C$2:$C$9999=$C$3)*'Raw Data'!$D$2:$D$9999*'Raw Data'!$N$2:$N$9999)/SUMIFS('Raw Data'!$D:$D, 'Raw Data'!$B:$B, "Variant", 'Raw Data'!$A:$A, $A20, 'Raw Data'!$C:$C, $C$3),""))</f>
        <v/>
      </c>
      <c r="AH20" s="93" t="str">
        <f t="shared" si="11"/>
        <v/>
      </c>
      <c r="AI20" s="91" t="str">
        <f>IF($A20="","",IFERROR(SUMPRODUCT(('Raw Data'!$B$2:$B$9999="Control")*('Raw Data'!$A$2:$A$9999=$A20)*('Raw Data'!$C$2:$C$9999=$C$3)*'Raw Data'!$D$2:$D$9999*'Raw Data'!$O$2:$O$9999)/SUMIFS('Raw Data'!$D:$D, 'Raw Data'!$B:$B, "Control", 'Raw Data'!$A:$A, $A20, 'Raw Data'!$C:$C, $C$3),""))</f>
        <v/>
      </c>
      <c r="AJ20" s="91" t="str">
        <f>IF($A20="","",IFERROR(SUMPRODUCT(('Raw Data'!$B$2:$B$9999="Variant")*('Raw Data'!$A$2:$A$9999=$A20)*('Raw Data'!$C$2:$C$9999=$C$3)*'Raw Data'!$D$2:$D$9999*'Raw Data'!$O$2:$O$9999)/SUMIFS('Raw Data'!$D:$D, 'Raw Data'!$B:$B, "Variant", 'Raw Data'!$A:$A, $A20, 'Raw Data'!$C:$C, $C$3),""))</f>
        <v/>
      </c>
      <c r="AK20" s="86" t="str">
        <f t="shared" si="12"/>
        <v/>
      </c>
      <c r="AL20" s="90" t="str">
        <f>IF($A20="","",IFERROR(SUMPRODUCT(('Raw Data'!$B$2:$B$9999="Control")*('Raw Data'!$A$2:$A$9999=$A20)*('Raw Data'!$C$2:$C$9999=$C$3)*'Raw Data'!$D$2:$D$9999*'Raw Data'!$P$2:$P$9999)/SUMIFS('Raw Data'!$D:$D, 'Raw Data'!$B:$B, "Control", 'Raw Data'!$A:$A, $A20, 'Raw Data'!$C:$C, $C$3),""))</f>
        <v/>
      </c>
      <c r="AM20" s="90" t="str">
        <f>IF($A20="","",IFERROR(SUMPRODUCT(('Raw Data'!$B$2:$B$9999="Variant")*('Raw Data'!$A$2:$A$9999=$A20)*('Raw Data'!$C$2:$C$9999=$C$3)*'Raw Data'!$D$2:$D$9999*'Raw Data'!$P$2:$P$9999)/SUMIFS('Raw Data'!$D:$D, 'Raw Data'!$B:$B, "Variant", 'Raw Data'!$A:$A, $A20, 'Raw Data'!$C:$C, $C$3),""))</f>
        <v/>
      </c>
      <c r="AN20" s="86" t="str">
        <f t="shared" si="13"/>
        <v/>
      </c>
      <c r="AO20" s="90" t="str">
        <f>IF($A20="","",IFERROR(SUMPRODUCT(('Raw Data'!$B$2:$B$9999="Control")*('Raw Data'!$A$2:$A$9999=$A20)*('Raw Data'!$C$2:$C$9999=$C$3)*'Raw Data'!$D$2:$D$9999*'Raw Data'!$Q$2:$Q$9999)/SUMIFS('Raw Data'!$D:$D, 'Raw Data'!$B:$B, "Control", 'Raw Data'!$A:$A, $A20, 'Raw Data'!$C:$C, $C$3),""))</f>
        <v/>
      </c>
      <c r="AP20" s="90" t="str">
        <f>IF($A20="","",IFERROR(SUMPRODUCT(('Raw Data'!$B$2:$B$9999="Variant")*('Raw Data'!$A$2:$A$9999=$A20)*('Raw Data'!$C$2:$C$9999=$C$3)*'Raw Data'!$D$2:$D$9999*'Raw Data'!$Q$2:$Q$9999)/SUMIFS('Raw Data'!$D:$D, 'Raw Data'!$B:$B, "Variant", 'Raw Data'!$A:$A, $A20, 'Raw Data'!$C:$C, $C$3),""))</f>
        <v/>
      </c>
      <c r="AQ20" s="77" t="str">
        <f t="shared" si="14"/>
        <v/>
      </c>
      <c r="AR20" s="90" t="str">
        <f>IF($A20="","",IFERROR(SUMPRODUCT(('Raw Data'!$B$2:$B$9999="Control")*('Raw Data'!$A$2:$A$9999=$A20)*('Raw Data'!$C$2:$C$9999=$C$3)*'Raw Data'!$D$2:$D$9999*'Raw Data'!$R$2:$R$9999)/SUMIFS('Raw Data'!$D:$D, 'Raw Data'!$B:$B, "Control", 'Raw Data'!$A:$A, $A20, 'Raw Data'!$C:$C, $C$3),""))</f>
        <v/>
      </c>
      <c r="AS20" s="90" t="str">
        <f>IF($A20="","",IFERROR(SUMPRODUCT(('Raw Data'!$B$2:$B$9999="Variant")*('Raw Data'!$A$2:$A$9999=$A20)*('Raw Data'!$C$2:$C$9999=$C$3)*'Raw Data'!$D$2:$D$9999*'Raw Data'!$R$2:$R$9999)/SUMIFS('Raw Data'!$D:$D, 'Raw Data'!$B:$B, "Variant", 'Raw Data'!$A:$A, $A20, 'Raw Data'!$C:$C, $C$3),""))</f>
        <v/>
      </c>
      <c r="AT20" s="77" t="str">
        <f t="shared" si="15"/>
        <v/>
      </c>
      <c r="AU20" s="90" t="str">
        <f>IF($A20="","",IFERROR(SUMPRODUCT(('Raw Data'!$B$2:$B$9999="Control")*('Raw Data'!$A$2:$A$9999=$A20)*('Raw Data'!$C$2:$C$9999=$C$3)*'Raw Data'!$D$2:$D$9999*'Raw Data'!$S$2:$S$9999)/SUMIFS('Raw Data'!$D:$D, 'Raw Data'!$B:$B, "Control", 'Raw Data'!$A:$A, $A20, 'Raw Data'!$C:$C, $C$3),""))</f>
        <v/>
      </c>
      <c r="AV20" s="90" t="str">
        <f>IF($A20="","",IFERROR(SUMPRODUCT(('Raw Data'!$B$2:$B$9999="Variant")*('Raw Data'!$A$2:$A$9999=$A20)*('Raw Data'!$C$2:$C$9999=$C$3)*'Raw Data'!$D$2:$D$9999*'Raw Data'!$S$2:$S$9999)/SUMIFS('Raw Data'!$D:$D, 'Raw Data'!$B:$B, "Variant", 'Raw Data'!$A:$A, $A20, 'Raw Data'!$C:$C, $C$3),""))</f>
        <v/>
      </c>
      <c r="AW20" s="77" t="str">
        <f t="shared" si="16"/>
        <v/>
      </c>
      <c r="AX20" s="90" t="str">
        <f>IF($A20="","",IFERROR(SUMPRODUCT(('Raw Data'!$B$2:$B$9999="Control")*('Raw Data'!$A$2:$A$9999=$A20)*('Raw Data'!$C$2:$C$9999=$C$3)*'Raw Data'!$D$2:$D$9999*'Raw Data'!$T$2:$T$9999)/SUMIFS('Raw Data'!$D:$D, 'Raw Data'!$B:$B, "Control", 'Raw Data'!$A:$A, $A20, 'Raw Data'!$C:$C, $C$3),""))</f>
        <v/>
      </c>
      <c r="AY20" s="90" t="str">
        <f>IF($A20="","",IFERROR(SUMPRODUCT(('Raw Data'!$B$2:$B$9999="Variant")*('Raw Data'!$A$2:$A$9999=$A20)*('Raw Data'!$C$2:$C$9999=$C$3)*'Raw Data'!$D$2:$D$9999*'Raw Data'!$T$2:$T$9999)/SUMIFS('Raw Data'!$D:$D, 'Raw Data'!$B:$B, "Variant", 'Raw Data'!$A:$A, $A20, 'Raw Data'!$C:$C, $C$3),""))</f>
        <v/>
      </c>
      <c r="AZ20" s="86" t="str">
        <f t="shared" si="17"/>
        <v/>
      </c>
      <c r="BA20" s="90" t="str">
        <f>IF($A20="","",IFERROR(SUMPRODUCT(('Raw Data'!$B$2:$B$9999="Control")*('Raw Data'!$A$2:$A$9999=$A20)*('Raw Data'!$C$2:$C$9999=$C$3)*'Raw Data'!$D$2:$D$9999*'Raw Data'!$U$2:$U$9999)/SUMIFS('Raw Data'!$D:$D, 'Raw Data'!$B:$B, "Control", 'Raw Data'!$A:$A, $A20, 'Raw Data'!$C:$C, $C$3),""))</f>
        <v/>
      </c>
      <c r="BB20" s="90" t="str">
        <f>IF($A20="","",IFERROR(SUMPRODUCT(('Raw Data'!$B$2:$B$9999="Variant")*('Raw Data'!$A$2:$A$9999=$A20)*('Raw Data'!$C$2:$C$9999=$C$3)*'Raw Data'!$D$2:$D$9999*'Raw Data'!$U$2:$U$9999)/SUMIFS('Raw Data'!$D:$D, 'Raw Data'!$B:$B, "Variant", 'Raw Data'!$A:$A, $A20, 'Raw Data'!$C:$C, $C$3),""))</f>
        <v/>
      </c>
      <c r="BC20" s="77" t="str">
        <f t="shared" si="18"/>
        <v/>
      </c>
      <c r="BD20" s="90" t="str">
        <f>IF($A20="","",IFERROR(SUMPRODUCT(('Raw Data'!$B$2:$B$9999="Control")*('Raw Data'!$A$2:$A$9999=$A20)*('Raw Data'!$C$2:$C$9999=$C$3)*'Raw Data'!$D$2:$D$9999*'Raw Data'!$V$2:$V$9999)/SUMIFS('Raw Data'!$D:$D, 'Raw Data'!$B:$B, "Control", 'Raw Data'!$A:$A, $A20, 'Raw Data'!$C:$C, $C$3),""))</f>
        <v/>
      </c>
      <c r="BE20" s="90" t="str">
        <f>IF($A20="","",IFERROR(SUMPRODUCT(('Raw Data'!$B$2:$B$9999="Variant")*('Raw Data'!$A$2:$A$9999=$A20)*('Raw Data'!$C$2:$C$9999=$C$3)*'Raw Data'!$D$2:$D$9999*'Raw Data'!$V$2:$V$9999)/SUMIFS('Raw Data'!$D:$D, 'Raw Data'!$B:$B, "Variant", 'Raw Data'!$A:$A, $A20, 'Raw Data'!$C:$C, $C$3),""))</f>
        <v/>
      </c>
      <c r="BF20" s="77" t="str">
        <f t="shared" si="19"/>
        <v/>
      </c>
      <c r="BG20" s="90" t="str">
        <f>IF($A20="","",IFERROR(SUMPRODUCT(('Raw Data'!$B$2:$B$9999="Control")*('Raw Data'!$A$2:$A$9999=$A20)*('Raw Data'!$C$2:$C$9999=$C$3)*'Raw Data'!$D$2:$D$9999*('Raw Data'!$Q$2:$Q$9999-'Raw Data'!$V$2:$V$9999))/SUMIFS('Raw Data'!$D:$D, 'Raw Data'!$B:$B, "Control", 'Raw Data'!$A:$A, $A20, 'Raw Data'!$C:$C, $C$3),""))</f>
        <v/>
      </c>
      <c r="BH20" s="90" t="str">
        <f>IF($A20="","",IFERROR(SUMPRODUCT(('Raw Data'!$B$2:$B$9999="Variant")*('Raw Data'!$A$2:$A$9999=$A20)*('Raw Data'!$C$2:$C$9999=$C$3)*'Raw Data'!$D$2:$D$9999*('Raw Data'!$Q$2:$Q$9999-'Raw Data'!$V$2:$V$9999))/SUMIFS('Raw Data'!$D:$D, 'Raw Data'!$B:$B, "Variant", 'Raw Data'!$A:$A, $A20, 'Raw Data'!$C:$C, $C$3),""))</f>
        <v/>
      </c>
      <c r="BI20" s="77" t="str">
        <f t="shared" si="20"/>
        <v/>
      </c>
      <c r="BJ20" s="90" t="str">
        <f>IF($A20="","",IFERROR(SUMPRODUCT(('Raw Data'!$B$2:$B$9999="Control")*('Raw Data'!$A$2:$A$9999=$A20)*('Raw Data'!$C$2:$C$9999=$C$3)*'Raw Data'!$D$2:$D$9999*'Raw Data'!$W$2:$W$9999)/SUMIFS('Raw Data'!$D:$D, 'Raw Data'!$B:$B, "Control", 'Raw Data'!$A:$A, $A20, 'Raw Data'!$C:$C, $C$3),""))</f>
        <v/>
      </c>
      <c r="BK20" s="90" t="str">
        <f>IF($A20="","",IFERROR(SUMPRODUCT(('Raw Data'!$B$2:$B$9999="Variant")*('Raw Data'!$A$2:$A$9999=$A20)*('Raw Data'!$C$2:$C$9999=$C$3)*'Raw Data'!$D$2:$D$9999*'Raw Data'!$W$2:$W$9999)/SUMIFS('Raw Data'!$D:$D, 'Raw Data'!$B:$B, "Variant", 'Raw Data'!$A:$A, $A20, 'Raw Data'!$C:$C, $C$3),""))</f>
        <v/>
      </c>
      <c r="BL20" s="77" t="str">
        <f t="shared" si="21"/>
        <v/>
      </c>
      <c r="BM20" s="91" t="str">
        <f>IF($A20="","",IFERROR(SUMPRODUCT(('Raw Data'!$B$2:$B$9999="Control")*('Raw Data'!$A$2:$A$9999=$A20)*('Raw Data'!$C$2:$C$9999=$C$3)*'Raw Data'!$D$2:$D$9999*'Raw Data'!$X$2:$X$9999)/SUMIFS('Raw Data'!$D:$D, 'Raw Data'!$B:$B, "Control", 'Raw Data'!$A:$A, $A20, 'Raw Data'!$C:$C, $C$3),""))</f>
        <v/>
      </c>
      <c r="BN20" s="91" t="str">
        <f>IF($A20="","",IFERROR(SUMPRODUCT(('Raw Data'!$B$2:$B$9999="Variant")*('Raw Data'!$A$2:$A$9999=$A20)*('Raw Data'!$C$2:$C$9999=$C$3)*'Raw Data'!$D$2:$D$9999*'Raw Data'!$X$2:$X$9999)/SUMIFS('Raw Data'!$D:$D, 'Raw Data'!$B:$B, "Variant", 'Raw Data'!$A:$A, $A20, 'Raw Data'!$C:$C, $C$3),""))</f>
        <v/>
      </c>
      <c r="BO20" s="86" t="str">
        <f t="shared" si="22"/>
        <v/>
      </c>
      <c r="BP20" s="76" t="str">
        <f>IF($A20="","",IFERROR(SUMPRODUCT(('Raw Data'!$B$2:$B$9999="Control")*('Raw Data'!$A$2:$A$9999=$A20)*('Raw Data'!$C$2:$C$9999=$C$3)*'Raw Data'!$D$2:$D$9999*'Raw Data'!$Y$2:$Y$9999)/SUMIFS('Raw Data'!$D:$D, 'Raw Data'!$B:$B, "Control", 'Raw Data'!$A:$A, $A20, 'Raw Data'!$C:$C, $C$3),""))</f>
        <v/>
      </c>
      <c r="BQ20" s="76" t="str">
        <f>IF($A20="","",IFERROR(SUMPRODUCT(('Raw Data'!$B$2:$B$9999="Variant")*('Raw Data'!$A$2:$A$9999=$A20)*('Raw Data'!$C$2:$C$9999=$C$3)*'Raw Data'!$D$2:$D$9999*'Raw Data'!$Y$2:$Y$9999)/SUMIFS('Raw Data'!$D:$D, 'Raw Data'!$B:$B, "Variant", 'Raw Data'!$A:$A, $A20, 'Raw Data'!$C:$C, $C$3),""))</f>
        <v/>
      </c>
      <c r="BR20" s="77" t="str">
        <f t="shared" si="23"/>
        <v/>
      </c>
      <c r="BS20" s="76" t="str">
        <f>IF($A20="","",IFERROR(SUMPRODUCT(('Raw Data'!$B$2:$B$9999="Control")*('Raw Data'!$A$2:$A$9999=$A20)*('Raw Data'!$C$2:$C$9999=$C$3)*'Raw Data'!$D$2:$D$9999*'Raw Data'!$Z$2:$Z$9999)/SUMIFS('Raw Data'!$D:$D, 'Raw Data'!$B:$B, "Control", 'Raw Data'!$A:$A, $A20, 'Raw Data'!$C:$C, $C$3),""))</f>
        <v/>
      </c>
      <c r="BT20" s="76" t="str">
        <f>IF($A20="","",IFERROR(SUMPRODUCT(('Raw Data'!$B$2:$B$9999="Variant")*('Raw Data'!$A$2:$A$9999=$A20)*('Raw Data'!$C$2:$C$9999=$C$3)*'Raw Data'!$D$2:$D$9999*'Raw Data'!$Z$2:$Z$9999)/SUMIFS('Raw Data'!$D:$D, 'Raw Data'!$B:$B, "Variant", 'Raw Data'!$A:$A, $A20, 'Raw Data'!$C:$C, $C$3),""))</f>
        <v/>
      </c>
      <c r="BU20" s="77" t="str">
        <f t="shared" si="24"/>
        <v/>
      </c>
      <c r="BV20" s="76" t="str">
        <f>IF($A20="","",IFERROR(SUMPRODUCT(('Raw Data'!$B$2:$B$9999="Control")*('Raw Data'!$A$2:$A$9999=$A20)*('Raw Data'!$C$2:$C$9999=$C$3)*'Raw Data'!$D$2:$D$9999*'Raw Data'!$AA$2:$AA$9999)/SUMIFS('Raw Data'!$D:$D, 'Raw Data'!$B:$B, "Control", 'Raw Data'!$A:$A, $A20, 'Raw Data'!$C:$C, $C$3),""))</f>
        <v/>
      </c>
      <c r="BW20" s="76" t="str">
        <f>IF($A20="","",IFERROR(SUMPRODUCT(('Raw Data'!$B$2:$B$9999="Variant")*('Raw Data'!$A$2:$A$9999=$A20)*('Raw Data'!$C$2:$C$9999=$C$3)*'Raw Data'!$D$2:$D$9999*'Raw Data'!$AA$2:$AA$9999)/SUMIFS('Raw Data'!$D:$D, 'Raw Data'!$B:$B, "Variant", 'Raw Data'!$A:$A, $A20, 'Raw Data'!$C:$C, $C$3),""))</f>
        <v/>
      </c>
      <c r="BX20" s="77" t="str">
        <f t="shared" si="25"/>
        <v/>
      </c>
      <c r="BY20" s="90" t="str">
        <f>IF($A20="","",IFERROR(SUMPRODUCT(('Raw Data'!$B$2:$B$9999="Control")*('Raw Data'!$A$2:$A$9999=$A20)*('Raw Data'!$C$2:$C$9999=$C$3)*'Raw Data'!$D$2:$D$9999*'Raw Data'!$AB$2:$AB$9999)/SUMIFS('Raw Data'!$D:$D, 'Raw Data'!$B:$B, "Control", 'Raw Data'!$A:$A, $A20, 'Raw Data'!$C:$C, $C$3),""))</f>
        <v/>
      </c>
      <c r="BZ20" s="90" t="str">
        <f>IF($A20="","",IFERROR(SUMPRODUCT(('Raw Data'!$B$2:$B$9999="Variant")*('Raw Data'!$A$2:$A$9999=$A20)*('Raw Data'!$C$2:$C$9999=$C$3)*'Raw Data'!$D$2:$D$9999*'Raw Data'!$AB$2:$AB$9999)/SUMIFS('Raw Data'!$D:$D, 'Raw Data'!$B:$B, "Variant", 'Raw Data'!$A:$A, $A20, 'Raw Data'!$C:$C, $C$3),""))</f>
        <v/>
      </c>
      <c r="CA20" s="86" t="str">
        <f t="shared" si="26"/>
        <v/>
      </c>
      <c r="CB20" s="90" t="str">
        <f>IF($A20="","",IFERROR(SUMPRODUCT(('Raw Data'!$B$2:$B$9999="Control")*('Raw Data'!$A$2:$A$9999=$A20)*('Raw Data'!$C$2:$C$9999=$C$3)*'Raw Data'!$D$2:$D$9999*'Raw Data'!$AC$2:$AC$9999)/SUMIFS('Raw Data'!$D:$D, 'Raw Data'!$B:$B, "Control", 'Raw Data'!$A:$A, $A20, 'Raw Data'!$C:$C, $C$3),""))</f>
        <v/>
      </c>
      <c r="CC20" s="90" t="str">
        <f>IF($A20="","",IFERROR(SUMPRODUCT(('Raw Data'!$B$2:$B$9999="Variant")*('Raw Data'!$A$2:$A$9999=$A20)*('Raw Data'!$C$2:$C$9999=$C$3)*'Raw Data'!$D$2:$D$9999*'Raw Data'!$AC$2:$AC$9999)/SUMIFS('Raw Data'!$D:$D, 'Raw Data'!$B:$B, "Variant", 'Raw Data'!$A:$A, $A20, 'Raw Data'!$C:$C, $C$3),""))</f>
        <v/>
      </c>
      <c r="CD20" s="86" t="str">
        <f t="shared" si="27"/>
        <v/>
      </c>
      <c r="CE20" s="90" t="str">
        <f>IF($A20="","",IFERROR(SUMPRODUCT(('Raw Data'!$B$2:$B$9999="Control")*('Raw Data'!$A$2:$A$9999=$A20)*('Raw Data'!$C$2:$C$9999=$C$3)*'Raw Data'!$D$2:$D$9999*'Raw Data'!$AD$2:$AD$9999)/SUMIFS('Raw Data'!$D:$D, 'Raw Data'!$B:$B, "Control", 'Raw Data'!$A:$A, $A20, 'Raw Data'!$C:$C, $C$3),""))</f>
        <v/>
      </c>
      <c r="CF20" s="90" t="str">
        <f>IF($A20="","",IFERROR(SUMPRODUCT(('Raw Data'!$B$2:$B$9999="Variant")*('Raw Data'!$A$2:$A$9999=$A20)*('Raw Data'!$C$2:$C$9999=$C$3)*'Raw Data'!$D$2:$D$9999*'Raw Data'!$AD$2:$AD$9999)/SUMIFS('Raw Data'!$D:$D, 'Raw Data'!$B:$B, "Variant", 'Raw Data'!$A:$A, $A20, 'Raw Data'!$C:$C, $C$3),""))</f>
        <v/>
      </c>
      <c r="CG20" s="86" t="str">
        <f t="shared" si="28"/>
        <v/>
      </c>
      <c r="CH20" s="90" t="str">
        <f>IF($A20="","",IFERROR(SUMPRODUCT(('Raw Data'!$B$2:$B$9999="Control")*('Raw Data'!$A$2:$A$9999=$A20)*('Raw Data'!$C$2:$C$9999=$C$3)*'Raw Data'!$D$2:$D$9999*'Raw Data'!$AE$2:$AE$9999)/SUMIFS('Raw Data'!$D:$D, 'Raw Data'!$B:$B, "Control", 'Raw Data'!$A:$A, $A20, 'Raw Data'!$C:$C, $C$3),""))</f>
        <v/>
      </c>
      <c r="CI20" s="90" t="str">
        <f>IF($A20="","",IFERROR(SUMPRODUCT(('Raw Data'!$B$2:$B$9999="Variant")*('Raw Data'!$A$2:$A$9999=$A20)*('Raw Data'!$C$2:$C$9999=$C$3)*'Raw Data'!$D$2:$D$9999*'Raw Data'!$AE$2:$AE$9999)/SUMIFS('Raw Data'!$D:$D, 'Raw Data'!$B:$B, "Variant", 'Raw Data'!$A:$A, $A20, 'Raw Data'!$C:$C, $C$3),""))</f>
        <v/>
      </c>
      <c r="CJ20" s="86" t="str">
        <f t="shared" si="29"/>
        <v/>
      </c>
      <c r="CK20" s="90" t="str">
        <f>IF($A20="","",IFERROR(SUMPRODUCT(('Raw Data'!$B$2:$B$9999="Control")*('Raw Data'!$A$2:$A$9999=$A20)*('Raw Data'!$C$2:$C$9999=$C$3)*'Raw Data'!$D$2:$D$9999*'Raw Data'!$AF$2:$AF$9999)/SUMIFS('Raw Data'!$D:$D, 'Raw Data'!$B:$B, "Control", 'Raw Data'!$A:$A, $A20, 'Raw Data'!$C:$C, $C$3),""))</f>
        <v/>
      </c>
      <c r="CL20" s="90" t="str">
        <f>IF($A20="","",IFERROR(SUMPRODUCT(('Raw Data'!$B$2:$B$9999="Variant")*('Raw Data'!$A$2:$A$9999=$A20)*('Raw Data'!$C$2:$C$9999=$C$3)*'Raw Data'!$D$2:$D$9999*'Raw Data'!$AF$2:$AF$9999)/SUMIFS('Raw Data'!$D:$D, 'Raw Data'!$B:$B, "Variant", 'Raw Data'!$A:$A, $A20, 'Raw Data'!$C:$C, $C$3),""))</f>
        <v/>
      </c>
      <c r="CM20" s="86" t="str">
        <f t="shared" si="30"/>
        <v/>
      </c>
      <c r="CN20" s="90" t="str">
        <f>IF($A20="","",IFERROR(SUMPRODUCT(('Raw Data'!$B$2:$B$9999="Control")*('Raw Data'!$A$2:$A$9999=$A20)*('Raw Data'!$C$2:$C$9999=$C$3)*'Raw Data'!$D$2:$D$9999*'Raw Data'!$AG$2:$AG$9999)/SUMIFS('Raw Data'!$D:$D, 'Raw Data'!$B:$B, "Control", 'Raw Data'!$A:$A, $A20, 'Raw Data'!$C:$C, $C$3),""))</f>
        <v/>
      </c>
      <c r="CO20" s="90" t="str">
        <f>IF($A20="","",IFERROR(SUMPRODUCT(('Raw Data'!$B$2:$B$9999="Variant")*('Raw Data'!$A$2:$A$9999=$A20)*('Raw Data'!$C$2:$C$9999=$C$3)*'Raw Data'!$D$2:$D$9999*'Raw Data'!$AG$2:$AG$9999)/SUMIFS('Raw Data'!$D:$D, 'Raw Data'!$B:$B, "Variant", 'Raw Data'!$A:$A, $A20, 'Raw Data'!$C:$C, $C$3),""))</f>
        <v/>
      </c>
      <c r="CP20" s="86" t="str">
        <f t="shared" si="31"/>
        <v/>
      </c>
      <c r="CQ20" s="90" t="str">
        <f>IF($A20="","",IFERROR(SUMPRODUCT(('Raw Data'!$B$2:$B$9999="Control")*('Raw Data'!$A$2:$A$9999=$A20)*('Raw Data'!$C$2:$C$9999=$C$3)*'Raw Data'!$D$2:$D$9999*'Raw Data'!$AH$2:$AH$9999)/SUMIFS('Raw Data'!$D:$D, 'Raw Data'!$B:$B, "Control", 'Raw Data'!$A:$A, $A20, 'Raw Data'!$C:$C, $C$3),""))</f>
        <v/>
      </c>
      <c r="CR20" s="90" t="str">
        <f>IF($A20="","",IFERROR(SUMPRODUCT(('Raw Data'!$B$2:$B$9999="Variant")*('Raw Data'!$A$2:$A$9999=$A20)*('Raw Data'!$C$2:$C$9999=$C$3)*'Raw Data'!$D$2:$D$9999*'Raw Data'!$AH$2:$AH$9999)/SUMIFS('Raw Data'!$D:$D, 'Raw Data'!$B:$B, "Variant", 'Raw Data'!$A:$A, $A20, 'Raw Data'!$C:$C, $C$3),""))</f>
        <v/>
      </c>
      <c r="CS20" s="86" t="str">
        <f t="shared" si="32"/>
        <v/>
      </c>
      <c r="CT20" s="79" t="str">
        <f>IF($A20="","",IFERROR(SUMPRODUCT(('Raw Data'!$B$2:$B$9999="Control")*('Raw Data'!$A$2:$A$9999=$A20)*('Raw Data'!$C$2:$C$9999=$C$3)*'Raw Data'!$D$2:$D$9999*'Raw Data'!$AI$2:$AI$9999)/SUMIFS('Raw Data'!$D:$D, 'Raw Data'!$B:$B, "Control", 'Raw Data'!$A:$A, $A20, 'Raw Data'!$C:$C, $C$3),""))</f>
        <v/>
      </c>
      <c r="CU20" s="79" t="str">
        <f>IF($A20="","",IFERROR(SUMPRODUCT(('Raw Data'!$B$2:$B$9999="Variant")*('Raw Data'!$A$2:$A$9999=$A20)*('Raw Data'!$C$2:$C$9999=$C$3)*'Raw Data'!$D$2:$D$9999*'Raw Data'!$AI$2:$AI$9999)/SUMIFS('Raw Data'!$D:$D, 'Raw Data'!$B:$B, "Variant", 'Raw Data'!$A:$A, $A20, 'Raw Data'!$C:$C, $C$3),""))</f>
        <v/>
      </c>
      <c r="CV20" s="93" t="str">
        <f t="shared" si="33"/>
        <v/>
      </c>
      <c r="CW20" s="79" t="str">
        <f>IF($A20="","",IFERROR(SUMPRODUCT(('Raw Data'!$B$2:$B$9999="Control")*('Raw Data'!$A$2:$A$9999=$A20)*('Raw Data'!$C$2:$C$9999=$C$3)*'Raw Data'!$D$2:$D$9999*'Raw Data'!$AJ$2:$AJ$9999)/SUMIFS('Raw Data'!$D:$D, 'Raw Data'!$B:$B, "Control", 'Raw Data'!$A:$A, $A20, 'Raw Data'!$C:$C, $C$3),""))</f>
        <v/>
      </c>
      <c r="CX20" s="79" t="str">
        <f>IF($A20="","",IFERROR(SUMPRODUCT(('Raw Data'!$B$2:$B$9999="Variant")*('Raw Data'!$A$2:$A$9999=$A20)*('Raw Data'!$C$2:$C$9999=$C$3)*'Raw Data'!$D$2:$D$9999*'Raw Data'!$AJ$2:$AJ$9999)/SUMIFS('Raw Data'!$D:$D, 'Raw Data'!$B:$B, "Variant", 'Raw Data'!$A:$A, $A20, 'Raw Data'!$C:$C, $C$3),""))</f>
        <v/>
      </c>
      <c r="CY20" s="93" t="str">
        <f t="shared" si="34"/>
        <v/>
      </c>
      <c r="CZ20" s="79" t="str">
        <f>IF($A20="","",IFERROR(SUMPRODUCT(('Raw Data'!$B$2:$B$9999="Control")*('Raw Data'!$A$2:$A$9999=$A20)*('Raw Data'!$C$2:$C$9999=$C$3)*'Raw Data'!$D$2:$D$9999*'Raw Data'!$AK$2:$AK$9999)/SUMIFS('Raw Data'!$D:$D, 'Raw Data'!$B:$B, "Control", 'Raw Data'!$A:$A, $A20, 'Raw Data'!$C:$C, $C$3),""))</f>
        <v/>
      </c>
      <c r="DA20" s="79" t="str">
        <f>IF($A20="","",IFERROR(SUMPRODUCT(('Raw Data'!$B$2:$B$9999="Variant")*('Raw Data'!$A$2:$A$9999=$A20)*('Raw Data'!$C$2:$C$9999=$C$3)*'Raw Data'!$D$2:$D$9999*'Raw Data'!$AK$2:$AK$9999)/SUMIFS('Raw Data'!$D:$D, 'Raw Data'!$B:$B, "Variant", 'Raw Data'!$A:$A, $A20, 'Raw Data'!$C:$C, $C$3),""))</f>
        <v/>
      </c>
      <c r="DB20" s="86" t="str">
        <f t="shared" si="35"/>
        <v/>
      </c>
      <c r="DC20" s="91" t="str">
        <f>IF($A20="","",IFERROR(SUMPRODUCT(('Raw Data'!$B$2:$B$9999="Control")*('Raw Data'!$A$2:$A$9999=$A20)*('Raw Data'!$C$2:$C$9999=$C$3)*'Raw Data'!$D$2:$D$9999*'Raw Data'!$AL$2:$AL$9999)/SUMIFS('Raw Data'!$D:$D, 'Raw Data'!$B:$B, "Control", 'Raw Data'!$A:$A, $A20, 'Raw Data'!$C:$C, $C$3),""))</f>
        <v/>
      </c>
      <c r="DD20" s="91" t="str">
        <f>IF($A20="","",IFERROR(SUMPRODUCT(('Raw Data'!$B$2:$B$9999="Variant")*('Raw Data'!$A$2:$A$9999=$A20)*('Raw Data'!$C$2:$C$9999=$C$3)*'Raw Data'!$D$2:$D$9999*'Raw Data'!$AL$2:$AL$9999)/SUMIFS('Raw Data'!$D:$D, 'Raw Data'!$B:$B, "Variant", 'Raw Data'!$A:$A, $A20, 'Raw Data'!$C:$C, $C$3),""))</f>
        <v/>
      </c>
      <c r="DE20" s="93" t="str">
        <f t="shared" si="36"/>
        <v/>
      </c>
      <c r="DF20" s="107"/>
      <c r="DG20" s="79" t="str">
        <f>IF($A20="","",IFERROR(SUMPRODUCT(('Raw Data'!$B$2:$B$9999="Variant")*('Raw Data'!$A$2:$A$9999=$A20)*('Raw Data'!$C$2:$C$9999=$C$3)*'Raw Data'!$D$2:$D$9999*'Raw Data'!$AM$2:$AM$9999)/SUMIFS('Raw Data'!$D:$D, 'Raw Data'!$B:$B, "Variant", 'Raw Data'!$A:$A, $A20, 'Raw Data'!$C:$C, $C$3),""))</f>
        <v/>
      </c>
      <c r="DH20" s="108"/>
      <c r="DI20" s="107"/>
      <c r="DJ20" s="79" t="str">
        <f>IF($A20="","",IFERROR(SUMPRODUCT(('Raw Data'!$B$2:$B$9999="Variant")*('Raw Data'!$A$2:$A$9999=$A20)*('Raw Data'!$C$2:$C$9999=$C$3)*'Raw Data'!$D$2:$D$9999*'Raw Data'!$AN$2:$AN$9999)/SUMIFS('Raw Data'!$D:$D, 'Raw Data'!$B:$B, "Variant", 'Raw Data'!$A:$A, $A20, 'Raw Data'!$C:$C, $C$3),""))</f>
        <v/>
      </c>
      <c r="DK20" s="108"/>
      <c r="DL20" s="107"/>
      <c r="DM20" s="79" t="str">
        <f>IF($A20="","",IFERROR(SUMPRODUCT(('Raw Data'!$B$2:$B$9999="Variant")*('Raw Data'!$A$2:$A$9999=$A20)*('Raw Data'!$C$2:$C$9999=$C$3)*'Raw Data'!$D$2:$D$9999*'Raw Data'!$AO$2:$AO$9999)/SUMIFS('Raw Data'!$D:$D, 'Raw Data'!$B:$B, "Variant", 'Raw Data'!$A:$A, $A20, 'Raw Data'!$C:$C, $C$3),""))</f>
        <v/>
      </c>
      <c r="DN20" s="108"/>
      <c r="DO20" s="107"/>
      <c r="DP20" s="79" t="str">
        <f>IF($A20="","",IFERROR(SUMPRODUCT(('Raw Data'!$B$2:$B$9999="Variant")*('Raw Data'!$A$2:$A$9999=$A20)*('Raw Data'!$C$2:$C$9999=$C$3)*'Raw Data'!$D$2:$D$9999*'Raw Data'!$AP$2:$AP$9999)/SUMIFS('Raw Data'!$D:$D, 'Raw Data'!$B:$B, "Variant", 'Raw Data'!$A:$A, $A20, 'Raw Data'!$C:$C, $C$3),""))</f>
        <v/>
      </c>
      <c r="DQ20" s="108"/>
      <c r="DR20" s="91" t="str">
        <f>IF($A20="","",IFERROR(SUMPRODUCT(('Raw Data'!$B$2:$B$9999="Control")*('Raw Data'!$A$2:$A$9999=$A20)*('Raw Data'!$C$2:$C$9999=$C$3)*'Raw Data'!$D$2:$D$9999*'Raw Data'!$AQ$2:$AQ$9999)/SUMIFS('Raw Data'!$D:$D, 'Raw Data'!$B:$B, "Control", 'Raw Data'!$A:$A, $A20, 'Raw Data'!$C:$C, $C$3),""))</f>
        <v/>
      </c>
      <c r="DS20" s="91" t="str">
        <f>IF($A20="","",IFERROR(SUMPRODUCT(('Raw Data'!$B$2:$B$9999="Variant")*('Raw Data'!$A$2:$A$9999=$A20)*('Raw Data'!$C$2:$C$9999=$C$3)*'Raw Data'!$D$2:$D$9999*'Raw Data'!$AQ$2:$AQ$9999)/SUMIFS('Raw Data'!$D:$D, 'Raw Data'!$B:$B, "Variant", 'Raw Data'!$A:$A, $A20, 'Raw Data'!$C:$C, $C$3),""))</f>
        <v/>
      </c>
      <c r="DT20" s="110" t="str">
        <f t="shared" si="37"/>
        <v/>
      </c>
      <c r="DU20" s="91" t="str">
        <f>IF($A20="","",IFERROR(SUMPRODUCT(('Raw Data'!$B$2:$B$9999="Control")*('Raw Data'!$A$2:$A$9999=$A20)*('Raw Data'!$C$2:$C$9999=$C$3)*'Raw Data'!$D$2:$D$9999*'Raw Data'!$AR$2:$AR$9999)/SUMIFS('Raw Data'!$D:$D, 'Raw Data'!$B:$B, "Control", 'Raw Data'!$A:$A, $A20, 'Raw Data'!$C:$C, $C$3),""))</f>
        <v/>
      </c>
      <c r="DV20" s="91" t="str">
        <f>IF($A20="","",IFERROR(SUMPRODUCT(('Raw Data'!$B$2:$B$9999="Variant")*('Raw Data'!$A$2:$A$9999=$A20)*('Raw Data'!$C$2:$C$9999=$C$3)*'Raw Data'!$D$2:$D$9999*'Raw Data'!$AR$2:$AR$9999)/SUMIFS('Raw Data'!$D:$D, 'Raw Data'!$B:$B, "Variant", 'Raw Data'!$A:$A, $A20, 'Raw Data'!$C:$C, $C$3),""))</f>
        <v/>
      </c>
      <c r="DW20" s="110" t="str">
        <f t="shared" si="38"/>
        <v/>
      </c>
      <c r="DX20" s="91" t="str">
        <f>IF($A20="","",IFERROR(SUMPRODUCT(('Raw Data'!$B$2:$B$9999="Control")*('Raw Data'!$A$2:$A$9999=$A20)*('Raw Data'!$C$2:$C$9999=$C$3)*'Raw Data'!$D$2:$D$9999*'Raw Data'!$AS$2:$AS$9999)/SUMIFS('Raw Data'!$D:$D, 'Raw Data'!$B:$B, "Control", 'Raw Data'!$A:$A, $A20, 'Raw Data'!$C:$C, $C$3),""))</f>
        <v/>
      </c>
      <c r="DY20" s="91" t="str">
        <f>IF($A20="","",IFERROR(SUMPRODUCT(('Raw Data'!$B$2:$B$9999="Variant")*('Raw Data'!$A$2:$A$9999=$A20)*('Raw Data'!$C$2:$C$9999=$C$3)*'Raw Data'!$D$2:$D$9999*'Raw Data'!$AS$2:$AS$9999)/SUMIFS('Raw Data'!$D:$D, 'Raw Data'!$B:$B, "Variant", 'Raw Data'!$A:$A, $A20, 'Raw Data'!$C:$C, $C$3),""))</f>
        <v/>
      </c>
      <c r="DZ20" s="111" t="str">
        <f t="shared" si="39"/>
        <v/>
      </c>
      <c r="EA20" s="91" t="str">
        <f>IF($A20="","",IFERROR(SUMPRODUCT(('Raw Data'!$B$2:$B$9999="Control")*('Raw Data'!$A$2:$A$9999=$A20)*('Raw Data'!$C$2:$C$9999=$C$3)*'Raw Data'!$D$2:$D$9999*'Raw Data'!$AT$2:$AT$9999)/SUMIFS('Raw Data'!$D:$D, 'Raw Data'!$B:$B, "Control", 'Raw Data'!$A:$A, $A20, 'Raw Data'!$C:$C, $C$3),""))</f>
        <v/>
      </c>
      <c r="EB20" s="91" t="str">
        <f>IF($A20="","",IFERROR(SUMPRODUCT(('Raw Data'!$B$2:$B$9999="Variant")*('Raw Data'!$A$2:$A$9999=$A20)*('Raw Data'!$C$2:$C$9999=$C$3)*'Raw Data'!$D$2:$D$9999*'Raw Data'!$AT$2:$AT$9999)/SUMIFS('Raw Data'!$D:$D, 'Raw Data'!$B:$B, "Variant", 'Raw Data'!$A:$A, $A20, 'Raw Data'!$C:$C, $C$3),""))</f>
        <v/>
      </c>
      <c r="EC20" s="110" t="str">
        <f t="shared" si="40"/>
        <v/>
      </c>
      <c r="ED20" s="91" t="str">
        <f>IF($A20="","",IFERROR(SUMPRODUCT(('Raw Data'!$B$2:$B$9999="Control")*('Raw Data'!$A$2:$A$9999=$A20)*('Raw Data'!$C$2:$C$9999=$C$3)*'Raw Data'!$D$2:$D$9999*('Raw Data'!$AQ$2:$AQ$9999-'Raw Data'!$AT$2:$AT$9999))/SUMIFS('Raw Data'!$D:$D, 'Raw Data'!$B:$B, "Control", 'Raw Data'!$A:$A, $A20, 'Raw Data'!$C:$C, $C$3),""))</f>
        <v/>
      </c>
      <c r="EE20" s="91" t="str">
        <f>IF($A20="","",IFERROR(SUMPRODUCT(('Raw Data'!$B$2:$B$9999="Variant")*('Raw Data'!$A$2:$A$9999=$A20)*('Raw Data'!$C$2:$C$9999=$C$3)*'Raw Data'!$D$2:$D$9999*('Raw Data'!$AQ$2:$AQ$9999-'Raw Data'!$AT$2:$AT$9999))/SUMIFS('Raw Data'!$D:$D, 'Raw Data'!$B:$B, "Variant", 'Raw Data'!$A:$A, $A20, 'Raw Data'!$C:$C, $C$3),""))</f>
        <v/>
      </c>
      <c r="EF20" s="111" t="str">
        <f t="shared" si="41"/>
        <v/>
      </c>
      <c r="EG20" s="91" t="str">
        <f>IF($A20="","",IFERROR(SUMPRODUCT(('Raw Data'!$B$2:$B$9999="Control")*('Raw Data'!$A$2:$A$9999=$A20)*('Raw Data'!$C$2:$C$9999=$C$3)*'Raw Data'!$D$2:$D$9999*'Raw Data'!$AU$2:$AU$9999)/SUMIFS('Raw Data'!$D:$D, 'Raw Data'!$B:$B, "Control", 'Raw Data'!$A:$A, $A20, 'Raw Data'!$C:$C, $C$3),""))</f>
        <v/>
      </c>
      <c r="EH20" s="91" t="str">
        <f>IF($A20="","",IFERROR(SUMPRODUCT(('Raw Data'!$B$2:$B$9999="Variant")*('Raw Data'!$A$2:$A$9999=$A20)*('Raw Data'!$C$2:$C$9999=$C$3)*'Raw Data'!$D$2:$D$9999*'Raw Data'!$AU$2:$AU$9999)/SUMIFS('Raw Data'!$D:$D, 'Raw Data'!$B:$B, "Variant", 'Raw Data'!$A:$A, $A20, 'Raw Data'!$C:$C, $C$3),""))</f>
        <v/>
      </c>
      <c r="EI20" s="110" t="str">
        <f t="shared" si="42"/>
        <v/>
      </c>
    </row>
    <row r="21" ht="15.75" customHeight="1">
      <c r="A21" s="74">
        <v>46244.0</v>
      </c>
      <c r="B21" s="76">
        <f>IF($A21="","",SUMIFS('Raw Data'!$D:$D, 'Raw Data'!$B:$B, "Control", 'Raw Data'!$A:$A, $A21, 'Raw Data'!$C:$C, $C$3))</f>
        <v>0</v>
      </c>
      <c r="C21" s="76">
        <f>IF($A21="","",SUMIFS('Raw Data'!$D:$D, 'Raw Data'!$B:$B, "Variant", 'Raw Data'!$A:$A, $A21, 'Raw Data'!$C:$C, $C$3))</f>
        <v>0</v>
      </c>
      <c r="D21" s="77" t="str">
        <f t="shared" si="1"/>
        <v/>
      </c>
      <c r="E21" s="79" t="str">
        <f>IF($A21="","",IFERROR(SUMPRODUCT(('Raw Data'!$B$2:$B$9999="Control")*('Raw Data'!$A$2:$A$9999=$A21)*('Raw Data'!$C$2:$C$9999=$C$3)*'Raw Data'!$D$2:$D$9999*'Raw Data'!$E$2:$E$9999)/SUMIFS('Raw Data'!$D:$D, 'Raw Data'!$B:$B, "Control", 'Raw Data'!$A:$A, $A21, 'Raw Data'!$C:$C, $C$3),""))</f>
        <v/>
      </c>
      <c r="F21" s="79" t="str">
        <f>IF($A21="","",IFERROR(SUMPRODUCT(('Raw Data'!$B$2:$B$9999="Variant")*('Raw Data'!$A$2:$A$9999=$A21)*('Raw Data'!$C$2:$C$9999=$C$3)*'Raw Data'!$D$2:$D$9999*'Raw Data'!$E$2:$E$9999)/SUMIFS('Raw Data'!$D:$D, 'Raw Data'!$B:$B, "Variant", 'Raw Data'!$A:$A, $A21, 'Raw Data'!$C:$C, $C$3),""))</f>
        <v/>
      </c>
      <c r="G21" s="77" t="str">
        <f t="shared" si="2"/>
        <v/>
      </c>
      <c r="H21" s="85">
        <f>IF($A21="","",SUMIFS('Raw Data'!$F:$F, 'Raw Data'!$B:$B, "Control", 'Raw Data'!$A:$A, $A21, 'Raw Data'!$C:$C, $C$3))</f>
        <v>0</v>
      </c>
      <c r="I21" s="85">
        <f>IF($A21="","",SUMIFS('Raw Data'!$F:$F, 'Raw Data'!$B:$B, "Variant", 'Raw Data'!$A:$A, $A21, 'Raw Data'!$C:$C, $C$3))</f>
        <v>0</v>
      </c>
      <c r="J21" s="86" t="str">
        <f t="shared" si="3"/>
        <v/>
      </c>
      <c r="K21" s="88" t="str">
        <f>IF($A21="","",IFERROR(SUMIFS('Raw Data'!$F:$F, 'Raw Data'!$B:$B, "Control", 'Raw Data'!$A:$A, $A21, 'Raw Data'!$C:$C, $C$3)/SUMIFS('Raw Data'!$D:$D, 'Raw Data'!$B:$B, "Control", 'Raw Data'!$A:$A, $A21, 'Raw Data'!$C:$C, $C$3),""))</f>
        <v/>
      </c>
      <c r="L21" s="88" t="str">
        <f>IF($A21="","",IFERROR(SUMIFS('Raw Data'!$F:$F, 'Raw Data'!$B:$B, "Variant", 'Raw Data'!$A:$A, $A21, 'Raw Data'!$C:$C, $C$3)/SUMIFS('Raw Data'!$D:$D, 'Raw Data'!$B:$B, "Variant", 'Raw Data'!$A:$A, $A21, 'Raw Data'!$C:$C, $C$3),""))</f>
        <v/>
      </c>
      <c r="M21" s="86" t="str">
        <f t="shared" si="4"/>
        <v/>
      </c>
      <c r="N21" s="79" t="str">
        <f>IF($A21="","",IFERROR(SUMPRODUCT(('Raw Data'!$B$2:$B$9999="Control")*('Raw Data'!$A$2:$A$9999=$A21)*('Raw Data'!$C$2:$C$9999=$C$3)*'Raw Data'!$D$2:$D$9999*'Raw Data'!$H$2:$H$9999/100)/SUMIFS('Raw Data'!$D:$D, 'Raw Data'!$B:$B, "Control", 'Raw Data'!$A:$A, $A21, 'Raw Data'!$C:$C, $C$3)*100,""))</f>
        <v/>
      </c>
      <c r="O21" s="79" t="str">
        <f>IF($A21="","",IFERROR(SUMPRODUCT(('Raw Data'!$B$2:$B$9999="Variant")*('Raw Data'!$A$2:$A$9999=$A21)*('Raw Data'!$C$2:$C$9999=$C$3)*'Raw Data'!$D$2:$D$9999*'Raw Data'!$H$2:$H$9999/100)/SUMIFS('Raw Data'!$D:$D, 'Raw Data'!$B:$B, "Variant", 'Raw Data'!$A:$A, $A21, 'Raw Data'!$C:$C, $C$3)*100,""))</f>
        <v/>
      </c>
      <c r="P21" s="86" t="str">
        <f t="shared" si="5"/>
        <v/>
      </c>
      <c r="Q21" s="88" t="str">
        <f>IF($A21="","",IFERROR(SUMIFS('Raw Data'!$F:$F, 'Raw Data'!$B:$B, "Control", 'Raw Data'!$A:$A, $A21, 'Raw Data'!$C:$C, $C$3)/SUMPRODUCT(('Raw Data'!$B$2:$B$9999="Control")*('Raw Data'!$A$2:$A$9999=$A21)*('Raw Data'!$C$2:$C$9999=$C$3)*'Raw Data'!$D$2:$D$9999*'Raw Data'!$H$2:$H$9999/100),""))</f>
        <v/>
      </c>
      <c r="R21" s="88" t="str">
        <f>IF($A21="","",IFERROR(SUMIFS('Raw Data'!$F:$F, 'Raw Data'!$B:$B, "Variant", 'Raw Data'!$A:$A, $A21, 'Raw Data'!$C:$C, $C$3)/SUMPRODUCT(('Raw Data'!$B$2:$B$9999="Variant")*('Raw Data'!$A$2:$A$9999=$A21)*('Raw Data'!$C$2:$C$9999=$C$3)*'Raw Data'!$D$2:$D$9999*'Raw Data'!$H$2:$H$9999/100),""))</f>
        <v/>
      </c>
      <c r="S21" s="86" t="str">
        <f t="shared" si="6"/>
        <v/>
      </c>
      <c r="T21" s="90" t="str">
        <f>IF($A21="","",IFERROR(SUMPRODUCT(('Raw Data'!$B$2:$B$9999="Control")*('Raw Data'!$A$2:$A$9999=$A21)*('Raw Data'!$C$2:$C$9999=$C$3)*'Raw Data'!$D$2:$D$9999*'Raw Data'!$J$2:$J$9999)/SUMIFS('Raw Data'!$D:$D, 'Raw Data'!$B:$B, "Control", 'Raw Data'!$A:$A, $A21, 'Raw Data'!$C:$C, $C$3),""))</f>
        <v/>
      </c>
      <c r="U21" s="90" t="str">
        <f>IF($A21="","",IFERROR(SUMPRODUCT(('Raw Data'!$B$2:$B$9999="Variant")*('Raw Data'!$A$2:$A$9999=$A21)*('Raw Data'!$C$2:$C$9999=$C$3)*'Raw Data'!$D$2:$D$9999*'Raw Data'!$J$2:$J$9999)/SUMIFS('Raw Data'!$D:$D, 'Raw Data'!$B:$B, "Variant", 'Raw Data'!$A:$A, $A21, 'Raw Data'!$C:$C, $C$3),""))</f>
        <v/>
      </c>
      <c r="V21" s="86" t="str">
        <f t="shared" si="7"/>
        <v/>
      </c>
      <c r="W21" s="90" t="str">
        <f>IF($A21="","",IFERROR(SUMPRODUCT(('Raw Data'!$B$2:$B$9999="Control")*('Raw Data'!$A$2:$A$9999=$A21)*('Raw Data'!$C$2:$C$9999=$C$3)*'Raw Data'!$D$2:$D$9999*'Raw Data'!$K$2:$K$9999)/SUMIFS('Raw Data'!$D:$D, 'Raw Data'!$B:$B, "Control", 'Raw Data'!$A:$A, $A21, 'Raw Data'!$C:$C, $C$3),""))</f>
        <v/>
      </c>
      <c r="X21" s="90" t="str">
        <f>IF($A21="","",IFERROR(SUMPRODUCT(('Raw Data'!$B$2:$B$9999="Variant")*('Raw Data'!$A$2:$A$9999=$A21)*('Raw Data'!$C$2:$C$9999=$C$3)*'Raw Data'!$D$2:$D$9999*'Raw Data'!$K$2:$K$9999)/SUMIFS('Raw Data'!$D:$D, 'Raw Data'!$B:$B, "Variant", 'Raw Data'!$A:$A, $A21, 'Raw Data'!$C:$C, $C$3),""))</f>
        <v/>
      </c>
      <c r="Y21" s="86" t="str">
        <f t="shared" si="8"/>
        <v/>
      </c>
      <c r="Z21" s="90" t="str">
        <f>IF($A21="","",IFERROR(SUMPRODUCT(('Raw Data'!$B$2:$B$9999="Control")*('Raw Data'!$A$2:$A$9999=$A21)*('Raw Data'!$C$2:$C$9999=$C$3)*'Raw Data'!$D$2:$D$9999*'Raw Data'!$L$2:$L$9999)/SUMIFS('Raw Data'!$D:$D, 'Raw Data'!$B:$B, "Control", 'Raw Data'!$A:$A, $A21, 'Raw Data'!$C:$C, $C$3),""))</f>
        <v/>
      </c>
      <c r="AA21" s="90" t="str">
        <f>IF($A21="","",IFERROR(SUMPRODUCT(('Raw Data'!$B$2:$B$9999="Variant")*('Raw Data'!$A$2:$A$9999=$A21)*('Raw Data'!$C$2:$C$9999=$C$3)*'Raw Data'!$D$2:$D$9999*'Raw Data'!$L$2:$L$9999)/SUMIFS('Raw Data'!$D:$D, 'Raw Data'!$B:$B, "Variant", 'Raw Data'!$A:$A, $A21, 'Raw Data'!$C:$C, $C$3),""))</f>
        <v/>
      </c>
      <c r="AB21" s="86" t="str">
        <f t="shared" si="9"/>
        <v/>
      </c>
      <c r="AC21" s="91" t="str">
        <f>IF($A21="","",IFERROR(SUMPRODUCT(('Raw Data'!$B$2:$B$9999="Control")*('Raw Data'!$A$2:$A$9999=$A21)*('Raw Data'!$C$2:$C$9999=$C$3)*'Raw Data'!$D$2:$D$9999*'Raw Data'!$M$2:$M$9999)/SUMIFS('Raw Data'!$D:$D, 'Raw Data'!$B:$B, "Control", 'Raw Data'!$A:$A, $A21, 'Raw Data'!$C:$C, $C$3),""))</f>
        <v/>
      </c>
      <c r="AD21" s="91" t="str">
        <f>IF($A21="","",IFERROR(SUMPRODUCT(('Raw Data'!$B$2:$B$9999="Variant")*('Raw Data'!$A$2:$A$9999=$A21)*('Raw Data'!$C$2:$C$9999=$C$3)*'Raw Data'!$D$2:$D$9999*'Raw Data'!$M$2:$M$9999)/SUMIFS('Raw Data'!$D:$D, 'Raw Data'!$B:$B, "Variant", 'Raw Data'!$A:$A, $A21, 'Raw Data'!$C:$C, $C$3),""))</f>
        <v/>
      </c>
      <c r="AE21" s="93" t="str">
        <f t="shared" si="10"/>
        <v/>
      </c>
      <c r="AF21" s="91" t="str">
        <f>IF($A21="","",IFERROR(SUMPRODUCT(('Raw Data'!$B$2:$B$9999="Control")*('Raw Data'!$A$2:$A$9999=$A21)*('Raw Data'!$C$2:$C$9999=$C$3)*'Raw Data'!$D$2:$D$9999*'Raw Data'!$N$2:$N$9999)/SUMIFS('Raw Data'!$D:$D, 'Raw Data'!$B:$B, "Control", 'Raw Data'!$A:$A, $A21, 'Raw Data'!$C:$C, $C$3),""))</f>
        <v/>
      </c>
      <c r="AG21" s="91" t="str">
        <f>IF($A21="","",IFERROR(SUMPRODUCT(('Raw Data'!$B$2:$B$9999="Variant")*('Raw Data'!$A$2:$A$9999=$A21)*('Raw Data'!$C$2:$C$9999=$C$3)*'Raw Data'!$D$2:$D$9999*'Raw Data'!$N$2:$N$9999)/SUMIFS('Raw Data'!$D:$D, 'Raw Data'!$B:$B, "Variant", 'Raw Data'!$A:$A, $A21, 'Raw Data'!$C:$C, $C$3),""))</f>
        <v/>
      </c>
      <c r="AH21" s="93" t="str">
        <f t="shared" si="11"/>
        <v/>
      </c>
      <c r="AI21" s="91" t="str">
        <f>IF($A21="","",IFERROR(SUMPRODUCT(('Raw Data'!$B$2:$B$9999="Control")*('Raw Data'!$A$2:$A$9999=$A21)*('Raw Data'!$C$2:$C$9999=$C$3)*'Raw Data'!$D$2:$D$9999*'Raw Data'!$O$2:$O$9999)/SUMIFS('Raw Data'!$D:$D, 'Raw Data'!$B:$B, "Control", 'Raw Data'!$A:$A, $A21, 'Raw Data'!$C:$C, $C$3),""))</f>
        <v/>
      </c>
      <c r="AJ21" s="91" t="str">
        <f>IF($A21="","",IFERROR(SUMPRODUCT(('Raw Data'!$B$2:$B$9999="Variant")*('Raw Data'!$A$2:$A$9999=$A21)*('Raw Data'!$C$2:$C$9999=$C$3)*'Raw Data'!$D$2:$D$9999*'Raw Data'!$O$2:$O$9999)/SUMIFS('Raw Data'!$D:$D, 'Raw Data'!$B:$B, "Variant", 'Raw Data'!$A:$A, $A21, 'Raw Data'!$C:$C, $C$3),""))</f>
        <v/>
      </c>
      <c r="AK21" s="86" t="str">
        <f t="shared" si="12"/>
        <v/>
      </c>
      <c r="AL21" s="90" t="str">
        <f>IF($A21="","",IFERROR(SUMPRODUCT(('Raw Data'!$B$2:$B$9999="Control")*('Raw Data'!$A$2:$A$9999=$A21)*('Raw Data'!$C$2:$C$9999=$C$3)*'Raw Data'!$D$2:$D$9999*'Raw Data'!$P$2:$P$9999)/SUMIFS('Raw Data'!$D:$D, 'Raw Data'!$B:$B, "Control", 'Raw Data'!$A:$A, $A21, 'Raw Data'!$C:$C, $C$3),""))</f>
        <v/>
      </c>
      <c r="AM21" s="90" t="str">
        <f>IF($A21="","",IFERROR(SUMPRODUCT(('Raw Data'!$B$2:$B$9999="Variant")*('Raw Data'!$A$2:$A$9999=$A21)*('Raw Data'!$C$2:$C$9999=$C$3)*'Raw Data'!$D$2:$D$9999*'Raw Data'!$P$2:$P$9999)/SUMIFS('Raw Data'!$D:$D, 'Raw Data'!$B:$B, "Variant", 'Raw Data'!$A:$A, $A21, 'Raw Data'!$C:$C, $C$3),""))</f>
        <v/>
      </c>
      <c r="AN21" s="86" t="str">
        <f t="shared" si="13"/>
        <v/>
      </c>
      <c r="AO21" s="90" t="str">
        <f>IF($A21="","",IFERROR(SUMPRODUCT(('Raw Data'!$B$2:$B$9999="Control")*('Raw Data'!$A$2:$A$9999=$A21)*('Raw Data'!$C$2:$C$9999=$C$3)*'Raw Data'!$D$2:$D$9999*'Raw Data'!$Q$2:$Q$9999)/SUMIFS('Raw Data'!$D:$D, 'Raw Data'!$B:$B, "Control", 'Raw Data'!$A:$A, $A21, 'Raw Data'!$C:$C, $C$3),""))</f>
        <v/>
      </c>
      <c r="AP21" s="90" t="str">
        <f>IF($A21="","",IFERROR(SUMPRODUCT(('Raw Data'!$B$2:$B$9999="Variant")*('Raw Data'!$A$2:$A$9999=$A21)*('Raw Data'!$C$2:$C$9999=$C$3)*'Raw Data'!$D$2:$D$9999*'Raw Data'!$Q$2:$Q$9999)/SUMIFS('Raw Data'!$D:$D, 'Raw Data'!$B:$B, "Variant", 'Raw Data'!$A:$A, $A21, 'Raw Data'!$C:$C, $C$3),""))</f>
        <v/>
      </c>
      <c r="AQ21" s="77" t="str">
        <f t="shared" si="14"/>
        <v/>
      </c>
      <c r="AR21" s="90" t="str">
        <f>IF($A21="","",IFERROR(SUMPRODUCT(('Raw Data'!$B$2:$B$9999="Control")*('Raw Data'!$A$2:$A$9999=$A21)*('Raw Data'!$C$2:$C$9999=$C$3)*'Raw Data'!$D$2:$D$9999*'Raw Data'!$R$2:$R$9999)/SUMIFS('Raw Data'!$D:$D, 'Raw Data'!$B:$B, "Control", 'Raw Data'!$A:$A, $A21, 'Raw Data'!$C:$C, $C$3),""))</f>
        <v/>
      </c>
      <c r="AS21" s="90" t="str">
        <f>IF($A21="","",IFERROR(SUMPRODUCT(('Raw Data'!$B$2:$B$9999="Variant")*('Raw Data'!$A$2:$A$9999=$A21)*('Raw Data'!$C$2:$C$9999=$C$3)*'Raw Data'!$D$2:$D$9999*'Raw Data'!$R$2:$R$9999)/SUMIFS('Raw Data'!$D:$D, 'Raw Data'!$B:$B, "Variant", 'Raw Data'!$A:$A, $A21, 'Raw Data'!$C:$C, $C$3),""))</f>
        <v/>
      </c>
      <c r="AT21" s="77" t="str">
        <f t="shared" si="15"/>
        <v/>
      </c>
      <c r="AU21" s="90" t="str">
        <f>IF($A21="","",IFERROR(SUMPRODUCT(('Raw Data'!$B$2:$B$9999="Control")*('Raw Data'!$A$2:$A$9999=$A21)*('Raw Data'!$C$2:$C$9999=$C$3)*'Raw Data'!$D$2:$D$9999*'Raw Data'!$S$2:$S$9999)/SUMIFS('Raw Data'!$D:$D, 'Raw Data'!$B:$B, "Control", 'Raw Data'!$A:$A, $A21, 'Raw Data'!$C:$C, $C$3),""))</f>
        <v/>
      </c>
      <c r="AV21" s="90" t="str">
        <f>IF($A21="","",IFERROR(SUMPRODUCT(('Raw Data'!$B$2:$B$9999="Variant")*('Raw Data'!$A$2:$A$9999=$A21)*('Raw Data'!$C$2:$C$9999=$C$3)*'Raw Data'!$D$2:$D$9999*'Raw Data'!$S$2:$S$9999)/SUMIFS('Raw Data'!$D:$D, 'Raw Data'!$B:$B, "Variant", 'Raw Data'!$A:$A, $A21, 'Raw Data'!$C:$C, $C$3),""))</f>
        <v/>
      </c>
      <c r="AW21" s="77" t="str">
        <f t="shared" si="16"/>
        <v/>
      </c>
      <c r="AX21" s="90" t="str">
        <f>IF($A21="","",IFERROR(SUMPRODUCT(('Raw Data'!$B$2:$B$9999="Control")*('Raw Data'!$A$2:$A$9999=$A21)*('Raw Data'!$C$2:$C$9999=$C$3)*'Raw Data'!$D$2:$D$9999*'Raw Data'!$T$2:$T$9999)/SUMIFS('Raw Data'!$D:$D, 'Raw Data'!$B:$B, "Control", 'Raw Data'!$A:$A, $A21, 'Raw Data'!$C:$C, $C$3),""))</f>
        <v/>
      </c>
      <c r="AY21" s="90" t="str">
        <f>IF($A21="","",IFERROR(SUMPRODUCT(('Raw Data'!$B$2:$B$9999="Variant")*('Raw Data'!$A$2:$A$9999=$A21)*('Raw Data'!$C$2:$C$9999=$C$3)*'Raw Data'!$D$2:$D$9999*'Raw Data'!$T$2:$T$9999)/SUMIFS('Raw Data'!$D:$D, 'Raw Data'!$B:$B, "Variant", 'Raw Data'!$A:$A, $A21, 'Raw Data'!$C:$C, $C$3),""))</f>
        <v/>
      </c>
      <c r="AZ21" s="86" t="str">
        <f t="shared" si="17"/>
        <v/>
      </c>
      <c r="BA21" s="90" t="str">
        <f>IF($A21="","",IFERROR(SUMPRODUCT(('Raw Data'!$B$2:$B$9999="Control")*('Raw Data'!$A$2:$A$9999=$A21)*('Raw Data'!$C$2:$C$9999=$C$3)*'Raw Data'!$D$2:$D$9999*'Raw Data'!$U$2:$U$9999)/SUMIFS('Raw Data'!$D:$D, 'Raw Data'!$B:$B, "Control", 'Raw Data'!$A:$A, $A21, 'Raw Data'!$C:$C, $C$3),""))</f>
        <v/>
      </c>
      <c r="BB21" s="90" t="str">
        <f>IF($A21="","",IFERROR(SUMPRODUCT(('Raw Data'!$B$2:$B$9999="Variant")*('Raw Data'!$A$2:$A$9999=$A21)*('Raw Data'!$C$2:$C$9999=$C$3)*'Raw Data'!$D$2:$D$9999*'Raw Data'!$U$2:$U$9999)/SUMIFS('Raw Data'!$D:$D, 'Raw Data'!$B:$B, "Variant", 'Raw Data'!$A:$A, $A21, 'Raw Data'!$C:$C, $C$3),""))</f>
        <v/>
      </c>
      <c r="BC21" s="77" t="str">
        <f t="shared" si="18"/>
        <v/>
      </c>
      <c r="BD21" s="90" t="str">
        <f>IF($A21="","",IFERROR(SUMPRODUCT(('Raw Data'!$B$2:$B$9999="Control")*('Raw Data'!$A$2:$A$9999=$A21)*('Raw Data'!$C$2:$C$9999=$C$3)*'Raw Data'!$D$2:$D$9999*'Raw Data'!$V$2:$V$9999)/SUMIFS('Raw Data'!$D:$D, 'Raw Data'!$B:$B, "Control", 'Raw Data'!$A:$A, $A21, 'Raw Data'!$C:$C, $C$3),""))</f>
        <v/>
      </c>
      <c r="BE21" s="90" t="str">
        <f>IF($A21="","",IFERROR(SUMPRODUCT(('Raw Data'!$B$2:$B$9999="Variant")*('Raw Data'!$A$2:$A$9999=$A21)*('Raw Data'!$C$2:$C$9999=$C$3)*'Raw Data'!$D$2:$D$9999*'Raw Data'!$V$2:$V$9999)/SUMIFS('Raw Data'!$D:$D, 'Raw Data'!$B:$B, "Variant", 'Raw Data'!$A:$A, $A21, 'Raw Data'!$C:$C, $C$3),""))</f>
        <v/>
      </c>
      <c r="BF21" s="77" t="str">
        <f t="shared" si="19"/>
        <v/>
      </c>
      <c r="BG21" s="90" t="str">
        <f>IF($A21="","",IFERROR(SUMPRODUCT(('Raw Data'!$B$2:$B$9999="Control")*('Raw Data'!$A$2:$A$9999=$A21)*('Raw Data'!$C$2:$C$9999=$C$3)*'Raw Data'!$D$2:$D$9999*('Raw Data'!$Q$2:$Q$9999-'Raw Data'!$V$2:$V$9999))/SUMIFS('Raw Data'!$D:$D, 'Raw Data'!$B:$B, "Control", 'Raw Data'!$A:$A, $A21, 'Raw Data'!$C:$C, $C$3),""))</f>
        <v/>
      </c>
      <c r="BH21" s="90" t="str">
        <f>IF($A21="","",IFERROR(SUMPRODUCT(('Raw Data'!$B$2:$B$9999="Variant")*('Raw Data'!$A$2:$A$9999=$A21)*('Raw Data'!$C$2:$C$9999=$C$3)*'Raw Data'!$D$2:$D$9999*('Raw Data'!$Q$2:$Q$9999-'Raw Data'!$V$2:$V$9999))/SUMIFS('Raw Data'!$D:$D, 'Raw Data'!$B:$B, "Variant", 'Raw Data'!$A:$A, $A21, 'Raw Data'!$C:$C, $C$3),""))</f>
        <v/>
      </c>
      <c r="BI21" s="77" t="str">
        <f t="shared" si="20"/>
        <v/>
      </c>
      <c r="BJ21" s="90" t="str">
        <f>IF($A21="","",IFERROR(SUMPRODUCT(('Raw Data'!$B$2:$B$9999="Control")*('Raw Data'!$A$2:$A$9999=$A21)*('Raw Data'!$C$2:$C$9999=$C$3)*'Raw Data'!$D$2:$D$9999*'Raw Data'!$W$2:$W$9999)/SUMIFS('Raw Data'!$D:$D, 'Raw Data'!$B:$B, "Control", 'Raw Data'!$A:$A, $A21, 'Raw Data'!$C:$C, $C$3),""))</f>
        <v/>
      </c>
      <c r="BK21" s="90" t="str">
        <f>IF($A21="","",IFERROR(SUMPRODUCT(('Raw Data'!$B$2:$B$9999="Variant")*('Raw Data'!$A$2:$A$9999=$A21)*('Raw Data'!$C$2:$C$9999=$C$3)*'Raw Data'!$D$2:$D$9999*'Raw Data'!$W$2:$W$9999)/SUMIFS('Raw Data'!$D:$D, 'Raw Data'!$B:$B, "Variant", 'Raw Data'!$A:$A, $A21, 'Raw Data'!$C:$C, $C$3),""))</f>
        <v/>
      </c>
      <c r="BL21" s="77" t="str">
        <f t="shared" si="21"/>
        <v/>
      </c>
      <c r="BM21" s="91" t="str">
        <f>IF($A21="","",IFERROR(SUMPRODUCT(('Raw Data'!$B$2:$B$9999="Control")*('Raw Data'!$A$2:$A$9999=$A21)*('Raw Data'!$C$2:$C$9999=$C$3)*'Raw Data'!$D$2:$D$9999*'Raw Data'!$X$2:$X$9999)/SUMIFS('Raw Data'!$D:$D, 'Raw Data'!$B:$B, "Control", 'Raw Data'!$A:$A, $A21, 'Raw Data'!$C:$C, $C$3),""))</f>
        <v/>
      </c>
      <c r="BN21" s="91" t="str">
        <f>IF($A21="","",IFERROR(SUMPRODUCT(('Raw Data'!$B$2:$B$9999="Variant")*('Raw Data'!$A$2:$A$9999=$A21)*('Raw Data'!$C$2:$C$9999=$C$3)*'Raw Data'!$D$2:$D$9999*'Raw Data'!$X$2:$X$9999)/SUMIFS('Raw Data'!$D:$D, 'Raw Data'!$B:$B, "Variant", 'Raw Data'!$A:$A, $A21, 'Raw Data'!$C:$C, $C$3),""))</f>
        <v/>
      </c>
      <c r="BO21" s="86" t="str">
        <f t="shared" si="22"/>
        <v/>
      </c>
      <c r="BP21" s="76" t="str">
        <f>IF($A21="","",IFERROR(SUMPRODUCT(('Raw Data'!$B$2:$B$9999="Control")*('Raw Data'!$A$2:$A$9999=$A21)*('Raw Data'!$C$2:$C$9999=$C$3)*'Raw Data'!$D$2:$D$9999*'Raw Data'!$Y$2:$Y$9999)/SUMIFS('Raw Data'!$D:$D, 'Raw Data'!$B:$B, "Control", 'Raw Data'!$A:$A, $A21, 'Raw Data'!$C:$C, $C$3),""))</f>
        <v/>
      </c>
      <c r="BQ21" s="76" t="str">
        <f>IF($A21="","",IFERROR(SUMPRODUCT(('Raw Data'!$B$2:$B$9999="Variant")*('Raw Data'!$A$2:$A$9999=$A21)*('Raw Data'!$C$2:$C$9999=$C$3)*'Raw Data'!$D$2:$D$9999*'Raw Data'!$Y$2:$Y$9999)/SUMIFS('Raw Data'!$D:$D, 'Raw Data'!$B:$B, "Variant", 'Raw Data'!$A:$A, $A21, 'Raw Data'!$C:$C, $C$3),""))</f>
        <v/>
      </c>
      <c r="BR21" s="77" t="str">
        <f t="shared" si="23"/>
        <v/>
      </c>
      <c r="BS21" s="76" t="str">
        <f>IF($A21="","",IFERROR(SUMPRODUCT(('Raw Data'!$B$2:$B$9999="Control")*('Raw Data'!$A$2:$A$9999=$A21)*('Raw Data'!$C$2:$C$9999=$C$3)*'Raw Data'!$D$2:$D$9999*'Raw Data'!$Z$2:$Z$9999)/SUMIFS('Raw Data'!$D:$D, 'Raw Data'!$B:$B, "Control", 'Raw Data'!$A:$A, $A21, 'Raw Data'!$C:$C, $C$3),""))</f>
        <v/>
      </c>
      <c r="BT21" s="76" t="str">
        <f>IF($A21="","",IFERROR(SUMPRODUCT(('Raw Data'!$B$2:$B$9999="Variant")*('Raw Data'!$A$2:$A$9999=$A21)*('Raw Data'!$C$2:$C$9999=$C$3)*'Raw Data'!$D$2:$D$9999*'Raw Data'!$Z$2:$Z$9999)/SUMIFS('Raw Data'!$D:$D, 'Raw Data'!$B:$B, "Variant", 'Raw Data'!$A:$A, $A21, 'Raw Data'!$C:$C, $C$3),""))</f>
        <v/>
      </c>
      <c r="BU21" s="77" t="str">
        <f t="shared" si="24"/>
        <v/>
      </c>
      <c r="BV21" s="76" t="str">
        <f>IF($A21="","",IFERROR(SUMPRODUCT(('Raw Data'!$B$2:$B$9999="Control")*('Raw Data'!$A$2:$A$9999=$A21)*('Raw Data'!$C$2:$C$9999=$C$3)*'Raw Data'!$D$2:$D$9999*'Raw Data'!$AA$2:$AA$9999)/SUMIFS('Raw Data'!$D:$D, 'Raw Data'!$B:$B, "Control", 'Raw Data'!$A:$A, $A21, 'Raw Data'!$C:$C, $C$3),""))</f>
        <v/>
      </c>
      <c r="BW21" s="76" t="str">
        <f>IF($A21="","",IFERROR(SUMPRODUCT(('Raw Data'!$B$2:$B$9999="Variant")*('Raw Data'!$A$2:$A$9999=$A21)*('Raw Data'!$C$2:$C$9999=$C$3)*'Raw Data'!$D$2:$D$9999*'Raw Data'!$AA$2:$AA$9999)/SUMIFS('Raw Data'!$D:$D, 'Raw Data'!$B:$B, "Variant", 'Raw Data'!$A:$A, $A21, 'Raw Data'!$C:$C, $C$3),""))</f>
        <v/>
      </c>
      <c r="BX21" s="77" t="str">
        <f t="shared" si="25"/>
        <v/>
      </c>
      <c r="BY21" s="90" t="str">
        <f>IF($A21="","",IFERROR(SUMPRODUCT(('Raw Data'!$B$2:$B$9999="Control")*('Raw Data'!$A$2:$A$9999=$A21)*('Raw Data'!$C$2:$C$9999=$C$3)*'Raw Data'!$D$2:$D$9999*'Raw Data'!$AB$2:$AB$9999)/SUMIFS('Raw Data'!$D:$D, 'Raw Data'!$B:$B, "Control", 'Raw Data'!$A:$A, $A21, 'Raw Data'!$C:$C, $C$3),""))</f>
        <v/>
      </c>
      <c r="BZ21" s="90" t="str">
        <f>IF($A21="","",IFERROR(SUMPRODUCT(('Raw Data'!$B$2:$B$9999="Variant")*('Raw Data'!$A$2:$A$9999=$A21)*('Raw Data'!$C$2:$C$9999=$C$3)*'Raw Data'!$D$2:$D$9999*'Raw Data'!$AB$2:$AB$9999)/SUMIFS('Raw Data'!$D:$D, 'Raw Data'!$B:$B, "Variant", 'Raw Data'!$A:$A, $A21, 'Raw Data'!$C:$C, $C$3),""))</f>
        <v/>
      </c>
      <c r="CA21" s="86" t="str">
        <f t="shared" si="26"/>
        <v/>
      </c>
      <c r="CB21" s="90" t="str">
        <f>IF($A21="","",IFERROR(SUMPRODUCT(('Raw Data'!$B$2:$B$9999="Control")*('Raw Data'!$A$2:$A$9999=$A21)*('Raw Data'!$C$2:$C$9999=$C$3)*'Raw Data'!$D$2:$D$9999*'Raw Data'!$AC$2:$AC$9999)/SUMIFS('Raw Data'!$D:$D, 'Raw Data'!$B:$B, "Control", 'Raw Data'!$A:$A, $A21, 'Raw Data'!$C:$C, $C$3),""))</f>
        <v/>
      </c>
      <c r="CC21" s="90" t="str">
        <f>IF($A21="","",IFERROR(SUMPRODUCT(('Raw Data'!$B$2:$B$9999="Variant")*('Raw Data'!$A$2:$A$9999=$A21)*('Raw Data'!$C$2:$C$9999=$C$3)*'Raw Data'!$D$2:$D$9999*'Raw Data'!$AC$2:$AC$9999)/SUMIFS('Raw Data'!$D:$D, 'Raw Data'!$B:$B, "Variant", 'Raw Data'!$A:$A, $A21, 'Raw Data'!$C:$C, $C$3),""))</f>
        <v/>
      </c>
      <c r="CD21" s="86" t="str">
        <f t="shared" si="27"/>
        <v/>
      </c>
      <c r="CE21" s="90" t="str">
        <f>IF($A21="","",IFERROR(SUMPRODUCT(('Raw Data'!$B$2:$B$9999="Control")*('Raw Data'!$A$2:$A$9999=$A21)*('Raw Data'!$C$2:$C$9999=$C$3)*'Raw Data'!$D$2:$D$9999*'Raw Data'!$AD$2:$AD$9999)/SUMIFS('Raw Data'!$D:$D, 'Raw Data'!$B:$B, "Control", 'Raw Data'!$A:$A, $A21, 'Raw Data'!$C:$C, $C$3),""))</f>
        <v/>
      </c>
      <c r="CF21" s="90" t="str">
        <f>IF($A21="","",IFERROR(SUMPRODUCT(('Raw Data'!$B$2:$B$9999="Variant")*('Raw Data'!$A$2:$A$9999=$A21)*('Raw Data'!$C$2:$C$9999=$C$3)*'Raw Data'!$D$2:$D$9999*'Raw Data'!$AD$2:$AD$9999)/SUMIFS('Raw Data'!$D:$D, 'Raw Data'!$B:$B, "Variant", 'Raw Data'!$A:$A, $A21, 'Raw Data'!$C:$C, $C$3),""))</f>
        <v/>
      </c>
      <c r="CG21" s="86" t="str">
        <f t="shared" si="28"/>
        <v/>
      </c>
      <c r="CH21" s="90" t="str">
        <f>IF($A21="","",IFERROR(SUMPRODUCT(('Raw Data'!$B$2:$B$9999="Control")*('Raw Data'!$A$2:$A$9999=$A21)*('Raw Data'!$C$2:$C$9999=$C$3)*'Raw Data'!$D$2:$D$9999*'Raw Data'!$AE$2:$AE$9999)/SUMIFS('Raw Data'!$D:$D, 'Raw Data'!$B:$B, "Control", 'Raw Data'!$A:$A, $A21, 'Raw Data'!$C:$C, $C$3),""))</f>
        <v/>
      </c>
      <c r="CI21" s="90" t="str">
        <f>IF($A21="","",IFERROR(SUMPRODUCT(('Raw Data'!$B$2:$B$9999="Variant")*('Raw Data'!$A$2:$A$9999=$A21)*('Raw Data'!$C$2:$C$9999=$C$3)*'Raw Data'!$D$2:$D$9999*'Raw Data'!$AE$2:$AE$9999)/SUMIFS('Raw Data'!$D:$D, 'Raw Data'!$B:$B, "Variant", 'Raw Data'!$A:$A, $A21, 'Raw Data'!$C:$C, $C$3),""))</f>
        <v/>
      </c>
      <c r="CJ21" s="86" t="str">
        <f t="shared" si="29"/>
        <v/>
      </c>
      <c r="CK21" s="90" t="str">
        <f>IF($A21="","",IFERROR(SUMPRODUCT(('Raw Data'!$B$2:$B$9999="Control")*('Raw Data'!$A$2:$A$9999=$A21)*('Raw Data'!$C$2:$C$9999=$C$3)*'Raw Data'!$D$2:$D$9999*'Raw Data'!$AF$2:$AF$9999)/SUMIFS('Raw Data'!$D:$D, 'Raw Data'!$B:$B, "Control", 'Raw Data'!$A:$A, $A21, 'Raw Data'!$C:$C, $C$3),""))</f>
        <v/>
      </c>
      <c r="CL21" s="90" t="str">
        <f>IF($A21="","",IFERROR(SUMPRODUCT(('Raw Data'!$B$2:$B$9999="Variant")*('Raw Data'!$A$2:$A$9999=$A21)*('Raw Data'!$C$2:$C$9999=$C$3)*'Raw Data'!$D$2:$D$9999*'Raw Data'!$AF$2:$AF$9999)/SUMIFS('Raw Data'!$D:$D, 'Raw Data'!$B:$B, "Variant", 'Raw Data'!$A:$A, $A21, 'Raw Data'!$C:$C, $C$3),""))</f>
        <v/>
      </c>
      <c r="CM21" s="86" t="str">
        <f t="shared" si="30"/>
        <v/>
      </c>
      <c r="CN21" s="90" t="str">
        <f>IF($A21="","",IFERROR(SUMPRODUCT(('Raw Data'!$B$2:$B$9999="Control")*('Raw Data'!$A$2:$A$9999=$A21)*('Raw Data'!$C$2:$C$9999=$C$3)*'Raw Data'!$D$2:$D$9999*'Raw Data'!$AG$2:$AG$9999)/SUMIFS('Raw Data'!$D:$D, 'Raw Data'!$B:$B, "Control", 'Raw Data'!$A:$A, $A21, 'Raw Data'!$C:$C, $C$3),""))</f>
        <v/>
      </c>
      <c r="CO21" s="90" t="str">
        <f>IF($A21="","",IFERROR(SUMPRODUCT(('Raw Data'!$B$2:$B$9999="Variant")*('Raw Data'!$A$2:$A$9999=$A21)*('Raw Data'!$C$2:$C$9999=$C$3)*'Raw Data'!$D$2:$D$9999*'Raw Data'!$AG$2:$AG$9999)/SUMIFS('Raw Data'!$D:$D, 'Raw Data'!$B:$B, "Variant", 'Raw Data'!$A:$A, $A21, 'Raw Data'!$C:$C, $C$3),""))</f>
        <v/>
      </c>
      <c r="CP21" s="86" t="str">
        <f t="shared" si="31"/>
        <v/>
      </c>
      <c r="CQ21" s="90" t="str">
        <f>IF($A21="","",IFERROR(SUMPRODUCT(('Raw Data'!$B$2:$B$9999="Control")*('Raw Data'!$A$2:$A$9999=$A21)*('Raw Data'!$C$2:$C$9999=$C$3)*'Raw Data'!$D$2:$D$9999*'Raw Data'!$AH$2:$AH$9999)/SUMIFS('Raw Data'!$D:$D, 'Raw Data'!$B:$B, "Control", 'Raw Data'!$A:$A, $A21, 'Raw Data'!$C:$C, $C$3),""))</f>
        <v/>
      </c>
      <c r="CR21" s="90" t="str">
        <f>IF($A21="","",IFERROR(SUMPRODUCT(('Raw Data'!$B$2:$B$9999="Variant")*('Raw Data'!$A$2:$A$9999=$A21)*('Raw Data'!$C$2:$C$9999=$C$3)*'Raw Data'!$D$2:$D$9999*'Raw Data'!$AH$2:$AH$9999)/SUMIFS('Raw Data'!$D:$D, 'Raw Data'!$B:$B, "Variant", 'Raw Data'!$A:$A, $A21, 'Raw Data'!$C:$C, $C$3),""))</f>
        <v/>
      </c>
      <c r="CS21" s="86" t="str">
        <f t="shared" si="32"/>
        <v/>
      </c>
      <c r="CT21" s="79" t="str">
        <f>IF($A21="","",IFERROR(SUMPRODUCT(('Raw Data'!$B$2:$B$9999="Control")*('Raw Data'!$A$2:$A$9999=$A21)*('Raw Data'!$C$2:$C$9999=$C$3)*'Raw Data'!$D$2:$D$9999*'Raw Data'!$AI$2:$AI$9999)/SUMIFS('Raw Data'!$D:$D, 'Raw Data'!$B:$B, "Control", 'Raw Data'!$A:$A, $A21, 'Raw Data'!$C:$C, $C$3),""))</f>
        <v/>
      </c>
      <c r="CU21" s="79" t="str">
        <f>IF($A21="","",IFERROR(SUMPRODUCT(('Raw Data'!$B$2:$B$9999="Variant")*('Raw Data'!$A$2:$A$9999=$A21)*('Raw Data'!$C$2:$C$9999=$C$3)*'Raw Data'!$D$2:$D$9999*'Raw Data'!$AI$2:$AI$9999)/SUMIFS('Raw Data'!$D:$D, 'Raw Data'!$B:$B, "Variant", 'Raw Data'!$A:$A, $A21, 'Raw Data'!$C:$C, $C$3),""))</f>
        <v/>
      </c>
      <c r="CV21" s="93" t="str">
        <f t="shared" si="33"/>
        <v/>
      </c>
      <c r="CW21" s="79" t="str">
        <f>IF($A21="","",IFERROR(SUMPRODUCT(('Raw Data'!$B$2:$B$9999="Control")*('Raw Data'!$A$2:$A$9999=$A21)*('Raw Data'!$C$2:$C$9999=$C$3)*'Raw Data'!$D$2:$D$9999*'Raw Data'!$AJ$2:$AJ$9999)/SUMIFS('Raw Data'!$D:$D, 'Raw Data'!$B:$B, "Control", 'Raw Data'!$A:$A, $A21, 'Raw Data'!$C:$C, $C$3),""))</f>
        <v/>
      </c>
      <c r="CX21" s="79" t="str">
        <f>IF($A21="","",IFERROR(SUMPRODUCT(('Raw Data'!$B$2:$B$9999="Variant")*('Raw Data'!$A$2:$A$9999=$A21)*('Raw Data'!$C$2:$C$9999=$C$3)*'Raw Data'!$D$2:$D$9999*'Raw Data'!$AJ$2:$AJ$9999)/SUMIFS('Raw Data'!$D:$D, 'Raw Data'!$B:$B, "Variant", 'Raw Data'!$A:$A, $A21, 'Raw Data'!$C:$C, $C$3),""))</f>
        <v/>
      </c>
      <c r="CY21" s="93" t="str">
        <f t="shared" si="34"/>
        <v/>
      </c>
      <c r="CZ21" s="79" t="str">
        <f>IF($A21="","",IFERROR(SUMPRODUCT(('Raw Data'!$B$2:$B$9999="Control")*('Raw Data'!$A$2:$A$9999=$A21)*('Raw Data'!$C$2:$C$9999=$C$3)*'Raw Data'!$D$2:$D$9999*'Raw Data'!$AK$2:$AK$9999)/SUMIFS('Raw Data'!$D:$D, 'Raw Data'!$B:$B, "Control", 'Raw Data'!$A:$A, $A21, 'Raw Data'!$C:$C, $C$3),""))</f>
        <v/>
      </c>
      <c r="DA21" s="79" t="str">
        <f>IF($A21="","",IFERROR(SUMPRODUCT(('Raw Data'!$B$2:$B$9999="Variant")*('Raw Data'!$A$2:$A$9999=$A21)*('Raw Data'!$C$2:$C$9999=$C$3)*'Raw Data'!$D$2:$D$9999*'Raw Data'!$AK$2:$AK$9999)/SUMIFS('Raw Data'!$D:$D, 'Raw Data'!$B:$B, "Variant", 'Raw Data'!$A:$A, $A21, 'Raw Data'!$C:$C, $C$3),""))</f>
        <v/>
      </c>
      <c r="DB21" s="86" t="str">
        <f t="shared" si="35"/>
        <v/>
      </c>
      <c r="DC21" s="91" t="str">
        <f>IF($A21="","",IFERROR(SUMPRODUCT(('Raw Data'!$B$2:$B$9999="Control")*('Raw Data'!$A$2:$A$9999=$A21)*('Raw Data'!$C$2:$C$9999=$C$3)*'Raw Data'!$D$2:$D$9999*'Raw Data'!$AL$2:$AL$9999)/SUMIFS('Raw Data'!$D:$D, 'Raw Data'!$B:$B, "Control", 'Raw Data'!$A:$A, $A21, 'Raw Data'!$C:$C, $C$3),""))</f>
        <v/>
      </c>
      <c r="DD21" s="91" t="str">
        <f>IF($A21="","",IFERROR(SUMPRODUCT(('Raw Data'!$B$2:$B$9999="Variant")*('Raw Data'!$A$2:$A$9999=$A21)*('Raw Data'!$C$2:$C$9999=$C$3)*'Raw Data'!$D$2:$D$9999*'Raw Data'!$AL$2:$AL$9999)/SUMIFS('Raw Data'!$D:$D, 'Raw Data'!$B:$B, "Variant", 'Raw Data'!$A:$A, $A21, 'Raw Data'!$C:$C, $C$3),""))</f>
        <v/>
      </c>
      <c r="DE21" s="93" t="str">
        <f t="shared" si="36"/>
        <v/>
      </c>
      <c r="DF21" s="107"/>
      <c r="DG21" s="79" t="str">
        <f>IF($A21="","",IFERROR(SUMPRODUCT(('Raw Data'!$B$2:$B$9999="Variant")*('Raw Data'!$A$2:$A$9999=$A21)*('Raw Data'!$C$2:$C$9999=$C$3)*'Raw Data'!$D$2:$D$9999*'Raw Data'!$AM$2:$AM$9999)/SUMIFS('Raw Data'!$D:$D, 'Raw Data'!$B:$B, "Variant", 'Raw Data'!$A:$A, $A21, 'Raw Data'!$C:$C, $C$3),""))</f>
        <v/>
      </c>
      <c r="DH21" s="108"/>
      <c r="DI21" s="107"/>
      <c r="DJ21" s="79" t="str">
        <f>IF($A21="","",IFERROR(SUMPRODUCT(('Raw Data'!$B$2:$B$9999="Variant")*('Raw Data'!$A$2:$A$9999=$A21)*('Raw Data'!$C$2:$C$9999=$C$3)*'Raw Data'!$D$2:$D$9999*'Raw Data'!$AN$2:$AN$9999)/SUMIFS('Raw Data'!$D:$D, 'Raw Data'!$B:$B, "Variant", 'Raw Data'!$A:$A, $A21, 'Raw Data'!$C:$C, $C$3),""))</f>
        <v/>
      </c>
      <c r="DK21" s="108"/>
      <c r="DL21" s="107"/>
      <c r="DM21" s="79" t="str">
        <f>IF($A21="","",IFERROR(SUMPRODUCT(('Raw Data'!$B$2:$B$9999="Variant")*('Raw Data'!$A$2:$A$9999=$A21)*('Raw Data'!$C$2:$C$9999=$C$3)*'Raw Data'!$D$2:$D$9999*'Raw Data'!$AO$2:$AO$9999)/SUMIFS('Raw Data'!$D:$D, 'Raw Data'!$B:$B, "Variant", 'Raw Data'!$A:$A, $A21, 'Raw Data'!$C:$C, $C$3),""))</f>
        <v/>
      </c>
      <c r="DN21" s="108"/>
      <c r="DO21" s="107"/>
      <c r="DP21" s="79" t="str">
        <f>IF($A21="","",IFERROR(SUMPRODUCT(('Raw Data'!$B$2:$B$9999="Variant")*('Raw Data'!$A$2:$A$9999=$A21)*('Raw Data'!$C$2:$C$9999=$C$3)*'Raw Data'!$D$2:$D$9999*'Raw Data'!$AP$2:$AP$9999)/SUMIFS('Raw Data'!$D:$D, 'Raw Data'!$B:$B, "Variant", 'Raw Data'!$A:$A, $A21, 'Raw Data'!$C:$C, $C$3),""))</f>
        <v/>
      </c>
      <c r="DQ21" s="108"/>
      <c r="DR21" s="91" t="str">
        <f>IF($A21="","",IFERROR(SUMPRODUCT(('Raw Data'!$B$2:$B$9999="Control")*('Raw Data'!$A$2:$A$9999=$A21)*('Raw Data'!$C$2:$C$9999=$C$3)*'Raw Data'!$D$2:$D$9999*'Raw Data'!$AQ$2:$AQ$9999)/SUMIFS('Raw Data'!$D:$D, 'Raw Data'!$B:$B, "Control", 'Raw Data'!$A:$A, $A21, 'Raw Data'!$C:$C, $C$3),""))</f>
        <v/>
      </c>
      <c r="DS21" s="91" t="str">
        <f>IF($A21="","",IFERROR(SUMPRODUCT(('Raw Data'!$B$2:$B$9999="Variant")*('Raw Data'!$A$2:$A$9999=$A21)*('Raw Data'!$C$2:$C$9999=$C$3)*'Raw Data'!$D$2:$D$9999*'Raw Data'!$AQ$2:$AQ$9999)/SUMIFS('Raw Data'!$D:$D, 'Raw Data'!$B:$B, "Variant", 'Raw Data'!$A:$A, $A21, 'Raw Data'!$C:$C, $C$3),""))</f>
        <v/>
      </c>
      <c r="DT21" s="110" t="str">
        <f t="shared" si="37"/>
        <v/>
      </c>
      <c r="DU21" s="91" t="str">
        <f>IF($A21="","",IFERROR(SUMPRODUCT(('Raw Data'!$B$2:$B$9999="Control")*('Raw Data'!$A$2:$A$9999=$A21)*('Raw Data'!$C$2:$C$9999=$C$3)*'Raw Data'!$D$2:$D$9999*'Raw Data'!$AR$2:$AR$9999)/SUMIFS('Raw Data'!$D:$D, 'Raw Data'!$B:$B, "Control", 'Raw Data'!$A:$A, $A21, 'Raw Data'!$C:$C, $C$3),""))</f>
        <v/>
      </c>
      <c r="DV21" s="91" t="str">
        <f>IF($A21="","",IFERROR(SUMPRODUCT(('Raw Data'!$B$2:$B$9999="Variant")*('Raw Data'!$A$2:$A$9999=$A21)*('Raw Data'!$C$2:$C$9999=$C$3)*'Raw Data'!$D$2:$D$9999*'Raw Data'!$AR$2:$AR$9999)/SUMIFS('Raw Data'!$D:$D, 'Raw Data'!$B:$B, "Variant", 'Raw Data'!$A:$A, $A21, 'Raw Data'!$C:$C, $C$3),""))</f>
        <v/>
      </c>
      <c r="DW21" s="110" t="str">
        <f t="shared" si="38"/>
        <v/>
      </c>
      <c r="DX21" s="91" t="str">
        <f>IF($A21="","",IFERROR(SUMPRODUCT(('Raw Data'!$B$2:$B$9999="Control")*('Raw Data'!$A$2:$A$9999=$A21)*('Raw Data'!$C$2:$C$9999=$C$3)*'Raw Data'!$D$2:$D$9999*'Raw Data'!$AS$2:$AS$9999)/SUMIFS('Raw Data'!$D:$D, 'Raw Data'!$B:$B, "Control", 'Raw Data'!$A:$A, $A21, 'Raw Data'!$C:$C, $C$3),""))</f>
        <v/>
      </c>
      <c r="DY21" s="91" t="str">
        <f>IF($A21="","",IFERROR(SUMPRODUCT(('Raw Data'!$B$2:$B$9999="Variant")*('Raw Data'!$A$2:$A$9999=$A21)*('Raw Data'!$C$2:$C$9999=$C$3)*'Raw Data'!$D$2:$D$9999*'Raw Data'!$AS$2:$AS$9999)/SUMIFS('Raw Data'!$D:$D, 'Raw Data'!$B:$B, "Variant", 'Raw Data'!$A:$A, $A21, 'Raw Data'!$C:$C, $C$3),""))</f>
        <v/>
      </c>
      <c r="DZ21" s="111" t="str">
        <f t="shared" si="39"/>
        <v/>
      </c>
      <c r="EA21" s="91" t="str">
        <f>IF($A21="","",IFERROR(SUMPRODUCT(('Raw Data'!$B$2:$B$9999="Control")*('Raw Data'!$A$2:$A$9999=$A21)*('Raw Data'!$C$2:$C$9999=$C$3)*'Raw Data'!$D$2:$D$9999*'Raw Data'!$AT$2:$AT$9999)/SUMIFS('Raw Data'!$D:$D, 'Raw Data'!$B:$B, "Control", 'Raw Data'!$A:$A, $A21, 'Raw Data'!$C:$C, $C$3),""))</f>
        <v/>
      </c>
      <c r="EB21" s="91" t="str">
        <f>IF($A21="","",IFERROR(SUMPRODUCT(('Raw Data'!$B$2:$B$9999="Variant")*('Raw Data'!$A$2:$A$9999=$A21)*('Raw Data'!$C$2:$C$9999=$C$3)*'Raw Data'!$D$2:$D$9999*'Raw Data'!$AT$2:$AT$9999)/SUMIFS('Raw Data'!$D:$D, 'Raw Data'!$B:$B, "Variant", 'Raw Data'!$A:$A, $A21, 'Raw Data'!$C:$C, $C$3),""))</f>
        <v/>
      </c>
      <c r="EC21" s="110" t="str">
        <f t="shared" si="40"/>
        <v/>
      </c>
      <c r="ED21" s="91" t="str">
        <f>IF($A21="","",IFERROR(SUMPRODUCT(('Raw Data'!$B$2:$B$9999="Control")*('Raw Data'!$A$2:$A$9999=$A21)*('Raw Data'!$C$2:$C$9999=$C$3)*'Raw Data'!$D$2:$D$9999*('Raw Data'!$AQ$2:$AQ$9999-'Raw Data'!$AT$2:$AT$9999))/SUMIFS('Raw Data'!$D:$D, 'Raw Data'!$B:$B, "Control", 'Raw Data'!$A:$A, $A21, 'Raw Data'!$C:$C, $C$3),""))</f>
        <v/>
      </c>
      <c r="EE21" s="91" t="str">
        <f>IF($A21="","",IFERROR(SUMPRODUCT(('Raw Data'!$B$2:$B$9999="Variant")*('Raw Data'!$A$2:$A$9999=$A21)*('Raw Data'!$C$2:$C$9999=$C$3)*'Raw Data'!$D$2:$D$9999*('Raw Data'!$AQ$2:$AQ$9999-'Raw Data'!$AT$2:$AT$9999))/SUMIFS('Raw Data'!$D:$D, 'Raw Data'!$B:$B, "Variant", 'Raw Data'!$A:$A, $A21, 'Raw Data'!$C:$C, $C$3),""))</f>
        <v/>
      </c>
      <c r="EF21" s="111" t="str">
        <f t="shared" si="41"/>
        <v/>
      </c>
      <c r="EG21" s="91" t="str">
        <f>IF($A21="","",IFERROR(SUMPRODUCT(('Raw Data'!$B$2:$B$9999="Control")*('Raw Data'!$A$2:$A$9999=$A21)*('Raw Data'!$C$2:$C$9999=$C$3)*'Raw Data'!$D$2:$D$9999*'Raw Data'!$AU$2:$AU$9999)/SUMIFS('Raw Data'!$D:$D, 'Raw Data'!$B:$B, "Control", 'Raw Data'!$A:$A, $A21, 'Raw Data'!$C:$C, $C$3),""))</f>
        <v/>
      </c>
      <c r="EH21" s="91" t="str">
        <f>IF($A21="","",IFERROR(SUMPRODUCT(('Raw Data'!$B$2:$B$9999="Variant")*('Raw Data'!$A$2:$A$9999=$A21)*('Raw Data'!$C$2:$C$9999=$C$3)*'Raw Data'!$D$2:$D$9999*'Raw Data'!$AU$2:$AU$9999)/SUMIFS('Raw Data'!$D:$D, 'Raw Data'!$B:$B, "Variant", 'Raw Data'!$A:$A, $A21, 'Raw Data'!$C:$C, $C$3),""))</f>
        <v/>
      </c>
      <c r="EI21" s="110" t="str">
        <f t="shared" si="42"/>
        <v/>
      </c>
    </row>
    <row r="22" ht="15.75" customHeight="1">
      <c r="A22" s="74">
        <v>46245.0</v>
      </c>
      <c r="B22" s="76">
        <f>IF($A22="","",SUMIFS('Raw Data'!$D:$D, 'Raw Data'!$B:$B, "Control", 'Raw Data'!$A:$A, $A22, 'Raw Data'!$C:$C, $C$3))</f>
        <v>0</v>
      </c>
      <c r="C22" s="76">
        <f>IF($A22="","",SUMIFS('Raw Data'!$D:$D, 'Raw Data'!$B:$B, "Variant", 'Raw Data'!$A:$A, $A22, 'Raw Data'!$C:$C, $C$3))</f>
        <v>0</v>
      </c>
      <c r="D22" s="77" t="str">
        <f t="shared" si="1"/>
        <v/>
      </c>
      <c r="E22" s="79" t="str">
        <f>IF($A22="","",IFERROR(SUMPRODUCT(('Raw Data'!$B$2:$B$9999="Control")*('Raw Data'!$A$2:$A$9999=$A22)*('Raw Data'!$C$2:$C$9999=$C$3)*'Raw Data'!$D$2:$D$9999*'Raw Data'!$E$2:$E$9999)/SUMIFS('Raw Data'!$D:$D, 'Raw Data'!$B:$B, "Control", 'Raw Data'!$A:$A, $A22, 'Raw Data'!$C:$C, $C$3),""))</f>
        <v/>
      </c>
      <c r="F22" s="79" t="str">
        <f>IF($A22="","",IFERROR(SUMPRODUCT(('Raw Data'!$B$2:$B$9999="Variant")*('Raw Data'!$A$2:$A$9999=$A22)*('Raw Data'!$C$2:$C$9999=$C$3)*'Raw Data'!$D$2:$D$9999*'Raw Data'!$E$2:$E$9999)/SUMIFS('Raw Data'!$D:$D, 'Raw Data'!$B:$B, "Variant", 'Raw Data'!$A:$A, $A22, 'Raw Data'!$C:$C, $C$3),""))</f>
        <v/>
      </c>
      <c r="G22" s="77" t="str">
        <f t="shared" si="2"/>
        <v/>
      </c>
      <c r="H22" s="85">
        <f>IF($A22="","",SUMIFS('Raw Data'!$F:$F, 'Raw Data'!$B:$B, "Control", 'Raw Data'!$A:$A, $A22, 'Raw Data'!$C:$C, $C$3))</f>
        <v>0</v>
      </c>
      <c r="I22" s="85">
        <f>IF($A22="","",SUMIFS('Raw Data'!$F:$F, 'Raw Data'!$B:$B, "Variant", 'Raw Data'!$A:$A, $A22, 'Raw Data'!$C:$C, $C$3))</f>
        <v>0</v>
      </c>
      <c r="J22" s="86" t="str">
        <f t="shared" si="3"/>
        <v/>
      </c>
      <c r="K22" s="88" t="str">
        <f>IF($A22="","",IFERROR(SUMIFS('Raw Data'!$F:$F, 'Raw Data'!$B:$B, "Control", 'Raw Data'!$A:$A, $A22, 'Raw Data'!$C:$C, $C$3)/SUMIFS('Raw Data'!$D:$D, 'Raw Data'!$B:$B, "Control", 'Raw Data'!$A:$A, $A22, 'Raw Data'!$C:$C, $C$3),""))</f>
        <v/>
      </c>
      <c r="L22" s="88" t="str">
        <f>IF($A22="","",IFERROR(SUMIFS('Raw Data'!$F:$F, 'Raw Data'!$B:$B, "Variant", 'Raw Data'!$A:$A, $A22, 'Raw Data'!$C:$C, $C$3)/SUMIFS('Raw Data'!$D:$D, 'Raw Data'!$B:$B, "Variant", 'Raw Data'!$A:$A, $A22, 'Raw Data'!$C:$C, $C$3),""))</f>
        <v/>
      </c>
      <c r="M22" s="86" t="str">
        <f t="shared" si="4"/>
        <v/>
      </c>
      <c r="N22" s="79" t="str">
        <f>IF($A22="","",IFERROR(SUMPRODUCT(('Raw Data'!$B$2:$B$9999="Control")*('Raw Data'!$A$2:$A$9999=$A22)*('Raw Data'!$C$2:$C$9999=$C$3)*'Raw Data'!$D$2:$D$9999*'Raw Data'!$H$2:$H$9999/100)/SUMIFS('Raw Data'!$D:$D, 'Raw Data'!$B:$B, "Control", 'Raw Data'!$A:$A, $A22, 'Raw Data'!$C:$C, $C$3)*100,""))</f>
        <v/>
      </c>
      <c r="O22" s="79" t="str">
        <f>IF($A22="","",IFERROR(SUMPRODUCT(('Raw Data'!$B$2:$B$9999="Variant")*('Raw Data'!$A$2:$A$9999=$A22)*('Raw Data'!$C$2:$C$9999=$C$3)*'Raw Data'!$D$2:$D$9999*'Raw Data'!$H$2:$H$9999/100)/SUMIFS('Raw Data'!$D:$D, 'Raw Data'!$B:$B, "Variant", 'Raw Data'!$A:$A, $A22, 'Raw Data'!$C:$C, $C$3)*100,""))</f>
        <v/>
      </c>
      <c r="P22" s="86" t="str">
        <f t="shared" si="5"/>
        <v/>
      </c>
      <c r="Q22" s="88" t="str">
        <f>IF($A22="","",IFERROR(SUMIFS('Raw Data'!$F:$F, 'Raw Data'!$B:$B, "Control", 'Raw Data'!$A:$A, $A22, 'Raw Data'!$C:$C, $C$3)/SUMPRODUCT(('Raw Data'!$B$2:$B$9999="Control")*('Raw Data'!$A$2:$A$9999=$A22)*('Raw Data'!$C$2:$C$9999=$C$3)*'Raw Data'!$D$2:$D$9999*'Raw Data'!$H$2:$H$9999/100),""))</f>
        <v/>
      </c>
      <c r="R22" s="88" t="str">
        <f>IF($A22="","",IFERROR(SUMIFS('Raw Data'!$F:$F, 'Raw Data'!$B:$B, "Variant", 'Raw Data'!$A:$A, $A22, 'Raw Data'!$C:$C, $C$3)/SUMPRODUCT(('Raw Data'!$B$2:$B$9999="Variant")*('Raw Data'!$A$2:$A$9999=$A22)*('Raw Data'!$C$2:$C$9999=$C$3)*'Raw Data'!$D$2:$D$9999*'Raw Data'!$H$2:$H$9999/100),""))</f>
        <v/>
      </c>
      <c r="S22" s="86" t="str">
        <f t="shared" si="6"/>
        <v/>
      </c>
      <c r="T22" s="90" t="str">
        <f>IF($A22="","",IFERROR(SUMPRODUCT(('Raw Data'!$B$2:$B$9999="Control")*('Raw Data'!$A$2:$A$9999=$A22)*('Raw Data'!$C$2:$C$9999=$C$3)*'Raw Data'!$D$2:$D$9999*'Raw Data'!$J$2:$J$9999)/SUMIFS('Raw Data'!$D:$D, 'Raw Data'!$B:$B, "Control", 'Raw Data'!$A:$A, $A22, 'Raw Data'!$C:$C, $C$3),""))</f>
        <v/>
      </c>
      <c r="U22" s="90" t="str">
        <f>IF($A22="","",IFERROR(SUMPRODUCT(('Raw Data'!$B$2:$B$9999="Variant")*('Raw Data'!$A$2:$A$9999=$A22)*('Raw Data'!$C$2:$C$9999=$C$3)*'Raw Data'!$D$2:$D$9999*'Raw Data'!$J$2:$J$9999)/SUMIFS('Raw Data'!$D:$D, 'Raw Data'!$B:$B, "Variant", 'Raw Data'!$A:$A, $A22, 'Raw Data'!$C:$C, $C$3),""))</f>
        <v/>
      </c>
      <c r="V22" s="86" t="str">
        <f t="shared" si="7"/>
        <v/>
      </c>
      <c r="W22" s="90" t="str">
        <f>IF($A22="","",IFERROR(SUMPRODUCT(('Raw Data'!$B$2:$B$9999="Control")*('Raw Data'!$A$2:$A$9999=$A22)*('Raw Data'!$C$2:$C$9999=$C$3)*'Raw Data'!$D$2:$D$9999*'Raw Data'!$K$2:$K$9999)/SUMIFS('Raw Data'!$D:$D, 'Raw Data'!$B:$B, "Control", 'Raw Data'!$A:$A, $A22, 'Raw Data'!$C:$C, $C$3),""))</f>
        <v/>
      </c>
      <c r="X22" s="90" t="str">
        <f>IF($A22="","",IFERROR(SUMPRODUCT(('Raw Data'!$B$2:$B$9999="Variant")*('Raw Data'!$A$2:$A$9999=$A22)*('Raw Data'!$C$2:$C$9999=$C$3)*'Raw Data'!$D$2:$D$9999*'Raw Data'!$K$2:$K$9999)/SUMIFS('Raw Data'!$D:$D, 'Raw Data'!$B:$B, "Variant", 'Raw Data'!$A:$A, $A22, 'Raw Data'!$C:$C, $C$3),""))</f>
        <v/>
      </c>
      <c r="Y22" s="86" t="str">
        <f t="shared" si="8"/>
        <v/>
      </c>
      <c r="Z22" s="90" t="str">
        <f>IF($A22="","",IFERROR(SUMPRODUCT(('Raw Data'!$B$2:$B$9999="Control")*('Raw Data'!$A$2:$A$9999=$A22)*('Raw Data'!$C$2:$C$9999=$C$3)*'Raw Data'!$D$2:$D$9999*'Raw Data'!$L$2:$L$9999)/SUMIFS('Raw Data'!$D:$D, 'Raw Data'!$B:$B, "Control", 'Raw Data'!$A:$A, $A22, 'Raw Data'!$C:$C, $C$3),""))</f>
        <v/>
      </c>
      <c r="AA22" s="90" t="str">
        <f>IF($A22="","",IFERROR(SUMPRODUCT(('Raw Data'!$B$2:$B$9999="Variant")*('Raw Data'!$A$2:$A$9999=$A22)*('Raw Data'!$C$2:$C$9999=$C$3)*'Raw Data'!$D$2:$D$9999*'Raw Data'!$L$2:$L$9999)/SUMIFS('Raw Data'!$D:$D, 'Raw Data'!$B:$B, "Variant", 'Raw Data'!$A:$A, $A22, 'Raw Data'!$C:$C, $C$3),""))</f>
        <v/>
      </c>
      <c r="AB22" s="86" t="str">
        <f t="shared" si="9"/>
        <v/>
      </c>
      <c r="AC22" s="91" t="str">
        <f>IF($A22="","",IFERROR(SUMPRODUCT(('Raw Data'!$B$2:$B$9999="Control")*('Raw Data'!$A$2:$A$9999=$A22)*('Raw Data'!$C$2:$C$9999=$C$3)*'Raw Data'!$D$2:$D$9999*'Raw Data'!$M$2:$M$9999)/SUMIFS('Raw Data'!$D:$D, 'Raw Data'!$B:$B, "Control", 'Raw Data'!$A:$A, $A22, 'Raw Data'!$C:$C, $C$3),""))</f>
        <v/>
      </c>
      <c r="AD22" s="91" t="str">
        <f>IF($A22="","",IFERROR(SUMPRODUCT(('Raw Data'!$B$2:$B$9999="Variant")*('Raw Data'!$A$2:$A$9999=$A22)*('Raw Data'!$C$2:$C$9999=$C$3)*'Raw Data'!$D$2:$D$9999*'Raw Data'!$M$2:$M$9999)/SUMIFS('Raw Data'!$D:$D, 'Raw Data'!$B:$B, "Variant", 'Raw Data'!$A:$A, $A22, 'Raw Data'!$C:$C, $C$3),""))</f>
        <v/>
      </c>
      <c r="AE22" s="93" t="str">
        <f t="shared" si="10"/>
        <v/>
      </c>
      <c r="AF22" s="91" t="str">
        <f>IF($A22="","",IFERROR(SUMPRODUCT(('Raw Data'!$B$2:$B$9999="Control")*('Raw Data'!$A$2:$A$9999=$A22)*('Raw Data'!$C$2:$C$9999=$C$3)*'Raw Data'!$D$2:$D$9999*'Raw Data'!$N$2:$N$9999)/SUMIFS('Raw Data'!$D:$D, 'Raw Data'!$B:$B, "Control", 'Raw Data'!$A:$A, $A22, 'Raw Data'!$C:$C, $C$3),""))</f>
        <v/>
      </c>
      <c r="AG22" s="91" t="str">
        <f>IF($A22="","",IFERROR(SUMPRODUCT(('Raw Data'!$B$2:$B$9999="Variant")*('Raw Data'!$A$2:$A$9999=$A22)*('Raw Data'!$C$2:$C$9999=$C$3)*'Raw Data'!$D$2:$D$9999*'Raw Data'!$N$2:$N$9999)/SUMIFS('Raw Data'!$D:$D, 'Raw Data'!$B:$B, "Variant", 'Raw Data'!$A:$A, $A22, 'Raw Data'!$C:$C, $C$3),""))</f>
        <v/>
      </c>
      <c r="AH22" s="93" t="str">
        <f t="shared" si="11"/>
        <v/>
      </c>
      <c r="AI22" s="91" t="str">
        <f>IF($A22="","",IFERROR(SUMPRODUCT(('Raw Data'!$B$2:$B$9999="Control")*('Raw Data'!$A$2:$A$9999=$A22)*('Raw Data'!$C$2:$C$9999=$C$3)*'Raw Data'!$D$2:$D$9999*'Raw Data'!$O$2:$O$9999)/SUMIFS('Raw Data'!$D:$D, 'Raw Data'!$B:$B, "Control", 'Raw Data'!$A:$A, $A22, 'Raw Data'!$C:$C, $C$3),""))</f>
        <v/>
      </c>
      <c r="AJ22" s="91" t="str">
        <f>IF($A22="","",IFERROR(SUMPRODUCT(('Raw Data'!$B$2:$B$9999="Variant")*('Raw Data'!$A$2:$A$9999=$A22)*('Raw Data'!$C$2:$C$9999=$C$3)*'Raw Data'!$D$2:$D$9999*'Raw Data'!$O$2:$O$9999)/SUMIFS('Raw Data'!$D:$D, 'Raw Data'!$B:$B, "Variant", 'Raw Data'!$A:$A, $A22, 'Raw Data'!$C:$C, $C$3),""))</f>
        <v/>
      </c>
      <c r="AK22" s="86" t="str">
        <f t="shared" si="12"/>
        <v/>
      </c>
      <c r="AL22" s="90" t="str">
        <f>IF($A22="","",IFERROR(SUMPRODUCT(('Raw Data'!$B$2:$B$9999="Control")*('Raw Data'!$A$2:$A$9999=$A22)*('Raw Data'!$C$2:$C$9999=$C$3)*'Raw Data'!$D$2:$D$9999*'Raw Data'!$P$2:$P$9999)/SUMIFS('Raw Data'!$D:$D, 'Raw Data'!$B:$B, "Control", 'Raw Data'!$A:$A, $A22, 'Raw Data'!$C:$C, $C$3),""))</f>
        <v/>
      </c>
      <c r="AM22" s="90" t="str">
        <f>IF($A22="","",IFERROR(SUMPRODUCT(('Raw Data'!$B$2:$B$9999="Variant")*('Raw Data'!$A$2:$A$9999=$A22)*('Raw Data'!$C$2:$C$9999=$C$3)*'Raw Data'!$D$2:$D$9999*'Raw Data'!$P$2:$P$9999)/SUMIFS('Raw Data'!$D:$D, 'Raw Data'!$B:$B, "Variant", 'Raw Data'!$A:$A, $A22, 'Raw Data'!$C:$C, $C$3),""))</f>
        <v/>
      </c>
      <c r="AN22" s="86" t="str">
        <f t="shared" si="13"/>
        <v/>
      </c>
      <c r="AO22" s="90" t="str">
        <f>IF($A22="","",IFERROR(SUMPRODUCT(('Raw Data'!$B$2:$B$9999="Control")*('Raw Data'!$A$2:$A$9999=$A22)*('Raw Data'!$C$2:$C$9999=$C$3)*'Raw Data'!$D$2:$D$9999*'Raw Data'!$Q$2:$Q$9999)/SUMIFS('Raw Data'!$D:$D, 'Raw Data'!$B:$B, "Control", 'Raw Data'!$A:$A, $A22, 'Raw Data'!$C:$C, $C$3),""))</f>
        <v/>
      </c>
      <c r="AP22" s="90" t="str">
        <f>IF($A22="","",IFERROR(SUMPRODUCT(('Raw Data'!$B$2:$B$9999="Variant")*('Raw Data'!$A$2:$A$9999=$A22)*('Raw Data'!$C$2:$C$9999=$C$3)*'Raw Data'!$D$2:$D$9999*'Raw Data'!$Q$2:$Q$9999)/SUMIFS('Raw Data'!$D:$D, 'Raw Data'!$B:$B, "Variant", 'Raw Data'!$A:$A, $A22, 'Raw Data'!$C:$C, $C$3),""))</f>
        <v/>
      </c>
      <c r="AQ22" s="77" t="str">
        <f t="shared" si="14"/>
        <v/>
      </c>
      <c r="AR22" s="90" t="str">
        <f>IF($A22="","",IFERROR(SUMPRODUCT(('Raw Data'!$B$2:$B$9999="Control")*('Raw Data'!$A$2:$A$9999=$A22)*('Raw Data'!$C$2:$C$9999=$C$3)*'Raw Data'!$D$2:$D$9999*'Raw Data'!$R$2:$R$9999)/SUMIFS('Raw Data'!$D:$D, 'Raw Data'!$B:$B, "Control", 'Raw Data'!$A:$A, $A22, 'Raw Data'!$C:$C, $C$3),""))</f>
        <v/>
      </c>
      <c r="AS22" s="90" t="str">
        <f>IF($A22="","",IFERROR(SUMPRODUCT(('Raw Data'!$B$2:$B$9999="Variant")*('Raw Data'!$A$2:$A$9999=$A22)*('Raw Data'!$C$2:$C$9999=$C$3)*'Raw Data'!$D$2:$D$9999*'Raw Data'!$R$2:$R$9999)/SUMIFS('Raw Data'!$D:$D, 'Raw Data'!$B:$B, "Variant", 'Raw Data'!$A:$A, $A22, 'Raw Data'!$C:$C, $C$3),""))</f>
        <v/>
      </c>
      <c r="AT22" s="77" t="str">
        <f t="shared" si="15"/>
        <v/>
      </c>
      <c r="AU22" s="90" t="str">
        <f>IF($A22="","",IFERROR(SUMPRODUCT(('Raw Data'!$B$2:$B$9999="Control")*('Raw Data'!$A$2:$A$9999=$A22)*('Raw Data'!$C$2:$C$9999=$C$3)*'Raw Data'!$D$2:$D$9999*'Raw Data'!$S$2:$S$9999)/SUMIFS('Raw Data'!$D:$D, 'Raw Data'!$B:$B, "Control", 'Raw Data'!$A:$A, $A22, 'Raw Data'!$C:$C, $C$3),""))</f>
        <v/>
      </c>
      <c r="AV22" s="90" t="str">
        <f>IF($A22="","",IFERROR(SUMPRODUCT(('Raw Data'!$B$2:$B$9999="Variant")*('Raw Data'!$A$2:$A$9999=$A22)*('Raw Data'!$C$2:$C$9999=$C$3)*'Raw Data'!$D$2:$D$9999*'Raw Data'!$S$2:$S$9999)/SUMIFS('Raw Data'!$D:$D, 'Raw Data'!$B:$B, "Variant", 'Raw Data'!$A:$A, $A22, 'Raw Data'!$C:$C, $C$3),""))</f>
        <v/>
      </c>
      <c r="AW22" s="77" t="str">
        <f t="shared" si="16"/>
        <v/>
      </c>
      <c r="AX22" s="90" t="str">
        <f>IF($A22="","",IFERROR(SUMPRODUCT(('Raw Data'!$B$2:$B$9999="Control")*('Raw Data'!$A$2:$A$9999=$A22)*('Raw Data'!$C$2:$C$9999=$C$3)*'Raw Data'!$D$2:$D$9999*'Raw Data'!$T$2:$T$9999)/SUMIFS('Raw Data'!$D:$D, 'Raw Data'!$B:$B, "Control", 'Raw Data'!$A:$A, $A22, 'Raw Data'!$C:$C, $C$3),""))</f>
        <v/>
      </c>
      <c r="AY22" s="90" t="str">
        <f>IF($A22="","",IFERROR(SUMPRODUCT(('Raw Data'!$B$2:$B$9999="Variant")*('Raw Data'!$A$2:$A$9999=$A22)*('Raw Data'!$C$2:$C$9999=$C$3)*'Raw Data'!$D$2:$D$9999*'Raw Data'!$T$2:$T$9999)/SUMIFS('Raw Data'!$D:$D, 'Raw Data'!$B:$B, "Variant", 'Raw Data'!$A:$A, $A22, 'Raw Data'!$C:$C, $C$3),""))</f>
        <v/>
      </c>
      <c r="AZ22" s="86" t="str">
        <f t="shared" si="17"/>
        <v/>
      </c>
      <c r="BA22" s="90" t="str">
        <f>IF($A22="","",IFERROR(SUMPRODUCT(('Raw Data'!$B$2:$B$9999="Control")*('Raw Data'!$A$2:$A$9999=$A22)*('Raw Data'!$C$2:$C$9999=$C$3)*'Raw Data'!$D$2:$D$9999*'Raw Data'!$U$2:$U$9999)/SUMIFS('Raw Data'!$D:$D, 'Raw Data'!$B:$B, "Control", 'Raw Data'!$A:$A, $A22, 'Raw Data'!$C:$C, $C$3),""))</f>
        <v/>
      </c>
      <c r="BB22" s="90" t="str">
        <f>IF($A22="","",IFERROR(SUMPRODUCT(('Raw Data'!$B$2:$B$9999="Variant")*('Raw Data'!$A$2:$A$9999=$A22)*('Raw Data'!$C$2:$C$9999=$C$3)*'Raw Data'!$D$2:$D$9999*'Raw Data'!$U$2:$U$9999)/SUMIFS('Raw Data'!$D:$D, 'Raw Data'!$B:$B, "Variant", 'Raw Data'!$A:$A, $A22, 'Raw Data'!$C:$C, $C$3),""))</f>
        <v/>
      </c>
      <c r="BC22" s="77" t="str">
        <f t="shared" si="18"/>
        <v/>
      </c>
      <c r="BD22" s="90" t="str">
        <f>IF($A22="","",IFERROR(SUMPRODUCT(('Raw Data'!$B$2:$B$9999="Control")*('Raw Data'!$A$2:$A$9999=$A22)*('Raw Data'!$C$2:$C$9999=$C$3)*'Raw Data'!$D$2:$D$9999*'Raw Data'!$V$2:$V$9999)/SUMIFS('Raw Data'!$D:$D, 'Raw Data'!$B:$B, "Control", 'Raw Data'!$A:$A, $A22, 'Raw Data'!$C:$C, $C$3),""))</f>
        <v/>
      </c>
      <c r="BE22" s="90" t="str">
        <f>IF($A22="","",IFERROR(SUMPRODUCT(('Raw Data'!$B$2:$B$9999="Variant")*('Raw Data'!$A$2:$A$9999=$A22)*('Raw Data'!$C$2:$C$9999=$C$3)*'Raw Data'!$D$2:$D$9999*'Raw Data'!$V$2:$V$9999)/SUMIFS('Raw Data'!$D:$D, 'Raw Data'!$B:$B, "Variant", 'Raw Data'!$A:$A, $A22, 'Raw Data'!$C:$C, $C$3),""))</f>
        <v/>
      </c>
      <c r="BF22" s="77" t="str">
        <f t="shared" si="19"/>
        <v/>
      </c>
      <c r="BG22" s="90" t="str">
        <f>IF($A22="","",IFERROR(SUMPRODUCT(('Raw Data'!$B$2:$B$9999="Control")*('Raw Data'!$A$2:$A$9999=$A22)*('Raw Data'!$C$2:$C$9999=$C$3)*'Raw Data'!$D$2:$D$9999*('Raw Data'!$Q$2:$Q$9999-'Raw Data'!$V$2:$V$9999))/SUMIFS('Raw Data'!$D:$D, 'Raw Data'!$B:$B, "Control", 'Raw Data'!$A:$A, $A22, 'Raw Data'!$C:$C, $C$3),""))</f>
        <v/>
      </c>
      <c r="BH22" s="90" t="str">
        <f>IF($A22="","",IFERROR(SUMPRODUCT(('Raw Data'!$B$2:$B$9999="Variant")*('Raw Data'!$A$2:$A$9999=$A22)*('Raw Data'!$C$2:$C$9999=$C$3)*'Raw Data'!$D$2:$D$9999*('Raw Data'!$Q$2:$Q$9999-'Raw Data'!$V$2:$V$9999))/SUMIFS('Raw Data'!$D:$D, 'Raw Data'!$B:$B, "Variant", 'Raw Data'!$A:$A, $A22, 'Raw Data'!$C:$C, $C$3),""))</f>
        <v/>
      </c>
      <c r="BI22" s="77" t="str">
        <f t="shared" si="20"/>
        <v/>
      </c>
      <c r="BJ22" s="90" t="str">
        <f>IF($A22="","",IFERROR(SUMPRODUCT(('Raw Data'!$B$2:$B$9999="Control")*('Raw Data'!$A$2:$A$9999=$A22)*('Raw Data'!$C$2:$C$9999=$C$3)*'Raw Data'!$D$2:$D$9999*'Raw Data'!$W$2:$W$9999)/SUMIFS('Raw Data'!$D:$D, 'Raw Data'!$B:$B, "Control", 'Raw Data'!$A:$A, $A22, 'Raw Data'!$C:$C, $C$3),""))</f>
        <v/>
      </c>
      <c r="BK22" s="90" t="str">
        <f>IF($A22="","",IFERROR(SUMPRODUCT(('Raw Data'!$B$2:$B$9999="Variant")*('Raw Data'!$A$2:$A$9999=$A22)*('Raw Data'!$C$2:$C$9999=$C$3)*'Raw Data'!$D$2:$D$9999*'Raw Data'!$W$2:$W$9999)/SUMIFS('Raw Data'!$D:$D, 'Raw Data'!$B:$B, "Variant", 'Raw Data'!$A:$A, $A22, 'Raw Data'!$C:$C, $C$3),""))</f>
        <v/>
      </c>
      <c r="BL22" s="77" t="str">
        <f t="shared" si="21"/>
        <v/>
      </c>
      <c r="BM22" s="91" t="str">
        <f>IF($A22="","",IFERROR(SUMPRODUCT(('Raw Data'!$B$2:$B$9999="Control")*('Raw Data'!$A$2:$A$9999=$A22)*('Raw Data'!$C$2:$C$9999=$C$3)*'Raw Data'!$D$2:$D$9999*'Raw Data'!$X$2:$X$9999)/SUMIFS('Raw Data'!$D:$D, 'Raw Data'!$B:$B, "Control", 'Raw Data'!$A:$A, $A22, 'Raw Data'!$C:$C, $C$3),""))</f>
        <v/>
      </c>
      <c r="BN22" s="91" t="str">
        <f>IF($A22="","",IFERROR(SUMPRODUCT(('Raw Data'!$B$2:$B$9999="Variant")*('Raw Data'!$A$2:$A$9999=$A22)*('Raw Data'!$C$2:$C$9999=$C$3)*'Raw Data'!$D$2:$D$9999*'Raw Data'!$X$2:$X$9999)/SUMIFS('Raw Data'!$D:$D, 'Raw Data'!$B:$B, "Variant", 'Raw Data'!$A:$A, $A22, 'Raw Data'!$C:$C, $C$3),""))</f>
        <v/>
      </c>
      <c r="BO22" s="86" t="str">
        <f t="shared" si="22"/>
        <v/>
      </c>
      <c r="BP22" s="76" t="str">
        <f>IF($A22="","",IFERROR(SUMPRODUCT(('Raw Data'!$B$2:$B$9999="Control")*('Raw Data'!$A$2:$A$9999=$A22)*('Raw Data'!$C$2:$C$9999=$C$3)*'Raw Data'!$D$2:$D$9999*'Raw Data'!$Y$2:$Y$9999)/SUMIFS('Raw Data'!$D:$D, 'Raw Data'!$B:$B, "Control", 'Raw Data'!$A:$A, $A22, 'Raw Data'!$C:$C, $C$3),""))</f>
        <v/>
      </c>
      <c r="BQ22" s="76" t="str">
        <f>IF($A22="","",IFERROR(SUMPRODUCT(('Raw Data'!$B$2:$B$9999="Variant")*('Raw Data'!$A$2:$A$9999=$A22)*('Raw Data'!$C$2:$C$9999=$C$3)*'Raw Data'!$D$2:$D$9999*'Raw Data'!$Y$2:$Y$9999)/SUMIFS('Raw Data'!$D:$D, 'Raw Data'!$B:$B, "Variant", 'Raw Data'!$A:$A, $A22, 'Raw Data'!$C:$C, $C$3),""))</f>
        <v/>
      </c>
      <c r="BR22" s="77" t="str">
        <f t="shared" si="23"/>
        <v/>
      </c>
      <c r="BS22" s="76" t="str">
        <f>IF($A22="","",IFERROR(SUMPRODUCT(('Raw Data'!$B$2:$B$9999="Control")*('Raw Data'!$A$2:$A$9999=$A22)*('Raw Data'!$C$2:$C$9999=$C$3)*'Raw Data'!$D$2:$D$9999*'Raw Data'!$Z$2:$Z$9999)/SUMIFS('Raw Data'!$D:$D, 'Raw Data'!$B:$B, "Control", 'Raw Data'!$A:$A, $A22, 'Raw Data'!$C:$C, $C$3),""))</f>
        <v/>
      </c>
      <c r="BT22" s="76" t="str">
        <f>IF($A22="","",IFERROR(SUMPRODUCT(('Raw Data'!$B$2:$B$9999="Variant")*('Raw Data'!$A$2:$A$9999=$A22)*('Raw Data'!$C$2:$C$9999=$C$3)*'Raw Data'!$D$2:$D$9999*'Raw Data'!$Z$2:$Z$9999)/SUMIFS('Raw Data'!$D:$D, 'Raw Data'!$B:$B, "Variant", 'Raw Data'!$A:$A, $A22, 'Raw Data'!$C:$C, $C$3),""))</f>
        <v/>
      </c>
      <c r="BU22" s="77" t="str">
        <f t="shared" si="24"/>
        <v/>
      </c>
      <c r="BV22" s="76" t="str">
        <f>IF($A22="","",IFERROR(SUMPRODUCT(('Raw Data'!$B$2:$B$9999="Control")*('Raw Data'!$A$2:$A$9999=$A22)*('Raw Data'!$C$2:$C$9999=$C$3)*'Raw Data'!$D$2:$D$9999*'Raw Data'!$AA$2:$AA$9999)/SUMIFS('Raw Data'!$D:$D, 'Raw Data'!$B:$B, "Control", 'Raw Data'!$A:$A, $A22, 'Raw Data'!$C:$C, $C$3),""))</f>
        <v/>
      </c>
      <c r="BW22" s="76" t="str">
        <f>IF($A22="","",IFERROR(SUMPRODUCT(('Raw Data'!$B$2:$B$9999="Variant")*('Raw Data'!$A$2:$A$9999=$A22)*('Raw Data'!$C$2:$C$9999=$C$3)*'Raw Data'!$D$2:$D$9999*'Raw Data'!$AA$2:$AA$9999)/SUMIFS('Raw Data'!$D:$D, 'Raw Data'!$B:$B, "Variant", 'Raw Data'!$A:$A, $A22, 'Raw Data'!$C:$C, $C$3),""))</f>
        <v/>
      </c>
      <c r="BX22" s="77" t="str">
        <f t="shared" si="25"/>
        <v/>
      </c>
      <c r="BY22" s="90" t="str">
        <f>IF($A22="","",IFERROR(SUMPRODUCT(('Raw Data'!$B$2:$B$9999="Control")*('Raw Data'!$A$2:$A$9999=$A22)*('Raw Data'!$C$2:$C$9999=$C$3)*'Raw Data'!$D$2:$D$9999*'Raw Data'!$AB$2:$AB$9999)/SUMIFS('Raw Data'!$D:$D, 'Raw Data'!$B:$B, "Control", 'Raw Data'!$A:$A, $A22, 'Raw Data'!$C:$C, $C$3),""))</f>
        <v/>
      </c>
      <c r="BZ22" s="90" t="str">
        <f>IF($A22="","",IFERROR(SUMPRODUCT(('Raw Data'!$B$2:$B$9999="Variant")*('Raw Data'!$A$2:$A$9999=$A22)*('Raw Data'!$C$2:$C$9999=$C$3)*'Raw Data'!$D$2:$D$9999*'Raw Data'!$AB$2:$AB$9999)/SUMIFS('Raw Data'!$D:$D, 'Raw Data'!$B:$B, "Variant", 'Raw Data'!$A:$A, $A22, 'Raw Data'!$C:$C, $C$3),""))</f>
        <v/>
      </c>
      <c r="CA22" s="86" t="str">
        <f t="shared" si="26"/>
        <v/>
      </c>
      <c r="CB22" s="90" t="str">
        <f>IF($A22="","",IFERROR(SUMPRODUCT(('Raw Data'!$B$2:$B$9999="Control")*('Raw Data'!$A$2:$A$9999=$A22)*('Raw Data'!$C$2:$C$9999=$C$3)*'Raw Data'!$D$2:$D$9999*'Raw Data'!$AC$2:$AC$9999)/SUMIFS('Raw Data'!$D:$D, 'Raw Data'!$B:$B, "Control", 'Raw Data'!$A:$A, $A22, 'Raw Data'!$C:$C, $C$3),""))</f>
        <v/>
      </c>
      <c r="CC22" s="90" t="str">
        <f>IF($A22="","",IFERROR(SUMPRODUCT(('Raw Data'!$B$2:$B$9999="Variant")*('Raw Data'!$A$2:$A$9999=$A22)*('Raw Data'!$C$2:$C$9999=$C$3)*'Raw Data'!$D$2:$D$9999*'Raw Data'!$AC$2:$AC$9999)/SUMIFS('Raw Data'!$D:$D, 'Raw Data'!$B:$B, "Variant", 'Raw Data'!$A:$A, $A22, 'Raw Data'!$C:$C, $C$3),""))</f>
        <v/>
      </c>
      <c r="CD22" s="86" t="str">
        <f t="shared" si="27"/>
        <v/>
      </c>
      <c r="CE22" s="90" t="str">
        <f>IF($A22="","",IFERROR(SUMPRODUCT(('Raw Data'!$B$2:$B$9999="Control")*('Raw Data'!$A$2:$A$9999=$A22)*('Raw Data'!$C$2:$C$9999=$C$3)*'Raw Data'!$D$2:$D$9999*'Raw Data'!$AD$2:$AD$9999)/SUMIFS('Raw Data'!$D:$D, 'Raw Data'!$B:$B, "Control", 'Raw Data'!$A:$A, $A22, 'Raw Data'!$C:$C, $C$3),""))</f>
        <v/>
      </c>
      <c r="CF22" s="90" t="str">
        <f>IF($A22="","",IFERROR(SUMPRODUCT(('Raw Data'!$B$2:$B$9999="Variant")*('Raw Data'!$A$2:$A$9999=$A22)*('Raw Data'!$C$2:$C$9999=$C$3)*'Raw Data'!$D$2:$D$9999*'Raw Data'!$AD$2:$AD$9999)/SUMIFS('Raw Data'!$D:$D, 'Raw Data'!$B:$B, "Variant", 'Raw Data'!$A:$A, $A22, 'Raw Data'!$C:$C, $C$3),""))</f>
        <v/>
      </c>
      <c r="CG22" s="86" t="str">
        <f t="shared" si="28"/>
        <v/>
      </c>
      <c r="CH22" s="90" t="str">
        <f>IF($A22="","",IFERROR(SUMPRODUCT(('Raw Data'!$B$2:$B$9999="Control")*('Raw Data'!$A$2:$A$9999=$A22)*('Raw Data'!$C$2:$C$9999=$C$3)*'Raw Data'!$D$2:$D$9999*'Raw Data'!$AE$2:$AE$9999)/SUMIFS('Raw Data'!$D:$D, 'Raw Data'!$B:$B, "Control", 'Raw Data'!$A:$A, $A22, 'Raw Data'!$C:$C, $C$3),""))</f>
        <v/>
      </c>
      <c r="CI22" s="90" t="str">
        <f>IF($A22="","",IFERROR(SUMPRODUCT(('Raw Data'!$B$2:$B$9999="Variant")*('Raw Data'!$A$2:$A$9999=$A22)*('Raw Data'!$C$2:$C$9999=$C$3)*'Raw Data'!$D$2:$D$9999*'Raw Data'!$AE$2:$AE$9999)/SUMIFS('Raw Data'!$D:$D, 'Raw Data'!$B:$B, "Variant", 'Raw Data'!$A:$A, $A22, 'Raw Data'!$C:$C, $C$3),""))</f>
        <v/>
      </c>
      <c r="CJ22" s="86" t="str">
        <f t="shared" si="29"/>
        <v/>
      </c>
      <c r="CK22" s="90" t="str">
        <f>IF($A22="","",IFERROR(SUMPRODUCT(('Raw Data'!$B$2:$B$9999="Control")*('Raw Data'!$A$2:$A$9999=$A22)*('Raw Data'!$C$2:$C$9999=$C$3)*'Raw Data'!$D$2:$D$9999*'Raw Data'!$AF$2:$AF$9999)/SUMIFS('Raw Data'!$D:$D, 'Raw Data'!$B:$B, "Control", 'Raw Data'!$A:$A, $A22, 'Raw Data'!$C:$C, $C$3),""))</f>
        <v/>
      </c>
      <c r="CL22" s="90" t="str">
        <f>IF($A22="","",IFERROR(SUMPRODUCT(('Raw Data'!$B$2:$B$9999="Variant")*('Raw Data'!$A$2:$A$9999=$A22)*('Raw Data'!$C$2:$C$9999=$C$3)*'Raw Data'!$D$2:$D$9999*'Raw Data'!$AF$2:$AF$9999)/SUMIFS('Raw Data'!$D:$D, 'Raw Data'!$B:$B, "Variant", 'Raw Data'!$A:$A, $A22, 'Raw Data'!$C:$C, $C$3),""))</f>
        <v/>
      </c>
      <c r="CM22" s="86" t="str">
        <f t="shared" si="30"/>
        <v/>
      </c>
      <c r="CN22" s="90" t="str">
        <f>IF($A22="","",IFERROR(SUMPRODUCT(('Raw Data'!$B$2:$B$9999="Control")*('Raw Data'!$A$2:$A$9999=$A22)*('Raw Data'!$C$2:$C$9999=$C$3)*'Raw Data'!$D$2:$D$9999*'Raw Data'!$AG$2:$AG$9999)/SUMIFS('Raw Data'!$D:$D, 'Raw Data'!$B:$B, "Control", 'Raw Data'!$A:$A, $A22, 'Raw Data'!$C:$C, $C$3),""))</f>
        <v/>
      </c>
      <c r="CO22" s="90" t="str">
        <f>IF($A22="","",IFERROR(SUMPRODUCT(('Raw Data'!$B$2:$B$9999="Variant")*('Raw Data'!$A$2:$A$9999=$A22)*('Raw Data'!$C$2:$C$9999=$C$3)*'Raw Data'!$D$2:$D$9999*'Raw Data'!$AG$2:$AG$9999)/SUMIFS('Raw Data'!$D:$D, 'Raw Data'!$B:$B, "Variant", 'Raw Data'!$A:$A, $A22, 'Raw Data'!$C:$C, $C$3),""))</f>
        <v/>
      </c>
      <c r="CP22" s="86" t="str">
        <f t="shared" si="31"/>
        <v/>
      </c>
      <c r="CQ22" s="90" t="str">
        <f>IF($A22="","",IFERROR(SUMPRODUCT(('Raw Data'!$B$2:$B$9999="Control")*('Raw Data'!$A$2:$A$9999=$A22)*('Raw Data'!$C$2:$C$9999=$C$3)*'Raw Data'!$D$2:$D$9999*'Raw Data'!$AH$2:$AH$9999)/SUMIFS('Raw Data'!$D:$D, 'Raw Data'!$B:$B, "Control", 'Raw Data'!$A:$A, $A22, 'Raw Data'!$C:$C, $C$3),""))</f>
        <v/>
      </c>
      <c r="CR22" s="90" t="str">
        <f>IF($A22="","",IFERROR(SUMPRODUCT(('Raw Data'!$B$2:$B$9999="Variant")*('Raw Data'!$A$2:$A$9999=$A22)*('Raw Data'!$C$2:$C$9999=$C$3)*'Raw Data'!$D$2:$D$9999*'Raw Data'!$AH$2:$AH$9999)/SUMIFS('Raw Data'!$D:$D, 'Raw Data'!$B:$B, "Variant", 'Raw Data'!$A:$A, $A22, 'Raw Data'!$C:$C, $C$3),""))</f>
        <v/>
      </c>
      <c r="CS22" s="86" t="str">
        <f t="shared" si="32"/>
        <v/>
      </c>
      <c r="CT22" s="79" t="str">
        <f>IF($A22="","",IFERROR(SUMPRODUCT(('Raw Data'!$B$2:$B$9999="Control")*('Raw Data'!$A$2:$A$9999=$A22)*('Raw Data'!$C$2:$C$9999=$C$3)*'Raw Data'!$D$2:$D$9999*'Raw Data'!$AI$2:$AI$9999)/SUMIFS('Raw Data'!$D:$D, 'Raw Data'!$B:$B, "Control", 'Raw Data'!$A:$A, $A22, 'Raw Data'!$C:$C, $C$3),""))</f>
        <v/>
      </c>
      <c r="CU22" s="79" t="str">
        <f>IF($A22="","",IFERROR(SUMPRODUCT(('Raw Data'!$B$2:$B$9999="Variant")*('Raw Data'!$A$2:$A$9999=$A22)*('Raw Data'!$C$2:$C$9999=$C$3)*'Raw Data'!$D$2:$D$9999*'Raw Data'!$AI$2:$AI$9999)/SUMIFS('Raw Data'!$D:$D, 'Raw Data'!$B:$B, "Variant", 'Raw Data'!$A:$A, $A22, 'Raw Data'!$C:$C, $C$3),""))</f>
        <v/>
      </c>
      <c r="CV22" s="93" t="str">
        <f t="shared" si="33"/>
        <v/>
      </c>
      <c r="CW22" s="79" t="str">
        <f>IF($A22="","",IFERROR(SUMPRODUCT(('Raw Data'!$B$2:$B$9999="Control")*('Raw Data'!$A$2:$A$9999=$A22)*('Raw Data'!$C$2:$C$9999=$C$3)*'Raw Data'!$D$2:$D$9999*'Raw Data'!$AJ$2:$AJ$9999)/SUMIFS('Raw Data'!$D:$D, 'Raw Data'!$B:$B, "Control", 'Raw Data'!$A:$A, $A22, 'Raw Data'!$C:$C, $C$3),""))</f>
        <v/>
      </c>
      <c r="CX22" s="79" t="str">
        <f>IF($A22="","",IFERROR(SUMPRODUCT(('Raw Data'!$B$2:$B$9999="Variant")*('Raw Data'!$A$2:$A$9999=$A22)*('Raw Data'!$C$2:$C$9999=$C$3)*'Raw Data'!$D$2:$D$9999*'Raw Data'!$AJ$2:$AJ$9999)/SUMIFS('Raw Data'!$D:$D, 'Raw Data'!$B:$B, "Variant", 'Raw Data'!$A:$A, $A22, 'Raw Data'!$C:$C, $C$3),""))</f>
        <v/>
      </c>
      <c r="CY22" s="93" t="str">
        <f t="shared" si="34"/>
        <v/>
      </c>
      <c r="CZ22" s="79" t="str">
        <f>IF($A22="","",IFERROR(SUMPRODUCT(('Raw Data'!$B$2:$B$9999="Control")*('Raw Data'!$A$2:$A$9999=$A22)*('Raw Data'!$C$2:$C$9999=$C$3)*'Raw Data'!$D$2:$D$9999*'Raw Data'!$AK$2:$AK$9999)/SUMIFS('Raw Data'!$D:$D, 'Raw Data'!$B:$B, "Control", 'Raw Data'!$A:$A, $A22, 'Raw Data'!$C:$C, $C$3),""))</f>
        <v/>
      </c>
      <c r="DA22" s="79" t="str">
        <f>IF($A22="","",IFERROR(SUMPRODUCT(('Raw Data'!$B$2:$B$9999="Variant")*('Raw Data'!$A$2:$A$9999=$A22)*('Raw Data'!$C$2:$C$9999=$C$3)*'Raw Data'!$D$2:$D$9999*'Raw Data'!$AK$2:$AK$9999)/SUMIFS('Raw Data'!$D:$D, 'Raw Data'!$B:$B, "Variant", 'Raw Data'!$A:$A, $A22, 'Raw Data'!$C:$C, $C$3),""))</f>
        <v/>
      </c>
      <c r="DB22" s="86" t="str">
        <f t="shared" si="35"/>
        <v/>
      </c>
      <c r="DC22" s="91" t="str">
        <f>IF($A22="","",IFERROR(SUMPRODUCT(('Raw Data'!$B$2:$B$9999="Control")*('Raw Data'!$A$2:$A$9999=$A22)*('Raw Data'!$C$2:$C$9999=$C$3)*'Raw Data'!$D$2:$D$9999*'Raw Data'!$AL$2:$AL$9999)/SUMIFS('Raw Data'!$D:$D, 'Raw Data'!$B:$B, "Control", 'Raw Data'!$A:$A, $A22, 'Raw Data'!$C:$C, $C$3),""))</f>
        <v/>
      </c>
      <c r="DD22" s="91" t="str">
        <f>IF($A22="","",IFERROR(SUMPRODUCT(('Raw Data'!$B$2:$B$9999="Variant")*('Raw Data'!$A$2:$A$9999=$A22)*('Raw Data'!$C$2:$C$9999=$C$3)*'Raw Data'!$D$2:$D$9999*'Raw Data'!$AL$2:$AL$9999)/SUMIFS('Raw Data'!$D:$D, 'Raw Data'!$B:$B, "Variant", 'Raw Data'!$A:$A, $A22, 'Raw Data'!$C:$C, $C$3),""))</f>
        <v/>
      </c>
      <c r="DE22" s="93" t="str">
        <f t="shared" si="36"/>
        <v/>
      </c>
      <c r="DF22" s="107"/>
      <c r="DG22" s="79" t="str">
        <f>IF($A22="","",IFERROR(SUMPRODUCT(('Raw Data'!$B$2:$B$9999="Variant")*('Raw Data'!$A$2:$A$9999=$A22)*('Raw Data'!$C$2:$C$9999=$C$3)*'Raw Data'!$D$2:$D$9999*'Raw Data'!$AM$2:$AM$9999)/SUMIFS('Raw Data'!$D:$D, 'Raw Data'!$B:$B, "Variant", 'Raw Data'!$A:$A, $A22, 'Raw Data'!$C:$C, $C$3),""))</f>
        <v/>
      </c>
      <c r="DH22" s="108"/>
      <c r="DI22" s="107"/>
      <c r="DJ22" s="79" t="str">
        <f>IF($A22="","",IFERROR(SUMPRODUCT(('Raw Data'!$B$2:$B$9999="Variant")*('Raw Data'!$A$2:$A$9999=$A22)*('Raw Data'!$C$2:$C$9999=$C$3)*'Raw Data'!$D$2:$D$9999*'Raw Data'!$AN$2:$AN$9999)/SUMIFS('Raw Data'!$D:$D, 'Raw Data'!$B:$B, "Variant", 'Raw Data'!$A:$A, $A22, 'Raw Data'!$C:$C, $C$3),""))</f>
        <v/>
      </c>
      <c r="DK22" s="108"/>
      <c r="DL22" s="107"/>
      <c r="DM22" s="79" t="str">
        <f>IF($A22="","",IFERROR(SUMPRODUCT(('Raw Data'!$B$2:$B$9999="Variant")*('Raw Data'!$A$2:$A$9999=$A22)*('Raw Data'!$C$2:$C$9999=$C$3)*'Raw Data'!$D$2:$D$9999*'Raw Data'!$AO$2:$AO$9999)/SUMIFS('Raw Data'!$D:$D, 'Raw Data'!$B:$B, "Variant", 'Raw Data'!$A:$A, $A22, 'Raw Data'!$C:$C, $C$3),""))</f>
        <v/>
      </c>
      <c r="DN22" s="108"/>
      <c r="DO22" s="107"/>
      <c r="DP22" s="79" t="str">
        <f>IF($A22="","",IFERROR(SUMPRODUCT(('Raw Data'!$B$2:$B$9999="Variant")*('Raw Data'!$A$2:$A$9999=$A22)*('Raw Data'!$C$2:$C$9999=$C$3)*'Raw Data'!$D$2:$D$9999*'Raw Data'!$AP$2:$AP$9999)/SUMIFS('Raw Data'!$D:$D, 'Raw Data'!$B:$B, "Variant", 'Raw Data'!$A:$A, $A22, 'Raw Data'!$C:$C, $C$3),""))</f>
        <v/>
      </c>
      <c r="DQ22" s="108"/>
      <c r="DR22" s="91" t="str">
        <f>IF($A22="","",IFERROR(SUMPRODUCT(('Raw Data'!$B$2:$B$9999="Control")*('Raw Data'!$A$2:$A$9999=$A22)*('Raw Data'!$C$2:$C$9999=$C$3)*'Raw Data'!$D$2:$D$9999*'Raw Data'!$AQ$2:$AQ$9999)/SUMIFS('Raw Data'!$D:$D, 'Raw Data'!$B:$B, "Control", 'Raw Data'!$A:$A, $A22, 'Raw Data'!$C:$C, $C$3),""))</f>
        <v/>
      </c>
      <c r="DS22" s="91" t="str">
        <f>IF($A22="","",IFERROR(SUMPRODUCT(('Raw Data'!$B$2:$B$9999="Variant")*('Raw Data'!$A$2:$A$9999=$A22)*('Raw Data'!$C$2:$C$9999=$C$3)*'Raw Data'!$D$2:$D$9999*'Raw Data'!$AQ$2:$AQ$9999)/SUMIFS('Raw Data'!$D:$D, 'Raw Data'!$B:$B, "Variant", 'Raw Data'!$A:$A, $A22, 'Raw Data'!$C:$C, $C$3),""))</f>
        <v/>
      </c>
      <c r="DT22" s="110" t="str">
        <f t="shared" si="37"/>
        <v/>
      </c>
      <c r="DU22" s="91" t="str">
        <f>IF($A22="","",IFERROR(SUMPRODUCT(('Raw Data'!$B$2:$B$9999="Control")*('Raw Data'!$A$2:$A$9999=$A22)*('Raw Data'!$C$2:$C$9999=$C$3)*'Raw Data'!$D$2:$D$9999*'Raw Data'!$AR$2:$AR$9999)/SUMIFS('Raw Data'!$D:$D, 'Raw Data'!$B:$B, "Control", 'Raw Data'!$A:$A, $A22, 'Raw Data'!$C:$C, $C$3),""))</f>
        <v/>
      </c>
      <c r="DV22" s="91" t="str">
        <f>IF($A22="","",IFERROR(SUMPRODUCT(('Raw Data'!$B$2:$B$9999="Variant")*('Raw Data'!$A$2:$A$9999=$A22)*('Raw Data'!$C$2:$C$9999=$C$3)*'Raw Data'!$D$2:$D$9999*'Raw Data'!$AR$2:$AR$9999)/SUMIFS('Raw Data'!$D:$D, 'Raw Data'!$B:$B, "Variant", 'Raw Data'!$A:$A, $A22, 'Raw Data'!$C:$C, $C$3),""))</f>
        <v/>
      </c>
      <c r="DW22" s="110" t="str">
        <f t="shared" si="38"/>
        <v/>
      </c>
      <c r="DX22" s="91" t="str">
        <f>IF($A22="","",IFERROR(SUMPRODUCT(('Raw Data'!$B$2:$B$9999="Control")*('Raw Data'!$A$2:$A$9999=$A22)*('Raw Data'!$C$2:$C$9999=$C$3)*'Raw Data'!$D$2:$D$9999*'Raw Data'!$AS$2:$AS$9999)/SUMIFS('Raw Data'!$D:$D, 'Raw Data'!$B:$B, "Control", 'Raw Data'!$A:$A, $A22, 'Raw Data'!$C:$C, $C$3),""))</f>
        <v/>
      </c>
      <c r="DY22" s="91" t="str">
        <f>IF($A22="","",IFERROR(SUMPRODUCT(('Raw Data'!$B$2:$B$9999="Variant")*('Raw Data'!$A$2:$A$9999=$A22)*('Raw Data'!$C$2:$C$9999=$C$3)*'Raw Data'!$D$2:$D$9999*'Raw Data'!$AS$2:$AS$9999)/SUMIFS('Raw Data'!$D:$D, 'Raw Data'!$B:$B, "Variant", 'Raw Data'!$A:$A, $A22, 'Raw Data'!$C:$C, $C$3),""))</f>
        <v/>
      </c>
      <c r="DZ22" s="111" t="str">
        <f t="shared" si="39"/>
        <v/>
      </c>
      <c r="EA22" s="91" t="str">
        <f>IF($A22="","",IFERROR(SUMPRODUCT(('Raw Data'!$B$2:$B$9999="Control")*('Raw Data'!$A$2:$A$9999=$A22)*('Raw Data'!$C$2:$C$9999=$C$3)*'Raw Data'!$D$2:$D$9999*'Raw Data'!$AT$2:$AT$9999)/SUMIFS('Raw Data'!$D:$D, 'Raw Data'!$B:$B, "Control", 'Raw Data'!$A:$A, $A22, 'Raw Data'!$C:$C, $C$3),""))</f>
        <v/>
      </c>
      <c r="EB22" s="91" t="str">
        <f>IF($A22="","",IFERROR(SUMPRODUCT(('Raw Data'!$B$2:$B$9999="Variant")*('Raw Data'!$A$2:$A$9999=$A22)*('Raw Data'!$C$2:$C$9999=$C$3)*'Raw Data'!$D$2:$D$9999*'Raw Data'!$AT$2:$AT$9999)/SUMIFS('Raw Data'!$D:$D, 'Raw Data'!$B:$B, "Variant", 'Raw Data'!$A:$A, $A22, 'Raw Data'!$C:$C, $C$3),""))</f>
        <v/>
      </c>
      <c r="EC22" s="110" t="str">
        <f t="shared" si="40"/>
        <v/>
      </c>
      <c r="ED22" s="91" t="str">
        <f>IF($A22="","",IFERROR(SUMPRODUCT(('Raw Data'!$B$2:$B$9999="Control")*('Raw Data'!$A$2:$A$9999=$A22)*('Raw Data'!$C$2:$C$9999=$C$3)*'Raw Data'!$D$2:$D$9999*('Raw Data'!$AQ$2:$AQ$9999-'Raw Data'!$AT$2:$AT$9999))/SUMIFS('Raw Data'!$D:$D, 'Raw Data'!$B:$B, "Control", 'Raw Data'!$A:$A, $A22, 'Raw Data'!$C:$C, $C$3),""))</f>
        <v/>
      </c>
      <c r="EE22" s="91" t="str">
        <f>IF($A22="","",IFERROR(SUMPRODUCT(('Raw Data'!$B$2:$B$9999="Variant")*('Raw Data'!$A$2:$A$9999=$A22)*('Raw Data'!$C$2:$C$9999=$C$3)*'Raw Data'!$D$2:$D$9999*('Raw Data'!$AQ$2:$AQ$9999-'Raw Data'!$AT$2:$AT$9999))/SUMIFS('Raw Data'!$D:$D, 'Raw Data'!$B:$B, "Variant", 'Raw Data'!$A:$A, $A22, 'Raw Data'!$C:$C, $C$3),""))</f>
        <v/>
      </c>
      <c r="EF22" s="111" t="str">
        <f t="shared" si="41"/>
        <v/>
      </c>
      <c r="EG22" s="91" t="str">
        <f>IF($A22="","",IFERROR(SUMPRODUCT(('Raw Data'!$B$2:$B$9999="Control")*('Raw Data'!$A$2:$A$9999=$A22)*('Raw Data'!$C$2:$C$9999=$C$3)*'Raw Data'!$D$2:$D$9999*'Raw Data'!$AU$2:$AU$9999)/SUMIFS('Raw Data'!$D:$D, 'Raw Data'!$B:$B, "Control", 'Raw Data'!$A:$A, $A22, 'Raw Data'!$C:$C, $C$3),""))</f>
        <v/>
      </c>
      <c r="EH22" s="91" t="str">
        <f>IF($A22="","",IFERROR(SUMPRODUCT(('Raw Data'!$B$2:$B$9999="Variant")*('Raw Data'!$A$2:$A$9999=$A22)*('Raw Data'!$C$2:$C$9999=$C$3)*'Raw Data'!$D$2:$D$9999*'Raw Data'!$AU$2:$AU$9999)/SUMIFS('Raw Data'!$D:$D, 'Raw Data'!$B:$B, "Variant", 'Raw Data'!$A:$A, $A22, 'Raw Data'!$C:$C, $C$3),""))</f>
        <v/>
      </c>
      <c r="EI22" s="110" t="str">
        <f t="shared" si="42"/>
        <v/>
      </c>
    </row>
    <row r="23" ht="15.75" customHeight="1">
      <c r="A23" s="74">
        <v>46246.0</v>
      </c>
      <c r="B23" s="76">
        <f>IF($A23="","",SUMIFS('Raw Data'!$D:$D, 'Raw Data'!$B:$B, "Control", 'Raw Data'!$A:$A, $A23, 'Raw Data'!$C:$C, $C$3))</f>
        <v>0</v>
      </c>
      <c r="C23" s="76">
        <f>IF($A23="","",SUMIFS('Raw Data'!$D:$D, 'Raw Data'!$B:$B, "Variant", 'Raw Data'!$A:$A, $A23, 'Raw Data'!$C:$C, $C$3))</f>
        <v>0</v>
      </c>
      <c r="D23" s="77" t="str">
        <f t="shared" si="1"/>
        <v/>
      </c>
      <c r="E23" s="79" t="str">
        <f>IF($A23="","",IFERROR(SUMPRODUCT(('Raw Data'!$B$2:$B$9999="Control")*('Raw Data'!$A$2:$A$9999=$A23)*('Raw Data'!$C$2:$C$9999=$C$3)*'Raw Data'!$D$2:$D$9999*'Raw Data'!$E$2:$E$9999)/SUMIFS('Raw Data'!$D:$D, 'Raw Data'!$B:$B, "Control", 'Raw Data'!$A:$A, $A23, 'Raw Data'!$C:$C, $C$3),""))</f>
        <v/>
      </c>
      <c r="F23" s="79" t="str">
        <f>IF($A23="","",IFERROR(SUMPRODUCT(('Raw Data'!$B$2:$B$9999="Variant")*('Raw Data'!$A$2:$A$9999=$A23)*('Raw Data'!$C$2:$C$9999=$C$3)*'Raw Data'!$D$2:$D$9999*'Raw Data'!$E$2:$E$9999)/SUMIFS('Raw Data'!$D:$D, 'Raw Data'!$B:$B, "Variant", 'Raw Data'!$A:$A, $A23, 'Raw Data'!$C:$C, $C$3),""))</f>
        <v/>
      </c>
      <c r="G23" s="77" t="str">
        <f t="shared" si="2"/>
        <v/>
      </c>
      <c r="H23" s="85">
        <f>IF($A23="","",SUMIFS('Raw Data'!$F:$F, 'Raw Data'!$B:$B, "Control", 'Raw Data'!$A:$A, $A23, 'Raw Data'!$C:$C, $C$3))</f>
        <v>0</v>
      </c>
      <c r="I23" s="85">
        <f>IF($A23="","",SUMIFS('Raw Data'!$F:$F, 'Raw Data'!$B:$B, "Variant", 'Raw Data'!$A:$A, $A23, 'Raw Data'!$C:$C, $C$3))</f>
        <v>0</v>
      </c>
      <c r="J23" s="86" t="str">
        <f t="shared" si="3"/>
        <v/>
      </c>
      <c r="K23" s="88" t="str">
        <f>IF($A23="","",IFERROR(SUMIFS('Raw Data'!$F:$F, 'Raw Data'!$B:$B, "Control", 'Raw Data'!$A:$A, $A23, 'Raw Data'!$C:$C, $C$3)/SUMIFS('Raw Data'!$D:$D, 'Raw Data'!$B:$B, "Control", 'Raw Data'!$A:$A, $A23, 'Raw Data'!$C:$C, $C$3),""))</f>
        <v/>
      </c>
      <c r="L23" s="88" t="str">
        <f>IF($A23="","",IFERROR(SUMIFS('Raw Data'!$F:$F, 'Raw Data'!$B:$B, "Variant", 'Raw Data'!$A:$A, $A23, 'Raw Data'!$C:$C, $C$3)/SUMIFS('Raw Data'!$D:$D, 'Raw Data'!$B:$B, "Variant", 'Raw Data'!$A:$A, $A23, 'Raw Data'!$C:$C, $C$3),""))</f>
        <v/>
      </c>
      <c r="M23" s="86" t="str">
        <f t="shared" si="4"/>
        <v/>
      </c>
      <c r="N23" s="79" t="str">
        <f>IF($A23="","",IFERROR(SUMPRODUCT(('Raw Data'!$B$2:$B$9999="Control")*('Raw Data'!$A$2:$A$9999=$A23)*('Raw Data'!$C$2:$C$9999=$C$3)*'Raw Data'!$D$2:$D$9999*'Raw Data'!$H$2:$H$9999/100)/SUMIFS('Raw Data'!$D:$D, 'Raw Data'!$B:$B, "Control", 'Raw Data'!$A:$A, $A23, 'Raw Data'!$C:$C, $C$3)*100,""))</f>
        <v/>
      </c>
      <c r="O23" s="79" t="str">
        <f>IF($A23="","",IFERROR(SUMPRODUCT(('Raw Data'!$B$2:$B$9999="Variant")*('Raw Data'!$A$2:$A$9999=$A23)*('Raw Data'!$C$2:$C$9999=$C$3)*'Raw Data'!$D$2:$D$9999*'Raw Data'!$H$2:$H$9999/100)/SUMIFS('Raw Data'!$D:$D, 'Raw Data'!$B:$B, "Variant", 'Raw Data'!$A:$A, $A23, 'Raw Data'!$C:$C, $C$3)*100,""))</f>
        <v/>
      </c>
      <c r="P23" s="86" t="str">
        <f t="shared" si="5"/>
        <v/>
      </c>
      <c r="Q23" s="88" t="str">
        <f>IF($A23="","",IFERROR(SUMIFS('Raw Data'!$F:$F, 'Raw Data'!$B:$B, "Control", 'Raw Data'!$A:$A, $A23, 'Raw Data'!$C:$C, $C$3)/SUMPRODUCT(('Raw Data'!$B$2:$B$9999="Control")*('Raw Data'!$A$2:$A$9999=$A23)*('Raw Data'!$C$2:$C$9999=$C$3)*'Raw Data'!$D$2:$D$9999*'Raw Data'!$H$2:$H$9999/100),""))</f>
        <v/>
      </c>
      <c r="R23" s="88" t="str">
        <f>IF($A23="","",IFERROR(SUMIFS('Raw Data'!$F:$F, 'Raw Data'!$B:$B, "Variant", 'Raw Data'!$A:$A, $A23, 'Raw Data'!$C:$C, $C$3)/SUMPRODUCT(('Raw Data'!$B$2:$B$9999="Variant")*('Raw Data'!$A$2:$A$9999=$A23)*('Raw Data'!$C$2:$C$9999=$C$3)*'Raw Data'!$D$2:$D$9999*'Raw Data'!$H$2:$H$9999/100),""))</f>
        <v/>
      </c>
      <c r="S23" s="86" t="str">
        <f t="shared" si="6"/>
        <v/>
      </c>
      <c r="T23" s="90" t="str">
        <f>IF($A23="","",IFERROR(SUMPRODUCT(('Raw Data'!$B$2:$B$9999="Control")*('Raw Data'!$A$2:$A$9999=$A23)*('Raw Data'!$C$2:$C$9999=$C$3)*'Raw Data'!$D$2:$D$9999*'Raw Data'!$J$2:$J$9999)/SUMIFS('Raw Data'!$D:$D, 'Raw Data'!$B:$B, "Control", 'Raw Data'!$A:$A, $A23, 'Raw Data'!$C:$C, $C$3),""))</f>
        <v/>
      </c>
      <c r="U23" s="90" t="str">
        <f>IF($A23="","",IFERROR(SUMPRODUCT(('Raw Data'!$B$2:$B$9999="Variant")*('Raw Data'!$A$2:$A$9999=$A23)*('Raw Data'!$C$2:$C$9999=$C$3)*'Raw Data'!$D$2:$D$9999*'Raw Data'!$J$2:$J$9999)/SUMIFS('Raw Data'!$D:$D, 'Raw Data'!$B:$B, "Variant", 'Raw Data'!$A:$A, $A23, 'Raw Data'!$C:$C, $C$3),""))</f>
        <v/>
      </c>
      <c r="V23" s="86" t="str">
        <f t="shared" si="7"/>
        <v/>
      </c>
      <c r="W23" s="90" t="str">
        <f>IF($A23="","",IFERROR(SUMPRODUCT(('Raw Data'!$B$2:$B$9999="Control")*('Raw Data'!$A$2:$A$9999=$A23)*('Raw Data'!$C$2:$C$9999=$C$3)*'Raw Data'!$D$2:$D$9999*'Raw Data'!$K$2:$K$9999)/SUMIFS('Raw Data'!$D:$D, 'Raw Data'!$B:$B, "Control", 'Raw Data'!$A:$A, $A23, 'Raw Data'!$C:$C, $C$3),""))</f>
        <v/>
      </c>
      <c r="X23" s="90" t="str">
        <f>IF($A23="","",IFERROR(SUMPRODUCT(('Raw Data'!$B$2:$B$9999="Variant")*('Raw Data'!$A$2:$A$9999=$A23)*('Raw Data'!$C$2:$C$9999=$C$3)*'Raw Data'!$D$2:$D$9999*'Raw Data'!$K$2:$K$9999)/SUMIFS('Raw Data'!$D:$D, 'Raw Data'!$B:$B, "Variant", 'Raw Data'!$A:$A, $A23, 'Raw Data'!$C:$C, $C$3),""))</f>
        <v/>
      </c>
      <c r="Y23" s="86" t="str">
        <f t="shared" si="8"/>
        <v/>
      </c>
      <c r="Z23" s="90" t="str">
        <f>IF($A23="","",IFERROR(SUMPRODUCT(('Raw Data'!$B$2:$B$9999="Control")*('Raw Data'!$A$2:$A$9999=$A23)*('Raw Data'!$C$2:$C$9999=$C$3)*'Raw Data'!$D$2:$D$9999*'Raw Data'!$L$2:$L$9999)/SUMIFS('Raw Data'!$D:$D, 'Raw Data'!$B:$B, "Control", 'Raw Data'!$A:$A, $A23, 'Raw Data'!$C:$C, $C$3),""))</f>
        <v/>
      </c>
      <c r="AA23" s="90" t="str">
        <f>IF($A23="","",IFERROR(SUMPRODUCT(('Raw Data'!$B$2:$B$9999="Variant")*('Raw Data'!$A$2:$A$9999=$A23)*('Raw Data'!$C$2:$C$9999=$C$3)*'Raw Data'!$D$2:$D$9999*'Raw Data'!$L$2:$L$9999)/SUMIFS('Raw Data'!$D:$D, 'Raw Data'!$B:$B, "Variant", 'Raw Data'!$A:$A, $A23, 'Raw Data'!$C:$C, $C$3),""))</f>
        <v/>
      </c>
      <c r="AB23" s="86" t="str">
        <f t="shared" si="9"/>
        <v/>
      </c>
      <c r="AC23" s="91" t="str">
        <f>IF($A23="","",IFERROR(SUMPRODUCT(('Raw Data'!$B$2:$B$9999="Control")*('Raw Data'!$A$2:$A$9999=$A23)*('Raw Data'!$C$2:$C$9999=$C$3)*'Raw Data'!$D$2:$D$9999*'Raw Data'!$M$2:$M$9999)/SUMIFS('Raw Data'!$D:$D, 'Raw Data'!$B:$B, "Control", 'Raw Data'!$A:$A, $A23, 'Raw Data'!$C:$C, $C$3),""))</f>
        <v/>
      </c>
      <c r="AD23" s="91" t="str">
        <f>IF($A23="","",IFERROR(SUMPRODUCT(('Raw Data'!$B$2:$B$9999="Variant")*('Raw Data'!$A$2:$A$9999=$A23)*('Raw Data'!$C$2:$C$9999=$C$3)*'Raw Data'!$D$2:$D$9999*'Raw Data'!$M$2:$M$9999)/SUMIFS('Raw Data'!$D:$D, 'Raw Data'!$B:$B, "Variant", 'Raw Data'!$A:$A, $A23, 'Raw Data'!$C:$C, $C$3),""))</f>
        <v/>
      </c>
      <c r="AE23" s="93" t="str">
        <f t="shared" si="10"/>
        <v/>
      </c>
      <c r="AF23" s="91" t="str">
        <f>IF($A23="","",IFERROR(SUMPRODUCT(('Raw Data'!$B$2:$B$9999="Control")*('Raw Data'!$A$2:$A$9999=$A23)*('Raw Data'!$C$2:$C$9999=$C$3)*'Raw Data'!$D$2:$D$9999*'Raw Data'!$N$2:$N$9999)/SUMIFS('Raw Data'!$D:$D, 'Raw Data'!$B:$B, "Control", 'Raw Data'!$A:$A, $A23, 'Raw Data'!$C:$C, $C$3),""))</f>
        <v/>
      </c>
      <c r="AG23" s="91" t="str">
        <f>IF($A23="","",IFERROR(SUMPRODUCT(('Raw Data'!$B$2:$B$9999="Variant")*('Raw Data'!$A$2:$A$9999=$A23)*('Raw Data'!$C$2:$C$9999=$C$3)*'Raw Data'!$D$2:$D$9999*'Raw Data'!$N$2:$N$9999)/SUMIFS('Raw Data'!$D:$D, 'Raw Data'!$B:$B, "Variant", 'Raw Data'!$A:$A, $A23, 'Raw Data'!$C:$C, $C$3),""))</f>
        <v/>
      </c>
      <c r="AH23" s="93" t="str">
        <f t="shared" si="11"/>
        <v/>
      </c>
      <c r="AI23" s="91" t="str">
        <f>IF($A23="","",IFERROR(SUMPRODUCT(('Raw Data'!$B$2:$B$9999="Control")*('Raw Data'!$A$2:$A$9999=$A23)*('Raw Data'!$C$2:$C$9999=$C$3)*'Raw Data'!$D$2:$D$9999*'Raw Data'!$O$2:$O$9999)/SUMIFS('Raw Data'!$D:$D, 'Raw Data'!$B:$B, "Control", 'Raw Data'!$A:$A, $A23, 'Raw Data'!$C:$C, $C$3),""))</f>
        <v/>
      </c>
      <c r="AJ23" s="91" t="str">
        <f>IF($A23="","",IFERROR(SUMPRODUCT(('Raw Data'!$B$2:$B$9999="Variant")*('Raw Data'!$A$2:$A$9999=$A23)*('Raw Data'!$C$2:$C$9999=$C$3)*'Raw Data'!$D$2:$D$9999*'Raw Data'!$O$2:$O$9999)/SUMIFS('Raw Data'!$D:$D, 'Raw Data'!$B:$B, "Variant", 'Raw Data'!$A:$A, $A23, 'Raw Data'!$C:$C, $C$3),""))</f>
        <v/>
      </c>
      <c r="AK23" s="86" t="str">
        <f t="shared" si="12"/>
        <v/>
      </c>
      <c r="AL23" s="90" t="str">
        <f>IF($A23="","",IFERROR(SUMPRODUCT(('Raw Data'!$B$2:$B$9999="Control")*('Raw Data'!$A$2:$A$9999=$A23)*('Raw Data'!$C$2:$C$9999=$C$3)*'Raw Data'!$D$2:$D$9999*'Raw Data'!$P$2:$P$9999)/SUMIFS('Raw Data'!$D:$D, 'Raw Data'!$B:$B, "Control", 'Raw Data'!$A:$A, $A23, 'Raw Data'!$C:$C, $C$3),""))</f>
        <v/>
      </c>
      <c r="AM23" s="90" t="str">
        <f>IF($A23="","",IFERROR(SUMPRODUCT(('Raw Data'!$B$2:$B$9999="Variant")*('Raw Data'!$A$2:$A$9999=$A23)*('Raw Data'!$C$2:$C$9999=$C$3)*'Raw Data'!$D$2:$D$9999*'Raw Data'!$P$2:$P$9999)/SUMIFS('Raw Data'!$D:$D, 'Raw Data'!$B:$B, "Variant", 'Raw Data'!$A:$A, $A23, 'Raw Data'!$C:$C, $C$3),""))</f>
        <v/>
      </c>
      <c r="AN23" s="86" t="str">
        <f t="shared" si="13"/>
        <v/>
      </c>
      <c r="AO23" s="90" t="str">
        <f>IF($A23="","",IFERROR(SUMPRODUCT(('Raw Data'!$B$2:$B$9999="Control")*('Raw Data'!$A$2:$A$9999=$A23)*('Raw Data'!$C$2:$C$9999=$C$3)*'Raw Data'!$D$2:$D$9999*'Raw Data'!$Q$2:$Q$9999)/SUMIFS('Raw Data'!$D:$D, 'Raw Data'!$B:$B, "Control", 'Raw Data'!$A:$A, $A23, 'Raw Data'!$C:$C, $C$3),""))</f>
        <v/>
      </c>
      <c r="AP23" s="90" t="str">
        <f>IF($A23="","",IFERROR(SUMPRODUCT(('Raw Data'!$B$2:$B$9999="Variant")*('Raw Data'!$A$2:$A$9999=$A23)*('Raw Data'!$C$2:$C$9999=$C$3)*'Raw Data'!$D$2:$D$9999*'Raw Data'!$Q$2:$Q$9999)/SUMIFS('Raw Data'!$D:$D, 'Raw Data'!$B:$B, "Variant", 'Raw Data'!$A:$A, $A23, 'Raw Data'!$C:$C, $C$3),""))</f>
        <v/>
      </c>
      <c r="AQ23" s="77" t="str">
        <f t="shared" si="14"/>
        <v/>
      </c>
      <c r="AR23" s="90" t="str">
        <f>IF($A23="","",IFERROR(SUMPRODUCT(('Raw Data'!$B$2:$B$9999="Control")*('Raw Data'!$A$2:$A$9999=$A23)*('Raw Data'!$C$2:$C$9999=$C$3)*'Raw Data'!$D$2:$D$9999*'Raw Data'!$R$2:$R$9999)/SUMIFS('Raw Data'!$D:$D, 'Raw Data'!$B:$B, "Control", 'Raw Data'!$A:$A, $A23, 'Raw Data'!$C:$C, $C$3),""))</f>
        <v/>
      </c>
      <c r="AS23" s="90" t="str">
        <f>IF($A23="","",IFERROR(SUMPRODUCT(('Raw Data'!$B$2:$B$9999="Variant")*('Raw Data'!$A$2:$A$9999=$A23)*('Raw Data'!$C$2:$C$9999=$C$3)*'Raw Data'!$D$2:$D$9999*'Raw Data'!$R$2:$R$9999)/SUMIFS('Raw Data'!$D:$D, 'Raw Data'!$B:$B, "Variant", 'Raw Data'!$A:$A, $A23, 'Raw Data'!$C:$C, $C$3),""))</f>
        <v/>
      </c>
      <c r="AT23" s="77" t="str">
        <f t="shared" si="15"/>
        <v/>
      </c>
      <c r="AU23" s="90" t="str">
        <f>IF($A23="","",IFERROR(SUMPRODUCT(('Raw Data'!$B$2:$B$9999="Control")*('Raw Data'!$A$2:$A$9999=$A23)*('Raw Data'!$C$2:$C$9999=$C$3)*'Raw Data'!$D$2:$D$9999*'Raw Data'!$S$2:$S$9999)/SUMIFS('Raw Data'!$D:$D, 'Raw Data'!$B:$B, "Control", 'Raw Data'!$A:$A, $A23, 'Raw Data'!$C:$C, $C$3),""))</f>
        <v/>
      </c>
      <c r="AV23" s="90" t="str">
        <f>IF($A23="","",IFERROR(SUMPRODUCT(('Raw Data'!$B$2:$B$9999="Variant")*('Raw Data'!$A$2:$A$9999=$A23)*('Raw Data'!$C$2:$C$9999=$C$3)*'Raw Data'!$D$2:$D$9999*'Raw Data'!$S$2:$S$9999)/SUMIFS('Raw Data'!$D:$D, 'Raw Data'!$B:$B, "Variant", 'Raw Data'!$A:$A, $A23, 'Raw Data'!$C:$C, $C$3),""))</f>
        <v/>
      </c>
      <c r="AW23" s="77" t="str">
        <f t="shared" si="16"/>
        <v/>
      </c>
      <c r="AX23" s="90" t="str">
        <f>IF($A23="","",IFERROR(SUMPRODUCT(('Raw Data'!$B$2:$B$9999="Control")*('Raw Data'!$A$2:$A$9999=$A23)*('Raw Data'!$C$2:$C$9999=$C$3)*'Raw Data'!$D$2:$D$9999*'Raw Data'!$T$2:$T$9999)/SUMIFS('Raw Data'!$D:$D, 'Raw Data'!$B:$B, "Control", 'Raw Data'!$A:$A, $A23, 'Raw Data'!$C:$C, $C$3),""))</f>
        <v/>
      </c>
      <c r="AY23" s="90" t="str">
        <f>IF($A23="","",IFERROR(SUMPRODUCT(('Raw Data'!$B$2:$B$9999="Variant")*('Raw Data'!$A$2:$A$9999=$A23)*('Raw Data'!$C$2:$C$9999=$C$3)*'Raw Data'!$D$2:$D$9999*'Raw Data'!$T$2:$T$9999)/SUMIFS('Raw Data'!$D:$D, 'Raw Data'!$B:$B, "Variant", 'Raw Data'!$A:$A, $A23, 'Raw Data'!$C:$C, $C$3),""))</f>
        <v/>
      </c>
      <c r="AZ23" s="86" t="str">
        <f t="shared" si="17"/>
        <v/>
      </c>
      <c r="BA23" s="90" t="str">
        <f>IF($A23="","",IFERROR(SUMPRODUCT(('Raw Data'!$B$2:$B$9999="Control")*('Raw Data'!$A$2:$A$9999=$A23)*('Raw Data'!$C$2:$C$9999=$C$3)*'Raw Data'!$D$2:$D$9999*'Raw Data'!$U$2:$U$9999)/SUMIFS('Raw Data'!$D:$D, 'Raw Data'!$B:$B, "Control", 'Raw Data'!$A:$A, $A23, 'Raw Data'!$C:$C, $C$3),""))</f>
        <v/>
      </c>
      <c r="BB23" s="90" t="str">
        <f>IF($A23="","",IFERROR(SUMPRODUCT(('Raw Data'!$B$2:$B$9999="Variant")*('Raw Data'!$A$2:$A$9999=$A23)*('Raw Data'!$C$2:$C$9999=$C$3)*'Raw Data'!$D$2:$D$9999*'Raw Data'!$U$2:$U$9999)/SUMIFS('Raw Data'!$D:$D, 'Raw Data'!$B:$B, "Variant", 'Raw Data'!$A:$A, $A23, 'Raw Data'!$C:$C, $C$3),""))</f>
        <v/>
      </c>
      <c r="BC23" s="77" t="str">
        <f t="shared" si="18"/>
        <v/>
      </c>
      <c r="BD23" s="90" t="str">
        <f>IF($A23="","",IFERROR(SUMPRODUCT(('Raw Data'!$B$2:$B$9999="Control")*('Raw Data'!$A$2:$A$9999=$A23)*('Raw Data'!$C$2:$C$9999=$C$3)*'Raw Data'!$D$2:$D$9999*'Raw Data'!$V$2:$V$9999)/SUMIFS('Raw Data'!$D:$D, 'Raw Data'!$B:$B, "Control", 'Raw Data'!$A:$A, $A23, 'Raw Data'!$C:$C, $C$3),""))</f>
        <v/>
      </c>
      <c r="BE23" s="90" t="str">
        <f>IF($A23="","",IFERROR(SUMPRODUCT(('Raw Data'!$B$2:$B$9999="Variant")*('Raw Data'!$A$2:$A$9999=$A23)*('Raw Data'!$C$2:$C$9999=$C$3)*'Raw Data'!$D$2:$D$9999*'Raw Data'!$V$2:$V$9999)/SUMIFS('Raw Data'!$D:$D, 'Raw Data'!$B:$B, "Variant", 'Raw Data'!$A:$A, $A23, 'Raw Data'!$C:$C, $C$3),""))</f>
        <v/>
      </c>
      <c r="BF23" s="77" t="str">
        <f t="shared" si="19"/>
        <v/>
      </c>
      <c r="BG23" s="90" t="str">
        <f>IF($A23="","",IFERROR(SUMPRODUCT(('Raw Data'!$B$2:$B$9999="Control")*('Raw Data'!$A$2:$A$9999=$A23)*('Raw Data'!$C$2:$C$9999=$C$3)*'Raw Data'!$D$2:$D$9999*('Raw Data'!$Q$2:$Q$9999-'Raw Data'!$V$2:$V$9999))/SUMIFS('Raw Data'!$D:$D, 'Raw Data'!$B:$B, "Control", 'Raw Data'!$A:$A, $A23, 'Raw Data'!$C:$C, $C$3),""))</f>
        <v/>
      </c>
      <c r="BH23" s="90" t="str">
        <f>IF($A23="","",IFERROR(SUMPRODUCT(('Raw Data'!$B$2:$B$9999="Variant")*('Raw Data'!$A$2:$A$9999=$A23)*('Raw Data'!$C$2:$C$9999=$C$3)*'Raw Data'!$D$2:$D$9999*('Raw Data'!$Q$2:$Q$9999-'Raw Data'!$V$2:$V$9999))/SUMIFS('Raw Data'!$D:$D, 'Raw Data'!$B:$B, "Variant", 'Raw Data'!$A:$A, $A23, 'Raw Data'!$C:$C, $C$3),""))</f>
        <v/>
      </c>
      <c r="BI23" s="77" t="str">
        <f t="shared" si="20"/>
        <v/>
      </c>
      <c r="BJ23" s="90" t="str">
        <f>IF($A23="","",IFERROR(SUMPRODUCT(('Raw Data'!$B$2:$B$9999="Control")*('Raw Data'!$A$2:$A$9999=$A23)*('Raw Data'!$C$2:$C$9999=$C$3)*'Raw Data'!$D$2:$D$9999*'Raw Data'!$W$2:$W$9999)/SUMIFS('Raw Data'!$D:$D, 'Raw Data'!$B:$B, "Control", 'Raw Data'!$A:$A, $A23, 'Raw Data'!$C:$C, $C$3),""))</f>
        <v/>
      </c>
      <c r="BK23" s="90" t="str">
        <f>IF($A23="","",IFERROR(SUMPRODUCT(('Raw Data'!$B$2:$B$9999="Variant")*('Raw Data'!$A$2:$A$9999=$A23)*('Raw Data'!$C$2:$C$9999=$C$3)*'Raw Data'!$D$2:$D$9999*'Raw Data'!$W$2:$W$9999)/SUMIFS('Raw Data'!$D:$D, 'Raw Data'!$B:$B, "Variant", 'Raw Data'!$A:$A, $A23, 'Raw Data'!$C:$C, $C$3),""))</f>
        <v/>
      </c>
      <c r="BL23" s="77" t="str">
        <f t="shared" si="21"/>
        <v/>
      </c>
      <c r="BM23" s="91" t="str">
        <f>IF($A23="","",IFERROR(SUMPRODUCT(('Raw Data'!$B$2:$B$9999="Control")*('Raw Data'!$A$2:$A$9999=$A23)*('Raw Data'!$C$2:$C$9999=$C$3)*'Raw Data'!$D$2:$D$9999*'Raw Data'!$X$2:$X$9999)/SUMIFS('Raw Data'!$D:$D, 'Raw Data'!$B:$B, "Control", 'Raw Data'!$A:$A, $A23, 'Raw Data'!$C:$C, $C$3),""))</f>
        <v/>
      </c>
      <c r="BN23" s="91" t="str">
        <f>IF($A23="","",IFERROR(SUMPRODUCT(('Raw Data'!$B$2:$B$9999="Variant")*('Raw Data'!$A$2:$A$9999=$A23)*('Raw Data'!$C$2:$C$9999=$C$3)*'Raw Data'!$D$2:$D$9999*'Raw Data'!$X$2:$X$9999)/SUMIFS('Raw Data'!$D:$D, 'Raw Data'!$B:$B, "Variant", 'Raw Data'!$A:$A, $A23, 'Raw Data'!$C:$C, $C$3),""))</f>
        <v/>
      </c>
      <c r="BO23" s="86" t="str">
        <f t="shared" si="22"/>
        <v/>
      </c>
      <c r="BP23" s="76" t="str">
        <f>IF($A23="","",IFERROR(SUMPRODUCT(('Raw Data'!$B$2:$B$9999="Control")*('Raw Data'!$A$2:$A$9999=$A23)*('Raw Data'!$C$2:$C$9999=$C$3)*'Raw Data'!$D$2:$D$9999*'Raw Data'!$Y$2:$Y$9999)/SUMIFS('Raw Data'!$D:$D, 'Raw Data'!$B:$B, "Control", 'Raw Data'!$A:$A, $A23, 'Raw Data'!$C:$C, $C$3),""))</f>
        <v/>
      </c>
      <c r="BQ23" s="76" t="str">
        <f>IF($A23="","",IFERROR(SUMPRODUCT(('Raw Data'!$B$2:$B$9999="Variant")*('Raw Data'!$A$2:$A$9999=$A23)*('Raw Data'!$C$2:$C$9999=$C$3)*'Raw Data'!$D$2:$D$9999*'Raw Data'!$Y$2:$Y$9999)/SUMIFS('Raw Data'!$D:$D, 'Raw Data'!$B:$B, "Variant", 'Raw Data'!$A:$A, $A23, 'Raw Data'!$C:$C, $C$3),""))</f>
        <v/>
      </c>
      <c r="BR23" s="77" t="str">
        <f t="shared" si="23"/>
        <v/>
      </c>
      <c r="BS23" s="76" t="str">
        <f>IF($A23="","",IFERROR(SUMPRODUCT(('Raw Data'!$B$2:$B$9999="Control")*('Raw Data'!$A$2:$A$9999=$A23)*('Raw Data'!$C$2:$C$9999=$C$3)*'Raw Data'!$D$2:$D$9999*'Raw Data'!$Z$2:$Z$9999)/SUMIFS('Raw Data'!$D:$D, 'Raw Data'!$B:$B, "Control", 'Raw Data'!$A:$A, $A23, 'Raw Data'!$C:$C, $C$3),""))</f>
        <v/>
      </c>
      <c r="BT23" s="76" t="str">
        <f>IF($A23="","",IFERROR(SUMPRODUCT(('Raw Data'!$B$2:$B$9999="Variant")*('Raw Data'!$A$2:$A$9999=$A23)*('Raw Data'!$C$2:$C$9999=$C$3)*'Raw Data'!$D$2:$D$9999*'Raw Data'!$Z$2:$Z$9999)/SUMIFS('Raw Data'!$D:$D, 'Raw Data'!$B:$B, "Variant", 'Raw Data'!$A:$A, $A23, 'Raw Data'!$C:$C, $C$3),""))</f>
        <v/>
      </c>
      <c r="BU23" s="77" t="str">
        <f t="shared" si="24"/>
        <v/>
      </c>
      <c r="BV23" s="76" t="str">
        <f>IF($A23="","",IFERROR(SUMPRODUCT(('Raw Data'!$B$2:$B$9999="Control")*('Raw Data'!$A$2:$A$9999=$A23)*('Raw Data'!$C$2:$C$9999=$C$3)*'Raw Data'!$D$2:$D$9999*'Raw Data'!$AA$2:$AA$9999)/SUMIFS('Raw Data'!$D:$D, 'Raw Data'!$B:$B, "Control", 'Raw Data'!$A:$A, $A23, 'Raw Data'!$C:$C, $C$3),""))</f>
        <v/>
      </c>
      <c r="BW23" s="76" t="str">
        <f>IF($A23="","",IFERROR(SUMPRODUCT(('Raw Data'!$B$2:$B$9999="Variant")*('Raw Data'!$A$2:$A$9999=$A23)*('Raw Data'!$C$2:$C$9999=$C$3)*'Raw Data'!$D$2:$D$9999*'Raw Data'!$AA$2:$AA$9999)/SUMIFS('Raw Data'!$D:$D, 'Raw Data'!$B:$B, "Variant", 'Raw Data'!$A:$A, $A23, 'Raw Data'!$C:$C, $C$3),""))</f>
        <v/>
      </c>
      <c r="BX23" s="77" t="str">
        <f t="shared" si="25"/>
        <v/>
      </c>
      <c r="BY23" s="90" t="str">
        <f>IF($A23="","",IFERROR(SUMPRODUCT(('Raw Data'!$B$2:$B$9999="Control")*('Raw Data'!$A$2:$A$9999=$A23)*('Raw Data'!$C$2:$C$9999=$C$3)*'Raw Data'!$D$2:$D$9999*'Raw Data'!$AB$2:$AB$9999)/SUMIFS('Raw Data'!$D:$D, 'Raw Data'!$B:$B, "Control", 'Raw Data'!$A:$A, $A23, 'Raw Data'!$C:$C, $C$3),""))</f>
        <v/>
      </c>
      <c r="BZ23" s="90" t="str">
        <f>IF($A23="","",IFERROR(SUMPRODUCT(('Raw Data'!$B$2:$B$9999="Variant")*('Raw Data'!$A$2:$A$9999=$A23)*('Raw Data'!$C$2:$C$9999=$C$3)*'Raw Data'!$D$2:$D$9999*'Raw Data'!$AB$2:$AB$9999)/SUMIFS('Raw Data'!$D:$D, 'Raw Data'!$B:$B, "Variant", 'Raw Data'!$A:$A, $A23, 'Raw Data'!$C:$C, $C$3),""))</f>
        <v/>
      </c>
      <c r="CA23" s="86" t="str">
        <f t="shared" si="26"/>
        <v/>
      </c>
      <c r="CB23" s="90" t="str">
        <f>IF($A23="","",IFERROR(SUMPRODUCT(('Raw Data'!$B$2:$B$9999="Control")*('Raw Data'!$A$2:$A$9999=$A23)*('Raw Data'!$C$2:$C$9999=$C$3)*'Raw Data'!$D$2:$D$9999*'Raw Data'!$AC$2:$AC$9999)/SUMIFS('Raw Data'!$D:$D, 'Raw Data'!$B:$B, "Control", 'Raw Data'!$A:$A, $A23, 'Raw Data'!$C:$C, $C$3),""))</f>
        <v/>
      </c>
      <c r="CC23" s="90" t="str">
        <f>IF($A23="","",IFERROR(SUMPRODUCT(('Raw Data'!$B$2:$B$9999="Variant")*('Raw Data'!$A$2:$A$9999=$A23)*('Raw Data'!$C$2:$C$9999=$C$3)*'Raw Data'!$D$2:$D$9999*'Raw Data'!$AC$2:$AC$9999)/SUMIFS('Raw Data'!$D:$D, 'Raw Data'!$B:$B, "Variant", 'Raw Data'!$A:$A, $A23, 'Raw Data'!$C:$C, $C$3),""))</f>
        <v/>
      </c>
      <c r="CD23" s="86" t="str">
        <f t="shared" si="27"/>
        <v/>
      </c>
      <c r="CE23" s="90" t="str">
        <f>IF($A23="","",IFERROR(SUMPRODUCT(('Raw Data'!$B$2:$B$9999="Control")*('Raw Data'!$A$2:$A$9999=$A23)*('Raw Data'!$C$2:$C$9999=$C$3)*'Raw Data'!$D$2:$D$9999*'Raw Data'!$AD$2:$AD$9999)/SUMIFS('Raw Data'!$D:$D, 'Raw Data'!$B:$B, "Control", 'Raw Data'!$A:$A, $A23, 'Raw Data'!$C:$C, $C$3),""))</f>
        <v/>
      </c>
      <c r="CF23" s="90" t="str">
        <f>IF($A23="","",IFERROR(SUMPRODUCT(('Raw Data'!$B$2:$B$9999="Variant")*('Raw Data'!$A$2:$A$9999=$A23)*('Raw Data'!$C$2:$C$9999=$C$3)*'Raw Data'!$D$2:$D$9999*'Raw Data'!$AD$2:$AD$9999)/SUMIFS('Raw Data'!$D:$D, 'Raw Data'!$B:$B, "Variant", 'Raw Data'!$A:$A, $A23, 'Raw Data'!$C:$C, $C$3),""))</f>
        <v/>
      </c>
      <c r="CG23" s="86" t="str">
        <f t="shared" si="28"/>
        <v/>
      </c>
      <c r="CH23" s="90" t="str">
        <f>IF($A23="","",IFERROR(SUMPRODUCT(('Raw Data'!$B$2:$B$9999="Control")*('Raw Data'!$A$2:$A$9999=$A23)*('Raw Data'!$C$2:$C$9999=$C$3)*'Raw Data'!$D$2:$D$9999*'Raw Data'!$AE$2:$AE$9999)/SUMIFS('Raw Data'!$D:$D, 'Raw Data'!$B:$B, "Control", 'Raw Data'!$A:$A, $A23, 'Raw Data'!$C:$C, $C$3),""))</f>
        <v/>
      </c>
      <c r="CI23" s="90" t="str">
        <f>IF($A23="","",IFERROR(SUMPRODUCT(('Raw Data'!$B$2:$B$9999="Variant")*('Raw Data'!$A$2:$A$9999=$A23)*('Raw Data'!$C$2:$C$9999=$C$3)*'Raw Data'!$D$2:$D$9999*'Raw Data'!$AE$2:$AE$9999)/SUMIFS('Raw Data'!$D:$D, 'Raw Data'!$B:$B, "Variant", 'Raw Data'!$A:$A, $A23, 'Raw Data'!$C:$C, $C$3),""))</f>
        <v/>
      </c>
      <c r="CJ23" s="86" t="str">
        <f t="shared" si="29"/>
        <v/>
      </c>
      <c r="CK23" s="90" t="str">
        <f>IF($A23="","",IFERROR(SUMPRODUCT(('Raw Data'!$B$2:$B$9999="Control")*('Raw Data'!$A$2:$A$9999=$A23)*('Raw Data'!$C$2:$C$9999=$C$3)*'Raw Data'!$D$2:$D$9999*'Raw Data'!$AF$2:$AF$9999)/SUMIFS('Raw Data'!$D:$D, 'Raw Data'!$B:$B, "Control", 'Raw Data'!$A:$A, $A23, 'Raw Data'!$C:$C, $C$3),""))</f>
        <v/>
      </c>
      <c r="CL23" s="90" t="str">
        <f>IF($A23="","",IFERROR(SUMPRODUCT(('Raw Data'!$B$2:$B$9999="Variant")*('Raw Data'!$A$2:$A$9999=$A23)*('Raw Data'!$C$2:$C$9999=$C$3)*'Raw Data'!$D$2:$D$9999*'Raw Data'!$AF$2:$AF$9999)/SUMIFS('Raw Data'!$D:$D, 'Raw Data'!$B:$B, "Variant", 'Raw Data'!$A:$A, $A23, 'Raw Data'!$C:$C, $C$3),""))</f>
        <v/>
      </c>
      <c r="CM23" s="86" t="str">
        <f t="shared" si="30"/>
        <v/>
      </c>
      <c r="CN23" s="90" t="str">
        <f>IF($A23="","",IFERROR(SUMPRODUCT(('Raw Data'!$B$2:$B$9999="Control")*('Raw Data'!$A$2:$A$9999=$A23)*('Raw Data'!$C$2:$C$9999=$C$3)*'Raw Data'!$D$2:$D$9999*'Raw Data'!$AG$2:$AG$9999)/SUMIFS('Raw Data'!$D:$D, 'Raw Data'!$B:$B, "Control", 'Raw Data'!$A:$A, $A23, 'Raw Data'!$C:$C, $C$3),""))</f>
        <v/>
      </c>
      <c r="CO23" s="90" t="str">
        <f>IF($A23="","",IFERROR(SUMPRODUCT(('Raw Data'!$B$2:$B$9999="Variant")*('Raw Data'!$A$2:$A$9999=$A23)*('Raw Data'!$C$2:$C$9999=$C$3)*'Raw Data'!$D$2:$D$9999*'Raw Data'!$AG$2:$AG$9999)/SUMIFS('Raw Data'!$D:$D, 'Raw Data'!$B:$B, "Variant", 'Raw Data'!$A:$A, $A23, 'Raw Data'!$C:$C, $C$3),""))</f>
        <v/>
      </c>
      <c r="CP23" s="86" t="str">
        <f t="shared" si="31"/>
        <v/>
      </c>
      <c r="CQ23" s="90" t="str">
        <f>IF($A23="","",IFERROR(SUMPRODUCT(('Raw Data'!$B$2:$B$9999="Control")*('Raw Data'!$A$2:$A$9999=$A23)*('Raw Data'!$C$2:$C$9999=$C$3)*'Raw Data'!$D$2:$D$9999*'Raw Data'!$AH$2:$AH$9999)/SUMIFS('Raw Data'!$D:$D, 'Raw Data'!$B:$B, "Control", 'Raw Data'!$A:$A, $A23, 'Raw Data'!$C:$C, $C$3),""))</f>
        <v/>
      </c>
      <c r="CR23" s="90" t="str">
        <f>IF($A23="","",IFERROR(SUMPRODUCT(('Raw Data'!$B$2:$B$9999="Variant")*('Raw Data'!$A$2:$A$9999=$A23)*('Raw Data'!$C$2:$C$9999=$C$3)*'Raw Data'!$D$2:$D$9999*'Raw Data'!$AH$2:$AH$9999)/SUMIFS('Raw Data'!$D:$D, 'Raw Data'!$B:$B, "Variant", 'Raw Data'!$A:$A, $A23, 'Raw Data'!$C:$C, $C$3),""))</f>
        <v/>
      </c>
      <c r="CS23" s="86" t="str">
        <f t="shared" si="32"/>
        <v/>
      </c>
      <c r="CT23" s="79" t="str">
        <f>IF($A23="","",IFERROR(SUMPRODUCT(('Raw Data'!$B$2:$B$9999="Control")*('Raw Data'!$A$2:$A$9999=$A23)*('Raw Data'!$C$2:$C$9999=$C$3)*'Raw Data'!$D$2:$D$9999*'Raw Data'!$AI$2:$AI$9999)/SUMIFS('Raw Data'!$D:$D, 'Raw Data'!$B:$B, "Control", 'Raw Data'!$A:$A, $A23, 'Raw Data'!$C:$C, $C$3),""))</f>
        <v/>
      </c>
      <c r="CU23" s="79" t="str">
        <f>IF($A23="","",IFERROR(SUMPRODUCT(('Raw Data'!$B$2:$B$9999="Variant")*('Raw Data'!$A$2:$A$9999=$A23)*('Raw Data'!$C$2:$C$9999=$C$3)*'Raw Data'!$D$2:$D$9999*'Raw Data'!$AI$2:$AI$9999)/SUMIFS('Raw Data'!$D:$D, 'Raw Data'!$B:$B, "Variant", 'Raw Data'!$A:$A, $A23, 'Raw Data'!$C:$C, $C$3),""))</f>
        <v/>
      </c>
      <c r="CV23" s="93" t="str">
        <f t="shared" si="33"/>
        <v/>
      </c>
      <c r="CW23" s="79" t="str">
        <f>IF($A23="","",IFERROR(SUMPRODUCT(('Raw Data'!$B$2:$B$9999="Control")*('Raw Data'!$A$2:$A$9999=$A23)*('Raw Data'!$C$2:$C$9999=$C$3)*'Raw Data'!$D$2:$D$9999*'Raw Data'!$AJ$2:$AJ$9999)/SUMIFS('Raw Data'!$D:$D, 'Raw Data'!$B:$B, "Control", 'Raw Data'!$A:$A, $A23, 'Raw Data'!$C:$C, $C$3),""))</f>
        <v/>
      </c>
      <c r="CX23" s="79" t="str">
        <f>IF($A23="","",IFERROR(SUMPRODUCT(('Raw Data'!$B$2:$B$9999="Variant")*('Raw Data'!$A$2:$A$9999=$A23)*('Raw Data'!$C$2:$C$9999=$C$3)*'Raw Data'!$D$2:$D$9999*'Raw Data'!$AJ$2:$AJ$9999)/SUMIFS('Raw Data'!$D:$D, 'Raw Data'!$B:$B, "Variant", 'Raw Data'!$A:$A, $A23, 'Raw Data'!$C:$C, $C$3),""))</f>
        <v/>
      </c>
      <c r="CY23" s="93" t="str">
        <f t="shared" si="34"/>
        <v/>
      </c>
      <c r="CZ23" s="79" t="str">
        <f>IF($A23="","",IFERROR(SUMPRODUCT(('Raw Data'!$B$2:$B$9999="Control")*('Raw Data'!$A$2:$A$9999=$A23)*('Raw Data'!$C$2:$C$9999=$C$3)*'Raw Data'!$D$2:$D$9999*'Raw Data'!$AK$2:$AK$9999)/SUMIFS('Raw Data'!$D:$D, 'Raw Data'!$B:$B, "Control", 'Raw Data'!$A:$A, $A23, 'Raw Data'!$C:$C, $C$3),""))</f>
        <v/>
      </c>
      <c r="DA23" s="79" t="str">
        <f>IF($A23="","",IFERROR(SUMPRODUCT(('Raw Data'!$B$2:$B$9999="Variant")*('Raw Data'!$A$2:$A$9999=$A23)*('Raw Data'!$C$2:$C$9999=$C$3)*'Raw Data'!$D$2:$D$9999*'Raw Data'!$AK$2:$AK$9999)/SUMIFS('Raw Data'!$D:$D, 'Raw Data'!$B:$B, "Variant", 'Raw Data'!$A:$A, $A23, 'Raw Data'!$C:$C, $C$3),""))</f>
        <v/>
      </c>
      <c r="DB23" s="86" t="str">
        <f t="shared" si="35"/>
        <v/>
      </c>
      <c r="DC23" s="91" t="str">
        <f>IF($A23="","",IFERROR(SUMPRODUCT(('Raw Data'!$B$2:$B$9999="Control")*('Raw Data'!$A$2:$A$9999=$A23)*('Raw Data'!$C$2:$C$9999=$C$3)*'Raw Data'!$D$2:$D$9999*'Raw Data'!$AL$2:$AL$9999)/SUMIFS('Raw Data'!$D:$D, 'Raw Data'!$B:$B, "Control", 'Raw Data'!$A:$A, $A23, 'Raw Data'!$C:$C, $C$3),""))</f>
        <v/>
      </c>
      <c r="DD23" s="91" t="str">
        <f>IF($A23="","",IFERROR(SUMPRODUCT(('Raw Data'!$B$2:$B$9999="Variant")*('Raw Data'!$A$2:$A$9999=$A23)*('Raw Data'!$C$2:$C$9999=$C$3)*'Raw Data'!$D$2:$D$9999*'Raw Data'!$AL$2:$AL$9999)/SUMIFS('Raw Data'!$D:$D, 'Raw Data'!$B:$B, "Variant", 'Raw Data'!$A:$A, $A23, 'Raw Data'!$C:$C, $C$3),""))</f>
        <v/>
      </c>
      <c r="DE23" s="93" t="str">
        <f t="shared" si="36"/>
        <v/>
      </c>
      <c r="DF23" s="107"/>
      <c r="DG23" s="79" t="str">
        <f>IF($A23="","",IFERROR(SUMPRODUCT(('Raw Data'!$B$2:$B$9999="Variant")*('Raw Data'!$A$2:$A$9999=$A23)*('Raw Data'!$C$2:$C$9999=$C$3)*'Raw Data'!$D$2:$D$9999*'Raw Data'!$AM$2:$AM$9999)/SUMIFS('Raw Data'!$D:$D, 'Raw Data'!$B:$B, "Variant", 'Raw Data'!$A:$A, $A23, 'Raw Data'!$C:$C, $C$3),""))</f>
        <v/>
      </c>
      <c r="DH23" s="108"/>
      <c r="DI23" s="107"/>
      <c r="DJ23" s="79" t="str">
        <f>IF($A23="","",IFERROR(SUMPRODUCT(('Raw Data'!$B$2:$B$9999="Variant")*('Raw Data'!$A$2:$A$9999=$A23)*('Raw Data'!$C$2:$C$9999=$C$3)*'Raw Data'!$D$2:$D$9999*'Raw Data'!$AN$2:$AN$9999)/SUMIFS('Raw Data'!$D:$D, 'Raw Data'!$B:$B, "Variant", 'Raw Data'!$A:$A, $A23, 'Raw Data'!$C:$C, $C$3),""))</f>
        <v/>
      </c>
      <c r="DK23" s="108"/>
      <c r="DL23" s="107"/>
      <c r="DM23" s="79" t="str">
        <f>IF($A23="","",IFERROR(SUMPRODUCT(('Raw Data'!$B$2:$B$9999="Variant")*('Raw Data'!$A$2:$A$9999=$A23)*('Raw Data'!$C$2:$C$9999=$C$3)*'Raw Data'!$D$2:$D$9999*'Raw Data'!$AO$2:$AO$9999)/SUMIFS('Raw Data'!$D:$D, 'Raw Data'!$B:$B, "Variant", 'Raw Data'!$A:$A, $A23, 'Raw Data'!$C:$C, $C$3),""))</f>
        <v/>
      </c>
      <c r="DN23" s="108"/>
      <c r="DO23" s="107"/>
      <c r="DP23" s="79" t="str">
        <f>IF($A23="","",IFERROR(SUMPRODUCT(('Raw Data'!$B$2:$B$9999="Variant")*('Raw Data'!$A$2:$A$9999=$A23)*('Raw Data'!$C$2:$C$9999=$C$3)*'Raw Data'!$D$2:$D$9999*'Raw Data'!$AP$2:$AP$9999)/SUMIFS('Raw Data'!$D:$D, 'Raw Data'!$B:$B, "Variant", 'Raw Data'!$A:$A, $A23, 'Raw Data'!$C:$C, $C$3),""))</f>
        <v/>
      </c>
      <c r="DQ23" s="108"/>
      <c r="DR23" s="91" t="str">
        <f>IF($A23="","",IFERROR(SUMPRODUCT(('Raw Data'!$B$2:$B$9999="Control")*('Raw Data'!$A$2:$A$9999=$A23)*('Raw Data'!$C$2:$C$9999=$C$3)*'Raw Data'!$D$2:$D$9999*'Raw Data'!$AQ$2:$AQ$9999)/SUMIFS('Raw Data'!$D:$D, 'Raw Data'!$B:$B, "Control", 'Raw Data'!$A:$A, $A23, 'Raw Data'!$C:$C, $C$3),""))</f>
        <v/>
      </c>
      <c r="DS23" s="91" t="str">
        <f>IF($A23="","",IFERROR(SUMPRODUCT(('Raw Data'!$B$2:$B$9999="Variant")*('Raw Data'!$A$2:$A$9999=$A23)*('Raw Data'!$C$2:$C$9999=$C$3)*'Raw Data'!$D$2:$D$9999*'Raw Data'!$AQ$2:$AQ$9999)/SUMIFS('Raw Data'!$D:$D, 'Raw Data'!$B:$B, "Variant", 'Raw Data'!$A:$A, $A23, 'Raw Data'!$C:$C, $C$3),""))</f>
        <v/>
      </c>
      <c r="DT23" s="110" t="str">
        <f t="shared" si="37"/>
        <v/>
      </c>
      <c r="DU23" s="91" t="str">
        <f>IF($A23="","",IFERROR(SUMPRODUCT(('Raw Data'!$B$2:$B$9999="Control")*('Raw Data'!$A$2:$A$9999=$A23)*('Raw Data'!$C$2:$C$9999=$C$3)*'Raw Data'!$D$2:$D$9999*'Raw Data'!$AR$2:$AR$9999)/SUMIFS('Raw Data'!$D:$D, 'Raw Data'!$B:$B, "Control", 'Raw Data'!$A:$A, $A23, 'Raw Data'!$C:$C, $C$3),""))</f>
        <v/>
      </c>
      <c r="DV23" s="91" t="str">
        <f>IF($A23="","",IFERROR(SUMPRODUCT(('Raw Data'!$B$2:$B$9999="Variant")*('Raw Data'!$A$2:$A$9999=$A23)*('Raw Data'!$C$2:$C$9999=$C$3)*'Raw Data'!$D$2:$D$9999*'Raw Data'!$AR$2:$AR$9999)/SUMIFS('Raw Data'!$D:$D, 'Raw Data'!$B:$B, "Variant", 'Raw Data'!$A:$A, $A23, 'Raw Data'!$C:$C, $C$3),""))</f>
        <v/>
      </c>
      <c r="DW23" s="110" t="str">
        <f t="shared" si="38"/>
        <v/>
      </c>
      <c r="DX23" s="91" t="str">
        <f>IF($A23="","",IFERROR(SUMPRODUCT(('Raw Data'!$B$2:$B$9999="Control")*('Raw Data'!$A$2:$A$9999=$A23)*('Raw Data'!$C$2:$C$9999=$C$3)*'Raw Data'!$D$2:$D$9999*'Raw Data'!$AS$2:$AS$9999)/SUMIFS('Raw Data'!$D:$D, 'Raw Data'!$B:$B, "Control", 'Raw Data'!$A:$A, $A23, 'Raw Data'!$C:$C, $C$3),""))</f>
        <v/>
      </c>
      <c r="DY23" s="91" t="str">
        <f>IF($A23="","",IFERROR(SUMPRODUCT(('Raw Data'!$B$2:$B$9999="Variant")*('Raw Data'!$A$2:$A$9999=$A23)*('Raw Data'!$C$2:$C$9999=$C$3)*'Raw Data'!$D$2:$D$9999*'Raw Data'!$AS$2:$AS$9999)/SUMIFS('Raw Data'!$D:$D, 'Raw Data'!$B:$B, "Variant", 'Raw Data'!$A:$A, $A23, 'Raw Data'!$C:$C, $C$3),""))</f>
        <v/>
      </c>
      <c r="DZ23" s="111" t="str">
        <f t="shared" si="39"/>
        <v/>
      </c>
      <c r="EA23" s="91" t="str">
        <f>IF($A23="","",IFERROR(SUMPRODUCT(('Raw Data'!$B$2:$B$9999="Control")*('Raw Data'!$A$2:$A$9999=$A23)*('Raw Data'!$C$2:$C$9999=$C$3)*'Raw Data'!$D$2:$D$9999*'Raw Data'!$AT$2:$AT$9999)/SUMIFS('Raw Data'!$D:$D, 'Raw Data'!$B:$B, "Control", 'Raw Data'!$A:$A, $A23, 'Raw Data'!$C:$C, $C$3),""))</f>
        <v/>
      </c>
      <c r="EB23" s="91" t="str">
        <f>IF($A23="","",IFERROR(SUMPRODUCT(('Raw Data'!$B$2:$B$9999="Variant")*('Raw Data'!$A$2:$A$9999=$A23)*('Raw Data'!$C$2:$C$9999=$C$3)*'Raw Data'!$D$2:$D$9999*'Raw Data'!$AT$2:$AT$9999)/SUMIFS('Raw Data'!$D:$D, 'Raw Data'!$B:$B, "Variant", 'Raw Data'!$A:$A, $A23, 'Raw Data'!$C:$C, $C$3),""))</f>
        <v/>
      </c>
      <c r="EC23" s="110" t="str">
        <f t="shared" si="40"/>
        <v/>
      </c>
      <c r="ED23" s="91" t="str">
        <f>IF($A23="","",IFERROR(SUMPRODUCT(('Raw Data'!$B$2:$B$9999="Control")*('Raw Data'!$A$2:$A$9999=$A23)*('Raw Data'!$C$2:$C$9999=$C$3)*'Raw Data'!$D$2:$D$9999*('Raw Data'!$AQ$2:$AQ$9999-'Raw Data'!$AT$2:$AT$9999))/SUMIFS('Raw Data'!$D:$D, 'Raw Data'!$B:$B, "Control", 'Raw Data'!$A:$A, $A23, 'Raw Data'!$C:$C, $C$3),""))</f>
        <v/>
      </c>
      <c r="EE23" s="91" t="str">
        <f>IF($A23="","",IFERROR(SUMPRODUCT(('Raw Data'!$B$2:$B$9999="Variant")*('Raw Data'!$A$2:$A$9999=$A23)*('Raw Data'!$C$2:$C$9999=$C$3)*'Raw Data'!$D$2:$D$9999*('Raw Data'!$AQ$2:$AQ$9999-'Raw Data'!$AT$2:$AT$9999))/SUMIFS('Raw Data'!$D:$D, 'Raw Data'!$B:$B, "Variant", 'Raw Data'!$A:$A, $A23, 'Raw Data'!$C:$C, $C$3),""))</f>
        <v/>
      </c>
      <c r="EF23" s="111" t="str">
        <f t="shared" si="41"/>
        <v/>
      </c>
      <c r="EG23" s="91" t="str">
        <f>IF($A23="","",IFERROR(SUMPRODUCT(('Raw Data'!$B$2:$B$9999="Control")*('Raw Data'!$A$2:$A$9999=$A23)*('Raw Data'!$C$2:$C$9999=$C$3)*'Raw Data'!$D$2:$D$9999*'Raw Data'!$AU$2:$AU$9999)/SUMIFS('Raw Data'!$D:$D, 'Raw Data'!$B:$B, "Control", 'Raw Data'!$A:$A, $A23, 'Raw Data'!$C:$C, $C$3),""))</f>
        <v/>
      </c>
      <c r="EH23" s="91" t="str">
        <f>IF($A23="","",IFERROR(SUMPRODUCT(('Raw Data'!$B$2:$B$9999="Variant")*('Raw Data'!$A$2:$A$9999=$A23)*('Raw Data'!$C$2:$C$9999=$C$3)*'Raw Data'!$D$2:$D$9999*'Raw Data'!$AU$2:$AU$9999)/SUMIFS('Raw Data'!$D:$D, 'Raw Data'!$B:$B, "Variant", 'Raw Data'!$A:$A, $A23, 'Raw Data'!$C:$C, $C$3),""))</f>
        <v/>
      </c>
      <c r="EI23" s="110" t="str">
        <f t="shared" si="42"/>
        <v/>
      </c>
    </row>
    <row r="24" ht="15.75" customHeight="1">
      <c r="A24" s="74">
        <v>46247.0</v>
      </c>
      <c r="B24" s="76">
        <f>IF($A24="","",SUMIFS('Raw Data'!$D:$D, 'Raw Data'!$B:$B, "Control", 'Raw Data'!$A:$A, $A24, 'Raw Data'!$C:$C, $C$3))</f>
        <v>0</v>
      </c>
      <c r="C24" s="76">
        <f>IF($A24="","",SUMIFS('Raw Data'!$D:$D, 'Raw Data'!$B:$B, "Variant", 'Raw Data'!$A:$A, $A24, 'Raw Data'!$C:$C, $C$3))</f>
        <v>0</v>
      </c>
      <c r="D24" s="77" t="str">
        <f t="shared" si="1"/>
        <v/>
      </c>
      <c r="E24" s="79" t="str">
        <f>IF($A24="","",IFERROR(SUMPRODUCT(('Raw Data'!$B$2:$B$9999="Control")*('Raw Data'!$A$2:$A$9999=$A24)*('Raw Data'!$C$2:$C$9999=$C$3)*'Raw Data'!$D$2:$D$9999*'Raw Data'!$E$2:$E$9999)/SUMIFS('Raw Data'!$D:$D, 'Raw Data'!$B:$B, "Control", 'Raw Data'!$A:$A, $A24, 'Raw Data'!$C:$C, $C$3),""))</f>
        <v/>
      </c>
      <c r="F24" s="79" t="str">
        <f>IF($A24="","",IFERROR(SUMPRODUCT(('Raw Data'!$B$2:$B$9999="Variant")*('Raw Data'!$A$2:$A$9999=$A24)*('Raw Data'!$C$2:$C$9999=$C$3)*'Raw Data'!$D$2:$D$9999*'Raw Data'!$E$2:$E$9999)/SUMIFS('Raw Data'!$D:$D, 'Raw Data'!$B:$B, "Variant", 'Raw Data'!$A:$A, $A24, 'Raw Data'!$C:$C, $C$3),""))</f>
        <v/>
      </c>
      <c r="G24" s="77" t="str">
        <f t="shared" si="2"/>
        <v/>
      </c>
      <c r="H24" s="85">
        <f>IF($A24="","",SUMIFS('Raw Data'!$F:$F, 'Raw Data'!$B:$B, "Control", 'Raw Data'!$A:$A, $A24, 'Raw Data'!$C:$C, $C$3))</f>
        <v>0</v>
      </c>
      <c r="I24" s="85">
        <f>IF($A24="","",SUMIFS('Raw Data'!$F:$F, 'Raw Data'!$B:$B, "Variant", 'Raw Data'!$A:$A, $A24, 'Raw Data'!$C:$C, $C$3))</f>
        <v>0</v>
      </c>
      <c r="J24" s="86" t="str">
        <f t="shared" si="3"/>
        <v/>
      </c>
      <c r="K24" s="88" t="str">
        <f>IF($A24="","",IFERROR(SUMIFS('Raw Data'!$F:$F, 'Raw Data'!$B:$B, "Control", 'Raw Data'!$A:$A, $A24, 'Raw Data'!$C:$C, $C$3)/SUMIFS('Raw Data'!$D:$D, 'Raw Data'!$B:$B, "Control", 'Raw Data'!$A:$A, $A24, 'Raw Data'!$C:$C, $C$3),""))</f>
        <v/>
      </c>
      <c r="L24" s="88" t="str">
        <f>IF($A24="","",IFERROR(SUMIFS('Raw Data'!$F:$F, 'Raw Data'!$B:$B, "Variant", 'Raw Data'!$A:$A, $A24, 'Raw Data'!$C:$C, $C$3)/SUMIFS('Raw Data'!$D:$D, 'Raw Data'!$B:$B, "Variant", 'Raw Data'!$A:$A, $A24, 'Raw Data'!$C:$C, $C$3),""))</f>
        <v/>
      </c>
      <c r="M24" s="86" t="str">
        <f t="shared" si="4"/>
        <v/>
      </c>
      <c r="N24" s="79" t="str">
        <f>IF($A24="","",IFERROR(SUMPRODUCT(('Raw Data'!$B$2:$B$9999="Control")*('Raw Data'!$A$2:$A$9999=$A24)*('Raw Data'!$C$2:$C$9999=$C$3)*'Raw Data'!$D$2:$D$9999*'Raw Data'!$H$2:$H$9999/100)/SUMIFS('Raw Data'!$D:$D, 'Raw Data'!$B:$B, "Control", 'Raw Data'!$A:$A, $A24, 'Raw Data'!$C:$C, $C$3)*100,""))</f>
        <v/>
      </c>
      <c r="O24" s="79" t="str">
        <f>IF($A24="","",IFERROR(SUMPRODUCT(('Raw Data'!$B$2:$B$9999="Variant")*('Raw Data'!$A$2:$A$9999=$A24)*('Raw Data'!$C$2:$C$9999=$C$3)*'Raw Data'!$D$2:$D$9999*'Raw Data'!$H$2:$H$9999/100)/SUMIFS('Raw Data'!$D:$D, 'Raw Data'!$B:$B, "Variant", 'Raw Data'!$A:$A, $A24, 'Raw Data'!$C:$C, $C$3)*100,""))</f>
        <v/>
      </c>
      <c r="P24" s="86" t="str">
        <f t="shared" si="5"/>
        <v/>
      </c>
      <c r="Q24" s="88" t="str">
        <f>IF($A24="","",IFERROR(SUMIFS('Raw Data'!$F:$F, 'Raw Data'!$B:$B, "Control", 'Raw Data'!$A:$A, $A24, 'Raw Data'!$C:$C, $C$3)/SUMPRODUCT(('Raw Data'!$B$2:$B$9999="Control")*('Raw Data'!$A$2:$A$9999=$A24)*('Raw Data'!$C$2:$C$9999=$C$3)*'Raw Data'!$D$2:$D$9999*'Raw Data'!$H$2:$H$9999/100),""))</f>
        <v/>
      </c>
      <c r="R24" s="88" t="str">
        <f>IF($A24="","",IFERROR(SUMIFS('Raw Data'!$F:$F, 'Raw Data'!$B:$B, "Variant", 'Raw Data'!$A:$A, $A24, 'Raw Data'!$C:$C, $C$3)/SUMPRODUCT(('Raw Data'!$B$2:$B$9999="Variant")*('Raw Data'!$A$2:$A$9999=$A24)*('Raw Data'!$C$2:$C$9999=$C$3)*'Raw Data'!$D$2:$D$9999*'Raw Data'!$H$2:$H$9999/100),""))</f>
        <v/>
      </c>
      <c r="S24" s="86" t="str">
        <f t="shared" si="6"/>
        <v/>
      </c>
      <c r="T24" s="90" t="str">
        <f>IF($A24="","",IFERROR(SUMPRODUCT(('Raw Data'!$B$2:$B$9999="Control")*('Raw Data'!$A$2:$A$9999=$A24)*('Raw Data'!$C$2:$C$9999=$C$3)*'Raw Data'!$D$2:$D$9999*'Raw Data'!$J$2:$J$9999)/SUMIFS('Raw Data'!$D:$D, 'Raw Data'!$B:$B, "Control", 'Raw Data'!$A:$A, $A24, 'Raw Data'!$C:$C, $C$3),""))</f>
        <v/>
      </c>
      <c r="U24" s="90" t="str">
        <f>IF($A24="","",IFERROR(SUMPRODUCT(('Raw Data'!$B$2:$B$9999="Variant")*('Raw Data'!$A$2:$A$9999=$A24)*('Raw Data'!$C$2:$C$9999=$C$3)*'Raw Data'!$D$2:$D$9999*'Raw Data'!$J$2:$J$9999)/SUMIFS('Raw Data'!$D:$D, 'Raw Data'!$B:$B, "Variant", 'Raw Data'!$A:$A, $A24, 'Raw Data'!$C:$C, $C$3),""))</f>
        <v/>
      </c>
      <c r="V24" s="86" t="str">
        <f t="shared" si="7"/>
        <v/>
      </c>
      <c r="W24" s="90" t="str">
        <f>IF($A24="","",IFERROR(SUMPRODUCT(('Raw Data'!$B$2:$B$9999="Control")*('Raw Data'!$A$2:$A$9999=$A24)*('Raw Data'!$C$2:$C$9999=$C$3)*'Raw Data'!$D$2:$D$9999*'Raw Data'!$K$2:$K$9999)/SUMIFS('Raw Data'!$D:$D, 'Raw Data'!$B:$B, "Control", 'Raw Data'!$A:$A, $A24, 'Raw Data'!$C:$C, $C$3),""))</f>
        <v/>
      </c>
      <c r="X24" s="90" t="str">
        <f>IF($A24="","",IFERROR(SUMPRODUCT(('Raw Data'!$B$2:$B$9999="Variant")*('Raw Data'!$A$2:$A$9999=$A24)*('Raw Data'!$C$2:$C$9999=$C$3)*'Raw Data'!$D$2:$D$9999*'Raw Data'!$K$2:$K$9999)/SUMIFS('Raw Data'!$D:$D, 'Raw Data'!$B:$B, "Variant", 'Raw Data'!$A:$A, $A24, 'Raw Data'!$C:$C, $C$3),""))</f>
        <v/>
      </c>
      <c r="Y24" s="86" t="str">
        <f t="shared" si="8"/>
        <v/>
      </c>
      <c r="Z24" s="90" t="str">
        <f>IF($A24="","",IFERROR(SUMPRODUCT(('Raw Data'!$B$2:$B$9999="Control")*('Raw Data'!$A$2:$A$9999=$A24)*('Raw Data'!$C$2:$C$9999=$C$3)*'Raw Data'!$D$2:$D$9999*'Raw Data'!$L$2:$L$9999)/SUMIFS('Raw Data'!$D:$D, 'Raw Data'!$B:$B, "Control", 'Raw Data'!$A:$A, $A24, 'Raw Data'!$C:$C, $C$3),""))</f>
        <v/>
      </c>
      <c r="AA24" s="90" t="str">
        <f>IF($A24="","",IFERROR(SUMPRODUCT(('Raw Data'!$B$2:$B$9999="Variant")*('Raw Data'!$A$2:$A$9999=$A24)*('Raw Data'!$C$2:$C$9999=$C$3)*'Raw Data'!$D$2:$D$9999*'Raw Data'!$L$2:$L$9999)/SUMIFS('Raw Data'!$D:$D, 'Raw Data'!$B:$B, "Variant", 'Raw Data'!$A:$A, $A24, 'Raw Data'!$C:$C, $C$3),""))</f>
        <v/>
      </c>
      <c r="AB24" s="86" t="str">
        <f t="shared" si="9"/>
        <v/>
      </c>
      <c r="AC24" s="91" t="str">
        <f>IF($A24="","",IFERROR(SUMPRODUCT(('Raw Data'!$B$2:$B$9999="Control")*('Raw Data'!$A$2:$A$9999=$A24)*('Raw Data'!$C$2:$C$9999=$C$3)*'Raw Data'!$D$2:$D$9999*'Raw Data'!$M$2:$M$9999)/SUMIFS('Raw Data'!$D:$D, 'Raw Data'!$B:$B, "Control", 'Raw Data'!$A:$A, $A24, 'Raw Data'!$C:$C, $C$3),""))</f>
        <v/>
      </c>
      <c r="AD24" s="91" t="str">
        <f>IF($A24="","",IFERROR(SUMPRODUCT(('Raw Data'!$B$2:$B$9999="Variant")*('Raw Data'!$A$2:$A$9999=$A24)*('Raw Data'!$C$2:$C$9999=$C$3)*'Raw Data'!$D$2:$D$9999*'Raw Data'!$M$2:$M$9999)/SUMIFS('Raw Data'!$D:$D, 'Raw Data'!$B:$B, "Variant", 'Raw Data'!$A:$A, $A24, 'Raw Data'!$C:$C, $C$3),""))</f>
        <v/>
      </c>
      <c r="AE24" s="93" t="str">
        <f t="shared" si="10"/>
        <v/>
      </c>
      <c r="AF24" s="91" t="str">
        <f>IF($A24="","",IFERROR(SUMPRODUCT(('Raw Data'!$B$2:$B$9999="Control")*('Raw Data'!$A$2:$A$9999=$A24)*('Raw Data'!$C$2:$C$9999=$C$3)*'Raw Data'!$D$2:$D$9999*'Raw Data'!$N$2:$N$9999)/SUMIFS('Raw Data'!$D:$D, 'Raw Data'!$B:$B, "Control", 'Raw Data'!$A:$A, $A24, 'Raw Data'!$C:$C, $C$3),""))</f>
        <v/>
      </c>
      <c r="AG24" s="91" t="str">
        <f>IF($A24="","",IFERROR(SUMPRODUCT(('Raw Data'!$B$2:$B$9999="Variant")*('Raw Data'!$A$2:$A$9999=$A24)*('Raw Data'!$C$2:$C$9999=$C$3)*'Raw Data'!$D$2:$D$9999*'Raw Data'!$N$2:$N$9999)/SUMIFS('Raw Data'!$D:$D, 'Raw Data'!$B:$B, "Variant", 'Raw Data'!$A:$A, $A24, 'Raw Data'!$C:$C, $C$3),""))</f>
        <v/>
      </c>
      <c r="AH24" s="93" t="str">
        <f t="shared" si="11"/>
        <v/>
      </c>
      <c r="AI24" s="91" t="str">
        <f>IF($A24="","",IFERROR(SUMPRODUCT(('Raw Data'!$B$2:$B$9999="Control")*('Raw Data'!$A$2:$A$9999=$A24)*('Raw Data'!$C$2:$C$9999=$C$3)*'Raw Data'!$D$2:$D$9999*'Raw Data'!$O$2:$O$9999)/SUMIFS('Raw Data'!$D:$D, 'Raw Data'!$B:$B, "Control", 'Raw Data'!$A:$A, $A24, 'Raw Data'!$C:$C, $C$3),""))</f>
        <v/>
      </c>
      <c r="AJ24" s="91" t="str">
        <f>IF($A24="","",IFERROR(SUMPRODUCT(('Raw Data'!$B$2:$B$9999="Variant")*('Raw Data'!$A$2:$A$9999=$A24)*('Raw Data'!$C$2:$C$9999=$C$3)*'Raw Data'!$D$2:$D$9999*'Raw Data'!$O$2:$O$9999)/SUMIFS('Raw Data'!$D:$D, 'Raw Data'!$B:$B, "Variant", 'Raw Data'!$A:$A, $A24, 'Raw Data'!$C:$C, $C$3),""))</f>
        <v/>
      </c>
      <c r="AK24" s="86" t="str">
        <f t="shared" si="12"/>
        <v/>
      </c>
      <c r="AL24" s="90" t="str">
        <f>IF($A24="","",IFERROR(SUMPRODUCT(('Raw Data'!$B$2:$B$9999="Control")*('Raw Data'!$A$2:$A$9999=$A24)*('Raw Data'!$C$2:$C$9999=$C$3)*'Raw Data'!$D$2:$D$9999*'Raw Data'!$P$2:$P$9999)/SUMIFS('Raw Data'!$D:$D, 'Raw Data'!$B:$B, "Control", 'Raw Data'!$A:$A, $A24, 'Raw Data'!$C:$C, $C$3),""))</f>
        <v/>
      </c>
      <c r="AM24" s="90" t="str">
        <f>IF($A24="","",IFERROR(SUMPRODUCT(('Raw Data'!$B$2:$B$9999="Variant")*('Raw Data'!$A$2:$A$9999=$A24)*('Raw Data'!$C$2:$C$9999=$C$3)*'Raw Data'!$D$2:$D$9999*'Raw Data'!$P$2:$P$9999)/SUMIFS('Raw Data'!$D:$D, 'Raw Data'!$B:$B, "Variant", 'Raw Data'!$A:$A, $A24, 'Raw Data'!$C:$C, $C$3),""))</f>
        <v/>
      </c>
      <c r="AN24" s="86" t="str">
        <f t="shared" si="13"/>
        <v/>
      </c>
      <c r="AO24" s="90" t="str">
        <f>IF($A24="","",IFERROR(SUMPRODUCT(('Raw Data'!$B$2:$B$9999="Control")*('Raw Data'!$A$2:$A$9999=$A24)*('Raw Data'!$C$2:$C$9999=$C$3)*'Raw Data'!$D$2:$D$9999*'Raw Data'!$Q$2:$Q$9999)/SUMIFS('Raw Data'!$D:$D, 'Raw Data'!$B:$B, "Control", 'Raw Data'!$A:$A, $A24, 'Raw Data'!$C:$C, $C$3),""))</f>
        <v/>
      </c>
      <c r="AP24" s="90" t="str">
        <f>IF($A24="","",IFERROR(SUMPRODUCT(('Raw Data'!$B$2:$B$9999="Variant")*('Raw Data'!$A$2:$A$9999=$A24)*('Raw Data'!$C$2:$C$9999=$C$3)*'Raw Data'!$D$2:$D$9999*'Raw Data'!$Q$2:$Q$9999)/SUMIFS('Raw Data'!$D:$D, 'Raw Data'!$B:$B, "Variant", 'Raw Data'!$A:$A, $A24, 'Raw Data'!$C:$C, $C$3),""))</f>
        <v/>
      </c>
      <c r="AQ24" s="77" t="str">
        <f t="shared" si="14"/>
        <v/>
      </c>
      <c r="AR24" s="90" t="str">
        <f>IF($A24="","",IFERROR(SUMPRODUCT(('Raw Data'!$B$2:$B$9999="Control")*('Raw Data'!$A$2:$A$9999=$A24)*('Raw Data'!$C$2:$C$9999=$C$3)*'Raw Data'!$D$2:$D$9999*'Raw Data'!$R$2:$R$9999)/SUMIFS('Raw Data'!$D:$D, 'Raw Data'!$B:$B, "Control", 'Raw Data'!$A:$A, $A24, 'Raw Data'!$C:$C, $C$3),""))</f>
        <v/>
      </c>
      <c r="AS24" s="90" t="str">
        <f>IF($A24="","",IFERROR(SUMPRODUCT(('Raw Data'!$B$2:$B$9999="Variant")*('Raw Data'!$A$2:$A$9999=$A24)*('Raw Data'!$C$2:$C$9999=$C$3)*'Raw Data'!$D$2:$D$9999*'Raw Data'!$R$2:$R$9999)/SUMIFS('Raw Data'!$D:$D, 'Raw Data'!$B:$B, "Variant", 'Raw Data'!$A:$A, $A24, 'Raw Data'!$C:$C, $C$3),""))</f>
        <v/>
      </c>
      <c r="AT24" s="77" t="str">
        <f t="shared" si="15"/>
        <v/>
      </c>
      <c r="AU24" s="90" t="str">
        <f>IF($A24="","",IFERROR(SUMPRODUCT(('Raw Data'!$B$2:$B$9999="Control")*('Raw Data'!$A$2:$A$9999=$A24)*('Raw Data'!$C$2:$C$9999=$C$3)*'Raw Data'!$D$2:$D$9999*'Raw Data'!$S$2:$S$9999)/SUMIFS('Raw Data'!$D:$D, 'Raw Data'!$B:$B, "Control", 'Raw Data'!$A:$A, $A24, 'Raw Data'!$C:$C, $C$3),""))</f>
        <v/>
      </c>
      <c r="AV24" s="90" t="str">
        <f>IF($A24="","",IFERROR(SUMPRODUCT(('Raw Data'!$B$2:$B$9999="Variant")*('Raw Data'!$A$2:$A$9999=$A24)*('Raw Data'!$C$2:$C$9999=$C$3)*'Raw Data'!$D$2:$D$9999*'Raw Data'!$S$2:$S$9999)/SUMIFS('Raw Data'!$D:$D, 'Raw Data'!$B:$B, "Variant", 'Raw Data'!$A:$A, $A24, 'Raw Data'!$C:$C, $C$3),""))</f>
        <v/>
      </c>
      <c r="AW24" s="77" t="str">
        <f t="shared" si="16"/>
        <v/>
      </c>
      <c r="AX24" s="90" t="str">
        <f>IF($A24="","",IFERROR(SUMPRODUCT(('Raw Data'!$B$2:$B$9999="Control")*('Raw Data'!$A$2:$A$9999=$A24)*('Raw Data'!$C$2:$C$9999=$C$3)*'Raw Data'!$D$2:$D$9999*'Raw Data'!$T$2:$T$9999)/SUMIFS('Raw Data'!$D:$D, 'Raw Data'!$B:$B, "Control", 'Raw Data'!$A:$A, $A24, 'Raw Data'!$C:$C, $C$3),""))</f>
        <v/>
      </c>
      <c r="AY24" s="90" t="str">
        <f>IF($A24="","",IFERROR(SUMPRODUCT(('Raw Data'!$B$2:$B$9999="Variant")*('Raw Data'!$A$2:$A$9999=$A24)*('Raw Data'!$C$2:$C$9999=$C$3)*'Raw Data'!$D$2:$D$9999*'Raw Data'!$T$2:$T$9999)/SUMIFS('Raw Data'!$D:$D, 'Raw Data'!$B:$B, "Variant", 'Raw Data'!$A:$A, $A24, 'Raw Data'!$C:$C, $C$3),""))</f>
        <v/>
      </c>
      <c r="AZ24" s="86" t="str">
        <f t="shared" si="17"/>
        <v/>
      </c>
      <c r="BA24" s="90" t="str">
        <f>IF($A24="","",IFERROR(SUMPRODUCT(('Raw Data'!$B$2:$B$9999="Control")*('Raw Data'!$A$2:$A$9999=$A24)*('Raw Data'!$C$2:$C$9999=$C$3)*'Raw Data'!$D$2:$D$9999*'Raw Data'!$U$2:$U$9999)/SUMIFS('Raw Data'!$D:$D, 'Raw Data'!$B:$B, "Control", 'Raw Data'!$A:$A, $A24, 'Raw Data'!$C:$C, $C$3),""))</f>
        <v/>
      </c>
      <c r="BB24" s="90" t="str">
        <f>IF($A24="","",IFERROR(SUMPRODUCT(('Raw Data'!$B$2:$B$9999="Variant")*('Raw Data'!$A$2:$A$9999=$A24)*('Raw Data'!$C$2:$C$9999=$C$3)*'Raw Data'!$D$2:$D$9999*'Raw Data'!$U$2:$U$9999)/SUMIFS('Raw Data'!$D:$D, 'Raw Data'!$B:$B, "Variant", 'Raw Data'!$A:$A, $A24, 'Raw Data'!$C:$C, $C$3),""))</f>
        <v/>
      </c>
      <c r="BC24" s="77" t="str">
        <f t="shared" si="18"/>
        <v/>
      </c>
      <c r="BD24" s="90" t="str">
        <f>IF($A24="","",IFERROR(SUMPRODUCT(('Raw Data'!$B$2:$B$9999="Control")*('Raw Data'!$A$2:$A$9999=$A24)*('Raw Data'!$C$2:$C$9999=$C$3)*'Raw Data'!$D$2:$D$9999*'Raw Data'!$V$2:$V$9999)/SUMIFS('Raw Data'!$D:$D, 'Raw Data'!$B:$B, "Control", 'Raw Data'!$A:$A, $A24, 'Raw Data'!$C:$C, $C$3),""))</f>
        <v/>
      </c>
      <c r="BE24" s="90" t="str">
        <f>IF($A24="","",IFERROR(SUMPRODUCT(('Raw Data'!$B$2:$B$9999="Variant")*('Raw Data'!$A$2:$A$9999=$A24)*('Raw Data'!$C$2:$C$9999=$C$3)*'Raw Data'!$D$2:$D$9999*'Raw Data'!$V$2:$V$9999)/SUMIFS('Raw Data'!$D:$D, 'Raw Data'!$B:$B, "Variant", 'Raw Data'!$A:$A, $A24, 'Raw Data'!$C:$C, $C$3),""))</f>
        <v/>
      </c>
      <c r="BF24" s="77" t="str">
        <f t="shared" si="19"/>
        <v/>
      </c>
      <c r="BG24" s="90" t="str">
        <f>IF($A24="","",IFERROR(SUMPRODUCT(('Raw Data'!$B$2:$B$9999="Control")*('Raw Data'!$A$2:$A$9999=$A24)*('Raw Data'!$C$2:$C$9999=$C$3)*'Raw Data'!$D$2:$D$9999*('Raw Data'!$Q$2:$Q$9999-'Raw Data'!$V$2:$V$9999))/SUMIFS('Raw Data'!$D:$D, 'Raw Data'!$B:$B, "Control", 'Raw Data'!$A:$A, $A24, 'Raw Data'!$C:$C, $C$3),""))</f>
        <v/>
      </c>
      <c r="BH24" s="90" t="str">
        <f>IF($A24="","",IFERROR(SUMPRODUCT(('Raw Data'!$B$2:$B$9999="Variant")*('Raw Data'!$A$2:$A$9999=$A24)*('Raw Data'!$C$2:$C$9999=$C$3)*'Raw Data'!$D$2:$D$9999*('Raw Data'!$Q$2:$Q$9999-'Raw Data'!$V$2:$V$9999))/SUMIFS('Raw Data'!$D:$D, 'Raw Data'!$B:$B, "Variant", 'Raw Data'!$A:$A, $A24, 'Raw Data'!$C:$C, $C$3),""))</f>
        <v/>
      </c>
      <c r="BI24" s="77" t="str">
        <f t="shared" si="20"/>
        <v/>
      </c>
      <c r="BJ24" s="90" t="str">
        <f>IF($A24="","",IFERROR(SUMPRODUCT(('Raw Data'!$B$2:$B$9999="Control")*('Raw Data'!$A$2:$A$9999=$A24)*('Raw Data'!$C$2:$C$9999=$C$3)*'Raw Data'!$D$2:$D$9999*'Raw Data'!$W$2:$W$9999)/SUMIFS('Raw Data'!$D:$D, 'Raw Data'!$B:$B, "Control", 'Raw Data'!$A:$A, $A24, 'Raw Data'!$C:$C, $C$3),""))</f>
        <v/>
      </c>
      <c r="BK24" s="90" t="str">
        <f>IF($A24="","",IFERROR(SUMPRODUCT(('Raw Data'!$B$2:$B$9999="Variant")*('Raw Data'!$A$2:$A$9999=$A24)*('Raw Data'!$C$2:$C$9999=$C$3)*'Raw Data'!$D$2:$D$9999*'Raw Data'!$W$2:$W$9999)/SUMIFS('Raw Data'!$D:$D, 'Raw Data'!$B:$B, "Variant", 'Raw Data'!$A:$A, $A24, 'Raw Data'!$C:$C, $C$3),""))</f>
        <v/>
      </c>
      <c r="BL24" s="77" t="str">
        <f t="shared" si="21"/>
        <v/>
      </c>
      <c r="BM24" s="91" t="str">
        <f>IF($A24="","",IFERROR(SUMPRODUCT(('Raw Data'!$B$2:$B$9999="Control")*('Raw Data'!$A$2:$A$9999=$A24)*('Raw Data'!$C$2:$C$9999=$C$3)*'Raw Data'!$D$2:$D$9999*'Raw Data'!$X$2:$X$9999)/SUMIFS('Raw Data'!$D:$D, 'Raw Data'!$B:$B, "Control", 'Raw Data'!$A:$A, $A24, 'Raw Data'!$C:$C, $C$3),""))</f>
        <v/>
      </c>
      <c r="BN24" s="91" t="str">
        <f>IF($A24="","",IFERROR(SUMPRODUCT(('Raw Data'!$B$2:$B$9999="Variant")*('Raw Data'!$A$2:$A$9999=$A24)*('Raw Data'!$C$2:$C$9999=$C$3)*'Raw Data'!$D$2:$D$9999*'Raw Data'!$X$2:$X$9999)/SUMIFS('Raw Data'!$D:$D, 'Raw Data'!$B:$B, "Variant", 'Raw Data'!$A:$A, $A24, 'Raw Data'!$C:$C, $C$3),""))</f>
        <v/>
      </c>
      <c r="BO24" s="86" t="str">
        <f t="shared" si="22"/>
        <v/>
      </c>
      <c r="BP24" s="76" t="str">
        <f>IF($A24="","",IFERROR(SUMPRODUCT(('Raw Data'!$B$2:$B$9999="Control")*('Raw Data'!$A$2:$A$9999=$A24)*('Raw Data'!$C$2:$C$9999=$C$3)*'Raw Data'!$D$2:$D$9999*'Raw Data'!$Y$2:$Y$9999)/SUMIFS('Raw Data'!$D:$D, 'Raw Data'!$B:$B, "Control", 'Raw Data'!$A:$A, $A24, 'Raw Data'!$C:$C, $C$3),""))</f>
        <v/>
      </c>
      <c r="BQ24" s="76" t="str">
        <f>IF($A24="","",IFERROR(SUMPRODUCT(('Raw Data'!$B$2:$B$9999="Variant")*('Raw Data'!$A$2:$A$9999=$A24)*('Raw Data'!$C$2:$C$9999=$C$3)*'Raw Data'!$D$2:$D$9999*'Raw Data'!$Y$2:$Y$9999)/SUMIFS('Raw Data'!$D:$D, 'Raw Data'!$B:$B, "Variant", 'Raw Data'!$A:$A, $A24, 'Raw Data'!$C:$C, $C$3),""))</f>
        <v/>
      </c>
      <c r="BR24" s="77" t="str">
        <f t="shared" si="23"/>
        <v/>
      </c>
      <c r="BS24" s="76" t="str">
        <f>IF($A24="","",IFERROR(SUMPRODUCT(('Raw Data'!$B$2:$B$9999="Control")*('Raw Data'!$A$2:$A$9999=$A24)*('Raw Data'!$C$2:$C$9999=$C$3)*'Raw Data'!$D$2:$D$9999*'Raw Data'!$Z$2:$Z$9999)/SUMIFS('Raw Data'!$D:$D, 'Raw Data'!$B:$B, "Control", 'Raw Data'!$A:$A, $A24, 'Raw Data'!$C:$C, $C$3),""))</f>
        <v/>
      </c>
      <c r="BT24" s="76" t="str">
        <f>IF($A24="","",IFERROR(SUMPRODUCT(('Raw Data'!$B$2:$B$9999="Variant")*('Raw Data'!$A$2:$A$9999=$A24)*('Raw Data'!$C$2:$C$9999=$C$3)*'Raw Data'!$D$2:$D$9999*'Raw Data'!$Z$2:$Z$9999)/SUMIFS('Raw Data'!$D:$D, 'Raw Data'!$B:$B, "Variant", 'Raw Data'!$A:$A, $A24, 'Raw Data'!$C:$C, $C$3),""))</f>
        <v/>
      </c>
      <c r="BU24" s="77" t="str">
        <f t="shared" si="24"/>
        <v/>
      </c>
      <c r="BV24" s="76" t="str">
        <f>IF($A24="","",IFERROR(SUMPRODUCT(('Raw Data'!$B$2:$B$9999="Control")*('Raw Data'!$A$2:$A$9999=$A24)*('Raw Data'!$C$2:$C$9999=$C$3)*'Raw Data'!$D$2:$D$9999*'Raw Data'!$AA$2:$AA$9999)/SUMIFS('Raw Data'!$D:$D, 'Raw Data'!$B:$B, "Control", 'Raw Data'!$A:$A, $A24, 'Raw Data'!$C:$C, $C$3),""))</f>
        <v/>
      </c>
      <c r="BW24" s="76" t="str">
        <f>IF($A24="","",IFERROR(SUMPRODUCT(('Raw Data'!$B$2:$B$9999="Variant")*('Raw Data'!$A$2:$A$9999=$A24)*('Raw Data'!$C$2:$C$9999=$C$3)*'Raw Data'!$D$2:$D$9999*'Raw Data'!$AA$2:$AA$9999)/SUMIFS('Raw Data'!$D:$D, 'Raw Data'!$B:$B, "Variant", 'Raw Data'!$A:$A, $A24, 'Raw Data'!$C:$C, $C$3),""))</f>
        <v/>
      </c>
      <c r="BX24" s="77" t="str">
        <f t="shared" si="25"/>
        <v/>
      </c>
      <c r="BY24" s="90" t="str">
        <f>IF($A24="","",IFERROR(SUMPRODUCT(('Raw Data'!$B$2:$B$9999="Control")*('Raw Data'!$A$2:$A$9999=$A24)*('Raw Data'!$C$2:$C$9999=$C$3)*'Raw Data'!$D$2:$D$9999*'Raw Data'!$AB$2:$AB$9999)/SUMIFS('Raw Data'!$D:$D, 'Raw Data'!$B:$B, "Control", 'Raw Data'!$A:$A, $A24, 'Raw Data'!$C:$C, $C$3),""))</f>
        <v/>
      </c>
      <c r="BZ24" s="90" t="str">
        <f>IF($A24="","",IFERROR(SUMPRODUCT(('Raw Data'!$B$2:$B$9999="Variant")*('Raw Data'!$A$2:$A$9999=$A24)*('Raw Data'!$C$2:$C$9999=$C$3)*'Raw Data'!$D$2:$D$9999*'Raw Data'!$AB$2:$AB$9999)/SUMIFS('Raw Data'!$D:$D, 'Raw Data'!$B:$B, "Variant", 'Raw Data'!$A:$A, $A24, 'Raw Data'!$C:$C, $C$3),""))</f>
        <v/>
      </c>
      <c r="CA24" s="86" t="str">
        <f t="shared" si="26"/>
        <v/>
      </c>
      <c r="CB24" s="90" t="str">
        <f>IF($A24="","",IFERROR(SUMPRODUCT(('Raw Data'!$B$2:$B$9999="Control")*('Raw Data'!$A$2:$A$9999=$A24)*('Raw Data'!$C$2:$C$9999=$C$3)*'Raw Data'!$D$2:$D$9999*'Raw Data'!$AC$2:$AC$9999)/SUMIFS('Raw Data'!$D:$D, 'Raw Data'!$B:$B, "Control", 'Raw Data'!$A:$A, $A24, 'Raw Data'!$C:$C, $C$3),""))</f>
        <v/>
      </c>
      <c r="CC24" s="90" t="str">
        <f>IF($A24="","",IFERROR(SUMPRODUCT(('Raw Data'!$B$2:$B$9999="Variant")*('Raw Data'!$A$2:$A$9999=$A24)*('Raw Data'!$C$2:$C$9999=$C$3)*'Raw Data'!$D$2:$D$9999*'Raw Data'!$AC$2:$AC$9999)/SUMIFS('Raw Data'!$D:$D, 'Raw Data'!$B:$B, "Variant", 'Raw Data'!$A:$A, $A24, 'Raw Data'!$C:$C, $C$3),""))</f>
        <v/>
      </c>
      <c r="CD24" s="86" t="str">
        <f t="shared" si="27"/>
        <v/>
      </c>
      <c r="CE24" s="90" t="str">
        <f>IF($A24="","",IFERROR(SUMPRODUCT(('Raw Data'!$B$2:$B$9999="Control")*('Raw Data'!$A$2:$A$9999=$A24)*('Raw Data'!$C$2:$C$9999=$C$3)*'Raw Data'!$D$2:$D$9999*'Raw Data'!$AD$2:$AD$9999)/SUMIFS('Raw Data'!$D:$D, 'Raw Data'!$B:$B, "Control", 'Raw Data'!$A:$A, $A24, 'Raw Data'!$C:$C, $C$3),""))</f>
        <v/>
      </c>
      <c r="CF24" s="90" t="str">
        <f>IF($A24="","",IFERROR(SUMPRODUCT(('Raw Data'!$B$2:$B$9999="Variant")*('Raw Data'!$A$2:$A$9999=$A24)*('Raw Data'!$C$2:$C$9999=$C$3)*'Raw Data'!$D$2:$D$9999*'Raw Data'!$AD$2:$AD$9999)/SUMIFS('Raw Data'!$D:$D, 'Raw Data'!$B:$B, "Variant", 'Raw Data'!$A:$A, $A24, 'Raw Data'!$C:$C, $C$3),""))</f>
        <v/>
      </c>
      <c r="CG24" s="86" t="str">
        <f t="shared" si="28"/>
        <v/>
      </c>
      <c r="CH24" s="90" t="str">
        <f>IF($A24="","",IFERROR(SUMPRODUCT(('Raw Data'!$B$2:$B$9999="Control")*('Raw Data'!$A$2:$A$9999=$A24)*('Raw Data'!$C$2:$C$9999=$C$3)*'Raw Data'!$D$2:$D$9999*'Raw Data'!$AE$2:$AE$9999)/SUMIFS('Raw Data'!$D:$D, 'Raw Data'!$B:$B, "Control", 'Raw Data'!$A:$A, $A24, 'Raw Data'!$C:$C, $C$3),""))</f>
        <v/>
      </c>
      <c r="CI24" s="90" t="str">
        <f>IF($A24="","",IFERROR(SUMPRODUCT(('Raw Data'!$B$2:$B$9999="Variant")*('Raw Data'!$A$2:$A$9999=$A24)*('Raw Data'!$C$2:$C$9999=$C$3)*'Raw Data'!$D$2:$D$9999*'Raw Data'!$AE$2:$AE$9999)/SUMIFS('Raw Data'!$D:$D, 'Raw Data'!$B:$B, "Variant", 'Raw Data'!$A:$A, $A24, 'Raw Data'!$C:$C, $C$3),""))</f>
        <v/>
      </c>
      <c r="CJ24" s="86" t="str">
        <f t="shared" si="29"/>
        <v/>
      </c>
      <c r="CK24" s="90" t="str">
        <f>IF($A24="","",IFERROR(SUMPRODUCT(('Raw Data'!$B$2:$B$9999="Control")*('Raw Data'!$A$2:$A$9999=$A24)*('Raw Data'!$C$2:$C$9999=$C$3)*'Raw Data'!$D$2:$D$9999*'Raw Data'!$AF$2:$AF$9999)/SUMIFS('Raw Data'!$D:$D, 'Raw Data'!$B:$B, "Control", 'Raw Data'!$A:$A, $A24, 'Raw Data'!$C:$C, $C$3),""))</f>
        <v/>
      </c>
      <c r="CL24" s="90" t="str">
        <f>IF($A24="","",IFERROR(SUMPRODUCT(('Raw Data'!$B$2:$B$9999="Variant")*('Raw Data'!$A$2:$A$9999=$A24)*('Raw Data'!$C$2:$C$9999=$C$3)*'Raw Data'!$D$2:$D$9999*'Raw Data'!$AF$2:$AF$9999)/SUMIFS('Raw Data'!$D:$D, 'Raw Data'!$B:$B, "Variant", 'Raw Data'!$A:$A, $A24, 'Raw Data'!$C:$C, $C$3),""))</f>
        <v/>
      </c>
      <c r="CM24" s="86" t="str">
        <f t="shared" si="30"/>
        <v/>
      </c>
      <c r="CN24" s="90" t="str">
        <f>IF($A24="","",IFERROR(SUMPRODUCT(('Raw Data'!$B$2:$B$9999="Control")*('Raw Data'!$A$2:$A$9999=$A24)*('Raw Data'!$C$2:$C$9999=$C$3)*'Raw Data'!$D$2:$D$9999*'Raw Data'!$AG$2:$AG$9999)/SUMIFS('Raw Data'!$D:$D, 'Raw Data'!$B:$B, "Control", 'Raw Data'!$A:$A, $A24, 'Raw Data'!$C:$C, $C$3),""))</f>
        <v/>
      </c>
      <c r="CO24" s="90" t="str">
        <f>IF($A24="","",IFERROR(SUMPRODUCT(('Raw Data'!$B$2:$B$9999="Variant")*('Raw Data'!$A$2:$A$9999=$A24)*('Raw Data'!$C$2:$C$9999=$C$3)*'Raw Data'!$D$2:$D$9999*'Raw Data'!$AG$2:$AG$9999)/SUMIFS('Raw Data'!$D:$D, 'Raw Data'!$B:$B, "Variant", 'Raw Data'!$A:$A, $A24, 'Raw Data'!$C:$C, $C$3),""))</f>
        <v/>
      </c>
      <c r="CP24" s="86" t="str">
        <f t="shared" si="31"/>
        <v/>
      </c>
      <c r="CQ24" s="90" t="str">
        <f>IF($A24="","",IFERROR(SUMPRODUCT(('Raw Data'!$B$2:$B$9999="Control")*('Raw Data'!$A$2:$A$9999=$A24)*('Raw Data'!$C$2:$C$9999=$C$3)*'Raw Data'!$D$2:$D$9999*'Raw Data'!$AH$2:$AH$9999)/SUMIFS('Raw Data'!$D:$D, 'Raw Data'!$B:$B, "Control", 'Raw Data'!$A:$A, $A24, 'Raw Data'!$C:$C, $C$3),""))</f>
        <v/>
      </c>
      <c r="CR24" s="90" t="str">
        <f>IF($A24="","",IFERROR(SUMPRODUCT(('Raw Data'!$B$2:$B$9999="Variant")*('Raw Data'!$A$2:$A$9999=$A24)*('Raw Data'!$C$2:$C$9999=$C$3)*'Raw Data'!$D$2:$D$9999*'Raw Data'!$AH$2:$AH$9999)/SUMIFS('Raw Data'!$D:$D, 'Raw Data'!$B:$B, "Variant", 'Raw Data'!$A:$A, $A24, 'Raw Data'!$C:$C, $C$3),""))</f>
        <v/>
      </c>
      <c r="CS24" s="86" t="str">
        <f t="shared" si="32"/>
        <v/>
      </c>
      <c r="CT24" s="79" t="str">
        <f>IF($A24="","",IFERROR(SUMPRODUCT(('Raw Data'!$B$2:$B$9999="Control")*('Raw Data'!$A$2:$A$9999=$A24)*('Raw Data'!$C$2:$C$9999=$C$3)*'Raw Data'!$D$2:$D$9999*'Raw Data'!$AI$2:$AI$9999)/SUMIFS('Raw Data'!$D:$D, 'Raw Data'!$B:$B, "Control", 'Raw Data'!$A:$A, $A24, 'Raw Data'!$C:$C, $C$3),""))</f>
        <v/>
      </c>
      <c r="CU24" s="79" t="str">
        <f>IF($A24="","",IFERROR(SUMPRODUCT(('Raw Data'!$B$2:$B$9999="Variant")*('Raw Data'!$A$2:$A$9999=$A24)*('Raw Data'!$C$2:$C$9999=$C$3)*'Raw Data'!$D$2:$D$9999*'Raw Data'!$AI$2:$AI$9999)/SUMIFS('Raw Data'!$D:$D, 'Raw Data'!$B:$B, "Variant", 'Raw Data'!$A:$A, $A24, 'Raw Data'!$C:$C, $C$3),""))</f>
        <v/>
      </c>
      <c r="CV24" s="93" t="str">
        <f t="shared" si="33"/>
        <v/>
      </c>
      <c r="CW24" s="79" t="str">
        <f>IF($A24="","",IFERROR(SUMPRODUCT(('Raw Data'!$B$2:$B$9999="Control")*('Raw Data'!$A$2:$A$9999=$A24)*('Raw Data'!$C$2:$C$9999=$C$3)*'Raw Data'!$D$2:$D$9999*'Raw Data'!$AJ$2:$AJ$9999)/SUMIFS('Raw Data'!$D:$D, 'Raw Data'!$B:$B, "Control", 'Raw Data'!$A:$A, $A24, 'Raw Data'!$C:$C, $C$3),""))</f>
        <v/>
      </c>
      <c r="CX24" s="79" t="str">
        <f>IF($A24="","",IFERROR(SUMPRODUCT(('Raw Data'!$B$2:$B$9999="Variant")*('Raw Data'!$A$2:$A$9999=$A24)*('Raw Data'!$C$2:$C$9999=$C$3)*'Raw Data'!$D$2:$D$9999*'Raw Data'!$AJ$2:$AJ$9999)/SUMIFS('Raw Data'!$D:$D, 'Raw Data'!$B:$B, "Variant", 'Raw Data'!$A:$A, $A24, 'Raw Data'!$C:$C, $C$3),""))</f>
        <v/>
      </c>
      <c r="CY24" s="93" t="str">
        <f t="shared" si="34"/>
        <v/>
      </c>
      <c r="CZ24" s="79" t="str">
        <f>IF($A24="","",IFERROR(SUMPRODUCT(('Raw Data'!$B$2:$B$9999="Control")*('Raw Data'!$A$2:$A$9999=$A24)*('Raw Data'!$C$2:$C$9999=$C$3)*'Raw Data'!$D$2:$D$9999*'Raw Data'!$AK$2:$AK$9999)/SUMIFS('Raw Data'!$D:$D, 'Raw Data'!$B:$B, "Control", 'Raw Data'!$A:$A, $A24, 'Raw Data'!$C:$C, $C$3),""))</f>
        <v/>
      </c>
      <c r="DA24" s="79" t="str">
        <f>IF($A24="","",IFERROR(SUMPRODUCT(('Raw Data'!$B$2:$B$9999="Variant")*('Raw Data'!$A$2:$A$9999=$A24)*('Raw Data'!$C$2:$C$9999=$C$3)*'Raw Data'!$D$2:$D$9999*'Raw Data'!$AK$2:$AK$9999)/SUMIFS('Raw Data'!$D:$D, 'Raw Data'!$B:$B, "Variant", 'Raw Data'!$A:$A, $A24, 'Raw Data'!$C:$C, $C$3),""))</f>
        <v/>
      </c>
      <c r="DB24" s="86" t="str">
        <f t="shared" si="35"/>
        <v/>
      </c>
      <c r="DC24" s="91" t="str">
        <f>IF($A24="","",IFERROR(SUMPRODUCT(('Raw Data'!$B$2:$B$9999="Control")*('Raw Data'!$A$2:$A$9999=$A24)*('Raw Data'!$C$2:$C$9999=$C$3)*'Raw Data'!$D$2:$D$9999*'Raw Data'!$AL$2:$AL$9999)/SUMIFS('Raw Data'!$D:$D, 'Raw Data'!$B:$B, "Control", 'Raw Data'!$A:$A, $A24, 'Raw Data'!$C:$C, $C$3),""))</f>
        <v/>
      </c>
      <c r="DD24" s="91" t="str">
        <f>IF($A24="","",IFERROR(SUMPRODUCT(('Raw Data'!$B$2:$B$9999="Variant")*('Raw Data'!$A$2:$A$9999=$A24)*('Raw Data'!$C$2:$C$9999=$C$3)*'Raw Data'!$D$2:$D$9999*'Raw Data'!$AL$2:$AL$9999)/SUMIFS('Raw Data'!$D:$D, 'Raw Data'!$B:$B, "Variant", 'Raw Data'!$A:$A, $A24, 'Raw Data'!$C:$C, $C$3),""))</f>
        <v/>
      </c>
      <c r="DE24" s="93" t="str">
        <f t="shared" si="36"/>
        <v/>
      </c>
      <c r="DF24" s="107"/>
      <c r="DG24" s="79" t="str">
        <f>IF($A24="","",IFERROR(SUMPRODUCT(('Raw Data'!$B$2:$B$9999="Variant")*('Raw Data'!$A$2:$A$9999=$A24)*('Raw Data'!$C$2:$C$9999=$C$3)*'Raw Data'!$D$2:$D$9999*'Raw Data'!$AM$2:$AM$9999)/SUMIFS('Raw Data'!$D:$D, 'Raw Data'!$B:$B, "Variant", 'Raw Data'!$A:$A, $A24, 'Raw Data'!$C:$C, $C$3),""))</f>
        <v/>
      </c>
      <c r="DH24" s="108"/>
      <c r="DI24" s="107"/>
      <c r="DJ24" s="79" t="str">
        <f>IF($A24="","",IFERROR(SUMPRODUCT(('Raw Data'!$B$2:$B$9999="Variant")*('Raw Data'!$A$2:$A$9999=$A24)*('Raw Data'!$C$2:$C$9999=$C$3)*'Raw Data'!$D$2:$D$9999*'Raw Data'!$AN$2:$AN$9999)/SUMIFS('Raw Data'!$D:$D, 'Raw Data'!$B:$B, "Variant", 'Raw Data'!$A:$A, $A24, 'Raw Data'!$C:$C, $C$3),""))</f>
        <v/>
      </c>
      <c r="DK24" s="108"/>
      <c r="DL24" s="107"/>
      <c r="DM24" s="79" t="str">
        <f>IF($A24="","",IFERROR(SUMPRODUCT(('Raw Data'!$B$2:$B$9999="Variant")*('Raw Data'!$A$2:$A$9999=$A24)*('Raw Data'!$C$2:$C$9999=$C$3)*'Raw Data'!$D$2:$D$9999*'Raw Data'!$AO$2:$AO$9999)/SUMIFS('Raw Data'!$D:$D, 'Raw Data'!$B:$B, "Variant", 'Raw Data'!$A:$A, $A24, 'Raw Data'!$C:$C, $C$3),""))</f>
        <v/>
      </c>
      <c r="DN24" s="108"/>
      <c r="DO24" s="107"/>
      <c r="DP24" s="79" t="str">
        <f>IF($A24="","",IFERROR(SUMPRODUCT(('Raw Data'!$B$2:$B$9999="Variant")*('Raw Data'!$A$2:$A$9999=$A24)*('Raw Data'!$C$2:$C$9999=$C$3)*'Raw Data'!$D$2:$D$9999*'Raw Data'!$AP$2:$AP$9999)/SUMIFS('Raw Data'!$D:$D, 'Raw Data'!$B:$B, "Variant", 'Raw Data'!$A:$A, $A24, 'Raw Data'!$C:$C, $C$3),""))</f>
        <v/>
      </c>
      <c r="DQ24" s="108"/>
      <c r="DR24" s="91" t="str">
        <f>IF($A24="","",IFERROR(SUMPRODUCT(('Raw Data'!$B$2:$B$9999="Control")*('Raw Data'!$A$2:$A$9999=$A24)*('Raw Data'!$C$2:$C$9999=$C$3)*'Raw Data'!$D$2:$D$9999*'Raw Data'!$AQ$2:$AQ$9999)/SUMIFS('Raw Data'!$D:$D, 'Raw Data'!$B:$B, "Control", 'Raw Data'!$A:$A, $A24, 'Raw Data'!$C:$C, $C$3),""))</f>
        <v/>
      </c>
      <c r="DS24" s="91" t="str">
        <f>IF($A24="","",IFERROR(SUMPRODUCT(('Raw Data'!$B$2:$B$9999="Variant")*('Raw Data'!$A$2:$A$9999=$A24)*('Raw Data'!$C$2:$C$9999=$C$3)*'Raw Data'!$D$2:$D$9999*'Raw Data'!$AQ$2:$AQ$9999)/SUMIFS('Raw Data'!$D:$D, 'Raw Data'!$B:$B, "Variant", 'Raw Data'!$A:$A, $A24, 'Raw Data'!$C:$C, $C$3),""))</f>
        <v/>
      </c>
      <c r="DT24" s="110" t="str">
        <f t="shared" si="37"/>
        <v/>
      </c>
      <c r="DU24" s="91" t="str">
        <f>IF($A24="","",IFERROR(SUMPRODUCT(('Raw Data'!$B$2:$B$9999="Control")*('Raw Data'!$A$2:$A$9999=$A24)*('Raw Data'!$C$2:$C$9999=$C$3)*'Raw Data'!$D$2:$D$9999*'Raw Data'!$AR$2:$AR$9999)/SUMIFS('Raw Data'!$D:$D, 'Raw Data'!$B:$B, "Control", 'Raw Data'!$A:$A, $A24, 'Raw Data'!$C:$C, $C$3),""))</f>
        <v/>
      </c>
      <c r="DV24" s="91" t="str">
        <f>IF($A24="","",IFERROR(SUMPRODUCT(('Raw Data'!$B$2:$B$9999="Variant")*('Raw Data'!$A$2:$A$9999=$A24)*('Raw Data'!$C$2:$C$9999=$C$3)*'Raw Data'!$D$2:$D$9999*'Raw Data'!$AR$2:$AR$9999)/SUMIFS('Raw Data'!$D:$D, 'Raw Data'!$B:$B, "Variant", 'Raw Data'!$A:$A, $A24, 'Raw Data'!$C:$C, $C$3),""))</f>
        <v/>
      </c>
      <c r="DW24" s="110" t="str">
        <f t="shared" si="38"/>
        <v/>
      </c>
      <c r="DX24" s="91" t="str">
        <f>IF($A24="","",IFERROR(SUMPRODUCT(('Raw Data'!$B$2:$B$9999="Control")*('Raw Data'!$A$2:$A$9999=$A24)*('Raw Data'!$C$2:$C$9999=$C$3)*'Raw Data'!$D$2:$D$9999*'Raw Data'!$AS$2:$AS$9999)/SUMIFS('Raw Data'!$D:$D, 'Raw Data'!$B:$B, "Control", 'Raw Data'!$A:$A, $A24, 'Raw Data'!$C:$C, $C$3),""))</f>
        <v/>
      </c>
      <c r="DY24" s="91" t="str">
        <f>IF($A24="","",IFERROR(SUMPRODUCT(('Raw Data'!$B$2:$B$9999="Variant")*('Raw Data'!$A$2:$A$9999=$A24)*('Raw Data'!$C$2:$C$9999=$C$3)*'Raw Data'!$D$2:$D$9999*'Raw Data'!$AS$2:$AS$9999)/SUMIFS('Raw Data'!$D:$D, 'Raw Data'!$B:$B, "Variant", 'Raw Data'!$A:$A, $A24, 'Raw Data'!$C:$C, $C$3),""))</f>
        <v/>
      </c>
      <c r="DZ24" s="111" t="str">
        <f t="shared" si="39"/>
        <v/>
      </c>
      <c r="EA24" s="91" t="str">
        <f>IF($A24="","",IFERROR(SUMPRODUCT(('Raw Data'!$B$2:$B$9999="Control")*('Raw Data'!$A$2:$A$9999=$A24)*('Raw Data'!$C$2:$C$9999=$C$3)*'Raw Data'!$D$2:$D$9999*'Raw Data'!$AT$2:$AT$9999)/SUMIFS('Raw Data'!$D:$D, 'Raw Data'!$B:$B, "Control", 'Raw Data'!$A:$A, $A24, 'Raw Data'!$C:$C, $C$3),""))</f>
        <v/>
      </c>
      <c r="EB24" s="91" t="str">
        <f>IF($A24="","",IFERROR(SUMPRODUCT(('Raw Data'!$B$2:$B$9999="Variant")*('Raw Data'!$A$2:$A$9999=$A24)*('Raw Data'!$C$2:$C$9999=$C$3)*'Raw Data'!$D$2:$D$9999*'Raw Data'!$AT$2:$AT$9999)/SUMIFS('Raw Data'!$D:$D, 'Raw Data'!$B:$B, "Variant", 'Raw Data'!$A:$A, $A24, 'Raw Data'!$C:$C, $C$3),""))</f>
        <v/>
      </c>
      <c r="EC24" s="110" t="str">
        <f t="shared" si="40"/>
        <v/>
      </c>
      <c r="ED24" s="91" t="str">
        <f>IF($A24="","",IFERROR(SUMPRODUCT(('Raw Data'!$B$2:$B$9999="Control")*('Raw Data'!$A$2:$A$9999=$A24)*('Raw Data'!$C$2:$C$9999=$C$3)*'Raw Data'!$D$2:$D$9999*('Raw Data'!$AQ$2:$AQ$9999-'Raw Data'!$AT$2:$AT$9999))/SUMIFS('Raw Data'!$D:$D, 'Raw Data'!$B:$B, "Control", 'Raw Data'!$A:$A, $A24, 'Raw Data'!$C:$C, $C$3),""))</f>
        <v/>
      </c>
      <c r="EE24" s="91" t="str">
        <f>IF($A24="","",IFERROR(SUMPRODUCT(('Raw Data'!$B$2:$B$9999="Variant")*('Raw Data'!$A$2:$A$9999=$A24)*('Raw Data'!$C$2:$C$9999=$C$3)*'Raw Data'!$D$2:$D$9999*('Raw Data'!$AQ$2:$AQ$9999-'Raw Data'!$AT$2:$AT$9999))/SUMIFS('Raw Data'!$D:$D, 'Raw Data'!$B:$B, "Variant", 'Raw Data'!$A:$A, $A24, 'Raw Data'!$C:$C, $C$3),""))</f>
        <v/>
      </c>
      <c r="EF24" s="111" t="str">
        <f t="shared" si="41"/>
        <v/>
      </c>
      <c r="EG24" s="91" t="str">
        <f>IF($A24="","",IFERROR(SUMPRODUCT(('Raw Data'!$B$2:$B$9999="Control")*('Raw Data'!$A$2:$A$9999=$A24)*('Raw Data'!$C$2:$C$9999=$C$3)*'Raw Data'!$D$2:$D$9999*'Raw Data'!$AU$2:$AU$9999)/SUMIFS('Raw Data'!$D:$D, 'Raw Data'!$B:$B, "Control", 'Raw Data'!$A:$A, $A24, 'Raw Data'!$C:$C, $C$3),""))</f>
        <v/>
      </c>
      <c r="EH24" s="91" t="str">
        <f>IF($A24="","",IFERROR(SUMPRODUCT(('Raw Data'!$B$2:$B$9999="Variant")*('Raw Data'!$A$2:$A$9999=$A24)*('Raw Data'!$C$2:$C$9999=$C$3)*'Raw Data'!$D$2:$D$9999*'Raw Data'!$AU$2:$AU$9999)/SUMIFS('Raw Data'!$D:$D, 'Raw Data'!$B:$B, "Variant", 'Raw Data'!$A:$A, $A24, 'Raw Data'!$C:$C, $C$3),""))</f>
        <v/>
      </c>
      <c r="EI24" s="110" t="str">
        <f t="shared" si="42"/>
        <v/>
      </c>
    </row>
    <row r="25" ht="15.75" customHeight="1">
      <c r="A25" s="74">
        <v>46248.0</v>
      </c>
      <c r="B25" s="76">
        <f>IF($A25="","",SUMIFS('Raw Data'!$D:$D, 'Raw Data'!$B:$B, "Control", 'Raw Data'!$A:$A, $A25, 'Raw Data'!$C:$C, $C$3))</f>
        <v>0</v>
      </c>
      <c r="C25" s="76">
        <f>IF($A25="","",SUMIFS('Raw Data'!$D:$D, 'Raw Data'!$B:$B, "Variant", 'Raw Data'!$A:$A, $A25, 'Raw Data'!$C:$C, $C$3))</f>
        <v>0</v>
      </c>
      <c r="D25" s="77" t="str">
        <f t="shared" si="1"/>
        <v/>
      </c>
      <c r="E25" s="79" t="str">
        <f>IF($A25="","",IFERROR(SUMPRODUCT(('Raw Data'!$B$2:$B$9999="Control")*('Raw Data'!$A$2:$A$9999=$A25)*('Raw Data'!$C$2:$C$9999=$C$3)*'Raw Data'!$D$2:$D$9999*'Raw Data'!$E$2:$E$9999)/SUMIFS('Raw Data'!$D:$D, 'Raw Data'!$B:$B, "Control", 'Raw Data'!$A:$A, $A25, 'Raw Data'!$C:$C, $C$3),""))</f>
        <v/>
      </c>
      <c r="F25" s="79" t="str">
        <f>IF($A25="","",IFERROR(SUMPRODUCT(('Raw Data'!$B$2:$B$9999="Variant")*('Raw Data'!$A$2:$A$9999=$A25)*('Raw Data'!$C$2:$C$9999=$C$3)*'Raw Data'!$D$2:$D$9999*'Raw Data'!$E$2:$E$9999)/SUMIFS('Raw Data'!$D:$D, 'Raw Data'!$B:$B, "Variant", 'Raw Data'!$A:$A, $A25, 'Raw Data'!$C:$C, $C$3),""))</f>
        <v/>
      </c>
      <c r="G25" s="77" t="str">
        <f t="shared" si="2"/>
        <v/>
      </c>
      <c r="H25" s="85">
        <f>IF($A25="","",SUMIFS('Raw Data'!$F:$F, 'Raw Data'!$B:$B, "Control", 'Raw Data'!$A:$A, $A25, 'Raw Data'!$C:$C, $C$3))</f>
        <v>0</v>
      </c>
      <c r="I25" s="85">
        <f>IF($A25="","",SUMIFS('Raw Data'!$F:$F, 'Raw Data'!$B:$B, "Variant", 'Raw Data'!$A:$A, $A25, 'Raw Data'!$C:$C, $C$3))</f>
        <v>0</v>
      </c>
      <c r="J25" s="86" t="str">
        <f t="shared" si="3"/>
        <v/>
      </c>
      <c r="K25" s="88" t="str">
        <f>IF($A25="","",IFERROR(SUMIFS('Raw Data'!$F:$F, 'Raw Data'!$B:$B, "Control", 'Raw Data'!$A:$A, $A25, 'Raw Data'!$C:$C, $C$3)/SUMIFS('Raw Data'!$D:$D, 'Raw Data'!$B:$B, "Control", 'Raw Data'!$A:$A, $A25, 'Raw Data'!$C:$C, $C$3),""))</f>
        <v/>
      </c>
      <c r="L25" s="88" t="str">
        <f>IF($A25="","",IFERROR(SUMIFS('Raw Data'!$F:$F, 'Raw Data'!$B:$B, "Variant", 'Raw Data'!$A:$A, $A25, 'Raw Data'!$C:$C, $C$3)/SUMIFS('Raw Data'!$D:$D, 'Raw Data'!$B:$B, "Variant", 'Raw Data'!$A:$A, $A25, 'Raw Data'!$C:$C, $C$3),""))</f>
        <v/>
      </c>
      <c r="M25" s="86" t="str">
        <f t="shared" si="4"/>
        <v/>
      </c>
      <c r="N25" s="79" t="str">
        <f>IF($A25="","",IFERROR(SUMPRODUCT(('Raw Data'!$B$2:$B$9999="Control")*('Raw Data'!$A$2:$A$9999=$A25)*('Raw Data'!$C$2:$C$9999=$C$3)*'Raw Data'!$D$2:$D$9999*'Raw Data'!$H$2:$H$9999/100)/SUMIFS('Raw Data'!$D:$D, 'Raw Data'!$B:$B, "Control", 'Raw Data'!$A:$A, $A25, 'Raw Data'!$C:$C, $C$3)*100,""))</f>
        <v/>
      </c>
      <c r="O25" s="79" t="str">
        <f>IF($A25="","",IFERROR(SUMPRODUCT(('Raw Data'!$B$2:$B$9999="Variant")*('Raw Data'!$A$2:$A$9999=$A25)*('Raw Data'!$C$2:$C$9999=$C$3)*'Raw Data'!$D$2:$D$9999*'Raw Data'!$H$2:$H$9999/100)/SUMIFS('Raw Data'!$D:$D, 'Raw Data'!$B:$B, "Variant", 'Raw Data'!$A:$A, $A25, 'Raw Data'!$C:$C, $C$3)*100,""))</f>
        <v/>
      </c>
      <c r="P25" s="86" t="str">
        <f t="shared" si="5"/>
        <v/>
      </c>
      <c r="Q25" s="88" t="str">
        <f>IF($A25="","",IFERROR(SUMIFS('Raw Data'!$F:$F, 'Raw Data'!$B:$B, "Control", 'Raw Data'!$A:$A, $A25, 'Raw Data'!$C:$C, $C$3)/SUMPRODUCT(('Raw Data'!$B$2:$B$9999="Control")*('Raw Data'!$A$2:$A$9999=$A25)*('Raw Data'!$C$2:$C$9999=$C$3)*'Raw Data'!$D$2:$D$9999*'Raw Data'!$H$2:$H$9999/100),""))</f>
        <v/>
      </c>
      <c r="R25" s="88" t="str">
        <f>IF($A25="","",IFERROR(SUMIFS('Raw Data'!$F:$F, 'Raw Data'!$B:$B, "Variant", 'Raw Data'!$A:$A, $A25, 'Raw Data'!$C:$C, $C$3)/SUMPRODUCT(('Raw Data'!$B$2:$B$9999="Variant")*('Raw Data'!$A$2:$A$9999=$A25)*('Raw Data'!$C$2:$C$9999=$C$3)*'Raw Data'!$D$2:$D$9999*'Raw Data'!$H$2:$H$9999/100),""))</f>
        <v/>
      </c>
      <c r="S25" s="86" t="str">
        <f t="shared" si="6"/>
        <v/>
      </c>
      <c r="T25" s="90" t="str">
        <f>IF($A25="","",IFERROR(SUMPRODUCT(('Raw Data'!$B$2:$B$9999="Control")*('Raw Data'!$A$2:$A$9999=$A25)*('Raw Data'!$C$2:$C$9999=$C$3)*'Raw Data'!$D$2:$D$9999*'Raw Data'!$J$2:$J$9999)/SUMIFS('Raw Data'!$D:$D, 'Raw Data'!$B:$B, "Control", 'Raw Data'!$A:$A, $A25, 'Raw Data'!$C:$C, $C$3),""))</f>
        <v/>
      </c>
      <c r="U25" s="90" t="str">
        <f>IF($A25="","",IFERROR(SUMPRODUCT(('Raw Data'!$B$2:$B$9999="Variant")*('Raw Data'!$A$2:$A$9999=$A25)*('Raw Data'!$C$2:$C$9999=$C$3)*'Raw Data'!$D$2:$D$9999*'Raw Data'!$J$2:$J$9999)/SUMIFS('Raw Data'!$D:$D, 'Raw Data'!$B:$B, "Variant", 'Raw Data'!$A:$A, $A25, 'Raw Data'!$C:$C, $C$3),""))</f>
        <v/>
      </c>
      <c r="V25" s="86" t="str">
        <f t="shared" si="7"/>
        <v/>
      </c>
      <c r="W25" s="90" t="str">
        <f>IF($A25="","",IFERROR(SUMPRODUCT(('Raw Data'!$B$2:$B$9999="Control")*('Raw Data'!$A$2:$A$9999=$A25)*('Raw Data'!$C$2:$C$9999=$C$3)*'Raw Data'!$D$2:$D$9999*'Raw Data'!$K$2:$K$9999)/SUMIFS('Raw Data'!$D:$D, 'Raw Data'!$B:$B, "Control", 'Raw Data'!$A:$A, $A25, 'Raw Data'!$C:$C, $C$3),""))</f>
        <v/>
      </c>
      <c r="X25" s="90" t="str">
        <f>IF($A25="","",IFERROR(SUMPRODUCT(('Raw Data'!$B$2:$B$9999="Variant")*('Raw Data'!$A$2:$A$9999=$A25)*('Raw Data'!$C$2:$C$9999=$C$3)*'Raw Data'!$D$2:$D$9999*'Raw Data'!$K$2:$K$9999)/SUMIFS('Raw Data'!$D:$D, 'Raw Data'!$B:$B, "Variant", 'Raw Data'!$A:$A, $A25, 'Raw Data'!$C:$C, $C$3),""))</f>
        <v/>
      </c>
      <c r="Y25" s="86" t="str">
        <f t="shared" si="8"/>
        <v/>
      </c>
      <c r="Z25" s="90" t="str">
        <f>IF($A25="","",IFERROR(SUMPRODUCT(('Raw Data'!$B$2:$B$9999="Control")*('Raw Data'!$A$2:$A$9999=$A25)*('Raw Data'!$C$2:$C$9999=$C$3)*'Raw Data'!$D$2:$D$9999*'Raw Data'!$L$2:$L$9999)/SUMIFS('Raw Data'!$D:$D, 'Raw Data'!$B:$B, "Control", 'Raw Data'!$A:$A, $A25, 'Raw Data'!$C:$C, $C$3),""))</f>
        <v/>
      </c>
      <c r="AA25" s="90" t="str">
        <f>IF($A25="","",IFERROR(SUMPRODUCT(('Raw Data'!$B$2:$B$9999="Variant")*('Raw Data'!$A$2:$A$9999=$A25)*('Raw Data'!$C$2:$C$9999=$C$3)*'Raw Data'!$D$2:$D$9999*'Raw Data'!$L$2:$L$9999)/SUMIFS('Raw Data'!$D:$D, 'Raw Data'!$B:$B, "Variant", 'Raw Data'!$A:$A, $A25, 'Raw Data'!$C:$C, $C$3),""))</f>
        <v/>
      </c>
      <c r="AB25" s="86" t="str">
        <f t="shared" si="9"/>
        <v/>
      </c>
      <c r="AC25" s="91" t="str">
        <f>IF($A25="","",IFERROR(SUMPRODUCT(('Raw Data'!$B$2:$B$9999="Control")*('Raw Data'!$A$2:$A$9999=$A25)*('Raw Data'!$C$2:$C$9999=$C$3)*'Raw Data'!$D$2:$D$9999*'Raw Data'!$M$2:$M$9999)/SUMIFS('Raw Data'!$D:$D, 'Raw Data'!$B:$B, "Control", 'Raw Data'!$A:$A, $A25, 'Raw Data'!$C:$C, $C$3),""))</f>
        <v/>
      </c>
      <c r="AD25" s="91" t="str">
        <f>IF($A25="","",IFERROR(SUMPRODUCT(('Raw Data'!$B$2:$B$9999="Variant")*('Raw Data'!$A$2:$A$9999=$A25)*('Raw Data'!$C$2:$C$9999=$C$3)*'Raw Data'!$D$2:$D$9999*'Raw Data'!$M$2:$M$9999)/SUMIFS('Raw Data'!$D:$D, 'Raw Data'!$B:$B, "Variant", 'Raw Data'!$A:$A, $A25, 'Raw Data'!$C:$C, $C$3),""))</f>
        <v/>
      </c>
      <c r="AE25" s="93" t="str">
        <f t="shared" si="10"/>
        <v/>
      </c>
      <c r="AF25" s="91" t="str">
        <f>IF($A25="","",IFERROR(SUMPRODUCT(('Raw Data'!$B$2:$B$9999="Control")*('Raw Data'!$A$2:$A$9999=$A25)*('Raw Data'!$C$2:$C$9999=$C$3)*'Raw Data'!$D$2:$D$9999*'Raw Data'!$N$2:$N$9999)/SUMIFS('Raw Data'!$D:$D, 'Raw Data'!$B:$B, "Control", 'Raw Data'!$A:$A, $A25, 'Raw Data'!$C:$C, $C$3),""))</f>
        <v/>
      </c>
      <c r="AG25" s="91" t="str">
        <f>IF($A25="","",IFERROR(SUMPRODUCT(('Raw Data'!$B$2:$B$9999="Variant")*('Raw Data'!$A$2:$A$9999=$A25)*('Raw Data'!$C$2:$C$9999=$C$3)*'Raw Data'!$D$2:$D$9999*'Raw Data'!$N$2:$N$9999)/SUMIFS('Raw Data'!$D:$D, 'Raw Data'!$B:$B, "Variant", 'Raw Data'!$A:$A, $A25, 'Raw Data'!$C:$C, $C$3),""))</f>
        <v/>
      </c>
      <c r="AH25" s="93" t="str">
        <f t="shared" si="11"/>
        <v/>
      </c>
      <c r="AI25" s="91" t="str">
        <f>IF($A25="","",IFERROR(SUMPRODUCT(('Raw Data'!$B$2:$B$9999="Control")*('Raw Data'!$A$2:$A$9999=$A25)*('Raw Data'!$C$2:$C$9999=$C$3)*'Raw Data'!$D$2:$D$9999*'Raw Data'!$O$2:$O$9999)/SUMIFS('Raw Data'!$D:$D, 'Raw Data'!$B:$B, "Control", 'Raw Data'!$A:$A, $A25, 'Raw Data'!$C:$C, $C$3),""))</f>
        <v/>
      </c>
      <c r="AJ25" s="91" t="str">
        <f>IF($A25="","",IFERROR(SUMPRODUCT(('Raw Data'!$B$2:$B$9999="Variant")*('Raw Data'!$A$2:$A$9999=$A25)*('Raw Data'!$C$2:$C$9999=$C$3)*'Raw Data'!$D$2:$D$9999*'Raw Data'!$O$2:$O$9999)/SUMIFS('Raw Data'!$D:$D, 'Raw Data'!$B:$B, "Variant", 'Raw Data'!$A:$A, $A25, 'Raw Data'!$C:$C, $C$3),""))</f>
        <v/>
      </c>
      <c r="AK25" s="86" t="str">
        <f t="shared" si="12"/>
        <v/>
      </c>
      <c r="AL25" s="90" t="str">
        <f>IF($A25="","",IFERROR(SUMPRODUCT(('Raw Data'!$B$2:$B$9999="Control")*('Raw Data'!$A$2:$A$9999=$A25)*('Raw Data'!$C$2:$C$9999=$C$3)*'Raw Data'!$D$2:$D$9999*'Raw Data'!$P$2:$P$9999)/SUMIFS('Raw Data'!$D:$D, 'Raw Data'!$B:$B, "Control", 'Raw Data'!$A:$A, $A25, 'Raw Data'!$C:$C, $C$3),""))</f>
        <v/>
      </c>
      <c r="AM25" s="90" t="str">
        <f>IF($A25="","",IFERROR(SUMPRODUCT(('Raw Data'!$B$2:$B$9999="Variant")*('Raw Data'!$A$2:$A$9999=$A25)*('Raw Data'!$C$2:$C$9999=$C$3)*'Raw Data'!$D$2:$D$9999*'Raw Data'!$P$2:$P$9999)/SUMIFS('Raw Data'!$D:$D, 'Raw Data'!$B:$B, "Variant", 'Raw Data'!$A:$A, $A25, 'Raw Data'!$C:$C, $C$3),""))</f>
        <v/>
      </c>
      <c r="AN25" s="86" t="str">
        <f t="shared" si="13"/>
        <v/>
      </c>
      <c r="AO25" s="90" t="str">
        <f>IF($A25="","",IFERROR(SUMPRODUCT(('Raw Data'!$B$2:$B$9999="Control")*('Raw Data'!$A$2:$A$9999=$A25)*('Raw Data'!$C$2:$C$9999=$C$3)*'Raw Data'!$D$2:$D$9999*'Raw Data'!$Q$2:$Q$9999)/SUMIFS('Raw Data'!$D:$D, 'Raw Data'!$B:$B, "Control", 'Raw Data'!$A:$A, $A25, 'Raw Data'!$C:$C, $C$3),""))</f>
        <v/>
      </c>
      <c r="AP25" s="90" t="str">
        <f>IF($A25="","",IFERROR(SUMPRODUCT(('Raw Data'!$B$2:$B$9999="Variant")*('Raw Data'!$A$2:$A$9999=$A25)*('Raw Data'!$C$2:$C$9999=$C$3)*'Raw Data'!$D$2:$D$9999*'Raw Data'!$Q$2:$Q$9999)/SUMIFS('Raw Data'!$D:$D, 'Raw Data'!$B:$B, "Variant", 'Raw Data'!$A:$A, $A25, 'Raw Data'!$C:$C, $C$3),""))</f>
        <v/>
      </c>
      <c r="AQ25" s="77" t="str">
        <f t="shared" si="14"/>
        <v/>
      </c>
      <c r="AR25" s="90" t="str">
        <f>IF($A25="","",IFERROR(SUMPRODUCT(('Raw Data'!$B$2:$B$9999="Control")*('Raw Data'!$A$2:$A$9999=$A25)*('Raw Data'!$C$2:$C$9999=$C$3)*'Raw Data'!$D$2:$D$9999*'Raw Data'!$R$2:$R$9999)/SUMIFS('Raw Data'!$D:$D, 'Raw Data'!$B:$B, "Control", 'Raw Data'!$A:$A, $A25, 'Raw Data'!$C:$C, $C$3),""))</f>
        <v/>
      </c>
      <c r="AS25" s="90" t="str">
        <f>IF($A25="","",IFERROR(SUMPRODUCT(('Raw Data'!$B$2:$B$9999="Variant")*('Raw Data'!$A$2:$A$9999=$A25)*('Raw Data'!$C$2:$C$9999=$C$3)*'Raw Data'!$D$2:$D$9999*'Raw Data'!$R$2:$R$9999)/SUMIFS('Raw Data'!$D:$D, 'Raw Data'!$B:$B, "Variant", 'Raw Data'!$A:$A, $A25, 'Raw Data'!$C:$C, $C$3),""))</f>
        <v/>
      </c>
      <c r="AT25" s="77" t="str">
        <f t="shared" si="15"/>
        <v/>
      </c>
      <c r="AU25" s="90" t="str">
        <f>IF($A25="","",IFERROR(SUMPRODUCT(('Raw Data'!$B$2:$B$9999="Control")*('Raw Data'!$A$2:$A$9999=$A25)*('Raw Data'!$C$2:$C$9999=$C$3)*'Raw Data'!$D$2:$D$9999*'Raw Data'!$S$2:$S$9999)/SUMIFS('Raw Data'!$D:$D, 'Raw Data'!$B:$B, "Control", 'Raw Data'!$A:$A, $A25, 'Raw Data'!$C:$C, $C$3),""))</f>
        <v/>
      </c>
      <c r="AV25" s="90" t="str">
        <f>IF($A25="","",IFERROR(SUMPRODUCT(('Raw Data'!$B$2:$B$9999="Variant")*('Raw Data'!$A$2:$A$9999=$A25)*('Raw Data'!$C$2:$C$9999=$C$3)*'Raw Data'!$D$2:$D$9999*'Raw Data'!$S$2:$S$9999)/SUMIFS('Raw Data'!$D:$D, 'Raw Data'!$B:$B, "Variant", 'Raw Data'!$A:$A, $A25, 'Raw Data'!$C:$C, $C$3),""))</f>
        <v/>
      </c>
      <c r="AW25" s="77" t="str">
        <f t="shared" si="16"/>
        <v/>
      </c>
      <c r="AX25" s="90" t="str">
        <f>IF($A25="","",IFERROR(SUMPRODUCT(('Raw Data'!$B$2:$B$9999="Control")*('Raw Data'!$A$2:$A$9999=$A25)*('Raw Data'!$C$2:$C$9999=$C$3)*'Raw Data'!$D$2:$D$9999*'Raw Data'!$T$2:$T$9999)/SUMIFS('Raw Data'!$D:$D, 'Raw Data'!$B:$B, "Control", 'Raw Data'!$A:$A, $A25, 'Raw Data'!$C:$C, $C$3),""))</f>
        <v/>
      </c>
      <c r="AY25" s="90" t="str">
        <f>IF($A25="","",IFERROR(SUMPRODUCT(('Raw Data'!$B$2:$B$9999="Variant")*('Raw Data'!$A$2:$A$9999=$A25)*('Raw Data'!$C$2:$C$9999=$C$3)*'Raw Data'!$D$2:$D$9999*'Raw Data'!$T$2:$T$9999)/SUMIFS('Raw Data'!$D:$D, 'Raw Data'!$B:$B, "Variant", 'Raw Data'!$A:$A, $A25, 'Raw Data'!$C:$C, $C$3),""))</f>
        <v/>
      </c>
      <c r="AZ25" s="86" t="str">
        <f t="shared" si="17"/>
        <v/>
      </c>
      <c r="BA25" s="90" t="str">
        <f>IF($A25="","",IFERROR(SUMPRODUCT(('Raw Data'!$B$2:$B$9999="Control")*('Raw Data'!$A$2:$A$9999=$A25)*('Raw Data'!$C$2:$C$9999=$C$3)*'Raw Data'!$D$2:$D$9999*'Raw Data'!$U$2:$U$9999)/SUMIFS('Raw Data'!$D:$D, 'Raw Data'!$B:$B, "Control", 'Raw Data'!$A:$A, $A25, 'Raw Data'!$C:$C, $C$3),""))</f>
        <v/>
      </c>
      <c r="BB25" s="90" t="str">
        <f>IF($A25="","",IFERROR(SUMPRODUCT(('Raw Data'!$B$2:$B$9999="Variant")*('Raw Data'!$A$2:$A$9999=$A25)*('Raw Data'!$C$2:$C$9999=$C$3)*'Raw Data'!$D$2:$D$9999*'Raw Data'!$U$2:$U$9999)/SUMIFS('Raw Data'!$D:$D, 'Raw Data'!$B:$B, "Variant", 'Raw Data'!$A:$A, $A25, 'Raw Data'!$C:$C, $C$3),""))</f>
        <v/>
      </c>
      <c r="BC25" s="77" t="str">
        <f t="shared" si="18"/>
        <v/>
      </c>
      <c r="BD25" s="90" t="str">
        <f>IF($A25="","",IFERROR(SUMPRODUCT(('Raw Data'!$B$2:$B$9999="Control")*('Raw Data'!$A$2:$A$9999=$A25)*('Raw Data'!$C$2:$C$9999=$C$3)*'Raw Data'!$D$2:$D$9999*'Raw Data'!$V$2:$V$9999)/SUMIFS('Raw Data'!$D:$D, 'Raw Data'!$B:$B, "Control", 'Raw Data'!$A:$A, $A25, 'Raw Data'!$C:$C, $C$3),""))</f>
        <v/>
      </c>
      <c r="BE25" s="90" t="str">
        <f>IF($A25="","",IFERROR(SUMPRODUCT(('Raw Data'!$B$2:$B$9999="Variant")*('Raw Data'!$A$2:$A$9999=$A25)*('Raw Data'!$C$2:$C$9999=$C$3)*'Raw Data'!$D$2:$D$9999*'Raw Data'!$V$2:$V$9999)/SUMIFS('Raw Data'!$D:$D, 'Raw Data'!$B:$B, "Variant", 'Raw Data'!$A:$A, $A25, 'Raw Data'!$C:$C, $C$3),""))</f>
        <v/>
      </c>
      <c r="BF25" s="77" t="str">
        <f t="shared" si="19"/>
        <v/>
      </c>
      <c r="BG25" s="90" t="str">
        <f>IF($A25="","",IFERROR(SUMPRODUCT(('Raw Data'!$B$2:$B$9999="Control")*('Raw Data'!$A$2:$A$9999=$A25)*('Raw Data'!$C$2:$C$9999=$C$3)*'Raw Data'!$D$2:$D$9999*('Raw Data'!$Q$2:$Q$9999-'Raw Data'!$V$2:$V$9999))/SUMIFS('Raw Data'!$D:$D, 'Raw Data'!$B:$B, "Control", 'Raw Data'!$A:$A, $A25, 'Raw Data'!$C:$C, $C$3),""))</f>
        <v/>
      </c>
      <c r="BH25" s="90" t="str">
        <f>IF($A25="","",IFERROR(SUMPRODUCT(('Raw Data'!$B$2:$B$9999="Variant")*('Raw Data'!$A$2:$A$9999=$A25)*('Raw Data'!$C$2:$C$9999=$C$3)*'Raw Data'!$D$2:$D$9999*('Raw Data'!$Q$2:$Q$9999-'Raw Data'!$V$2:$V$9999))/SUMIFS('Raw Data'!$D:$D, 'Raw Data'!$B:$B, "Variant", 'Raw Data'!$A:$A, $A25, 'Raw Data'!$C:$C, $C$3),""))</f>
        <v/>
      </c>
      <c r="BI25" s="77" t="str">
        <f t="shared" si="20"/>
        <v/>
      </c>
      <c r="BJ25" s="90" t="str">
        <f>IF($A25="","",IFERROR(SUMPRODUCT(('Raw Data'!$B$2:$B$9999="Control")*('Raw Data'!$A$2:$A$9999=$A25)*('Raw Data'!$C$2:$C$9999=$C$3)*'Raw Data'!$D$2:$D$9999*'Raw Data'!$W$2:$W$9999)/SUMIFS('Raw Data'!$D:$D, 'Raw Data'!$B:$B, "Control", 'Raw Data'!$A:$A, $A25, 'Raw Data'!$C:$C, $C$3),""))</f>
        <v/>
      </c>
      <c r="BK25" s="90" t="str">
        <f>IF($A25="","",IFERROR(SUMPRODUCT(('Raw Data'!$B$2:$B$9999="Variant")*('Raw Data'!$A$2:$A$9999=$A25)*('Raw Data'!$C$2:$C$9999=$C$3)*'Raw Data'!$D$2:$D$9999*'Raw Data'!$W$2:$W$9999)/SUMIFS('Raw Data'!$D:$D, 'Raw Data'!$B:$B, "Variant", 'Raw Data'!$A:$A, $A25, 'Raw Data'!$C:$C, $C$3),""))</f>
        <v/>
      </c>
      <c r="BL25" s="77" t="str">
        <f t="shared" si="21"/>
        <v/>
      </c>
      <c r="BM25" s="91" t="str">
        <f>IF($A25="","",IFERROR(SUMPRODUCT(('Raw Data'!$B$2:$B$9999="Control")*('Raw Data'!$A$2:$A$9999=$A25)*('Raw Data'!$C$2:$C$9999=$C$3)*'Raw Data'!$D$2:$D$9999*'Raw Data'!$X$2:$X$9999)/SUMIFS('Raw Data'!$D:$D, 'Raw Data'!$B:$B, "Control", 'Raw Data'!$A:$A, $A25, 'Raw Data'!$C:$C, $C$3),""))</f>
        <v/>
      </c>
      <c r="BN25" s="91" t="str">
        <f>IF($A25="","",IFERROR(SUMPRODUCT(('Raw Data'!$B$2:$B$9999="Variant")*('Raw Data'!$A$2:$A$9999=$A25)*('Raw Data'!$C$2:$C$9999=$C$3)*'Raw Data'!$D$2:$D$9999*'Raw Data'!$X$2:$X$9999)/SUMIFS('Raw Data'!$D:$D, 'Raw Data'!$B:$B, "Variant", 'Raw Data'!$A:$A, $A25, 'Raw Data'!$C:$C, $C$3),""))</f>
        <v/>
      </c>
      <c r="BO25" s="86" t="str">
        <f t="shared" si="22"/>
        <v/>
      </c>
      <c r="BP25" s="76" t="str">
        <f>IF($A25="","",IFERROR(SUMPRODUCT(('Raw Data'!$B$2:$B$9999="Control")*('Raw Data'!$A$2:$A$9999=$A25)*('Raw Data'!$C$2:$C$9999=$C$3)*'Raw Data'!$D$2:$D$9999*'Raw Data'!$Y$2:$Y$9999)/SUMIFS('Raw Data'!$D:$D, 'Raw Data'!$B:$B, "Control", 'Raw Data'!$A:$A, $A25, 'Raw Data'!$C:$C, $C$3),""))</f>
        <v/>
      </c>
      <c r="BQ25" s="76" t="str">
        <f>IF($A25="","",IFERROR(SUMPRODUCT(('Raw Data'!$B$2:$B$9999="Variant")*('Raw Data'!$A$2:$A$9999=$A25)*('Raw Data'!$C$2:$C$9999=$C$3)*'Raw Data'!$D$2:$D$9999*'Raw Data'!$Y$2:$Y$9999)/SUMIFS('Raw Data'!$D:$D, 'Raw Data'!$B:$B, "Variant", 'Raw Data'!$A:$A, $A25, 'Raw Data'!$C:$C, $C$3),""))</f>
        <v/>
      </c>
      <c r="BR25" s="77" t="str">
        <f t="shared" si="23"/>
        <v/>
      </c>
      <c r="BS25" s="76" t="str">
        <f>IF($A25="","",IFERROR(SUMPRODUCT(('Raw Data'!$B$2:$B$9999="Control")*('Raw Data'!$A$2:$A$9999=$A25)*('Raw Data'!$C$2:$C$9999=$C$3)*'Raw Data'!$D$2:$D$9999*'Raw Data'!$Z$2:$Z$9999)/SUMIFS('Raw Data'!$D:$D, 'Raw Data'!$B:$B, "Control", 'Raw Data'!$A:$A, $A25, 'Raw Data'!$C:$C, $C$3),""))</f>
        <v/>
      </c>
      <c r="BT25" s="76" t="str">
        <f>IF($A25="","",IFERROR(SUMPRODUCT(('Raw Data'!$B$2:$B$9999="Variant")*('Raw Data'!$A$2:$A$9999=$A25)*('Raw Data'!$C$2:$C$9999=$C$3)*'Raw Data'!$D$2:$D$9999*'Raw Data'!$Z$2:$Z$9999)/SUMIFS('Raw Data'!$D:$D, 'Raw Data'!$B:$B, "Variant", 'Raw Data'!$A:$A, $A25, 'Raw Data'!$C:$C, $C$3),""))</f>
        <v/>
      </c>
      <c r="BU25" s="77" t="str">
        <f t="shared" si="24"/>
        <v/>
      </c>
      <c r="BV25" s="76" t="str">
        <f>IF($A25="","",IFERROR(SUMPRODUCT(('Raw Data'!$B$2:$B$9999="Control")*('Raw Data'!$A$2:$A$9999=$A25)*('Raw Data'!$C$2:$C$9999=$C$3)*'Raw Data'!$D$2:$D$9999*'Raw Data'!$AA$2:$AA$9999)/SUMIFS('Raw Data'!$D:$D, 'Raw Data'!$B:$B, "Control", 'Raw Data'!$A:$A, $A25, 'Raw Data'!$C:$C, $C$3),""))</f>
        <v/>
      </c>
      <c r="BW25" s="76" t="str">
        <f>IF($A25="","",IFERROR(SUMPRODUCT(('Raw Data'!$B$2:$B$9999="Variant")*('Raw Data'!$A$2:$A$9999=$A25)*('Raw Data'!$C$2:$C$9999=$C$3)*'Raw Data'!$D$2:$D$9999*'Raw Data'!$AA$2:$AA$9999)/SUMIFS('Raw Data'!$D:$D, 'Raw Data'!$B:$B, "Variant", 'Raw Data'!$A:$A, $A25, 'Raw Data'!$C:$C, $C$3),""))</f>
        <v/>
      </c>
      <c r="BX25" s="77" t="str">
        <f t="shared" si="25"/>
        <v/>
      </c>
      <c r="BY25" s="90" t="str">
        <f>IF($A25="","",IFERROR(SUMPRODUCT(('Raw Data'!$B$2:$B$9999="Control")*('Raw Data'!$A$2:$A$9999=$A25)*('Raw Data'!$C$2:$C$9999=$C$3)*'Raw Data'!$D$2:$D$9999*'Raw Data'!$AB$2:$AB$9999)/SUMIFS('Raw Data'!$D:$D, 'Raw Data'!$B:$B, "Control", 'Raw Data'!$A:$A, $A25, 'Raw Data'!$C:$C, $C$3),""))</f>
        <v/>
      </c>
      <c r="BZ25" s="90" t="str">
        <f>IF($A25="","",IFERROR(SUMPRODUCT(('Raw Data'!$B$2:$B$9999="Variant")*('Raw Data'!$A$2:$A$9999=$A25)*('Raw Data'!$C$2:$C$9999=$C$3)*'Raw Data'!$D$2:$D$9999*'Raw Data'!$AB$2:$AB$9999)/SUMIFS('Raw Data'!$D:$D, 'Raw Data'!$B:$B, "Variant", 'Raw Data'!$A:$A, $A25, 'Raw Data'!$C:$C, $C$3),""))</f>
        <v/>
      </c>
      <c r="CA25" s="86" t="str">
        <f t="shared" si="26"/>
        <v/>
      </c>
      <c r="CB25" s="90" t="str">
        <f>IF($A25="","",IFERROR(SUMPRODUCT(('Raw Data'!$B$2:$B$9999="Control")*('Raw Data'!$A$2:$A$9999=$A25)*('Raw Data'!$C$2:$C$9999=$C$3)*'Raw Data'!$D$2:$D$9999*'Raw Data'!$AC$2:$AC$9999)/SUMIFS('Raw Data'!$D:$D, 'Raw Data'!$B:$B, "Control", 'Raw Data'!$A:$A, $A25, 'Raw Data'!$C:$C, $C$3),""))</f>
        <v/>
      </c>
      <c r="CC25" s="90" t="str">
        <f>IF($A25="","",IFERROR(SUMPRODUCT(('Raw Data'!$B$2:$B$9999="Variant")*('Raw Data'!$A$2:$A$9999=$A25)*('Raw Data'!$C$2:$C$9999=$C$3)*'Raw Data'!$D$2:$D$9999*'Raw Data'!$AC$2:$AC$9999)/SUMIFS('Raw Data'!$D:$D, 'Raw Data'!$B:$B, "Variant", 'Raw Data'!$A:$A, $A25, 'Raw Data'!$C:$C, $C$3),""))</f>
        <v/>
      </c>
      <c r="CD25" s="86" t="str">
        <f t="shared" si="27"/>
        <v/>
      </c>
      <c r="CE25" s="90" t="str">
        <f>IF($A25="","",IFERROR(SUMPRODUCT(('Raw Data'!$B$2:$B$9999="Control")*('Raw Data'!$A$2:$A$9999=$A25)*('Raw Data'!$C$2:$C$9999=$C$3)*'Raw Data'!$D$2:$D$9999*'Raw Data'!$AD$2:$AD$9999)/SUMIFS('Raw Data'!$D:$D, 'Raw Data'!$B:$B, "Control", 'Raw Data'!$A:$A, $A25, 'Raw Data'!$C:$C, $C$3),""))</f>
        <v/>
      </c>
      <c r="CF25" s="90" t="str">
        <f>IF($A25="","",IFERROR(SUMPRODUCT(('Raw Data'!$B$2:$B$9999="Variant")*('Raw Data'!$A$2:$A$9999=$A25)*('Raw Data'!$C$2:$C$9999=$C$3)*'Raw Data'!$D$2:$D$9999*'Raw Data'!$AD$2:$AD$9999)/SUMIFS('Raw Data'!$D:$D, 'Raw Data'!$B:$B, "Variant", 'Raw Data'!$A:$A, $A25, 'Raw Data'!$C:$C, $C$3),""))</f>
        <v/>
      </c>
      <c r="CG25" s="86" t="str">
        <f t="shared" si="28"/>
        <v/>
      </c>
      <c r="CH25" s="90" t="str">
        <f>IF($A25="","",IFERROR(SUMPRODUCT(('Raw Data'!$B$2:$B$9999="Control")*('Raw Data'!$A$2:$A$9999=$A25)*('Raw Data'!$C$2:$C$9999=$C$3)*'Raw Data'!$D$2:$D$9999*'Raw Data'!$AE$2:$AE$9999)/SUMIFS('Raw Data'!$D:$D, 'Raw Data'!$B:$B, "Control", 'Raw Data'!$A:$A, $A25, 'Raw Data'!$C:$C, $C$3),""))</f>
        <v/>
      </c>
      <c r="CI25" s="90" t="str">
        <f>IF($A25="","",IFERROR(SUMPRODUCT(('Raw Data'!$B$2:$B$9999="Variant")*('Raw Data'!$A$2:$A$9999=$A25)*('Raw Data'!$C$2:$C$9999=$C$3)*'Raw Data'!$D$2:$D$9999*'Raw Data'!$AE$2:$AE$9999)/SUMIFS('Raw Data'!$D:$D, 'Raw Data'!$B:$B, "Variant", 'Raw Data'!$A:$A, $A25, 'Raw Data'!$C:$C, $C$3),""))</f>
        <v/>
      </c>
      <c r="CJ25" s="86" t="str">
        <f t="shared" si="29"/>
        <v/>
      </c>
      <c r="CK25" s="90" t="str">
        <f>IF($A25="","",IFERROR(SUMPRODUCT(('Raw Data'!$B$2:$B$9999="Control")*('Raw Data'!$A$2:$A$9999=$A25)*('Raw Data'!$C$2:$C$9999=$C$3)*'Raw Data'!$D$2:$D$9999*'Raw Data'!$AF$2:$AF$9999)/SUMIFS('Raw Data'!$D:$D, 'Raw Data'!$B:$B, "Control", 'Raw Data'!$A:$A, $A25, 'Raw Data'!$C:$C, $C$3),""))</f>
        <v/>
      </c>
      <c r="CL25" s="90" t="str">
        <f>IF($A25="","",IFERROR(SUMPRODUCT(('Raw Data'!$B$2:$B$9999="Variant")*('Raw Data'!$A$2:$A$9999=$A25)*('Raw Data'!$C$2:$C$9999=$C$3)*'Raw Data'!$D$2:$D$9999*'Raw Data'!$AF$2:$AF$9999)/SUMIFS('Raw Data'!$D:$D, 'Raw Data'!$B:$B, "Variant", 'Raw Data'!$A:$A, $A25, 'Raw Data'!$C:$C, $C$3),""))</f>
        <v/>
      </c>
      <c r="CM25" s="86" t="str">
        <f t="shared" si="30"/>
        <v/>
      </c>
      <c r="CN25" s="90" t="str">
        <f>IF($A25="","",IFERROR(SUMPRODUCT(('Raw Data'!$B$2:$B$9999="Control")*('Raw Data'!$A$2:$A$9999=$A25)*('Raw Data'!$C$2:$C$9999=$C$3)*'Raw Data'!$D$2:$D$9999*'Raw Data'!$AG$2:$AG$9999)/SUMIFS('Raw Data'!$D:$D, 'Raw Data'!$B:$B, "Control", 'Raw Data'!$A:$A, $A25, 'Raw Data'!$C:$C, $C$3),""))</f>
        <v/>
      </c>
      <c r="CO25" s="90" t="str">
        <f>IF($A25="","",IFERROR(SUMPRODUCT(('Raw Data'!$B$2:$B$9999="Variant")*('Raw Data'!$A$2:$A$9999=$A25)*('Raw Data'!$C$2:$C$9999=$C$3)*'Raw Data'!$D$2:$D$9999*'Raw Data'!$AG$2:$AG$9999)/SUMIFS('Raw Data'!$D:$D, 'Raw Data'!$B:$B, "Variant", 'Raw Data'!$A:$A, $A25, 'Raw Data'!$C:$C, $C$3),""))</f>
        <v/>
      </c>
      <c r="CP25" s="86" t="str">
        <f t="shared" si="31"/>
        <v/>
      </c>
      <c r="CQ25" s="90" t="str">
        <f>IF($A25="","",IFERROR(SUMPRODUCT(('Raw Data'!$B$2:$B$9999="Control")*('Raw Data'!$A$2:$A$9999=$A25)*('Raw Data'!$C$2:$C$9999=$C$3)*'Raw Data'!$D$2:$D$9999*'Raw Data'!$AH$2:$AH$9999)/SUMIFS('Raw Data'!$D:$D, 'Raw Data'!$B:$B, "Control", 'Raw Data'!$A:$A, $A25, 'Raw Data'!$C:$C, $C$3),""))</f>
        <v/>
      </c>
      <c r="CR25" s="90" t="str">
        <f>IF($A25="","",IFERROR(SUMPRODUCT(('Raw Data'!$B$2:$B$9999="Variant")*('Raw Data'!$A$2:$A$9999=$A25)*('Raw Data'!$C$2:$C$9999=$C$3)*'Raw Data'!$D$2:$D$9999*'Raw Data'!$AH$2:$AH$9999)/SUMIFS('Raw Data'!$D:$D, 'Raw Data'!$B:$B, "Variant", 'Raw Data'!$A:$A, $A25, 'Raw Data'!$C:$C, $C$3),""))</f>
        <v/>
      </c>
      <c r="CS25" s="86" t="str">
        <f t="shared" si="32"/>
        <v/>
      </c>
      <c r="CT25" s="79" t="str">
        <f>IF($A25="","",IFERROR(SUMPRODUCT(('Raw Data'!$B$2:$B$9999="Control")*('Raw Data'!$A$2:$A$9999=$A25)*('Raw Data'!$C$2:$C$9999=$C$3)*'Raw Data'!$D$2:$D$9999*'Raw Data'!$AI$2:$AI$9999)/SUMIFS('Raw Data'!$D:$D, 'Raw Data'!$B:$B, "Control", 'Raw Data'!$A:$A, $A25, 'Raw Data'!$C:$C, $C$3),""))</f>
        <v/>
      </c>
      <c r="CU25" s="79" t="str">
        <f>IF($A25="","",IFERROR(SUMPRODUCT(('Raw Data'!$B$2:$B$9999="Variant")*('Raw Data'!$A$2:$A$9999=$A25)*('Raw Data'!$C$2:$C$9999=$C$3)*'Raw Data'!$D$2:$D$9999*'Raw Data'!$AI$2:$AI$9999)/SUMIFS('Raw Data'!$D:$D, 'Raw Data'!$B:$B, "Variant", 'Raw Data'!$A:$A, $A25, 'Raw Data'!$C:$C, $C$3),""))</f>
        <v/>
      </c>
      <c r="CV25" s="93" t="str">
        <f t="shared" si="33"/>
        <v/>
      </c>
      <c r="CW25" s="79" t="str">
        <f>IF($A25="","",IFERROR(SUMPRODUCT(('Raw Data'!$B$2:$B$9999="Control")*('Raw Data'!$A$2:$A$9999=$A25)*('Raw Data'!$C$2:$C$9999=$C$3)*'Raw Data'!$D$2:$D$9999*'Raw Data'!$AJ$2:$AJ$9999)/SUMIFS('Raw Data'!$D:$D, 'Raw Data'!$B:$B, "Control", 'Raw Data'!$A:$A, $A25, 'Raw Data'!$C:$C, $C$3),""))</f>
        <v/>
      </c>
      <c r="CX25" s="79" t="str">
        <f>IF($A25="","",IFERROR(SUMPRODUCT(('Raw Data'!$B$2:$B$9999="Variant")*('Raw Data'!$A$2:$A$9999=$A25)*('Raw Data'!$C$2:$C$9999=$C$3)*'Raw Data'!$D$2:$D$9999*'Raw Data'!$AJ$2:$AJ$9999)/SUMIFS('Raw Data'!$D:$D, 'Raw Data'!$B:$B, "Variant", 'Raw Data'!$A:$A, $A25, 'Raw Data'!$C:$C, $C$3),""))</f>
        <v/>
      </c>
      <c r="CY25" s="93" t="str">
        <f t="shared" si="34"/>
        <v/>
      </c>
      <c r="CZ25" s="79" t="str">
        <f>IF($A25="","",IFERROR(SUMPRODUCT(('Raw Data'!$B$2:$B$9999="Control")*('Raw Data'!$A$2:$A$9999=$A25)*('Raw Data'!$C$2:$C$9999=$C$3)*'Raw Data'!$D$2:$D$9999*'Raw Data'!$AK$2:$AK$9999)/SUMIFS('Raw Data'!$D:$D, 'Raw Data'!$B:$B, "Control", 'Raw Data'!$A:$A, $A25, 'Raw Data'!$C:$C, $C$3),""))</f>
        <v/>
      </c>
      <c r="DA25" s="79" t="str">
        <f>IF($A25="","",IFERROR(SUMPRODUCT(('Raw Data'!$B$2:$B$9999="Variant")*('Raw Data'!$A$2:$A$9999=$A25)*('Raw Data'!$C$2:$C$9999=$C$3)*'Raw Data'!$D$2:$D$9999*'Raw Data'!$AK$2:$AK$9999)/SUMIFS('Raw Data'!$D:$D, 'Raw Data'!$B:$B, "Variant", 'Raw Data'!$A:$A, $A25, 'Raw Data'!$C:$C, $C$3),""))</f>
        <v/>
      </c>
      <c r="DB25" s="86" t="str">
        <f t="shared" si="35"/>
        <v/>
      </c>
      <c r="DC25" s="91" t="str">
        <f>IF($A25="","",IFERROR(SUMPRODUCT(('Raw Data'!$B$2:$B$9999="Control")*('Raw Data'!$A$2:$A$9999=$A25)*('Raw Data'!$C$2:$C$9999=$C$3)*'Raw Data'!$D$2:$D$9999*'Raw Data'!$AL$2:$AL$9999)/SUMIFS('Raw Data'!$D:$D, 'Raw Data'!$B:$B, "Control", 'Raw Data'!$A:$A, $A25, 'Raw Data'!$C:$C, $C$3),""))</f>
        <v/>
      </c>
      <c r="DD25" s="91" t="str">
        <f>IF($A25="","",IFERROR(SUMPRODUCT(('Raw Data'!$B$2:$B$9999="Variant")*('Raw Data'!$A$2:$A$9999=$A25)*('Raw Data'!$C$2:$C$9999=$C$3)*'Raw Data'!$D$2:$D$9999*'Raw Data'!$AL$2:$AL$9999)/SUMIFS('Raw Data'!$D:$D, 'Raw Data'!$B:$B, "Variant", 'Raw Data'!$A:$A, $A25, 'Raw Data'!$C:$C, $C$3),""))</f>
        <v/>
      </c>
      <c r="DE25" s="93" t="str">
        <f t="shared" si="36"/>
        <v/>
      </c>
      <c r="DF25" s="107"/>
      <c r="DG25" s="79" t="str">
        <f>IF($A25="","",IFERROR(SUMPRODUCT(('Raw Data'!$B$2:$B$9999="Variant")*('Raw Data'!$A$2:$A$9999=$A25)*('Raw Data'!$C$2:$C$9999=$C$3)*'Raw Data'!$D$2:$D$9999*'Raw Data'!$AM$2:$AM$9999)/SUMIFS('Raw Data'!$D:$D, 'Raw Data'!$B:$B, "Variant", 'Raw Data'!$A:$A, $A25, 'Raw Data'!$C:$C, $C$3),""))</f>
        <v/>
      </c>
      <c r="DH25" s="108"/>
      <c r="DI25" s="107"/>
      <c r="DJ25" s="79" t="str">
        <f>IF($A25="","",IFERROR(SUMPRODUCT(('Raw Data'!$B$2:$B$9999="Variant")*('Raw Data'!$A$2:$A$9999=$A25)*('Raw Data'!$C$2:$C$9999=$C$3)*'Raw Data'!$D$2:$D$9999*'Raw Data'!$AN$2:$AN$9999)/SUMIFS('Raw Data'!$D:$D, 'Raw Data'!$B:$B, "Variant", 'Raw Data'!$A:$A, $A25, 'Raw Data'!$C:$C, $C$3),""))</f>
        <v/>
      </c>
      <c r="DK25" s="108"/>
      <c r="DL25" s="107"/>
      <c r="DM25" s="79" t="str">
        <f>IF($A25="","",IFERROR(SUMPRODUCT(('Raw Data'!$B$2:$B$9999="Variant")*('Raw Data'!$A$2:$A$9999=$A25)*('Raw Data'!$C$2:$C$9999=$C$3)*'Raw Data'!$D$2:$D$9999*'Raw Data'!$AO$2:$AO$9999)/SUMIFS('Raw Data'!$D:$D, 'Raw Data'!$B:$B, "Variant", 'Raw Data'!$A:$A, $A25, 'Raw Data'!$C:$C, $C$3),""))</f>
        <v/>
      </c>
      <c r="DN25" s="108"/>
      <c r="DO25" s="107"/>
      <c r="DP25" s="79" t="str">
        <f>IF($A25="","",IFERROR(SUMPRODUCT(('Raw Data'!$B$2:$B$9999="Variant")*('Raw Data'!$A$2:$A$9999=$A25)*('Raw Data'!$C$2:$C$9999=$C$3)*'Raw Data'!$D$2:$D$9999*'Raw Data'!$AP$2:$AP$9999)/SUMIFS('Raw Data'!$D:$D, 'Raw Data'!$B:$B, "Variant", 'Raw Data'!$A:$A, $A25, 'Raw Data'!$C:$C, $C$3),""))</f>
        <v/>
      </c>
      <c r="DQ25" s="108"/>
      <c r="DR25" s="91" t="str">
        <f>IF($A25="","",IFERROR(SUMPRODUCT(('Raw Data'!$B$2:$B$9999="Control")*('Raw Data'!$A$2:$A$9999=$A25)*('Raw Data'!$C$2:$C$9999=$C$3)*'Raw Data'!$D$2:$D$9999*'Raw Data'!$AQ$2:$AQ$9999)/SUMIFS('Raw Data'!$D:$D, 'Raw Data'!$B:$B, "Control", 'Raw Data'!$A:$A, $A25, 'Raw Data'!$C:$C, $C$3),""))</f>
        <v/>
      </c>
      <c r="DS25" s="91" t="str">
        <f>IF($A25="","",IFERROR(SUMPRODUCT(('Raw Data'!$B$2:$B$9999="Variant")*('Raw Data'!$A$2:$A$9999=$A25)*('Raw Data'!$C$2:$C$9999=$C$3)*'Raw Data'!$D$2:$D$9999*'Raw Data'!$AQ$2:$AQ$9999)/SUMIFS('Raw Data'!$D:$D, 'Raw Data'!$B:$B, "Variant", 'Raw Data'!$A:$A, $A25, 'Raw Data'!$C:$C, $C$3),""))</f>
        <v/>
      </c>
      <c r="DT25" s="110" t="str">
        <f t="shared" si="37"/>
        <v/>
      </c>
      <c r="DU25" s="91" t="str">
        <f>IF($A25="","",IFERROR(SUMPRODUCT(('Raw Data'!$B$2:$B$9999="Control")*('Raw Data'!$A$2:$A$9999=$A25)*('Raw Data'!$C$2:$C$9999=$C$3)*'Raw Data'!$D$2:$D$9999*'Raw Data'!$AR$2:$AR$9999)/SUMIFS('Raw Data'!$D:$D, 'Raw Data'!$B:$B, "Control", 'Raw Data'!$A:$A, $A25, 'Raw Data'!$C:$C, $C$3),""))</f>
        <v/>
      </c>
      <c r="DV25" s="91" t="str">
        <f>IF($A25="","",IFERROR(SUMPRODUCT(('Raw Data'!$B$2:$B$9999="Variant")*('Raw Data'!$A$2:$A$9999=$A25)*('Raw Data'!$C$2:$C$9999=$C$3)*'Raw Data'!$D$2:$D$9999*'Raw Data'!$AR$2:$AR$9999)/SUMIFS('Raw Data'!$D:$D, 'Raw Data'!$B:$B, "Variant", 'Raw Data'!$A:$A, $A25, 'Raw Data'!$C:$C, $C$3),""))</f>
        <v/>
      </c>
      <c r="DW25" s="110" t="str">
        <f t="shared" si="38"/>
        <v/>
      </c>
      <c r="DX25" s="91" t="str">
        <f>IF($A25="","",IFERROR(SUMPRODUCT(('Raw Data'!$B$2:$B$9999="Control")*('Raw Data'!$A$2:$A$9999=$A25)*('Raw Data'!$C$2:$C$9999=$C$3)*'Raw Data'!$D$2:$D$9999*'Raw Data'!$AS$2:$AS$9999)/SUMIFS('Raw Data'!$D:$D, 'Raw Data'!$B:$B, "Control", 'Raw Data'!$A:$A, $A25, 'Raw Data'!$C:$C, $C$3),""))</f>
        <v/>
      </c>
      <c r="DY25" s="91" t="str">
        <f>IF($A25="","",IFERROR(SUMPRODUCT(('Raw Data'!$B$2:$B$9999="Variant")*('Raw Data'!$A$2:$A$9999=$A25)*('Raw Data'!$C$2:$C$9999=$C$3)*'Raw Data'!$D$2:$D$9999*'Raw Data'!$AS$2:$AS$9999)/SUMIFS('Raw Data'!$D:$D, 'Raw Data'!$B:$B, "Variant", 'Raw Data'!$A:$A, $A25, 'Raw Data'!$C:$C, $C$3),""))</f>
        <v/>
      </c>
      <c r="DZ25" s="111" t="str">
        <f t="shared" si="39"/>
        <v/>
      </c>
      <c r="EA25" s="91" t="str">
        <f>IF($A25="","",IFERROR(SUMPRODUCT(('Raw Data'!$B$2:$B$9999="Control")*('Raw Data'!$A$2:$A$9999=$A25)*('Raw Data'!$C$2:$C$9999=$C$3)*'Raw Data'!$D$2:$D$9999*'Raw Data'!$AT$2:$AT$9999)/SUMIFS('Raw Data'!$D:$D, 'Raw Data'!$B:$B, "Control", 'Raw Data'!$A:$A, $A25, 'Raw Data'!$C:$C, $C$3),""))</f>
        <v/>
      </c>
      <c r="EB25" s="91" t="str">
        <f>IF($A25="","",IFERROR(SUMPRODUCT(('Raw Data'!$B$2:$B$9999="Variant")*('Raw Data'!$A$2:$A$9999=$A25)*('Raw Data'!$C$2:$C$9999=$C$3)*'Raw Data'!$D$2:$D$9999*'Raw Data'!$AT$2:$AT$9999)/SUMIFS('Raw Data'!$D:$D, 'Raw Data'!$B:$B, "Variant", 'Raw Data'!$A:$A, $A25, 'Raw Data'!$C:$C, $C$3),""))</f>
        <v/>
      </c>
      <c r="EC25" s="110" t="str">
        <f t="shared" si="40"/>
        <v/>
      </c>
      <c r="ED25" s="91" t="str">
        <f>IF($A25="","",IFERROR(SUMPRODUCT(('Raw Data'!$B$2:$B$9999="Control")*('Raw Data'!$A$2:$A$9999=$A25)*('Raw Data'!$C$2:$C$9999=$C$3)*'Raw Data'!$D$2:$D$9999*('Raw Data'!$AQ$2:$AQ$9999-'Raw Data'!$AT$2:$AT$9999))/SUMIFS('Raw Data'!$D:$D, 'Raw Data'!$B:$B, "Control", 'Raw Data'!$A:$A, $A25, 'Raw Data'!$C:$C, $C$3),""))</f>
        <v/>
      </c>
      <c r="EE25" s="91" t="str">
        <f>IF($A25="","",IFERROR(SUMPRODUCT(('Raw Data'!$B$2:$B$9999="Variant")*('Raw Data'!$A$2:$A$9999=$A25)*('Raw Data'!$C$2:$C$9999=$C$3)*'Raw Data'!$D$2:$D$9999*('Raw Data'!$AQ$2:$AQ$9999-'Raw Data'!$AT$2:$AT$9999))/SUMIFS('Raw Data'!$D:$D, 'Raw Data'!$B:$B, "Variant", 'Raw Data'!$A:$A, $A25, 'Raw Data'!$C:$C, $C$3),""))</f>
        <v/>
      </c>
      <c r="EF25" s="111" t="str">
        <f t="shared" si="41"/>
        <v/>
      </c>
      <c r="EG25" s="91" t="str">
        <f>IF($A25="","",IFERROR(SUMPRODUCT(('Raw Data'!$B$2:$B$9999="Control")*('Raw Data'!$A$2:$A$9999=$A25)*('Raw Data'!$C$2:$C$9999=$C$3)*'Raw Data'!$D$2:$D$9999*'Raw Data'!$AU$2:$AU$9999)/SUMIFS('Raw Data'!$D:$D, 'Raw Data'!$B:$B, "Control", 'Raw Data'!$A:$A, $A25, 'Raw Data'!$C:$C, $C$3),""))</f>
        <v/>
      </c>
      <c r="EH25" s="91" t="str">
        <f>IF($A25="","",IFERROR(SUMPRODUCT(('Raw Data'!$B$2:$B$9999="Variant")*('Raw Data'!$A$2:$A$9999=$A25)*('Raw Data'!$C$2:$C$9999=$C$3)*'Raw Data'!$D$2:$D$9999*'Raw Data'!$AU$2:$AU$9999)/SUMIFS('Raw Data'!$D:$D, 'Raw Data'!$B:$B, "Variant", 'Raw Data'!$A:$A, $A25, 'Raw Data'!$C:$C, $C$3),""))</f>
        <v/>
      </c>
      <c r="EI25" s="110" t="str">
        <f t="shared" si="42"/>
        <v/>
      </c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7"/>
      <c r="EC145" s="7"/>
      <c r="ED145" s="7"/>
      <c r="EE145" s="7"/>
      <c r="EF145" s="7"/>
      <c r="EG145" s="7"/>
      <c r="EH145" s="7"/>
      <c r="EI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  <c r="ED146" s="7"/>
      <c r="EE146" s="7"/>
      <c r="EF146" s="7"/>
      <c r="EG146" s="7"/>
      <c r="EH146" s="7"/>
      <c r="EI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  <c r="ED147" s="7"/>
      <c r="EE147" s="7"/>
      <c r="EF147" s="7"/>
      <c r="EG147" s="7"/>
      <c r="EH147" s="7"/>
      <c r="EI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  <c r="ED148" s="7"/>
      <c r="EE148" s="7"/>
      <c r="EF148" s="7"/>
      <c r="EG148" s="7"/>
      <c r="EH148" s="7"/>
      <c r="EI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7"/>
      <c r="EC149" s="7"/>
      <c r="ED149" s="7"/>
      <c r="EE149" s="7"/>
      <c r="EF149" s="7"/>
      <c r="EG149" s="7"/>
      <c r="EH149" s="7"/>
      <c r="EI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  <c r="EC150" s="7"/>
      <c r="ED150" s="7"/>
      <c r="EE150" s="7"/>
      <c r="EF150" s="7"/>
      <c r="EG150" s="7"/>
      <c r="EH150" s="7"/>
      <c r="EI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7"/>
      <c r="EC151" s="7"/>
      <c r="ED151" s="7"/>
      <c r="EE151" s="7"/>
      <c r="EF151" s="7"/>
      <c r="EG151" s="7"/>
      <c r="EH151" s="7"/>
      <c r="EI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  <c r="ED152" s="7"/>
      <c r="EE152" s="7"/>
      <c r="EF152" s="7"/>
      <c r="EG152" s="7"/>
      <c r="EH152" s="7"/>
      <c r="EI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7"/>
      <c r="EC153" s="7"/>
      <c r="ED153" s="7"/>
      <c r="EE153" s="7"/>
      <c r="EF153" s="7"/>
      <c r="EG153" s="7"/>
      <c r="EH153" s="7"/>
      <c r="EI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  <c r="ED154" s="7"/>
      <c r="EE154" s="7"/>
      <c r="EF154" s="7"/>
      <c r="EG154" s="7"/>
      <c r="EH154" s="7"/>
      <c r="EI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7"/>
      <c r="EC155" s="7"/>
      <c r="ED155" s="7"/>
      <c r="EE155" s="7"/>
      <c r="EF155" s="7"/>
      <c r="EG155" s="7"/>
      <c r="EH155" s="7"/>
      <c r="EI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7"/>
      <c r="EC156" s="7"/>
      <c r="ED156" s="7"/>
      <c r="EE156" s="7"/>
      <c r="EF156" s="7"/>
      <c r="EG156" s="7"/>
      <c r="EH156" s="7"/>
      <c r="EI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7"/>
      <c r="EC157" s="7"/>
      <c r="ED157" s="7"/>
      <c r="EE157" s="7"/>
      <c r="EF157" s="7"/>
      <c r="EG157" s="7"/>
      <c r="EH157" s="7"/>
      <c r="EI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7"/>
      <c r="EC158" s="7"/>
      <c r="ED158" s="7"/>
      <c r="EE158" s="7"/>
      <c r="EF158" s="7"/>
      <c r="EG158" s="7"/>
      <c r="EH158" s="7"/>
      <c r="EI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s="7"/>
      <c r="EC159" s="7"/>
      <c r="ED159" s="7"/>
      <c r="EE159" s="7"/>
      <c r="EF159" s="7"/>
      <c r="EG159" s="7"/>
      <c r="EH159" s="7"/>
      <c r="EI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7"/>
      <c r="EC160" s="7"/>
      <c r="ED160" s="7"/>
      <c r="EE160" s="7"/>
      <c r="EF160" s="7"/>
      <c r="EG160" s="7"/>
      <c r="EH160" s="7"/>
      <c r="EI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  <c r="EG161" s="7"/>
      <c r="EH161" s="7"/>
      <c r="EI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7"/>
      <c r="EC163" s="7"/>
      <c r="ED163" s="7"/>
      <c r="EE163" s="7"/>
      <c r="EF163" s="7"/>
      <c r="EG163" s="7"/>
      <c r="EH163" s="7"/>
      <c r="EI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7"/>
      <c r="EC165" s="7"/>
      <c r="ED165" s="7"/>
      <c r="EE165" s="7"/>
      <c r="EF165" s="7"/>
      <c r="EG165" s="7"/>
      <c r="EH165" s="7"/>
      <c r="EI165" s="7"/>
    </row>
  </sheetData>
  <mergeCells count="47">
    <mergeCell ref="A5:A6"/>
    <mergeCell ref="B5:D5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AF5:AH5"/>
    <mergeCell ref="AI5:AK5"/>
    <mergeCell ref="AL5:AN5"/>
    <mergeCell ref="AO5:AQ5"/>
    <mergeCell ref="AR5:AT5"/>
    <mergeCell ref="AU5:AW5"/>
    <mergeCell ref="AX5:AZ5"/>
    <mergeCell ref="BA5:BC5"/>
    <mergeCell ref="BD5:BF5"/>
    <mergeCell ref="BG5:BI5"/>
    <mergeCell ref="BJ5:BL5"/>
    <mergeCell ref="BM5:BO5"/>
    <mergeCell ref="BP5:BR5"/>
    <mergeCell ref="BS5:BU5"/>
    <mergeCell ref="BV5:BX5"/>
    <mergeCell ref="BY5:CA5"/>
    <mergeCell ref="CB5:CD5"/>
    <mergeCell ref="CE5:CG5"/>
    <mergeCell ref="CH5:CJ5"/>
    <mergeCell ref="CK5:CM5"/>
    <mergeCell ref="CN5:CP5"/>
    <mergeCell ref="CQ5:CS5"/>
    <mergeCell ref="CT5:CV5"/>
    <mergeCell ref="CW5:CY5"/>
    <mergeCell ref="DU5:DW5"/>
    <mergeCell ref="DX5:DZ5"/>
    <mergeCell ref="EA5:EC5"/>
    <mergeCell ref="ED5:EF5"/>
    <mergeCell ref="EG5:EI5"/>
    <mergeCell ref="CZ5:DB5"/>
    <mergeCell ref="DC5:DE5"/>
    <mergeCell ref="DF5:DH5"/>
    <mergeCell ref="DI5:DK5"/>
    <mergeCell ref="DL5:DN5"/>
    <mergeCell ref="DO5:DQ5"/>
    <mergeCell ref="DR5:DT5"/>
  </mergeCells>
  <conditionalFormatting sqref="J7:J145">
    <cfRule type="cellIs" dxfId="0" priority="1" operator="greaterThan">
      <formula>0</formula>
    </cfRule>
  </conditionalFormatting>
  <conditionalFormatting sqref="J7:J145">
    <cfRule type="cellIs" dxfId="1" priority="2" operator="lessThan">
      <formula>0</formula>
    </cfRule>
  </conditionalFormatting>
  <conditionalFormatting sqref="M7:M145">
    <cfRule type="cellIs" dxfId="0" priority="3" operator="greaterThan">
      <formula>0</formula>
    </cfRule>
  </conditionalFormatting>
  <conditionalFormatting sqref="M7:M145">
    <cfRule type="cellIs" dxfId="1" priority="4" operator="lessThan">
      <formula>0</formula>
    </cfRule>
  </conditionalFormatting>
  <conditionalFormatting sqref="P7:P145">
    <cfRule type="cellIs" dxfId="0" priority="5" operator="greaterThan">
      <formula>0</formula>
    </cfRule>
  </conditionalFormatting>
  <conditionalFormatting sqref="P7:P145">
    <cfRule type="cellIs" dxfId="1" priority="6" operator="lessThan">
      <formula>0</formula>
    </cfRule>
  </conditionalFormatting>
  <conditionalFormatting sqref="S7:S145">
    <cfRule type="cellIs" dxfId="0" priority="7" operator="greaterThan">
      <formula>0</formula>
    </cfRule>
  </conditionalFormatting>
  <conditionalFormatting sqref="S7:S145">
    <cfRule type="cellIs" dxfId="1" priority="8" operator="lessThan">
      <formula>0</formula>
    </cfRule>
  </conditionalFormatting>
  <conditionalFormatting sqref="V7:V145">
    <cfRule type="cellIs" dxfId="0" priority="9" operator="greaterThan">
      <formula>0</formula>
    </cfRule>
  </conditionalFormatting>
  <conditionalFormatting sqref="V7:V145">
    <cfRule type="cellIs" dxfId="1" priority="10" operator="lessThan">
      <formula>0</formula>
    </cfRule>
  </conditionalFormatting>
  <conditionalFormatting sqref="Y7:Y145">
    <cfRule type="cellIs" dxfId="0" priority="11" operator="greaterThan">
      <formula>0</formula>
    </cfRule>
  </conditionalFormatting>
  <conditionalFormatting sqref="Y7:Y145">
    <cfRule type="cellIs" dxfId="1" priority="12" operator="lessThan">
      <formula>0</formula>
    </cfRule>
  </conditionalFormatting>
  <dataValidations>
    <dataValidation type="list" allowBlank="1" sqref="B3">
      <formula1>"1-9,10-19,20-39,40-99,100+"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0.71"/>
    <col customWidth="1" min="3" max="15" width="7.57"/>
    <col customWidth="1" min="16" max="16" width="7.14"/>
    <col customWidth="1" min="17" max="29" width="6.0"/>
    <col customWidth="1" min="30" max="30" width="7.14"/>
    <col customWidth="1" min="31" max="33" width="9.43"/>
    <col customWidth="1" min="34" max="34" width="10.0"/>
    <col customWidth="1" min="35" max="37" width="12.29"/>
    <col customWidth="1" min="38" max="39" width="9.43"/>
    <col customWidth="1" min="40" max="41" width="10.0"/>
    <col customWidth="1" min="42" max="43" width="9.43"/>
  </cols>
  <sheetData>
    <row r="2">
      <c r="B2" s="1" t="s">
        <v>2</v>
      </c>
    </row>
    <row r="3">
      <c r="B3" s="5" t="s">
        <v>4</v>
      </c>
      <c r="C3" s="8" t="s">
        <v>5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>
      <c r="B4" s="15" t="s">
        <v>8</v>
      </c>
      <c r="C4" s="18" t="s">
        <v>12</v>
      </c>
      <c r="D4" s="18" t="s">
        <v>15</v>
      </c>
      <c r="E4" s="18" t="s">
        <v>17</v>
      </c>
      <c r="F4" s="18" t="s">
        <v>18</v>
      </c>
      <c r="G4" s="18" t="s">
        <v>19</v>
      </c>
      <c r="H4" s="18" t="s">
        <v>21</v>
      </c>
      <c r="I4" s="18" t="s">
        <v>22</v>
      </c>
      <c r="J4" s="18" t="s">
        <v>26</v>
      </c>
      <c r="K4" s="18" t="s">
        <v>27</v>
      </c>
      <c r="L4" s="18" t="s">
        <v>29</v>
      </c>
      <c r="M4" s="18" t="s">
        <v>30</v>
      </c>
      <c r="N4" s="18" t="s">
        <v>31</v>
      </c>
      <c r="O4" s="18" t="s">
        <v>32</v>
      </c>
      <c r="Q4" s="18" t="s">
        <v>12</v>
      </c>
      <c r="R4" s="18" t="s">
        <v>15</v>
      </c>
      <c r="S4" s="18" t="s">
        <v>17</v>
      </c>
      <c r="T4" s="18" t="s">
        <v>18</v>
      </c>
      <c r="U4" s="18" t="s">
        <v>19</v>
      </c>
      <c r="V4" s="18" t="s">
        <v>21</v>
      </c>
      <c r="W4" s="18" t="s">
        <v>22</v>
      </c>
      <c r="X4" s="18" t="s">
        <v>26</v>
      </c>
      <c r="Y4" s="18" t="s">
        <v>27</v>
      </c>
      <c r="Z4" s="18" t="s">
        <v>29</v>
      </c>
      <c r="AA4" s="18" t="s">
        <v>30</v>
      </c>
      <c r="AB4" s="18" t="s">
        <v>31</v>
      </c>
      <c r="AC4" s="18" t="s">
        <v>32</v>
      </c>
      <c r="AE4" s="18" t="s">
        <v>12</v>
      </c>
      <c r="AF4" s="18" t="s">
        <v>15</v>
      </c>
      <c r="AG4" s="18" t="s">
        <v>17</v>
      </c>
      <c r="AH4" s="18" t="s">
        <v>18</v>
      </c>
      <c r="AI4" s="18" t="s">
        <v>19</v>
      </c>
      <c r="AJ4" s="18" t="s">
        <v>21</v>
      </c>
      <c r="AK4" s="18" t="s">
        <v>22</v>
      </c>
      <c r="AL4" s="18" t="s">
        <v>26</v>
      </c>
      <c r="AM4" s="18" t="s">
        <v>27</v>
      </c>
      <c r="AN4" s="18" t="s">
        <v>29</v>
      </c>
      <c r="AO4" s="18" t="s">
        <v>30</v>
      </c>
      <c r="AP4" s="18" t="s">
        <v>31</v>
      </c>
      <c r="AQ4" s="18" t="s">
        <v>32</v>
      </c>
    </row>
    <row r="5">
      <c r="B5" s="37" t="s">
        <v>33</v>
      </c>
      <c r="C5" s="41">
        <f>IFERROR(__xludf.DUMMYFUNCTION("IMPORTRANGE(""https://docs.google.com/spreadsheets/d/1eztAhB20uWvgYlVFHiLyH560y-Egs-myTTOXmq-7uGk/edit?gid=722596098#gid=722596098"", ""EcoGainsSim_so_far!C8:O177"")"),8.839515151515153)</f>
        <v>8.839515152</v>
      </c>
      <c r="D5" s="43">
        <f>IFERROR(__xludf.DUMMYFUNCTION("""COMPUTED_VALUE"""),0.24644848484848486)</f>
        <v>0.2464484848</v>
      </c>
      <c r="E5" s="43">
        <f>IFERROR(__xludf.DUMMYFUNCTION("""COMPUTED_VALUE"""),0.2568242424242424)</f>
        <v>0.2568242424</v>
      </c>
      <c r="F5" s="43">
        <f>IFERROR(__xludf.DUMMYFUNCTION("""COMPUTED_VALUE"""),0.13558787878787879)</f>
        <v>0.1355878788</v>
      </c>
      <c r="G5" s="43">
        <f>IFERROR(__xludf.DUMMYFUNCTION("""COMPUTED_VALUE"""),0.0)</f>
        <v>0</v>
      </c>
      <c r="H5" s="43">
        <f>IFERROR(__xludf.DUMMYFUNCTION("""COMPUTED_VALUE"""),0.0)</f>
        <v>0</v>
      </c>
      <c r="I5" s="43">
        <f>IFERROR(__xludf.DUMMYFUNCTION("""COMPUTED_VALUE"""),0.0)</f>
        <v>0</v>
      </c>
      <c r="J5" s="43">
        <f>IFERROR(__xludf.DUMMYFUNCTION("""COMPUTED_VALUE"""),0.0)</f>
        <v>0</v>
      </c>
      <c r="K5" s="43">
        <f>IFERROR(__xludf.DUMMYFUNCTION("""COMPUTED_VALUE"""),0.0)</f>
        <v>0</v>
      </c>
      <c r="L5" s="43">
        <f>IFERROR(__xludf.DUMMYFUNCTION("""COMPUTED_VALUE"""),0.0)</f>
        <v>0</v>
      </c>
      <c r="M5" s="43">
        <f>IFERROR(__xludf.DUMMYFUNCTION("""COMPUTED_VALUE"""),2.9384242424242433)</f>
        <v>2.938424242</v>
      </c>
      <c r="N5" s="41">
        <f>IFERROR(__xludf.DUMMYFUNCTION("""COMPUTED_VALUE"""),0.0)</f>
        <v>0</v>
      </c>
      <c r="O5" s="41">
        <f>IFERROR(__xludf.DUMMYFUNCTION("""COMPUTED_VALUE"""),0.0)</f>
        <v>0</v>
      </c>
      <c r="Q5" s="41">
        <v>7.5061</v>
      </c>
      <c r="R5" s="43">
        <v>0.1702</v>
      </c>
      <c r="S5" s="43">
        <v>0.1704</v>
      </c>
      <c r="T5" s="43">
        <v>0.0794</v>
      </c>
      <c r="U5" s="43">
        <v>0.0</v>
      </c>
      <c r="V5" s="43">
        <v>0.0</v>
      </c>
      <c r="W5" s="43">
        <v>0.0</v>
      </c>
      <c r="X5" s="43">
        <v>0.0</v>
      </c>
      <c r="Y5" s="43">
        <v>0.0</v>
      </c>
      <c r="Z5" s="43">
        <v>0.0</v>
      </c>
      <c r="AA5" s="43">
        <v>2.5537</v>
      </c>
      <c r="AB5" s="41">
        <v>0.0</v>
      </c>
      <c r="AC5" s="41">
        <v>0.0</v>
      </c>
      <c r="AE5" s="51">
        <f t="shared" ref="AE5:AQ5" si="1">IFERROR((Q5-C5)/C5, "")</f>
        <v>-0.1508470916</v>
      </c>
      <c r="AF5" s="51">
        <f t="shared" si="1"/>
        <v>-0.3093891403</v>
      </c>
      <c r="AG5" s="51">
        <f t="shared" si="1"/>
        <v>-0.3365112328</v>
      </c>
      <c r="AH5" s="51">
        <f t="shared" si="1"/>
        <v>-0.414401931</v>
      </c>
      <c r="AI5" s="51" t="str">
        <f t="shared" si="1"/>
        <v/>
      </c>
      <c r="AJ5" s="51" t="str">
        <f t="shared" si="1"/>
        <v/>
      </c>
      <c r="AK5" s="51" t="str">
        <f t="shared" si="1"/>
        <v/>
      </c>
      <c r="AL5" s="51" t="str">
        <f t="shared" si="1"/>
        <v/>
      </c>
      <c r="AM5" s="51" t="str">
        <f t="shared" si="1"/>
        <v/>
      </c>
      <c r="AN5" s="51" t="str">
        <f t="shared" si="1"/>
        <v/>
      </c>
      <c r="AO5" s="51">
        <f t="shared" si="1"/>
        <v>-0.13092876</v>
      </c>
      <c r="AP5" s="51" t="str">
        <f t="shared" si="1"/>
        <v/>
      </c>
      <c r="AQ5" s="51" t="str">
        <f t="shared" si="1"/>
        <v/>
      </c>
    </row>
    <row r="6">
      <c r="B6" s="56" t="s">
        <v>40</v>
      </c>
      <c r="C6" s="57">
        <f>IFERROR(__xludf.DUMMYFUNCTION("""COMPUTED_VALUE"""),0.0)</f>
        <v>0</v>
      </c>
      <c r="D6" s="57">
        <f>IFERROR(__xludf.DUMMYFUNCTION("""COMPUTED_VALUE"""),0.0)</f>
        <v>0</v>
      </c>
      <c r="E6" s="57">
        <f>IFERROR(__xludf.DUMMYFUNCTION("""COMPUTED_VALUE"""),0.0)</f>
        <v>0</v>
      </c>
      <c r="F6" s="57">
        <f>IFERROR(__xludf.DUMMYFUNCTION("""COMPUTED_VALUE"""),0.0)</f>
        <v>0</v>
      </c>
      <c r="G6" s="57">
        <f>IFERROR(__xludf.DUMMYFUNCTION("""COMPUTED_VALUE"""),0.0)</f>
        <v>0</v>
      </c>
      <c r="H6" s="57">
        <f>IFERROR(__xludf.DUMMYFUNCTION("""COMPUTED_VALUE"""),0.0)</f>
        <v>0</v>
      </c>
      <c r="I6" s="57">
        <f>IFERROR(__xludf.DUMMYFUNCTION("""COMPUTED_VALUE"""),0.0)</f>
        <v>0</v>
      </c>
      <c r="J6" s="57">
        <f>IFERROR(__xludf.DUMMYFUNCTION("""COMPUTED_VALUE"""),0.0)</f>
        <v>0</v>
      </c>
      <c r="K6" s="57">
        <f>IFERROR(__xludf.DUMMYFUNCTION("""COMPUTED_VALUE"""),0.0)</f>
        <v>0</v>
      </c>
      <c r="L6" s="57">
        <f>IFERROR(__xludf.DUMMYFUNCTION("""COMPUTED_VALUE"""),0.0)</f>
        <v>0</v>
      </c>
      <c r="M6" s="57">
        <f>IFERROR(__xludf.DUMMYFUNCTION("""COMPUTED_VALUE"""),0.0)</f>
        <v>0</v>
      </c>
      <c r="N6" s="57">
        <f>IFERROR(__xludf.DUMMYFUNCTION("""COMPUTED_VALUE"""),0.0)</f>
        <v>0</v>
      </c>
      <c r="O6" s="57">
        <f>IFERROR(__xludf.DUMMYFUNCTION("""COMPUTED_VALUE"""),0.0)</f>
        <v>0</v>
      </c>
      <c r="Q6" s="57">
        <v>0.2213</v>
      </c>
      <c r="R6" s="57">
        <v>0.0106</v>
      </c>
      <c r="S6" s="57">
        <v>0.0047</v>
      </c>
      <c r="T6" s="57">
        <v>5.0E-4</v>
      </c>
      <c r="U6" s="57">
        <v>0.0</v>
      </c>
      <c r="V6" s="57">
        <v>0.0</v>
      </c>
      <c r="W6" s="57">
        <v>0.0</v>
      </c>
      <c r="X6" s="57">
        <v>0.0</v>
      </c>
      <c r="Y6" s="57">
        <v>0.0</v>
      </c>
      <c r="Z6" s="57">
        <v>0.0</v>
      </c>
      <c r="AA6" s="57">
        <v>0.0</v>
      </c>
      <c r="AB6" s="57">
        <v>0.0</v>
      </c>
      <c r="AC6" s="57">
        <v>0.0</v>
      </c>
      <c r="AE6" s="51" t="str">
        <f t="shared" ref="AE6:AQ6" si="2">IFERROR((Q6-C6)/C6, "")</f>
        <v/>
      </c>
      <c r="AF6" s="51" t="str">
        <f t="shared" si="2"/>
        <v/>
      </c>
      <c r="AG6" s="51" t="str">
        <f t="shared" si="2"/>
        <v/>
      </c>
      <c r="AH6" s="51" t="str">
        <f t="shared" si="2"/>
        <v/>
      </c>
      <c r="AI6" s="51" t="str">
        <f t="shared" si="2"/>
        <v/>
      </c>
      <c r="AJ6" s="51" t="str">
        <f t="shared" si="2"/>
        <v/>
      </c>
      <c r="AK6" s="51" t="str">
        <f t="shared" si="2"/>
        <v/>
      </c>
      <c r="AL6" s="51" t="str">
        <f t="shared" si="2"/>
        <v/>
      </c>
      <c r="AM6" s="51" t="str">
        <f t="shared" si="2"/>
        <v/>
      </c>
      <c r="AN6" s="51" t="str">
        <f t="shared" si="2"/>
        <v/>
      </c>
      <c r="AO6" s="51" t="str">
        <f t="shared" si="2"/>
        <v/>
      </c>
      <c r="AP6" s="51" t="str">
        <f t="shared" si="2"/>
        <v/>
      </c>
      <c r="AQ6" s="51" t="str">
        <f t="shared" si="2"/>
        <v/>
      </c>
    </row>
    <row r="7">
      <c r="B7" s="56" t="s">
        <v>43</v>
      </c>
      <c r="C7" s="57">
        <f>IFERROR(__xludf.DUMMYFUNCTION("""COMPUTED_VALUE"""),0.16969425358679205)</f>
        <v>0.1696942536</v>
      </c>
      <c r="D7" s="57">
        <f>IFERROR(__xludf.DUMMYFUNCTION("""COMPUTED_VALUE"""),8.653455052870577E-5)</f>
        <v>0.00008653455053</v>
      </c>
      <c r="E7" s="57">
        <f>IFERROR(__xludf.DUMMYFUNCTION("""COMPUTED_VALUE"""),0.0)</f>
        <v>0</v>
      </c>
      <c r="F7" s="57">
        <f>IFERROR(__xludf.DUMMYFUNCTION("""COMPUTED_VALUE"""),0.0)</f>
        <v>0</v>
      </c>
      <c r="G7" s="57">
        <f>IFERROR(__xludf.DUMMYFUNCTION("""COMPUTED_VALUE"""),6.922764042296462E-4)</f>
        <v>0.0006922764042</v>
      </c>
      <c r="H7" s="57">
        <f>IFERROR(__xludf.DUMMYFUNCTION("""COMPUTED_VALUE"""),0.232951010023276)</f>
        <v>0.23295101</v>
      </c>
      <c r="I7" s="57">
        <f>IFERROR(__xludf.DUMMYFUNCTION("""COMPUTED_VALUE"""),0.0)</f>
        <v>0</v>
      </c>
      <c r="J7" s="57">
        <f>IFERROR(__xludf.DUMMYFUNCTION("""COMPUTED_VALUE"""),0.0642086364922997)</f>
        <v>0.06420863649</v>
      </c>
      <c r="K7" s="57">
        <f>IFERROR(__xludf.DUMMYFUNCTION("""COMPUTED_VALUE"""),0.8925173541530717)</f>
        <v>0.8925173542</v>
      </c>
      <c r="L7" s="57">
        <f>IFERROR(__xludf.DUMMYFUNCTION("""COMPUTED_VALUE"""),1.5660157609179888)</f>
        <v>1.566015761</v>
      </c>
      <c r="M7" s="57">
        <f>IFERROR(__xludf.DUMMYFUNCTION("""COMPUTED_VALUE"""),0.7466201019616736)</f>
        <v>0.746620102</v>
      </c>
      <c r="N7" s="57">
        <f>IFERROR(__xludf.DUMMYFUNCTION("""COMPUTED_VALUE"""),1.7306910105741155E-4)</f>
        <v>0.0001730691011</v>
      </c>
      <c r="O7" s="57">
        <f>IFERROR(__xludf.DUMMYFUNCTION("""COMPUTED_VALUE"""),0.0)</f>
        <v>0</v>
      </c>
      <c r="Q7" s="57">
        <v>0.1163</v>
      </c>
      <c r="R7" s="57">
        <v>0.0</v>
      </c>
      <c r="S7" s="57">
        <v>0.0</v>
      </c>
      <c r="T7" s="57">
        <v>0.0</v>
      </c>
      <c r="U7" s="57">
        <v>8.0E-4</v>
      </c>
      <c r="V7" s="57">
        <v>0.1806</v>
      </c>
      <c r="W7" s="57">
        <v>0.0</v>
      </c>
      <c r="X7" s="57">
        <v>0.0129</v>
      </c>
      <c r="Y7" s="57">
        <v>0.4516</v>
      </c>
      <c r="Z7" s="57">
        <v>0.954</v>
      </c>
      <c r="AA7" s="57">
        <v>0.5453</v>
      </c>
      <c r="AB7" s="57">
        <v>0.0</v>
      </c>
      <c r="AC7" s="57">
        <v>0.0</v>
      </c>
      <c r="AE7" s="51">
        <f t="shared" ref="AE7:AQ7" si="3">IFERROR((Q7-C7)/C7, "")</f>
        <v>-0.3146497448</v>
      </c>
      <c r="AF7" s="51">
        <f t="shared" si="3"/>
        <v>-1</v>
      </c>
      <c r="AG7" s="51" t="str">
        <f t="shared" si="3"/>
        <v/>
      </c>
      <c r="AH7" s="51" t="str">
        <f t="shared" si="3"/>
        <v/>
      </c>
      <c r="AI7" s="51">
        <f t="shared" si="3"/>
        <v>0.155607782</v>
      </c>
      <c r="AJ7" s="51">
        <f t="shared" si="3"/>
        <v>-0.2247296975</v>
      </c>
      <c r="AK7" s="51" t="str">
        <f t="shared" si="3"/>
        <v/>
      </c>
      <c r="AL7" s="51">
        <f t="shared" si="3"/>
        <v>-0.7990924476</v>
      </c>
      <c r="AM7" s="51">
        <f t="shared" si="3"/>
        <v>-0.4940154408</v>
      </c>
      <c r="AN7" s="51">
        <f t="shared" si="3"/>
        <v>-0.3908107289</v>
      </c>
      <c r="AO7" s="51">
        <f t="shared" si="3"/>
        <v>-0.2696419524</v>
      </c>
      <c r="AP7" s="51">
        <f t="shared" si="3"/>
        <v>-1</v>
      </c>
      <c r="AQ7" s="51" t="str">
        <f t="shared" si="3"/>
        <v/>
      </c>
    </row>
    <row r="8">
      <c r="B8" s="56" t="s">
        <v>52</v>
      </c>
      <c r="C8" s="57">
        <f>IFERROR(__xludf.DUMMYFUNCTION("""COMPUTED_VALUE"""),0.23110059599999996)</f>
        <v>0.231100596</v>
      </c>
      <c r="D8" s="57">
        <f>IFERROR(__xludf.DUMMYFUNCTION("""COMPUTED_VALUE"""),0.03277141199999999)</f>
        <v>0.032771412</v>
      </c>
      <c r="E8" s="57">
        <f>IFERROR(__xludf.DUMMYFUNCTION("""COMPUTED_VALUE"""),0.009288504)</f>
        <v>0.009288504</v>
      </c>
      <c r="F8" s="57">
        <f>IFERROR(__xludf.DUMMYFUNCTION("""COMPUTED_VALUE"""),5.88708E-4)</f>
        <v>0.000588708</v>
      </c>
      <c r="G8" s="57">
        <f>IFERROR(__xludf.DUMMYFUNCTION("""COMPUTED_VALUE"""),0.0)</f>
        <v>0</v>
      </c>
      <c r="H8" s="57">
        <f>IFERROR(__xludf.DUMMYFUNCTION("""COMPUTED_VALUE"""),0.0)</f>
        <v>0</v>
      </c>
      <c r="I8" s="57">
        <f>IFERROR(__xludf.DUMMYFUNCTION("""COMPUTED_VALUE"""),0.0)</f>
        <v>0</v>
      </c>
      <c r="J8" s="57">
        <f>IFERROR(__xludf.DUMMYFUNCTION("""COMPUTED_VALUE"""),0.0)</f>
        <v>0</v>
      </c>
      <c r="K8" s="57">
        <f>IFERROR(__xludf.DUMMYFUNCTION("""COMPUTED_VALUE"""),0.0)</f>
        <v>0</v>
      </c>
      <c r="L8" s="57">
        <f>IFERROR(__xludf.DUMMYFUNCTION("""COMPUTED_VALUE"""),0.0)</f>
        <v>0</v>
      </c>
      <c r="M8" s="57">
        <f>IFERROR(__xludf.DUMMYFUNCTION("""COMPUTED_VALUE"""),0.0)</f>
        <v>0</v>
      </c>
      <c r="N8" s="57">
        <f>IFERROR(__xludf.DUMMYFUNCTION("""COMPUTED_VALUE"""),0.0)</f>
        <v>0</v>
      </c>
      <c r="O8" s="57">
        <f>IFERROR(__xludf.DUMMYFUNCTION("""COMPUTED_VALUE"""),0.0)</f>
        <v>0</v>
      </c>
      <c r="Q8" s="57">
        <v>0.0542</v>
      </c>
      <c r="R8" s="57">
        <v>0.0013</v>
      </c>
      <c r="S8" s="57">
        <v>9.0E-4</v>
      </c>
      <c r="T8" s="57">
        <v>1.0E-4</v>
      </c>
      <c r="U8" s="57">
        <v>0.0</v>
      </c>
      <c r="V8" s="57">
        <v>0.0</v>
      </c>
      <c r="W8" s="57">
        <v>0.0</v>
      </c>
      <c r="X8" s="57">
        <v>0.0</v>
      </c>
      <c r="Y8" s="57">
        <v>0.0</v>
      </c>
      <c r="Z8" s="57">
        <v>0.0</v>
      </c>
      <c r="AA8" s="57">
        <v>0.0</v>
      </c>
      <c r="AB8" s="57">
        <v>0.0</v>
      </c>
      <c r="AC8" s="57">
        <v>0.0</v>
      </c>
      <c r="AE8" s="51">
        <f t="shared" ref="AE8:AQ8" si="4">IFERROR((Q8-C8)/C8, "")</f>
        <v>-0.7654700986</v>
      </c>
      <c r="AF8" s="51">
        <f t="shared" si="4"/>
        <v>-0.960331279</v>
      </c>
      <c r="AG8" s="51">
        <f t="shared" si="4"/>
        <v>-0.903106033</v>
      </c>
      <c r="AH8" s="51">
        <f t="shared" si="4"/>
        <v>-0.8301365023</v>
      </c>
      <c r="AI8" s="51" t="str">
        <f t="shared" si="4"/>
        <v/>
      </c>
      <c r="AJ8" s="51" t="str">
        <f t="shared" si="4"/>
        <v/>
      </c>
      <c r="AK8" s="51" t="str">
        <f t="shared" si="4"/>
        <v/>
      </c>
      <c r="AL8" s="51" t="str">
        <f t="shared" si="4"/>
        <v/>
      </c>
      <c r="AM8" s="51" t="str">
        <f t="shared" si="4"/>
        <v/>
      </c>
      <c r="AN8" s="51" t="str">
        <f t="shared" si="4"/>
        <v/>
      </c>
      <c r="AO8" s="51" t="str">
        <f t="shared" si="4"/>
        <v/>
      </c>
      <c r="AP8" s="51" t="str">
        <f t="shared" si="4"/>
        <v/>
      </c>
      <c r="AQ8" s="51" t="str">
        <f t="shared" si="4"/>
        <v/>
      </c>
    </row>
    <row r="9">
      <c r="B9" s="56" t="s">
        <v>88</v>
      </c>
      <c r="C9" s="57">
        <f>IFERROR(__xludf.DUMMYFUNCTION("""COMPUTED_VALUE"""),4.972476772182378)</f>
        <v>4.972476772</v>
      </c>
      <c r="D9" s="57">
        <f>IFERROR(__xludf.DUMMYFUNCTION("""COMPUTED_VALUE"""),0.04828638771320681)</f>
        <v>0.04828638771</v>
      </c>
      <c r="E9" s="57">
        <f>IFERROR(__xludf.DUMMYFUNCTION("""COMPUTED_VALUE"""),0.07155429961730495)</f>
        <v>0.07155429962</v>
      </c>
      <c r="F9" s="57">
        <f>IFERROR(__xludf.DUMMYFUNCTION("""COMPUTED_VALUE"""),0.03369835517145248)</f>
        <v>0.03369835517</v>
      </c>
      <c r="G9" s="57">
        <f>IFERROR(__xludf.DUMMYFUNCTION("""COMPUTED_VALUE"""),0.018696995041015123)</f>
        <v>0.01869699504</v>
      </c>
      <c r="H9" s="57">
        <f>IFERROR(__xludf.DUMMYFUNCTION("""COMPUTED_VALUE"""),0.02355967255493323)</f>
        <v>0.02355967255</v>
      </c>
      <c r="I9" s="57">
        <f>IFERROR(__xludf.DUMMYFUNCTION("""COMPUTED_VALUE"""),0.019231889567546113)</f>
        <v>0.01923188957</v>
      </c>
      <c r="J9" s="57">
        <f>IFERROR(__xludf.DUMMYFUNCTION("""COMPUTED_VALUE"""),0.0)</f>
        <v>0</v>
      </c>
      <c r="K9" s="57">
        <f>IFERROR(__xludf.DUMMYFUNCTION("""COMPUTED_VALUE"""),0.0)</f>
        <v>0</v>
      </c>
      <c r="L9" s="57">
        <f>IFERROR(__xludf.DUMMYFUNCTION("""COMPUTED_VALUE"""),0.0)</f>
        <v>0</v>
      </c>
      <c r="M9" s="57">
        <f>IFERROR(__xludf.DUMMYFUNCTION("""COMPUTED_VALUE"""),3.1574823901124445)</f>
        <v>3.15748239</v>
      </c>
      <c r="N9" s="57">
        <f>IFERROR(__xludf.DUMMYFUNCTION("""COMPUTED_VALUE"""),71.02491639454097)</f>
        <v>71.02491639</v>
      </c>
      <c r="O9" s="57">
        <f>IFERROR(__xludf.DUMMYFUNCTION("""COMPUTED_VALUE"""),0.0)</f>
        <v>0</v>
      </c>
      <c r="Q9" s="57">
        <v>7.6775</v>
      </c>
      <c r="R9" s="57">
        <v>0.0538</v>
      </c>
      <c r="S9" s="57">
        <v>0.0857</v>
      </c>
      <c r="T9" s="57">
        <v>0.0375</v>
      </c>
      <c r="U9" s="57">
        <v>0.0276</v>
      </c>
      <c r="V9" s="57">
        <v>0.0324</v>
      </c>
      <c r="W9" s="57">
        <v>0.0252</v>
      </c>
      <c r="X9" s="57">
        <v>0.0</v>
      </c>
      <c r="Y9" s="57">
        <v>0.0</v>
      </c>
      <c r="Z9" s="57">
        <v>0.0</v>
      </c>
      <c r="AA9" s="57">
        <v>4.7796</v>
      </c>
      <c r="AB9" s="57">
        <v>99.2478</v>
      </c>
      <c r="AC9" s="57">
        <v>0.0</v>
      </c>
      <c r="AE9" s="51">
        <f t="shared" ref="AE9:AQ9" si="5">IFERROR((Q9-C9)/C9, "")</f>
        <v>0.5439991682</v>
      </c>
      <c r="AF9" s="51">
        <f t="shared" si="5"/>
        <v>0.1141856442</v>
      </c>
      <c r="AG9" s="51">
        <f t="shared" si="5"/>
        <v>0.1976918293</v>
      </c>
      <c r="AH9" s="51">
        <f t="shared" si="5"/>
        <v>0.1128139581</v>
      </c>
      <c r="AI9" s="51">
        <f t="shared" si="5"/>
        <v>0.4761730395</v>
      </c>
      <c r="AJ9" s="51">
        <f t="shared" si="5"/>
        <v>0.3752313376</v>
      </c>
      <c r="AK9" s="51">
        <f t="shared" si="5"/>
        <v>0.3103236638</v>
      </c>
      <c r="AL9" s="51" t="str">
        <f t="shared" si="5"/>
        <v/>
      </c>
      <c r="AM9" s="51" t="str">
        <f t="shared" si="5"/>
        <v/>
      </c>
      <c r="AN9" s="51" t="str">
        <f t="shared" si="5"/>
        <v/>
      </c>
      <c r="AO9" s="51">
        <f t="shared" si="5"/>
        <v>0.5137376585</v>
      </c>
      <c r="AP9" s="51">
        <f t="shared" si="5"/>
        <v>0.3973659532</v>
      </c>
      <c r="AQ9" s="51" t="str">
        <f t="shared" si="5"/>
        <v/>
      </c>
    </row>
    <row r="10">
      <c r="B10" s="56" t="s">
        <v>90</v>
      </c>
      <c r="C10" s="57">
        <f>IFERROR(__xludf.DUMMYFUNCTION("""COMPUTED_VALUE"""),23.978349088881586)</f>
        <v>23.97834909</v>
      </c>
      <c r="D10" s="57">
        <f>IFERROR(__xludf.DUMMYFUNCTION("""COMPUTED_VALUE"""),0.471582465299778)</f>
        <v>0.4715824653</v>
      </c>
      <c r="E10" s="57">
        <f>IFERROR(__xludf.DUMMYFUNCTION("""COMPUTED_VALUE"""),0.32336805467555413)</f>
        <v>0.3233680547</v>
      </c>
      <c r="F10" s="57">
        <f>IFERROR(__xludf.DUMMYFUNCTION("""COMPUTED_VALUE"""),0.05925172550709214)</f>
        <v>0.05925172551</v>
      </c>
      <c r="G10" s="57">
        <f>IFERROR(__xludf.DUMMYFUNCTION("""COMPUTED_VALUE"""),0.0)</f>
        <v>0</v>
      </c>
      <c r="H10" s="57">
        <f>IFERROR(__xludf.DUMMYFUNCTION("""COMPUTED_VALUE"""),0.0)</f>
        <v>0</v>
      </c>
      <c r="I10" s="57">
        <f>IFERROR(__xludf.DUMMYFUNCTION("""COMPUTED_VALUE"""),0.0)</f>
        <v>0</v>
      </c>
      <c r="J10" s="57">
        <f>IFERROR(__xludf.DUMMYFUNCTION("""COMPUTED_VALUE"""),5.4059115323854705)</f>
        <v>5.405911532</v>
      </c>
      <c r="K10" s="57">
        <f>IFERROR(__xludf.DUMMYFUNCTION("""COMPUTED_VALUE"""),3.7332477211479183)</f>
        <v>3.733247721</v>
      </c>
      <c r="L10" s="57">
        <f>IFERROR(__xludf.DUMMYFUNCTION("""COMPUTED_VALUE"""),3.2946585227800744)</f>
        <v>3.294658523</v>
      </c>
      <c r="M10" s="57">
        <f>IFERROR(__xludf.DUMMYFUNCTION("""COMPUTED_VALUE"""),37.027344197480815)</f>
        <v>37.0273442</v>
      </c>
      <c r="N10" s="57">
        <f>IFERROR(__xludf.DUMMYFUNCTION("""COMPUTED_VALUE"""),0.0)</f>
        <v>0</v>
      </c>
      <c r="O10" s="57">
        <f>IFERROR(__xludf.DUMMYFUNCTION("""COMPUTED_VALUE"""),0.10727066595703344)</f>
        <v>0.107270666</v>
      </c>
      <c r="Q10" s="57">
        <v>32.1943</v>
      </c>
      <c r="R10" s="57">
        <v>0.3998</v>
      </c>
      <c r="S10" s="57">
        <v>0.249</v>
      </c>
      <c r="T10" s="57">
        <v>0.0376</v>
      </c>
      <c r="U10" s="57">
        <v>0.0</v>
      </c>
      <c r="V10" s="57">
        <v>0.0</v>
      </c>
      <c r="W10" s="57">
        <v>0.0</v>
      </c>
      <c r="X10" s="57">
        <v>1.0499</v>
      </c>
      <c r="Y10" s="57">
        <v>2.3058</v>
      </c>
      <c r="Z10" s="57">
        <v>2.2814</v>
      </c>
      <c r="AA10" s="57">
        <v>38.356</v>
      </c>
      <c r="AB10" s="57">
        <v>0.0</v>
      </c>
      <c r="AC10" s="57">
        <v>0.0102</v>
      </c>
      <c r="AE10" s="51">
        <f t="shared" ref="AE10:AQ10" si="6">IFERROR((Q10-C10)/C10, "")</f>
        <v>0.3426403912</v>
      </c>
      <c r="AF10" s="51">
        <f t="shared" si="6"/>
        <v>-0.1522161458</v>
      </c>
      <c r="AG10" s="51">
        <f t="shared" si="6"/>
        <v>-0.2299795963</v>
      </c>
      <c r="AH10" s="51">
        <f t="shared" si="6"/>
        <v>-0.3654193244</v>
      </c>
      <c r="AI10" s="51" t="str">
        <f t="shared" si="6"/>
        <v/>
      </c>
      <c r="AJ10" s="51" t="str">
        <f t="shared" si="6"/>
        <v/>
      </c>
      <c r="AK10" s="51" t="str">
        <f t="shared" si="6"/>
        <v/>
      </c>
      <c r="AL10" s="51">
        <f t="shared" si="6"/>
        <v>-0.8057866849</v>
      </c>
      <c r="AM10" s="51">
        <f t="shared" si="6"/>
        <v>-0.3823608364</v>
      </c>
      <c r="AN10" s="51">
        <f t="shared" si="6"/>
        <v>-0.30754584</v>
      </c>
      <c r="AO10" s="51">
        <f t="shared" si="6"/>
        <v>0.03588309751</v>
      </c>
      <c r="AP10" s="51" t="str">
        <f t="shared" si="6"/>
        <v/>
      </c>
      <c r="AQ10" s="51">
        <f t="shared" si="6"/>
        <v>-0.9049134271</v>
      </c>
    </row>
    <row r="11">
      <c r="B11" s="56" t="s">
        <v>93</v>
      </c>
      <c r="C11" s="57">
        <f>IFERROR(__xludf.DUMMYFUNCTION("""COMPUTED_VALUE"""),3.950123138268665)</f>
        <v>3.950123138</v>
      </c>
      <c r="D11" s="57">
        <f>IFERROR(__xludf.DUMMYFUNCTION("""COMPUTED_VALUE"""),0.07977222461582653)</f>
        <v>0.07977222462</v>
      </c>
      <c r="E11" s="57">
        <f>IFERROR(__xludf.DUMMYFUNCTION("""COMPUTED_VALUE"""),2.4313387569590532E-5)</f>
        <v>0.00002431338757</v>
      </c>
      <c r="F11" s="57">
        <f>IFERROR(__xludf.DUMMYFUNCTION("""COMPUTED_VALUE"""),7.294016270877159E-5)</f>
        <v>0.00007294016271</v>
      </c>
      <c r="G11" s="57">
        <f>IFERROR(__xludf.DUMMYFUNCTION("""COMPUTED_VALUE"""),0.2400460754745673)</f>
        <v>0.2400460755</v>
      </c>
      <c r="H11" s="57">
        <f>IFERROR(__xludf.DUMMYFUNCTION("""COMPUTED_VALUE"""),0.06834493245811898)</f>
        <v>0.06834493246</v>
      </c>
      <c r="I11" s="57">
        <f>IFERROR(__xludf.DUMMYFUNCTION("""COMPUTED_VALUE"""),2.4313387569590532E-5)</f>
        <v>0.00002431338757</v>
      </c>
      <c r="J11" s="57">
        <f>IFERROR(__xludf.DUMMYFUNCTION("""COMPUTED_VALUE"""),0.0)</f>
        <v>0</v>
      </c>
      <c r="K11" s="57">
        <f>IFERROR(__xludf.DUMMYFUNCTION("""COMPUTED_VALUE"""),9.725355027836213E-5)</f>
        <v>0.00009725355028</v>
      </c>
      <c r="L11" s="57">
        <f>IFERROR(__xludf.DUMMYFUNCTION("""COMPUTED_VALUE"""),2.4313387569590532E-5)</f>
        <v>0.00002431338757</v>
      </c>
      <c r="M11" s="57">
        <f>IFERROR(__xludf.DUMMYFUNCTION("""COMPUTED_VALUE"""),11.297604548411352)</f>
        <v>11.29760455</v>
      </c>
      <c r="N11" s="57">
        <f>IFERROR(__xludf.DUMMYFUNCTION("""COMPUTED_VALUE"""),0.0)</f>
        <v>0</v>
      </c>
      <c r="O11" s="57">
        <f>IFERROR(__xludf.DUMMYFUNCTION("""COMPUTED_VALUE"""),0.0)</f>
        <v>0</v>
      </c>
      <c r="Q11" s="57">
        <v>11.3801</v>
      </c>
      <c r="R11" s="57">
        <v>0.2123</v>
      </c>
      <c r="S11" s="57">
        <v>0.0</v>
      </c>
      <c r="T11" s="57">
        <v>0.0</v>
      </c>
      <c r="U11" s="57">
        <v>0.6738</v>
      </c>
      <c r="V11" s="57">
        <v>0.2123</v>
      </c>
      <c r="W11" s="57">
        <v>0.0</v>
      </c>
      <c r="X11" s="57">
        <v>0.0</v>
      </c>
      <c r="Y11" s="57">
        <v>0.0</v>
      </c>
      <c r="Z11" s="57">
        <v>0.0</v>
      </c>
      <c r="AA11" s="57">
        <v>31.3602</v>
      </c>
      <c r="AB11" s="57">
        <v>0.0</v>
      </c>
      <c r="AC11" s="57">
        <v>0.0</v>
      </c>
      <c r="AE11" s="51">
        <f t="shared" ref="AE11:AQ11" si="7">IFERROR((Q11-C11)/C11, "")</f>
        <v>1.880948163</v>
      </c>
      <c r="AF11" s="51">
        <f t="shared" si="7"/>
        <v>1.661327311</v>
      </c>
      <c r="AG11" s="51">
        <f t="shared" si="7"/>
        <v>-1</v>
      </c>
      <c r="AH11" s="51">
        <f t="shared" si="7"/>
        <v>-1</v>
      </c>
      <c r="AI11" s="51">
        <f t="shared" si="7"/>
        <v>1.806961116</v>
      </c>
      <c r="AJ11" s="51">
        <f t="shared" si="7"/>
        <v>2.106301994</v>
      </c>
      <c r="AK11" s="51">
        <f t="shared" si="7"/>
        <v>-1</v>
      </c>
      <c r="AL11" s="51" t="str">
        <f t="shared" si="7"/>
        <v/>
      </c>
      <c r="AM11" s="51">
        <f t="shared" si="7"/>
        <v>-1</v>
      </c>
      <c r="AN11" s="51">
        <f t="shared" si="7"/>
        <v>-1</v>
      </c>
      <c r="AO11" s="51">
        <f t="shared" si="7"/>
        <v>1.775827377</v>
      </c>
      <c r="AP11" s="51" t="str">
        <f t="shared" si="7"/>
        <v/>
      </c>
      <c r="AQ11" s="51" t="str">
        <f t="shared" si="7"/>
        <v/>
      </c>
    </row>
    <row r="12">
      <c r="B12" s="56" t="s">
        <v>95</v>
      </c>
      <c r="C12" s="57">
        <f>IFERROR(__xludf.DUMMYFUNCTION("""COMPUTED_VALUE"""),0.0)</f>
        <v>0</v>
      </c>
      <c r="D12" s="57">
        <f>IFERROR(__xludf.DUMMYFUNCTION("""COMPUTED_VALUE"""),0.07697222222222219)</f>
        <v>0.07697222222</v>
      </c>
      <c r="E12" s="57">
        <f>IFERROR(__xludf.DUMMYFUNCTION("""COMPUTED_VALUE"""),0.0)</f>
        <v>0</v>
      </c>
      <c r="F12" s="57">
        <f>IFERROR(__xludf.DUMMYFUNCTION("""COMPUTED_VALUE"""),0.0)</f>
        <v>0</v>
      </c>
      <c r="G12" s="57">
        <f>IFERROR(__xludf.DUMMYFUNCTION("""COMPUTED_VALUE"""),0.0676111111111111)</f>
        <v>0.06761111111</v>
      </c>
      <c r="H12" s="57">
        <f>IFERROR(__xludf.DUMMYFUNCTION("""COMPUTED_VALUE"""),0.0659722222222222)</f>
        <v>0.06597222222</v>
      </c>
      <c r="I12" s="57">
        <f>IFERROR(__xludf.DUMMYFUNCTION("""COMPUTED_VALUE"""),0.07344444444444442)</f>
        <v>0.07344444444</v>
      </c>
      <c r="J12" s="57">
        <f>IFERROR(__xludf.DUMMYFUNCTION("""COMPUTED_VALUE"""),0.0)</f>
        <v>0</v>
      </c>
      <c r="K12" s="57">
        <f>IFERROR(__xludf.DUMMYFUNCTION("""COMPUTED_VALUE"""),0.0)</f>
        <v>0</v>
      </c>
      <c r="L12" s="57">
        <f>IFERROR(__xludf.DUMMYFUNCTION("""COMPUTED_VALUE"""),0.0)</f>
        <v>0</v>
      </c>
      <c r="M12" s="57">
        <f>IFERROR(__xludf.DUMMYFUNCTION("""COMPUTED_VALUE"""),49.09877777777776)</f>
        <v>49.09877778</v>
      </c>
      <c r="N12" s="57">
        <f>IFERROR(__xludf.DUMMYFUNCTION("""COMPUTED_VALUE"""),1.1444166666666664)</f>
        <v>1.144416667</v>
      </c>
      <c r="O12" s="57">
        <f>IFERROR(__xludf.DUMMYFUNCTION("""COMPUTED_VALUE"""),0.0)</f>
        <v>0</v>
      </c>
      <c r="Q12" s="57">
        <v>0.0</v>
      </c>
      <c r="R12" s="57">
        <v>0.0518</v>
      </c>
      <c r="S12" s="57">
        <v>0.0</v>
      </c>
      <c r="T12" s="57">
        <v>0.0</v>
      </c>
      <c r="U12" s="57">
        <v>0.0518</v>
      </c>
      <c r="V12" s="57">
        <v>0.0518</v>
      </c>
      <c r="W12" s="57">
        <v>0.0518</v>
      </c>
      <c r="X12" s="57">
        <v>0.0</v>
      </c>
      <c r="Y12" s="57">
        <v>0.0</v>
      </c>
      <c r="Z12" s="57">
        <v>0.0</v>
      </c>
      <c r="AA12" s="57">
        <v>38.3932</v>
      </c>
      <c r="AB12" s="57">
        <v>0.7885</v>
      </c>
      <c r="AC12" s="57">
        <v>0.0</v>
      </c>
      <c r="AE12" s="51" t="str">
        <f t="shared" ref="AE12:AQ12" si="8">IFERROR((Q12-C12)/C12, "")</f>
        <v/>
      </c>
      <c r="AF12" s="51">
        <f t="shared" si="8"/>
        <v>-0.3270299531</v>
      </c>
      <c r="AG12" s="51" t="str">
        <f t="shared" si="8"/>
        <v/>
      </c>
      <c r="AH12" s="51" t="str">
        <f t="shared" si="8"/>
        <v/>
      </c>
      <c r="AI12" s="51">
        <f t="shared" si="8"/>
        <v>-0.2338537387</v>
      </c>
      <c r="AJ12" s="51">
        <f t="shared" si="8"/>
        <v>-0.2148210526</v>
      </c>
      <c r="AK12" s="51">
        <f t="shared" si="8"/>
        <v>-0.2947049924</v>
      </c>
      <c r="AL12" s="51" t="str">
        <f t="shared" si="8"/>
        <v/>
      </c>
      <c r="AM12" s="51" t="str">
        <f t="shared" si="8"/>
        <v/>
      </c>
      <c r="AN12" s="51" t="str">
        <f t="shared" si="8"/>
        <v/>
      </c>
      <c r="AO12" s="51">
        <f t="shared" si="8"/>
        <v>-0.2180416349</v>
      </c>
      <c r="AP12" s="51">
        <f t="shared" si="8"/>
        <v>-0.3110026942</v>
      </c>
      <c r="AQ12" s="51" t="str">
        <f t="shared" si="8"/>
        <v/>
      </c>
    </row>
    <row r="13">
      <c r="B13" s="56" t="s">
        <v>96</v>
      </c>
      <c r="C13" s="57">
        <f>IFERROR(__xludf.DUMMYFUNCTION("""COMPUTED_VALUE"""),0.8820705241476996)</f>
        <v>0.8820705241</v>
      </c>
      <c r="D13" s="57">
        <f>IFERROR(__xludf.DUMMYFUNCTION("""COMPUTED_VALUE"""),0.003770147106377)</f>
        <v>0.003770147106</v>
      </c>
      <c r="E13" s="57">
        <f>IFERROR(__xludf.DUMMYFUNCTION("""COMPUTED_VALUE"""),0.01444743394962789)</f>
        <v>0.01444743395</v>
      </c>
      <c r="F13" s="57">
        <f>IFERROR(__xludf.DUMMYFUNCTION("""COMPUTED_VALUE"""),0.0020433621721585265)</f>
        <v>0.002043362172</v>
      </c>
      <c r="G13" s="57">
        <f>IFERROR(__xludf.DUMMYFUNCTION("""COMPUTED_VALUE"""),0.34104002450814846)</f>
        <v>0.3410400245</v>
      </c>
      <c r="H13" s="57">
        <f>IFERROR(__xludf.DUMMYFUNCTION("""COMPUTED_VALUE"""),0.0846988010234161)</f>
        <v>0.08469880102</v>
      </c>
      <c r="I13" s="57">
        <f>IFERROR(__xludf.DUMMYFUNCTION("""COMPUTED_VALUE"""),0.013296243993482244)</f>
        <v>0.01329624399</v>
      </c>
      <c r="J13" s="57">
        <f>IFERROR(__xludf.DUMMYFUNCTION("""COMPUTED_VALUE"""),0.0)</f>
        <v>0</v>
      </c>
      <c r="K13" s="57">
        <f>IFERROR(__xludf.DUMMYFUNCTION("""COMPUTED_VALUE"""),0.02175749017115276)</f>
        <v>0.02175749017</v>
      </c>
      <c r="L13" s="57">
        <f>IFERROR(__xludf.DUMMYFUNCTION("""COMPUTED_VALUE"""),0.04101114218768873)</f>
        <v>0.04101114219</v>
      </c>
      <c r="M13" s="57">
        <f>IFERROR(__xludf.DUMMYFUNCTION("""COMPUTED_VALUE"""),18.96832958590528)</f>
        <v>18.96832959</v>
      </c>
      <c r="N13" s="57">
        <f>IFERROR(__xludf.DUMMYFUNCTION("""COMPUTED_VALUE"""),0.0)</f>
        <v>0</v>
      </c>
      <c r="O13" s="57">
        <f>IFERROR(__xludf.DUMMYFUNCTION("""COMPUTED_VALUE"""),0.0)</f>
        <v>0</v>
      </c>
      <c r="Q13" s="57">
        <v>1.5304</v>
      </c>
      <c r="R13" s="57">
        <v>0.0025</v>
      </c>
      <c r="S13" s="57">
        <v>0.0083</v>
      </c>
      <c r="T13" s="57">
        <v>0.0192</v>
      </c>
      <c r="U13" s="57">
        <v>0.4458</v>
      </c>
      <c r="V13" s="57">
        <v>0.1436</v>
      </c>
      <c r="W13" s="57">
        <v>0.0253</v>
      </c>
      <c r="X13" s="57">
        <v>0.0</v>
      </c>
      <c r="Y13" s="57">
        <v>0.0104</v>
      </c>
      <c r="Z13" s="57">
        <v>0.0352</v>
      </c>
      <c r="AA13" s="57">
        <v>27.5086</v>
      </c>
      <c r="AB13" s="57">
        <v>0.0</v>
      </c>
      <c r="AC13" s="57">
        <v>0.0</v>
      </c>
      <c r="AE13" s="51">
        <f t="shared" ref="AE13:AQ13" si="9">IFERROR((Q13-C13)/C13, "")</f>
        <v>0.7350086621</v>
      </c>
      <c r="AF13" s="51">
        <f t="shared" si="9"/>
        <v>-0.336895901</v>
      </c>
      <c r="AG13" s="51">
        <f t="shared" si="9"/>
        <v>-0.4255035165</v>
      </c>
      <c r="AH13" s="51">
        <f t="shared" si="9"/>
        <v>8.396278478</v>
      </c>
      <c r="AI13" s="51">
        <f t="shared" si="9"/>
        <v>0.3071779497</v>
      </c>
      <c r="AJ13" s="51">
        <f t="shared" si="9"/>
        <v>0.6954195132</v>
      </c>
      <c r="AK13" s="51">
        <f t="shared" si="9"/>
        <v>0.9027930002</v>
      </c>
      <c r="AL13" s="51" t="str">
        <f t="shared" si="9"/>
        <v/>
      </c>
      <c r="AM13" s="51">
        <f t="shared" si="9"/>
        <v>-0.5220036908</v>
      </c>
      <c r="AN13" s="51">
        <f t="shared" si="9"/>
        <v>-0.1416966677</v>
      </c>
      <c r="AO13" s="51">
        <f t="shared" si="9"/>
        <v>0.4502384027</v>
      </c>
      <c r="AP13" s="51" t="str">
        <f t="shared" si="9"/>
        <v/>
      </c>
      <c r="AQ13" s="51" t="str">
        <f t="shared" si="9"/>
        <v/>
      </c>
    </row>
    <row r="14">
      <c r="B14" s="56" t="s">
        <v>97</v>
      </c>
      <c r="C14" s="57">
        <f>IFERROR(__xludf.DUMMYFUNCTION("""COMPUTED_VALUE"""),0.0)</f>
        <v>0</v>
      </c>
      <c r="D14" s="57">
        <f>IFERROR(__xludf.DUMMYFUNCTION("""COMPUTED_VALUE"""),0.0)</f>
        <v>0</v>
      </c>
      <c r="E14" s="57">
        <f>IFERROR(__xludf.DUMMYFUNCTION("""COMPUTED_VALUE"""),0.0)</f>
        <v>0</v>
      </c>
      <c r="F14" s="57">
        <f>IFERROR(__xludf.DUMMYFUNCTION("""COMPUTED_VALUE"""),0.0)</f>
        <v>0</v>
      </c>
      <c r="G14" s="57">
        <f>IFERROR(__xludf.DUMMYFUNCTION("""COMPUTED_VALUE"""),0.0)</f>
        <v>0</v>
      </c>
      <c r="H14" s="57">
        <f>IFERROR(__xludf.DUMMYFUNCTION("""COMPUTED_VALUE"""),0.0)</f>
        <v>0</v>
      </c>
      <c r="I14" s="57">
        <f>IFERROR(__xludf.DUMMYFUNCTION("""COMPUTED_VALUE"""),0.0)</f>
        <v>0</v>
      </c>
      <c r="J14" s="57">
        <f>IFERROR(__xludf.DUMMYFUNCTION("""COMPUTED_VALUE"""),0.0)</f>
        <v>0</v>
      </c>
      <c r="K14" s="57">
        <f>IFERROR(__xludf.DUMMYFUNCTION("""COMPUTED_VALUE"""),0.0)</f>
        <v>0</v>
      </c>
      <c r="L14" s="57">
        <f>IFERROR(__xludf.DUMMYFUNCTION("""COMPUTED_VALUE"""),0.0)</f>
        <v>0</v>
      </c>
      <c r="M14" s="57">
        <f>IFERROR(__xludf.DUMMYFUNCTION("""COMPUTED_VALUE"""),0.0)</f>
        <v>0</v>
      </c>
      <c r="N14" s="57">
        <f>IFERROR(__xludf.DUMMYFUNCTION("""COMPUTED_VALUE"""),0.0)</f>
        <v>0</v>
      </c>
      <c r="O14" s="57">
        <f>IFERROR(__xludf.DUMMYFUNCTION("""COMPUTED_VALUE"""),0.0)</f>
        <v>0</v>
      </c>
      <c r="Q14" s="57">
        <v>0.0835</v>
      </c>
      <c r="R14" s="57">
        <v>0.0</v>
      </c>
      <c r="S14" s="57">
        <v>0.0</v>
      </c>
      <c r="T14" s="57">
        <v>0.0</v>
      </c>
      <c r="U14" s="57">
        <v>0.0014</v>
      </c>
      <c r="V14" s="57">
        <v>0.0446</v>
      </c>
      <c r="W14" s="57">
        <v>0.0</v>
      </c>
      <c r="X14" s="57">
        <v>0.014</v>
      </c>
      <c r="Y14" s="57">
        <v>0.135</v>
      </c>
      <c r="Z14" s="57">
        <v>0.2554</v>
      </c>
      <c r="AA14" s="57">
        <v>0.2425</v>
      </c>
      <c r="AB14" s="57">
        <v>0.0</v>
      </c>
      <c r="AC14" s="57">
        <v>0.0</v>
      </c>
      <c r="AE14" s="51" t="str">
        <f t="shared" ref="AE14:AQ14" si="10">IFERROR((Q14-C14)/C14, "")</f>
        <v/>
      </c>
      <c r="AF14" s="51" t="str">
        <f t="shared" si="10"/>
        <v/>
      </c>
      <c r="AG14" s="51" t="str">
        <f t="shared" si="10"/>
        <v/>
      </c>
      <c r="AH14" s="51" t="str">
        <f t="shared" si="10"/>
        <v/>
      </c>
      <c r="AI14" s="51" t="str">
        <f t="shared" si="10"/>
        <v/>
      </c>
      <c r="AJ14" s="51" t="str">
        <f t="shared" si="10"/>
        <v/>
      </c>
      <c r="AK14" s="51" t="str">
        <f t="shared" si="10"/>
        <v/>
      </c>
      <c r="AL14" s="51" t="str">
        <f t="shared" si="10"/>
        <v/>
      </c>
      <c r="AM14" s="51" t="str">
        <f t="shared" si="10"/>
        <v/>
      </c>
      <c r="AN14" s="51" t="str">
        <f t="shared" si="10"/>
        <v/>
      </c>
      <c r="AO14" s="51" t="str">
        <f t="shared" si="10"/>
        <v/>
      </c>
      <c r="AP14" s="51" t="str">
        <f t="shared" si="10"/>
        <v/>
      </c>
      <c r="AQ14" s="51" t="str">
        <f t="shared" si="10"/>
        <v/>
      </c>
    </row>
    <row r="15">
      <c r="B15" s="56" t="s">
        <v>99</v>
      </c>
      <c r="C15" s="57">
        <f>IFERROR(__xludf.DUMMYFUNCTION("""COMPUTED_VALUE"""),0.08448578281744919)</f>
        <v>0.08448578282</v>
      </c>
      <c r="D15" s="57">
        <f>IFERROR(__xludf.DUMMYFUNCTION("""COMPUTED_VALUE"""),0.002150046022760534)</f>
        <v>0.002150046023</v>
      </c>
      <c r="E15" s="57">
        <f>IFERROR(__xludf.DUMMYFUNCTION("""COMPUTED_VALUE"""),7.166820075868446E-4)</f>
        <v>0.0007166820076</v>
      </c>
      <c r="F15" s="57">
        <f>IFERROR(__xludf.DUMMYFUNCTION("""COMPUTED_VALUE"""),8.269407779848207E-5)</f>
        <v>0.0000826940778</v>
      </c>
      <c r="G15" s="57">
        <f>IFERROR(__xludf.DUMMYFUNCTION("""COMPUTED_VALUE"""),0.001957093174564076)</f>
        <v>0.001957093175</v>
      </c>
      <c r="H15" s="57">
        <f>IFERROR(__xludf.DUMMYFUNCTION("""COMPUTED_VALUE"""),0.0015436227855716656)</f>
        <v>0.001543622786</v>
      </c>
      <c r="I15" s="57">
        <f>IFERROR(__xludf.DUMMYFUNCTION("""COMPUTED_VALUE"""),0.0012404111669772312)</f>
        <v>0.001240411167</v>
      </c>
      <c r="J15" s="57">
        <f>IFERROR(__xludf.DUMMYFUNCTION("""COMPUTED_VALUE"""),0.0)</f>
        <v>0</v>
      </c>
      <c r="K15" s="57">
        <f>IFERROR(__xludf.DUMMYFUNCTION("""COMPUTED_VALUE"""),0.0)</f>
        <v>0</v>
      </c>
      <c r="L15" s="57">
        <f>IFERROR(__xludf.DUMMYFUNCTION("""COMPUTED_VALUE"""),0.0)</f>
        <v>0</v>
      </c>
      <c r="M15" s="57">
        <f>IFERROR(__xludf.DUMMYFUNCTION("""COMPUTED_VALUE"""),2.3952890928182327)</f>
        <v>2.395289093</v>
      </c>
      <c r="N15" s="57">
        <f>IFERROR(__xludf.DUMMYFUNCTION("""COMPUTED_VALUE"""),1.2560403476811444)</f>
        <v>1.256040348</v>
      </c>
      <c r="O15" s="57">
        <f>IFERROR(__xludf.DUMMYFUNCTION("""COMPUTED_VALUE"""),0.0)</f>
        <v>0</v>
      </c>
      <c r="Q15" s="57">
        <v>0.1061</v>
      </c>
      <c r="R15" s="57">
        <v>0.0031</v>
      </c>
      <c r="S15" s="57">
        <v>7.0E-4</v>
      </c>
      <c r="T15" s="57">
        <v>0.0</v>
      </c>
      <c r="U15" s="57">
        <v>0.0027</v>
      </c>
      <c r="V15" s="57">
        <v>0.0025</v>
      </c>
      <c r="W15" s="57">
        <v>0.0023</v>
      </c>
      <c r="X15" s="57">
        <v>0.0</v>
      </c>
      <c r="Y15" s="57">
        <v>0.0</v>
      </c>
      <c r="Z15" s="57">
        <v>0.0</v>
      </c>
      <c r="AA15" s="57">
        <v>5.6469</v>
      </c>
      <c r="AB15" s="57">
        <v>1.5537</v>
      </c>
      <c r="AC15" s="57">
        <v>0.0</v>
      </c>
      <c r="AE15" s="51">
        <f t="shared" ref="AE15:AQ15" si="11">IFERROR((Q15-C15)/C15, "")</f>
        <v>0.2558325965</v>
      </c>
      <c r="AF15" s="51">
        <f t="shared" si="11"/>
        <v>0.4418296014</v>
      </c>
      <c r="AG15" s="51">
        <f t="shared" si="11"/>
        <v>-0.02327672163</v>
      </c>
      <c r="AH15" s="51">
        <f t="shared" si="11"/>
        <v>-1</v>
      </c>
      <c r="AI15" s="51">
        <f t="shared" si="11"/>
        <v>0.3795970652</v>
      </c>
      <c r="AJ15" s="51">
        <f t="shared" si="11"/>
        <v>0.6195666606</v>
      </c>
      <c r="AK15" s="51">
        <f t="shared" si="11"/>
        <v>0.8542238745</v>
      </c>
      <c r="AL15" s="51" t="str">
        <f t="shared" si="11"/>
        <v/>
      </c>
      <c r="AM15" s="51" t="str">
        <f t="shared" si="11"/>
        <v/>
      </c>
      <c r="AN15" s="51" t="str">
        <f t="shared" si="11"/>
        <v/>
      </c>
      <c r="AO15" s="51">
        <f t="shared" si="11"/>
        <v>1.35750249</v>
      </c>
      <c r="AP15" s="51">
        <f t="shared" si="11"/>
        <v>0.2369825562</v>
      </c>
      <c r="AQ15" s="51" t="str">
        <f t="shared" si="11"/>
        <v/>
      </c>
    </row>
    <row r="16">
      <c r="B16" s="56" t="s">
        <v>100</v>
      </c>
      <c r="C16" s="57">
        <f>IFERROR(__xludf.DUMMYFUNCTION("""COMPUTED_VALUE"""),0.0)</f>
        <v>0</v>
      </c>
      <c r="D16" s="57">
        <f>IFERROR(__xludf.DUMMYFUNCTION("""COMPUTED_VALUE"""),0.0)</f>
        <v>0</v>
      </c>
      <c r="E16" s="57">
        <f>IFERROR(__xludf.DUMMYFUNCTION("""COMPUTED_VALUE"""),0.0)</f>
        <v>0</v>
      </c>
      <c r="F16" s="57">
        <f>IFERROR(__xludf.DUMMYFUNCTION("""COMPUTED_VALUE"""),0.0)</f>
        <v>0</v>
      </c>
      <c r="G16" s="57">
        <f>IFERROR(__xludf.DUMMYFUNCTION("""COMPUTED_VALUE"""),0.0)</f>
        <v>0</v>
      </c>
      <c r="H16" s="57">
        <f>IFERROR(__xludf.DUMMYFUNCTION("""COMPUTED_VALUE"""),0.0)</f>
        <v>0</v>
      </c>
      <c r="I16" s="57">
        <f>IFERROR(__xludf.DUMMYFUNCTION("""COMPUTED_VALUE"""),0.0)</f>
        <v>0</v>
      </c>
      <c r="J16" s="57">
        <f>IFERROR(__xludf.DUMMYFUNCTION("""COMPUTED_VALUE"""),0.0)</f>
        <v>0</v>
      </c>
      <c r="K16" s="57">
        <f>IFERROR(__xludf.DUMMYFUNCTION("""COMPUTED_VALUE"""),0.0)</f>
        <v>0</v>
      </c>
      <c r="L16" s="57">
        <f>IFERROR(__xludf.DUMMYFUNCTION("""COMPUTED_VALUE"""),0.0)</f>
        <v>0</v>
      </c>
      <c r="M16" s="57">
        <f>IFERROR(__xludf.DUMMYFUNCTION("""COMPUTED_VALUE"""),0.0)</f>
        <v>0</v>
      </c>
      <c r="N16" s="57">
        <f>IFERROR(__xludf.DUMMYFUNCTION("""COMPUTED_VALUE"""),0.0)</f>
        <v>0</v>
      </c>
      <c r="O16" s="57">
        <f>IFERROR(__xludf.DUMMYFUNCTION("""COMPUTED_VALUE"""),0.0)</f>
        <v>0</v>
      </c>
      <c r="Q16" s="57">
        <v>0.0</v>
      </c>
      <c r="R16" s="57">
        <v>0.0</v>
      </c>
      <c r="S16" s="57">
        <v>0.0</v>
      </c>
      <c r="T16" s="57">
        <v>0.0</v>
      </c>
      <c r="U16" s="57">
        <v>0.0</v>
      </c>
      <c r="V16" s="57">
        <v>0.0</v>
      </c>
      <c r="W16" s="57">
        <v>0.0</v>
      </c>
      <c r="X16" s="57">
        <v>0.0</v>
      </c>
      <c r="Y16" s="57">
        <v>7.0E-4</v>
      </c>
      <c r="Z16" s="57">
        <v>0.0</v>
      </c>
      <c r="AA16" s="57">
        <v>0.0</v>
      </c>
      <c r="AB16" s="57">
        <v>0.0023</v>
      </c>
      <c r="AC16" s="57">
        <v>0.0</v>
      </c>
      <c r="AE16" s="51" t="str">
        <f t="shared" ref="AE16:AQ16" si="12">IFERROR((Q16-C16)/C16, "")</f>
        <v/>
      </c>
      <c r="AF16" s="51" t="str">
        <f t="shared" si="12"/>
        <v/>
      </c>
      <c r="AG16" s="51" t="str">
        <f t="shared" si="12"/>
        <v/>
      </c>
      <c r="AH16" s="51" t="str">
        <f t="shared" si="12"/>
        <v/>
      </c>
      <c r="AI16" s="51" t="str">
        <f t="shared" si="12"/>
        <v/>
      </c>
      <c r="AJ16" s="51" t="str">
        <f t="shared" si="12"/>
        <v/>
      </c>
      <c r="AK16" s="51" t="str">
        <f t="shared" si="12"/>
        <v/>
      </c>
      <c r="AL16" s="51" t="str">
        <f t="shared" si="12"/>
        <v/>
      </c>
      <c r="AM16" s="51" t="str">
        <f t="shared" si="12"/>
        <v/>
      </c>
      <c r="AN16" s="51" t="str">
        <f t="shared" si="12"/>
        <v/>
      </c>
      <c r="AO16" s="51" t="str">
        <f t="shared" si="12"/>
        <v/>
      </c>
      <c r="AP16" s="51" t="str">
        <f t="shared" si="12"/>
        <v/>
      </c>
      <c r="AQ16" s="51" t="str">
        <f t="shared" si="12"/>
        <v/>
      </c>
    </row>
    <row r="17">
      <c r="B17" s="37" t="s">
        <v>104</v>
      </c>
      <c r="C17" s="43">
        <f>IFERROR(__xludf.DUMMYFUNCTION("""COMPUTED_VALUE"""),3.09849696969697)</f>
        <v>3.09849697</v>
      </c>
      <c r="D17" s="43">
        <f>IFERROR(__xludf.DUMMYFUNCTION("""COMPUTED_VALUE"""),0.10637575757575758)</f>
        <v>0.1063757576</v>
      </c>
      <c r="E17" s="43">
        <f>IFERROR(__xludf.DUMMYFUNCTION("""COMPUTED_VALUE"""),0.0488969696969697)</f>
        <v>0.0488969697</v>
      </c>
      <c r="F17" s="43">
        <f>IFERROR(__xludf.DUMMYFUNCTION("""COMPUTED_VALUE"""),0.02538181818181818)</f>
        <v>0.02538181818</v>
      </c>
      <c r="G17" s="43">
        <f>IFERROR(__xludf.DUMMYFUNCTION("""COMPUTED_VALUE"""),0.43042424242424243)</f>
        <v>0.4304242424</v>
      </c>
      <c r="H17" s="43">
        <f>IFERROR(__xludf.DUMMYFUNCTION("""COMPUTED_VALUE"""),0.4319515151515151)</f>
        <v>0.4319515152</v>
      </c>
      <c r="I17" s="43">
        <f>IFERROR(__xludf.DUMMYFUNCTION("""COMPUTED_VALUE"""),0.48079999999999995)</f>
        <v>0.4808</v>
      </c>
      <c r="J17" s="43">
        <f>IFERROR(__xludf.DUMMYFUNCTION("""COMPUTED_VALUE"""),0.08189090909090908)</f>
        <v>0.08189090909</v>
      </c>
      <c r="K17" s="43">
        <f>IFERROR(__xludf.DUMMYFUNCTION("""COMPUTED_VALUE"""),0.02843636363636364)</f>
        <v>0.02843636364</v>
      </c>
      <c r="L17" s="43">
        <f>IFERROR(__xludf.DUMMYFUNCTION("""COMPUTED_VALUE"""),0.025066666666666675)</f>
        <v>0.02506666667</v>
      </c>
      <c r="M17" s="43">
        <f>IFERROR(__xludf.DUMMYFUNCTION("""COMPUTED_VALUE"""),1.899539393939394)</f>
        <v>1.899539394</v>
      </c>
      <c r="N17" s="41">
        <f>IFERROR(__xludf.DUMMYFUNCTION("""COMPUTED_VALUE"""),17.74887272727273)</f>
        <v>17.74887273</v>
      </c>
      <c r="O17" s="41">
        <f>IFERROR(__xludf.DUMMYFUNCTION("""COMPUTED_VALUE"""),0.0)</f>
        <v>0</v>
      </c>
      <c r="Q17" s="43">
        <v>2.7935</v>
      </c>
      <c r="R17" s="43">
        <v>0.0739</v>
      </c>
      <c r="S17" s="43">
        <v>0.0347</v>
      </c>
      <c r="T17" s="43">
        <v>0.0143</v>
      </c>
      <c r="U17" s="43">
        <v>0.4072</v>
      </c>
      <c r="V17" s="43">
        <v>0.4022</v>
      </c>
      <c r="W17" s="43">
        <v>0.3985</v>
      </c>
      <c r="X17" s="43">
        <v>0.0528</v>
      </c>
      <c r="Y17" s="43">
        <v>0.0528</v>
      </c>
      <c r="Z17" s="43">
        <v>0.0528</v>
      </c>
      <c r="AA17" s="43">
        <v>3.1557</v>
      </c>
      <c r="AB17" s="41">
        <v>13.3829</v>
      </c>
      <c r="AC17" s="41">
        <v>0.0</v>
      </c>
      <c r="AE17" s="51">
        <f t="shared" ref="AE17:AQ17" si="13">IFERROR((Q17-C17)/C17, "")</f>
        <v>-0.09843384476</v>
      </c>
      <c r="AF17" s="51">
        <f t="shared" si="13"/>
        <v>-0.3052928441</v>
      </c>
      <c r="AG17" s="51">
        <f t="shared" si="13"/>
        <v>-0.2903445711</v>
      </c>
      <c r="AH17" s="51">
        <f t="shared" si="13"/>
        <v>-0.4366045845</v>
      </c>
      <c r="AI17" s="51">
        <f t="shared" si="13"/>
        <v>-0.05395663193</v>
      </c>
      <c r="AJ17" s="51">
        <f t="shared" si="13"/>
        <v>-0.06887697834</v>
      </c>
      <c r="AK17" s="51">
        <f t="shared" si="13"/>
        <v>-0.1711730449</v>
      </c>
      <c r="AL17" s="51">
        <f t="shared" si="13"/>
        <v>-0.3552397869</v>
      </c>
      <c r="AM17" s="51">
        <f t="shared" si="13"/>
        <v>0.8567774936</v>
      </c>
      <c r="AN17" s="51">
        <f t="shared" si="13"/>
        <v>1.106382979</v>
      </c>
      <c r="AO17" s="51">
        <f t="shared" si="13"/>
        <v>0.6612974756</v>
      </c>
      <c r="AP17" s="51">
        <f t="shared" si="13"/>
        <v>-0.2459859166</v>
      </c>
      <c r="AQ17" s="51" t="str">
        <f t="shared" si="13"/>
        <v/>
      </c>
    </row>
    <row r="18">
      <c r="B18" s="56" t="s">
        <v>107</v>
      </c>
      <c r="C18" s="57">
        <f>IFERROR(__xludf.DUMMYFUNCTION("""COMPUTED_VALUE"""),0.0)</f>
        <v>0</v>
      </c>
      <c r="D18" s="57">
        <f>IFERROR(__xludf.DUMMYFUNCTION("""COMPUTED_VALUE"""),0.0)</f>
        <v>0</v>
      </c>
      <c r="E18" s="57">
        <f>IFERROR(__xludf.DUMMYFUNCTION("""COMPUTED_VALUE"""),0.0)</f>
        <v>0</v>
      </c>
      <c r="F18" s="57">
        <f>IFERROR(__xludf.DUMMYFUNCTION("""COMPUTED_VALUE"""),0.0)</f>
        <v>0</v>
      </c>
      <c r="G18" s="57">
        <f>IFERROR(__xludf.DUMMYFUNCTION("""COMPUTED_VALUE"""),0.0)</f>
        <v>0</v>
      </c>
      <c r="H18" s="57">
        <f>IFERROR(__xludf.DUMMYFUNCTION("""COMPUTED_VALUE"""),0.0)</f>
        <v>0</v>
      </c>
      <c r="I18" s="57">
        <f>IFERROR(__xludf.DUMMYFUNCTION("""COMPUTED_VALUE"""),0.0)</f>
        <v>0</v>
      </c>
      <c r="J18" s="57">
        <f>IFERROR(__xludf.DUMMYFUNCTION("""COMPUTED_VALUE"""),0.0)</f>
        <v>0</v>
      </c>
      <c r="K18" s="57">
        <f>IFERROR(__xludf.DUMMYFUNCTION("""COMPUTED_VALUE"""),0.0)</f>
        <v>0</v>
      </c>
      <c r="L18" s="57">
        <f>IFERROR(__xludf.DUMMYFUNCTION("""COMPUTED_VALUE"""),0.0)</f>
        <v>0</v>
      </c>
      <c r="M18" s="57">
        <f>IFERROR(__xludf.DUMMYFUNCTION("""COMPUTED_VALUE"""),0.0)</f>
        <v>0</v>
      </c>
      <c r="N18" s="57">
        <f>IFERROR(__xludf.DUMMYFUNCTION("""COMPUTED_VALUE"""),0.0)</f>
        <v>0</v>
      </c>
      <c r="O18" s="57">
        <f>IFERROR(__xludf.DUMMYFUNCTION("""COMPUTED_VALUE"""),0.0)</f>
        <v>0</v>
      </c>
      <c r="Q18" s="57">
        <v>0.0045</v>
      </c>
      <c r="R18" s="57">
        <v>0.0</v>
      </c>
      <c r="S18" s="57">
        <v>0.0</v>
      </c>
      <c r="T18" s="57">
        <v>0.0</v>
      </c>
      <c r="U18" s="57">
        <v>0.0</v>
      </c>
      <c r="V18" s="57">
        <v>0.0016</v>
      </c>
      <c r="W18" s="57">
        <v>0.0</v>
      </c>
      <c r="X18" s="57">
        <v>0.0</v>
      </c>
      <c r="Y18" s="57">
        <v>0.0</v>
      </c>
      <c r="Z18" s="57">
        <v>0.0</v>
      </c>
      <c r="AA18" s="57">
        <v>0.0217</v>
      </c>
      <c r="AB18" s="57">
        <v>0.0</v>
      </c>
      <c r="AC18" s="57">
        <v>0.0</v>
      </c>
      <c r="AE18" s="51" t="str">
        <f t="shared" ref="AE18:AQ18" si="14">IFERROR((Q18-C18)/C18, "")</f>
        <v/>
      </c>
      <c r="AF18" s="51" t="str">
        <f t="shared" si="14"/>
        <v/>
      </c>
      <c r="AG18" s="51" t="str">
        <f t="shared" si="14"/>
        <v/>
      </c>
      <c r="AH18" s="51" t="str">
        <f t="shared" si="14"/>
        <v/>
      </c>
      <c r="AI18" s="51" t="str">
        <f t="shared" si="14"/>
        <v/>
      </c>
      <c r="AJ18" s="51" t="str">
        <f t="shared" si="14"/>
        <v/>
      </c>
      <c r="AK18" s="51" t="str">
        <f t="shared" si="14"/>
        <v/>
      </c>
      <c r="AL18" s="51" t="str">
        <f t="shared" si="14"/>
        <v/>
      </c>
      <c r="AM18" s="51" t="str">
        <f t="shared" si="14"/>
        <v/>
      </c>
      <c r="AN18" s="51" t="str">
        <f t="shared" si="14"/>
        <v/>
      </c>
      <c r="AO18" s="51" t="str">
        <f t="shared" si="14"/>
        <v/>
      </c>
      <c r="AP18" s="51" t="str">
        <f t="shared" si="14"/>
        <v/>
      </c>
      <c r="AQ18" s="51" t="str">
        <f t="shared" si="14"/>
        <v/>
      </c>
    </row>
    <row r="19">
      <c r="B19" s="56" t="s">
        <v>110</v>
      </c>
      <c r="C19" s="57">
        <f>IFERROR(__xludf.DUMMYFUNCTION("""COMPUTED_VALUE"""),0.0)</f>
        <v>0</v>
      </c>
      <c r="D19" s="57">
        <f>IFERROR(__xludf.DUMMYFUNCTION("""COMPUTED_VALUE"""),0.0)</f>
        <v>0</v>
      </c>
      <c r="E19" s="57">
        <f>IFERROR(__xludf.DUMMYFUNCTION("""COMPUTED_VALUE"""),0.0)</f>
        <v>0</v>
      </c>
      <c r="F19" s="57">
        <f>IFERROR(__xludf.DUMMYFUNCTION("""COMPUTED_VALUE"""),0.0)</f>
        <v>0</v>
      </c>
      <c r="G19" s="57">
        <f>IFERROR(__xludf.DUMMYFUNCTION("""COMPUTED_VALUE"""),0.0)</f>
        <v>0</v>
      </c>
      <c r="H19" s="57">
        <f>IFERROR(__xludf.DUMMYFUNCTION("""COMPUTED_VALUE"""),0.0)</f>
        <v>0</v>
      </c>
      <c r="I19" s="57">
        <f>IFERROR(__xludf.DUMMYFUNCTION("""COMPUTED_VALUE"""),0.0)</f>
        <v>0</v>
      </c>
      <c r="J19" s="57">
        <f>IFERROR(__xludf.DUMMYFUNCTION("""COMPUTED_VALUE"""),0.0)</f>
        <v>0</v>
      </c>
      <c r="K19" s="57">
        <f>IFERROR(__xludf.DUMMYFUNCTION("""COMPUTED_VALUE"""),0.0)</f>
        <v>0</v>
      </c>
      <c r="L19" s="57">
        <f>IFERROR(__xludf.DUMMYFUNCTION("""COMPUTED_VALUE"""),0.0)</f>
        <v>0</v>
      </c>
      <c r="M19" s="57">
        <f>IFERROR(__xludf.DUMMYFUNCTION("""COMPUTED_VALUE"""),0.0)</f>
        <v>0</v>
      </c>
      <c r="N19" s="57">
        <f>IFERROR(__xludf.DUMMYFUNCTION("""COMPUTED_VALUE"""),0.0)</f>
        <v>0</v>
      </c>
      <c r="O19" s="57">
        <f>IFERROR(__xludf.DUMMYFUNCTION("""COMPUTED_VALUE"""),0.0)</f>
        <v>0</v>
      </c>
      <c r="Q19" s="57">
        <v>0.639</v>
      </c>
      <c r="R19" s="57">
        <v>0.1251</v>
      </c>
      <c r="S19" s="57">
        <v>0.0233</v>
      </c>
      <c r="T19" s="57">
        <v>9.0E-4</v>
      </c>
      <c r="U19" s="57">
        <v>0.0</v>
      </c>
      <c r="V19" s="57">
        <v>0.0</v>
      </c>
      <c r="W19" s="57">
        <v>0.0</v>
      </c>
      <c r="X19" s="57">
        <v>0.0</v>
      </c>
      <c r="Y19" s="57">
        <v>0.0</v>
      </c>
      <c r="Z19" s="57">
        <v>0.0</v>
      </c>
      <c r="AA19" s="57">
        <v>0.0</v>
      </c>
      <c r="AB19" s="57">
        <v>0.0</v>
      </c>
      <c r="AC19" s="57">
        <v>0.0</v>
      </c>
      <c r="AE19" s="51" t="str">
        <f t="shared" ref="AE19:AQ19" si="15">IFERROR((Q19-C19)/C19, "")</f>
        <v/>
      </c>
      <c r="AF19" s="51" t="str">
        <f t="shared" si="15"/>
        <v/>
      </c>
      <c r="AG19" s="51" t="str">
        <f t="shared" si="15"/>
        <v/>
      </c>
      <c r="AH19" s="51" t="str">
        <f t="shared" si="15"/>
        <v/>
      </c>
      <c r="AI19" s="51" t="str">
        <f t="shared" si="15"/>
        <v/>
      </c>
      <c r="AJ19" s="51" t="str">
        <f t="shared" si="15"/>
        <v/>
      </c>
      <c r="AK19" s="51" t="str">
        <f t="shared" si="15"/>
        <v/>
      </c>
      <c r="AL19" s="51" t="str">
        <f t="shared" si="15"/>
        <v/>
      </c>
      <c r="AM19" s="51" t="str">
        <f t="shared" si="15"/>
        <v/>
      </c>
      <c r="AN19" s="51" t="str">
        <f t="shared" si="15"/>
        <v/>
      </c>
      <c r="AO19" s="51" t="str">
        <f t="shared" si="15"/>
        <v/>
      </c>
      <c r="AP19" s="51" t="str">
        <f t="shared" si="15"/>
        <v/>
      </c>
      <c r="AQ19" s="51" t="str">
        <f t="shared" si="15"/>
        <v/>
      </c>
    </row>
    <row r="20">
      <c r="B20" s="56" t="s">
        <v>111</v>
      </c>
      <c r="C20" s="57">
        <f>IFERROR(__xludf.DUMMYFUNCTION("""COMPUTED_VALUE"""),0.0)</f>
        <v>0</v>
      </c>
      <c r="D20" s="57">
        <f>IFERROR(__xludf.DUMMYFUNCTION("""COMPUTED_VALUE"""),0.0)</f>
        <v>0</v>
      </c>
      <c r="E20" s="57">
        <f>IFERROR(__xludf.DUMMYFUNCTION("""COMPUTED_VALUE"""),0.0)</f>
        <v>0</v>
      </c>
      <c r="F20" s="57">
        <f>IFERROR(__xludf.DUMMYFUNCTION("""COMPUTED_VALUE"""),0.0)</f>
        <v>0</v>
      </c>
      <c r="G20" s="57">
        <f>IFERROR(__xludf.DUMMYFUNCTION("""COMPUTED_VALUE"""),0.0)</f>
        <v>0</v>
      </c>
      <c r="H20" s="57">
        <f>IFERROR(__xludf.DUMMYFUNCTION("""COMPUTED_VALUE"""),0.0)</f>
        <v>0</v>
      </c>
      <c r="I20" s="57">
        <f>IFERROR(__xludf.DUMMYFUNCTION("""COMPUTED_VALUE"""),0.0)</f>
        <v>0</v>
      </c>
      <c r="J20" s="57">
        <f>IFERROR(__xludf.DUMMYFUNCTION("""COMPUTED_VALUE"""),0.0)</f>
        <v>0</v>
      </c>
      <c r="K20" s="57">
        <f>IFERROR(__xludf.DUMMYFUNCTION("""COMPUTED_VALUE"""),0.0)</f>
        <v>0</v>
      </c>
      <c r="L20" s="57">
        <f>IFERROR(__xludf.DUMMYFUNCTION("""COMPUTED_VALUE"""),0.0)</f>
        <v>0</v>
      </c>
      <c r="M20" s="57">
        <f>IFERROR(__xludf.DUMMYFUNCTION("""COMPUTED_VALUE"""),0.0)</f>
        <v>0</v>
      </c>
      <c r="N20" s="57">
        <f>IFERROR(__xludf.DUMMYFUNCTION("""COMPUTED_VALUE"""),0.0)</f>
        <v>0</v>
      </c>
      <c r="O20" s="57">
        <f>IFERROR(__xludf.DUMMYFUNCTION("""COMPUTED_VALUE"""),0.0)</f>
        <v>0</v>
      </c>
      <c r="Q20" s="57">
        <v>0.0149</v>
      </c>
      <c r="R20" s="57">
        <v>1.0E-4</v>
      </c>
      <c r="S20" s="57">
        <v>5.0E-4</v>
      </c>
      <c r="T20" s="57">
        <v>5.0E-4</v>
      </c>
      <c r="U20" s="57">
        <v>1.0E-4</v>
      </c>
      <c r="V20" s="57">
        <v>1.0E-4</v>
      </c>
      <c r="W20" s="57">
        <v>0.0</v>
      </c>
      <c r="X20" s="57">
        <v>0.0</v>
      </c>
      <c r="Y20" s="57">
        <v>0.0</v>
      </c>
      <c r="Z20" s="57">
        <v>0.0</v>
      </c>
      <c r="AA20" s="57">
        <v>0.0</v>
      </c>
      <c r="AB20" s="57">
        <v>9.0E-4</v>
      </c>
      <c r="AC20" s="57">
        <v>5.0E-4</v>
      </c>
      <c r="AE20" s="51" t="str">
        <f t="shared" ref="AE20:AQ20" si="16">IFERROR((Q20-C20)/C20, "")</f>
        <v/>
      </c>
      <c r="AF20" s="51" t="str">
        <f t="shared" si="16"/>
        <v/>
      </c>
      <c r="AG20" s="51" t="str">
        <f t="shared" si="16"/>
        <v/>
      </c>
      <c r="AH20" s="51" t="str">
        <f t="shared" si="16"/>
        <v/>
      </c>
      <c r="AI20" s="51" t="str">
        <f t="shared" si="16"/>
        <v/>
      </c>
      <c r="AJ20" s="51" t="str">
        <f t="shared" si="16"/>
        <v/>
      </c>
      <c r="AK20" s="51" t="str">
        <f t="shared" si="16"/>
        <v/>
      </c>
      <c r="AL20" s="51" t="str">
        <f t="shared" si="16"/>
        <v/>
      </c>
      <c r="AM20" s="51" t="str">
        <f t="shared" si="16"/>
        <v/>
      </c>
      <c r="AN20" s="51" t="str">
        <f t="shared" si="16"/>
        <v/>
      </c>
      <c r="AO20" s="51" t="str">
        <f t="shared" si="16"/>
        <v/>
      </c>
      <c r="AP20" s="51" t="str">
        <f t="shared" si="16"/>
        <v/>
      </c>
      <c r="AQ20" s="51" t="str">
        <f t="shared" si="16"/>
        <v/>
      </c>
    </row>
    <row r="21">
      <c r="B21" s="56" t="s">
        <v>113</v>
      </c>
      <c r="C21" s="57">
        <f>IFERROR(__xludf.DUMMYFUNCTION("""COMPUTED_VALUE"""),12.971270071216775)</f>
        <v>12.97127007</v>
      </c>
      <c r="D21" s="57">
        <f>IFERROR(__xludf.DUMMYFUNCTION("""COMPUTED_VALUE"""),0.2163648359817862)</f>
        <v>0.216364836</v>
      </c>
      <c r="E21" s="57">
        <f>IFERROR(__xludf.DUMMYFUNCTION("""COMPUTED_VALUE"""),0.14814147046151513)</f>
        <v>0.1481414705</v>
      </c>
      <c r="F21" s="57">
        <f>IFERROR(__xludf.DUMMYFUNCTION("""COMPUTED_VALUE"""),0.0)</f>
        <v>0</v>
      </c>
      <c r="G21" s="57">
        <f>IFERROR(__xludf.DUMMYFUNCTION("""COMPUTED_VALUE"""),0.14527249072830348)</f>
        <v>0.1452724907</v>
      </c>
      <c r="H21" s="57">
        <f>IFERROR(__xludf.DUMMYFUNCTION("""COMPUTED_VALUE"""),0.1416011692052953)</f>
        <v>0.1416011692</v>
      </c>
      <c r="I21" s="57">
        <f>IFERROR(__xludf.DUMMYFUNCTION("""COMPUTED_VALUE"""),0.08881680479171425)</f>
        <v>0.08881680479</v>
      </c>
      <c r="J21" s="57">
        <f>IFERROR(__xludf.DUMMYFUNCTION("""COMPUTED_VALUE"""),0.0)</f>
        <v>0</v>
      </c>
      <c r="K21" s="57">
        <f>IFERROR(__xludf.DUMMYFUNCTION("""COMPUTED_VALUE"""),0.0)</f>
        <v>0</v>
      </c>
      <c r="L21" s="57">
        <f>IFERROR(__xludf.DUMMYFUNCTION("""COMPUTED_VALUE"""),4.862677513918108E-5)</f>
        <v>0.00004862677514</v>
      </c>
      <c r="M21" s="57">
        <f>IFERROR(__xludf.DUMMYFUNCTION("""COMPUTED_VALUE"""),23.314569294844187)</f>
        <v>23.31456929</v>
      </c>
      <c r="N21" s="57">
        <f>IFERROR(__xludf.DUMMYFUNCTION("""COMPUTED_VALUE"""),0.0)</f>
        <v>0</v>
      </c>
      <c r="O21" s="57">
        <f>IFERROR(__xludf.DUMMYFUNCTION("""COMPUTED_VALUE"""),0.0)</f>
        <v>0</v>
      </c>
      <c r="Q21" s="57">
        <v>9.3274</v>
      </c>
      <c r="R21" s="57">
        <v>0.1505</v>
      </c>
      <c r="S21" s="57">
        <v>0.1431</v>
      </c>
      <c r="T21" s="57">
        <v>0.0037</v>
      </c>
      <c r="U21" s="57">
        <v>0.1548</v>
      </c>
      <c r="V21" s="57">
        <v>0.1471</v>
      </c>
      <c r="W21" s="57">
        <v>0.1426</v>
      </c>
      <c r="X21" s="57">
        <v>0.0</v>
      </c>
      <c r="Y21" s="57">
        <v>0.0</v>
      </c>
      <c r="Z21" s="57">
        <v>0.0</v>
      </c>
      <c r="AA21" s="57">
        <v>37.2627</v>
      </c>
      <c r="AB21" s="57">
        <v>0.0</v>
      </c>
      <c r="AC21" s="57">
        <v>0.0</v>
      </c>
      <c r="AE21" s="51">
        <f t="shared" ref="AE21:AQ21" si="17">IFERROR((Q21-C21)/C21, "")</f>
        <v>-0.2809185262</v>
      </c>
      <c r="AF21" s="51">
        <f t="shared" si="17"/>
        <v>-0.3044156213</v>
      </c>
      <c r="AG21" s="51">
        <f t="shared" si="17"/>
        <v>-0.03403145956</v>
      </c>
      <c r="AH21" s="51" t="str">
        <f t="shared" si="17"/>
        <v/>
      </c>
      <c r="AI21" s="51">
        <f t="shared" si="17"/>
        <v>0.06558371254</v>
      </c>
      <c r="AJ21" s="51">
        <f t="shared" si="17"/>
        <v>0.03883323016</v>
      </c>
      <c r="AK21" s="51">
        <f t="shared" si="17"/>
        <v>0.6055520161</v>
      </c>
      <c r="AL21" s="51" t="str">
        <f t="shared" si="17"/>
        <v/>
      </c>
      <c r="AM21" s="51" t="str">
        <f t="shared" si="17"/>
        <v/>
      </c>
      <c r="AN21" s="51">
        <f t="shared" si="17"/>
        <v>-1</v>
      </c>
      <c r="AO21" s="51">
        <f t="shared" si="17"/>
        <v>0.5982581333</v>
      </c>
      <c r="AP21" s="51" t="str">
        <f t="shared" si="17"/>
        <v/>
      </c>
      <c r="AQ21" s="51" t="str">
        <f t="shared" si="17"/>
        <v/>
      </c>
    </row>
    <row r="22">
      <c r="B22" s="56" t="s">
        <v>115</v>
      </c>
      <c r="C22" s="57">
        <f>IFERROR(__xludf.DUMMYFUNCTION("""COMPUTED_VALUE"""),3.9685079835289523)</f>
        <v>3.968507984</v>
      </c>
      <c r="D22" s="57">
        <f>IFERROR(__xludf.DUMMYFUNCTION("""COMPUTED_VALUE"""),0.04785722513319233)</f>
        <v>0.04785722513</v>
      </c>
      <c r="E22" s="57">
        <f>IFERROR(__xludf.DUMMYFUNCTION("""COMPUTED_VALUE"""),0.1181673234076596)</f>
        <v>0.1181673234</v>
      </c>
      <c r="F22" s="57">
        <f>IFERROR(__xludf.DUMMYFUNCTION("""COMPUTED_VALUE"""),0.0)</f>
        <v>0</v>
      </c>
      <c r="G22" s="57">
        <f>IFERROR(__xludf.DUMMYFUNCTION("""COMPUTED_VALUE"""),0.2936335137167971)</f>
        <v>0.2936335137</v>
      </c>
      <c r="H22" s="57">
        <f>IFERROR(__xludf.DUMMYFUNCTION("""COMPUTED_VALUE"""),0.3035078330129256)</f>
        <v>0.303507833</v>
      </c>
      <c r="I22" s="57">
        <f>IFERROR(__xludf.DUMMYFUNCTION("""COMPUTED_VALUE"""),0.08740086062426085)</f>
        <v>0.08740086062</v>
      </c>
      <c r="J22" s="57">
        <f>IFERROR(__xludf.DUMMYFUNCTION("""COMPUTED_VALUE"""),0.8252860260537304)</f>
        <v>0.8252860261</v>
      </c>
      <c r="K22" s="57">
        <f>IFERROR(__xludf.DUMMYFUNCTION("""COMPUTED_VALUE"""),2.9470748115197853)</f>
        <v>2.947074812</v>
      </c>
      <c r="L22" s="57">
        <f>IFERROR(__xludf.DUMMYFUNCTION("""COMPUTED_VALUE"""),2.952514186155524)</f>
        <v>2.952514186</v>
      </c>
      <c r="M22" s="57">
        <f>IFERROR(__xludf.DUMMYFUNCTION("""COMPUTED_VALUE"""),11.454519438886068)</f>
        <v>11.45451944</v>
      </c>
      <c r="N22" s="57">
        <f>IFERROR(__xludf.DUMMYFUNCTION("""COMPUTED_VALUE"""),0.22099004734574862)</f>
        <v>0.2209900473</v>
      </c>
      <c r="O22" s="57">
        <f>IFERROR(__xludf.DUMMYFUNCTION("""COMPUTED_VALUE"""),0.0)</f>
        <v>0</v>
      </c>
      <c r="Q22" s="57">
        <v>6.4388</v>
      </c>
      <c r="R22" s="57">
        <v>0.0126</v>
      </c>
      <c r="S22" s="57">
        <v>0.0866</v>
      </c>
      <c r="T22" s="57">
        <v>0.0054</v>
      </c>
      <c r="U22" s="57">
        <v>0.3624</v>
      </c>
      <c r="V22" s="57">
        <v>0.3762</v>
      </c>
      <c r="W22" s="57">
        <v>0.029</v>
      </c>
      <c r="X22" s="57">
        <v>0.0474</v>
      </c>
      <c r="Y22" s="57">
        <v>2.3738</v>
      </c>
      <c r="Z22" s="57">
        <v>3.0247</v>
      </c>
      <c r="AA22" s="57">
        <v>14.8345</v>
      </c>
      <c r="AB22" s="57">
        <v>0.2453</v>
      </c>
      <c r="AC22" s="57">
        <v>0.0</v>
      </c>
      <c r="AE22" s="51">
        <f t="shared" ref="AE22:AQ22" si="18">IFERROR((Q22-C22)/C22, "")</f>
        <v>0.6224737425</v>
      </c>
      <c r="AF22" s="51">
        <f t="shared" si="18"/>
        <v>-0.7367168705</v>
      </c>
      <c r="AG22" s="51">
        <f t="shared" si="18"/>
        <v>-0.2671408855</v>
      </c>
      <c r="AH22" s="51" t="str">
        <f t="shared" si="18"/>
        <v/>
      </c>
      <c r="AI22" s="51">
        <f t="shared" si="18"/>
        <v>0.2341915451</v>
      </c>
      <c r="AJ22" s="51">
        <f t="shared" si="18"/>
        <v>0.2395067246</v>
      </c>
      <c r="AK22" s="51">
        <f t="shared" si="18"/>
        <v>-0.6681954869</v>
      </c>
      <c r="AL22" s="51">
        <f t="shared" si="18"/>
        <v>-0.942565367</v>
      </c>
      <c r="AM22" s="51">
        <f t="shared" si="18"/>
        <v>-0.1945233318</v>
      </c>
      <c r="AN22" s="51">
        <f t="shared" si="18"/>
        <v>0.0244489304</v>
      </c>
      <c r="AO22" s="51">
        <f t="shared" si="18"/>
        <v>0.2950783382</v>
      </c>
      <c r="AP22" s="51">
        <f t="shared" si="18"/>
        <v>0.1100047398</v>
      </c>
      <c r="AQ22" s="51" t="str">
        <f t="shared" si="18"/>
        <v/>
      </c>
    </row>
    <row r="23">
      <c r="B23" s="56" t="s">
        <v>117</v>
      </c>
      <c r="C23" s="57">
        <f>IFERROR(__xludf.DUMMYFUNCTION("""COMPUTED_VALUE"""),0.7574615823895379)</f>
        <v>0.7574615824</v>
      </c>
      <c r="D23" s="57">
        <f>IFERROR(__xludf.DUMMYFUNCTION("""COMPUTED_VALUE"""),0.0)</f>
        <v>0</v>
      </c>
      <c r="E23" s="57">
        <f>IFERROR(__xludf.DUMMYFUNCTION("""COMPUTED_VALUE"""),0.03498823209794001)</f>
        <v>0.0349882321</v>
      </c>
      <c r="F23" s="57">
        <f>IFERROR(__xludf.DUMMYFUNCTION("""COMPUTED_VALUE"""),0.0016821265431701928)</f>
        <v>0.001682126543</v>
      </c>
      <c r="G23" s="57">
        <f>IFERROR(__xludf.DUMMYFUNCTION("""COMPUTED_VALUE"""),1.2615949073776445E-4)</f>
        <v>0.0001261594907</v>
      </c>
      <c r="H23" s="57">
        <f>IFERROR(__xludf.DUMMYFUNCTION("""COMPUTED_VALUE"""),4.205316357925482E-5)</f>
        <v>0.00004205316358</v>
      </c>
      <c r="I23" s="57">
        <f>IFERROR(__xludf.DUMMYFUNCTION("""COMPUTED_VALUE"""),4.205316357925482E-5)</f>
        <v>0.00004205316358</v>
      </c>
      <c r="J23" s="57">
        <f>IFERROR(__xludf.DUMMYFUNCTION("""COMPUTED_VALUE"""),0.0)</f>
        <v>0</v>
      </c>
      <c r="K23" s="57">
        <f>IFERROR(__xludf.DUMMYFUNCTION("""COMPUTED_VALUE"""),0.0)</f>
        <v>0</v>
      </c>
      <c r="L23" s="57">
        <f>IFERROR(__xludf.DUMMYFUNCTION("""COMPUTED_VALUE"""),0.0)</f>
        <v>0</v>
      </c>
      <c r="M23" s="57">
        <f>IFERROR(__xludf.DUMMYFUNCTION("""COMPUTED_VALUE"""),9.825847829783628)</f>
        <v>9.82584783</v>
      </c>
      <c r="N23" s="57">
        <f>IFERROR(__xludf.DUMMYFUNCTION("""COMPUTED_VALUE"""),5.466911265303127E-4)</f>
        <v>0.0005466911265</v>
      </c>
      <c r="O23" s="57">
        <f>IFERROR(__xludf.DUMMYFUNCTION("""COMPUTED_VALUE"""),0.0)</f>
        <v>0</v>
      </c>
      <c r="Q23" s="57">
        <v>0.3915</v>
      </c>
      <c r="R23" s="57">
        <v>0.0229</v>
      </c>
      <c r="S23" s="57">
        <v>0.0065</v>
      </c>
      <c r="T23" s="57">
        <v>9.0E-4</v>
      </c>
      <c r="U23" s="57">
        <v>0.0714</v>
      </c>
      <c r="V23" s="57">
        <v>0.0268</v>
      </c>
      <c r="W23" s="57">
        <v>0.0025</v>
      </c>
      <c r="X23" s="57">
        <v>0.0</v>
      </c>
      <c r="Y23" s="57">
        <v>0.0</v>
      </c>
      <c r="Z23" s="57">
        <v>0.0</v>
      </c>
      <c r="AA23" s="57">
        <v>19.7887</v>
      </c>
      <c r="AB23" s="57">
        <v>5.0E-4</v>
      </c>
      <c r="AC23" s="57">
        <v>0.0</v>
      </c>
      <c r="AE23" s="51">
        <f t="shared" ref="AE23:AQ23" si="19">IFERROR((Q23-C23)/C23, "")</f>
        <v>-0.4831421037</v>
      </c>
      <c r="AF23" s="51" t="str">
        <f t="shared" si="19"/>
        <v/>
      </c>
      <c r="AG23" s="51">
        <f t="shared" si="19"/>
        <v>-0.8142232514</v>
      </c>
      <c r="AH23" s="51">
        <f t="shared" si="19"/>
        <v>-0.4649629639</v>
      </c>
      <c r="AI23" s="51">
        <f t="shared" si="19"/>
        <v>564.9502871</v>
      </c>
      <c r="AJ23" s="51">
        <f t="shared" si="19"/>
        <v>636.2885586</v>
      </c>
      <c r="AK23" s="51">
        <f t="shared" si="19"/>
        <v>58.44855957</v>
      </c>
      <c r="AL23" s="51" t="str">
        <f t="shared" si="19"/>
        <v/>
      </c>
      <c r="AM23" s="51" t="str">
        <f t="shared" si="19"/>
        <v/>
      </c>
      <c r="AN23" s="51" t="str">
        <f t="shared" si="19"/>
        <v/>
      </c>
      <c r="AO23" s="51">
        <f t="shared" si="19"/>
        <v>1.013943259</v>
      </c>
      <c r="AP23" s="51">
        <f t="shared" si="19"/>
        <v>-0.0854067759</v>
      </c>
      <c r="AQ23" s="51" t="str">
        <f t="shared" si="19"/>
        <v/>
      </c>
    </row>
    <row r="24">
      <c r="B24" s="37" t="s">
        <v>120</v>
      </c>
      <c r="C24" s="43">
        <f>IFERROR(__xludf.DUMMYFUNCTION("""COMPUTED_VALUE"""),12.387418980834639)</f>
        <v>12.38741898</v>
      </c>
      <c r="D24" s="43">
        <f>IFERROR(__xludf.DUMMYFUNCTION("""COMPUTED_VALUE"""),0.18826722557728365)</f>
        <v>0.1882672256</v>
      </c>
      <c r="E24" s="43">
        <f>IFERROR(__xludf.DUMMYFUNCTION("""COMPUTED_VALUE"""),0.10139098329669312)</f>
        <v>0.1013909833</v>
      </c>
      <c r="F24" s="43">
        <f>IFERROR(__xludf.DUMMYFUNCTION("""COMPUTED_VALUE"""),0.05086525470116647)</f>
        <v>0.0508652547</v>
      </c>
      <c r="G24" s="43">
        <f>IFERROR(__xludf.DUMMYFUNCTION("""COMPUTED_VALUE"""),0.0)</f>
        <v>0</v>
      </c>
      <c r="H24" s="43">
        <f>IFERROR(__xludf.DUMMYFUNCTION("""COMPUTED_VALUE"""),0.0)</f>
        <v>0</v>
      </c>
      <c r="I24" s="43">
        <f>IFERROR(__xludf.DUMMYFUNCTION("""COMPUTED_VALUE"""),0.0)</f>
        <v>0</v>
      </c>
      <c r="J24" s="43">
        <f>IFERROR(__xludf.DUMMYFUNCTION("""COMPUTED_VALUE"""),0.0)</f>
        <v>0</v>
      </c>
      <c r="K24" s="43">
        <f>IFERROR(__xludf.DUMMYFUNCTION("""COMPUTED_VALUE"""),0.0)</f>
        <v>0</v>
      </c>
      <c r="L24" s="43">
        <f>IFERROR(__xludf.DUMMYFUNCTION("""COMPUTED_VALUE"""),0.0)</f>
        <v>0</v>
      </c>
      <c r="M24" s="43">
        <f>IFERROR(__xludf.DUMMYFUNCTION("""COMPUTED_VALUE"""),0.0)</f>
        <v>0</v>
      </c>
      <c r="N24" s="41">
        <f>IFERROR(__xludf.DUMMYFUNCTION("""COMPUTED_VALUE"""),1.2732228961493484E-4)</f>
        <v>0.0001273222896</v>
      </c>
      <c r="O24" s="41">
        <f>IFERROR(__xludf.DUMMYFUNCTION("""COMPUTED_VALUE"""),0.0)</f>
        <v>0</v>
      </c>
      <c r="Q24" s="43">
        <v>16.6059</v>
      </c>
      <c r="R24" s="43">
        <v>0.1941</v>
      </c>
      <c r="S24" s="43">
        <v>0.1012</v>
      </c>
      <c r="T24" s="43">
        <v>0.0481</v>
      </c>
      <c r="U24" s="43">
        <v>0.0</v>
      </c>
      <c r="V24" s="43">
        <v>0.0</v>
      </c>
      <c r="W24" s="43">
        <v>0.0</v>
      </c>
      <c r="X24" s="43">
        <v>0.0</v>
      </c>
      <c r="Y24" s="43">
        <v>0.0</v>
      </c>
      <c r="Z24" s="43">
        <v>0.0</v>
      </c>
      <c r="AA24" s="43">
        <v>0.0</v>
      </c>
      <c r="AB24" s="41">
        <v>0.0</v>
      </c>
      <c r="AC24" s="41">
        <v>0.0</v>
      </c>
      <c r="AE24" s="51">
        <f t="shared" ref="AE24:AQ24" si="20">IFERROR((Q24-C24)/C24, "")</f>
        <v>0.3405455992</v>
      </c>
      <c r="AF24" s="51">
        <f t="shared" si="20"/>
        <v>0.03098135857</v>
      </c>
      <c r="AG24" s="51">
        <f t="shared" si="20"/>
        <v>-0.001883631961</v>
      </c>
      <c r="AH24" s="51">
        <f t="shared" si="20"/>
        <v>-0.05436431445</v>
      </c>
      <c r="AI24" s="51" t="str">
        <f t="shared" si="20"/>
        <v/>
      </c>
      <c r="AJ24" s="51" t="str">
        <f t="shared" si="20"/>
        <v/>
      </c>
      <c r="AK24" s="51" t="str">
        <f t="shared" si="20"/>
        <v/>
      </c>
      <c r="AL24" s="51" t="str">
        <f t="shared" si="20"/>
        <v/>
      </c>
      <c r="AM24" s="51" t="str">
        <f t="shared" si="20"/>
        <v/>
      </c>
      <c r="AN24" s="51" t="str">
        <f t="shared" si="20"/>
        <v/>
      </c>
      <c r="AO24" s="51" t="str">
        <f t="shared" si="20"/>
        <v/>
      </c>
      <c r="AP24" s="51">
        <f t="shared" si="20"/>
        <v>-1</v>
      </c>
      <c r="AQ24" s="51" t="str">
        <f t="shared" si="20"/>
        <v/>
      </c>
    </row>
    <row r="25">
      <c r="B25" s="37" t="s">
        <v>121</v>
      </c>
      <c r="C25" s="43">
        <f>IFERROR(__xludf.DUMMYFUNCTION("""COMPUTED_VALUE"""),13.897540000000001)</f>
        <v>13.89754</v>
      </c>
      <c r="D25" s="43">
        <f>IFERROR(__xludf.DUMMYFUNCTION("""COMPUTED_VALUE"""),0.11721999999999999)</f>
        <v>0.11722</v>
      </c>
      <c r="E25" s="43">
        <f>IFERROR(__xludf.DUMMYFUNCTION("""COMPUTED_VALUE"""),0.171)</f>
        <v>0.171</v>
      </c>
      <c r="F25" s="43">
        <f>IFERROR(__xludf.DUMMYFUNCTION("""COMPUTED_VALUE"""),0.28336)</f>
        <v>0.28336</v>
      </c>
      <c r="G25" s="43">
        <f>IFERROR(__xludf.DUMMYFUNCTION("""COMPUTED_VALUE"""),0.023860000000000003)</f>
        <v>0.02386</v>
      </c>
      <c r="H25" s="43">
        <f>IFERROR(__xludf.DUMMYFUNCTION("""COMPUTED_VALUE"""),0.04476)</f>
        <v>0.04476</v>
      </c>
      <c r="I25" s="43">
        <f>IFERROR(__xludf.DUMMYFUNCTION("""COMPUTED_VALUE"""),0.11752000000000001)</f>
        <v>0.11752</v>
      </c>
      <c r="J25" s="43">
        <f>IFERROR(__xludf.DUMMYFUNCTION("""COMPUTED_VALUE"""),1.6E-4)</f>
        <v>0.00016</v>
      </c>
      <c r="K25" s="43">
        <f>IFERROR(__xludf.DUMMYFUNCTION("""COMPUTED_VALUE"""),0.0)</f>
        <v>0</v>
      </c>
      <c r="L25" s="43">
        <f>IFERROR(__xludf.DUMMYFUNCTION("""COMPUTED_VALUE"""),0.0)</f>
        <v>0</v>
      </c>
      <c r="M25" s="43">
        <f>IFERROR(__xludf.DUMMYFUNCTION("""COMPUTED_VALUE"""),5.9999999999999995E-5)</f>
        <v>0.00006</v>
      </c>
      <c r="N25" s="41">
        <f>IFERROR(__xludf.DUMMYFUNCTION("""COMPUTED_VALUE"""),1.1999999999999999E-4)</f>
        <v>0.00012</v>
      </c>
      <c r="O25" s="41">
        <f>IFERROR(__xludf.DUMMYFUNCTION("""COMPUTED_VALUE"""),0.0)</f>
        <v>0</v>
      </c>
      <c r="Q25" s="43">
        <v>18.6477</v>
      </c>
      <c r="R25" s="43">
        <v>0.1219</v>
      </c>
      <c r="S25" s="43">
        <v>0.1634</v>
      </c>
      <c r="T25" s="43">
        <v>0.2603</v>
      </c>
      <c r="U25" s="43">
        <v>0.0285</v>
      </c>
      <c r="V25" s="43">
        <v>0.0496</v>
      </c>
      <c r="W25" s="43">
        <v>0.1415</v>
      </c>
      <c r="X25" s="43">
        <v>9.0E-4</v>
      </c>
      <c r="Y25" s="43">
        <v>0.0</v>
      </c>
      <c r="Z25" s="43">
        <v>0.0</v>
      </c>
      <c r="AA25" s="43">
        <v>0.0032</v>
      </c>
      <c r="AB25" s="41">
        <v>0.0</v>
      </c>
      <c r="AC25" s="41">
        <v>0.0</v>
      </c>
      <c r="AE25" s="51">
        <f t="shared" ref="AE25:AQ25" si="21">IFERROR((Q25-C25)/C25, "")</f>
        <v>0.3417986205</v>
      </c>
      <c r="AF25" s="51">
        <f t="shared" si="21"/>
        <v>0.03992492749</v>
      </c>
      <c r="AG25" s="51">
        <f t="shared" si="21"/>
        <v>-0.04444444444</v>
      </c>
      <c r="AH25" s="51">
        <f t="shared" si="21"/>
        <v>-0.08138057595</v>
      </c>
      <c r="AI25" s="51">
        <f t="shared" si="21"/>
        <v>0.1944677284</v>
      </c>
      <c r="AJ25" s="51">
        <f t="shared" si="21"/>
        <v>0.1081322609</v>
      </c>
      <c r="AK25" s="51">
        <f t="shared" si="21"/>
        <v>0.2040503744</v>
      </c>
      <c r="AL25" s="51">
        <f t="shared" si="21"/>
        <v>4.625</v>
      </c>
      <c r="AM25" s="51" t="str">
        <f t="shared" si="21"/>
        <v/>
      </c>
      <c r="AN25" s="51" t="str">
        <f t="shared" si="21"/>
        <v/>
      </c>
      <c r="AO25" s="51">
        <f t="shared" si="21"/>
        <v>52.33333333</v>
      </c>
      <c r="AP25" s="51">
        <f t="shared" si="21"/>
        <v>-1</v>
      </c>
      <c r="AQ25" s="51" t="str">
        <f t="shared" si="21"/>
        <v/>
      </c>
    </row>
    <row r="26">
      <c r="B26" s="56" t="s">
        <v>122</v>
      </c>
      <c r="C26" s="57">
        <f>IFERROR(__xludf.DUMMYFUNCTION("""COMPUTED_VALUE"""),1.097707142455746)</f>
        <v>1.097707142</v>
      </c>
      <c r="D26" s="57">
        <f>IFERROR(__xludf.DUMMYFUNCTION("""COMPUTED_VALUE"""),0.0)</f>
        <v>0</v>
      </c>
      <c r="E26" s="57">
        <f>IFERROR(__xludf.DUMMYFUNCTION("""COMPUTED_VALUE"""),0.023268727170553533)</f>
        <v>0.02326872717</v>
      </c>
      <c r="F26" s="57">
        <f>IFERROR(__xludf.DUMMYFUNCTION("""COMPUTED_VALUE"""),0.021076173082326503)</f>
        <v>0.02107617308</v>
      </c>
      <c r="G26" s="57">
        <f>IFERROR(__xludf.DUMMYFUNCTION("""COMPUTED_VALUE"""),0.004246838999719023)</f>
        <v>0.004246839</v>
      </c>
      <c r="H26" s="57">
        <f>IFERROR(__xludf.DUMMYFUNCTION("""COMPUTED_VALUE"""),0.008888732790109584)</f>
        <v>0.00888873279</v>
      </c>
      <c r="I26" s="57">
        <f>IFERROR(__xludf.DUMMYFUNCTION("""COMPUTED_VALUE"""),0.016375021073335213)</f>
        <v>0.01637502107</v>
      </c>
      <c r="J26" s="57">
        <f>IFERROR(__xludf.DUMMYFUNCTION("""COMPUTED_VALUE"""),0.0)</f>
        <v>0</v>
      </c>
      <c r="K26" s="57">
        <f>IFERROR(__xludf.DUMMYFUNCTION("""COMPUTED_VALUE"""),0.0)</f>
        <v>0</v>
      </c>
      <c r="L26" s="57">
        <f>IFERROR(__xludf.DUMMYFUNCTION("""COMPUTED_VALUE"""),0.0)</f>
        <v>0</v>
      </c>
      <c r="M26" s="57">
        <f>IFERROR(__xludf.DUMMYFUNCTION("""COMPUTED_VALUE"""),0.06492725484686712)</f>
        <v>0.06492725485</v>
      </c>
      <c r="N26" s="100">
        <f>IFERROR(__xludf.DUMMYFUNCTION("""COMPUTED_VALUE"""),3.5195628828322576)</f>
        <v>3.519562883</v>
      </c>
      <c r="O26" s="100">
        <f>IFERROR(__xludf.DUMMYFUNCTION("""COMPUTED_VALUE"""),0.0)</f>
        <v>0</v>
      </c>
      <c r="Q26" s="57">
        <v>1.6305</v>
      </c>
      <c r="R26" s="57">
        <v>0.0182</v>
      </c>
      <c r="S26" s="57">
        <v>0.0209</v>
      </c>
      <c r="T26" s="57">
        <v>0.0131</v>
      </c>
      <c r="U26" s="57">
        <v>0.0091</v>
      </c>
      <c r="V26" s="57">
        <v>0.0122</v>
      </c>
      <c r="W26" s="57">
        <v>0.022</v>
      </c>
      <c r="X26" s="57">
        <v>0.0</v>
      </c>
      <c r="Y26" s="57">
        <v>0.0</v>
      </c>
      <c r="Z26" s="57">
        <v>0.0</v>
      </c>
      <c r="AA26" s="57">
        <v>0.3346</v>
      </c>
      <c r="AB26" s="100">
        <v>4.289</v>
      </c>
      <c r="AC26" s="100">
        <v>0.0</v>
      </c>
      <c r="AE26" s="51">
        <f t="shared" ref="AE26:AQ26" si="22">IFERROR((Q26-C26)/C26, "")</f>
        <v>0.4853688538</v>
      </c>
      <c r="AF26" s="51" t="str">
        <f t="shared" si="22"/>
        <v/>
      </c>
      <c r="AG26" s="51">
        <f t="shared" si="22"/>
        <v>-0.1017987427</v>
      </c>
      <c r="AH26" s="51">
        <f t="shared" si="22"/>
        <v>-0.3784450361</v>
      </c>
      <c r="AI26" s="51">
        <f t="shared" si="22"/>
        <v>1.142770188</v>
      </c>
      <c r="AJ26" s="51">
        <f t="shared" si="22"/>
        <v>0.3725241031</v>
      </c>
      <c r="AK26" s="51">
        <f t="shared" si="22"/>
        <v>0.3435097214</v>
      </c>
      <c r="AL26" s="51" t="str">
        <f t="shared" si="22"/>
        <v/>
      </c>
      <c r="AM26" s="51" t="str">
        <f t="shared" si="22"/>
        <v/>
      </c>
      <c r="AN26" s="51" t="str">
        <f t="shared" si="22"/>
        <v/>
      </c>
      <c r="AO26" s="51">
        <f t="shared" si="22"/>
        <v>4.153459834</v>
      </c>
      <c r="AP26" s="51">
        <f t="shared" si="22"/>
        <v>0.2186172382</v>
      </c>
      <c r="AQ26" s="51" t="str">
        <f t="shared" si="22"/>
        <v/>
      </c>
    </row>
    <row r="27">
      <c r="B27" s="37" t="s">
        <v>123</v>
      </c>
      <c r="C27" s="43">
        <f>IFERROR(__xludf.DUMMYFUNCTION("""COMPUTED_VALUE"""),0.0)</f>
        <v>0</v>
      </c>
      <c r="D27" s="43">
        <f>IFERROR(__xludf.DUMMYFUNCTION("""COMPUTED_VALUE"""),0.0)</f>
        <v>0</v>
      </c>
      <c r="E27" s="43">
        <f>IFERROR(__xludf.DUMMYFUNCTION("""COMPUTED_VALUE"""),0.0)</f>
        <v>0</v>
      </c>
      <c r="F27" s="43">
        <f>IFERROR(__xludf.DUMMYFUNCTION("""COMPUTED_VALUE"""),2.424242424242424E-5)</f>
        <v>0.00002424242424</v>
      </c>
      <c r="G27" s="43">
        <f>IFERROR(__xludf.DUMMYFUNCTION("""COMPUTED_VALUE"""),0.0)</f>
        <v>0</v>
      </c>
      <c r="H27" s="43">
        <f>IFERROR(__xludf.DUMMYFUNCTION("""COMPUTED_VALUE"""),0.0)</f>
        <v>0</v>
      </c>
      <c r="I27" s="43">
        <f>IFERROR(__xludf.DUMMYFUNCTION("""COMPUTED_VALUE"""),2.424242424242424E-5)</f>
        <v>0.00002424242424</v>
      </c>
      <c r="J27" s="43">
        <f>IFERROR(__xludf.DUMMYFUNCTION("""COMPUTED_VALUE"""),0.0)</f>
        <v>0</v>
      </c>
      <c r="K27" s="43">
        <f>IFERROR(__xludf.DUMMYFUNCTION("""COMPUTED_VALUE"""),0.0)</f>
        <v>0</v>
      </c>
      <c r="L27" s="43">
        <f>IFERROR(__xludf.DUMMYFUNCTION("""COMPUTED_VALUE"""),4.848484848484848E-5)</f>
        <v>0.00004848484848</v>
      </c>
      <c r="M27" s="43">
        <f>IFERROR(__xludf.DUMMYFUNCTION("""COMPUTED_VALUE"""),7.272727272727271E-5)</f>
        <v>0.00007272727273</v>
      </c>
      <c r="N27" s="41">
        <f>IFERROR(__xludf.DUMMYFUNCTION("""COMPUTED_VALUE"""),0.0)</f>
        <v>0</v>
      </c>
      <c r="O27" s="41">
        <f>IFERROR(__xludf.DUMMYFUNCTION("""COMPUTED_VALUE"""),0.0)</f>
        <v>0</v>
      </c>
      <c r="Q27" s="43">
        <v>0.0</v>
      </c>
      <c r="R27" s="43">
        <v>0.0</v>
      </c>
      <c r="S27" s="43">
        <v>0.0</v>
      </c>
      <c r="T27" s="43">
        <v>2.0E-4</v>
      </c>
      <c r="U27" s="43">
        <v>0.0</v>
      </c>
      <c r="V27" s="43">
        <v>2.0E-4</v>
      </c>
      <c r="W27" s="43">
        <v>2.0E-4</v>
      </c>
      <c r="X27" s="43">
        <v>0.0</v>
      </c>
      <c r="Y27" s="43">
        <v>0.0</v>
      </c>
      <c r="Z27" s="43">
        <v>0.0014</v>
      </c>
      <c r="AA27" s="43">
        <v>0.0014</v>
      </c>
      <c r="AB27" s="41">
        <v>0.0</v>
      </c>
      <c r="AC27" s="41">
        <v>0.0</v>
      </c>
      <c r="AE27" s="51" t="str">
        <f t="shared" ref="AE27:AQ27" si="23">IFERROR((Q27-C27)/C27, "")</f>
        <v/>
      </c>
      <c r="AF27" s="51" t="str">
        <f t="shared" si="23"/>
        <v/>
      </c>
      <c r="AG27" s="51" t="str">
        <f t="shared" si="23"/>
        <v/>
      </c>
      <c r="AH27" s="51">
        <f t="shared" si="23"/>
        <v>7.25</v>
      </c>
      <c r="AI27" s="51" t="str">
        <f t="shared" si="23"/>
        <v/>
      </c>
      <c r="AJ27" s="51" t="str">
        <f t="shared" si="23"/>
        <v/>
      </c>
      <c r="AK27" s="51">
        <f t="shared" si="23"/>
        <v>7.25</v>
      </c>
      <c r="AL27" s="51" t="str">
        <f t="shared" si="23"/>
        <v/>
      </c>
      <c r="AM27" s="51" t="str">
        <f t="shared" si="23"/>
        <v/>
      </c>
      <c r="AN27" s="51">
        <f t="shared" si="23"/>
        <v>27.875</v>
      </c>
      <c r="AO27" s="51">
        <f t="shared" si="23"/>
        <v>18.25</v>
      </c>
      <c r="AP27" s="51" t="str">
        <f t="shared" si="23"/>
        <v/>
      </c>
      <c r="AQ27" s="51" t="str">
        <f t="shared" si="23"/>
        <v/>
      </c>
    </row>
    <row r="28">
      <c r="B28" s="56" t="s">
        <v>137</v>
      </c>
      <c r="C28" s="57">
        <f>IFERROR(__xludf.DUMMYFUNCTION("""COMPUTED_VALUE"""),17.504469751911046)</f>
        <v>17.50446975</v>
      </c>
      <c r="D28" s="57">
        <f>IFERROR(__xludf.DUMMYFUNCTION("""COMPUTED_VALUE"""),1.196495233773724)</f>
        <v>1.196495234</v>
      </c>
      <c r="E28" s="57">
        <f>IFERROR(__xludf.DUMMYFUNCTION("""COMPUTED_VALUE"""),0.242112998815586)</f>
        <v>0.2421129988</v>
      </c>
      <c r="F28" s="57">
        <f>IFERROR(__xludf.DUMMYFUNCTION("""COMPUTED_VALUE"""),0.0924330965613241)</f>
        <v>0.09243309656</v>
      </c>
      <c r="G28" s="57">
        <f>IFERROR(__xludf.DUMMYFUNCTION("""COMPUTED_VALUE"""),1.02991546981198)</f>
        <v>1.02991547</v>
      </c>
      <c r="H28" s="57">
        <f>IFERROR(__xludf.DUMMYFUNCTION("""COMPUTED_VALUE"""),0.8041577578232844)</f>
        <v>0.8041577578</v>
      </c>
      <c r="I28" s="57">
        <f>IFERROR(__xludf.DUMMYFUNCTION("""COMPUTED_VALUE"""),0.0)</f>
        <v>0</v>
      </c>
      <c r="J28" s="57">
        <f>IFERROR(__xludf.DUMMYFUNCTION("""COMPUTED_VALUE"""),0.0)</f>
        <v>0</v>
      </c>
      <c r="K28" s="57">
        <f>IFERROR(__xludf.DUMMYFUNCTION("""COMPUTED_VALUE"""),0.0)</f>
        <v>0</v>
      </c>
      <c r="L28" s="57">
        <f>IFERROR(__xludf.DUMMYFUNCTION("""COMPUTED_VALUE"""),0.4177220656757403)</f>
        <v>0.4177220657</v>
      </c>
      <c r="M28" s="57">
        <f>IFERROR(__xludf.DUMMYFUNCTION("""COMPUTED_VALUE"""),21.614962667489735)</f>
        <v>21.61496267</v>
      </c>
      <c r="N28" s="100">
        <f>IFERROR(__xludf.DUMMYFUNCTION("""COMPUTED_VALUE"""),43.43438654489091)</f>
        <v>43.43438654</v>
      </c>
      <c r="O28" s="100">
        <f>IFERROR(__xludf.DUMMYFUNCTION("""COMPUTED_VALUE"""),0.0)</f>
        <v>0</v>
      </c>
      <c r="Q28" s="57">
        <v>10.5821</v>
      </c>
      <c r="R28" s="57">
        <v>0.6372</v>
      </c>
      <c r="S28" s="57">
        <v>0.1386</v>
      </c>
      <c r="T28" s="57">
        <v>0.0556</v>
      </c>
      <c r="U28" s="57">
        <v>0.5683</v>
      </c>
      <c r="V28" s="57">
        <v>0.4504</v>
      </c>
      <c r="W28" s="57">
        <v>0.0021</v>
      </c>
      <c r="X28" s="57">
        <v>0.0</v>
      </c>
      <c r="Y28" s="57">
        <v>0.0</v>
      </c>
      <c r="Z28" s="57">
        <v>0.3967</v>
      </c>
      <c r="AA28" s="57">
        <v>17.0358</v>
      </c>
      <c r="AB28" s="100">
        <v>23.7645</v>
      </c>
      <c r="AC28" s="100">
        <v>7.0E-4</v>
      </c>
      <c r="AE28" s="51">
        <f t="shared" ref="AE28:AQ28" si="24">IFERROR((Q28-C28)/C28, "")</f>
        <v>-0.3954629789</v>
      </c>
      <c r="AF28" s="51">
        <f t="shared" si="24"/>
        <v>-0.4674445982</v>
      </c>
      <c r="AG28" s="51">
        <f t="shared" si="24"/>
        <v>-0.4275400302</v>
      </c>
      <c r="AH28" s="51">
        <f t="shared" si="24"/>
        <v>-0.3984838541</v>
      </c>
      <c r="AI28" s="51">
        <f t="shared" si="24"/>
        <v>-0.4482071426</v>
      </c>
      <c r="AJ28" s="51">
        <f t="shared" si="24"/>
        <v>-0.4399108936</v>
      </c>
      <c r="AK28" s="51" t="str">
        <f t="shared" si="24"/>
        <v/>
      </c>
      <c r="AL28" s="51" t="str">
        <f t="shared" si="24"/>
        <v/>
      </c>
      <c r="AM28" s="51" t="str">
        <f t="shared" si="24"/>
        <v/>
      </c>
      <c r="AN28" s="51">
        <f t="shared" si="24"/>
        <v>-0.0503254853</v>
      </c>
      <c r="AO28" s="51">
        <f t="shared" si="24"/>
        <v>-0.2118515187</v>
      </c>
      <c r="AP28" s="51">
        <f t="shared" si="24"/>
        <v>-0.4528643803</v>
      </c>
      <c r="AQ28" s="51" t="str">
        <f t="shared" si="24"/>
        <v/>
      </c>
    </row>
    <row r="29">
      <c r="B29" s="37" t="s">
        <v>180</v>
      </c>
      <c r="C29" s="43">
        <f>IFERROR(__xludf.DUMMYFUNCTION("""COMPUTED_VALUE"""),0.0)</f>
        <v>0</v>
      </c>
      <c r="D29" s="43">
        <f>IFERROR(__xludf.DUMMYFUNCTION("""COMPUTED_VALUE"""),0.0)</f>
        <v>0</v>
      </c>
      <c r="E29" s="43">
        <f>IFERROR(__xludf.DUMMYFUNCTION("""COMPUTED_VALUE"""),0.0)</f>
        <v>0</v>
      </c>
      <c r="F29" s="43">
        <f>IFERROR(__xludf.DUMMYFUNCTION("""COMPUTED_VALUE"""),0.0)</f>
        <v>0</v>
      </c>
      <c r="G29" s="43">
        <f>IFERROR(__xludf.DUMMYFUNCTION("""COMPUTED_VALUE"""),0.0)</f>
        <v>0</v>
      </c>
      <c r="H29" s="43">
        <f>IFERROR(__xludf.DUMMYFUNCTION("""COMPUTED_VALUE"""),0.0)</f>
        <v>0</v>
      </c>
      <c r="I29" s="43">
        <f>IFERROR(__xludf.DUMMYFUNCTION("""COMPUTED_VALUE"""),0.0)</f>
        <v>0</v>
      </c>
      <c r="J29" s="43">
        <f>IFERROR(__xludf.DUMMYFUNCTION("""COMPUTED_VALUE"""),0.0)</f>
        <v>0</v>
      </c>
      <c r="K29" s="43">
        <f>IFERROR(__xludf.DUMMYFUNCTION("""COMPUTED_VALUE"""),0.0)</f>
        <v>0</v>
      </c>
      <c r="L29" s="43">
        <f>IFERROR(__xludf.DUMMYFUNCTION("""COMPUTED_VALUE"""),0.0)</f>
        <v>0</v>
      </c>
      <c r="M29" s="43">
        <f>IFERROR(__xludf.DUMMYFUNCTION("""COMPUTED_VALUE"""),0.0)</f>
        <v>0</v>
      </c>
      <c r="N29" s="41">
        <f>IFERROR(__xludf.DUMMYFUNCTION("""COMPUTED_VALUE"""),0.0)</f>
        <v>0</v>
      </c>
      <c r="O29" s="41">
        <f>IFERROR(__xludf.DUMMYFUNCTION("""COMPUTED_VALUE"""),0.0)</f>
        <v>0</v>
      </c>
      <c r="Q29" s="43">
        <v>0.0</v>
      </c>
      <c r="R29" s="43">
        <v>0.0</v>
      </c>
      <c r="S29" s="43">
        <v>0.0</v>
      </c>
      <c r="T29" s="43">
        <v>0.0</v>
      </c>
      <c r="U29" s="43">
        <v>0.0</v>
      </c>
      <c r="V29" s="43">
        <v>0.0</v>
      </c>
      <c r="W29" s="43">
        <v>0.0</v>
      </c>
      <c r="X29" s="43">
        <v>0.0</v>
      </c>
      <c r="Y29" s="43">
        <v>0.0</v>
      </c>
      <c r="Z29" s="43">
        <v>0.0</v>
      </c>
      <c r="AA29" s="43">
        <v>0.0</v>
      </c>
      <c r="AB29" s="41">
        <v>0.0</v>
      </c>
      <c r="AC29" s="41">
        <v>0.0</v>
      </c>
      <c r="AE29" s="51" t="str">
        <f t="shared" ref="AE29:AQ29" si="25">IFERROR((Q29-C29)/C29, "")</f>
        <v/>
      </c>
      <c r="AF29" s="51" t="str">
        <f t="shared" si="25"/>
        <v/>
      </c>
      <c r="AG29" s="51" t="str">
        <f t="shared" si="25"/>
        <v/>
      </c>
      <c r="AH29" s="51" t="str">
        <f t="shared" si="25"/>
        <v/>
      </c>
      <c r="AI29" s="51" t="str">
        <f t="shared" si="25"/>
        <v/>
      </c>
      <c r="AJ29" s="51" t="str">
        <f t="shared" si="25"/>
        <v/>
      </c>
      <c r="AK29" s="51" t="str">
        <f t="shared" si="25"/>
        <v/>
      </c>
      <c r="AL29" s="51" t="str">
        <f t="shared" si="25"/>
        <v/>
      </c>
      <c r="AM29" s="51" t="str">
        <f t="shared" si="25"/>
        <v/>
      </c>
      <c r="AN29" s="51" t="str">
        <f t="shared" si="25"/>
        <v/>
      </c>
      <c r="AO29" s="51" t="str">
        <f t="shared" si="25"/>
        <v/>
      </c>
      <c r="AP29" s="51" t="str">
        <f t="shared" si="25"/>
        <v/>
      </c>
      <c r="AQ29" s="51" t="str">
        <f t="shared" si="25"/>
        <v/>
      </c>
    </row>
    <row r="30"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AE30" s="51" t="str">
        <f t="shared" ref="AE30:AQ30" si="26">IFERROR((Q30-C30)/C30, "")</f>
        <v/>
      </c>
      <c r="AF30" s="51" t="str">
        <f t="shared" si="26"/>
        <v/>
      </c>
      <c r="AG30" s="51" t="str">
        <f t="shared" si="26"/>
        <v/>
      </c>
      <c r="AH30" s="51" t="str">
        <f t="shared" si="26"/>
        <v/>
      </c>
      <c r="AI30" s="51" t="str">
        <f t="shared" si="26"/>
        <v/>
      </c>
      <c r="AJ30" s="51" t="str">
        <f t="shared" si="26"/>
        <v/>
      </c>
      <c r="AK30" s="51" t="str">
        <f t="shared" si="26"/>
        <v/>
      </c>
      <c r="AL30" s="51" t="str">
        <f t="shared" si="26"/>
        <v/>
      </c>
      <c r="AM30" s="51" t="str">
        <f t="shared" si="26"/>
        <v/>
      </c>
      <c r="AN30" s="51" t="str">
        <f t="shared" si="26"/>
        <v/>
      </c>
      <c r="AO30" s="51" t="str">
        <f t="shared" si="26"/>
        <v/>
      </c>
      <c r="AP30" s="51" t="str">
        <f t="shared" si="26"/>
        <v/>
      </c>
      <c r="AQ30" s="51" t="str">
        <f t="shared" si="26"/>
        <v/>
      </c>
    </row>
    <row r="31"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AE31" s="51" t="str">
        <f t="shared" ref="AE31:AQ31" si="27">IFERROR((Q31-C31)/C31, "")</f>
        <v/>
      </c>
      <c r="AF31" s="51" t="str">
        <f t="shared" si="27"/>
        <v/>
      </c>
      <c r="AG31" s="51" t="str">
        <f t="shared" si="27"/>
        <v/>
      </c>
      <c r="AH31" s="51" t="str">
        <f t="shared" si="27"/>
        <v/>
      </c>
      <c r="AI31" s="51" t="str">
        <f t="shared" si="27"/>
        <v/>
      </c>
      <c r="AJ31" s="51" t="str">
        <f t="shared" si="27"/>
        <v/>
      </c>
      <c r="AK31" s="51" t="str">
        <f t="shared" si="27"/>
        <v/>
      </c>
      <c r="AL31" s="51" t="str">
        <f t="shared" si="27"/>
        <v/>
      </c>
      <c r="AM31" s="51" t="str">
        <f t="shared" si="27"/>
        <v/>
      </c>
      <c r="AN31" s="51" t="str">
        <f t="shared" si="27"/>
        <v/>
      </c>
      <c r="AO31" s="51" t="str">
        <f t="shared" si="27"/>
        <v/>
      </c>
      <c r="AP31" s="51" t="str">
        <f t="shared" si="27"/>
        <v/>
      </c>
      <c r="AQ31" s="51" t="str">
        <f t="shared" si="27"/>
        <v/>
      </c>
    </row>
    <row r="32">
      <c r="B32" s="5" t="s">
        <v>185</v>
      </c>
      <c r="C32" s="8" t="str">
        <f>IFERROR(__xludf.DUMMYFUNCTION("""COMPUTED_VALUE"""),"10-19 Segment - Over Time Period")</f>
        <v>10-19 Segment - Over Time Period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AE32" s="51" t="str">
        <f t="shared" ref="AE32:AQ32" si="28">IFERROR((Q32-C32)/C32, "")</f>
        <v/>
      </c>
      <c r="AF32" s="51" t="str">
        <f t="shared" si="28"/>
        <v/>
      </c>
      <c r="AG32" s="51" t="str">
        <f t="shared" si="28"/>
        <v/>
      </c>
      <c r="AH32" s="51" t="str">
        <f t="shared" si="28"/>
        <v/>
      </c>
      <c r="AI32" s="51" t="str">
        <f t="shared" si="28"/>
        <v/>
      </c>
      <c r="AJ32" s="51" t="str">
        <f t="shared" si="28"/>
        <v/>
      </c>
      <c r="AK32" s="51" t="str">
        <f t="shared" si="28"/>
        <v/>
      </c>
      <c r="AL32" s="51" t="str">
        <f t="shared" si="28"/>
        <v/>
      </c>
      <c r="AM32" s="51" t="str">
        <f t="shared" si="28"/>
        <v/>
      </c>
      <c r="AN32" s="51" t="str">
        <f t="shared" si="28"/>
        <v/>
      </c>
      <c r="AO32" s="51" t="str">
        <f t="shared" si="28"/>
        <v/>
      </c>
      <c r="AP32" s="51" t="str">
        <f t="shared" si="28"/>
        <v/>
      </c>
      <c r="AQ32" s="51" t="str">
        <f t="shared" si="28"/>
        <v/>
      </c>
    </row>
    <row r="33">
      <c r="B33" s="15" t="s">
        <v>8</v>
      </c>
      <c r="C33" s="18" t="str">
        <f>IFERROR(__xludf.DUMMYFUNCTION("""COMPUTED_VALUE"""),"HC")</f>
        <v>HC</v>
      </c>
      <c r="D33" s="18" t="str">
        <f>IFERROR(__xludf.DUMMYFUNCTION("""COMPUTED_VALUE"""),"Slingshot")</f>
        <v>Slingshot</v>
      </c>
      <c r="E33" s="18" t="str">
        <f>IFERROR(__xludf.DUMMYFUNCTION("""COMPUTED_VALUE"""),"Shuffle")</f>
        <v>Shuffle</v>
      </c>
      <c r="F33" s="18" t="str">
        <f>IFERROR(__xludf.DUMMYFUNCTION("""COMPUTED_VALUE"""),"Comet")</f>
        <v>Comet</v>
      </c>
      <c r="G33" s="18" t="str">
        <f>IFERROR(__xludf.DUMMYFUNCTION("""COMPUTED_VALUE"""),"Red")</f>
        <v>Red</v>
      </c>
      <c r="H33" s="18" t="str">
        <f>IFERROR(__xludf.DUMMYFUNCTION("""COMPUTED_VALUE"""),"Chuck")</f>
        <v>Chuck</v>
      </c>
      <c r="I33" s="18" t="str">
        <f>IFERROR(__xludf.DUMMYFUNCTION("""COMPUTED_VALUE"""),"Bomb")</f>
        <v>Bomb</v>
      </c>
      <c r="J33" s="18" t="str">
        <f>IFERROR(__xludf.DUMMYFUNCTION("""COMPUTED_VALUE"""),"UL Bomb")</f>
        <v>UL Bomb</v>
      </c>
      <c r="K33" s="18" t="str">
        <f>IFERROR(__xludf.DUMMYFUNCTION("""COMPUTED_VALUE"""),"UL Chuck")</f>
        <v>UL Chuck</v>
      </c>
      <c r="L33" s="18" t="str">
        <f>IFERROR(__xludf.DUMMYFUNCTION("""COMPUTED_VALUE"""),"UL Red")</f>
        <v>UL Red</v>
      </c>
      <c r="M33" s="18" t="str">
        <f>IFERROR(__xludf.DUMMYFUNCTION("""COMPUTED_VALUE"""),"Unlimited Lives")</f>
        <v>Unlimited Lives</v>
      </c>
      <c r="N33" s="18" t="str">
        <f>IFERROR(__xludf.DUMMYFUNCTION("""COMPUTED_VALUE"""),"SPT")</f>
        <v>SPT</v>
      </c>
      <c r="O33" s="18" t="str">
        <f>IFERROR(__xludf.DUMMYFUNCTION("""COMPUTED_VALUE"""),"SPTx2")</f>
        <v>SPTx2</v>
      </c>
      <c r="Q33" s="18" t="s">
        <v>12</v>
      </c>
      <c r="R33" s="18" t="s">
        <v>15</v>
      </c>
      <c r="S33" s="18" t="s">
        <v>17</v>
      </c>
      <c r="T33" s="18" t="s">
        <v>18</v>
      </c>
      <c r="U33" s="18" t="s">
        <v>19</v>
      </c>
      <c r="V33" s="18" t="s">
        <v>21</v>
      </c>
      <c r="W33" s="18" t="s">
        <v>22</v>
      </c>
      <c r="X33" s="18" t="s">
        <v>26</v>
      </c>
      <c r="Y33" s="18" t="s">
        <v>27</v>
      </c>
      <c r="Z33" s="18" t="s">
        <v>29</v>
      </c>
      <c r="AA33" s="18" t="s">
        <v>30</v>
      </c>
      <c r="AB33" s="18" t="s">
        <v>31</v>
      </c>
      <c r="AC33" s="18" t="s">
        <v>32</v>
      </c>
      <c r="AE33" s="51" t="str">
        <f t="shared" ref="AE33:AQ33" si="29">IFERROR((Q33-C33)/C33, "")</f>
        <v/>
      </c>
      <c r="AF33" s="51" t="str">
        <f t="shared" si="29"/>
        <v/>
      </c>
      <c r="AG33" s="51" t="str">
        <f t="shared" si="29"/>
        <v/>
      </c>
      <c r="AH33" s="51" t="str">
        <f t="shared" si="29"/>
        <v/>
      </c>
      <c r="AI33" s="51" t="str">
        <f t="shared" si="29"/>
        <v/>
      </c>
      <c r="AJ33" s="51" t="str">
        <f t="shared" si="29"/>
        <v/>
      </c>
      <c r="AK33" s="51" t="str">
        <f t="shared" si="29"/>
        <v/>
      </c>
      <c r="AL33" s="51" t="str">
        <f t="shared" si="29"/>
        <v/>
      </c>
      <c r="AM33" s="51" t="str">
        <f t="shared" si="29"/>
        <v/>
      </c>
      <c r="AN33" s="51" t="str">
        <f t="shared" si="29"/>
        <v/>
      </c>
      <c r="AO33" s="51" t="str">
        <f t="shared" si="29"/>
        <v/>
      </c>
      <c r="AP33" s="51" t="str">
        <f t="shared" si="29"/>
        <v/>
      </c>
      <c r="AQ33" s="51" t="str">
        <f t="shared" si="29"/>
        <v/>
      </c>
    </row>
    <row r="34">
      <c r="B34" s="37" t="s">
        <v>33</v>
      </c>
      <c r="C34" s="41">
        <f>IFERROR(__xludf.DUMMYFUNCTION("""COMPUTED_VALUE"""),6.994448484848484)</f>
        <v>6.994448485</v>
      </c>
      <c r="D34" s="43">
        <f>IFERROR(__xludf.DUMMYFUNCTION("""COMPUTED_VALUE"""),0.1813090909090909)</f>
        <v>0.1813090909</v>
      </c>
      <c r="E34" s="43">
        <f>IFERROR(__xludf.DUMMYFUNCTION("""COMPUTED_VALUE"""),0.18223030303030302)</f>
        <v>0.182230303</v>
      </c>
      <c r="F34" s="43">
        <f>IFERROR(__xludf.DUMMYFUNCTION("""COMPUTED_VALUE"""),0.09612121212121215)</f>
        <v>0.09612121212</v>
      </c>
      <c r="G34" s="43">
        <f>IFERROR(__xludf.DUMMYFUNCTION("""COMPUTED_VALUE"""),0.0)</f>
        <v>0</v>
      </c>
      <c r="H34" s="43">
        <f>IFERROR(__xludf.DUMMYFUNCTION("""COMPUTED_VALUE"""),0.0)</f>
        <v>0</v>
      </c>
      <c r="I34" s="43">
        <f>IFERROR(__xludf.DUMMYFUNCTION("""COMPUTED_VALUE"""),0.0)</f>
        <v>0</v>
      </c>
      <c r="J34" s="43">
        <f>IFERROR(__xludf.DUMMYFUNCTION("""COMPUTED_VALUE"""),0.0)</f>
        <v>0</v>
      </c>
      <c r="K34" s="43">
        <f>IFERROR(__xludf.DUMMYFUNCTION("""COMPUTED_VALUE"""),0.0)</f>
        <v>0</v>
      </c>
      <c r="L34" s="43">
        <f>IFERROR(__xludf.DUMMYFUNCTION("""COMPUTED_VALUE"""),0.0)</f>
        <v>0</v>
      </c>
      <c r="M34" s="43">
        <f>IFERROR(__xludf.DUMMYFUNCTION("""COMPUTED_VALUE"""),2.3284363636363636)</f>
        <v>2.328436364</v>
      </c>
      <c r="N34" s="41">
        <f>IFERROR(__xludf.DUMMYFUNCTION("""COMPUTED_VALUE"""),0.0)</f>
        <v>0</v>
      </c>
      <c r="O34" s="41">
        <f>IFERROR(__xludf.DUMMYFUNCTION("""COMPUTED_VALUE"""),0.0)</f>
        <v>0</v>
      </c>
      <c r="Q34" s="109">
        <v>10.0498</v>
      </c>
      <c r="R34" s="109">
        <v>0.2278</v>
      </c>
      <c r="S34" s="109">
        <v>0.233</v>
      </c>
      <c r="T34" s="109">
        <v>0.1042</v>
      </c>
      <c r="U34" s="109">
        <v>0.0</v>
      </c>
      <c r="V34" s="109">
        <v>0.0</v>
      </c>
      <c r="W34" s="109">
        <v>0.0</v>
      </c>
      <c r="X34" s="109">
        <v>0.0</v>
      </c>
      <c r="Y34" s="109">
        <v>0.0</v>
      </c>
      <c r="Z34" s="109">
        <v>0.0</v>
      </c>
      <c r="AA34" s="109">
        <v>3.3905</v>
      </c>
      <c r="AB34" s="109">
        <v>0.0</v>
      </c>
      <c r="AC34" s="109">
        <v>0.0</v>
      </c>
      <c r="AE34" s="51">
        <f t="shared" ref="AE34:AQ34" si="30">IFERROR((Q34-C34)/C34, "")</f>
        <v>0.4368252224</v>
      </c>
      <c r="AF34" s="51">
        <f t="shared" si="30"/>
        <v>0.2564179703</v>
      </c>
      <c r="AG34" s="51">
        <f t="shared" si="30"/>
        <v>0.2786018358</v>
      </c>
      <c r="AH34" s="51">
        <f t="shared" si="30"/>
        <v>0.08404791929</v>
      </c>
      <c r="AI34" s="51" t="str">
        <f t="shared" si="30"/>
        <v/>
      </c>
      <c r="AJ34" s="51" t="str">
        <f t="shared" si="30"/>
        <v/>
      </c>
      <c r="AK34" s="51" t="str">
        <f t="shared" si="30"/>
        <v/>
      </c>
      <c r="AL34" s="51" t="str">
        <f t="shared" si="30"/>
        <v/>
      </c>
      <c r="AM34" s="51" t="str">
        <f t="shared" si="30"/>
        <v/>
      </c>
      <c r="AN34" s="51" t="str">
        <f t="shared" si="30"/>
        <v/>
      </c>
      <c r="AO34" s="51">
        <f t="shared" si="30"/>
        <v>0.456127405</v>
      </c>
      <c r="AP34" s="51" t="str">
        <f t="shared" si="30"/>
        <v/>
      </c>
      <c r="AQ34" s="51" t="str">
        <f t="shared" si="30"/>
        <v/>
      </c>
    </row>
    <row r="35">
      <c r="B35" s="56" t="s">
        <v>40</v>
      </c>
      <c r="C35" s="57">
        <f>IFERROR(__xludf.DUMMYFUNCTION("""COMPUTED_VALUE"""),0.0)</f>
        <v>0</v>
      </c>
      <c r="D35" s="57">
        <f>IFERROR(__xludf.DUMMYFUNCTION("""COMPUTED_VALUE"""),0.0)</f>
        <v>0</v>
      </c>
      <c r="E35" s="57">
        <f>IFERROR(__xludf.DUMMYFUNCTION("""COMPUTED_VALUE"""),0.0)</f>
        <v>0</v>
      </c>
      <c r="F35" s="57">
        <f>IFERROR(__xludf.DUMMYFUNCTION("""COMPUTED_VALUE"""),0.0)</f>
        <v>0</v>
      </c>
      <c r="G35" s="57">
        <f>IFERROR(__xludf.DUMMYFUNCTION("""COMPUTED_VALUE"""),0.0)</f>
        <v>0</v>
      </c>
      <c r="H35" s="57">
        <f>IFERROR(__xludf.DUMMYFUNCTION("""COMPUTED_VALUE"""),0.0)</f>
        <v>0</v>
      </c>
      <c r="I35" s="57">
        <f>IFERROR(__xludf.DUMMYFUNCTION("""COMPUTED_VALUE"""),0.0)</f>
        <v>0</v>
      </c>
      <c r="J35" s="57">
        <f>IFERROR(__xludf.DUMMYFUNCTION("""COMPUTED_VALUE"""),0.0)</f>
        <v>0</v>
      </c>
      <c r="K35" s="57">
        <f>IFERROR(__xludf.DUMMYFUNCTION("""COMPUTED_VALUE"""),0.0)</f>
        <v>0</v>
      </c>
      <c r="L35" s="57">
        <f>IFERROR(__xludf.DUMMYFUNCTION("""COMPUTED_VALUE"""),0.0)</f>
        <v>0</v>
      </c>
      <c r="M35" s="57">
        <f>IFERROR(__xludf.DUMMYFUNCTION("""COMPUTED_VALUE"""),0.0)</f>
        <v>0</v>
      </c>
      <c r="N35" s="57">
        <f>IFERROR(__xludf.DUMMYFUNCTION("""COMPUTED_VALUE"""),0.0)</f>
        <v>0</v>
      </c>
      <c r="O35" s="57">
        <f>IFERROR(__xludf.DUMMYFUNCTION("""COMPUTED_VALUE"""),0.0)</f>
        <v>0</v>
      </c>
      <c r="Q35" s="109">
        <v>0.5398</v>
      </c>
      <c r="R35" s="109">
        <v>0.0143</v>
      </c>
      <c r="S35" s="109">
        <v>0.0087</v>
      </c>
      <c r="T35" s="109">
        <v>0.0013</v>
      </c>
      <c r="U35" s="109">
        <v>0.0</v>
      </c>
      <c r="V35" s="109">
        <v>0.0</v>
      </c>
      <c r="W35" s="109">
        <v>0.0</v>
      </c>
      <c r="X35" s="109">
        <v>0.0</v>
      </c>
      <c r="Y35" s="109">
        <v>0.0</v>
      </c>
      <c r="Z35" s="109">
        <v>0.0</v>
      </c>
      <c r="AA35" s="109">
        <v>0.0</v>
      </c>
      <c r="AB35" s="109">
        <v>0.0</v>
      </c>
      <c r="AC35" s="109">
        <v>0.0</v>
      </c>
      <c r="AE35" s="51" t="str">
        <f t="shared" ref="AE35:AQ35" si="31">IFERROR((Q35-C35)/C35, "")</f>
        <v/>
      </c>
      <c r="AF35" s="51" t="str">
        <f t="shared" si="31"/>
        <v/>
      </c>
      <c r="AG35" s="51" t="str">
        <f t="shared" si="31"/>
        <v/>
      </c>
      <c r="AH35" s="51" t="str">
        <f t="shared" si="31"/>
        <v/>
      </c>
      <c r="AI35" s="51" t="str">
        <f t="shared" si="31"/>
        <v/>
      </c>
      <c r="AJ35" s="51" t="str">
        <f t="shared" si="31"/>
        <v/>
      </c>
      <c r="AK35" s="51" t="str">
        <f t="shared" si="31"/>
        <v/>
      </c>
      <c r="AL35" s="51" t="str">
        <f t="shared" si="31"/>
        <v/>
      </c>
      <c r="AM35" s="51" t="str">
        <f t="shared" si="31"/>
        <v/>
      </c>
      <c r="AN35" s="51" t="str">
        <f t="shared" si="31"/>
        <v/>
      </c>
      <c r="AO35" s="51" t="str">
        <f t="shared" si="31"/>
        <v/>
      </c>
      <c r="AP35" s="51" t="str">
        <f t="shared" si="31"/>
        <v/>
      </c>
      <c r="AQ35" s="51" t="str">
        <f t="shared" si="31"/>
        <v/>
      </c>
    </row>
    <row r="36">
      <c r="B36" s="56" t="s">
        <v>43</v>
      </c>
      <c r="C36" s="57">
        <f>IFERROR(__xludf.DUMMYFUNCTION("""COMPUTED_VALUE"""),1.6704877202441235)</f>
        <v>1.67048772</v>
      </c>
      <c r="D36" s="57">
        <f>IFERROR(__xludf.DUMMYFUNCTION("""COMPUTED_VALUE"""),1.569269817044738E-4)</f>
        <v>0.0001569269817</v>
      </c>
      <c r="E36" s="57">
        <f>IFERROR(__xludf.DUMMYFUNCTION("""COMPUTED_VALUE"""),7.84634908522369E-5)</f>
        <v>0.00007846349085</v>
      </c>
      <c r="F36" s="57">
        <f>IFERROR(__xludf.DUMMYFUNCTION("""COMPUTED_VALUE"""),0.0)</f>
        <v>0</v>
      </c>
      <c r="G36" s="57">
        <f>IFERROR(__xludf.DUMMYFUNCTION("""COMPUTED_VALUE"""),0.017340431478344357)</f>
        <v>0.01734043148</v>
      </c>
      <c r="H36" s="57">
        <f>IFERROR(__xludf.DUMMYFUNCTION("""COMPUTED_VALUE"""),0.19764953345678477)</f>
        <v>0.1976495335</v>
      </c>
      <c r="I36" s="57">
        <f>IFERROR(__xludf.DUMMYFUNCTION("""COMPUTED_VALUE"""),0.0)</f>
        <v>0</v>
      </c>
      <c r="J36" s="57">
        <f>IFERROR(__xludf.DUMMYFUNCTION("""COMPUTED_VALUE"""),1.0921333291722854)</f>
        <v>1.092133329</v>
      </c>
      <c r="K36" s="57">
        <f>IFERROR(__xludf.DUMMYFUNCTION("""COMPUTED_VALUE"""),1.9584487316718333)</f>
        <v>1.958448732</v>
      </c>
      <c r="L36" s="57">
        <f>IFERROR(__xludf.DUMMYFUNCTION("""COMPUTED_VALUE"""),2.179244994930028)</f>
        <v>2.179244995</v>
      </c>
      <c r="M36" s="57">
        <f>IFERROR(__xludf.DUMMYFUNCTION("""COMPUTED_VALUE"""),3.4353670199834885)</f>
        <v>3.43536702</v>
      </c>
      <c r="N36" s="57">
        <f>IFERROR(__xludf.DUMMYFUNCTION("""COMPUTED_VALUE"""),0.0)</f>
        <v>0</v>
      </c>
      <c r="O36" s="57">
        <f>IFERROR(__xludf.DUMMYFUNCTION("""COMPUTED_VALUE"""),0.0)</f>
        <v>0</v>
      </c>
      <c r="Q36" s="109">
        <v>1.7615</v>
      </c>
      <c r="R36" s="109">
        <v>1.0E-4</v>
      </c>
      <c r="S36" s="109">
        <v>1.0E-4</v>
      </c>
      <c r="T36" s="109">
        <v>1.0E-4</v>
      </c>
      <c r="U36" s="109">
        <v>0.0111</v>
      </c>
      <c r="V36" s="109">
        <v>0.3035</v>
      </c>
      <c r="W36" s="109">
        <v>1.0E-4</v>
      </c>
      <c r="X36" s="109">
        <v>0.278</v>
      </c>
      <c r="Y36" s="109">
        <v>1.9127</v>
      </c>
      <c r="Z36" s="109">
        <v>2.5759</v>
      </c>
      <c r="AA36" s="109">
        <v>4.0883</v>
      </c>
      <c r="AB36" s="109">
        <v>0.0</v>
      </c>
      <c r="AC36" s="109">
        <v>0.0</v>
      </c>
      <c r="AE36" s="51">
        <f t="shared" ref="AE36:AQ36" si="32">IFERROR((Q36-C36)/C36, "")</f>
        <v>0.05448245962</v>
      </c>
      <c r="AF36" s="51">
        <f t="shared" si="32"/>
        <v>-0.3627609547</v>
      </c>
      <c r="AG36" s="51">
        <f t="shared" si="32"/>
        <v>0.2744780906</v>
      </c>
      <c r="AH36" s="51" t="str">
        <f t="shared" si="32"/>
        <v/>
      </c>
      <c r="AI36" s="51">
        <f t="shared" si="32"/>
        <v>-0.3598775201</v>
      </c>
      <c r="AJ36" s="51">
        <f t="shared" si="32"/>
        <v>0.5355462504</v>
      </c>
      <c r="AK36" s="51" t="str">
        <f t="shared" si="32"/>
        <v/>
      </c>
      <c r="AL36" s="51">
        <f t="shared" si="32"/>
        <v>-0.7454523248</v>
      </c>
      <c r="AM36" s="51">
        <f t="shared" si="32"/>
        <v>-0.02335967796</v>
      </c>
      <c r="AN36" s="51">
        <f t="shared" si="32"/>
        <v>0.1820148749</v>
      </c>
      <c r="AO36" s="51">
        <f t="shared" si="32"/>
        <v>0.1900620738</v>
      </c>
      <c r="AP36" s="51" t="str">
        <f t="shared" si="32"/>
        <v/>
      </c>
      <c r="AQ36" s="51" t="str">
        <f t="shared" si="32"/>
        <v/>
      </c>
    </row>
    <row r="37">
      <c r="B37" s="56" t="s">
        <v>52</v>
      </c>
      <c r="C37" s="57">
        <f>IFERROR(__xludf.DUMMYFUNCTION("""COMPUTED_VALUE"""),1.115996952)</f>
        <v>1.115996952</v>
      </c>
      <c r="D37" s="57">
        <f>IFERROR(__xludf.DUMMYFUNCTION("""COMPUTED_VALUE"""),0.040677252000000004)</f>
        <v>0.040677252</v>
      </c>
      <c r="E37" s="57">
        <f>IFERROR(__xludf.DUMMYFUNCTION("""COMPUTED_VALUE"""),0.025950400000000002)</f>
        <v>0.0259504</v>
      </c>
      <c r="F37" s="57">
        <f>IFERROR(__xludf.DUMMYFUNCTION("""COMPUTED_VALUE"""),0.00291942)</f>
        <v>0.00291942</v>
      </c>
      <c r="G37" s="57">
        <f>IFERROR(__xludf.DUMMYFUNCTION("""COMPUTED_VALUE"""),0.0)</f>
        <v>0</v>
      </c>
      <c r="H37" s="57">
        <f>IFERROR(__xludf.DUMMYFUNCTION("""COMPUTED_VALUE"""),0.0)</f>
        <v>0</v>
      </c>
      <c r="I37" s="57">
        <f>IFERROR(__xludf.DUMMYFUNCTION("""COMPUTED_VALUE"""),0.0)</f>
        <v>0</v>
      </c>
      <c r="J37" s="57">
        <f>IFERROR(__xludf.DUMMYFUNCTION("""COMPUTED_VALUE"""),0.0)</f>
        <v>0</v>
      </c>
      <c r="K37" s="57">
        <f>IFERROR(__xludf.DUMMYFUNCTION("""COMPUTED_VALUE"""),0.0)</f>
        <v>0</v>
      </c>
      <c r="L37" s="57">
        <f>IFERROR(__xludf.DUMMYFUNCTION("""COMPUTED_VALUE"""),0.0)</f>
        <v>0</v>
      </c>
      <c r="M37" s="57">
        <f>IFERROR(__xludf.DUMMYFUNCTION("""COMPUTED_VALUE"""),0.0)</f>
        <v>0</v>
      </c>
      <c r="N37" s="57">
        <f>IFERROR(__xludf.DUMMYFUNCTION("""COMPUTED_VALUE"""),0.0)</f>
        <v>0</v>
      </c>
      <c r="O37" s="57">
        <f>IFERROR(__xludf.DUMMYFUNCTION("""COMPUTED_VALUE"""),0.0)</f>
        <v>0</v>
      </c>
      <c r="Q37" s="109">
        <v>0.0209</v>
      </c>
      <c r="R37" s="109">
        <v>7.0E-4</v>
      </c>
      <c r="S37" s="109">
        <v>5.0E-4</v>
      </c>
      <c r="T37" s="109">
        <v>1.0E-4</v>
      </c>
      <c r="U37" s="109">
        <v>0.0</v>
      </c>
      <c r="V37" s="109">
        <v>0.0</v>
      </c>
      <c r="W37" s="109">
        <v>0.0</v>
      </c>
      <c r="X37" s="109">
        <v>0.0</v>
      </c>
      <c r="Y37" s="109">
        <v>0.0</v>
      </c>
      <c r="Z37" s="109">
        <v>0.0</v>
      </c>
      <c r="AA37" s="109">
        <v>0.0</v>
      </c>
      <c r="AB37" s="109">
        <v>0.0</v>
      </c>
      <c r="AC37" s="109">
        <v>0.0</v>
      </c>
      <c r="AE37" s="51">
        <f t="shared" ref="AE37:AQ37" si="33">IFERROR((Q37-C37)/C37, "")</f>
        <v>-0.9812723503</v>
      </c>
      <c r="AF37" s="51">
        <f t="shared" si="33"/>
        <v>-0.9827913646</v>
      </c>
      <c r="AG37" s="51">
        <f t="shared" si="33"/>
        <v>-0.9807324743</v>
      </c>
      <c r="AH37" s="51">
        <f t="shared" si="33"/>
        <v>-0.9657466209</v>
      </c>
      <c r="AI37" s="51" t="str">
        <f t="shared" si="33"/>
        <v/>
      </c>
      <c r="AJ37" s="51" t="str">
        <f t="shared" si="33"/>
        <v/>
      </c>
      <c r="AK37" s="51" t="str">
        <f t="shared" si="33"/>
        <v/>
      </c>
      <c r="AL37" s="51" t="str">
        <f t="shared" si="33"/>
        <v/>
      </c>
      <c r="AM37" s="51" t="str">
        <f t="shared" si="33"/>
        <v/>
      </c>
      <c r="AN37" s="51" t="str">
        <f t="shared" si="33"/>
        <v/>
      </c>
      <c r="AO37" s="51" t="str">
        <f t="shared" si="33"/>
        <v/>
      </c>
      <c r="AP37" s="51" t="str">
        <f t="shared" si="33"/>
        <v/>
      </c>
      <c r="AQ37" s="51" t="str">
        <f t="shared" si="33"/>
        <v/>
      </c>
    </row>
    <row r="38">
      <c r="B38" s="56" t="s">
        <v>88</v>
      </c>
      <c r="C38" s="57">
        <f>IFERROR(__xludf.DUMMYFUNCTION("""COMPUTED_VALUE"""),8.752073769989991)</f>
        <v>8.75207377</v>
      </c>
      <c r="D38" s="57">
        <f>IFERROR(__xludf.DUMMYFUNCTION("""COMPUTED_VALUE"""),0.0769898521588775)</f>
        <v>0.07698985216</v>
      </c>
      <c r="E38" s="57">
        <f>IFERROR(__xludf.DUMMYFUNCTION("""COMPUTED_VALUE"""),0.11375384742663788)</f>
        <v>0.1137538474</v>
      </c>
      <c r="F38" s="57">
        <f>IFERROR(__xludf.DUMMYFUNCTION("""COMPUTED_VALUE"""),0.05105026929090865)</f>
        <v>0.05105026929</v>
      </c>
      <c r="G38" s="57">
        <f>IFERROR(__xludf.DUMMYFUNCTION("""COMPUTED_VALUE"""),0.031912513133619584)</f>
        <v>0.03191251313</v>
      </c>
      <c r="H38" s="57">
        <f>IFERROR(__xludf.DUMMYFUNCTION("""COMPUTED_VALUE"""),0.03954323628932848)</f>
        <v>0.03954323629</v>
      </c>
      <c r="I38" s="57">
        <f>IFERROR(__xludf.DUMMYFUNCTION("""COMPUTED_VALUE"""),0.032643892349821714)</f>
        <v>0.03264389235</v>
      </c>
      <c r="J38" s="57">
        <f>IFERROR(__xludf.DUMMYFUNCTION("""COMPUTED_VALUE"""),0.0)</f>
        <v>0</v>
      </c>
      <c r="K38" s="57">
        <f>IFERROR(__xludf.DUMMYFUNCTION("""COMPUTED_VALUE"""),0.0)</f>
        <v>0</v>
      </c>
      <c r="L38" s="57">
        <f>IFERROR(__xludf.DUMMYFUNCTION("""COMPUTED_VALUE"""),0.0)</f>
        <v>0</v>
      </c>
      <c r="M38" s="57">
        <f>IFERROR(__xludf.DUMMYFUNCTION("""COMPUTED_VALUE"""),5.509455256343436)</f>
        <v>5.509455256</v>
      </c>
      <c r="N38" s="57">
        <f>IFERROR(__xludf.DUMMYFUNCTION("""COMPUTED_VALUE"""),109.3192527416423)</f>
        <v>109.3192527</v>
      </c>
      <c r="O38" s="57">
        <f>IFERROR(__xludf.DUMMYFUNCTION("""COMPUTED_VALUE"""),0.0)</f>
        <v>0</v>
      </c>
      <c r="Q38" s="109">
        <v>20.884</v>
      </c>
      <c r="R38" s="109">
        <v>0.1505</v>
      </c>
      <c r="S38" s="109">
        <v>0.2278</v>
      </c>
      <c r="T38" s="109">
        <v>0.0978</v>
      </c>
      <c r="U38" s="109">
        <v>0.0815</v>
      </c>
      <c r="V38" s="109">
        <v>0.0859</v>
      </c>
      <c r="W38" s="109">
        <v>0.0717</v>
      </c>
      <c r="X38" s="109">
        <v>0.0</v>
      </c>
      <c r="Y38" s="109">
        <v>0.0</v>
      </c>
      <c r="Z38" s="109">
        <v>0.0</v>
      </c>
      <c r="AA38" s="109">
        <v>12.7141</v>
      </c>
      <c r="AB38" s="109">
        <v>249.7398</v>
      </c>
      <c r="AC38" s="109">
        <v>0.0</v>
      </c>
      <c r="AE38" s="51">
        <f t="shared" ref="AE38:AQ38" si="34">IFERROR((Q38-C38)/C38, "")</f>
        <v>1.386177328</v>
      </c>
      <c r="AF38" s="51">
        <f t="shared" si="34"/>
        <v>0.9548030783</v>
      </c>
      <c r="AG38" s="51">
        <f t="shared" si="34"/>
        <v>1.002569629</v>
      </c>
      <c r="AH38" s="51">
        <f t="shared" si="34"/>
        <v>0.9157587484</v>
      </c>
      <c r="AI38" s="51">
        <f t="shared" si="34"/>
        <v>1.553857155</v>
      </c>
      <c r="AJ38" s="51">
        <f t="shared" si="34"/>
        <v>1.172305761</v>
      </c>
      <c r="AK38" s="51">
        <f t="shared" si="34"/>
        <v>1.19642925</v>
      </c>
      <c r="AL38" s="51" t="str">
        <f t="shared" si="34"/>
        <v/>
      </c>
      <c r="AM38" s="51" t="str">
        <f t="shared" si="34"/>
        <v/>
      </c>
      <c r="AN38" s="51" t="str">
        <f t="shared" si="34"/>
        <v/>
      </c>
      <c r="AO38" s="51">
        <f t="shared" si="34"/>
        <v>1.307687314</v>
      </c>
      <c r="AP38" s="51">
        <f t="shared" si="34"/>
        <v>1.284499699</v>
      </c>
      <c r="AQ38" s="51" t="str">
        <f t="shared" si="34"/>
        <v/>
      </c>
    </row>
    <row r="39">
      <c r="B39" s="56" t="s">
        <v>90</v>
      </c>
      <c r="C39" s="57">
        <f>IFERROR(__xludf.DUMMYFUNCTION("""COMPUTED_VALUE"""),16.744588990363923)</f>
        <v>16.74458899</v>
      </c>
      <c r="D39" s="57">
        <f>IFERROR(__xludf.DUMMYFUNCTION("""COMPUTED_VALUE"""),0.2869200665160955)</f>
        <v>0.2869200665</v>
      </c>
      <c r="E39" s="57">
        <f>IFERROR(__xludf.DUMMYFUNCTION("""COMPUTED_VALUE"""),0.1927184234692611)</f>
        <v>0.1927184235</v>
      </c>
      <c r="F39" s="57">
        <f>IFERROR(__xludf.DUMMYFUNCTION("""COMPUTED_VALUE"""),0.034326064547086615)</f>
        <v>0.03432606455</v>
      </c>
      <c r="G39" s="57">
        <f>IFERROR(__xludf.DUMMYFUNCTION("""COMPUTED_VALUE"""),0.0)</f>
        <v>0</v>
      </c>
      <c r="H39" s="57">
        <f>IFERROR(__xludf.DUMMYFUNCTION("""COMPUTED_VALUE"""),0.0)</f>
        <v>0</v>
      </c>
      <c r="I39" s="57">
        <f>IFERROR(__xludf.DUMMYFUNCTION("""COMPUTED_VALUE"""),0.0)</f>
        <v>0</v>
      </c>
      <c r="J39" s="57">
        <f>IFERROR(__xludf.DUMMYFUNCTION("""COMPUTED_VALUE"""),2.8152980169268575)</f>
        <v>2.815298017</v>
      </c>
      <c r="K39" s="57">
        <f>IFERROR(__xludf.DUMMYFUNCTION("""COMPUTED_VALUE"""),2.4083586210319923)</f>
        <v>2.408358621</v>
      </c>
      <c r="L39" s="57">
        <f>IFERROR(__xludf.DUMMYFUNCTION("""COMPUTED_VALUE"""),2.001760535438022)</f>
        <v>2.001760535</v>
      </c>
      <c r="M39" s="57">
        <f>IFERROR(__xludf.DUMMYFUNCTION("""COMPUTED_VALUE"""),24.291176011185293)</f>
        <v>24.29117601</v>
      </c>
      <c r="N39" s="57">
        <f>IFERROR(__xludf.DUMMYFUNCTION("""COMPUTED_VALUE"""),0.0)</f>
        <v>0</v>
      </c>
      <c r="O39" s="57">
        <f>IFERROR(__xludf.DUMMYFUNCTION("""COMPUTED_VALUE"""),0.05419519992057781)</f>
        <v>0.05419519992</v>
      </c>
      <c r="Q39" s="109">
        <v>34.9176</v>
      </c>
      <c r="R39" s="109">
        <v>0.4446</v>
      </c>
      <c r="S39" s="109">
        <v>0.2946</v>
      </c>
      <c r="T39" s="109">
        <v>0.0447</v>
      </c>
      <c r="U39" s="109">
        <v>0.0</v>
      </c>
      <c r="V39" s="109">
        <v>0.0</v>
      </c>
      <c r="W39" s="109">
        <v>0.0</v>
      </c>
      <c r="X39" s="109">
        <v>1.4082</v>
      </c>
      <c r="Y39" s="109">
        <v>2.6818</v>
      </c>
      <c r="Z39" s="109">
        <v>2.6067</v>
      </c>
      <c r="AA39" s="109">
        <v>41.2827</v>
      </c>
      <c r="AB39" s="109">
        <v>0.0</v>
      </c>
      <c r="AC39" s="109">
        <v>0.0055</v>
      </c>
      <c r="AE39" s="51">
        <f t="shared" ref="AE39:AQ39" si="35">IFERROR((Q39-C39)/C39, "")</f>
        <v>1.085306484</v>
      </c>
      <c r="AF39" s="51">
        <f t="shared" si="35"/>
        <v>0.549560494</v>
      </c>
      <c r="AG39" s="51">
        <f t="shared" si="35"/>
        <v>0.5286550953</v>
      </c>
      <c r="AH39" s="51">
        <f t="shared" si="35"/>
        <v>0.3022174429</v>
      </c>
      <c r="AI39" s="51" t="str">
        <f t="shared" si="35"/>
        <v/>
      </c>
      <c r="AJ39" s="51" t="str">
        <f t="shared" si="35"/>
        <v/>
      </c>
      <c r="AK39" s="51" t="str">
        <f t="shared" si="35"/>
        <v/>
      </c>
      <c r="AL39" s="51">
        <f t="shared" si="35"/>
        <v>-0.4998042866</v>
      </c>
      <c r="AM39" s="51">
        <f t="shared" si="35"/>
        <v>0.1135384808</v>
      </c>
      <c r="AN39" s="51">
        <f t="shared" si="35"/>
        <v>0.3022037121</v>
      </c>
      <c r="AO39" s="51">
        <f t="shared" si="35"/>
        <v>0.6994936754</v>
      </c>
      <c r="AP39" s="51" t="str">
        <f t="shared" si="35"/>
        <v/>
      </c>
      <c r="AQ39" s="51">
        <f t="shared" si="35"/>
        <v>-0.8985149975</v>
      </c>
    </row>
    <row r="40">
      <c r="B40" s="56" t="s">
        <v>93</v>
      </c>
      <c r="C40" s="57">
        <f>IFERROR(__xludf.DUMMYFUNCTION("""COMPUTED_VALUE"""),10.092204287144355)</f>
        <v>10.09220429</v>
      </c>
      <c r="D40" s="57">
        <f>IFERROR(__xludf.DUMMYFUNCTION("""COMPUTED_VALUE"""),0.15171242874752836)</f>
        <v>0.1517124287</v>
      </c>
      <c r="E40" s="57">
        <f>IFERROR(__xludf.DUMMYFUNCTION("""COMPUTED_VALUE"""),2.4379307206737643E-5)</f>
        <v>0.00002437930721</v>
      </c>
      <c r="F40" s="57">
        <f>IFERROR(__xludf.DUMMYFUNCTION("""COMPUTED_VALUE"""),4.875861441347529E-4)</f>
        <v>0.0004875861441</v>
      </c>
      <c r="G40" s="57">
        <f>IFERROR(__xludf.DUMMYFUNCTION("""COMPUTED_VALUE"""),0.2780703780000496)</f>
        <v>0.278070378</v>
      </c>
      <c r="H40" s="57">
        <f>IFERROR(__xludf.DUMMYFUNCTION("""COMPUTED_VALUE"""),0.1367922927370049)</f>
        <v>0.1367922927</v>
      </c>
      <c r="I40" s="57">
        <f>IFERROR(__xludf.DUMMYFUNCTION("""COMPUTED_VALUE"""),0.0)</f>
        <v>0</v>
      </c>
      <c r="J40" s="57">
        <f>IFERROR(__xludf.DUMMYFUNCTION("""COMPUTED_VALUE"""),0.0)</f>
        <v>0</v>
      </c>
      <c r="K40" s="57">
        <f>IFERROR(__xludf.DUMMYFUNCTION("""COMPUTED_VALUE"""),0.0)</f>
        <v>0</v>
      </c>
      <c r="L40" s="57">
        <f>IFERROR(__xludf.DUMMYFUNCTION("""COMPUTED_VALUE"""),0.0)</f>
        <v>0</v>
      </c>
      <c r="M40" s="57">
        <f>IFERROR(__xludf.DUMMYFUNCTION("""COMPUTED_VALUE"""),8.770138836630181)</f>
        <v>8.770138837</v>
      </c>
      <c r="N40" s="57">
        <f>IFERROR(__xludf.DUMMYFUNCTION("""COMPUTED_VALUE"""),0.0)</f>
        <v>0</v>
      </c>
      <c r="O40" s="57">
        <f>IFERROR(__xludf.DUMMYFUNCTION("""COMPUTED_VALUE"""),0.0)</f>
        <v>0</v>
      </c>
      <c r="Q40" s="109">
        <v>41.9584</v>
      </c>
      <c r="R40" s="109">
        <v>0.437</v>
      </c>
      <c r="S40" s="109">
        <v>1.0E-4</v>
      </c>
      <c r="T40" s="109">
        <v>0.0012</v>
      </c>
      <c r="U40" s="109">
        <v>0.905</v>
      </c>
      <c r="V40" s="109">
        <v>0.4359</v>
      </c>
      <c r="W40" s="109">
        <v>0.0</v>
      </c>
      <c r="X40" s="109">
        <v>0.0</v>
      </c>
      <c r="Y40" s="109">
        <v>0.0</v>
      </c>
      <c r="Z40" s="109">
        <v>0.0</v>
      </c>
      <c r="AA40" s="109">
        <v>32.1143</v>
      </c>
      <c r="AB40" s="109">
        <v>0.0</v>
      </c>
      <c r="AC40" s="109">
        <v>0.0</v>
      </c>
      <c r="AE40" s="51">
        <f t="shared" ref="AE40:AQ40" si="36">IFERROR((Q40-C40)/C40, "")</f>
        <v>3.157506012</v>
      </c>
      <c r="AF40" s="51">
        <f t="shared" si="36"/>
        <v>1.880449569</v>
      </c>
      <c r="AG40" s="51">
        <f t="shared" si="36"/>
        <v>3.101839283</v>
      </c>
      <c r="AH40" s="51">
        <f t="shared" si="36"/>
        <v>1.46110357</v>
      </c>
      <c r="AI40" s="51">
        <f t="shared" si="36"/>
        <v>2.254571762</v>
      </c>
      <c r="AJ40" s="51">
        <f t="shared" si="36"/>
        <v>2.18658304</v>
      </c>
      <c r="AK40" s="51" t="str">
        <f t="shared" si="36"/>
        <v/>
      </c>
      <c r="AL40" s="51" t="str">
        <f t="shared" si="36"/>
        <v/>
      </c>
      <c r="AM40" s="51" t="str">
        <f t="shared" si="36"/>
        <v/>
      </c>
      <c r="AN40" s="51" t="str">
        <f t="shared" si="36"/>
        <v/>
      </c>
      <c r="AO40" s="51">
        <f t="shared" si="36"/>
        <v>2.661777835</v>
      </c>
      <c r="AP40" s="51" t="str">
        <f t="shared" si="36"/>
        <v/>
      </c>
      <c r="AQ40" s="51" t="str">
        <f t="shared" si="36"/>
        <v/>
      </c>
    </row>
    <row r="41">
      <c r="B41" s="56" t="s">
        <v>95</v>
      </c>
      <c r="C41" s="57">
        <f>IFERROR(__xludf.DUMMYFUNCTION("""COMPUTED_VALUE"""),0.0)</f>
        <v>0</v>
      </c>
      <c r="D41" s="57">
        <f>IFERROR(__xludf.DUMMYFUNCTION("""COMPUTED_VALUE"""),0.14277777777777778)</f>
        <v>0.1427777778</v>
      </c>
      <c r="E41" s="57">
        <f>IFERROR(__xludf.DUMMYFUNCTION("""COMPUTED_VALUE"""),0.0)</f>
        <v>0</v>
      </c>
      <c r="F41" s="57">
        <f>IFERROR(__xludf.DUMMYFUNCTION("""COMPUTED_VALUE"""),0.0)</f>
        <v>0</v>
      </c>
      <c r="G41" s="57">
        <f>IFERROR(__xludf.DUMMYFUNCTION("""COMPUTED_VALUE"""),0.12958333333333333)</f>
        <v>0.1295833333</v>
      </c>
      <c r="H41" s="57">
        <f>IFERROR(__xludf.DUMMYFUNCTION("""COMPUTED_VALUE"""),0.1291111111111111)</f>
        <v>0.1291111111</v>
      </c>
      <c r="I41" s="57">
        <f>IFERROR(__xludf.DUMMYFUNCTION("""COMPUTED_VALUE"""),0.14047222222222222)</f>
        <v>0.1404722222</v>
      </c>
      <c r="J41" s="57">
        <f>IFERROR(__xludf.DUMMYFUNCTION("""COMPUTED_VALUE"""),0.0)</f>
        <v>0</v>
      </c>
      <c r="K41" s="57">
        <f>IFERROR(__xludf.DUMMYFUNCTION("""COMPUTED_VALUE"""),0.0)</f>
        <v>0</v>
      </c>
      <c r="L41" s="57">
        <f>IFERROR(__xludf.DUMMYFUNCTION("""COMPUTED_VALUE"""),0.0)</f>
        <v>0</v>
      </c>
      <c r="M41" s="57">
        <f>IFERROR(__xludf.DUMMYFUNCTION("""COMPUTED_VALUE"""),37.52861111111111)</f>
        <v>37.52861111</v>
      </c>
      <c r="N41" s="57">
        <f>IFERROR(__xludf.DUMMYFUNCTION("""COMPUTED_VALUE"""),2.391916666666667)</f>
        <v>2.391916667</v>
      </c>
      <c r="O41" s="57">
        <f>IFERROR(__xludf.DUMMYFUNCTION("""COMPUTED_VALUE"""),0.0)</f>
        <v>0</v>
      </c>
      <c r="Q41" s="109">
        <v>0.0</v>
      </c>
      <c r="R41" s="109">
        <v>0.1437</v>
      </c>
      <c r="S41" s="109">
        <v>0.0</v>
      </c>
      <c r="T41" s="109">
        <v>0.0</v>
      </c>
      <c r="U41" s="109">
        <v>0.1437</v>
      </c>
      <c r="V41" s="109">
        <v>0.1437</v>
      </c>
      <c r="W41" s="109">
        <v>0.1437</v>
      </c>
      <c r="X41" s="109">
        <v>0.0</v>
      </c>
      <c r="Y41" s="109">
        <v>0.0</v>
      </c>
      <c r="Z41" s="109">
        <v>0.0</v>
      </c>
      <c r="AA41" s="109">
        <v>51.6835</v>
      </c>
      <c r="AB41" s="109">
        <v>2.3939</v>
      </c>
      <c r="AC41" s="109">
        <v>0.0</v>
      </c>
      <c r="AE41" s="51" t="str">
        <f t="shared" ref="AE41:AQ41" si="37">IFERROR((Q41-C41)/C41, "")</f>
        <v/>
      </c>
      <c r="AF41" s="51">
        <f t="shared" si="37"/>
        <v>0.006459143969</v>
      </c>
      <c r="AG41" s="51" t="str">
        <f t="shared" si="37"/>
        <v/>
      </c>
      <c r="AH41" s="51" t="str">
        <f t="shared" si="37"/>
        <v/>
      </c>
      <c r="AI41" s="51">
        <f t="shared" si="37"/>
        <v>0.1089389068</v>
      </c>
      <c r="AJ41" s="51">
        <f t="shared" si="37"/>
        <v>0.1129948365</v>
      </c>
      <c r="AK41" s="51">
        <f t="shared" si="37"/>
        <v>0.02297805023</v>
      </c>
      <c r="AL41" s="51" t="str">
        <f t="shared" si="37"/>
        <v/>
      </c>
      <c r="AM41" s="51" t="str">
        <f t="shared" si="37"/>
        <v/>
      </c>
      <c r="AN41" s="51" t="str">
        <f t="shared" si="37"/>
        <v/>
      </c>
      <c r="AO41" s="51">
        <f t="shared" si="37"/>
        <v>0.3771759324</v>
      </c>
      <c r="AP41" s="51">
        <f t="shared" si="37"/>
        <v>0.0008291816186</v>
      </c>
      <c r="AQ41" s="51" t="str">
        <f t="shared" si="37"/>
        <v/>
      </c>
    </row>
    <row r="42">
      <c r="B42" s="56" t="s">
        <v>96</v>
      </c>
      <c r="C42" s="57">
        <f>IFERROR(__xludf.DUMMYFUNCTION("""COMPUTED_VALUE"""),2.490180893547591)</f>
        <v>2.490180894</v>
      </c>
      <c r="D42" s="57">
        <f>IFERROR(__xludf.DUMMYFUNCTION("""COMPUTED_VALUE"""),0.02574967892538435)</f>
        <v>0.02574967893</v>
      </c>
      <c r="E42" s="57">
        <f>IFERROR(__xludf.DUMMYFUNCTION("""COMPUTED_VALUE"""),0.11077789270709847)</f>
        <v>0.1107778927</v>
      </c>
      <c r="F42" s="57">
        <f>IFERROR(__xludf.DUMMYFUNCTION("""COMPUTED_VALUE"""),0.005819306829741429)</f>
        <v>0.00581930683</v>
      </c>
      <c r="G42" s="57">
        <f>IFERROR(__xludf.DUMMYFUNCTION("""COMPUTED_VALUE"""),0.3195492942051796)</f>
        <v>0.3195492942</v>
      </c>
      <c r="H42" s="57">
        <f>IFERROR(__xludf.DUMMYFUNCTION("""COMPUTED_VALUE"""),0.20738441645057792)</f>
        <v>0.2073844165</v>
      </c>
      <c r="I42" s="57">
        <f>IFERROR(__xludf.DUMMYFUNCTION("""COMPUTED_VALUE"""),0.10773255597236334)</f>
        <v>0.107732556</v>
      </c>
      <c r="J42" s="57">
        <f>IFERROR(__xludf.DUMMYFUNCTION("""COMPUTED_VALUE"""),0.0)</f>
        <v>0</v>
      </c>
      <c r="K42" s="57">
        <f>IFERROR(__xludf.DUMMYFUNCTION("""COMPUTED_VALUE"""),0.06398222327829695)</f>
        <v>0.06398222328</v>
      </c>
      <c r="L42" s="57">
        <f>IFERROR(__xludf.DUMMYFUNCTION("""COMPUTED_VALUE"""),0.28725666407744344)</f>
        <v>0.2872566641</v>
      </c>
      <c r="M42" s="57">
        <f>IFERROR(__xludf.DUMMYFUNCTION("""COMPUTED_VALUE"""),21.14341112707985)</f>
        <v>21.14341113</v>
      </c>
      <c r="N42" s="57">
        <f>IFERROR(__xludf.DUMMYFUNCTION("""COMPUTED_VALUE"""),0.0)</f>
        <v>0</v>
      </c>
      <c r="O42" s="57">
        <f>IFERROR(__xludf.DUMMYFUNCTION("""COMPUTED_VALUE"""),0.0)</f>
        <v>0</v>
      </c>
      <c r="Q42" s="109">
        <v>6.0947</v>
      </c>
      <c r="R42" s="109">
        <v>0.0282</v>
      </c>
      <c r="S42" s="109">
        <v>0.1304</v>
      </c>
      <c r="T42" s="109">
        <v>0.2091</v>
      </c>
      <c r="U42" s="109">
        <v>0.5978</v>
      </c>
      <c r="V42" s="109">
        <v>0.4249</v>
      </c>
      <c r="W42" s="109">
        <v>0.2628</v>
      </c>
      <c r="X42" s="109">
        <v>0.0</v>
      </c>
      <c r="Y42" s="109">
        <v>0.1497</v>
      </c>
      <c r="Z42" s="109">
        <v>0.8913</v>
      </c>
      <c r="AA42" s="109">
        <v>43.7514</v>
      </c>
      <c r="AB42" s="109">
        <v>0.0</v>
      </c>
      <c r="AC42" s="109">
        <v>0.0</v>
      </c>
      <c r="AE42" s="51">
        <f t="shared" ref="AE42:AQ42" si="38">IFERROR((Q42-C42)/C42, "")</f>
        <v>1.447492877</v>
      </c>
      <c r="AF42" s="51">
        <f t="shared" si="38"/>
        <v>0.09515928652</v>
      </c>
      <c r="AG42" s="51">
        <f t="shared" si="38"/>
        <v>0.1771301729</v>
      </c>
      <c r="AH42" s="51">
        <f t="shared" si="38"/>
        <v>34.93211462</v>
      </c>
      <c r="AI42" s="51">
        <f t="shared" si="38"/>
        <v>0.8707598822</v>
      </c>
      <c r="AJ42" s="51">
        <f t="shared" si="38"/>
        <v>1.048852114</v>
      </c>
      <c r="AK42" s="51">
        <f t="shared" si="38"/>
        <v>1.439374037</v>
      </c>
      <c r="AL42" s="51" t="str">
        <f t="shared" si="38"/>
        <v/>
      </c>
      <c r="AM42" s="51">
        <f t="shared" si="38"/>
        <v>1.339712381</v>
      </c>
      <c r="AN42" s="51">
        <f t="shared" si="38"/>
        <v>2.102800079</v>
      </c>
      <c r="AO42" s="51">
        <f t="shared" si="38"/>
        <v>1.069268754</v>
      </c>
      <c r="AP42" s="51" t="str">
        <f t="shared" si="38"/>
        <v/>
      </c>
      <c r="AQ42" s="51" t="str">
        <f t="shared" si="38"/>
        <v/>
      </c>
    </row>
    <row r="43">
      <c r="B43" s="56" t="s">
        <v>97</v>
      </c>
      <c r="C43" s="57">
        <f>IFERROR(__xludf.DUMMYFUNCTION("""COMPUTED_VALUE"""),0.0)</f>
        <v>0</v>
      </c>
      <c r="D43" s="57">
        <f>IFERROR(__xludf.DUMMYFUNCTION("""COMPUTED_VALUE"""),0.0)</f>
        <v>0</v>
      </c>
      <c r="E43" s="57">
        <f>IFERROR(__xludf.DUMMYFUNCTION("""COMPUTED_VALUE"""),0.0)</f>
        <v>0</v>
      </c>
      <c r="F43" s="57">
        <f>IFERROR(__xludf.DUMMYFUNCTION("""COMPUTED_VALUE"""),0.0)</f>
        <v>0</v>
      </c>
      <c r="G43" s="57">
        <f>IFERROR(__xludf.DUMMYFUNCTION("""COMPUTED_VALUE"""),0.0)</f>
        <v>0</v>
      </c>
      <c r="H43" s="57">
        <f>IFERROR(__xludf.DUMMYFUNCTION("""COMPUTED_VALUE"""),0.0)</f>
        <v>0</v>
      </c>
      <c r="I43" s="57">
        <f>IFERROR(__xludf.DUMMYFUNCTION("""COMPUTED_VALUE"""),0.0)</f>
        <v>0</v>
      </c>
      <c r="J43" s="57">
        <f>IFERROR(__xludf.DUMMYFUNCTION("""COMPUTED_VALUE"""),0.0)</f>
        <v>0</v>
      </c>
      <c r="K43" s="57">
        <f>IFERROR(__xludf.DUMMYFUNCTION("""COMPUTED_VALUE"""),0.0)</f>
        <v>0</v>
      </c>
      <c r="L43" s="57">
        <f>IFERROR(__xludf.DUMMYFUNCTION("""COMPUTED_VALUE"""),0.0)</f>
        <v>0</v>
      </c>
      <c r="M43" s="57">
        <f>IFERROR(__xludf.DUMMYFUNCTION("""COMPUTED_VALUE"""),0.0)</f>
        <v>0</v>
      </c>
      <c r="N43" s="57">
        <f>IFERROR(__xludf.DUMMYFUNCTION("""COMPUTED_VALUE"""),0.0)</f>
        <v>0</v>
      </c>
      <c r="O43" s="57">
        <f>IFERROR(__xludf.DUMMYFUNCTION("""COMPUTED_VALUE"""),0.0)</f>
        <v>0</v>
      </c>
      <c r="Q43" s="109">
        <v>0.1969</v>
      </c>
      <c r="R43" s="109">
        <v>1.0E-4</v>
      </c>
      <c r="S43" s="109">
        <v>0.0</v>
      </c>
      <c r="T43" s="109">
        <v>0.0</v>
      </c>
      <c r="U43" s="109">
        <v>0.0028</v>
      </c>
      <c r="V43" s="109">
        <v>0.0296</v>
      </c>
      <c r="W43" s="109">
        <v>0.0</v>
      </c>
      <c r="X43" s="109">
        <v>0.025</v>
      </c>
      <c r="Y43" s="109">
        <v>0.1677</v>
      </c>
      <c r="Z43" s="109">
        <v>0.2336</v>
      </c>
      <c r="AA43" s="109">
        <v>0.3818</v>
      </c>
      <c r="AB43" s="109">
        <v>0.0</v>
      </c>
      <c r="AC43" s="109">
        <v>0.0</v>
      </c>
      <c r="AE43" s="51" t="str">
        <f t="shared" ref="AE43:AQ43" si="39">IFERROR((Q43-C43)/C43, "")</f>
        <v/>
      </c>
      <c r="AF43" s="51" t="str">
        <f t="shared" si="39"/>
        <v/>
      </c>
      <c r="AG43" s="51" t="str">
        <f t="shared" si="39"/>
        <v/>
      </c>
      <c r="AH43" s="51" t="str">
        <f t="shared" si="39"/>
        <v/>
      </c>
      <c r="AI43" s="51" t="str">
        <f t="shared" si="39"/>
        <v/>
      </c>
      <c r="AJ43" s="51" t="str">
        <f t="shared" si="39"/>
        <v/>
      </c>
      <c r="AK43" s="51" t="str">
        <f t="shared" si="39"/>
        <v/>
      </c>
      <c r="AL43" s="51" t="str">
        <f t="shared" si="39"/>
        <v/>
      </c>
      <c r="AM43" s="51" t="str">
        <f t="shared" si="39"/>
        <v/>
      </c>
      <c r="AN43" s="51" t="str">
        <f t="shared" si="39"/>
        <v/>
      </c>
      <c r="AO43" s="51" t="str">
        <f t="shared" si="39"/>
        <v/>
      </c>
      <c r="AP43" s="51" t="str">
        <f t="shared" si="39"/>
        <v/>
      </c>
      <c r="AQ43" s="51" t="str">
        <f t="shared" si="39"/>
        <v/>
      </c>
    </row>
    <row r="44">
      <c r="B44" s="56" t="s">
        <v>99</v>
      </c>
      <c r="C44" s="57">
        <f>IFERROR(__xludf.DUMMYFUNCTION("""COMPUTED_VALUE"""),0.30786276252887884)</f>
        <v>0.3078627625</v>
      </c>
      <c r="D44" s="57">
        <f>IFERROR(__xludf.DUMMYFUNCTION("""COMPUTED_VALUE"""),0.00836224801722473)</f>
        <v>0.008362248017</v>
      </c>
      <c r="E44" s="57">
        <f>IFERROR(__xludf.DUMMYFUNCTION("""COMPUTED_VALUE"""),0.002503172926208719)</f>
        <v>0.002503172926</v>
      </c>
      <c r="F44" s="57">
        <f>IFERROR(__xludf.DUMMYFUNCTION("""COMPUTED_VALUE"""),1.650443687610144E-4)</f>
        <v>0.0001650443688</v>
      </c>
      <c r="G44" s="57">
        <f>IFERROR(__xludf.DUMMYFUNCTION("""COMPUTED_VALUE"""),0.005006345852417438)</f>
        <v>0.005006345852</v>
      </c>
      <c r="H44" s="57">
        <f>IFERROR(__xludf.DUMMYFUNCTION("""COMPUTED_VALUE"""),0.0045112127461343935)</f>
        <v>0.004511212746</v>
      </c>
      <c r="I44" s="57">
        <f>IFERROR(__xludf.DUMMYFUNCTION("""COMPUTED_VALUE"""),0.004786286694069417)</f>
        <v>0.004786286694</v>
      </c>
      <c r="J44" s="57">
        <f>IFERROR(__xludf.DUMMYFUNCTION("""COMPUTED_VALUE"""),0.0)</f>
        <v>0</v>
      </c>
      <c r="K44" s="57">
        <f>IFERROR(__xludf.DUMMYFUNCTION("""COMPUTED_VALUE"""),0.0)</f>
        <v>0</v>
      </c>
      <c r="L44" s="57">
        <f>IFERROR(__xludf.DUMMYFUNCTION("""COMPUTED_VALUE"""),0.0)</f>
        <v>0</v>
      </c>
      <c r="M44" s="57">
        <f>IFERROR(__xludf.DUMMYFUNCTION("""COMPUTED_VALUE"""),2.8522417661382637)</f>
        <v>2.852241766</v>
      </c>
      <c r="N44" s="57">
        <f>IFERROR(__xludf.DUMMYFUNCTION("""COMPUTED_VALUE"""),2.4998537005703025)</f>
        <v>2.499853701</v>
      </c>
      <c r="O44" s="57">
        <f>IFERROR(__xludf.DUMMYFUNCTION("""COMPUTED_VALUE"""),0.0)</f>
        <v>0</v>
      </c>
      <c r="Q44" s="109">
        <v>0.6258</v>
      </c>
      <c r="R44" s="109">
        <v>0.0153</v>
      </c>
      <c r="S44" s="109">
        <v>0.0045</v>
      </c>
      <c r="T44" s="109">
        <v>3.0E-4</v>
      </c>
      <c r="U44" s="109">
        <v>0.0114</v>
      </c>
      <c r="V44" s="109">
        <v>0.0107</v>
      </c>
      <c r="W44" s="109">
        <v>0.0099</v>
      </c>
      <c r="X44" s="109">
        <v>0.0</v>
      </c>
      <c r="Y44" s="109">
        <v>0.0</v>
      </c>
      <c r="Z44" s="109">
        <v>0.0</v>
      </c>
      <c r="AA44" s="109">
        <v>10.6613</v>
      </c>
      <c r="AB44" s="109">
        <v>6.2199</v>
      </c>
      <c r="AC44" s="109">
        <v>0.0</v>
      </c>
      <c r="AE44" s="51">
        <f t="shared" ref="AE44:AQ44" si="40">IFERROR((Q44-C44)/C44, "")</f>
        <v>1.032723915</v>
      </c>
      <c r="AF44" s="51">
        <f t="shared" si="40"/>
        <v>0.8296515445</v>
      </c>
      <c r="AG44" s="51">
        <f t="shared" si="40"/>
        <v>0.7977183889</v>
      </c>
      <c r="AH44" s="51">
        <f t="shared" si="40"/>
        <v>0.8176930376</v>
      </c>
      <c r="AI44" s="51">
        <f t="shared" si="40"/>
        <v>1.277109959</v>
      </c>
      <c r="AJ44" s="51">
        <f t="shared" si="40"/>
        <v>1.371867744</v>
      </c>
      <c r="AK44" s="51">
        <f t="shared" si="40"/>
        <v>1.068409319</v>
      </c>
      <c r="AL44" s="51" t="str">
        <f t="shared" si="40"/>
        <v/>
      </c>
      <c r="AM44" s="51" t="str">
        <f t="shared" si="40"/>
        <v/>
      </c>
      <c r="AN44" s="51" t="str">
        <f t="shared" si="40"/>
        <v/>
      </c>
      <c r="AO44" s="51">
        <f t="shared" si="40"/>
        <v>2.737866869</v>
      </c>
      <c r="AP44" s="51">
        <f t="shared" si="40"/>
        <v>1.488105603</v>
      </c>
      <c r="AQ44" s="51" t="str">
        <f t="shared" si="40"/>
        <v/>
      </c>
    </row>
    <row r="45">
      <c r="B45" s="56" t="s">
        <v>100</v>
      </c>
      <c r="C45" s="57">
        <f>IFERROR(__xludf.DUMMYFUNCTION("""COMPUTED_VALUE"""),0.0)</f>
        <v>0</v>
      </c>
      <c r="D45" s="57">
        <f>IFERROR(__xludf.DUMMYFUNCTION("""COMPUTED_VALUE"""),0.0)</f>
        <v>0</v>
      </c>
      <c r="E45" s="57">
        <f>IFERROR(__xludf.DUMMYFUNCTION("""COMPUTED_VALUE"""),0.0)</f>
        <v>0</v>
      </c>
      <c r="F45" s="57">
        <f>IFERROR(__xludf.DUMMYFUNCTION("""COMPUTED_VALUE"""),0.0)</f>
        <v>0</v>
      </c>
      <c r="G45" s="57">
        <f>IFERROR(__xludf.DUMMYFUNCTION("""COMPUTED_VALUE"""),0.0)</f>
        <v>0</v>
      </c>
      <c r="H45" s="57">
        <f>IFERROR(__xludf.DUMMYFUNCTION("""COMPUTED_VALUE"""),0.0)</f>
        <v>0</v>
      </c>
      <c r="I45" s="57">
        <f>IFERROR(__xludf.DUMMYFUNCTION("""COMPUTED_VALUE"""),0.0)</f>
        <v>0</v>
      </c>
      <c r="J45" s="57">
        <f>IFERROR(__xludf.DUMMYFUNCTION("""COMPUTED_VALUE"""),0.0)</f>
        <v>0</v>
      </c>
      <c r="K45" s="57">
        <f>IFERROR(__xludf.DUMMYFUNCTION("""COMPUTED_VALUE"""),0.0)</f>
        <v>0</v>
      </c>
      <c r="L45" s="57">
        <f>IFERROR(__xludf.DUMMYFUNCTION("""COMPUTED_VALUE"""),0.0)</f>
        <v>0</v>
      </c>
      <c r="M45" s="57">
        <f>IFERROR(__xludf.DUMMYFUNCTION("""COMPUTED_VALUE"""),0.0)</f>
        <v>0</v>
      </c>
      <c r="N45" s="57">
        <f>IFERROR(__xludf.DUMMYFUNCTION("""COMPUTED_VALUE"""),0.0)</f>
        <v>0</v>
      </c>
      <c r="O45" s="57">
        <f>IFERROR(__xludf.DUMMYFUNCTION("""COMPUTED_VALUE"""),0.0)</f>
        <v>0</v>
      </c>
      <c r="Q45" s="109">
        <v>0.0</v>
      </c>
      <c r="R45" s="109">
        <v>0.0</v>
      </c>
      <c r="S45" s="109">
        <v>0.0</v>
      </c>
      <c r="T45" s="109">
        <v>0.0</v>
      </c>
      <c r="U45" s="109">
        <v>0.0</v>
      </c>
      <c r="V45" s="109">
        <v>0.0</v>
      </c>
      <c r="W45" s="109">
        <v>0.0</v>
      </c>
      <c r="X45" s="109">
        <v>0.0</v>
      </c>
      <c r="Y45" s="109">
        <v>0.0</v>
      </c>
      <c r="Z45" s="109">
        <v>0.0</v>
      </c>
      <c r="AA45" s="109">
        <v>0.0</v>
      </c>
      <c r="AB45" s="109">
        <v>0.0</v>
      </c>
      <c r="AC45" s="109">
        <v>0.0</v>
      </c>
      <c r="AE45" s="51" t="str">
        <f t="shared" ref="AE45:AQ45" si="41">IFERROR((Q45-C45)/C45, "")</f>
        <v/>
      </c>
      <c r="AF45" s="51" t="str">
        <f t="shared" si="41"/>
        <v/>
      </c>
      <c r="AG45" s="51" t="str">
        <f t="shared" si="41"/>
        <v/>
      </c>
      <c r="AH45" s="51" t="str">
        <f t="shared" si="41"/>
        <v/>
      </c>
      <c r="AI45" s="51" t="str">
        <f t="shared" si="41"/>
        <v/>
      </c>
      <c r="AJ45" s="51" t="str">
        <f t="shared" si="41"/>
        <v/>
      </c>
      <c r="AK45" s="51" t="str">
        <f t="shared" si="41"/>
        <v/>
      </c>
      <c r="AL45" s="51" t="str">
        <f t="shared" si="41"/>
        <v/>
      </c>
      <c r="AM45" s="51" t="str">
        <f t="shared" si="41"/>
        <v/>
      </c>
      <c r="AN45" s="51" t="str">
        <f t="shared" si="41"/>
        <v/>
      </c>
      <c r="AO45" s="51" t="str">
        <f t="shared" si="41"/>
        <v/>
      </c>
      <c r="AP45" s="51" t="str">
        <f t="shared" si="41"/>
        <v/>
      </c>
      <c r="AQ45" s="51" t="str">
        <f t="shared" si="41"/>
        <v/>
      </c>
    </row>
    <row r="46">
      <c r="B46" s="37" t="s">
        <v>104</v>
      </c>
      <c r="C46" s="43">
        <f>IFERROR(__xludf.DUMMYFUNCTION("""COMPUTED_VALUE"""),6.958157575757576)</f>
        <v>6.958157576</v>
      </c>
      <c r="D46" s="43">
        <f>IFERROR(__xludf.DUMMYFUNCTION("""COMPUTED_VALUE"""),0.17020606060606064)</f>
        <v>0.1702060606</v>
      </c>
      <c r="E46" s="43">
        <f>IFERROR(__xludf.DUMMYFUNCTION("""COMPUTED_VALUE"""),0.11886060606060608)</f>
        <v>0.1188606061</v>
      </c>
      <c r="F46" s="43">
        <f>IFERROR(__xludf.DUMMYFUNCTION("""COMPUTED_VALUE"""),0.05558787878787879)</f>
        <v>0.05558787879</v>
      </c>
      <c r="G46" s="43">
        <f>IFERROR(__xludf.DUMMYFUNCTION("""COMPUTED_VALUE"""),0.31170909090909094)</f>
        <v>0.3117090909</v>
      </c>
      <c r="H46" s="43">
        <f>IFERROR(__xludf.DUMMYFUNCTION("""COMPUTED_VALUE"""),0.3371636363636364)</f>
        <v>0.3371636364</v>
      </c>
      <c r="I46" s="43">
        <f>IFERROR(__xludf.DUMMYFUNCTION("""COMPUTED_VALUE"""),0.3658424242424243)</f>
        <v>0.3658424242</v>
      </c>
      <c r="J46" s="43">
        <f>IFERROR(__xludf.DUMMYFUNCTION("""COMPUTED_VALUE"""),0.07292121212121212)</f>
        <v>0.07292121212</v>
      </c>
      <c r="K46" s="43">
        <f>IFERROR(__xludf.DUMMYFUNCTION("""COMPUTED_VALUE"""),0.03246060606060606)</f>
        <v>0.03246060606</v>
      </c>
      <c r="L46" s="43">
        <f>IFERROR(__xludf.DUMMYFUNCTION("""COMPUTED_VALUE"""),0.03056969696969697)</f>
        <v>0.03056969697</v>
      </c>
      <c r="M46" s="43">
        <f>IFERROR(__xludf.DUMMYFUNCTION("""COMPUTED_VALUE"""),4.390206060606061)</f>
        <v>4.390206061</v>
      </c>
      <c r="N46" s="41">
        <f>IFERROR(__xludf.DUMMYFUNCTION("""COMPUTED_VALUE"""),18.923248484848486)</f>
        <v>18.92324848</v>
      </c>
      <c r="O46" s="41">
        <f>IFERROR(__xludf.DUMMYFUNCTION("""COMPUTED_VALUE"""),0.0)</f>
        <v>0</v>
      </c>
      <c r="Q46" s="109">
        <v>9.1754</v>
      </c>
      <c r="R46" s="109">
        <v>0.1717</v>
      </c>
      <c r="S46" s="109">
        <v>0.1208</v>
      </c>
      <c r="T46" s="109">
        <v>0.039</v>
      </c>
      <c r="U46" s="109">
        <v>0.4298</v>
      </c>
      <c r="V46" s="109">
        <v>0.4276</v>
      </c>
      <c r="W46" s="109">
        <v>0.4264</v>
      </c>
      <c r="X46" s="109">
        <v>0.0462</v>
      </c>
      <c r="Y46" s="109">
        <v>0.0462</v>
      </c>
      <c r="Z46" s="109">
        <v>0.0462</v>
      </c>
      <c r="AA46" s="109">
        <v>3.377</v>
      </c>
      <c r="AB46" s="109">
        <v>15.2895</v>
      </c>
      <c r="AC46" s="109">
        <v>0.0</v>
      </c>
      <c r="AE46" s="51">
        <f t="shared" ref="AE46:AQ46" si="42">IFERROR((Q46-C46)/C46, "")</f>
        <v>0.3186536666</v>
      </c>
      <c r="AF46" s="51">
        <f t="shared" si="42"/>
        <v>0.008777239709</v>
      </c>
      <c r="AG46" s="51">
        <f t="shared" si="42"/>
        <v>0.01631654089</v>
      </c>
      <c r="AH46" s="51">
        <f t="shared" si="42"/>
        <v>-0.2984081989</v>
      </c>
      <c r="AI46" s="51">
        <f t="shared" si="42"/>
        <v>0.3788497434</v>
      </c>
      <c r="AJ46" s="51">
        <f t="shared" si="42"/>
        <v>0.2682269198</v>
      </c>
      <c r="AK46" s="51">
        <f t="shared" si="42"/>
        <v>0.1655291233</v>
      </c>
      <c r="AL46" s="51">
        <f t="shared" si="42"/>
        <v>-0.3664394947</v>
      </c>
      <c r="AM46" s="51">
        <f t="shared" si="42"/>
        <v>0.4232636296</v>
      </c>
      <c r="AN46" s="51">
        <f t="shared" si="42"/>
        <v>0.5113005551</v>
      </c>
      <c r="AO46" s="51">
        <f t="shared" si="42"/>
        <v>-0.2307878142</v>
      </c>
      <c r="AP46" s="51">
        <f t="shared" si="42"/>
        <v>-0.192025618</v>
      </c>
      <c r="AQ46" s="51" t="str">
        <f t="shared" si="42"/>
        <v/>
      </c>
    </row>
    <row r="47">
      <c r="B47" s="56" t="s">
        <v>107</v>
      </c>
      <c r="C47" s="57">
        <f>IFERROR(__xludf.DUMMYFUNCTION("""COMPUTED_VALUE"""),0.0)</f>
        <v>0</v>
      </c>
      <c r="D47" s="57">
        <f>IFERROR(__xludf.DUMMYFUNCTION("""COMPUTED_VALUE"""),0.0)</f>
        <v>0</v>
      </c>
      <c r="E47" s="57">
        <f>IFERROR(__xludf.DUMMYFUNCTION("""COMPUTED_VALUE"""),0.0)</f>
        <v>0</v>
      </c>
      <c r="F47" s="57">
        <f>IFERROR(__xludf.DUMMYFUNCTION("""COMPUTED_VALUE"""),0.0)</f>
        <v>0</v>
      </c>
      <c r="G47" s="57">
        <f>IFERROR(__xludf.DUMMYFUNCTION("""COMPUTED_VALUE"""),0.0)</f>
        <v>0</v>
      </c>
      <c r="H47" s="57">
        <f>IFERROR(__xludf.DUMMYFUNCTION("""COMPUTED_VALUE"""),0.0)</f>
        <v>0</v>
      </c>
      <c r="I47" s="57">
        <f>IFERROR(__xludf.DUMMYFUNCTION("""COMPUTED_VALUE"""),0.0)</f>
        <v>0</v>
      </c>
      <c r="J47" s="57">
        <f>IFERROR(__xludf.DUMMYFUNCTION("""COMPUTED_VALUE"""),0.0)</f>
        <v>0</v>
      </c>
      <c r="K47" s="57">
        <f>IFERROR(__xludf.DUMMYFUNCTION("""COMPUTED_VALUE"""),0.0)</f>
        <v>0</v>
      </c>
      <c r="L47" s="57">
        <f>IFERROR(__xludf.DUMMYFUNCTION("""COMPUTED_VALUE"""),0.0)</f>
        <v>0</v>
      </c>
      <c r="M47" s="57">
        <f>IFERROR(__xludf.DUMMYFUNCTION("""COMPUTED_VALUE"""),0.0)</f>
        <v>0</v>
      </c>
      <c r="N47" s="57">
        <f>IFERROR(__xludf.DUMMYFUNCTION("""COMPUTED_VALUE"""),0.0)</f>
        <v>0</v>
      </c>
      <c r="O47" s="57">
        <f>IFERROR(__xludf.DUMMYFUNCTION("""COMPUTED_VALUE"""),0.0)</f>
        <v>0</v>
      </c>
      <c r="Q47" s="109">
        <v>0.0261</v>
      </c>
      <c r="R47" s="109">
        <v>0.0</v>
      </c>
      <c r="S47" s="109">
        <v>0.0</v>
      </c>
      <c r="T47" s="109">
        <v>0.0</v>
      </c>
      <c r="U47" s="109">
        <v>2.0E-4</v>
      </c>
      <c r="V47" s="109">
        <v>0.0023</v>
      </c>
      <c r="W47" s="109">
        <v>0.0</v>
      </c>
      <c r="X47" s="109">
        <v>0.0</v>
      </c>
      <c r="Y47" s="109">
        <v>8.0E-4</v>
      </c>
      <c r="Z47" s="109">
        <v>0.0078</v>
      </c>
      <c r="AA47" s="109">
        <v>0.0735</v>
      </c>
      <c r="AB47" s="109">
        <v>0.0</v>
      </c>
      <c r="AC47" s="109">
        <v>0.0</v>
      </c>
      <c r="AE47" s="51" t="str">
        <f t="shared" ref="AE47:AQ47" si="43">IFERROR((Q47-C47)/C47, "")</f>
        <v/>
      </c>
      <c r="AF47" s="51" t="str">
        <f t="shared" si="43"/>
        <v/>
      </c>
      <c r="AG47" s="51" t="str">
        <f t="shared" si="43"/>
        <v/>
      </c>
      <c r="AH47" s="51" t="str">
        <f t="shared" si="43"/>
        <v/>
      </c>
      <c r="AI47" s="51" t="str">
        <f t="shared" si="43"/>
        <v/>
      </c>
      <c r="AJ47" s="51" t="str">
        <f t="shared" si="43"/>
        <v/>
      </c>
      <c r="AK47" s="51" t="str">
        <f t="shared" si="43"/>
        <v/>
      </c>
      <c r="AL47" s="51" t="str">
        <f t="shared" si="43"/>
        <v/>
      </c>
      <c r="AM47" s="51" t="str">
        <f t="shared" si="43"/>
        <v/>
      </c>
      <c r="AN47" s="51" t="str">
        <f t="shared" si="43"/>
        <v/>
      </c>
      <c r="AO47" s="51" t="str">
        <f t="shared" si="43"/>
        <v/>
      </c>
      <c r="AP47" s="51" t="str">
        <f t="shared" si="43"/>
        <v/>
      </c>
      <c r="AQ47" s="51" t="str">
        <f t="shared" si="43"/>
        <v/>
      </c>
    </row>
    <row r="48">
      <c r="B48" s="56" t="s">
        <v>110</v>
      </c>
      <c r="C48" s="57">
        <f>IFERROR(__xludf.DUMMYFUNCTION("""COMPUTED_VALUE"""),0.0)</f>
        <v>0</v>
      </c>
      <c r="D48" s="57">
        <f>IFERROR(__xludf.DUMMYFUNCTION("""COMPUTED_VALUE"""),0.0)</f>
        <v>0</v>
      </c>
      <c r="E48" s="57">
        <f>IFERROR(__xludf.DUMMYFUNCTION("""COMPUTED_VALUE"""),0.0)</f>
        <v>0</v>
      </c>
      <c r="F48" s="57">
        <f>IFERROR(__xludf.DUMMYFUNCTION("""COMPUTED_VALUE"""),0.0)</f>
        <v>0</v>
      </c>
      <c r="G48" s="57">
        <f>IFERROR(__xludf.DUMMYFUNCTION("""COMPUTED_VALUE"""),0.0)</f>
        <v>0</v>
      </c>
      <c r="H48" s="57">
        <f>IFERROR(__xludf.DUMMYFUNCTION("""COMPUTED_VALUE"""),0.0)</f>
        <v>0</v>
      </c>
      <c r="I48" s="57">
        <f>IFERROR(__xludf.DUMMYFUNCTION("""COMPUTED_VALUE"""),0.0)</f>
        <v>0</v>
      </c>
      <c r="J48" s="57">
        <f>IFERROR(__xludf.DUMMYFUNCTION("""COMPUTED_VALUE"""),0.0)</f>
        <v>0</v>
      </c>
      <c r="K48" s="57">
        <f>IFERROR(__xludf.DUMMYFUNCTION("""COMPUTED_VALUE"""),0.0)</f>
        <v>0</v>
      </c>
      <c r="L48" s="57">
        <f>IFERROR(__xludf.DUMMYFUNCTION("""COMPUTED_VALUE"""),0.0)</f>
        <v>0</v>
      </c>
      <c r="M48" s="57">
        <f>IFERROR(__xludf.DUMMYFUNCTION("""COMPUTED_VALUE"""),0.0)</f>
        <v>0</v>
      </c>
      <c r="N48" s="57">
        <f>IFERROR(__xludf.DUMMYFUNCTION("""COMPUTED_VALUE"""),0.0)</f>
        <v>0</v>
      </c>
      <c r="O48" s="57">
        <f>IFERROR(__xludf.DUMMYFUNCTION("""COMPUTED_VALUE"""),0.0)</f>
        <v>0</v>
      </c>
      <c r="Q48" s="109">
        <v>4.9755</v>
      </c>
      <c r="R48" s="109">
        <v>0.2962</v>
      </c>
      <c r="S48" s="109">
        <v>0.132</v>
      </c>
      <c r="T48" s="109">
        <v>0.0088</v>
      </c>
      <c r="U48" s="109">
        <v>0.0</v>
      </c>
      <c r="V48" s="109">
        <v>0.0</v>
      </c>
      <c r="W48" s="109">
        <v>0.0</v>
      </c>
      <c r="X48" s="109">
        <v>0.0</v>
      </c>
      <c r="Y48" s="109">
        <v>0.0</v>
      </c>
      <c r="Z48" s="109">
        <v>0.0</v>
      </c>
      <c r="AA48" s="109">
        <v>0.0</v>
      </c>
      <c r="AB48" s="109">
        <v>0.0</v>
      </c>
      <c r="AC48" s="109">
        <v>0.0</v>
      </c>
      <c r="AE48" s="51" t="str">
        <f t="shared" ref="AE48:AQ48" si="44">IFERROR((Q48-C48)/C48, "")</f>
        <v/>
      </c>
      <c r="AF48" s="51" t="str">
        <f t="shared" si="44"/>
        <v/>
      </c>
      <c r="AG48" s="51" t="str">
        <f t="shared" si="44"/>
        <v/>
      </c>
      <c r="AH48" s="51" t="str">
        <f t="shared" si="44"/>
        <v/>
      </c>
      <c r="AI48" s="51" t="str">
        <f t="shared" si="44"/>
        <v/>
      </c>
      <c r="AJ48" s="51" t="str">
        <f t="shared" si="44"/>
        <v/>
      </c>
      <c r="AK48" s="51" t="str">
        <f t="shared" si="44"/>
        <v/>
      </c>
      <c r="AL48" s="51" t="str">
        <f t="shared" si="44"/>
        <v/>
      </c>
      <c r="AM48" s="51" t="str">
        <f t="shared" si="44"/>
        <v/>
      </c>
      <c r="AN48" s="51" t="str">
        <f t="shared" si="44"/>
        <v/>
      </c>
      <c r="AO48" s="51" t="str">
        <f t="shared" si="44"/>
        <v/>
      </c>
      <c r="AP48" s="51" t="str">
        <f t="shared" si="44"/>
        <v/>
      </c>
      <c r="AQ48" s="51" t="str">
        <f t="shared" si="44"/>
        <v/>
      </c>
    </row>
    <row r="49">
      <c r="B49" s="56" t="s">
        <v>111</v>
      </c>
      <c r="C49" s="57">
        <f>IFERROR(__xludf.DUMMYFUNCTION("""COMPUTED_VALUE"""),0.0)</f>
        <v>0</v>
      </c>
      <c r="D49" s="57">
        <f>IFERROR(__xludf.DUMMYFUNCTION("""COMPUTED_VALUE"""),0.0)</f>
        <v>0</v>
      </c>
      <c r="E49" s="57">
        <f>IFERROR(__xludf.DUMMYFUNCTION("""COMPUTED_VALUE"""),0.0)</f>
        <v>0</v>
      </c>
      <c r="F49" s="57">
        <f>IFERROR(__xludf.DUMMYFUNCTION("""COMPUTED_VALUE"""),0.0)</f>
        <v>0</v>
      </c>
      <c r="G49" s="57">
        <f>IFERROR(__xludf.DUMMYFUNCTION("""COMPUTED_VALUE"""),0.0)</f>
        <v>0</v>
      </c>
      <c r="H49" s="57">
        <f>IFERROR(__xludf.DUMMYFUNCTION("""COMPUTED_VALUE"""),0.0)</f>
        <v>0</v>
      </c>
      <c r="I49" s="57">
        <f>IFERROR(__xludf.DUMMYFUNCTION("""COMPUTED_VALUE"""),0.0)</f>
        <v>0</v>
      </c>
      <c r="J49" s="57">
        <f>IFERROR(__xludf.DUMMYFUNCTION("""COMPUTED_VALUE"""),0.0)</f>
        <v>0</v>
      </c>
      <c r="K49" s="57">
        <f>IFERROR(__xludf.DUMMYFUNCTION("""COMPUTED_VALUE"""),0.0)</f>
        <v>0</v>
      </c>
      <c r="L49" s="57">
        <f>IFERROR(__xludf.DUMMYFUNCTION("""COMPUTED_VALUE"""),0.0)</f>
        <v>0</v>
      </c>
      <c r="M49" s="57">
        <f>IFERROR(__xludf.DUMMYFUNCTION("""COMPUTED_VALUE"""),0.0)</f>
        <v>0</v>
      </c>
      <c r="N49" s="57">
        <f>IFERROR(__xludf.DUMMYFUNCTION("""COMPUTED_VALUE"""),0.0)</f>
        <v>0</v>
      </c>
      <c r="O49" s="57">
        <f>IFERROR(__xludf.DUMMYFUNCTION("""COMPUTED_VALUE"""),0.0)</f>
        <v>0</v>
      </c>
      <c r="Q49" s="109">
        <v>0.0175</v>
      </c>
      <c r="R49" s="109">
        <v>0.0</v>
      </c>
      <c r="S49" s="109">
        <v>6.0E-4</v>
      </c>
      <c r="T49" s="109">
        <v>3.0E-4</v>
      </c>
      <c r="U49" s="109">
        <v>2.0E-4</v>
      </c>
      <c r="V49" s="109">
        <v>2.0E-4</v>
      </c>
      <c r="W49" s="109">
        <v>1.0E-4</v>
      </c>
      <c r="X49" s="109">
        <v>0.001</v>
      </c>
      <c r="Y49" s="109">
        <v>0.001</v>
      </c>
      <c r="Z49" s="109">
        <v>8.0E-4</v>
      </c>
      <c r="AA49" s="109">
        <v>0.0</v>
      </c>
      <c r="AB49" s="109">
        <v>0.0026</v>
      </c>
      <c r="AC49" s="109">
        <v>0.001</v>
      </c>
      <c r="AE49" s="51" t="str">
        <f t="shared" ref="AE49:AQ49" si="45">IFERROR((Q49-C49)/C49, "")</f>
        <v/>
      </c>
      <c r="AF49" s="51" t="str">
        <f t="shared" si="45"/>
        <v/>
      </c>
      <c r="AG49" s="51" t="str">
        <f t="shared" si="45"/>
        <v/>
      </c>
      <c r="AH49" s="51" t="str">
        <f t="shared" si="45"/>
        <v/>
      </c>
      <c r="AI49" s="51" t="str">
        <f t="shared" si="45"/>
        <v/>
      </c>
      <c r="AJ49" s="51" t="str">
        <f t="shared" si="45"/>
        <v/>
      </c>
      <c r="AK49" s="51" t="str">
        <f t="shared" si="45"/>
        <v/>
      </c>
      <c r="AL49" s="51" t="str">
        <f t="shared" si="45"/>
        <v/>
      </c>
      <c r="AM49" s="51" t="str">
        <f t="shared" si="45"/>
        <v/>
      </c>
      <c r="AN49" s="51" t="str">
        <f t="shared" si="45"/>
        <v/>
      </c>
      <c r="AO49" s="51" t="str">
        <f t="shared" si="45"/>
        <v/>
      </c>
      <c r="AP49" s="51" t="str">
        <f t="shared" si="45"/>
        <v/>
      </c>
      <c r="AQ49" s="51" t="str">
        <f t="shared" si="45"/>
        <v/>
      </c>
    </row>
    <row r="50">
      <c r="B50" s="56" t="s">
        <v>113</v>
      </c>
      <c r="C50" s="57">
        <f>IFERROR(__xludf.DUMMYFUNCTION("""COMPUTED_VALUE"""),21.554096563500533)</f>
        <v>21.55409656</v>
      </c>
      <c r="D50" s="57">
        <f>IFERROR(__xludf.DUMMYFUNCTION("""COMPUTED_VALUE"""),0.3229770618748604)</f>
        <v>0.3229770619</v>
      </c>
      <c r="E50" s="57">
        <f>IFERROR(__xludf.DUMMYFUNCTION("""COMPUTED_VALUE"""),0.21907245455974453)</f>
        <v>0.2190724546</v>
      </c>
      <c r="F50" s="57">
        <f>IFERROR(__xludf.DUMMYFUNCTION("""COMPUTED_VALUE"""),0.0)</f>
        <v>0</v>
      </c>
      <c r="G50" s="57">
        <f>IFERROR(__xludf.DUMMYFUNCTION("""COMPUTED_VALUE"""),0.23207475173667128)</f>
        <v>0.2320747517</v>
      </c>
      <c r="H50" s="57">
        <f>IFERROR(__xludf.DUMMYFUNCTION("""COMPUTED_VALUE"""),0.22975059111629567)</f>
        <v>0.2297505911</v>
      </c>
      <c r="I50" s="57">
        <f>IFERROR(__xludf.DUMMYFUNCTION("""COMPUTED_VALUE"""),0.1428789931029538)</f>
        <v>0.1428789931</v>
      </c>
      <c r="J50" s="57">
        <f>IFERROR(__xludf.DUMMYFUNCTION("""COMPUTED_VALUE"""),0.0)</f>
        <v>0</v>
      </c>
      <c r="K50" s="57">
        <f>IFERROR(__xludf.DUMMYFUNCTION("""COMPUTED_VALUE"""),0.0)</f>
        <v>0</v>
      </c>
      <c r="L50" s="57">
        <f>IFERROR(__xludf.DUMMYFUNCTION("""COMPUTED_VALUE"""),1.706551504471636E-4)</f>
        <v>0.0001706551504</v>
      </c>
      <c r="M50" s="57">
        <f>IFERROR(__xludf.DUMMYFUNCTION("""COMPUTED_VALUE"""),39.08948862359667)</f>
        <v>39.08948862</v>
      </c>
      <c r="N50" s="57">
        <f>IFERROR(__xludf.DUMMYFUNCTION("""COMPUTED_VALUE"""),0.0)</f>
        <v>0</v>
      </c>
      <c r="O50" s="57">
        <f>IFERROR(__xludf.DUMMYFUNCTION("""COMPUTED_VALUE"""),0.0)</f>
        <v>0</v>
      </c>
      <c r="Q50" s="109">
        <v>22.4565</v>
      </c>
      <c r="R50" s="109">
        <v>0.3775</v>
      </c>
      <c r="S50" s="109">
        <v>0.3388</v>
      </c>
      <c r="T50" s="109">
        <v>0.004</v>
      </c>
      <c r="U50" s="109">
        <v>0.3867</v>
      </c>
      <c r="V50" s="109">
        <v>0.3441</v>
      </c>
      <c r="W50" s="109">
        <v>0.3359</v>
      </c>
      <c r="X50" s="109">
        <v>0.0</v>
      </c>
      <c r="Y50" s="109">
        <v>0.0</v>
      </c>
      <c r="Z50" s="109">
        <v>0.0</v>
      </c>
      <c r="AA50" s="109">
        <v>92.1117</v>
      </c>
      <c r="AB50" s="109">
        <v>0.0</v>
      </c>
      <c r="AC50" s="109">
        <v>0.0</v>
      </c>
      <c r="AE50" s="51">
        <f t="shared" ref="AE50:AQ50" si="46">IFERROR((Q50-C50)/C50, "")</f>
        <v>0.04186691072</v>
      </c>
      <c r="AF50" s="51">
        <f t="shared" si="46"/>
        <v>0.1688136545</v>
      </c>
      <c r="AG50" s="51">
        <f t="shared" si="46"/>
        <v>0.5465203085</v>
      </c>
      <c r="AH50" s="51" t="str">
        <f t="shared" si="46"/>
        <v/>
      </c>
      <c r="AI50" s="51">
        <f t="shared" si="46"/>
        <v>0.6662734619</v>
      </c>
      <c r="AJ50" s="51">
        <f t="shared" si="46"/>
        <v>0.4977110541</v>
      </c>
      <c r="AK50" s="51">
        <f t="shared" si="46"/>
        <v>1.35094042</v>
      </c>
      <c r="AL50" s="51" t="str">
        <f t="shared" si="46"/>
        <v/>
      </c>
      <c r="AM50" s="51" t="str">
        <f t="shared" si="46"/>
        <v/>
      </c>
      <c r="AN50" s="51">
        <f t="shared" si="46"/>
        <v>-1</v>
      </c>
      <c r="AO50" s="51">
        <f t="shared" si="46"/>
        <v>1.356431441</v>
      </c>
      <c r="AP50" s="51" t="str">
        <f t="shared" si="46"/>
        <v/>
      </c>
      <c r="AQ50" s="51" t="str">
        <f t="shared" si="46"/>
        <v/>
      </c>
    </row>
    <row r="51">
      <c r="B51" s="56" t="s">
        <v>115</v>
      </c>
      <c r="C51" s="57">
        <f>IFERROR(__xludf.DUMMYFUNCTION("""COMPUTED_VALUE"""),9.837936598765369)</f>
        <v>9.837936599</v>
      </c>
      <c r="D51" s="57">
        <f>IFERROR(__xludf.DUMMYFUNCTION("""COMPUTED_VALUE"""),0.11190856941479124)</f>
        <v>0.1119085694</v>
      </c>
      <c r="E51" s="57">
        <f>IFERROR(__xludf.DUMMYFUNCTION("""COMPUTED_VALUE"""),0.1685662440805199)</f>
        <v>0.1685662441</v>
      </c>
      <c r="F51" s="57">
        <f>IFERROR(__xludf.DUMMYFUNCTION("""COMPUTED_VALUE"""),0.07186944870967875)</f>
        <v>0.07186944871</v>
      </c>
      <c r="G51" s="57">
        <f>IFERROR(__xludf.DUMMYFUNCTION("""COMPUTED_VALUE"""),0.3147476824540889)</f>
        <v>0.3147476825</v>
      </c>
      <c r="H51" s="57">
        <f>IFERROR(__xludf.DUMMYFUNCTION("""COMPUTED_VALUE"""),0.3397141611949216)</f>
        <v>0.3397141612</v>
      </c>
      <c r="I51" s="57">
        <f>IFERROR(__xludf.DUMMYFUNCTION("""COMPUTED_VALUE"""),0.17844462173710945)</f>
        <v>0.1784446217</v>
      </c>
      <c r="J51" s="57">
        <f>IFERROR(__xludf.DUMMYFUNCTION("""COMPUTED_VALUE"""),1.5372085117970156)</f>
        <v>1.537208512</v>
      </c>
      <c r="K51" s="57">
        <f>IFERROR(__xludf.DUMMYFUNCTION("""COMPUTED_VALUE"""),3.0842799421306575)</f>
        <v>3.084279942</v>
      </c>
      <c r="L51" s="57">
        <f>IFERROR(__xludf.DUMMYFUNCTION("""COMPUTED_VALUE"""),3.3270963393952138)</f>
        <v>3.327096339</v>
      </c>
      <c r="M51" s="57">
        <f>IFERROR(__xludf.DUMMYFUNCTION("""COMPUTED_VALUE"""),18.31375467843878)</f>
        <v>18.31375468</v>
      </c>
      <c r="N51" s="57">
        <f>IFERROR(__xludf.DUMMYFUNCTION("""COMPUTED_VALUE"""),0.30324609720134615)</f>
        <v>0.3032460972</v>
      </c>
      <c r="O51" s="57">
        <f>IFERROR(__xludf.DUMMYFUNCTION("""COMPUTED_VALUE"""),0.0)</f>
        <v>0</v>
      </c>
      <c r="Q51" s="109">
        <v>11.7537</v>
      </c>
      <c r="R51" s="109">
        <v>0.0405</v>
      </c>
      <c r="S51" s="109">
        <v>0.2453</v>
      </c>
      <c r="T51" s="109">
        <v>0.021</v>
      </c>
      <c r="U51" s="109">
        <v>0.7332</v>
      </c>
      <c r="V51" s="109">
        <v>0.5465</v>
      </c>
      <c r="W51" s="109">
        <v>0.1467</v>
      </c>
      <c r="X51" s="109">
        <v>0.1119</v>
      </c>
      <c r="Y51" s="109">
        <v>2.4179</v>
      </c>
      <c r="Z51" s="109">
        <v>3.6539</v>
      </c>
      <c r="AA51" s="109">
        <v>18.5436</v>
      </c>
      <c r="AB51" s="109">
        <v>0.2142</v>
      </c>
      <c r="AC51" s="109">
        <v>0.0</v>
      </c>
      <c r="AE51" s="51">
        <f t="shared" ref="AE51:AQ51" si="47">IFERROR((Q51-C51)/C51, "")</f>
        <v>0.194732237</v>
      </c>
      <c r="AF51" s="51">
        <f t="shared" si="47"/>
        <v>-0.63809742</v>
      </c>
      <c r="AG51" s="51">
        <f t="shared" si="47"/>
        <v>0.4552142473</v>
      </c>
      <c r="AH51" s="51">
        <f t="shared" si="47"/>
        <v>-0.7078035191</v>
      </c>
      <c r="AI51" s="51">
        <f t="shared" si="47"/>
        <v>1.329484984</v>
      </c>
      <c r="AJ51" s="51">
        <f t="shared" si="47"/>
        <v>0.6087053836</v>
      </c>
      <c r="AK51" s="51">
        <f t="shared" si="47"/>
        <v>-0.1778962091</v>
      </c>
      <c r="AL51" s="51">
        <f t="shared" si="47"/>
        <v>-0.9272057114</v>
      </c>
      <c r="AM51" s="51">
        <f t="shared" si="47"/>
        <v>-0.2160568932</v>
      </c>
      <c r="AN51" s="51">
        <f t="shared" si="47"/>
        <v>0.09822488659</v>
      </c>
      <c r="AO51" s="51">
        <f t="shared" si="47"/>
        <v>0.01255042047</v>
      </c>
      <c r="AP51" s="51">
        <f t="shared" si="47"/>
        <v>-0.2936430115</v>
      </c>
      <c r="AQ51" s="51" t="str">
        <f t="shared" si="47"/>
        <v/>
      </c>
    </row>
    <row r="52">
      <c r="B52" s="56" t="s">
        <v>117</v>
      </c>
      <c r="C52" s="57">
        <f>IFERROR(__xludf.DUMMYFUNCTION("""COMPUTED_VALUE"""),1.5744315550889838)</f>
        <v>1.574431555</v>
      </c>
      <c r="D52" s="57">
        <f>IFERROR(__xludf.DUMMYFUNCTION("""COMPUTED_VALUE"""),0.0)</f>
        <v>0</v>
      </c>
      <c r="E52" s="57">
        <f>IFERROR(__xludf.DUMMYFUNCTION("""COMPUTED_VALUE"""),0.0)</f>
        <v>0</v>
      </c>
      <c r="F52" s="57">
        <f>IFERROR(__xludf.DUMMYFUNCTION("""COMPUTED_VALUE"""),0.007843370935310005)</f>
        <v>0.007843370935</v>
      </c>
      <c r="G52" s="57">
        <f>IFERROR(__xludf.DUMMYFUNCTION("""COMPUTED_VALUE"""),8.344011633308517E-5)</f>
        <v>0.00008344011633</v>
      </c>
      <c r="H52" s="57">
        <f>IFERROR(__xludf.DUMMYFUNCTION("""COMPUTED_VALUE"""),4.172005816654259E-5)</f>
        <v>0.00004172005817</v>
      </c>
      <c r="I52" s="57">
        <f>IFERROR(__xludf.DUMMYFUNCTION("""COMPUTED_VALUE"""),4.172005816654259E-5)</f>
        <v>0.00004172005817</v>
      </c>
      <c r="J52" s="57">
        <f>IFERROR(__xludf.DUMMYFUNCTION("""COMPUTED_VALUE"""),0.0)</f>
        <v>0</v>
      </c>
      <c r="K52" s="57">
        <f>IFERROR(__xludf.DUMMYFUNCTION("""COMPUTED_VALUE"""),0.0)</f>
        <v>0</v>
      </c>
      <c r="L52" s="57">
        <f>IFERROR(__xludf.DUMMYFUNCTION("""COMPUTED_VALUE"""),0.0)</f>
        <v>0</v>
      </c>
      <c r="M52" s="57">
        <f>IFERROR(__xludf.DUMMYFUNCTION("""COMPUTED_VALUE"""),6.677337029613307)</f>
        <v>6.67733703</v>
      </c>
      <c r="N52" s="57">
        <f>IFERROR(__xludf.DUMMYFUNCTION("""COMPUTED_VALUE"""),5.423607561650536E-4)</f>
        <v>0.0005423607562</v>
      </c>
      <c r="O52" s="57">
        <f>IFERROR(__xludf.DUMMYFUNCTION("""COMPUTED_VALUE"""),0.0)</f>
        <v>0</v>
      </c>
      <c r="Q52" s="109">
        <v>1.9127</v>
      </c>
      <c r="R52" s="109">
        <v>0.0612</v>
      </c>
      <c r="S52" s="109">
        <v>0.0178</v>
      </c>
      <c r="T52" s="109">
        <v>0.0059</v>
      </c>
      <c r="U52" s="109">
        <v>0.1188</v>
      </c>
      <c r="V52" s="109">
        <v>0.0673</v>
      </c>
      <c r="W52" s="109">
        <v>0.0189</v>
      </c>
      <c r="X52" s="109">
        <v>0.0</v>
      </c>
      <c r="Y52" s="109">
        <v>0.0</v>
      </c>
      <c r="Z52" s="109">
        <v>0.0</v>
      </c>
      <c r="AA52" s="109">
        <v>19.5968</v>
      </c>
      <c r="AB52" s="109">
        <v>0.001</v>
      </c>
      <c r="AC52" s="109">
        <v>0.0</v>
      </c>
      <c r="AE52" s="51">
        <f t="shared" ref="AE52:AQ52" si="48">IFERROR((Q52-C52)/C52, "")</f>
        <v>0.2148511593</v>
      </c>
      <c r="AF52" s="51" t="str">
        <f t="shared" si="48"/>
        <v/>
      </c>
      <c r="AG52" s="51" t="str">
        <f t="shared" si="48"/>
        <v/>
      </c>
      <c r="AH52" s="51">
        <f t="shared" si="48"/>
        <v>-0.2477724121</v>
      </c>
      <c r="AI52" s="51">
        <f t="shared" si="48"/>
        <v>1422.77558</v>
      </c>
      <c r="AJ52" s="51">
        <f t="shared" si="48"/>
        <v>1612.132938</v>
      </c>
      <c r="AK52" s="51">
        <f t="shared" si="48"/>
        <v>452.0195026</v>
      </c>
      <c r="AL52" s="51" t="str">
        <f t="shared" si="48"/>
        <v/>
      </c>
      <c r="AM52" s="51" t="str">
        <f t="shared" si="48"/>
        <v/>
      </c>
      <c r="AN52" s="51" t="str">
        <f t="shared" si="48"/>
        <v/>
      </c>
      <c r="AO52" s="51">
        <f t="shared" si="48"/>
        <v>1.934822657</v>
      </c>
      <c r="AP52" s="51">
        <f t="shared" si="48"/>
        <v>0.8437912195</v>
      </c>
      <c r="AQ52" s="51" t="str">
        <f t="shared" si="48"/>
        <v/>
      </c>
    </row>
    <row r="53">
      <c r="B53" s="37" t="s">
        <v>120</v>
      </c>
      <c r="C53" s="43">
        <f>IFERROR(__xludf.DUMMYFUNCTION("""COMPUTED_VALUE"""),9.494810034727703)</f>
        <v>9.494810035</v>
      </c>
      <c r="D53" s="43">
        <f>IFERROR(__xludf.DUMMYFUNCTION("""COMPUTED_VALUE"""),0.1366205432650553)</f>
        <v>0.1366205433</v>
      </c>
      <c r="E53" s="43">
        <f>IFERROR(__xludf.DUMMYFUNCTION("""COMPUTED_VALUE"""),0.06318435357514107)</f>
        <v>0.06318435358</v>
      </c>
      <c r="F53" s="43">
        <f>IFERROR(__xludf.DUMMYFUNCTION("""COMPUTED_VALUE"""),0.03545779681018644)</f>
        <v>0.03545779681</v>
      </c>
      <c r="G53" s="43">
        <f>IFERROR(__xludf.DUMMYFUNCTION("""COMPUTED_VALUE"""),0.0)</f>
        <v>0</v>
      </c>
      <c r="H53" s="43">
        <f>IFERROR(__xludf.DUMMYFUNCTION("""COMPUTED_VALUE"""),0.0)</f>
        <v>0</v>
      </c>
      <c r="I53" s="43">
        <f>IFERROR(__xludf.DUMMYFUNCTION("""COMPUTED_VALUE"""),0.0)</f>
        <v>0</v>
      </c>
      <c r="J53" s="43">
        <f>IFERROR(__xludf.DUMMYFUNCTION("""COMPUTED_VALUE"""),0.0)</f>
        <v>0</v>
      </c>
      <c r="K53" s="43">
        <f>IFERROR(__xludf.DUMMYFUNCTION("""COMPUTED_VALUE"""),0.0)</f>
        <v>0</v>
      </c>
      <c r="L53" s="43">
        <f>IFERROR(__xludf.DUMMYFUNCTION("""COMPUTED_VALUE"""),0.0)</f>
        <v>0</v>
      </c>
      <c r="M53" s="43">
        <f>IFERROR(__xludf.DUMMYFUNCTION("""COMPUTED_VALUE"""),0.0)</f>
        <v>0</v>
      </c>
      <c r="N53" s="41">
        <f>IFERROR(__xludf.DUMMYFUNCTION("""COMPUTED_VALUE"""),0.0)</f>
        <v>0</v>
      </c>
      <c r="O53" s="41">
        <f>IFERROR(__xludf.DUMMYFUNCTION("""COMPUTED_VALUE"""),0.0)</f>
        <v>0</v>
      </c>
      <c r="Q53" s="109">
        <v>18.3379</v>
      </c>
      <c r="R53" s="109">
        <v>0.2235</v>
      </c>
      <c r="S53" s="109">
        <v>0.1012</v>
      </c>
      <c r="T53" s="109">
        <v>0.0542</v>
      </c>
      <c r="U53" s="109">
        <v>0.0</v>
      </c>
      <c r="V53" s="109">
        <v>0.0</v>
      </c>
      <c r="W53" s="109">
        <v>0.0</v>
      </c>
      <c r="X53" s="109">
        <v>0.0</v>
      </c>
      <c r="Y53" s="109">
        <v>0.0</v>
      </c>
      <c r="Z53" s="109">
        <v>0.0</v>
      </c>
      <c r="AA53" s="109">
        <v>0.0</v>
      </c>
      <c r="AB53" s="109">
        <v>0.0</v>
      </c>
      <c r="AC53" s="109">
        <v>0.0</v>
      </c>
      <c r="AE53" s="51">
        <f t="shared" ref="AE53:AQ53" si="49">IFERROR((Q53-C53)/C53, "")</f>
        <v>0.9313603888</v>
      </c>
      <c r="AF53" s="51">
        <f t="shared" si="49"/>
        <v>0.6359179568</v>
      </c>
      <c r="AG53" s="51">
        <f t="shared" si="49"/>
        <v>0.6016623464</v>
      </c>
      <c r="AH53" s="51">
        <f t="shared" si="49"/>
        <v>0.5285777706</v>
      </c>
      <c r="AI53" s="51" t="str">
        <f t="shared" si="49"/>
        <v/>
      </c>
      <c r="AJ53" s="51" t="str">
        <f t="shared" si="49"/>
        <v/>
      </c>
      <c r="AK53" s="51" t="str">
        <f t="shared" si="49"/>
        <v/>
      </c>
      <c r="AL53" s="51" t="str">
        <f t="shared" si="49"/>
        <v/>
      </c>
      <c r="AM53" s="51" t="str">
        <f t="shared" si="49"/>
        <v/>
      </c>
      <c r="AN53" s="51" t="str">
        <f t="shared" si="49"/>
        <v/>
      </c>
      <c r="AO53" s="51" t="str">
        <f t="shared" si="49"/>
        <v/>
      </c>
      <c r="AP53" s="51" t="str">
        <f t="shared" si="49"/>
        <v/>
      </c>
      <c r="AQ53" s="51" t="str">
        <f t="shared" si="49"/>
        <v/>
      </c>
    </row>
    <row r="54">
      <c r="B54" s="37" t="s">
        <v>121</v>
      </c>
      <c r="C54" s="43">
        <f>IFERROR(__xludf.DUMMYFUNCTION("""COMPUTED_VALUE"""),11.394300000000001)</f>
        <v>11.3943</v>
      </c>
      <c r="D54" s="43">
        <f>IFERROR(__xludf.DUMMYFUNCTION("""COMPUTED_VALUE"""),0.09066)</f>
        <v>0.09066</v>
      </c>
      <c r="E54" s="43">
        <f>IFERROR(__xludf.DUMMYFUNCTION("""COMPUTED_VALUE"""),0.12738000000000002)</f>
        <v>0.12738</v>
      </c>
      <c r="F54" s="43">
        <f>IFERROR(__xludf.DUMMYFUNCTION("""COMPUTED_VALUE"""),0.21136)</f>
        <v>0.21136</v>
      </c>
      <c r="G54" s="43">
        <f>IFERROR(__xludf.DUMMYFUNCTION("""COMPUTED_VALUE"""),0.015440000000000002)</f>
        <v>0.01544</v>
      </c>
      <c r="H54" s="43">
        <f>IFERROR(__xludf.DUMMYFUNCTION("""COMPUTED_VALUE"""),0.028360000000000003)</f>
        <v>0.02836</v>
      </c>
      <c r="I54" s="43">
        <f>IFERROR(__xludf.DUMMYFUNCTION("""COMPUTED_VALUE"""),0.08176)</f>
        <v>0.08176</v>
      </c>
      <c r="J54" s="43">
        <f>IFERROR(__xludf.DUMMYFUNCTION("""COMPUTED_VALUE"""),0.0)</f>
        <v>0</v>
      </c>
      <c r="K54" s="43">
        <f>IFERROR(__xludf.DUMMYFUNCTION("""COMPUTED_VALUE"""),0.0)</f>
        <v>0</v>
      </c>
      <c r="L54" s="43">
        <f>IFERROR(__xludf.DUMMYFUNCTION("""COMPUTED_VALUE"""),0.0)</f>
        <v>0</v>
      </c>
      <c r="M54" s="43">
        <f>IFERROR(__xludf.DUMMYFUNCTION("""COMPUTED_VALUE"""),4.0E-5)</f>
        <v>0.00004</v>
      </c>
      <c r="N54" s="41">
        <f>IFERROR(__xludf.DUMMYFUNCTION("""COMPUTED_VALUE"""),4.0E-5)</f>
        <v>0.00004</v>
      </c>
      <c r="O54" s="41">
        <f>IFERROR(__xludf.DUMMYFUNCTION("""COMPUTED_VALUE"""),0.0)</f>
        <v>0</v>
      </c>
      <c r="Q54" s="109">
        <v>22.4744</v>
      </c>
      <c r="R54" s="109">
        <v>0.154</v>
      </c>
      <c r="S54" s="109">
        <v>0.2116</v>
      </c>
      <c r="T54" s="109">
        <v>0.3185</v>
      </c>
      <c r="U54" s="109">
        <v>0.0286</v>
      </c>
      <c r="V54" s="109">
        <v>0.0538</v>
      </c>
      <c r="W54" s="109">
        <v>0.1514</v>
      </c>
      <c r="X54" s="109">
        <v>0.0</v>
      </c>
      <c r="Y54" s="109">
        <v>0.0</v>
      </c>
      <c r="Z54" s="109">
        <v>0.0</v>
      </c>
      <c r="AA54" s="109">
        <v>0.0</v>
      </c>
      <c r="AB54" s="109">
        <v>0.0</v>
      </c>
      <c r="AC54" s="109">
        <v>0.0</v>
      </c>
      <c r="AE54" s="51">
        <f t="shared" ref="AE54:AQ54" si="50">IFERROR((Q54-C54)/C54, "")</f>
        <v>0.9724248089</v>
      </c>
      <c r="AF54" s="51">
        <f t="shared" si="50"/>
        <v>0.6986543128</v>
      </c>
      <c r="AG54" s="51">
        <f t="shared" si="50"/>
        <v>0.6611712985</v>
      </c>
      <c r="AH54" s="51">
        <f t="shared" si="50"/>
        <v>0.5069076457</v>
      </c>
      <c r="AI54" s="51">
        <f t="shared" si="50"/>
        <v>0.8523316062</v>
      </c>
      <c r="AJ54" s="51">
        <f t="shared" si="50"/>
        <v>0.8970380818</v>
      </c>
      <c r="AK54" s="51">
        <f t="shared" si="50"/>
        <v>0.8517612524</v>
      </c>
      <c r="AL54" s="51" t="str">
        <f t="shared" si="50"/>
        <v/>
      </c>
      <c r="AM54" s="51" t="str">
        <f t="shared" si="50"/>
        <v/>
      </c>
      <c r="AN54" s="51" t="str">
        <f t="shared" si="50"/>
        <v/>
      </c>
      <c r="AO54" s="51">
        <f t="shared" si="50"/>
        <v>-1</v>
      </c>
      <c r="AP54" s="51">
        <f t="shared" si="50"/>
        <v>-1</v>
      </c>
      <c r="AQ54" s="51" t="str">
        <f t="shared" si="50"/>
        <v/>
      </c>
    </row>
    <row r="55">
      <c r="B55" s="56" t="s">
        <v>122</v>
      </c>
      <c r="C55" s="57">
        <f>IFERROR(__xludf.DUMMYFUNCTION("""COMPUTED_VALUE"""),3.9643798835812643)</f>
        <v>3.964379884</v>
      </c>
      <c r="D55" s="57">
        <f>IFERROR(__xludf.DUMMYFUNCTION("""COMPUTED_VALUE"""),0.0)</f>
        <v>0</v>
      </c>
      <c r="E55" s="57">
        <f>IFERROR(__xludf.DUMMYFUNCTION("""COMPUTED_VALUE"""),0.05900757460962767)</f>
        <v>0.05900757461</v>
      </c>
      <c r="F55" s="57">
        <f>IFERROR(__xludf.DUMMYFUNCTION("""COMPUTED_VALUE"""),0.06378986233022269)</f>
        <v>0.06378986233</v>
      </c>
      <c r="G55" s="57">
        <f>IFERROR(__xludf.DUMMYFUNCTION("""COMPUTED_VALUE"""),0.008471481105054055)</f>
        <v>0.008471481105</v>
      </c>
      <c r="H55" s="57">
        <f>IFERROR(__xludf.DUMMYFUNCTION("""COMPUTED_VALUE"""),0.01866068188117898)</f>
        <v>0.01866068188</v>
      </c>
      <c r="I55" s="57">
        <f>IFERROR(__xludf.DUMMYFUNCTION("""COMPUTED_VALUE"""),0.036384425759955666)</f>
        <v>0.03638442576</v>
      </c>
      <c r="J55" s="57">
        <f>IFERROR(__xludf.DUMMYFUNCTION("""COMPUTED_VALUE"""),0.0)</f>
        <v>0</v>
      </c>
      <c r="K55" s="57">
        <f>IFERROR(__xludf.DUMMYFUNCTION("""COMPUTED_VALUE"""),0.0)</f>
        <v>0</v>
      </c>
      <c r="L55" s="57">
        <f>IFERROR(__xludf.DUMMYFUNCTION("""COMPUTED_VALUE"""),0.0)</f>
        <v>0</v>
      </c>
      <c r="M55" s="57">
        <f>IFERROR(__xludf.DUMMYFUNCTION("""COMPUTED_VALUE"""),0.11436499491822974)</f>
        <v>0.1143649949</v>
      </c>
      <c r="N55" s="100">
        <f>IFERROR(__xludf.DUMMYFUNCTION("""COMPUTED_VALUE"""),9.76693453016724)</f>
        <v>9.76693453</v>
      </c>
      <c r="O55" s="100">
        <f>IFERROR(__xludf.DUMMYFUNCTION("""COMPUTED_VALUE"""),0.0)</f>
        <v>0</v>
      </c>
      <c r="Q55" s="109">
        <v>6.283</v>
      </c>
      <c r="R55" s="109">
        <v>0.0722</v>
      </c>
      <c r="S55" s="109">
        <v>0.0814</v>
      </c>
      <c r="T55" s="109">
        <v>0.0594</v>
      </c>
      <c r="U55" s="109">
        <v>0.0293</v>
      </c>
      <c r="V55" s="109">
        <v>0.0475</v>
      </c>
      <c r="W55" s="109">
        <v>0.0812</v>
      </c>
      <c r="X55" s="109">
        <v>0.0</v>
      </c>
      <c r="Y55" s="109">
        <v>0.0</v>
      </c>
      <c r="Z55" s="109">
        <v>0.0</v>
      </c>
      <c r="AA55" s="109">
        <v>0.8251</v>
      </c>
      <c r="AB55" s="109">
        <v>17.1902</v>
      </c>
      <c r="AC55" s="109">
        <v>0.0</v>
      </c>
      <c r="AE55" s="51">
        <f t="shared" ref="AE55:AQ55" si="51">IFERROR((Q55-C55)/C55, "")</f>
        <v>0.5848632534</v>
      </c>
      <c r="AF55" s="51" t="str">
        <f t="shared" si="51"/>
        <v/>
      </c>
      <c r="AG55" s="51">
        <f t="shared" si="51"/>
        <v>0.3794839144</v>
      </c>
      <c r="AH55" s="51">
        <f t="shared" si="51"/>
        <v>-0.06881755454</v>
      </c>
      <c r="AI55" s="51">
        <f t="shared" si="51"/>
        <v>2.458663206</v>
      </c>
      <c r="AJ55" s="51">
        <f t="shared" si="51"/>
        <v>1.545458966</v>
      </c>
      <c r="AK55" s="51">
        <f t="shared" si="51"/>
        <v>1.231724105</v>
      </c>
      <c r="AL55" s="51" t="str">
        <f t="shared" si="51"/>
        <v/>
      </c>
      <c r="AM55" s="51" t="str">
        <f t="shared" si="51"/>
        <v/>
      </c>
      <c r="AN55" s="51" t="str">
        <f t="shared" si="51"/>
        <v/>
      </c>
      <c r="AO55" s="51">
        <f t="shared" si="51"/>
        <v>6.214620178</v>
      </c>
      <c r="AP55" s="51">
        <f t="shared" si="51"/>
        <v>0.7600404658</v>
      </c>
      <c r="AQ55" s="51" t="str">
        <f t="shared" si="51"/>
        <v/>
      </c>
    </row>
    <row r="56">
      <c r="B56" s="37" t="s">
        <v>123</v>
      </c>
      <c r="C56" s="43">
        <f>IFERROR(__xludf.DUMMYFUNCTION("""COMPUTED_VALUE"""),0.0)</f>
        <v>0</v>
      </c>
      <c r="D56" s="43">
        <f>IFERROR(__xludf.DUMMYFUNCTION("""COMPUTED_VALUE"""),0.0)</f>
        <v>0</v>
      </c>
      <c r="E56" s="43">
        <f>IFERROR(__xludf.DUMMYFUNCTION("""COMPUTED_VALUE"""),0.0)</f>
        <v>0</v>
      </c>
      <c r="F56" s="43">
        <f>IFERROR(__xludf.DUMMYFUNCTION("""COMPUTED_VALUE"""),0.0)</f>
        <v>0</v>
      </c>
      <c r="G56" s="43">
        <f>IFERROR(__xludf.DUMMYFUNCTION("""COMPUTED_VALUE"""),0.0)</f>
        <v>0</v>
      </c>
      <c r="H56" s="43">
        <f>IFERROR(__xludf.DUMMYFUNCTION("""COMPUTED_VALUE"""),0.0)</f>
        <v>0</v>
      </c>
      <c r="I56" s="43">
        <f>IFERROR(__xludf.DUMMYFUNCTION("""COMPUTED_VALUE"""),0.0)</f>
        <v>0</v>
      </c>
      <c r="J56" s="43">
        <f>IFERROR(__xludf.DUMMYFUNCTION("""COMPUTED_VALUE"""),0.0)</f>
        <v>0</v>
      </c>
      <c r="K56" s="43">
        <f>IFERROR(__xludf.DUMMYFUNCTION("""COMPUTED_VALUE"""),0.0)</f>
        <v>0</v>
      </c>
      <c r="L56" s="43">
        <f>IFERROR(__xludf.DUMMYFUNCTION("""COMPUTED_VALUE"""),2.424242424242424E-5)</f>
        <v>0.00002424242424</v>
      </c>
      <c r="M56" s="43">
        <f>IFERROR(__xludf.DUMMYFUNCTION("""COMPUTED_VALUE"""),0.0)</f>
        <v>0</v>
      </c>
      <c r="N56" s="41">
        <f>IFERROR(__xludf.DUMMYFUNCTION("""COMPUTED_VALUE"""),0.0)</f>
        <v>0</v>
      </c>
      <c r="O56" s="41">
        <f>IFERROR(__xludf.DUMMYFUNCTION("""COMPUTED_VALUE"""),0.0)</f>
        <v>0</v>
      </c>
      <c r="Q56" s="109">
        <v>0.0</v>
      </c>
      <c r="R56" s="109">
        <v>0.0</v>
      </c>
      <c r="S56" s="109">
        <v>0.0</v>
      </c>
      <c r="T56" s="109">
        <v>0.0</v>
      </c>
      <c r="U56" s="109">
        <v>0.0</v>
      </c>
      <c r="V56" s="109">
        <v>0.0</v>
      </c>
      <c r="W56" s="109">
        <v>0.0</v>
      </c>
      <c r="X56" s="109">
        <v>0.0</v>
      </c>
      <c r="Y56" s="109">
        <v>0.0</v>
      </c>
      <c r="Z56" s="109">
        <v>0.0</v>
      </c>
      <c r="AA56" s="109">
        <v>0.0</v>
      </c>
      <c r="AB56" s="109">
        <v>0.0</v>
      </c>
      <c r="AC56" s="109">
        <v>0.0</v>
      </c>
      <c r="AE56" s="51" t="str">
        <f t="shared" ref="AE56:AQ56" si="52">IFERROR((Q56-C56)/C56, "")</f>
        <v/>
      </c>
      <c r="AF56" s="51" t="str">
        <f t="shared" si="52"/>
        <v/>
      </c>
      <c r="AG56" s="51" t="str">
        <f t="shared" si="52"/>
        <v/>
      </c>
      <c r="AH56" s="51" t="str">
        <f t="shared" si="52"/>
        <v/>
      </c>
      <c r="AI56" s="51" t="str">
        <f t="shared" si="52"/>
        <v/>
      </c>
      <c r="AJ56" s="51" t="str">
        <f t="shared" si="52"/>
        <v/>
      </c>
      <c r="AK56" s="51" t="str">
        <f t="shared" si="52"/>
        <v/>
      </c>
      <c r="AL56" s="51" t="str">
        <f t="shared" si="52"/>
        <v/>
      </c>
      <c r="AM56" s="51" t="str">
        <f t="shared" si="52"/>
        <v/>
      </c>
      <c r="AN56" s="51">
        <f t="shared" si="52"/>
        <v>-1</v>
      </c>
      <c r="AO56" s="51" t="str">
        <f t="shared" si="52"/>
        <v/>
      </c>
      <c r="AP56" s="51" t="str">
        <f t="shared" si="52"/>
        <v/>
      </c>
      <c r="AQ56" s="51" t="str">
        <f t="shared" si="52"/>
        <v/>
      </c>
    </row>
    <row r="57">
      <c r="B57" s="56" t="s">
        <v>137</v>
      </c>
      <c r="C57" s="57">
        <f>IFERROR(__xludf.DUMMYFUNCTION("""COMPUTED_VALUE"""),27.769182927195104)</f>
        <v>27.76918293</v>
      </c>
      <c r="D57" s="57">
        <f>IFERROR(__xludf.DUMMYFUNCTION("""COMPUTED_VALUE"""),2.113145387266136)</f>
        <v>2.113145387</v>
      </c>
      <c r="E57" s="57">
        <f>IFERROR(__xludf.DUMMYFUNCTION("""COMPUTED_VALUE"""),0.7572239089980084)</f>
        <v>0.757223909</v>
      </c>
      <c r="F57" s="57">
        <f>IFERROR(__xludf.DUMMYFUNCTION("""COMPUTED_VALUE"""),0.5838240355265603)</f>
        <v>0.5838240355</v>
      </c>
      <c r="G57" s="57">
        <f>IFERROR(__xludf.DUMMYFUNCTION("""COMPUTED_VALUE"""),1.0601453098622922)</f>
        <v>1.06014531</v>
      </c>
      <c r="H57" s="57">
        <f>IFERROR(__xludf.DUMMYFUNCTION("""COMPUTED_VALUE"""),1.0232972616219107)</f>
        <v>1.023297262</v>
      </c>
      <c r="I57" s="57">
        <f>IFERROR(__xludf.DUMMYFUNCTION("""COMPUTED_VALUE"""),0.19166147646512205)</f>
        <v>0.1916614765</v>
      </c>
      <c r="J57" s="57">
        <f>IFERROR(__xludf.DUMMYFUNCTION("""COMPUTED_VALUE"""),0.0)</f>
        <v>0</v>
      </c>
      <c r="K57" s="57">
        <f>IFERROR(__xludf.DUMMYFUNCTION("""COMPUTED_VALUE"""),0.0)</f>
        <v>0</v>
      </c>
      <c r="L57" s="57">
        <f>IFERROR(__xludf.DUMMYFUNCTION("""COMPUTED_VALUE"""),5.261601499115345)</f>
        <v>5.261601499</v>
      </c>
      <c r="M57" s="57">
        <f>IFERROR(__xludf.DUMMYFUNCTION("""COMPUTED_VALUE"""),42.800570754653705)</f>
        <v>42.80057075</v>
      </c>
      <c r="N57" s="100">
        <f>IFERROR(__xludf.DUMMYFUNCTION("""COMPUTED_VALUE"""),121.94221667004834)</f>
        <v>121.9422167</v>
      </c>
      <c r="O57" s="100">
        <f>IFERROR(__xludf.DUMMYFUNCTION("""COMPUTED_VALUE"""),0.0)</f>
        <v>0</v>
      </c>
      <c r="Q57" s="109">
        <v>17.0841</v>
      </c>
      <c r="R57" s="109">
        <v>1.1391</v>
      </c>
      <c r="S57" s="109">
        <v>0.42</v>
      </c>
      <c r="T57" s="109">
        <v>0.3113</v>
      </c>
      <c r="U57" s="109">
        <v>0.5707</v>
      </c>
      <c r="V57" s="109">
        <v>0.615</v>
      </c>
      <c r="W57" s="109">
        <v>0.1022</v>
      </c>
      <c r="X57" s="109">
        <v>0.0</v>
      </c>
      <c r="Y57" s="109">
        <v>0.0089</v>
      </c>
      <c r="Z57" s="109">
        <v>3.1204</v>
      </c>
      <c r="AA57" s="109">
        <v>33.5475</v>
      </c>
      <c r="AB57" s="109">
        <v>65.8856</v>
      </c>
      <c r="AC57" s="109">
        <v>0.0</v>
      </c>
      <c r="AE57" s="51">
        <f t="shared" ref="AE57:AQ57" si="53">IFERROR((Q57-C57)/C57, "")</f>
        <v>-0.3847820426</v>
      </c>
      <c r="AF57" s="51">
        <f t="shared" si="53"/>
        <v>-0.4609457509</v>
      </c>
      <c r="AG57" s="51">
        <f t="shared" si="53"/>
        <v>-0.4453423948</v>
      </c>
      <c r="AH57" s="51">
        <f t="shared" si="53"/>
        <v>-0.4667913942</v>
      </c>
      <c r="AI57" s="51">
        <f t="shared" si="53"/>
        <v>-0.4616775694</v>
      </c>
      <c r="AJ57" s="51">
        <f t="shared" si="53"/>
        <v>-0.3990016166</v>
      </c>
      <c r="AK57" s="51">
        <f t="shared" si="53"/>
        <v>-0.4667681691</v>
      </c>
      <c r="AL57" s="51" t="str">
        <f t="shared" si="53"/>
        <v/>
      </c>
      <c r="AM57" s="51" t="str">
        <f t="shared" si="53"/>
        <v/>
      </c>
      <c r="AN57" s="51">
        <f t="shared" si="53"/>
        <v>-0.4069486257</v>
      </c>
      <c r="AO57" s="51">
        <f t="shared" si="53"/>
        <v>-0.2161903589</v>
      </c>
      <c r="AP57" s="51">
        <f t="shared" si="53"/>
        <v>-0.4596981931</v>
      </c>
      <c r="AQ57" s="51" t="str">
        <f t="shared" si="53"/>
        <v/>
      </c>
    </row>
    <row r="58">
      <c r="B58" s="37" t="s">
        <v>180</v>
      </c>
      <c r="C58" s="43">
        <f>IFERROR(__xludf.DUMMYFUNCTION("""COMPUTED_VALUE"""),0.0)</f>
        <v>0</v>
      </c>
      <c r="D58" s="43">
        <f>IFERROR(__xludf.DUMMYFUNCTION("""COMPUTED_VALUE"""),0.0)</f>
        <v>0</v>
      </c>
      <c r="E58" s="43">
        <f>IFERROR(__xludf.DUMMYFUNCTION("""COMPUTED_VALUE"""),0.0)</f>
        <v>0</v>
      </c>
      <c r="F58" s="43">
        <f>IFERROR(__xludf.DUMMYFUNCTION("""COMPUTED_VALUE"""),0.0)</f>
        <v>0</v>
      </c>
      <c r="G58" s="43">
        <f>IFERROR(__xludf.DUMMYFUNCTION("""COMPUTED_VALUE"""),0.0)</f>
        <v>0</v>
      </c>
      <c r="H58" s="43">
        <f>IFERROR(__xludf.DUMMYFUNCTION("""COMPUTED_VALUE"""),0.0)</f>
        <v>0</v>
      </c>
      <c r="I58" s="43">
        <f>IFERROR(__xludf.DUMMYFUNCTION("""COMPUTED_VALUE"""),0.0)</f>
        <v>0</v>
      </c>
      <c r="J58" s="43">
        <f>IFERROR(__xludf.DUMMYFUNCTION("""COMPUTED_VALUE"""),0.0)</f>
        <v>0</v>
      </c>
      <c r="K58" s="43">
        <f>IFERROR(__xludf.DUMMYFUNCTION("""COMPUTED_VALUE"""),0.0)</f>
        <v>0</v>
      </c>
      <c r="L58" s="43">
        <f>IFERROR(__xludf.DUMMYFUNCTION("""COMPUTED_VALUE"""),0.0)</f>
        <v>0</v>
      </c>
      <c r="M58" s="43">
        <f>IFERROR(__xludf.DUMMYFUNCTION("""COMPUTED_VALUE"""),0.0)</f>
        <v>0</v>
      </c>
      <c r="N58" s="41">
        <f>IFERROR(__xludf.DUMMYFUNCTION("""COMPUTED_VALUE"""),0.0)</f>
        <v>0</v>
      </c>
      <c r="O58" s="41">
        <f>IFERROR(__xludf.DUMMYFUNCTION("""COMPUTED_VALUE"""),0.0)</f>
        <v>0</v>
      </c>
      <c r="Q58" s="109">
        <v>0.0</v>
      </c>
      <c r="R58" s="109">
        <v>0.0</v>
      </c>
      <c r="S58" s="109">
        <v>0.0</v>
      </c>
      <c r="T58" s="109">
        <v>0.0</v>
      </c>
      <c r="U58" s="109">
        <v>0.0</v>
      </c>
      <c r="V58" s="109">
        <v>0.0</v>
      </c>
      <c r="W58" s="109">
        <v>0.0</v>
      </c>
      <c r="X58" s="109">
        <v>0.0</v>
      </c>
      <c r="Y58" s="109">
        <v>0.0</v>
      </c>
      <c r="Z58" s="109">
        <v>0.0</v>
      </c>
      <c r="AA58" s="109">
        <v>0.0</v>
      </c>
      <c r="AB58" s="109">
        <v>0.0</v>
      </c>
      <c r="AC58" s="109">
        <v>0.0</v>
      </c>
      <c r="AE58" s="51" t="str">
        <f t="shared" ref="AE58:AQ58" si="54">IFERROR((Q58-C58)/C58, "")</f>
        <v/>
      </c>
      <c r="AF58" s="51" t="str">
        <f t="shared" si="54"/>
        <v/>
      </c>
      <c r="AG58" s="51" t="str">
        <f t="shared" si="54"/>
        <v/>
      </c>
      <c r="AH58" s="51" t="str">
        <f t="shared" si="54"/>
        <v/>
      </c>
      <c r="AI58" s="51" t="str">
        <f t="shared" si="54"/>
        <v/>
      </c>
      <c r="AJ58" s="51" t="str">
        <f t="shared" si="54"/>
        <v/>
      </c>
      <c r="AK58" s="51" t="str">
        <f t="shared" si="54"/>
        <v/>
      </c>
      <c r="AL58" s="51" t="str">
        <f t="shared" si="54"/>
        <v/>
      </c>
      <c r="AM58" s="51" t="str">
        <f t="shared" si="54"/>
        <v/>
      </c>
      <c r="AN58" s="51" t="str">
        <f t="shared" si="54"/>
        <v/>
      </c>
      <c r="AO58" s="51" t="str">
        <f t="shared" si="54"/>
        <v/>
      </c>
      <c r="AP58" s="51" t="str">
        <f t="shared" si="54"/>
        <v/>
      </c>
      <c r="AQ58" s="51" t="str">
        <f t="shared" si="54"/>
        <v/>
      </c>
    </row>
    <row r="59"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AE59" s="51" t="str">
        <f t="shared" ref="AE59:AQ59" si="55">IFERROR((Q59-C59)/C59, "")</f>
        <v/>
      </c>
      <c r="AF59" s="51" t="str">
        <f t="shared" si="55"/>
        <v/>
      </c>
      <c r="AG59" s="51" t="str">
        <f t="shared" si="55"/>
        <v/>
      </c>
      <c r="AH59" s="51" t="str">
        <f t="shared" si="55"/>
        <v/>
      </c>
      <c r="AI59" s="51" t="str">
        <f t="shared" si="55"/>
        <v/>
      </c>
      <c r="AJ59" s="51" t="str">
        <f t="shared" si="55"/>
        <v/>
      </c>
      <c r="AK59" s="51" t="str">
        <f t="shared" si="55"/>
        <v/>
      </c>
      <c r="AL59" s="51" t="str">
        <f t="shared" si="55"/>
        <v/>
      </c>
      <c r="AM59" s="51" t="str">
        <f t="shared" si="55"/>
        <v/>
      </c>
      <c r="AN59" s="51" t="str">
        <f t="shared" si="55"/>
        <v/>
      </c>
      <c r="AO59" s="51" t="str">
        <f t="shared" si="55"/>
        <v/>
      </c>
      <c r="AP59" s="51" t="str">
        <f t="shared" si="55"/>
        <v/>
      </c>
      <c r="AQ59" s="51" t="str">
        <f t="shared" si="55"/>
        <v/>
      </c>
    </row>
    <row r="60"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AE60" s="51" t="str">
        <f t="shared" ref="AE60:AQ60" si="56">IFERROR((Q60-C60)/C60, "")</f>
        <v/>
      </c>
      <c r="AF60" s="51" t="str">
        <f t="shared" si="56"/>
        <v/>
      </c>
      <c r="AG60" s="51" t="str">
        <f t="shared" si="56"/>
        <v/>
      </c>
      <c r="AH60" s="51" t="str">
        <f t="shared" si="56"/>
        <v/>
      </c>
      <c r="AI60" s="51" t="str">
        <f t="shared" si="56"/>
        <v/>
      </c>
      <c r="AJ60" s="51" t="str">
        <f t="shared" si="56"/>
        <v/>
      </c>
      <c r="AK60" s="51" t="str">
        <f t="shared" si="56"/>
        <v/>
      </c>
      <c r="AL60" s="51" t="str">
        <f t="shared" si="56"/>
        <v/>
      </c>
      <c r="AM60" s="51" t="str">
        <f t="shared" si="56"/>
        <v/>
      </c>
      <c r="AN60" s="51" t="str">
        <f t="shared" si="56"/>
        <v/>
      </c>
      <c r="AO60" s="51" t="str">
        <f t="shared" si="56"/>
        <v/>
      </c>
      <c r="AP60" s="51" t="str">
        <f t="shared" si="56"/>
        <v/>
      </c>
      <c r="AQ60" s="51" t="str">
        <f t="shared" si="56"/>
        <v/>
      </c>
    </row>
    <row r="61">
      <c r="B61" s="5" t="s">
        <v>38</v>
      </c>
      <c r="C61" s="8" t="str">
        <f>IFERROR(__xludf.DUMMYFUNCTION("""COMPUTED_VALUE"""),"20-39 Segment - Over Time Period")</f>
        <v>20-39 Segment - Over Time Period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AE61" s="51" t="str">
        <f t="shared" ref="AE61:AQ61" si="57">IFERROR((Q61-C61)/C61, "")</f>
        <v/>
      </c>
      <c r="AF61" s="51" t="str">
        <f t="shared" si="57"/>
        <v/>
      </c>
      <c r="AG61" s="51" t="str">
        <f t="shared" si="57"/>
        <v/>
      </c>
      <c r="AH61" s="51" t="str">
        <f t="shared" si="57"/>
        <v/>
      </c>
      <c r="AI61" s="51" t="str">
        <f t="shared" si="57"/>
        <v/>
      </c>
      <c r="AJ61" s="51" t="str">
        <f t="shared" si="57"/>
        <v/>
      </c>
      <c r="AK61" s="51" t="str">
        <f t="shared" si="57"/>
        <v/>
      </c>
      <c r="AL61" s="51" t="str">
        <f t="shared" si="57"/>
        <v/>
      </c>
      <c r="AM61" s="51" t="str">
        <f t="shared" si="57"/>
        <v/>
      </c>
      <c r="AN61" s="51" t="str">
        <f t="shared" si="57"/>
        <v/>
      </c>
      <c r="AO61" s="51" t="str">
        <f t="shared" si="57"/>
        <v/>
      </c>
      <c r="AP61" s="51" t="str">
        <f t="shared" si="57"/>
        <v/>
      </c>
      <c r="AQ61" s="51" t="str">
        <f t="shared" si="57"/>
        <v/>
      </c>
    </row>
    <row r="62">
      <c r="B62" s="15" t="s">
        <v>8</v>
      </c>
      <c r="C62" s="18" t="str">
        <f>IFERROR(__xludf.DUMMYFUNCTION("""COMPUTED_VALUE"""),"HC")</f>
        <v>HC</v>
      </c>
      <c r="D62" s="18" t="str">
        <f>IFERROR(__xludf.DUMMYFUNCTION("""COMPUTED_VALUE"""),"Slingshot")</f>
        <v>Slingshot</v>
      </c>
      <c r="E62" s="18" t="str">
        <f>IFERROR(__xludf.DUMMYFUNCTION("""COMPUTED_VALUE"""),"Shuffle")</f>
        <v>Shuffle</v>
      </c>
      <c r="F62" s="18" t="str">
        <f>IFERROR(__xludf.DUMMYFUNCTION("""COMPUTED_VALUE"""),"Comet")</f>
        <v>Comet</v>
      </c>
      <c r="G62" s="18" t="str">
        <f>IFERROR(__xludf.DUMMYFUNCTION("""COMPUTED_VALUE"""),"Red")</f>
        <v>Red</v>
      </c>
      <c r="H62" s="18" t="str">
        <f>IFERROR(__xludf.DUMMYFUNCTION("""COMPUTED_VALUE"""),"Chuck")</f>
        <v>Chuck</v>
      </c>
      <c r="I62" s="18" t="str">
        <f>IFERROR(__xludf.DUMMYFUNCTION("""COMPUTED_VALUE"""),"Bomb")</f>
        <v>Bomb</v>
      </c>
      <c r="J62" s="18" t="str">
        <f>IFERROR(__xludf.DUMMYFUNCTION("""COMPUTED_VALUE"""),"UL Bomb")</f>
        <v>UL Bomb</v>
      </c>
      <c r="K62" s="18" t="str">
        <f>IFERROR(__xludf.DUMMYFUNCTION("""COMPUTED_VALUE"""),"UL Chuck")</f>
        <v>UL Chuck</v>
      </c>
      <c r="L62" s="18" t="str">
        <f>IFERROR(__xludf.DUMMYFUNCTION("""COMPUTED_VALUE"""),"UL Red")</f>
        <v>UL Red</v>
      </c>
      <c r="M62" s="18" t="str">
        <f>IFERROR(__xludf.DUMMYFUNCTION("""COMPUTED_VALUE"""),"Unlimited Lives")</f>
        <v>Unlimited Lives</v>
      </c>
      <c r="N62" s="18" t="str">
        <f>IFERROR(__xludf.DUMMYFUNCTION("""COMPUTED_VALUE"""),"SPT")</f>
        <v>SPT</v>
      </c>
      <c r="O62" s="18" t="str">
        <f>IFERROR(__xludf.DUMMYFUNCTION("""COMPUTED_VALUE"""),"SPTx2")</f>
        <v>SPTx2</v>
      </c>
      <c r="Q62" s="18" t="s">
        <v>12</v>
      </c>
      <c r="R62" s="18" t="s">
        <v>15</v>
      </c>
      <c r="S62" s="18" t="s">
        <v>17</v>
      </c>
      <c r="T62" s="18" t="s">
        <v>18</v>
      </c>
      <c r="U62" s="18" t="s">
        <v>19</v>
      </c>
      <c r="V62" s="18" t="s">
        <v>21</v>
      </c>
      <c r="W62" s="18" t="s">
        <v>22</v>
      </c>
      <c r="X62" s="18" t="s">
        <v>26</v>
      </c>
      <c r="Y62" s="18" t="s">
        <v>27</v>
      </c>
      <c r="Z62" s="18" t="s">
        <v>29</v>
      </c>
      <c r="AA62" s="18" t="s">
        <v>30</v>
      </c>
      <c r="AB62" s="18" t="s">
        <v>31</v>
      </c>
      <c r="AC62" s="18" t="s">
        <v>32</v>
      </c>
      <c r="AE62" s="51" t="str">
        <f t="shared" ref="AE62:AQ62" si="58">IFERROR((Q62-C62)/C62, "")</f>
        <v/>
      </c>
      <c r="AF62" s="51" t="str">
        <f t="shared" si="58"/>
        <v/>
      </c>
      <c r="AG62" s="51" t="str">
        <f t="shared" si="58"/>
        <v/>
      </c>
      <c r="AH62" s="51" t="str">
        <f t="shared" si="58"/>
        <v/>
      </c>
      <c r="AI62" s="51" t="str">
        <f t="shared" si="58"/>
        <v/>
      </c>
      <c r="AJ62" s="51" t="str">
        <f t="shared" si="58"/>
        <v/>
      </c>
      <c r="AK62" s="51" t="str">
        <f t="shared" si="58"/>
        <v/>
      </c>
      <c r="AL62" s="51" t="str">
        <f t="shared" si="58"/>
        <v/>
      </c>
      <c r="AM62" s="51" t="str">
        <f t="shared" si="58"/>
        <v/>
      </c>
      <c r="AN62" s="51" t="str">
        <f t="shared" si="58"/>
        <v/>
      </c>
      <c r="AO62" s="51" t="str">
        <f t="shared" si="58"/>
        <v/>
      </c>
      <c r="AP62" s="51" t="str">
        <f t="shared" si="58"/>
        <v/>
      </c>
      <c r="AQ62" s="51" t="str">
        <f t="shared" si="58"/>
        <v/>
      </c>
    </row>
    <row r="63">
      <c r="B63" s="37" t="s">
        <v>33</v>
      </c>
      <c r="C63" s="41">
        <f>IFERROR(__xludf.DUMMYFUNCTION("""COMPUTED_VALUE"""),5.977987878787879)</f>
        <v>5.977987879</v>
      </c>
      <c r="D63" s="43">
        <f>IFERROR(__xludf.DUMMYFUNCTION("""COMPUTED_VALUE"""),0.14535757575757577)</f>
        <v>0.1453575758</v>
      </c>
      <c r="E63" s="43">
        <f>IFERROR(__xludf.DUMMYFUNCTION("""COMPUTED_VALUE"""),0.1439030303030303)</f>
        <v>0.1439030303</v>
      </c>
      <c r="F63" s="43">
        <f>IFERROR(__xludf.DUMMYFUNCTION("""COMPUTED_VALUE"""),0.07197575757575758)</f>
        <v>0.07197575758</v>
      </c>
      <c r="G63" s="43">
        <f>IFERROR(__xludf.DUMMYFUNCTION("""COMPUTED_VALUE"""),0.0)</f>
        <v>0</v>
      </c>
      <c r="H63" s="43">
        <f>IFERROR(__xludf.DUMMYFUNCTION("""COMPUTED_VALUE"""),0.0)</f>
        <v>0</v>
      </c>
      <c r="I63" s="43">
        <f>IFERROR(__xludf.DUMMYFUNCTION("""COMPUTED_VALUE"""),0.0)</f>
        <v>0</v>
      </c>
      <c r="J63" s="43">
        <f>IFERROR(__xludf.DUMMYFUNCTION("""COMPUTED_VALUE"""),0.0)</f>
        <v>0</v>
      </c>
      <c r="K63" s="43">
        <f>IFERROR(__xludf.DUMMYFUNCTION("""COMPUTED_VALUE"""),0.0)</f>
        <v>0</v>
      </c>
      <c r="L63" s="43">
        <f>IFERROR(__xludf.DUMMYFUNCTION("""COMPUTED_VALUE"""),0.0)</f>
        <v>0</v>
      </c>
      <c r="M63" s="43">
        <f>IFERROR(__xludf.DUMMYFUNCTION("""COMPUTED_VALUE"""),2.0050181818181816)</f>
        <v>2.005018182</v>
      </c>
      <c r="N63" s="41">
        <f>IFERROR(__xludf.DUMMYFUNCTION("""COMPUTED_VALUE"""),0.0)</f>
        <v>0</v>
      </c>
      <c r="O63" s="41">
        <f>IFERROR(__xludf.DUMMYFUNCTION("""COMPUTED_VALUE"""),0.0)</f>
        <v>0</v>
      </c>
      <c r="Q63" s="109">
        <v>11.3321</v>
      </c>
      <c r="R63" s="109">
        <v>0.2436</v>
      </c>
      <c r="S63" s="109">
        <v>0.2548</v>
      </c>
      <c r="T63" s="109">
        <v>0.1141</v>
      </c>
      <c r="U63" s="109">
        <v>0.0</v>
      </c>
      <c r="V63" s="109">
        <v>0.0</v>
      </c>
      <c r="W63" s="109">
        <v>0.0</v>
      </c>
      <c r="X63" s="109">
        <v>0.0</v>
      </c>
      <c r="Y63" s="109">
        <v>0.0</v>
      </c>
      <c r="Z63" s="109">
        <v>0.0</v>
      </c>
      <c r="AA63" s="109">
        <v>3.8653</v>
      </c>
      <c r="AB63" s="109">
        <v>0.0</v>
      </c>
      <c r="AC63" s="109">
        <v>0.0</v>
      </c>
      <c r="AE63" s="51">
        <f t="shared" ref="AE63:AQ63" si="59">IFERROR((Q63-C63)/C63, "")</f>
        <v>0.895637835</v>
      </c>
      <c r="AF63" s="51">
        <f t="shared" si="59"/>
        <v>0.6758672448</v>
      </c>
      <c r="AG63" s="51">
        <f t="shared" si="59"/>
        <v>0.7706367925</v>
      </c>
      <c r="AH63" s="51">
        <f t="shared" si="59"/>
        <v>0.5852559784</v>
      </c>
      <c r="AI63" s="51" t="str">
        <f t="shared" si="59"/>
        <v/>
      </c>
      <c r="AJ63" s="51" t="str">
        <f t="shared" si="59"/>
        <v/>
      </c>
      <c r="AK63" s="51" t="str">
        <f t="shared" si="59"/>
        <v/>
      </c>
      <c r="AL63" s="51" t="str">
        <f t="shared" si="59"/>
        <v/>
      </c>
      <c r="AM63" s="51" t="str">
        <f t="shared" si="59"/>
        <v/>
      </c>
      <c r="AN63" s="51" t="str">
        <f t="shared" si="59"/>
        <v/>
      </c>
      <c r="AO63" s="51">
        <f t="shared" si="59"/>
        <v>0.9278129421</v>
      </c>
      <c r="AP63" s="51" t="str">
        <f t="shared" si="59"/>
        <v/>
      </c>
      <c r="AQ63" s="51" t="str">
        <f t="shared" si="59"/>
        <v/>
      </c>
    </row>
    <row r="64">
      <c r="B64" s="56" t="s">
        <v>40</v>
      </c>
      <c r="C64" s="57">
        <f>IFERROR(__xludf.DUMMYFUNCTION("""COMPUTED_VALUE"""),0.0)</f>
        <v>0</v>
      </c>
      <c r="D64" s="57">
        <f>IFERROR(__xludf.DUMMYFUNCTION("""COMPUTED_VALUE"""),0.0)</f>
        <v>0</v>
      </c>
      <c r="E64" s="57">
        <f>IFERROR(__xludf.DUMMYFUNCTION("""COMPUTED_VALUE"""),0.0)</f>
        <v>0</v>
      </c>
      <c r="F64" s="57">
        <f>IFERROR(__xludf.DUMMYFUNCTION("""COMPUTED_VALUE"""),0.0)</f>
        <v>0</v>
      </c>
      <c r="G64" s="57">
        <f>IFERROR(__xludf.DUMMYFUNCTION("""COMPUTED_VALUE"""),0.0)</f>
        <v>0</v>
      </c>
      <c r="H64" s="57">
        <f>IFERROR(__xludf.DUMMYFUNCTION("""COMPUTED_VALUE"""),0.0)</f>
        <v>0</v>
      </c>
      <c r="I64" s="57">
        <f>IFERROR(__xludf.DUMMYFUNCTION("""COMPUTED_VALUE"""),0.0)</f>
        <v>0</v>
      </c>
      <c r="J64" s="57">
        <f>IFERROR(__xludf.DUMMYFUNCTION("""COMPUTED_VALUE"""),0.0)</f>
        <v>0</v>
      </c>
      <c r="K64" s="57">
        <f>IFERROR(__xludf.DUMMYFUNCTION("""COMPUTED_VALUE"""),0.0)</f>
        <v>0</v>
      </c>
      <c r="L64" s="57">
        <f>IFERROR(__xludf.DUMMYFUNCTION("""COMPUTED_VALUE"""),0.0)</f>
        <v>0</v>
      </c>
      <c r="M64" s="57">
        <f>IFERROR(__xludf.DUMMYFUNCTION("""COMPUTED_VALUE"""),0.0)</f>
        <v>0</v>
      </c>
      <c r="N64" s="57">
        <f>IFERROR(__xludf.DUMMYFUNCTION("""COMPUTED_VALUE"""),0.0)</f>
        <v>0</v>
      </c>
      <c r="O64" s="57">
        <f>IFERROR(__xludf.DUMMYFUNCTION("""COMPUTED_VALUE"""),0.0)</f>
        <v>0</v>
      </c>
      <c r="Q64" s="109">
        <v>0.9553</v>
      </c>
      <c r="R64" s="109">
        <v>0.0143</v>
      </c>
      <c r="S64" s="109">
        <v>0.0116</v>
      </c>
      <c r="T64" s="109">
        <v>0.0026</v>
      </c>
      <c r="U64" s="109">
        <v>0.0</v>
      </c>
      <c r="V64" s="109">
        <v>0.0</v>
      </c>
      <c r="W64" s="109">
        <v>0.0</v>
      </c>
      <c r="X64" s="109">
        <v>0.0</v>
      </c>
      <c r="Y64" s="109">
        <v>0.0</v>
      </c>
      <c r="Z64" s="109">
        <v>0.0</v>
      </c>
      <c r="AA64" s="109">
        <v>0.0</v>
      </c>
      <c r="AB64" s="109">
        <v>0.0</v>
      </c>
      <c r="AC64" s="109">
        <v>0.0</v>
      </c>
      <c r="AE64" s="51" t="str">
        <f t="shared" ref="AE64:AQ64" si="60">IFERROR((Q64-C64)/C64, "")</f>
        <v/>
      </c>
      <c r="AF64" s="51" t="str">
        <f t="shared" si="60"/>
        <v/>
      </c>
      <c r="AG64" s="51" t="str">
        <f t="shared" si="60"/>
        <v/>
      </c>
      <c r="AH64" s="51" t="str">
        <f t="shared" si="60"/>
        <v/>
      </c>
      <c r="AI64" s="51" t="str">
        <f t="shared" si="60"/>
        <v/>
      </c>
      <c r="AJ64" s="51" t="str">
        <f t="shared" si="60"/>
        <v/>
      </c>
      <c r="AK64" s="51" t="str">
        <f t="shared" si="60"/>
        <v/>
      </c>
      <c r="AL64" s="51" t="str">
        <f t="shared" si="60"/>
        <v/>
      </c>
      <c r="AM64" s="51" t="str">
        <f t="shared" si="60"/>
        <v/>
      </c>
      <c r="AN64" s="51" t="str">
        <f t="shared" si="60"/>
        <v/>
      </c>
      <c r="AO64" s="51" t="str">
        <f t="shared" si="60"/>
        <v/>
      </c>
      <c r="AP64" s="51" t="str">
        <f t="shared" si="60"/>
        <v/>
      </c>
      <c r="AQ64" s="51" t="str">
        <f t="shared" si="60"/>
        <v/>
      </c>
    </row>
    <row r="65">
      <c r="B65" s="56" t="s">
        <v>43</v>
      </c>
      <c r="C65" s="57">
        <f>IFERROR(__xludf.DUMMYFUNCTION("""COMPUTED_VALUE"""),3.126194298363561)</f>
        <v>3.126194298</v>
      </c>
      <c r="D65" s="57">
        <f>IFERROR(__xludf.DUMMYFUNCTION("""COMPUTED_VALUE"""),9.851054630645084E-4)</f>
        <v>0.0009851054631</v>
      </c>
      <c r="E65" s="57">
        <f>IFERROR(__xludf.DUMMYFUNCTION("""COMPUTED_VALUE"""),1.51554686625309E-4)</f>
        <v>0.0001515546866</v>
      </c>
      <c r="F65" s="57">
        <f>IFERROR(__xludf.DUMMYFUNCTION("""COMPUTED_VALUE"""),1.51554686625309E-4)</f>
        <v>0.0001515546866</v>
      </c>
      <c r="G65" s="57">
        <f>IFERROR(__xludf.DUMMYFUNCTION("""COMPUTED_VALUE"""),0.0709275933406446)</f>
        <v>0.07092759334</v>
      </c>
      <c r="H65" s="57">
        <f>IFERROR(__xludf.DUMMYFUNCTION("""COMPUTED_VALUE"""),0.17042324511015994)</f>
        <v>0.1704232451</v>
      </c>
      <c r="I65" s="57">
        <f>IFERROR(__xludf.DUMMYFUNCTION("""COMPUTED_VALUE"""),1.51554686625309E-4)</f>
        <v>0.0001515546866</v>
      </c>
      <c r="J65" s="57">
        <f>IFERROR(__xludf.DUMMYFUNCTION("""COMPUTED_VALUE"""),1.9683164925462007)</f>
        <v>1.968316493</v>
      </c>
      <c r="K65" s="57">
        <f>IFERROR(__xludf.DUMMYFUNCTION("""COMPUTED_VALUE"""),2.0490951405174904)</f>
        <v>2.049095141</v>
      </c>
      <c r="L65" s="57">
        <f>IFERROR(__xludf.DUMMYFUNCTION("""COMPUTED_VALUE"""),2.3498554161254157)</f>
        <v>2.349855416</v>
      </c>
      <c r="M65" s="57">
        <f>IFERROR(__xludf.DUMMYFUNCTION("""COMPUTED_VALUE"""),6.660449590465767)</f>
        <v>6.66044959</v>
      </c>
      <c r="N65" s="57">
        <f>IFERROR(__xludf.DUMMYFUNCTION("""COMPUTED_VALUE"""),0.0)</f>
        <v>0</v>
      </c>
      <c r="O65" s="57">
        <f>IFERROR(__xludf.DUMMYFUNCTION("""COMPUTED_VALUE"""),0.0)</f>
        <v>0</v>
      </c>
      <c r="Q65" s="109">
        <v>6.1705</v>
      </c>
      <c r="R65" s="109">
        <v>1.0E-4</v>
      </c>
      <c r="S65" s="109">
        <v>0.0</v>
      </c>
      <c r="T65" s="109">
        <v>0.0</v>
      </c>
      <c r="U65" s="109">
        <v>0.1262</v>
      </c>
      <c r="V65" s="109">
        <v>0.3679</v>
      </c>
      <c r="W65" s="109">
        <v>0.0</v>
      </c>
      <c r="X65" s="109">
        <v>1.7412</v>
      </c>
      <c r="Y65" s="109">
        <v>3.2503</v>
      </c>
      <c r="Z65" s="109">
        <v>3.9928</v>
      </c>
      <c r="AA65" s="109">
        <v>12.8612</v>
      </c>
      <c r="AB65" s="109">
        <v>0.0</v>
      </c>
      <c r="AC65" s="109">
        <v>0.0</v>
      </c>
      <c r="AE65" s="51">
        <f t="shared" ref="AE65:AQ65" si="61">IFERROR((Q65-C65)/C65, "")</f>
        <v>0.9738056599</v>
      </c>
      <c r="AF65" s="51">
        <f t="shared" si="61"/>
        <v>-0.8984880262</v>
      </c>
      <c r="AG65" s="51">
        <f t="shared" si="61"/>
        <v>-1</v>
      </c>
      <c r="AH65" s="51">
        <f t="shared" si="61"/>
        <v>-1</v>
      </c>
      <c r="AI65" s="51">
        <f t="shared" si="61"/>
        <v>0.7792793193</v>
      </c>
      <c r="AJ65" s="51">
        <f t="shared" si="61"/>
        <v>1.158743074</v>
      </c>
      <c r="AK65" s="51">
        <f t="shared" si="61"/>
        <v>-1</v>
      </c>
      <c r="AL65" s="51">
        <f t="shared" si="61"/>
        <v>-0.1153861655</v>
      </c>
      <c r="AM65" s="51">
        <f t="shared" si="61"/>
        <v>0.5862123411</v>
      </c>
      <c r="AN65" s="51">
        <f t="shared" si="61"/>
        <v>0.6991683712</v>
      </c>
      <c r="AO65" s="51">
        <f t="shared" si="61"/>
        <v>0.9309807582</v>
      </c>
      <c r="AP65" s="51" t="str">
        <f t="shared" si="61"/>
        <v/>
      </c>
      <c r="AQ65" s="51" t="str">
        <f t="shared" si="61"/>
        <v/>
      </c>
    </row>
    <row r="66">
      <c r="B66" s="56" t="s">
        <v>52</v>
      </c>
      <c r="C66" s="57">
        <f>IFERROR(__xludf.DUMMYFUNCTION("""COMPUTED_VALUE"""),3.0829554)</f>
        <v>3.0829554</v>
      </c>
      <c r="D66" s="57">
        <f>IFERROR(__xludf.DUMMYFUNCTION("""COMPUTED_VALUE"""),0.031197768)</f>
        <v>0.031197768</v>
      </c>
      <c r="E66" s="57">
        <f>IFERROR(__xludf.DUMMYFUNCTION("""COMPUTED_VALUE"""),0.039432372)</f>
        <v>0.039432372</v>
      </c>
      <c r="F66" s="57">
        <f>IFERROR(__xludf.DUMMYFUNCTION("""COMPUTED_VALUE"""),0.009506616)</f>
        <v>0.009506616</v>
      </c>
      <c r="G66" s="57">
        <f>IFERROR(__xludf.DUMMYFUNCTION("""COMPUTED_VALUE"""),0.0)</f>
        <v>0</v>
      </c>
      <c r="H66" s="57">
        <f>IFERROR(__xludf.DUMMYFUNCTION("""COMPUTED_VALUE"""),6.6948E-5)</f>
        <v>0.000066948</v>
      </c>
      <c r="I66" s="57">
        <f>IFERROR(__xludf.DUMMYFUNCTION("""COMPUTED_VALUE"""),0.0)</f>
        <v>0</v>
      </c>
      <c r="J66" s="57">
        <f>IFERROR(__xludf.DUMMYFUNCTION("""COMPUTED_VALUE"""),0.0)</f>
        <v>0</v>
      </c>
      <c r="K66" s="57">
        <f>IFERROR(__xludf.DUMMYFUNCTION("""COMPUTED_VALUE"""),0.0)</f>
        <v>0</v>
      </c>
      <c r="L66" s="57">
        <f>IFERROR(__xludf.DUMMYFUNCTION("""COMPUTED_VALUE"""),0.0)</f>
        <v>0</v>
      </c>
      <c r="M66" s="57">
        <f>IFERROR(__xludf.DUMMYFUNCTION("""COMPUTED_VALUE"""),0.0)</f>
        <v>0</v>
      </c>
      <c r="N66" s="57">
        <f>IFERROR(__xludf.DUMMYFUNCTION("""COMPUTED_VALUE"""),0.0)</f>
        <v>0</v>
      </c>
      <c r="O66" s="57">
        <f>IFERROR(__xludf.DUMMYFUNCTION("""COMPUTED_VALUE"""),0.0)</f>
        <v>0</v>
      </c>
      <c r="Q66" s="109">
        <v>0.0632</v>
      </c>
      <c r="R66" s="109">
        <v>0.0011</v>
      </c>
      <c r="S66" s="109">
        <v>8.0E-4</v>
      </c>
      <c r="T66" s="109">
        <v>1.0E-4</v>
      </c>
      <c r="U66" s="109">
        <v>0.0</v>
      </c>
      <c r="V66" s="109">
        <v>0.0</v>
      </c>
      <c r="W66" s="109">
        <v>0.0</v>
      </c>
      <c r="X66" s="109">
        <v>0.0</v>
      </c>
      <c r="Y66" s="109">
        <v>0.0</v>
      </c>
      <c r="Z66" s="109">
        <v>0.0</v>
      </c>
      <c r="AA66" s="109">
        <v>0.0</v>
      </c>
      <c r="AB66" s="109">
        <v>0.0</v>
      </c>
      <c r="AC66" s="109">
        <v>0.0</v>
      </c>
      <c r="AE66" s="51">
        <f t="shared" ref="AE66:AQ66" si="62">IFERROR((Q66-C66)/C66, "")</f>
        <v>-0.97950019</v>
      </c>
      <c r="AF66" s="51">
        <f t="shared" si="62"/>
        <v>-0.9647410674</v>
      </c>
      <c r="AG66" s="51">
        <f t="shared" si="62"/>
        <v>-0.9797121005</v>
      </c>
      <c r="AH66" s="51">
        <f t="shared" si="62"/>
        <v>-0.9894810099</v>
      </c>
      <c r="AI66" s="51" t="str">
        <f t="shared" si="62"/>
        <v/>
      </c>
      <c r="AJ66" s="51">
        <f t="shared" si="62"/>
        <v>-1</v>
      </c>
      <c r="AK66" s="51" t="str">
        <f t="shared" si="62"/>
        <v/>
      </c>
      <c r="AL66" s="51" t="str">
        <f t="shared" si="62"/>
        <v/>
      </c>
      <c r="AM66" s="51" t="str">
        <f t="shared" si="62"/>
        <v/>
      </c>
      <c r="AN66" s="51" t="str">
        <f t="shared" si="62"/>
        <v/>
      </c>
      <c r="AO66" s="51" t="str">
        <f t="shared" si="62"/>
        <v/>
      </c>
      <c r="AP66" s="51" t="str">
        <f t="shared" si="62"/>
        <v/>
      </c>
      <c r="AQ66" s="51" t="str">
        <f t="shared" si="62"/>
        <v/>
      </c>
    </row>
    <row r="67">
      <c r="B67" s="56" t="s">
        <v>88</v>
      </c>
      <c r="C67" s="57">
        <f>IFERROR(__xludf.DUMMYFUNCTION("""COMPUTED_VALUE"""),16.05729337829669)</f>
        <v>16.05729338</v>
      </c>
      <c r="D67" s="57">
        <f>IFERROR(__xludf.DUMMYFUNCTION("""COMPUTED_VALUE"""),0.13244467146527625)</f>
        <v>0.1324446715</v>
      </c>
      <c r="E67" s="57">
        <f>IFERROR(__xludf.DUMMYFUNCTION("""COMPUTED_VALUE"""),0.19243016889594206)</f>
        <v>0.1924301689</v>
      </c>
      <c r="F67" s="57">
        <f>IFERROR(__xludf.DUMMYFUNCTION("""COMPUTED_VALUE"""),0.08291469243557778)</f>
        <v>0.08291469244</v>
      </c>
      <c r="G67" s="57">
        <f>IFERROR(__xludf.DUMMYFUNCTION("""COMPUTED_VALUE"""),0.05818617565933653)</f>
        <v>0.05818617566</v>
      </c>
      <c r="H67" s="57">
        <f>IFERROR(__xludf.DUMMYFUNCTION("""COMPUTED_VALUE"""),0.06961430042318449)</f>
        <v>0.06961430042</v>
      </c>
      <c r="I67" s="57">
        <f>IFERROR(__xludf.DUMMYFUNCTION("""COMPUTED_VALUE"""),0.059474879090153435)</f>
        <v>0.05947487909</v>
      </c>
      <c r="J67" s="57">
        <f>IFERROR(__xludf.DUMMYFUNCTION("""COMPUTED_VALUE"""),0.0)</f>
        <v>0</v>
      </c>
      <c r="K67" s="57">
        <f>IFERROR(__xludf.DUMMYFUNCTION("""COMPUTED_VALUE"""),0.0)</f>
        <v>0</v>
      </c>
      <c r="L67" s="57">
        <f>IFERROR(__xludf.DUMMYFUNCTION("""COMPUTED_VALUE"""),0.0)</f>
        <v>0</v>
      </c>
      <c r="M67" s="57">
        <f>IFERROR(__xludf.DUMMYFUNCTION("""COMPUTED_VALUE"""),10.104115722058495)</f>
        <v>10.10411572</v>
      </c>
      <c r="N67" s="57">
        <f>IFERROR(__xludf.DUMMYFUNCTION("""COMPUTED_VALUE"""),155.5120357863804)</f>
        <v>155.5120358</v>
      </c>
      <c r="O67" s="57">
        <f>IFERROR(__xludf.DUMMYFUNCTION("""COMPUTED_VALUE"""),0.0)</f>
        <v>0</v>
      </c>
      <c r="Q67" s="109">
        <v>47.5739</v>
      </c>
      <c r="R67" s="109">
        <v>0.3398</v>
      </c>
      <c r="S67" s="109">
        <v>0.5278</v>
      </c>
      <c r="T67" s="109">
        <v>0.2154</v>
      </c>
      <c r="U67" s="109">
        <v>0.1835</v>
      </c>
      <c r="V67" s="109">
        <v>0.179</v>
      </c>
      <c r="W67" s="109">
        <v>0.1754</v>
      </c>
      <c r="X67" s="109">
        <v>0.0</v>
      </c>
      <c r="Y67" s="109">
        <v>0.0</v>
      </c>
      <c r="Z67" s="109">
        <v>0.0</v>
      </c>
      <c r="AA67" s="109">
        <v>29.7577</v>
      </c>
      <c r="AB67" s="109">
        <v>493.3856</v>
      </c>
      <c r="AC67" s="109">
        <v>0.0</v>
      </c>
      <c r="AE67" s="51">
        <f t="shared" ref="AE67:AQ67" si="63">IFERROR((Q67-C67)/C67, "")</f>
        <v>1.962759593</v>
      </c>
      <c r="AF67" s="51">
        <f t="shared" si="63"/>
        <v>1.565599629</v>
      </c>
      <c r="AG67" s="51">
        <f t="shared" si="63"/>
        <v>1.742813162</v>
      </c>
      <c r="AH67" s="51">
        <f t="shared" si="63"/>
        <v>1.597850799</v>
      </c>
      <c r="AI67" s="51">
        <f t="shared" si="63"/>
        <v>2.153670059</v>
      </c>
      <c r="AJ67" s="51">
        <f t="shared" si="63"/>
        <v>1.571310764</v>
      </c>
      <c r="AK67" s="51">
        <f t="shared" si="63"/>
        <v>1.949144289</v>
      </c>
      <c r="AL67" s="51" t="str">
        <f t="shared" si="63"/>
        <v/>
      </c>
      <c r="AM67" s="51" t="str">
        <f t="shared" si="63"/>
        <v/>
      </c>
      <c r="AN67" s="51" t="str">
        <f t="shared" si="63"/>
        <v/>
      </c>
      <c r="AO67" s="51">
        <f t="shared" si="63"/>
        <v>1.945106808</v>
      </c>
      <c r="AP67" s="51">
        <f t="shared" si="63"/>
        <v>2.172652184</v>
      </c>
      <c r="AQ67" s="51" t="str">
        <f t="shared" si="63"/>
        <v/>
      </c>
    </row>
    <row r="68">
      <c r="B68" s="56" t="s">
        <v>90</v>
      </c>
      <c r="C68" s="57">
        <f>IFERROR(__xludf.DUMMYFUNCTION("""COMPUTED_VALUE"""),13.676750725751573)</f>
        <v>13.67675073</v>
      </c>
      <c r="D68" s="57">
        <f>IFERROR(__xludf.DUMMYFUNCTION("""COMPUTED_VALUE"""),0.2254744700748131)</f>
        <v>0.2254744701</v>
      </c>
      <c r="E68" s="57">
        <f>IFERROR(__xludf.DUMMYFUNCTION("""COMPUTED_VALUE"""),0.1479820581122951)</f>
        <v>0.1479820581</v>
      </c>
      <c r="F68" s="57">
        <f>IFERROR(__xludf.DUMMYFUNCTION("""COMPUTED_VALUE"""),0.02407200748129677)</f>
        <v>0.02407200748</v>
      </c>
      <c r="G68" s="57">
        <f>IFERROR(__xludf.DUMMYFUNCTION("""COMPUTED_VALUE"""),0.0)</f>
        <v>0</v>
      </c>
      <c r="H68" s="57">
        <f>IFERROR(__xludf.DUMMYFUNCTION("""COMPUTED_VALUE"""),0.0)</f>
        <v>0</v>
      </c>
      <c r="I68" s="57">
        <f>IFERROR(__xludf.DUMMYFUNCTION("""COMPUTED_VALUE"""),0.0)</f>
        <v>0</v>
      </c>
      <c r="J68" s="57">
        <f>IFERROR(__xludf.DUMMYFUNCTION("""COMPUTED_VALUE"""),1.5028227216050787)</f>
        <v>1.502822722</v>
      </c>
      <c r="K68" s="57">
        <f>IFERROR(__xludf.DUMMYFUNCTION("""COMPUTED_VALUE"""),1.8175581406332662)</f>
        <v>1.817558141</v>
      </c>
      <c r="L68" s="57">
        <f>IFERROR(__xludf.DUMMYFUNCTION("""COMPUTED_VALUE"""),1.553373937315802)</f>
        <v>1.553373937</v>
      </c>
      <c r="M68" s="57">
        <f>IFERROR(__xludf.DUMMYFUNCTION("""COMPUTED_VALUE"""),20.034256480956707)</f>
        <v>20.03425648</v>
      </c>
      <c r="N68" s="57">
        <f>IFERROR(__xludf.DUMMYFUNCTION("""COMPUTED_VALUE"""),0.0)</f>
        <v>0</v>
      </c>
      <c r="O68" s="57">
        <f>IFERROR(__xludf.DUMMYFUNCTION("""COMPUTED_VALUE"""),0.04007138215068392)</f>
        <v>0.04007138215</v>
      </c>
      <c r="Q68" s="109">
        <v>38.4038</v>
      </c>
      <c r="R68" s="109">
        <v>0.474</v>
      </c>
      <c r="S68" s="109">
        <v>0.3145</v>
      </c>
      <c r="T68" s="109">
        <v>0.0459</v>
      </c>
      <c r="U68" s="109">
        <v>0.0</v>
      </c>
      <c r="V68" s="109">
        <v>0.0</v>
      </c>
      <c r="W68" s="109">
        <v>0.0</v>
      </c>
      <c r="X68" s="109">
        <v>1.593</v>
      </c>
      <c r="Y68" s="109">
        <v>3.1523</v>
      </c>
      <c r="Z68" s="109">
        <v>3.3125</v>
      </c>
      <c r="AA68" s="109">
        <v>45.327</v>
      </c>
      <c r="AB68" s="109">
        <v>0.0</v>
      </c>
      <c r="AC68" s="109">
        <v>0.0126</v>
      </c>
      <c r="AE68" s="51">
        <f t="shared" ref="AE68:AQ68" si="64">IFERROR((Q68-C68)/C68, "")</f>
        <v>1.807962269</v>
      </c>
      <c r="AF68" s="51">
        <f t="shared" si="64"/>
        <v>1.102233569</v>
      </c>
      <c r="AG68" s="51">
        <f t="shared" si="64"/>
        <v>1.125257643</v>
      </c>
      <c r="AH68" s="51">
        <f t="shared" si="64"/>
        <v>0.9067790684</v>
      </c>
      <c r="AI68" s="51" t="str">
        <f t="shared" si="64"/>
        <v/>
      </c>
      <c r="AJ68" s="51" t="str">
        <f t="shared" si="64"/>
        <v/>
      </c>
      <c r="AK68" s="51" t="str">
        <f t="shared" si="64"/>
        <v/>
      </c>
      <c r="AL68" s="51">
        <f t="shared" si="64"/>
        <v>0.06000526682</v>
      </c>
      <c r="AM68" s="51">
        <f t="shared" si="64"/>
        <v>0.7343599247</v>
      </c>
      <c r="AN68" s="51">
        <f t="shared" si="64"/>
        <v>1.132454987</v>
      </c>
      <c r="AO68" s="51">
        <f t="shared" si="64"/>
        <v>1.262474779</v>
      </c>
      <c r="AP68" s="51" t="str">
        <f t="shared" si="64"/>
        <v/>
      </c>
      <c r="AQ68" s="51">
        <f t="shared" si="64"/>
        <v>-0.6855611331</v>
      </c>
    </row>
    <row r="69">
      <c r="B69" s="56" t="s">
        <v>93</v>
      </c>
      <c r="C69" s="57">
        <f>IFERROR(__xludf.DUMMYFUNCTION("""COMPUTED_VALUE"""),19.018709547154845)</f>
        <v>19.01870955</v>
      </c>
      <c r="D69" s="57">
        <f>IFERROR(__xludf.DUMMYFUNCTION("""COMPUTED_VALUE"""),0.1715677624121515)</f>
        <v>0.1715677624</v>
      </c>
      <c r="E69" s="57">
        <f>IFERROR(__xludf.DUMMYFUNCTION("""COMPUTED_VALUE"""),4.863031814403387E-5)</f>
        <v>0.00004863031814</v>
      </c>
      <c r="F69" s="57">
        <f>IFERROR(__xludf.DUMMYFUNCTION("""COMPUTED_VALUE"""),0.0016048004987531176)</f>
        <v>0.001604800499</v>
      </c>
      <c r="G69" s="57">
        <f>IFERROR(__xludf.DUMMYFUNCTION("""COMPUTED_VALUE"""),0.27451814592307117)</f>
        <v>0.2745181459</v>
      </c>
      <c r="H69" s="57">
        <f>IFERROR(__xludf.DUMMYFUNCTION("""COMPUTED_VALUE"""),0.16045573471623975)</f>
        <v>0.1604557347</v>
      </c>
      <c r="I69" s="57">
        <f>IFERROR(__xludf.DUMMYFUNCTION("""COMPUTED_VALUE"""),2.4315159072016935E-5)</f>
        <v>0.00002431515907</v>
      </c>
      <c r="J69" s="57">
        <f>IFERROR(__xludf.DUMMYFUNCTION("""COMPUTED_VALUE"""),0.0)</f>
        <v>0</v>
      </c>
      <c r="K69" s="57">
        <f>IFERROR(__xludf.DUMMYFUNCTION("""COMPUTED_VALUE"""),2.1883643164815242E-4)</f>
        <v>0.0002188364316</v>
      </c>
      <c r="L69" s="57">
        <f>IFERROR(__xludf.DUMMYFUNCTION("""COMPUTED_VALUE"""),1.4589095443210158E-4)</f>
        <v>0.0001458909544</v>
      </c>
      <c r="M69" s="57">
        <f>IFERROR(__xludf.DUMMYFUNCTION("""COMPUTED_VALUE"""),7.982666723343159)</f>
        <v>7.982666723</v>
      </c>
      <c r="N69" s="57">
        <f>IFERROR(__xludf.DUMMYFUNCTION("""COMPUTED_VALUE"""),0.0)</f>
        <v>0</v>
      </c>
      <c r="O69" s="57">
        <f>IFERROR(__xludf.DUMMYFUNCTION("""COMPUTED_VALUE"""),0.0)</f>
        <v>0</v>
      </c>
      <c r="Q69" s="109">
        <v>91.6194</v>
      </c>
      <c r="R69" s="109">
        <v>0.5017</v>
      </c>
      <c r="S69" s="109">
        <v>0.0</v>
      </c>
      <c r="T69" s="109">
        <v>0.0077</v>
      </c>
      <c r="U69" s="109">
        <v>0.9338</v>
      </c>
      <c r="V69" s="109">
        <v>0.494</v>
      </c>
      <c r="W69" s="109">
        <v>0.0</v>
      </c>
      <c r="X69" s="109">
        <v>0.0</v>
      </c>
      <c r="Y69" s="109">
        <v>0.0</v>
      </c>
      <c r="Z69" s="109">
        <v>0.0</v>
      </c>
      <c r="AA69" s="109">
        <v>33.9931</v>
      </c>
      <c r="AB69" s="109">
        <v>0.0</v>
      </c>
      <c r="AC69" s="109">
        <v>0.0</v>
      </c>
      <c r="AE69" s="51">
        <f t="shared" ref="AE69:AQ69" si="65">IFERROR((Q69-C69)/C69, "")</f>
        <v>3.817329997</v>
      </c>
      <c r="AF69" s="51">
        <f t="shared" si="65"/>
        <v>1.924209029</v>
      </c>
      <c r="AG69" s="51">
        <f t="shared" si="65"/>
        <v>-1</v>
      </c>
      <c r="AH69" s="51">
        <f t="shared" si="65"/>
        <v>3.798104192</v>
      </c>
      <c r="AI69" s="51">
        <f t="shared" si="65"/>
        <v>2.40159663</v>
      </c>
      <c r="AJ69" s="51">
        <f t="shared" si="65"/>
        <v>2.078730722</v>
      </c>
      <c r="AK69" s="51">
        <f t="shared" si="65"/>
        <v>-1</v>
      </c>
      <c r="AL69" s="51" t="str">
        <f t="shared" si="65"/>
        <v/>
      </c>
      <c r="AM69" s="51">
        <f t="shared" si="65"/>
        <v>-1</v>
      </c>
      <c r="AN69" s="51">
        <f t="shared" si="65"/>
        <v>-1</v>
      </c>
      <c r="AO69" s="51">
        <f t="shared" si="65"/>
        <v>3.258363925</v>
      </c>
      <c r="AP69" s="51" t="str">
        <f t="shared" si="65"/>
        <v/>
      </c>
      <c r="AQ69" s="51" t="str">
        <f t="shared" si="65"/>
        <v/>
      </c>
    </row>
    <row r="70">
      <c r="B70" s="56" t="s">
        <v>95</v>
      </c>
      <c r="C70" s="57">
        <f>IFERROR(__xludf.DUMMYFUNCTION("""COMPUTED_VALUE"""),0.0)</f>
        <v>0</v>
      </c>
      <c r="D70" s="57">
        <f>IFERROR(__xludf.DUMMYFUNCTION("""COMPUTED_VALUE"""),0.21025000000000002)</f>
        <v>0.21025</v>
      </c>
      <c r="E70" s="57">
        <f>IFERROR(__xludf.DUMMYFUNCTION("""COMPUTED_VALUE"""),0.0)</f>
        <v>0</v>
      </c>
      <c r="F70" s="57">
        <f>IFERROR(__xludf.DUMMYFUNCTION("""COMPUTED_VALUE"""),0.0)</f>
        <v>0</v>
      </c>
      <c r="G70" s="57">
        <f>IFERROR(__xludf.DUMMYFUNCTION("""COMPUTED_VALUE"""),0.19922222222222224)</f>
        <v>0.1992222222</v>
      </c>
      <c r="H70" s="57">
        <f>IFERROR(__xludf.DUMMYFUNCTION("""COMPUTED_VALUE"""),0.1983611111111111)</f>
        <v>0.1983611111</v>
      </c>
      <c r="I70" s="57">
        <f>IFERROR(__xludf.DUMMYFUNCTION("""COMPUTED_VALUE"""),0.2083888888888889)</f>
        <v>0.2083888889</v>
      </c>
      <c r="J70" s="57">
        <f>IFERROR(__xludf.DUMMYFUNCTION("""COMPUTED_VALUE"""),0.0)</f>
        <v>0</v>
      </c>
      <c r="K70" s="57">
        <f>IFERROR(__xludf.DUMMYFUNCTION("""COMPUTED_VALUE"""),0.0)</f>
        <v>0</v>
      </c>
      <c r="L70" s="57">
        <f>IFERROR(__xludf.DUMMYFUNCTION("""COMPUTED_VALUE"""),0.0)</f>
        <v>0</v>
      </c>
      <c r="M70" s="57">
        <f>IFERROR(__xludf.DUMMYFUNCTION("""COMPUTED_VALUE"""),35.23558333333334)</f>
        <v>35.23558333</v>
      </c>
      <c r="N70" s="57">
        <f>IFERROR(__xludf.DUMMYFUNCTION("""COMPUTED_VALUE"""),3.8061666666666665)</f>
        <v>3.806166667</v>
      </c>
      <c r="O70" s="57">
        <f>IFERROR(__xludf.DUMMYFUNCTION("""COMPUTED_VALUE"""),0.0)</f>
        <v>0</v>
      </c>
      <c r="Q70" s="109">
        <v>0.0</v>
      </c>
      <c r="R70" s="109">
        <v>0.254</v>
      </c>
      <c r="S70" s="109">
        <v>0.0</v>
      </c>
      <c r="T70" s="109">
        <v>0.0</v>
      </c>
      <c r="U70" s="109">
        <v>0.254</v>
      </c>
      <c r="V70" s="109">
        <v>0.254</v>
      </c>
      <c r="W70" s="109">
        <v>0.254</v>
      </c>
      <c r="X70" s="109">
        <v>0.0</v>
      </c>
      <c r="Y70" s="109">
        <v>0.0</v>
      </c>
      <c r="Z70" s="109">
        <v>0.0</v>
      </c>
      <c r="AA70" s="109">
        <v>58.2904</v>
      </c>
      <c r="AB70" s="109">
        <v>4.3366</v>
      </c>
      <c r="AC70" s="109">
        <v>0.0</v>
      </c>
      <c r="AE70" s="51" t="str">
        <f t="shared" ref="AE70:AQ70" si="66">IFERROR((Q70-C70)/C70, "")</f>
        <v/>
      </c>
      <c r="AF70" s="51">
        <f t="shared" si="66"/>
        <v>0.2080856124</v>
      </c>
      <c r="AG70" s="51" t="str">
        <f t="shared" si="66"/>
        <v/>
      </c>
      <c r="AH70" s="51" t="str">
        <f t="shared" si="66"/>
        <v/>
      </c>
      <c r="AI70" s="51">
        <f t="shared" si="66"/>
        <v>0.2749581707</v>
      </c>
      <c r="AJ70" s="51">
        <f t="shared" si="66"/>
        <v>0.2804929282</v>
      </c>
      <c r="AK70" s="51">
        <f t="shared" si="66"/>
        <v>0.2188749667</v>
      </c>
      <c r="AL70" s="51" t="str">
        <f t="shared" si="66"/>
        <v/>
      </c>
      <c r="AM70" s="51" t="str">
        <f t="shared" si="66"/>
        <v/>
      </c>
      <c r="AN70" s="51" t="str">
        <f t="shared" si="66"/>
        <v/>
      </c>
      <c r="AO70" s="51">
        <f t="shared" si="66"/>
        <v>0.6543049521</v>
      </c>
      <c r="AP70" s="51">
        <f t="shared" si="66"/>
        <v>0.1393615624</v>
      </c>
      <c r="AQ70" s="51" t="str">
        <f t="shared" si="66"/>
        <v/>
      </c>
    </row>
    <row r="71">
      <c r="B71" s="56" t="s">
        <v>96</v>
      </c>
      <c r="C71" s="57">
        <f>IFERROR(__xludf.DUMMYFUNCTION("""COMPUTED_VALUE"""),5.8252483698234965)</f>
        <v>5.82524837</v>
      </c>
      <c r="D71" s="57">
        <f>IFERROR(__xludf.DUMMYFUNCTION("""COMPUTED_VALUE"""),0.12015421000992238)</f>
        <v>0.12015421</v>
      </c>
      <c r="E71" s="57">
        <f>IFERROR(__xludf.DUMMYFUNCTION("""COMPUTED_VALUE"""),0.19126145910037415)</f>
        <v>0.1912614591</v>
      </c>
      <c r="F71" s="57">
        <f>IFERROR(__xludf.DUMMYFUNCTION("""COMPUTED_VALUE"""),0.05332269093013833)</f>
        <v>0.05332269093</v>
      </c>
      <c r="G71" s="57">
        <f>IFERROR(__xludf.DUMMYFUNCTION("""COMPUTED_VALUE"""),0.30019962371999437)</f>
        <v>0.3001996237</v>
      </c>
      <c r="H71" s="57">
        <f>IFERROR(__xludf.DUMMYFUNCTION("""COMPUTED_VALUE"""),0.24105202523909136)</f>
        <v>0.2410520252</v>
      </c>
      <c r="I71" s="57">
        <f>IFERROR(__xludf.DUMMYFUNCTION("""COMPUTED_VALUE"""),0.19030096902551402)</f>
        <v>0.190300969</v>
      </c>
      <c r="J71" s="57">
        <f>IFERROR(__xludf.DUMMYFUNCTION("""COMPUTED_VALUE"""),0.0)</f>
        <v>0</v>
      </c>
      <c r="K71" s="57">
        <f>IFERROR(__xludf.DUMMYFUNCTION("""COMPUTED_VALUE"""),0.5917548367662476)</f>
        <v>0.5917548368</v>
      </c>
      <c r="L71" s="57">
        <f>IFERROR(__xludf.DUMMYFUNCTION("""COMPUTED_VALUE"""),1.3156235341519662)</f>
        <v>1.315623534</v>
      </c>
      <c r="M71" s="57">
        <f>IFERROR(__xludf.DUMMYFUNCTION("""COMPUTED_VALUE"""),22.78552014460212)</f>
        <v>22.78552014</v>
      </c>
      <c r="N71" s="57">
        <f>IFERROR(__xludf.DUMMYFUNCTION("""COMPUTED_VALUE"""),0.0)</f>
        <v>0</v>
      </c>
      <c r="O71" s="57">
        <f>IFERROR(__xludf.DUMMYFUNCTION("""COMPUTED_VALUE"""),0.0)</f>
        <v>0</v>
      </c>
      <c r="Q71" s="109">
        <v>16.2622</v>
      </c>
      <c r="R71" s="109">
        <v>0.2286</v>
      </c>
      <c r="S71" s="109">
        <v>0.3823</v>
      </c>
      <c r="T71" s="109">
        <v>0.3733</v>
      </c>
      <c r="U71" s="109">
        <v>0.5975</v>
      </c>
      <c r="V71" s="109">
        <v>0.5132</v>
      </c>
      <c r="W71" s="109">
        <v>0.4488</v>
      </c>
      <c r="X71" s="109">
        <v>0.0</v>
      </c>
      <c r="Y71" s="109">
        <v>1.8564</v>
      </c>
      <c r="Z71" s="109">
        <v>3.4368</v>
      </c>
      <c r="AA71" s="109">
        <v>49.3166</v>
      </c>
      <c r="AB71" s="109">
        <v>0.0</v>
      </c>
      <c r="AC71" s="109">
        <v>0.0</v>
      </c>
      <c r="AE71" s="51">
        <f t="shared" ref="AE71:AQ71" si="67">IFERROR((Q71-C71)/C71, "")</f>
        <v>1.791674958</v>
      </c>
      <c r="AF71" s="51">
        <f t="shared" si="67"/>
        <v>0.902555058</v>
      </c>
      <c r="AG71" s="51">
        <f t="shared" si="67"/>
        <v>0.9988344845</v>
      </c>
      <c r="AH71" s="51">
        <f t="shared" si="67"/>
        <v>6.000771969</v>
      </c>
      <c r="AI71" s="51">
        <f t="shared" si="67"/>
        <v>0.9903422682</v>
      </c>
      <c r="AJ71" s="51">
        <f t="shared" si="67"/>
        <v>1.129000988</v>
      </c>
      <c r="AK71" s="51">
        <f t="shared" si="67"/>
        <v>1.358369494</v>
      </c>
      <c r="AL71" s="51" t="str">
        <f t="shared" si="67"/>
        <v/>
      </c>
      <c r="AM71" s="51">
        <f t="shared" si="67"/>
        <v>2.137109973</v>
      </c>
      <c r="AN71" s="51">
        <f t="shared" si="67"/>
        <v>1.612297447</v>
      </c>
      <c r="AO71" s="51">
        <f t="shared" si="67"/>
        <v>1.164383331</v>
      </c>
      <c r="AP71" s="51" t="str">
        <f t="shared" si="67"/>
        <v/>
      </c>
      <c r="AQ71" s="51" t="str">
        <f t="shared" si="67"/>
        <v/>
      </c>
    </row>
    <row r="72">
      <c r="B72" s="56" t="s">
        <v>97</v>
      </c>
      <c r="C72" s="57">
        <f>IFERROR(__xludf.DUMMYFUNCTION("""COMPUTED_VALUE"""),0.0)</f>
        <v>0</v>
      </c>
      <c r="D72" s="57">
        <f>IFERROR(__xludf.DUMMYFUNCTION("""COMPUTED_VALUE"""),0.0)</f>
        <v>0</v>
      </c>
      <c r="E72" s="57">
        <f>IFERROR(__xludf.DUMMYFUNCTION("""COMPUTED_VALUE"""),0.0)</f>
        <v>0</v>
      </c>
      <c r="F72" s="57">
        <f>IFERROR(__xludf.DUMMYFUNCTION("""COMPUTED_VALUE"""),0.0)</f>
        <v>0</v>
      </c>
      <c r="G72" s="57">
        <f>IFERROR(__xludf.DUMMYFUNCTION("""COMPUTED_VALUE"""),0.0)</f>
        <v>0</v>
      </c>
      <c r="H72" s="57">
        <f>IFERROR(__xludf.DUMMYFUNCTION("""COMPUTED_VALUE"""),0.0)</f>
        <v>0</v>
      </c>
      <c r="I72" s="57">
        <f>IFERROR(__xludf.DUMMYFUNCTION("""COMPUTED_VALUE"""),0.0)</f>
        <v>0</v>
      </c>
      <c r="J72" s="57">
        <f>IFERROR(__xludf.DUMMYFUNCTION("""COMPUTED_VALUE"""),0.0)</f>
        <v>0</v>
      </c>
      <c r="K72" s="57">
        <f>IFERROR(__xludf.DUMMYFUNCTION("""COMPUTED_VALUE"""),0.0)</f>
        <v>0</v>
      </c>
      <c r="L72" s="57">
        <f>IFERROR(__xludf.DUMMYFUNCTION("""COMPUTED_VALUE"""),0.0)</f>
        <v>0</v>
      </c>
      <c r="M72" s="57">
        <f>IFERROR(__xludf.DUMMYFUNCTION("""COMPUTED_VALUE"""),0.0)</f>
        <v>0</v>
      </c>
      <c r="N72" s="57">
        <f>IFERROR(__xludf.DUMMYFUNCTION("""COMPUTED_VALUE"""),0.0)</f>
        <v>0</v>
      </c>
      <c r="O72" s="57">
        <f>IFERROR(__xludf.DUMMYFUNCTION("""COMPUTED_VALUE"""),0.0)</f>
        <v>0</v>
      </c>
      <c r="Q72" s="109">
        <v>0.2581</v>
      </c>
      <c r="R72" s="109">
        <v>2.0E-4</v>
      </c>
      <c r="S72" s="109">
        <v>0.0</v>
      </c>
      <c r="T72" s="109">
        <v>0.0</v>
      </c>
      <c r="U72" s="109">
        <v>0.0063</v>
      </c>
      <c r="V72" s="109">
        <v>0.0222</v>
      </c>
      <c r="W72" s="109">
        <v>0.0</v>
      </c>
      <c r="X72" s="109">
        <v>0.0611</v>
      </c>
      <c r="Y72" s="109">
        <v>0.1752</v>
      </c>
      <c r="Z72" s="109">
        <v>0.2332</v>
      </c>
      <c r="AA72" s="109">
        <v>0.5373</v>
      </c>
      <c r="AB72" s="109">
        <v>0.0</v>
      </c>
      <c r="AC72" s="109">
        <v>0.0</v>
      </c>
      <c r="AE72" s="51" t="str">
        <f t="shared" ref="AE72:AQ72" si="68">IFERROR((Q72-C72)/C72, "")</f>
        <v/>
      </c>
      <c r="AF72" s="51" t="str">
        <f t="shared" si="68"/>
        <v/>
      </c>
      <c r="AG72" s="51" t="str">
        <f t="shared" si="68"/>
        <v/>
      </c>
      <c r="AH72" s="51" t="str">
        <f t="shared" si="68"/>
        <v/>
      </c>
      <c r="AI72" s="51" t="str">
        <f t="shared" si="68"/>
        <v/>
      </c>
      <c r="AJ72" s="51" t="str">
        <f t="shared" si="68"/>
        <v/>
      </c>
      <c r="AK72" s="51" t="str">
        <f t="shared" si="68"/>
        <v/>
      </c>
      <c r="AL72" s="51" t="str">
        <f t="shared" si="68"/>
        <v/>
      </c>
      <c r="AM72" s="51" t="str">
        <f t="shared" si="68"/>
        <v/>
      </c>
      <c r="AN72" s="51" t="str">
        <f t="shared" si="68"/>
        <v/>
      </c>
      <c r="AO72" s="51" t="str">
        <f t="shared" si="68"/>
        <v/>
      </c>
      <c r="AP72" s="51" t="str">
        <f t="shared" si="68"/>
        <v/>
      </c>
      <c r="AQ72" s="51" t="str">
        <f t="shared" si="68"/>
        <v/>
      </c>
    </row>
    <row r="73">
      <c r="B73" s="56" t="s">
        <v>99</v>
      </c>
      <c r="C73" s="57">
        <f>IFERROR(__xludf.DUMMYFUNCTION("""COMPUTED_VALUE"""),1.5201248472929334)</f>
        <v>1.520124847</v>
      </c>
      <c r="D73" s="57">
        <f>IFERROR(__xludf.DUMMYFUNCTION("""COMPUTED_VALUE"""),0.020952734028399717)</f>
        <v>0.02095273403</v>
      </c>
      <c r="E73" s="57">
        <f>IFERROR(__xludf.DUMMYFUNCTION("""COMPUTED_VALUE"""),0.011102020444526916)</f>
        <v>0.01110202044</v>
      </c>
      <c r="F73" s="57">
        <f>IFERROR(__xludf.DUMMYFUNCTION("""COMPUTED_VALUE"""),8.785771574805472E-4)</f>
        <v>0.0008785771575</v>
      </c>
      <c r="G73" s="57">
        <f>IFERROR(__xludf.DUMMYFUNCTION("""COMPUTED_VALUE"""),0.006150040102363831)</f>
        <v>0.006150040102</v>
      </c>
      <c r="H73" s="57">
        <f>IFERROR(__xludf.DUMMYFUNCTION("""COMPUTED_VALUE"""),0.0068422524082575945)</f>
        <v>0.006842252408</v>
      </c>
      <c r="I73" s="57">
        <f>IFERROR(__xludf.DUMMYFUNCTION("""COMPUTED_VALUE"""),0.00753446471415136)</f>
        <v>0.007534464714</v>
      </c>
      <c r="J73" s="57">
        <f>IFERROR(__xludf.DUMMYFUNCTION("""COMPUTED_VALUE"""),0.0)</f>
        <v>0</v>
      </c>
      <c r="K73" s="57">
        <f>IFERROR(__xludf.DUMMYFUNCTION("""COMPUTED_VALUE"""),0.0)</f>
        <v>0</v>
      </c>
      <c r="L73" s="57">
        <f>IFERROR(__xludf.DUMMYFUNCTION("""COMPUTED_VALUE"""),0.0)</f>
        <v>0</v>
      </c>
      <c r="M73" s="57">
        <f>IFERROR(__xludf.DUMMYFUNCTION("""COMPUTED_VALUE"""),3.0137060150098636)</f>
        <v>3.013706015</v>
      </c>
      <c r="N73" s="57">
        <f>IFERROR(__xludf.DUMMYFUNCTION("""COMPUTED_VALUE"""),5.195461583502846)</f>
        <v>5.195461584</v>
      </c>
      <c r="O73" s="57">
        <f>IFERROR(__xludf.DUMMYFUNCTION("""COMPUTED_VALUE"""),0.0)</f>
        <v>0</v>
      </c>
      <c r="Q73" s="109">
        <v>4.311</v>
      </c>
      <c r="R73" s="109">
        <v>0.0542</v>
      </c>
      <c r="S73" s="109">
        <v>0.0302</v>
      </c>
      <c r="T73" s="109">
        <v>0.0014</v>
      </c>
      <c r="U73" s="109">
        <v>0.0167</v>
      </c>
      <c r="V73" s="109">
        <v>0.0208</v>
      </c>
      <c r="W73" s="109">
        <v>0.0207</v>
      </c>
      <c r="X73" s="109">
        <v>0.0</v>
      </c>
      <c r="Y73" s="109">
        <v>0.0</v>
      </c>
      <c r="Z73" s="109">
        <v>0.0</v>
      </c>
      <c r="AA73" s="109">
        <v>15.4966</v>
      </c>
      <c r="AB73" s="109">
        <v>17.0355</v>
      </c>
      <c r="AC73" s="109">
        <v>0.0</v>
      </c>
      <c r="AE73" s="51">
        <f t="shared" ref="AE73:AQ73" si="69">IFERROR((Q73-C73)/C73, "")</f>
        <v>1.835951276</v>
      </c>
      <c r="AF73" s="51">
        <f t="shared" si="69"/>
        <v>1.586774591</v>
      </c>
      <c r="AG73" s="51">
        <f t="shared" si="69"/>
        <v>1.72022558</v>
      </c>
      <c r="AH73" s="51">
        <f t="shared" si="69"/>
        <v>0.5934855443</v>
      </c>
      <c r="AI73" s="51">
        <f t="shared" si="69"/>
        <v>1.715429448</v>
      </c>
      <c r="AJ73" s="51">
        <f t="shared" si="69"/>
        <v>2.039934624</v>
      </c>
      <c r="AK73" s="51">
        <f t="shared" si="69"/>
        <v>1.747375001</v>
      </c>
      <c r="AL73" s="51" t="str">
        <f t="shared" si="69"/>
        <v/>
      </c>
      <c r="AM73" s="51" t="str">
        <f t="shared" si="69"/>
        <v/>
      </c>
      <c r="AN73" s="51" t="str">
        <f t="shared" si="69"/>
        <v/>
      </c>
      <c r="AO73" s="51">
        <f t="shared" si="69"/>
        <v>4.142041036</v>
      </c>
      <c r="AP73" s="51">
        <f t="shared" si="69"/>
        <v>2.278919443</v>
      </c>
      <c r="AQ73" s="51" t="str">
        <f t="shared" si="69"/>
        <v/>
      </c>
    </row>
    <row r="74">
      <c r="B74" s="56" t="s">
        <v>100</v>
      </c>
      <c r="C74" s="57">
        <f>IFERROR(__xludf.DUMMYFUNCTION("""COMPUTED_VALUE"""),0.0)</f>
        <v>0</v>
      </c>
      <c r="D74" s="57">
        <f>IFERROR(__xludf.DUMMYFUNCTION("""COMPUTED_VALUE"""),0.0)</f>
        <v>0</v>
      </c>
      <c r="E74" s="57">
        <f>IFERROR(__xludf.DUMMYFUNCTION("""COMPUTED_VALUE"""),0.0)</f>
        <v>0</v>
      </c>
      <c r="F74" s="57">
        <f>IFERROR(__xludf.DUMMYFUNCTION("""COMPUTED_VALUE"""),0.0)</f>
        <v>0</v>
      </c>
      <c r="G74" s="57">
        <f>IFERROR(__xludf.DUMMYFUNCTION("""COMPUTED_VALUE"""),0.0)</f>
        <v>0</v>
      </c>
      <c r="H74" s="57">
        <f>IFERROR(__xludf.DUMMYFUNCTION("""COMPUTED_VALUE"""),0.0)</f>
        <v>0</v>
      </c>
      <c r="I74" s="57">
        <f>IFERROR(__xludf.DUMMYFUNCTION("""COMPUTED_VALUE"""),0.0)</f>
        <v>0</v>
      </c>
      <c r="J74" s="57">
        <f>IFERROR(__xludf.DUMMYFUNCTION("""COMPUTED_VALUE"""),0.0)</f>
        <v>0</v>
      </c>
      <c r="K74" s="57">
        <f>IFERROR(__xludf.DUMMYFUNCTION("""COMPUTED_VALUE"""),0.0)</f>
        <v>0</v>
      </c>
      <c r="L74" s="57">
        <f>IFERROR(__xludf.DUMMYFUNCTION("""COMPUTED_VALUE"""),0.0)</f>
        <v>0</v>
      </c>
      <c r="M74" s="57">
        <f>IFERROR(__xludf.DUMMYFUNCTION("""COMPUTED_VALUE"""),0.0)</f>
        <v>0</v>
      </c>
      <c r="N74" s="57">
        <f>IFERROR(__xludf.DUMMYFUNCTION("""COMPUTED_VALUE"""),0.0)</f>
        <v>0</v>
      </c>
      <c r="O74" s="57">
        <f>IFERROR(__xludf.DUMMYFUNCTION("""COMPUTED_VALUE"""),0.0)</f>
        <v>0</v>
      </c>
      <c r="Q74" s="109">
        <v>0.0</v>
      </c>
      <c r="R74" s="109">
        <v>0.0</v>
      </c>
      <c r="S74" s="109">
        <v>0.0</v>
      </c>
      <c r="T74" s="109">
        <v>0.0</v>
      </c>
      <c r="U74" s="109">
        <v>0.0</v>
      </c>
      <c r="V74" s="109">
        <v>0.0</v>
      </c>
      <c r="W74" s="109">
        <v>0.0</v>
      </c>
      <c r="X74" s="109">
        <v>0.0</v>
      </c>
      <c r="Y74" s="109">
        <v>0.0</v>
      </c>
      <c r="Z74" s="109">
        <v>0.0</v>
      </c>
      <c r="AA74" s="109">
        <v>0.0</v>
      </c>
      <c r="AB74" s="109">
        <v>0.0</v>
      </c>
      <c r="AC74" s="109">
        <v>0.0</v>
      </c>
      <c r="AE74" s="51" t="str">
        <f t="shared" ref="AE74:AQ74" si="70">IFERROR((Q74-C74)/C74, "")</f>
        <v/>
      </c>
      <c r="AF74" s="51" t="str">
        <f t="shared" si="70"/>
        <v/>
      </c>
      <c r="AG74" s="51" t="str">
        <f t="shared" si="70"/>
        <v/>
      </c>
      <c r="AH74" s="51" t="str">
        <f t="shared" si="70"/>
        <v/>
      </c>
      <c r="AI74" s="51" t="str">
        <f t="shared" si="70"/>
        <v/>
      </c>
      <c r="AJ74" s="51" t="str">
        <f t="shared" si="70"/>
        <v/>
      </c>
      <c r="AK74" s="51" t="str">
        <f t="shared" si="70"/>
        <v/>
      </c>
      <c r="AL74" s="51" t="str">
        <f t="shared" si="70"/>
        <v/>
      </c>
      <c r="AM74" s="51" t="str">
        <f t="shared" si="70"/>
        <v/>
      </c>
      <c r="AN74" s="51" t="str">
        <f t="shared" si="70"/>
        <v/>
      </c>
      <c r="AO74" s="51" t="str">
        <f t="shared" si="70"/>
        <v/>
      </c>
      <c r="AP74" s="51" t="str">
        <f t="shared" si="70"/>
        <v/>
      </c>
      <c r="AQ74" s="51" t="str">
        <f t="shared" si="70"/>
        <v/>
      </c>
    </row>
    <row r="75">
      <c r="B75" s="37" t="s">
        <v>104</v>
      </c>
      <c r="C75" s="43">
        <f>IFERROR(__xludf.DUMMYFUNCTION("""COMPUTED_VALUE"""),13.206836363636366)</f>
        <v>13.20683636</v>
      </c>
      <c r="D75" s="43">
        <f>IFERROR(__xludf.DUMMYFUNCTION("""COMPUTED_VALUE"""),0.19903030303030306)</f>
        <v>0.199030303</v>
      </c>
      <c r="E75" s="43">
        <f>IFERROR(__xludf.DUMMYFUNCTION("""COMPUTED_VALUE"""),0.18235151515151515)</f>
        <v>0.1823515152</v>
      </c>
      <c r="F75" s="43">
        <f>IFERROR(__xludf.DUMMYFUNCTION("""COMPUTED_VALUE"""),0.09524848484848486)</f>
        <v>0.09524848485</v>
      </c>
      <c r="G75" s="43">
        <f>IFERROR(__xludf.DUMMYFUNCTION("""COMPUTED_VALUE"""),0.31716363636363637)</f>
        <v>0.3171636364</v>
      </c>
      <c r="H75" s="43">
        <f>IFERROR(__xludf.DUMMYFUNCTION("""COMPUTED_VALUE"""),0.35265454545454544)</f>
        <v>0.3526545455</v>
      </c>
      <c r="I75" s="43">
        <f>IFERROR(__xludf.DUMMYFUNCTION("""COMPUTED_VALUE"""),0.3687030303030303)</f>
        <v>0.3687030303</v>
      </c>
      <c r="J75" s="43">
        <f>IFERROR(__xludf.DUMMYFUNCTION("""COMPUTED_VALUE"""),0.09723636363636366)</f>
        <v>0.09723636364</v>
      </c>
      <c r="K75" s="43">
        <f>IFERROR(__xludf.DUMMYFUNCTION("""COMPUTED_VALUE"""),0.059830303030303025)</f>
        <v>0.05983030303</v>
      </c>
      <c r="L75" s="43">
        <f>IFERROR(__xludf.DUMMYFUNCTION("""COMPUTED_VALUE"""),0.05696969696969696)</f>
        <v>0.05696969697</v>
      </c>
      <c r="M75" s="43">
        <f>IFERROR(__xludf.DUMMYFUNCTION("""COMPUTED_VALUE"""),8.064218181818182)</f>
        <v>8.064218182</v>
      </c>
      <c r="N75" s="41">
        <f>IFERROR(__xludf.DUMMYFUNCTION("""COMPUTED_VALUE"""),23.759709090909094)</f>
        <v>23.75970909</v>
      </c>
      <c r="O75" s="41">
        <f>IFERROR(__xludf.DUMMYFUNCTION("""COMPUTED_VALUE"""),0.0)</f>
        <v>0</v>
      </c>
      <c r="Q75" s="109">
        <v>25.8977</v>
      </c>
      <c r="R75" s="109">
        <v>0.2147</v>
      </c>
      <c r="S75" s="109">
        <v>0.2569</v>
      </c>
      <c r="T75" s="109">
        <v>0.1053</v>
      </c>
      <c r="U75" s="109">
        <v>0.5031</v>
      </c>
      <c r="V75" s="109">
        <v>0.5004</v>
      </c>
      <c r="W75" s="109">
        <v>0.4977</v>
      </c>
      <c r="X75" s="109">
        <v>0.0443</v>
      </c>
      <c r="Y75" s="109">
        <v>0.0443</v>
      </c>
      <c r="Z75" s="109">
        <v>0.0443</v>
      </c>
      <c r="AA75" s="109">
        <v>4.9006</v>
      </c>
      <c r="AB75" s="109">
        <v>17.864</v>
      </c>
      <c r="AC75" s="109">
        <v>0.0</v>
      </c>
      <c r="AE75" s="51">
        <f t="shared" ref="AE75:AQ75" si="71">IFERROR((Q75-C75)/C75, "")</f>
        <v>0.9609313909</v>
      </c>
      <c r="AF75" s="51">
        <f t="shared" si="71"/>
        <v>0.07873020706</v>
      </c>
      <c r="AG75" s="51">
        <f t="shared" si="71"/>
        <v>0.4088174688</v>
      </c>
      <c r="AH75" s="51">
        <f t="shared" si="71"/>
        <v>0.1055293968</v>
      </c>
      <c r="AI75" s="51">
        <f t="shared" si="71"/>
        <v>0.5862474203</v>
      </c>
      <c r="AJ75" s="51">
        <f t="shared" si="71"/>
        <v>0.4189523613</v>
      </c>
      <c r="AK75" s="51">
        <f t="shared" si="71"/>
        <v>0.3498668552</v>
      </c>
      <c r="AL75" s="51">
        <f t="shared" si="71"/>
        <v>-0.5444091249</v>
      </c>
      <c r="AM75" s="51">
        <f t="shared" si="71"/>
        <v>-0.2595725284</v>
      </c>
      <c r="AN75" s="51">
        <f t="shared" si="71"/>
        <v>-0.222393617</v>
      </c>
      <c r="AO75" s="51">
        <f t="shared" si="71"/>
        <v>-0.3923031484</v>
      </c>
      <c r="AP75" s="51">
        <f t="shared" si="71"/>
        <v>-0.2481389426</v>
      </c>
      <c r="AQ75" s="51" t="str">
        <f t="shared" si="71"/>
        <v/>
      </c>
    </row>
    <row r="76">
      <c r="B76" s="56" t="s">
        <v>107</v>
      </c>
      <c r="C76" s="57">
        <f>IFERROR(__xludf.DUMMYFUNCTION("""COMPUTED_VALUE"""),0.0)</f>
        <v>0</v>
      </c>
      <c r="D76" s="57">
        <f>IFERROR(__xludf.DUMMYFUNCTION("""COMPUTED_VALUE"""),0.0)</f>
        <v>0</v>
      </c>
      <c r="E76" s="57">
        <f>IFERROR(__xludf.DUMMYFUNCTION("""COMPUTED_VALUE"""),0.0)</f>
        <v>0</v>
      </c>
      <c r="F76" s="57">
        <f>IFERROR(__xludf.DUMMYFUNCTION("""COMPUTED_VALUE"""),0.0)</f>
        <v>0</v>
      </c>
      <c r="G76" s="57">
        <f>IFERROR(__xludf.DUMMYFUNCTION("""COMPUTED_VALUE"""),0.0)</f>
        <v>0</v>
      </c>
      <c r="H76" s="57">
        <f>IFERROR(__xludf.DUMMYFUNCTION("""COMPUTED_VALUE"""),0.0)</f>
        <v>0</v>
      </c>
      <c r="I76" s="57">
        <f>IFERROR(__xludf.DUMMYFUNCTION("""COMPUTED_VALUE"""),0.0)</f>
        <v>0</v>
      </c>
      <c r="J76" s="57">
        <f>IFERROR(__xludf.DUMMYFUNCTION("""COMPUTED_VALUE"""),0.0)</f>
        <v>0</v>
      </c>
      <c r="K76" s="57">
        <f>IFERROR(__xludf.DUMMYFUNCTION("""COMPUTED_VALUE"""),0.0)</f>
        <v>0</v>
      </c>
      <c r="L76" s="57">
        <f>IFERROR(__xludf.DUMMYFUNCTION("""COMPUTED_VALUE"""),0.0)</f>
        <v>0</v>
      </c>
      <c r="M76" s="57">
        <f>IFERROR(__xludf.DUMMYFUNCTION("""COMPUTED_VALUE"""),0.0)</f>
        <v>0</v>
      </c>
      <c r="N76" s="57">
        <f>IFERROR(__xludf.DUMMYFUNCTION("""COMPUTED_VALUE"""),0.0)</f>
        <v>0</v>
      </c>
      <c r="O76" s="57">
        <f>IFERROR(__xludf.DUMMYFUNCTION("""COMPUTED_VALUE"""),0.0)</f>
        <v>0</v>
      </c>
      <c r="Q76" s="109">
        <v>0.0597</v>
      </c>
      <c r="R76" s="109">
        <v>0.0</v>
      </c>
      <c r="S76" s="109">
        <v>4.0E-4</v>
      </c>
      <c r="T76" s="109">
        <v>0.0</v>
      </c>
      <c r="U76" s="109">
        <v>0.0015</v>
      </c>
      <c r="V76" s="109">
        <v>0.0016</v>
      </c>
      <c r="W76" s="109">
        <v>0.0</v>
      </c>
      <c r="X76" s="109">
        <v>0.0053</v>
      </c>
      <c r="Y76" s="109">
        <v>0.0137</v>
      </c>
      <c r="Z76" s="109">
        <v>0.02</v>
      </c>
      <c r="AA76" s="109">
        <v>0.1412</v>
      </c>
      <c r="AB76" s="109">
        <v>0.0</v>
      </c>
      <c r="AC76" s="109">
        <v>0.0</v>
      </c>
      <c r="AE76" s="51" t="str">
        <f t="shared" ref="AE76:AQ76" si="72">IFERROR((Q76-C76)/C76, "")</f>
        <v/>
      </c>
      <c r="AF76" s="51" t="str">
        <f t="shared" si="72"/>
        <v/>
      </c>
      <c r="AG76" s="51" t="str">
        <f t="shared" si="72"/>
        <v/>
      </c>
      <c r="AH76" s="51" t="str">
        <f t="shared" si="72"/>
        <v/>
      </c>
      <c r="AI76" s="51" t="str">
        <f t="shared" si="72"/>
        <v/>
      </c>
      <c r="AJ76" s="51" t="str">
        <f t="shared" si="72"/>
        <v/>
      </c>
      <c r="AK76" s="51" t="str">
        <f t="shared" si="72"/>
        <v/>
      </c>
      <c r="AL76" s="51" t="str">
        <f t="shared" si="72"/>
        <v/>
      </c>
      <c r="AM76" s="51" t="str">
        <f t="shared" si="72"/>
        <v/>
      </c>
      <c r="AN76" s="51" t="str">
        <f t="shared" si="72"/>
        <v/>
      </c>
      <c r="AO76" s="51" t="str">
        <f t="shared" si="72"/>
        <v/>
      </c>
      <c r="AP76" s="51" t="str">
        <f t="shared" si="72"/>
        <v/>
      </c>
      <c r="AQ76" s="51" t="str">
        <f t="shared" si="72"/>
        <v/>
      </c>
    </row>
    <row r="77">
      <c r="B77" s="56" t="s">
        <v>110</v>
      </c>
      <c r="C77" s="57">
        <f>IFERROR(__xludf.DUMMYFUNCTION("""COMPUTED_VALUE"""),0.0)</f>
        <v>0</v>
      </c>
      <c r="D77" s="57">
        <f>IFERROR(__xludf.DUMMYFUNCTION("""COMPUTED_VALUE"""),0.0)</f>
        <v>0</v>
      </c>
      <c r="E77" s="57">
        <f>IFERROR(__xludf.DUMMYFUNCTION("""COMPUTED_VALUE"""),0.0)</f>
        <v>0</v>
      </c>
      <c r="F77" s="57">
        <f>IFERROR(__xludf.DUMMYFUNCTION("""COMPUTED_VALUE"""),0.0)</f>
        <v>0</v>
      </c>
      <c r="G77" s="57">
        <f>IFERROR(__xludf.DUMMYFUNCTION("""COMPUTED_VALUE"""),0.0)</f>
        <v>0</v>
      </c>
      <c r="H77" s="57">
        <f>IFERROR(__xludf.DUMMYFUNCTION("""COMPUTED_VALUE"""),0.0)</f>
        <v>0</v>
      </c>
      <c r="I77" s="57">
        <f>IFERROR(__xludf.DUMMYFUNCTION("""COMPUTED_VALUE"""),0.0)</f>
        <v>0</v>
      </c>
      <c r="J77" s="57">
        <f>IFERROR(__xludf.DUMMYFUNCTION("""COMPUTED_VALUE"""),0.0)</f>
        <v>0</v>
      </c>
      <c r="K77" s="57">
        <f>IFERROR(__xludf.DUMMYFUNCTION("""COMPUTED_VALUE"""),0.0)</f>
        <v>0</v>
      </c>
      <c r="L77" s="57">
        <f>IFERROR(__xludf.DUMMYFUNCTION("""COMPUTED_VALUE"""),0.0)</f>
        <v>0</v>
      </c>
      <c r="M77" s="57">
        <f>IFERROR(__xludf.DUMMYFUNCTION("""COMPUTED_VALUE"""),0.0)</f>
        <v>0</v>
      </c>
      <c r="N77" s="57">
        <f>IFERROR(__xludf.DUMMYFUNCTION("""COMPUTED_VALUE"""),0.0)</f>
        <v>0</v>
      </c>
      <c r="O77" s="57">
        <f>IFERROR(__xludf.DUMMYFUNCTION("""COMPUTED_VALUE"""),0.0)</f>
        <v>0</v>
      </c>
      <c r="Q77" s="109">
        <v>19.6319</v>
      </c>
      <c r="R77" s="109">
        <v>0.2917</v>
      </c>
      <c r="S77" s="109">
        <v>0.3039</v>
      </c>
      <c r="T77" s="109">
        <v>0.0445</v>
      </c>
      <c r="U77" s="109">
        <v>0.0</v>
      </c>
      <c r="V77" s="109">
        <v>0.0</v>
      </c>
      <c r="W77" s="109">
        <v>0.0</v>
      </c>
      <c r="X77" s="109">
        <v>0.0</v>
      </c>
      <c r="Y77" s="109">
        <v>0.0</v>
      </c>
      <c r="Z77" s="109">
        <v>0.0</v>
      </c>
      <c r="AA77" s="109">
        <v>0.0</v>
      </c>
      <c r="AB77" s="109">
        <v>0.0</v>
      </c>
      <c r="AC77" s="109">
        <v>0.0</v>
      </c>
      <c r="AE77" s="51" t="str">
        <f t="shared" ref="AE77:AQ77" si="73">IFERROR((Q77-C77)/C77, "")</f>
        <v/>
      </c>
      <c r="AF77" s="51" t="str">
        <f t="shared" si="73"/>
        <v/>
      </c>
      <c r="AG77" s="51" t="str">
        <f t="shared" si="73"/>
        <v/>
      </c>
      <c r="AH77" s="51" t="str">
        <f t="shared" si="73"/>
        <v/>
      </c>
      <c r="AI77" s="51" t="str">
        <f t="shared" si="73"/>
        <v/>
      </c>
      <c r="AJ77" s="51" t="str">
        <f t="shared" si="73"/>
        <v/>
      </c>
      <c r="AK77" s="51" t="str">
        <f t="shared" si="73"/>
        <v/>
      </c>
      <c r="AL77" s="51" t="str">
        <f t="shared" si="73"/>
        <v/>
      </c>
      <c r="AM77" s="51" t="str">
        <f t="shared" si="73"/>
        <v/>
      </c>
      <c r="AN77" s="51" t="str">
        <f t="shared" si="73"/>
        <v/>
      </c>
      <c r="AO77" s="51" t="str">
        <f t="shared" si="73"/>
        <v/>
      </c>
      <c r="AP77" s="51" t="str">
        <f t="shared" si="73"/>
        <v/>
      </c>
      <c r="AQ77" s="51" t="str">
        <f t="shared" si="73"/>
        <v/>
      </c>
    </row>
    <row r="78">
      <c r="B78" s="56" t="s">
        <v>111</v>
      </c>
      <c r="C78" s="57">
        <f>IFERROR(__xludf.DUMMYFUNCTION("""COMPUTED_VALUE"""),0.0)</f>
        <v>0</v>
      </c>
      <c r="D78" s="57">
        <f>IFERROR(__xludf.DUMMYFUNCTION("""COMPUTED_VALUE"""),0.0)</f>
        <v>0</v>
      </c>
      <c r="E78" s="57">
        <f>IFERROR(__xludf.DUMMYFUNCTION("""COMPUTED_VALUE"""),0.0)</f>
        <v>0</v>
      </c>
      <c r="F78" s="57">
        <f>IFERROR(__xludf.DUMMYFUNCTION("""COMPUTED_VALUE"""),0.0)</f>
        <v>0</v>
      </c>
      <c r="G78" s="57">
        <f>IFERROR(__xludf.DUMMYFUNCTION("""COMPUTED_VALUE"""),0.0)</f>
        <v>0</v>
      </c>
      <c r="H78" s="57">
        <f>IFERROR(__xludf.DUMMYFUNCTION("""COMPUTED_VALUE"""),0.0)</f>
        <v>0</v>
      </c>
      <c r="I78" s="57">
        <f>IFERROR(__xludf.DUMMYFUNCTION("""COMPUTED_VALUE"""),0.0)</f>
        <v>0</v>
      </c>
      <c r="J78" s="57">
        <f>IFERROR(__xludf.DUMMYFUNCTION("""COMPUTED_VALUE"""),0.0)</f>
        <v>0</v>
      </c>
      <c r="K78" s="57">
        <f>IFERROR(__xludf.DUMMYFUNCTION("""COMPUTED_VALUE"""),0.0)</f>
        <v>0</v>
      </c>
      <c r="L78" s="57">
        <f>IFERROR(__xludf.DUMMYFUNCTION("""COMPUTED_VALUE"""),0.0)</f>
        <v>0</v>
      </c>
      <c r="M78" s="57">
        <f>IFERROR(__xludf.DUMMYFUNCTION("""COMPUTED_VALUE"""),0.0)</f>
        <v>0</v>
      </c>
      <c r="N78" s="57">
        <f>IFERROR(__xludf.DUMMYFUNCTION("""COMPUTED_VALUE"""),0.0)</f>
        <v>0</v>
      </c>
      <c r="O78" s="57">
        <f>IFERROR(__xludf.DUMMYFUNCTION("""COMPUTED_VALUE"""),0.0)</f>
        <v>0</v>
      </c>
      <c r="Q78" s="109">
        <v>0.0186</v>
      </c>
      <c r="R78" s="109">
        <v>1.0E-4</v>
      </c>
      <c r="S78" s="109">
        <v>6.0E-4</v>
      </c>
      <c r="T78" s="109">
        <v>6.0E-4</v>
      </c>
      <c r="U78" s="109">
        <v>1.0E-4</v>
      </c>
      <c r="V78" s="109">
        <v>3.0E-4</v>
      </c>
      <c r="W78" s="109">
        <v>2.0E-4</v>
      </c>
      <c r="X78" s="109">
        <v>0.0</v>
      </c>
      <c r="Y78" s="109">
        <v>0.0014</v>
      </c>
      <c r="Z78" s="109">
        <v>0.0011</v>
      </c>
      <c r="AA78" s="109">
        <v>0.0</v>
      </c>
      <c r="AB78" s="109">
        <v>0.0</v>
      </c>
      <c r="AC78" s="109">
        <v>0.0</v>
      </c>
      <c r="AE78" s="51" t="str">
        <f t="shared" ref="AE78:AQ78" si="74">IFERROR((Q78-C78)/C78, "")</f>
        <v/>
      </c>
      <c r="AF78" s="51" t="str">
        <f t="shared" si="74"/>
        <v/>
      </c>
      <c r="AG78" s="51" t="str">
        <f t="shared" si="74"/>
        <v/>
      </c>
      <c r="AH78" s="51" t="str">
        <f t="shared" si="74"/>
        <v/>
      </c>
      <c r="AI78" s="51" t="str">
        <f t="shared" si="74"/>
        <v/>
      </c>
      <c r="AJ78" s="51" t="str">
        <f t="shared" si="74"/>
        <v/>
      </c>
      <c r="AK78" s="51" t="str">
        <f t="shared" si="74"/>
        <v/>
      </c>
      <c r="AL78" s="51" t="str">
        <f t="shared" si="74"/>
        <v/>
      </c>
      <c r="AM78" s="51" t="str">
        <f t="shared" si="74"/>
        <v/>
      </c>
      <c r="AN78" s="51" t="str">
        <f t="shared" si="74"/>
        <v/>
      </c>
      <c r="AO78" s="51" t="str">
        <f t="shared" si="74"/>
        <v/>
      </c>
      <c r="AP78" s="51" t="str">
        <f t="shared" si="74"/>
        <v/>
      </c>
      <c r="AQ78" s="51" t="str">
        <f t="shared" si="74"/>
        <v/>
      </c>
    </row>
    <row r="79">
      <c r="B79" s="56" t="s">
        <v>113</v>
      </c>
      <c r="C79" s="57">
        <f>IFERROR(__xludf.DUMMYFUNCTION("""COMPUTED_VALUE"""),35.49569716013)</f>
        <v>35.49569716</v>
      </c>
      <c r="D79" s="57">
        <f>IFERROR(__xludf.DUMMYFUNCTION("""COMPUTED_VALUE"""),0.5033724231088946)</f>
        <v>0.5033724231</v>
      </c>
      <c r="E79" s="57">
        <f>IFERROR(__xludf.DUMMYFUNCTION("""COMPUTED_VALUE"""),0.33463737672863314)</f>
        <v>0.3346373767</v>
      </c>
      <c r="F79" s="57">
        <f>IFERROR(__xludf.DUMMYFUNCTION("""COMPUTED_VALUE"""),0.0)</f>
        <v>0</v>
      </c>
      <c r="G79" s="57">
        <f>IFERROR(__xludf.DUMMYFUNCTION("""COMPUTED_VALUE"""),0.3727675986800677)</f>
        <v>0.3727675987</v>
      </c>
      <c r="H79" s="57">
        <f>IFERROR(__xludf.DUMMYFUNCTION("""COMPUTED_VALUE"""),0.371608576097635)</f>
        <v>0.3716085761</v>
      </c>
      <c r="I79" s="57">
        <f>IFERROR(__xludf.DUMMYFUNCTION("""COMPUTED_VALUE"""),0.22253233582709903)</f>
        <v>0.2225323358</v>
      </c>
      <c r="J79" s="57">
        <f>IFERROR(__xludf.DUMMYFUNCTION("""COMPUTED_VALUE"""),0.0)</f>
        <v>0</v>
      </c>
      <c r="K79" s="57">
        <f>IFERROR(__xludf.DUMMYFUNCTION("""COMPUTED_VALUE"""),0.0)</f>
        <v>0</v>
      </c>
      <c r="L79" s="57">
        <f>IFERROR(__xludf.DUMMYFUNCTION("""COMPUTED_VALUE"""),7.294547721605082E-5)</f>
        <v>0.00007294547722</v>
      </c>
      <c r="M79" s="57">
        <f>IFERROR(__xludf.DUMMYFUNCTION("""COMPUTED_VALUE"""),64.34442736718812)</f>
        <v>64.34442737</v>
      </c>
      <c r="N79" s="57">
        <f>IFERROR(__xludf.DUMMYFUNCTION("""COMPUTED_VALUE"""),0.0)</f>
        <v>0</v>
      </c>
      <c r="O79" s="57">
        <f>IFERROR(__xludf.DUMMYFUNCTION("""COMPUTED_VALUE"""),0.0)</f>
        <v>0</v>
      </c>
      <c r="Q79" s="109">
        <v>44.8132</v>
      </c>
      <c r="R79" s="109">
        <v>0.7476</v>
      </c>
      <c r="S79" s="109">
        <v>0.6804</v>
      </c>
      <c r="T79" s="109">
        <v>0.0093</v>
      </c>
      <c r="U79" s="109">
        <v>0.7672</v>
      </c>
      <c r="V79" s="109">
        <v>0.6922</v>
      </c>
      <c r="W79" s="109">
        <v>0.694</v>
      </c>
      <c r="X79" s="109">
        <v>0.0</v>
      </c>
      <c r="Y79" s="109">
        <v>0.0</v>
      </c>
      <c r="Z79" s="109">
        <v>0.0</v>
      </c>
      <c r="AA79" s="109">
        <v>187.1409</v>
      </c>
      <c r="AB79" s="109">
        <v>0.0</v>
      </c>
      <c r="AC79" s="109">
        <v>0.0</v>
      </c>
      <c r="AE79" s="51">
        <f t="shared" ref="AE79:AQ79" si="75">IFERROR((Q79-C79)/C79, "")</f>
        <v>0.2624966851</v>
      </c>
      <c r="AF79" s="51">
        <f t="shared" si="75"/>
        <v>0.4851826713</v>
      </c>
      <c r="AG79" s="51">
        <f t="shared" si="75"/>
        <v>1.033245678</v>
      </c>
      <c r="AH79" s="51" t="str">
        <f t="shared" si="75"/>
        <v/>
      </c>
      <c r="AI79" s="51">
        <f t="shared" si="75"/>
        <v>1.058118792</v>
      </c>
      <c r="AJ79" s="51">
        <f t="shared" si="75"/>
        <v>0.862712662</v>
      </c>
      <c r="AK79" s="51">
        <f t="shared" si="75"/>
        <v>2.118647892</v>
      </c>
      <c r="AL79" s="51" t="str">
        <f t="shared" si="75"/>
        <v/>
      </c>
      <c r="AM79" s="51" t="str">
        <f t="shared" si="75"/>
        <v/>
      </c>
      <c r="AN79" s="51">
        <f t="shared" si="75"/>
        <v>-1</v>
      </c>
      <c r="AO79" s="51">
        <f t="shared" si="75"/>
        <v>1.90842436</v>
      </c>
      <c r="AP79" s="51" t="str">
        <f t="shared" si="75"/>
        <v/>
      </c>
      <c r="AQ79" s="51" t="str">
        <f t="shared" si="75"/>
        <v/>
      </c>
    </row>
    <row r="80">
      <c r="B80" s="56" t="s">
        <v>115</v>
      </c>
      <c r="C80" s="57">
        <f>IFERROR(__xludf.DUMMYFUNCTION("""COMPUTED_VALUE"""),14.203335719922004)</f>
        <v>14.20333572</v>
      </c>
      <c r="D80" s="57">
        <f>IFERROR(__xludf.DUMMYFUNCTION("""COMPUTED_VALUE"""),0.15164150964059242)</f>
        <v>0.1516415096</v>
      </c>
      <c r="E80" s="57">
        <f>IFERROR(__xludf.DUMMYFUNCTION("""COMPUTED_VALUE"""),0.21423937941248025)</f>
        <v>0.2142393794</v>
      </c>
      <c r="F80" s="57">
        <f>IFERROR(__xludf.DUMMYFUNCTION("""COMPUTED_VALUE"""),0.1024733811212398)</f>
        <v>0.1024733811</v>
      </c>
      <c r="G80" s="57">
        <f>IFERROR(__xludf.DUMMYFUNCTION("""COMPUTED_VALUE"""),0.3552675745798014)</f>
        <v>0.3552675746</v>
      </c>
      <c r="H80" s="57">
        <f>IFERROR(__xludf.DUMMYFUNCTION("""COMPUTED_VALUE"""),0.38742575831365633)</f>
        <v>0.3874257583</v>
      </c>
      <c r="I80" s="57">
        <f>IFERROR(__xludf.DUMMYFUNCTION("""COMPUTED_VALUE"""),0.22451854155600834)</f>
        <v>0.2245185416</v>
      </c>
      <c r="J80" s="57">
        <f>IFERROR(__xludf.DUMMYFUNCTION("""COMPUTED_VALUE"""),1.6977006912994468)</f>
        <v>1.697700691</v>
      </c>
      <c r="K80" s="57">
        <f>IFERROR(__xludf.DUMMYFUNCTION("""COMPUTED_VALUE"""),3.4081946432233465)</f>
        <v>3.408194643</v>
      </c>
      <c r="L80" s="57">
        <f>IFERROR(__xludf.DUMMYFUNCTION("""COMPUTED_VALUE"""),3.7783240404688687)</f>
        <v>3.77832404</v>
      </c>
      <c r="M80" s="57">
        <f>IFERROR(__xludf.DUMMYFUNCTION("""COMPUTED_VALUE"""),24.108804174687318)</f>
        <v>24.10880417</v>
      </c>
      <c r="N80" s="57">
        <f>IFERROR(__xludf.DUMMYFUNCTION("""COMPUTED_VALUE"""),0.5585117511421611)</f>
        <v>0.5585117511</v>
      </c>
      <c r="O80" s="57">
        <f>IFERROR(__xludf.DUMMYFUNCTION("""COMPUTED_VALUE"""),0.0)</f>
        <v>0</v>
      </c>
      <c r="Q80" s="109">
        <v>21.3395</v>
      </c>
      <c r="R80" s="109">
        <v>0.149</v>
      </c>
      <c r="S80" s="109">
        <v>0.2884</v>
      </c>
      <c r="T80" s="109">
        <v>0.0379</v>
      </c>
      <c r="U80" s="109">
        <v>0.7844</v>
      </c>
      <c r="V80" s="109">
        <v>0.9711</v>
      </c>
      <c r="W80" s="109">
        <v>0.3962</v>
      </c>
      <c r="X80" s="109">
        <v>0.2718</v>
      </c>
      <c r="Y80" s="109">
        <v>2.7256</v>
      </c>
      <c r="Z80" s="109">
        <v>5.8197</v>
      </c>
      <c r="AA80" s="109">
        <v>27.1462</v>
      </c>
      <c r="AB80" s="109">
        <v>0.2312</v>
      </c>
      <c r="AC80" s="109">
        <v>0.0</v>
      </c>
      <c r="AE80" s="51">
        <f t="shared" ref="AE80:AQ80" si="76">IFERROR((Q80-C80)/C80, "")</f>
        <v>0.5024287548</v>
      </c>
      <c r="AF80" s="51">
        <f t="shared" si="76"/>
        <v>-0.01741943645</v>
      </c>
      <c r="AG80" s="51">
        <f t="shared" si="76"/>
        <v>0.3461577456</v>
      </c>
      <c r="AH80" s="51">
        <f t="shared" si="76"/>
        <v>-0.6301478532</v>
      </c>
      <c r="AI80" s="51">
        <f t="shared" si="76"/>
        <v>1.207913292</v>
      </c>
      <c r="AJ80" s="51">
        <f t="shared" si="76"/>
        <v>1.506544749</v>
      </c>
      <c r="AK80" s="51">
        <f t="shared" si="76"/>
        <v>0.764664946</v>
      </c>
      <c r="AL80" s="51">
        <f t="shared" si="76"/>
        <v>-0.8399011078</v>
      </c>
      <c r="AM80" s="51">
        <f t="shared" si="76"/>
        <v>-0.2002804167</v>
      </c>
      <c r="AN80" s="51">
        <f t="shared" si="76"/>
        <v>0.5402860998</v>
      </c>
      <c r="AO80" s="51">
        <f t="shared" si="76"/>
        <v>0.1259869964</v>
      </c>
      <c r="AP80" s="51">
        <f t="shared" si="76"/>
        <v>-0.5860427296</v>
      </c>
      <c r="AQ80" s="51" t="str">
        <f t="shared" si="76"/>
        <v/>
      </c>
    </row>
    <row r="81">
      <c r="B81" s="56" t="s">
        <v>117</v>
      </c>
      <c r="C81" s="57">
        <f>IFERROR(__xludf.DUMMYFUNCTION("""COMPUTED_VALUE"""),3.5222713086445343)</f>
        <v>3.522271309</v>
      </c>
      <c r="D81" s="57">
        <f>IFERROR(__xludf.DUMMYFUNCTION("""COMPUTED_VALUE"""),0.060893808511891384)</f>
        <v>0.06089380851</v>
      </c>
      <c r="E81" s="57">
        <f>IFERROR(__xludf.DUMMYFUNCTION("""COMPUTED_VALUE"""),0.04220382302572074)</f>
        <v>0.04220382303</v>
      </c>
      <c r="F81" s="57">
        <f>IFERROR(__xludf.DUMMYFUNCTION("""COMPUTED_VALUE"""),0.021951456307686308)</f>
        <v>0.02195145631</v>
      </c>
      <c r="G81" s="57">
        <f>IFERROR(__xludf.DUMMYFUNCTION("""COMPUTED_VALUE"""),1.5623812318637942E-4)</f>
        <v>0.0001562381232</v>
      </c>
      <c r="H81" s="57">
        <f>IFERROR(__xludf.DUMMYFUNCTION("""COMPUTED_VALUE"""),7.811906159318971E-5)</f>
        <v>0.00007811906159</v>
      </c>
      <c r="I81" s="57">
        <f>IFERROR(__xludf.DUMMYFUNCTION("""COMPUTED_VALUE"""),3.9059530796594856E-5)</f>
        <v>0.0000390595308</v>
      </c>
      <c r="J81" s="57">
        <f>IFERROR(__xludf.DUMMYFUNCTION("""COMPUTED_VALUE"""),0.0)</f>
        <v>0</v>
      </c>
      <c r="K81" s="57">
        <f>IFERROR(__xludf.DUMMYFUNCTION("""COMPUTED_VALUE"""),0.0)</f>
        <v>0</v>
      </c>
      <c r="L81" s="57">
        <f>IFERROR(__xludf.DUMMYFUNCTION("""COMPUTED_VALUE"""),0.0)</f>
        <v>0</v>
      </c>
      <c r="M81" s="57">
        <f>IFERROR(__xludf.DUMMYFUNCTION("""COMPUTED_VALUE"""),5.101291900627678)</f>
        <v>5.101291901</v>
      </c>
      <c r="N81" s="57">
        <f>IFERROR(__xludf.DUMMYFUNCTION("""COMPUTED_VALUE"""),5.46833431152328E-4)</f>
        <v>0.0005468334312</v>
      </c>
      <c r="O81" s="57">
        <f>IFERROR(__xludf.DUMMYFUNCTION("""COMPUTED_VALUE"""),0.0)</f>
        <v>0</v>
      </c>
      <c r="Q81" s="109">
        <v>7.196</v>
      </c>
      <c r="R81" s="109">
        <v>0.1176</v>
      </c>
      <c r="S81" s="109">
        <v>0.0554</v>
      </c>
      <c r="T81" s="109">
        <v>0.0299</v>
      </c>
      <c r="U81" s="109">
        <v>0.1116</v>
      </c>
      <c r="V81" s="109">
        <v>0.0999</v>
      </c>
      <c r="W81" s="109">
        <v>0.0545</v>
      </c>
      <c r="X81" s="109">
        <v>0.0</v>
      </c>
      <c r="Y81" s="109">
        <v>0.0</v>
      </c>
      <c r="Z81" s="109">
        <v>0.0</v>
      </c>
      <c r="AA81" s="109">
        <v>20.524</v>
      </c>
      <c r="AB81" s="109">
        <v>0.0</v>
      </c>
      <c r="AC81" s="109">
        <v>0.0</v>
      </c>
      <c r="AE81" s="51">
        <f t="shared" ref="AE81:AQ81" si="77">IFERROR((Q81-C81)/C81, "")</f>
        <v>1.042999919</v>
      </c>
      <c r="AF81" s="51">
        <f t="shared" si="77"/>
        <v>0.9312308242</v>
      </c>
      <c r="AG81" s="51">
        <f t="shared" si="77"/>
        <v>0.3126772891</v>
      </c>
      <c r="AH81" s="51">
        <f t="shared" si="77"/>
        <v>0.3620964177</v>
      </c>
      <c r="AI81" s="51">
        <f t="shared" si="77"/>
        <v>713.2942947</v>
      </c>
      <c r="AJ81" s="51">
        <f t="shared" si="77"/>
        <v>1277.817205</v>
      </c>
      <c r="AK81" s="51">
        <f t="shared" si="77"/>
        <v>1394.306059</v>
      </c>
      <c r="AL81" s="51" t="str">
        <f t="shared" si="77"/>
        <v/>
      </c>
      <c r="AM81" s="51" t="str">
        <f t="shared" si="77"/>
        <v/>
      </c>
      <c r="AN81" s="51" t="str">
        <f t="shared" si="77"/>
        <v/>
      </c>
      <c r="AO81" s="51">
        <f t="shared" si="77"/>
        <v>3.023294569</v>
      </c>
      <c r="AP81" s="51">
        <f t="shared" si="77"/>
        <v>-1</v>
      </c>
      <c r="AQ81" s="51" t="str">
        <f t="shared" si="77"/>
        <v/>
      </c>
    </row>
    <row r="82">
      <c r="B82" s="37" t="s">
        <v>120</v>
      </c>
      <c r="C82" s="43">
        <f>IFERROR(__xludf.DUMMYFUNCTION("""COMPUTED_VALUE"""),9.176208298542127)</f>
        <v>9.176208299</v>
      </c>
      <c r="D82" s="43">
        <f>IFERROR(__xludf.DUMMYFUNCTION("""COMPUTED_VALUE"""),0.13044446709995516)</f>
        <v>0.1304444671</v>
      </c>
      <c r="E82" s="43">
        <f>IFERROR(__xludf.DUMMYFUNCTION("""COMPUTED_VALUE"""),0.05904665330051936)</f>
        <v>0.0590466533</v>
      </c>
      <c r="F82" s="43">
        <f>IFERROR(__xludf.DUMMYFUNCTION("""COMPUTED_VALUE"""),0.02843540059595098)</f>
        <v>0.0284354006</v>
      </c>
      <c r="G82" s="43">
        <f>IFERROR(__xludf.DUMMYFUNCTION("""COMPUTED_VALUE"""),0.0)</f>
        <v>0</v>
      </c>
      <c r="H82" s="43">
        <f>IFERROR(__xludf.DUMMYFUNCTION("""COMPUTED_VALUE"""),0.0)</f>
        <v>0</v>
      </c>
      <c r="I82" s="43">
        <f>IFERROR(__xludf.DUMMYFUNCTION("""COMPUTED_VALUE"""),0.0)</f>
        <v>0</v>
      </c>
      <c r="J82" s="43">
        <f>IFERROR(__xludf.DUMMYFUNCTION("""COMPUTED_VALUE"""),0.0)</f>
        <v>0</v>
      </c>
      <c r="K82" s="43">
        <f>IFERROR(__xludf.DUMMYFUNCTION("""COMPUTED_VALUE"""),0.0)</f>
        <v>0</v>
      </c>
      <c r="L82" s="43">
        <f>IFERROR(__xludf.DUMMYFUNCTION("""COMPUTED_VALUE"""),0.0)</f>
        <v>0</v>
      </c>
      <c r="M82" s="43">
        <f>IFERROR(__xludf.DUMMYFUNCTION("""COMPUTED_VALUE"""),0.0)</f>
        <v>0</v>
      </c>
      <c r="N82" s="41">
        <f>IFERROR(__xludf.DUMMYFUNCTION("""COMPUTED_VALUE"""),0.0)</f>
        <v>0</v>
      </c>
      <c r="O82" s="41">
        <f>IFERROR(__xludf.DUMMYFUNCTION("""COMPUTED_VALUE"""),0.0)</f>
        <v>0</v>
      </c>
      <c r="Q82" s="109">
        <v>21.7363</v>
      </c>
      <c r="R82" s="109">
        <v>0.2666</v>
      </c>
      <c r="S82" s="109">
        <v>0.1278</v>
      </c>
      <c r="T82" s="109">
        <v>0.0616</v>
      </c>
      <c r="U82" s="109">
        <v>0.0</v>
      </c>
      <c r="V82" s="109">
        <v>0.0</v>
      </c>
      <c r="W82" s="109">
        <v>0.0</v>
      </c>
      <c r="X82" s="109">
        <v>0.0</v>
      </c>
      <c r="Y82" s="109">
        <v>0.0</v>
      </c>
      <c r="Z82" s="109">
        <v>0.0</v>
      </c>
      <c r="AA82" s="109">
        <v>0.0</v>
      </c>
      <c r="AB82" s="109">
        <v>0.0</v>
      </c>
      <c r="AC82" s="109">
        <v>0.0</v>
      </c>
      <c r="AE82" s="51">
        <f t="shared" ref="AE82:AQ82" si="78">IFERROR((Q82-C82)/C82, "")</f>
        <v>1.368767065</v>
      </c>
      <c r="AF82" s="51">
        <f t="shared" si="78"/>
        <v>1.043781587</v>
      </c>
      <c r="AG82" s="51">
        <f t="shared" si="78"/>
        <v>1.164390238</v>
      </c>
      <c r="AH82" s="51">
        <f t="shared" si="78"/>
        <v>1.166313775</v>
      </c>
      <c r="AI82" s="51" t="str">
        <f t="shared" si="78"/>
        <v/>
      </c>
      <c r="AJ82" s="51" t="str">
        <f t="shared" si="78"/>
        <v/>
      </c>
      <c r="AK82" s="51" t="str">
        <f t="shared" si="78"/>
        <v/>
      </c>
      <c r="AL82" s="51" t="str">
        <f t="shared" si="78"/>
        <v/>
      </c>
      <c r="AM82" s="51" t="str">
        <f t="shared" si="78"/>
        <v/>
      </c>
      <c r="AN82" s="51" t="str">
        <f t="shared" si="78"/>
        <v/>
      </c>
      <c r="AO82" s="51" t="str">
        <f t="shared" si="78"/>
        <v/>
      </c>
      <c r="AP82" s="51" t="str">
        <f t="shared" si="78"/>
        <v/>
      </c>
      <c r="AQ82" s="51" t="str">
        <f t="shared" si="78"/>
        <v/>
      </c>
    </row>
    <row r="83">
      <c r="B83" s="37" t="s">
        <v>121</v>
      </c>
      <c r="C83" s="43">
        <f>IFERROR(__xludf.DUMMYFUNCTION("""COMPUTED_VALUE"""),11.857240000000001)</f>
        <v>11.85724</v>
      </c>
      <c r="D83" s="43">
        <f>IFERROR(__xludf.DUMMYFUNCTION("""COMPUTED_VALUE"""),0.07654)</f>
        <v>0.07654</v>
      </c>
      <c r="E83" s="43">
        <f>IFERROR(__xludf.DUMMYFUNCTION("""COMPUTED_VALUE"""),0.11488000000000001)</f>
        <v>0.11488</v>
      </c>
      <c r="F83" s="43">
        <f>IFERROR(__xludf.DUMMYFUNCTION("""COMPUTED_VALUE"""),0.19492)</f>
        <v>0.19492</v>
      </c>
      <c r="G83" s="43">
        <f>IFERROR(__xludf.DUMMYFUNCTION("""COMPUTED_VALUE"""),0.01328)</f>
        <v>0.01328</v>
      </c>
      <c r="H83" s="43">
        <f>IFERROR(__xludf.DUMMYFUNCTION("""COMPUTED_VALUE"""),0.024260000000000004)</f>
        <v>0.02426</v>
      </c>
      <c r="I83" s="43">
        <f>IFERROR(__xludf.DUMMYFUNCTION("""COMPUTED_VALUE"""),0.07730000000000001)</f>
        <v>0.0773</v>
      </c>
      <c r="J83" s="43">
        <f>IFERROR(__xludf.DUMMYFUNCTION("""COMPUTED_VALUE"""),1.6E-4)</f>
        <v>0.00016</v>
      </c>
      <c r="K83" s="43">
        <f>IFERROR(__xludf.DUMMYFUNCTION("""COMPUTED_VALUE"""),0.0)</f>
        <v>0</v>
      </c>
      <c r="L83" s="43">
        <f>IFERROR(__xludf.DUMMYFUNCTION("""COMPUTED_VALUE"""),0.0)</f>
        <v>0</v>
      </c>
      <c r="M83" s="43">
        <f>IFERROR(__xludf.DUMMYFUNCTION("""COMPUTED_VALUE"""),1.0E-4)</f>
        <v>0.0001</v>
      </c>
      <c r="N83" s="41">
        <f>IFERROR(__xludf.DUMMYFUNCTION("""COMPUTED_VALUE"""),3.2E-4)</f>
        <v>0.00032</v>
      </c>
      <c r="O83" s="41">
        <f>IFERROR(__xludf.DUMMYFUNCTION("""COMPUTED_VALUE"""),0.0)</f>
        <v>0</v>
      </c>
      <c r="Q83" s="109">
        <v>26.6784</v>
      </c>
      <c r="R83" s="109">
        <v>0.1661</v>
      </c>
      <c r="S83" s="109">
        <v>0.2455</v>
      </c>
      <c r="T83" s="109">
        <v>0.3755</v>
      </c>
      <c r="U83" s="109">
        <v>0.0317</v>
      </c>
      <c r="V83" s="109">
        <v>0.0558</v>
      </c>
      <c r="W83" s="109">
        <v>0.1574</v>
      </c>
      <c r="X83" s="109">
        <v>0.0</v>
      </c>
      <c r="Y83" s="109">
        <v>0.0</v>
      </c>
      <c r="Z83" s="109">
        <v>0.0</v>
      </c>
      <c r="AA83" s="109">
        <v>0.0</v>
      </c>
      <c r="AB83" s="109">
        <v>0.0</v>
      </c>
      <c r="AC83" s="109">
        <v>0.0</v>
      </c>
      <c r="AE83" s="51">
        <f t="shared" ref="AE83:AQ83" si="79">IFERROR((Q83-C83)/C83, "")</f>
        <v>1.249967109</v>
      </c>
      <c r="AF83" s="51">
        <f t="shared" si="79"/>
        <v>1.170107134</v>
      </c>
      <c r="AG83" s="51">
        <f t="shared" si="79"/>
        <v>1.137012535</v>
      </c>
      <c r="AH83" s="51">
        <f t="shared" si="79"/>
        <v>0.9264313565</v>
      </c>
      <c r="AI83" s="51">
        <f t="shared" si="79"/>
        <v>1.387048193</v>
      </c>
      <c r="AJ83" s="51">
        <f t="shared" si="79"/>
        <v>1.30008244</v>
      </c>
      <c r="AK83" s="51">
        <f t="shared" si="79"/>
        <v>1.03622251</v>
      </c>
      <c r="AL83" s="51">
        <f t="shared" si="79"/>
        <v>-1</v>
      </c>
      <c r="AM83" s="51" t="str">
        <f t="shared" si="79"/>
        <v/>
      </c>
      <c r="AN83" s="51" t="str">
        <f t="shared" si="79"/>
        <v/>
      </c>
      <c r="AO83" s="51">
        <f t="shared" si="79"/>
        <v>-1</v>
      </c>
      <c r="AP83" s="51">
        <f t="shared" si="79"/>
        <v>-1</v>
      </c>
      <c r="AQ83" s="51" t="str">
        <f t="shared" si="79"/>
        <v/>
      </c>
    </row>
    <row r="84">
      <c r="B84" s="56" t="s">
        <v>122</v>
      </c>
      <c r="C84" s="57">
        <f>IFERROR(__xludf.DUMMYFUNCTION("""COMPUTED_VALUE"""),5.6056939687860075)</f>
        <v>5.605693969</v>
      </c>
      <c r="D84" s="57">
        <f>IFERROR(__xludf.DUMMYFUNCTION("""COMPUTED_VALUE"""),0.057166167382423805)</f>
        <v>0.05716616738</v>
      </c>
      <c r="E84" s="57">
        <f>IFERROR(__xludf.DUMMYFUNCTION("""COMPUTED_VALUE"""),0.0721932669948675)</f>
        <v>0.07219326699</v>
      </c>
      <c r="F84" s="57">
        <f>IFERROR(__xludf.DUMMYFUNCTION("""COMPUTED_VALUE"""),0.08615405467686187)</f>
        <v>0.08615405468</v>
      </c>
      <c r="G84" s="57">
        <f>IFERROR(__xludf.DUMMYFUNCTION("""COMPUTED_VALUE"""),0.008471255891903218)</f>
        <v>0.008471255892</v>
      </c>
      <c r="H84" s="57">
        <f>IFERROR(__xludf.DUMMYFUNCTION("""COMPUTED_VALUE"""),0.019450319472085476)</f>
        <v>0.01945031947</v>
      </c>
      <c r="I84" s="57">
        <f>IFERROR(__xludf.DUMMYFUNCTION("""COMPUTED_VALUE"""),0.038110778254949206)</f>
        <v>0.03811077825</v>
      </c>
      <c r="J84" s="57">
        <f>IFERROR(__xludf.DUMMYFUNCTION("""COMPUTED_VALUE"""),0.0)</f>
        <v>0</v>
      </c>
      <c r="K84" s="57">
        <f>IFERROR(__xludf.DUMMYFUNCTION("""COMPUTED_VALUE"""),0.0)</f>
        <v>0</v>
      </c>
      <c r="L84" s="57">
        <f>IFERROR(__xludf.DUMMYFUNCTION("""COMPUTED_VALUE"""),0.0)</f>
        <v>0</v>
      </c>
      <c r="M84" s="57">
        <f>IFERROR(__xludf.DUMMYFUNCTION("""COMPUTED_VALUE"""),0.14148379595684513)</f>
        <v>0.141483796</v>
      </c>
      <c r="N84" s="100">
        <f>IFERROR(__xludf.DUMMYFUNCTION("""COMPUTED_VALUE"""),12.553512638525195)</f>
        <v>12.55351264</v>
      </c>
      <c r="O84" s="100">
        <f>IFERROR(__xludf.DUMMYFUNCTION("""COMPUTED_VALUE"""),0.0)</f>
        <v>0</v>
      </c>
      <c r="Q84" s="109">
        <v>11.5189</v>
      </c>
      <c r="R84" s="109">
        <v>0.1168</v>
      </c>
      <c r="S84" s="109">
        <v>0.1462</v>
      </c>
      <c r="T84" s="109">
        <v>0.1189</v>
      </c>
      <c r="U84" s="109">
        <v>0.0413</v>
      </c>
      <c r="V84" s="109">
        <v>0.0778</v>
      </c>
      <c r="W84" s="109">
        <v>0.1383</v>
      </c>
      <c r="X84" s="109">
        <v>0.0</v>
      </c>
      <c r="Y84" s="109">
        <v>0.0</v>
      </c>
      <c r="Z84" s="109">
        <v>0.0</v>
      </c>
      <c r="AA84" s="109">
        <v>1.1705</v>
      </c>
      <c r="AB84" s="109">
        <v>29.9968</v>
      </c>
      <c r="AC84" s="109">
        <v>0.0</v>
      </c>
      <c r="AE84" s="51">
        <f t="shared" ref="AE84:AQ84" si="80">IFERROR((Q84-C84)/C84, "")</f>
        <v>1.054857091</v>
      </c>
      <c r="AF84" s="51">
        <f t="shared" si="80"/>
        <v>1.043166533</v>
      </c>
      <c r="AG84" s="51">
        <f t="shared" si="80"/>
        <v>1.0251196</v>
      </c>
      <c r="AH84" s="51">
        <f t="shared" si="80"/>
        <v>0.3800859454</v>
      </c>
      <c r="AI84" s="51">
        <f t="shared" si="80"/>
        <v>3.87531017</v>
      </c>
      <c r="AJ84" s="51">
        <f t="shared" si="80"/>
        <v>2.9999343</v>
      </c>
      <c r="AK84" s="51">
        <f t="shared" si="80"/>
        <v>2.628894668</v>
      </c>
      <c r="AL84" s="51" t="str">
        <f t="shared" si="80"/>
        <v/>
      </c>
      <c r="AM84" s="51" t="str">
        <f t="shared" si="80"/>
        <v/>
      </c>
      <c r="AN84" s="51" t="str">
        <f t="shared" si="80"/>
        <v/>
      </c>
      <c r="AO84" s="51">
        <f t="shared" si="80"/>
        <v>7.273032202</v>
      </c>
      <c r="AP84" s="51">
        <f t="shared" si="80"/>
        <v>1.389514462</v>
      </c>
      <c r="AQ84" s="51" t="str">
        <f t="shared" si="80"/>
        <v/>
      </c>
    </row>
    <row r="85">
      <c r="B85" s="37" t="s">
        <v>123</v>
      </c>
      <c r="C85" s="43">
        <f>IFERROR(__xludf.DUMMYFUNCTION("""COMPUTED_VALUE"""),0.0)</f>
        <v>0</v>
      </c>
      <c r="D85" s="43">
        <f>IFERROR(__xludf.DUMMYFUNCTION("""COMPUTED_VALUE"""),0.0)</f>
        <v>0</v>
      </c>
      <c r="E85" s="43">
        <f>IFERROR(__xludf.DUMMYFUNCTION("""COMPUTED_VALUE"""),0.0)</f>
        <v>0</v>
      </c>
      <c r="F85" s="43">
        <f>IFERROR(__xludf.DUMMYFUNCTION("""COMPUTED_VALUE"""),4.848484848484848E-5)</f>
        <v>0.00004848484848</v>
      </c>
      <c r="G85" s="43">
        <f>IFERROR(__xludf.DUMMYFUNCTION("""COMPUTED_VALUE"""),0.0)</f>
        <v>0</v>
      </c>
      <c r="H85" s="43">
        <f>IFERROR(__xludf.DUMMYFUNCTION("""COMPUTED_VALUE"""),4.848484848484848E-5)</f>
        <v>0.00004848484848</v>
      </c>
      <c r="I85" s="43">
        <f>IFERROR(__xludf.DUMMYFUNCTION("""COMPUTED_VALUE"""),2.424242424242424E-5)</f>
        <v>0.00002424242424</v>
      </c>
      <c r="J85" s="43">
        <f>IFERROR(__xludf.DUMMYFUNCTION("""COMPUTED_VALUE"""),0.0)</f>
        <v>0</v>
      </c>
      <c r="K85" s="43">
        <f>IFERROR(__xludf.DUMMYFUNCTION("""COMPUTED_VALUE"""),0.0)</f>
        <v>0</v>
      </c>
      <c r="L85" s="43">
        <f>IFERROR(__xludf.DUMMYFUNCTION("""COMPUTED_VALUE"""),9.696969696969696E-5)</f>
        <v>0.00009696969697</v>
      </c>
      <c r="M85" s="43">
        <f>IFERROR(__xludf.DUMMYFUNCTION("""COMPUTED_VALUE"""),3.151515151515152E-4)</f>
        <v>0.0003151515152</v>
      </c>
      <c r="N85" s="41">
        <f>IFERROR(__xludf.DUMMYFUNCTION("""COMPUTED_VALUE"""),0.0)</f>
        <v>0</v>
      </c>
      <c r="O85" s="41">
        <f>IFERROR(__xludf.DUMMYFUNCTION("""COMPUTED_VALUE"""),0.0)</f>
        <v>0</v>
      </c>
      <c r="Q85" s="109">
        <v>0.0</v>
      </c>
      <c r="R85" s="109">
        <v>0.0</v>
      </c>
      <c r="S85" s="109">
        <v>0.0</v>
      </c>
      <c r="T85" s="109">
        <v>0.0</v>
      </c>
      <c r="U85" s="109">
        <v>0.0</v>
      </c>
      <c r="V85" s="109">
        <v>0.0</v>
      </c>
      <c r="W85" s="109">
        <v>1.0E-4</v>
      </c>
      <c r="X85" s="109">
        <v>0.0</v>
      </c>
      <c r="Y85" s="109">
        <v>0.0</v>
      </c>
      <c r="Z85" s="109">
        <v>7.0E-4</v>
      </c>
      <c r="AA85" s="109">
        <v>0.0</v>
      </c>
      <c r="AB85" s="109">
        <v>0.0</v>
      </c>
      <c r="AC85" s="109">
        <v>0.0</v>
      </c>
      <c r="AE85" s="51" t="str">
        <f t="shared" ref="AE85:AQ85" si="81">IFERROR((Q85-C85)/C85, "")</f>
        <v/>
      </c>
      <c r="AF85" s="51" t="str">
        <f t="shared" si="81"/>
        <v/>
      </c>
      <c r="AG85" s="51" t="str">
        <f t="shared" si="81"/>
        <v/>
      </c>
      <c r="AH85" s="51">
        <f t="shared" si="81"/>
        <v>-1</v>
      </c>
      <c r="AI85" s="51" t="str">
        <f t="shared" si="81"/>
        <v/>
      </c>
      <c r="AJ85" s="51">
        <f t="shared" si="81"/>
        <v>-1</v>
      </c>
      <c r="AK85" s="51">
        <f t="shared" si="81"/>
        <v>3.125</v>
      </c>
      <c r="AL85" s="51" t="str">
        <f t="shared" si="81"/>
        <v/>
      </c>
      <c r="AM85" s="51" t="str">
        <f t="shared" si="81"/>
        <v/>
      </c>
      <c r="AN85" s="51">
        <f t="shared" si="81"/>
        <v>6.21875</v>
      </c>
      <c r="AO85" s="51">
        <f t="shared" si="81"/>
        <v>-1</v>
      </c>
      <c r="AP85" s="51" t="str">
        <f t="shared" si="81"/>
        <v/>
      </c>
      <c r="AQ85" s="51" t="str">
        <f t="shared" si="81"/>
        <v/>
      </c>
    </row>
    <row r="86">
      <c r="B86" s="56" t="s">
        <v>137</v>
      </c>
      <c r="C86" s="57">
        <f>IFERROR(__xludf.DUMMYFUNCTION("""COMPUTED_VALUE"""),34.69832844570399)</f>
        <v>34.69832845</v>
      </c>
      <c r="D86" s="57">
        <f>IFERROR(__xludf.DUMMYFUNCTION("""COMPUTED_VALUE"""),2.3736204208482783)</f>
        <v>2.373620421</v>
      </c>
      <c r="E86" s="57">
        <f>IFERROR(__xludf.DUMMYFUNCTION("""COMPUTED_VALUE"""),1.106131221142622)</f>
        <v>1.106131221</v>
      </c>
      <c r="F86" s="57">
        <f>IFERROR(__xludf.DUMMYFUNCTION("""COMPUTED_VALUE"""),0.7652733064364672)</f>
        <v>0.7652733064</v>
      </c>
      <c r="G86" s="57">
        <f>IFERROR(__xludf.DUMMYFUNCTION("""COMPUTED_VALUE"""),1.274723279985641)</f>
        <v>1.27472328</v>
      </c>
      <c r="H86" s="57">
        <f>IFERROR(__xludf.DUMMYFUNCTION("""COMPUTED_VALUE"""),0.9740498512529461)</f>
        <v>0.9740498513</v>
      </c>
      <c r="I86" s="57">
        <f>IFERROR(__xludf.DUMMYFUNCTION("""COMPUTED_VALUE"""),0.5009795840049718)</f>
        <v>0.500979584</v>
      </c>
      <c r="J86" s="57">
        <f>IFERROR(__xludf.DUMMYFUNCTION("""COMPUTED_VALUE"""),0.0)</f>
        <v>0</v>
      </c>
      <c r="K86" s="57">
        <f>IFERROR(__xludf.DUMMYFUNCTION("""COMPUTED_VALUE"""),0.0)</f>
        <v>0</v>
      </c>
      <c r="L86" s="57">
        <f>IFERROR(__xludf.DUMMYFUNCTION("""COMPUTED_VALUE"""),7.29669346262511)</f>
        <v>7.296693463</v>
      </c>
      <c r="M86" s="57">
        <f>IFERROR(__xludf.DUMMYFUNCTION("""COMPUTED_VALUE"""),55.68482269407197)</f>
        <v>55.68482269</v>
      </c>
      <c r="N86" s="100">
        <f>IFERROR(__xludf.DUMMYFUNCTION("""COMPUTED_VALUE"""),186.9514037798798)</f>
        <v>186.9514038</v>
      </c>
      <c r="O86" s="100">
        <f>IFERROR(__xludf.DUMMYFUNCTION("""COMPUTED_VALUE"""),0.0)</f>
        <v>0</v>
      </c>
      <c r="Q86" s="109">
        <v>22.785</v>
      </c>
      <c r="R86" s="109">
        <v>1.4714</v>
      </c>
      <c r="S86" s="109">
        <v>0.642</v>
      </c>
      <c r="T86" s="109">
        <v>0.4599</v>
      </c>
      <c r="U86" s="109">
        <v>0.6981</v>
      </c>
      <c r="V86" s="109">
        <v>0.6546</v>
      </c>
      <c r="W86" s="109">
        <v>0.3635</v>
      </c>
      <c r="X86" s="109">
        <v>0.0</v>
      </c>
      <c r="Y86" s="109">
        <v>0.1616</v>
      </c>
      <c r="Z86" s="109">
        <v>5.091</v>
      </c>
      <c r="AA86" s="109">
        <v>45.8892</v>
      </c>
      <c r="AB86" s="109">
        <v>116.4547</v>
      </c>
      <c r="AC86" s="109">
        <v>0.0</v>
      </c>
      <c r="AE86" s="51">
        <f t="shared" ref="AE86:AQ86" si="82">IFERROR((Q86-C86)/C86, "")</f>
        <v>-0.3433401256</v>
      </c>
      <c r="AF86" s="51">
        <f t="shared" si="82"/>
        <v>-0.380103075</v>
      </c>
      <c r="AG86" s="51">
        <f t="shared" si="82"/>
        <v>-0.4195986988</v>
      </c>
      <c r="AH86" s="51">
        <f t="shared" si="82"/>
        <v>-0.399038231</v>
      </c>
      <c r="AI86" s="51">
        <f t="shared" si="82"/>
        <v>-0.4523517292</v>
      </c>
      <c r="AJ86" s="51">
        <f t="shared" si="82"/>
        <v>-0.3279604743</v>
      </c>
      <c r="AK86" s="51">
        <f t="shared" si="82"/>
        <v>-0.2744215301</v>
      </c>
      <c r="AL86" s="51" t="str">
        <f t="shared" si="82"/>
        <v/>
      </c>
      <c r="AM86" s="51" t="str">
        <f t="shared" si="82"/>
        <v/>
      </c>
      <c r="AN86" s="51">
        <f t="shared" si="82"/>
        <v>-0.3022867103</v>
      </c>
      <c r="AO86" s="51">
        <f t="shared" si="82"/>
        <v>-0.1759118952</v>
      </c>
      <c r="AP86" s="51">
        <f t="shared" si="82"/>
        <v>-0.3770857151</v>
      </c>
      <c r="AQ86" s="51" t="str">
        <f t="shared" si="82"/>
        <v/>
      </c>
    </row>
    <row r="87">
      <c r="B87" s="37" t="s">
        <v>180</v>
      </c>
      <c r="C87" s="43">
        <f>IFERROR(__xludf.DUMMYFUNCTION("""COMPUTED_VALUE"""),0.0)</f>
        <v>0</v>
      </c>
      <c r="D87" s="43">
        <f>IFERROR(__xludf.DUMMYFUNCTION("""COMPUTED_VALUE"""),0.0)</f>
        <v>0</v>
      </c>
      <c r="E87" s="43">
        <f>IFERROR(__xludf.DUMMYFUNCTION("""COMPUTED_VALUE"""),0.0)</f>
        <v>0</v>
      </c>
      <c r="F87" s="43">
        <f>IFERROR(__xludf.DUMMYFUNCTION("""COMPUTED_VALUE"""),0.0)</f>
        <v>0</v>
      </c>
      <c r="G87" s="43">
        <f>IFERROR(__xludf.DUMMYFUNCTION("""COMPUTED_VALUE"""),0.0)</f>
        <v>0</v>
      </c>
      <c r="H87" s="43">
        <f>IFERROR(__xludf.DUMMYFUNCTION("""COMPUTED_VALUE"""),0.0)</f>
        <v>0</v>
      </c>
      <c r="I87" s="43">
        <f>IFERROR(__xludf.DUMMYFUNCTION("""COMPUTED_VALUE"""),0.0)</f>
        <v>0</v>
      </c>
      <c r="J87" s="43">
        <f>IFERROR(__xludf.DUMMYFUNCTION("""COMPUTED_VALUE"""),0.0)</f>
        <v>0</v>
      </c>
      <c r="K87" s="43">
        <f>IFERROR(__xludf.DUMMYFUNCTION("""COMPUTED_VALUE"""),0.0)</f>
        <v>0</v>
      </c>
      <c r="L87" s="43">
        <f>IFERROR(__xludf.DUMMYFUNCTION("""COMPUTED_VALUE"""),0.0)</f>
        <v>0</v>
      </c>
      <c r="M87" s="43">
        <f>IFERROR(__xludf.DUMMYFUNCTION("""COMPUTED_VALUE"""),0.0)</f>
        <v>0</v>
      </c>
      <c r="N87" s="41">
        <f>IFERROR(__xludf.DUMMYFUNCTION("""COMPUTED_VALUE"""),0.0)</f>
        <v>0</v>
      </c>
      <c r="O87" s="41">
        <f>IFERROR(__xludf.DUMMYFUNCTION("""COMPUTED_VALUE"""),0.0)</f>
        <v>0</v>
      </c>
      <c r="Q87" s="109">
        <v>0.0</v>
      </c>
      <c r="R87" s="109">
        <v>0.0</v>
      </c>
      <c r="S87" s="109">
        <v>0.0</v>
      </c>
      <c r="T87" s="109">
        <v>0.0</v>
      </c>
      <c r="U87" s="109">
        <v>0.0</v>
      </c>
      <c r="V87" s="109">
        <v>0.0</v>
      </c>
      <c r="W87" s="109">
        <v>0.0</v>
      </c>
      <c r="X87" s="109">
        <v>0.0</v>
      </c>
      <c r="Y87" s="109">
        <v>0.0</v>
      </c>
      <c r="Z87" s="109">
        <v>0.0</v>
      </c>
      <c r="AA87" s="109">
        <v>0.0</v>
      </c>
      <c r="AB87" s="109">
        <v>0.0</v>
      </c>
      <c r="AC87" s="109">
        <v>0.0</v>
      </c>
      <c r="AE87" s="51" t="str">
        <f t="shared" ref="AE87:AQ87" si="83">IFERROR((Q87-C87)/C87, "")</f>
        <v/>
      </c>
      <c r="AF87" s="51" t="str">
        <f t="shared" si="83"/>
        <v/>
      </c>
      <c r="AG87" s="51" t="str">
        <f t="shared" si="83"/>
        <v/>
      </c>
      <c r="AH87" s="51" t="str">
        <f t="shared" si="83"/>
        <v/>
      </c>
      <c r="AI87" s="51" t="str">
        <f t="shared" si="83"/>
        <v/>
      </c>
      <c r="AJ87" s="51" t="str">
        <f t="shared" si="83"/>
        <v/>
      </c>
      <c r="AK87" s="51" t="str">
        <f t="shared" si="83"/>
        <v/>
      </c>
      <c r="AL87" s="51" t="str">
        <f t="shared" si="83"/>
        <v/>
      </c>
      <c r="AM87" s="51" t="str">
        <f t="shared" si="83"/>
        <v/>
      </c>
      <c r="AN87" s="51" t="str">
        <f t="shared" si="83"/>
        <v/>
      </c>
      <c r="AO87" s="51" t="str">
        <f t="shared" si="83"/>
        <v/>
      </c>
      <c r="AP87" s="51" t="str">
        <f t="shared" si="83"/>
        <v/>
      </c>
      <c r="AQ87" s="51" t="str">
        <f t="shared" si="83"/>
        <v/>
      </c>
    </row>
    <row r="88"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AE88" s="51" t="str">
        <f t="shared" ref="AE88:AQ88" si="84">IFERROR((Q88-C88)/C88, "")</f>
        <v/>
      </c>
      <c r="AF88" s="51" t="str">
        <f t="shared" si="84"/>
        <v/>
      </c>
      <c r="AG88" s="51" t="str">
        <f t="shared" si="84"/>
        <v/>
      </c>
      <c r="AH88" s="51" t="str">
        <f t="shared" si="84"/>
        <v/>
      </c>
      <c r="AI88" s="51" t="str">
        <f t="shared" si="84"/>
        <v/>
      </c>
      <c r="AJ88" s="51" t="str">
        <f t="shared" si="84"/>
        <v/>
      </c>
      <c r="AK88" s="51" t="str">
        <f t="shared" si="84"/>
        <v/>
      </c>
      <c r="AL88" s="51" t="str">
        <f t="shared" si="84"/>
        <v/>
      </c>
      <c r="AM88" s="51" t="str">
        <f t="shared" si="84"/>
        <v/>
      </c>
      <c r="AN88" s="51" t="str">
        <f t="shared" si="84"/>
        <v/>
      </c>
      <c r="AO88" s="51" t="str">
        <f t="shared" si="84"/>
        <v/>
      </c>
      <c r="AP88" s="51" t="str">
        <f t="shared" si="84"/>
        <v/>
      </c>
      <c r="AQ88" s="51" t="str">
        <f t="shared" si="84"/>
        <v/>
      </c>
    </row>
    <row r="89"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AE89" s="51" t="str">
        <f t="shared" ref="AE89:AQ89" si="85">IFERROR((Q89-C89)/C89, "")</f>
        <v/>
      </c>
      <c r="AF89" s="51" t="str">
        <f t="shared" si="85"/>
        <v/>
      </c>
      <c r="AG89" s="51" t="str">
        <f t="shared" si="85"/>
        <v/>
      </c>
      <c r="AH89" s="51" t="str">
        <f t="shared" si="85"/>
        <v/>
      </c>
      <c r="AI89" s="51" t="str">
        <f t="shared" si="85"/>
        <v/>
      </c>
      <c r="AJ89" s="51" t="str">
        <f t="shared" si="85"/>
        <v/>
      </c>
      <c r="AK89" s="51" t="str">
        <f t="shared" si="85"/>
        <v/>
      </c>
      <c r="AL89" s="51" t="str">
        <f t="shared" si="85"/>
        <v/>
      </c>
      <c r="AM89" s="51" t="str">
        <f t="shared" si="85"/>
        <v/>
      </c>
      <c r="AN89" s="51" t="str">
        <f t="shared" si="85"/>
        <v/>
      </c>
      <c r="AO89" s="51" t="str">
        <f t="shared" si="85"/>
        <v/>
      </c>
      <c r="AP89" s="51" t="str">
        <f t="shared" si="85"/>
        <v/>
      </c>
      <c r="AQ89" s="51" t="str">
        <f t="shared" si="85"/>
        <v/>
      </c>
    </row>
    <row r="90">
      <c r="B90" s="5" t="s">
        <v>194</v>
      </c>
      <c r="C90" s="8" t="str">
        <f>IFERROR(__xludf.DUMMYFUNCTION("""COMPUTED_VALUE"""),"40-99 Segment - Over Time Period")</f>
        <v>40-99 Segment - Over Time Period</v>
      </c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AE90" s="51" t="str">
        <f t="shared" ref="AE90:AQ90" si="86">IFERROR((Q90-C90)/C90, "")</f>
        <v/>
      </c>
      <c r="AF90" s="51" t="str">
        <f t="shared" si="86"/>
        <v/>
      </c>
      <c r="AG90" s="51" t="str">
        <f t="shared" si="86"/>
        <v/>
      </c>
      <c r="AH90" s="51" t="str">
        <f t="shared" si="86"/>
        <v/>
      </c>
      <c r="AI90" s="51" t="str">
        <f t="shared" si="86"/>
        <v/>
      </c>
      <c r="AJ90" s="51" t="str">
        <f t="shared" si="86"/>
        <v/>
      </c>
      <c r="AK90" s="51" t="str">
        <f t="shared" si="86"/>
        <v/>
      </c>
      <c r="AL90" s="51" t="str">
        <f t="shared" si="86"/>
        <v/>
      </c>
      <c r="AM90" s="51" t="str">
        <f t="shared" si="86"/>
        <v/>
      </c>
      <c r="AN90" s="51" t="str">
        <f t="shared" si="86"/>
        <v/>
      </c>
      <c r="AO90" s="51" t="str">
        <f t="shared" si="86"/>
        <v/>
      </c>
      <c r="AP90" s="51" t="str">
        <f t="shared" si="86"/>
        <v/>
      </c>
      <c r="AQ90" s="51" t="str">
        <f t="shared" si="86"/>
        <v/>
      </c>
    </row>
    <row r="91">
      <c r="B91" s="15" t="s">
        <v>8</v>
      </c>
      <c r="C91" s="18" t="str">
        <f>IFERROR(__xludf.DUMMYFUNCTION("""COMPUTED_VALUE"""),"HC")</f>
        <v>HC</v>
      </c>
      <c r="D91" s="18" t="str">
        <f>IFERROR(__xludf.DUMMYFUNCTION("""COMPUTED_VALUE"""),"Slingshot")</f>
        <v>Slingshot</v>
      </c>
      <c r="E91" s="18" t="str">
        <f>IFERROR(__xludf.DUMMYFUNCTION("""COMPUTED_VALUE"""),"Shuffle")</f>
        <v>Shuffle</v>
      </c>
      <c r="F91" s="18" t="str">
        <f>IFERROR(__xludf.DUMMYFUNCTION("""COMPUTED_VALUE"""),"Comet")</f>
        <v>Comet</v>
      </c>
      <c r="G91" s="18" t="str">
        <f>IFERROR(__xludf.DUMMYFUNCTION("""COMPUTED_VALUE"""),"Red")</f>
        <v>Red</v>
      </c>
      <c r="H91" s="18" t="str">
        <f>IFERROR(__xludf.DUMMYFUNCTION("""COMPUTED_VALUE"""),"Chuck")</f>
        <v>Chuck</v>
      </c>
      <c r="I91" s="18" t="str">
        <f>IFERROR(__xludf.DUMMYFUNCTION("""COMPUTED_VALUE"""),"Bomb")</f>
        <v>Bomb</v>
      </c>
      <c r="J91" s="18" t="str">
        <f>IFERROR(__xludf.DUMMYFUNCTION("""COMPUTED_VALUE"""),"UL Bomb")</f>
        <v>UL Bomb</v>
      </c>
      <c r="K91" s="18" t="str">
        <f>IFERROR(__xludf.DUMMYFUNCTION("""COMPUTED_VALUE"""),"UL Chuck")</f>
        <v>UL Chuck</v>
      </c>
      <c r="L91" s="18" t="str">
        <f>IFERROR(__xludf.DUMMYFUNCTION("""COMPUTED_VALUE"""),"UL Red")</f>
        <v>UL Red</v>
      </c>
      <c r="M91" s="18" t="str">
        <f>IFERROR(__xludf.DUMMYFUNCTION("""COMPUTED_VALUE"""),"Unlimited Lives")</f>
        <v>Unlimited Lives</v>
      </c>
      <c r="N91" s="18" t="str">
        <f>IFERROR(__xludf.DUMMYFUNCTION("""COMPUTED_VALUE"""),"SPT")</f>
        <v>SPT</v>
      </c>
      <c r="O91" s="18" t="str">
        <f>IFERROR(__xludf.DUMMYFUNCTION("""COMPUTED_VALUE"""),"SPTx2")</f>
        <v>SPTx2</v>
      </c>
      <c r="Q91" s="18" t="s">
        <v>12</v>
      </c>
      <c r="R91" s="18" t="s">
        <v>15</v>
      </c>
      <c r="S91" s="18" t="s">
        <v>17</v>
      </c>
      <c r="T91" s="18" t="s">
        <v>18</v>
      </c>
      <c r="U91" s="18" t="s">
        <v>19</v>
      </c>
      <c r="V91" s="18" t="s">
        <v>21</v>
      </c>
      <c r="W91" s="18" t="s">
        <v>22</v>
      </c>
      <c r="X91" s="18" t="s">
        <v>26</v>
      </c>
      <c r="Y91" s="18" t="s">
        <v>27</v>
      </c>
      <c r="Z91" s="18" t="s">
        <v>29</v>
      </c>
      <c r="AA91" s="18" t="s">
        <v>30</v>
      </c>
      <c r="AB91" s="18" t="s">
        <v>31</v>
      </c>
      <c r="AC91" s="18" t="s">
        <v>32</v>
      </c>
      <c r="AE91" s="51" t="str">
        <f t="shared" ref="AE91:AQ91" si="87">IFERROR((Q91-C91)/C91, "")</f>
        <v/>
      </c>
      <c r="AF91" s="51" t="str">
        <f t="shared" si="87"/>
        <v/>
      </c>
      <c r="AG91" s="51" t="str">
        <f t="shared" si="87"/>
        <v/>
      </c>
      <c r="AH91" s="51" t="str">
        <f t="shared" si="87"/>
        <v/>
      </c>
      <c r="AI91" s="51" t="str">
        <f t="shared" si="87"/>
        <v/>
      </c>
      <c r="AJ91" s="51" t="str">
        <f t="shared" si="87"/>
        <v/>
      </c>
      <c r="AK91" s="51" t="str">
        <f t="shared" si="87"/>
        <v/>
      </c>
      <c r="AL91" s="51" t="str">
        <f t="shared" si="87"/>
        <v/>
      </c>
      <c r="AM91" s="51" t="str">
        <f t="shared" si="87"/>
        <v/>
      </c>
      <c r="AN91" s="51" t="str">
        <f t="shared" si="87"/>
        <v/>
      </c>
      <c r="AO91" s="51" t="str">
        <f t="shared" si="87"/>
        <v/>
      </c>
      <c r="AP91" s="51" t="str">
        <f t="shared" si="87"/>
        <v/>
      </c>
      <c r="AQ91" s="51" t="str">
        <f t="shared" si="87"/>
        <v/>
      </c>
    </row>
    <row r="92">
      <c r="B92" s="37" t="s">
        <v>33</v>
      </c>
      <c r="C92" s="41">
        <f>IFERROR(__xludf.DUMMYFUNCTION("""COMPUTED_VALUE"""),6.072606060606061)</f>
        <v>6.072606061</v>
      </c>
      <c r="D92" s="43">
        <f>IFERROR(__xludf.DUMMYFUNCTION("""COMPUTED_VALUE"""),0.14024242424242425)</f>
        <v>0.1402424242</v>
      </c>
      <c r="E92" s="43">
        <f>IFERROR(__xludf.DUMMYFUNCTION("""COMPUTED_VALUE"""),0.1382787878787879)</f>
        <v>0.1382787879</v>
      </c>
      <c r="F92" s="43">
        <f>IFERROR(__xludf.DUMMYFUNCTION("""COMPUTED_VALUE"""),0.06884848484848484)</f>
        <v>0.06884848485</v>
      </c>
      <c r="G92" s="43">
        <f>IFERROR(__xludf.DUMMYFUNCTION("""COMPUTED_VALUE"""),0.0)</f>
        <v>0</v>
      </c>
      <c r="H92" s="43">
        <f>IFERROR(__xludf.DUMMYFUNCTION("""COMPUTED_VALUE"""),0.0)</f>
        <v>0</v>
      </c>
      <c r="I92" s="43">
        <f>IFERROR(__xludf.DUMMYFUNCTION("""COMPUTED_VALUE"""),0.0)</f>
        <v>0</v>
      </c>
      <c r="J92" s="43">
        <f>IFERROR(__xludf.DUMMYFUNCTION("""COMPUTED_VALUE"""),0.0)</f>
        <v>0</v>
      </c>
      <c r="K92" s="43">
        <f>IFERROR(__xludf.DUMMYFUNCTION("""COMPUTED_VALUE"""),0.0)</f>
        <v>0</v>
      </c>
      <c r="L92" s="43">
        <f>IFERROR(__xludf.DUMMYFUNCTION("""COMPUTED_VALUE"""),0.0)</f>
        <v>0</v>
      </c>
      <c r="M92" s="43">
        <f>IFERROR(__xludf.DUMMYFUNCTION("""COMPUTED_VALUE"""),2.026739393939394)</f>
        <v>2.026739394</v>
      </c>
      <c r="N92" s="41">
        <f>IFERROR(__xludf.DUMMYFUNCTION("""COMPUTED_VALUE"""),0.0)</f>
        <v>0</v>
      </c>
      <c r="O92" s="41">
        <f>IFERROR(__xludf.DUMMYFUNCTION("""COMPUTED_VALUE"""),0.0)</f>
        <v>0</v>
      </c>
      <c r="Q92" s="109">
        <v>15.515</v>
      </c>
      <c r="R92" s="109">
        <v>0.3499</v>
      </c>
      <c r="S92" s="109">
        <v>0.343</v>
      </c>
      <c r="T92" s="109">
        <v>0.161</v>
      </c>
      <c r="U92" s="109">
        <v>0.0</v>
      </c>
      <c r="V92" s="109">
        <v>0.0</v>
      </c>
      <c r="W92" s="109">
        <v>0.0</v>
      </c>
      <c r="X92" s="109">
        <v>0.0</v>
      </c>
      <c r="Y92" s="109">
        <v>0.0</v>
      </c>
      <c r="Z92" s="109">
        <v>0.0</v>
      </c>
      <c r="AA92" s="109">
        <v>5.0355</v>
      </c>
      <c r="AB92" s="109">
        <v>0.0</v>
      </c>
      <c r="AC92" s="109">
        <v>0.0</v>
      </c>
      <c r="AE92" s="51">
        <f t="shared" ref="AE92:AQ92" si="88">IFERROR((Q92-C92)/C92, "")</f>
        <v>1.554916266</v>
      </c>
      <c r="AF92" s="51">
        <f t="shared" si="88"/>
        <v>1.494965428</v>
      </c>
      <c r="AG92" s="51">
        <f t="shared" si="88"/>
        <v>1.480496143</v>
      </c>
      <c r="AH92" s="51">
        <f t="shared" si="88"/>
        <v>1.33846831</v>
      </c>
      <c r="AI92" s="51" t="str">
        <f t="shared" si="88"/>
        <v/>
      </c>
      <c r="AJ92" s="51" t="str">
        <f t="shared" si="88"/>
        <v/>
      </c>
      <c r="AK92" s="51" t="str">
        <f t="shared" si="88"/>
        <v/>
      </c>
      <c r="AL92" s="51" t="str">
        <f t="shared" si="88"/>
        <v/>
      </c>
      <c r="AM92" s="51" t="str">
        <f t="shared" si="88"/>
        <v/>
      </c>
      <c r="AN92" s="51" t="str">
        <f t="shared" si="88"/>
        <v/>
      </c>
      <c r="AO92" s="51">
        <f t="shared" si="88"/>
        <v>1.484532553</v>
      </c>
      <c r="AP92" s="51" t="str">
        <f t="shared" si="88"/>
        <v/>
      </c>
      <c r="AQ92" s="51" t="str">
        <f t="shared" si="88"/>
        <v/>
      </c>
    </row>
    <row r="93">
      <c r="B93" s="56" t="s">
        <v>40</v>
      </c>
      <c r="C93" s="57">
        <f>IFERROR(__xludf.DUMMYFUNCTION("""COMPUTED_VALUE"""),0.0)</f>
        <v>0</v>
      </c>
      <c r="D93" s="57">
        <f>IFERROR(__xludf.DUMMYFUNCTION("""COMPUTED_VALUE"""),0.0)</f>
        <v>0</v>
      </c>
      <c r="E93" s="57">
        <f>IFERROR(__xludf.DUMMYFUNCTION("""COMPUTED_VALUE"""),0.0)</f>
        <v>0</v>
      </c>
      <c r="F93" s="57">
        <f>IFERROR(__xludf.DUMMYFUNCTION("""COMPUTED_VALUE"""),0.0)</f>
        <v>0</v>
      </c>
      <c r="G93" s="57">
        <f>IFERROR(__xludf.DUMMYFUNCTION("""COMPUTED_VALUE"""),0.0)</f>
        <v>0</v>
      </c>
      <c r="H93" s="57">
        <f>IFERROR(__xludf.DUMMYFUNCTION("""COMPUTED_VALUE"""),0.0)</f>
        <v>0</v>
      </c>
      <c r="I93" s="57">
        <f>IFERROR(__xludf.DUMMYFUNCTION("""COMPUTED_VALUE"""),0.0)</f>
        <v>0</v>
      </c>
      <c r="J93" s="57">
        <f>IFERROR(__xludf.DUMMYFUNCTION("""COMPUTED_VALUE"""),0.0)</f>
        <v>0</v>
      </c>
      <c r="K93" s="57">
        <f>IFERROR(__xludf.DUMMYFUNCTION("""COMPUTED_VALUE"""),0.0)</f>
        <v>0</v>
      </c>
      <c r="L93" s="57">
        <f>IFERROR(__xludf.DUMMYFUNCTION("""COMPUTED_VALUE"""),0.0)</f>
        <v>0</v>
      </c>
      <c r="M93" s="57">
        <f>IFERROR(__xludf.DUMMYFUNCTION("""COMPUTED_VALUE"""),0.0)</f>
        <v>0</v>
      </c>
      <c r="N93" s="57">
        <f>IFERROR(__xludf.DUMMYFUNCTION("""COMPUTED_VALUE"""),0.0)</f>
        <v>0</v>
      </c>
      <c r="O93" s="57">
        <f>IFERROR(__xludf.DUMMYFUNCTION("""COMPUTED_VALUE"""),0.0)</f>
        <v>0</v>
      </c>
      <c r="Q93" s="109">
        <v>1.5075</v>
      </c>
      <c r="R93" s="109">
        <v>0.0076</v>
      </c>
      <c r="S93" s="109">
        <v>0.0128</v>
      </c>
      <c r="T93" s="109">
        <v>0.0048</v>
      </c>
      <c r="U93" s="109">
        <v>0.0</v>
      </c>
      <c r="V93" s="109">
        <v>0.0</v>
      </c>
      <c r="W93" s="109">
        <v>3.0E-4</v>
      </c>
      <c r="X93" s="109">
        <v>0.0</v>
      </c>
      <c r="Y93" s="109">
        <v>0.0</v>
      </c>
      <c r="Z93" s="109">
        <v>0.0</v>
      </c>
      <c r="AA93" s="109">
        <v>0.0</v>
      </c>
      <c r="AB93" s="109">
        <v>0.0</v>
      </c>
      <c r="AC93" s="109">
        <v>0.0</v>
      </c>
      <c r="AE93" s="51" t="str">
        <f t="shared" ref="AE93:AQ93" si="89">IFERROR((Q93-C93)/C93, "")</f>
        <v/>
      </c>
      <c r="AF93" s="51" t="str">
        <f t="shared" si="89"/>
        <v/>
      </c>
      <c r="AG93" s="51" t="str">
        <f t="shared" si="89"/>
        <v/>
      </c>
      <c r="AH93" s="51" t="str">
        <f t="shared" si="89"/>
        <v/>
      </c>
      <c r="AI93" s="51" t="str">
        <f t="shared" si="89"/>
        <v/>
      </c>
      <c r="AJ93" s="51" t="str">
        <f t="shared" si="89"/>
        <v/>
      </c>
      <c r="AK93" s="51" t="str">
        <f t="shared" si="89"/>
        <v/>
      </c>
      <c r="AL93" s="51" t="str">
        <f t="shared" si="89"/>
        <v/>
      </c>
      <c r="AM93" s="51" t="str">
        <f t="shared" si="89"/>
        <v/>
      </c>
      <c r="AN93" s="51" t="str">
        <f t="shared" si="89"/>
        <v/>
      </c>
      <c r="AO93" s="51" t="str">
        <f t="shared" si="89"/>
        <v/>
      </c>
      <c r="AP93" s="51" t="str">
        <f t="shared" si="89"/>
        <v/>
      </c>
      <c r="AQ93" s="51" t="str">
        <f t="shared" si="89"/>
        <v/>
      </c>
    </row>
    <row r="94">
      <c r="B94" s="56" t="s">
        <v>43</v>
      </c>
      <c r="C94" s="57">
        <f>IFERROR(__xludf.DUMMYFUNCTION("""COMPUTED_VALUE"""),6.022287327992382)</f>
        <v>6.022287328</v>
      </c>
      <c r="D94" s="57">
        <f>IFERROR(__xludf.DUMMYFUNCTION("""COMPUTED_VALUE"""),0.0385753144596347)</f>
        <v>0.03857531446</v>
      </c>
      <c r="E94" s="57">
        <f>IFERROR(__xludf.DUMMYFUNCTION("""COMPUTED_VALUE"""),0.018758192129390994)</f>
        <v>0.01875819213</v>
      </c>
      <c r="F94" s="57">
        <f>IFERROR(__xludf.DUMMYFUNCTION("""COMPUTED_VALUE"""),0.019363295101306834)</f>
        <v>0.0193632951</v>
      </c>
      <c r="G94" s="57">
        <f>IFERROR(__xludf.DUMMYFUNCTION("""COMPUTED_VALUE"""),0.10876725920187195)</f>
        <v>0.1087672592</v>
      </c>
      <c r="H94" s="57">
        <f>IFERROR(__xludf.DUMMYFUNCTION("""COMPUTED_VALUE"""),0.15717549695513905)</f>
        <v>0.157175497</v>
      </c>
      <c r="I94" s="57">
        <f>IFERROR(__xludf.DUMMYFUNCTION("""COMPUTED_VALUE"""),0.018985105743859435)</f>
        <v>0.01898510574</v>
      </c>
      <c r="J94" s="57">
        <f>IFERROR(__xludf.DUMMYFUNCTION("""COMPUTED_VALUE"""),3.0258930489366396)</f>
        <v>3.025893049</v>
      </c>
      <c r="K94" s="57">
        <f>IFERROR(__xludf.DUMMYFUNCTION("""COMPUTED_VALUE"""),2.7204673238621204)</f>
        <v>2.720467324</v>
      </c>
      <c r="L94" s="57">
        <f>IFERROR(__xludf.DUMMYFUNCTION("""COMPUTED_VALUE"""),2.9734003661229407)</f>
        <v>2.973400366</v>
      </c>
      <c r="M94" s="57">
        <f>IFERROR(__xludf.DUMMYFUNCTION("""COMPUTED_VALUE"""),11.405661555513127)</f>
        <v>11.40566156</v>
      </c>
      <c r="N94" s="57">
        <f>IFERROR(__xludf.DUMMYFUNCTION("""COMPUTED_VALUE"""),0.0)</f>
        <v>0</v>
      </c>
      <c r="O94" s="57">
        <f>IFERROR(__xludf.DUMMYFUNCTION("""COMPUTED_VALUE"""),0.0)</f>
        <v>0</v>
      </c>
      <c r="Q94" s="109">
        <v>16.5007</v>
      </c>
      <c r="R94" s="109">
        <v>0.0765</v>
      </c>
      <c r="S94" s="109">
        <v>0.0276</v>
      </c>
      <c r="T94" s="109">
        <v>0.0273</v>
      </c>
      <c r="U94" s="109">
        <v>0.3374</v>
      </c>
      <c r="V94" s="109">
        <v>0.4694</v>
      </c>
      <c r="W94" s="109">
        <v>0.0273</v>
      </c>
      <c r="X94" s="109">
        <v>5.3438</v>
      </c>
      <c r="Y94" s="109">
        <v>6.6405</v>
      </c>
      <c r="Z94" s="109">
        <v>8.1869</v>
      </c>
      <c r="AA94" s="109">
        <v>33.4052</v>
      </c>
      <c r="AB94" s="109">
        <v>0.0</v>
      </c>
      <c r="AC94" s="109">
        <v>0.0</v>
      </c>
      <c r="AE94" s="51">
        <f t="shared" ref="AE94:AQ94" si="90">IFERROR((Q94-C94)/C94, "")</f>
        <v>1.739939013</v>
      </c>
      <c r="AF94" s="51">
        <f t="shared" si="90"/>
        <v>0.983133542</v>
      </c>
      <c r="AG94" s="51">
        <f t="shared" si="90"/>
        <v>0.4713571441</v>
      </c>
      <c r="AH94" s="51">
        <f t="shared" si="90"/>
        <v>0.4098840026</v>
      </c>
      <c r="AI94" s="51">
        <f t="shared" si="90"/>
        <v>2.102036426</v>
      </c>
      <c r="AJ94" s="51">
        <f t="shared" si="90"/>
        <v>1.986470596</v>
      </c>
      <c r="AK94" s="51">
        <f t="shared" si="90"/>
        <v>0.4379693412</v>
      </c>
      <c r="AL94" s="51">
        <f t="shared" si="90"/>
        <v>0.766024084</v>
      </c>
      <c r="AM94" s="51">
        <f t="shared" si="90"/>
        <v>1.440940915</v>
      </c>
      <c r="AN94" s="51">
        <f t="shared" si="90"/>
        <v>1.75337963</v>
      </c>
      <c r="AO94" s="51">
        <f t="shared" si="90"/>
        <v>1.928826166</v>
      </c>
      <c r="AP94" s="51" t="str">
        <f t="shared" si="90"/>
        <v/>
      </c>
      <c r="AQ94" s="51" t="str">
        <f t="shared" si="90"/>
        <v/>
      </c>
    </row>
    <row r="95">
      <c r="B95" s="56" t="s">
        <v>52</v>
      </c>
      <c r="C95" s="57">
        <f>IFERROR(__xludf.DUMMYFUNCTION("""COMPUTED_VALUE"""),7.36902326)</f>
        <v>7.36902326</v>
      </c>
      <c r="D95" s="57">
        <f>IFERROR(__xludf.DUMMYFUNCTION("""COMPUTED_VALUE"""),0.019301207999999997)</f>
        <v>0.019301208</v>
      </c>
      <c r="E95" s="57">
        <f>IFERROR(__xludf.DUMMYFUNCTION("""COMPUTED_VALUE"""),0.046678807999999995)</f>
        <v>0.046678808</v>
      </c>
      <c r="F95" s="57">
        <f>IFERROR(__xludf.DUMMYFUNCTION("""COMPUTED_VALUE"""),0.025940275999999998)</f>
        <v>0.025940276</v>
      </c>
      <c r="G95" s="57">
        <f>IFERROR(__xludf.DUMMYFUNCTION("""COMPUTED_VALUE"""),0.0)</f>
        <v>0</v>
      </c>
      <c r="H95" s="57">
        <f>IFERROR(__xludf.DUMMYFUNCTION("""COMPUTED_VALUE"""),0.0)</f>
        <v>0</v>
      </c>
      <c r="I95" s="57">
        <f>IFERROR(__xludf.DUMMYFUNCTION("""COMPUTED_VALUE"""),0.0)</f>
        <v>0</v>
      </c>
      <c r="J95" s="57">
        <f>IFERROR(__xludf.DUMMYFUNCTION("""COMPUTED_VALUE"""),0.0)</f>
        <v>0</v>
      </c>
      <c r="K95" s="57">
        <f>IFERROR(__xludf.DUMMYFUNCTION("""COMPUTED_VALUE"""),0.0)</f>
        <v>0</v>
      </c>
      <c r="L95" s="57">
        <f>IFERROR(__xludf.DUMMYFUNCTION("""COMPUTED_VALUE"""),0.0)</f>
        <v>0</v>
      </c>
      <c r="M95" s="57">
        <f>IFERROR(__xludf.DUMMYFUNCTION("""COMPUTED_VALUE"""),0.0)</f>
        <v>0</v>
      </c>
      <c r="N95" s="57">
        <f>IFERROR(__xludf.DUMMYFUNCTION("""COMPUTED_VALUE"""),0.0)</f>
        <v>0</v>
      </c>
      <c r="O95" s="57">
        <f>IFERROR(__xludf.DUMMYFUNCTION("""COMPUTED_VALUE"""),0.0)</f>
        <v>0</v>
      </c>
      <c r="Q95" s="109">
        <v>0.0546</v>
      </c>
      <c r="R95" s="109">
        <v>8.0E-4</v>
      </c>
      <c r="S95" s="109">
        <v>8.0E-4</v>
      </c>
      <c r="T95" s="109">
        <v>1.0E-4</v>
      </c>
      <c r="U95" s="109">
        <v>0.0</v>
      </c>
      <c r="V95" s="109">
        <v>0.0</v>
      </c>
      <c r="W95" s="109">
        <v>0.0</v>
      </c>
      <c r="X95" s="109">
        <v>0.0</v>
      </c>
      <c r="Y95" s="109">
        <v>0.0</v>
      </c>
      <c r="Z95" s="109">
        <v>0.0</v>
      </c>
      <c r="AA95" s="109">
        <v>0.0</v>
      </c>
      <c r="AB95" s="109">
        <v>0.0</v>
      </c>
      <c r="AC95" s="109">
        <v>0.0</v>
      </c>
      <c r="AE95" s="51">
        <f t="shared" ref="AE95:AQ95" si="91">IFERROR((Q95-C95)/C95, "")</f>
        <v>-0.9925906056</v>
      </c>
      <c r="AF95" s="51">
        <f t="shared" si="91"/>
        <v>-0.9585518171</v>
      </c>
      <c r="AG95" s="51">
        <f t="shared" si="91"/>
        <v>-0.9828616018</v>
      </c>
      <c r="AH95" s="51">
        <f t="shared" si="91"/>
        <v>-0.9961449909</v>
      </c>
      <c r="AI95" s="51" t="str">
        <f t="shared" si="91"/>
        <v/>
      </c>
      <c r="AJ95" s="51" t="str">
        <f t="shared" si="91"/>
        <v/>
      </c>
      <c r="AK95" s="51" t="str">
        <f t="shared" si="91"/>
        <v/>
      </c>
      <c r="AL95" s="51" t="str">
        <f t="shared" si="91"/>
        <v/>
      </c>
      <c r="AM95" s="51" t="str">
        <f t="shared" si="91"/>
        <v/>
      </c>
      <c r="AN95" s="51" t="str">
        <f t="shared" si="91"/>
        <v/>
      </c>
      <c r="AO95" s="51" t="str">
        <f t="shared" si="91"/>
        <v/>
      </c>
      <c r="AP95" s="51" t="str">
        <f t="shared" si="91"/>
        <v/>
      </c>
      <c r="AQ95" s="51" t="str">
        <f t="shared" si="91"/>
        <v/>
      </c>
    </row>
    <row r="96">
      <c r="B96" s="56" t="s">
        <v>88</v>
      </c>
      <c r="C96" s="57">
        <f>IFERROR(__xludf.DUMMYFUNCTION("""COMPUTED_VALUE"""),36.085872094268886)</f>
        <v>36.08587209</v>
      </c>
      <c r="D96" s="57">
        <f>IFERROR(__xludf.DUMMYFUNCTION("""COMPUTED_VALUE"""),0.2726419357887772)</f>
        <v>0.2726419358</v>
      </c>
      <c r="E96" s="57">
        <f>IFERROR(__xludf.DUMMYFUNCTION("""COMPUTED_VALUE"""),0.40598042786477206)</f>
        <v>0.4059804279</v>
      </c>
      <c r="F96" s="57">
        <f>IFERROR(__xludf.DUMMYFUNCTION("""COMPUTED_VALUE"""),0.1700011216484451)</f>
        <v>0.1700011216</v>
      </c>
      <c r="G96" s="57">
        <f>IFERROR(__xludf.DUMMYFUNCTION("""COMPUTED_VALUE"""),0.13224734238633856)</f>
        <v>0.1322473424</v>
      </c>
      <c r="H96" s="57">
        <f>IFERROR(__xludf.DUMMYFUNCTION("""COMPUTED_VALUE"""),0.14890556098175747)</f>
        <v>0.148905561</v>
      </c>
      <c r="I96" s="57">
        <f>IFERROR(__xludf.DUMMYFUNCTION("""COMPUTED_VALUE"""),0.12521548883077602)</f>
        <v>0.1252154888</v>
      </c>
      <c r="J96" s="57">
        <f>IFERROR(__xludf.DUMMYFUNCTION("""COMPUTED_VALUE"""),0.0)</f>
        <v>0</v>
      </c>
      <c r="K96" s="57">
        <f>IFERROR(__xludf.DUMMYFUNCTION("""COMPUTED_VALUE"""),0.0)</f>
        <v>0</v>
      </c>
      <c r="L96" s="57">
        <f>IFERROR(__xludf.DUMMYFUNCTION("""COMPUTED_VALUE"""),0.0)</f>
        <v>0</v>
      </c>
      <c r="M96" s="57">
        <f>IFERROR(__xludf.DUMMYFUNCTION("""COMPUTED_VALUE"""),22.69986593150383)</f>
        <v>22.69986593</v>
      </c>
      <c r="N96" s="57">
        <f>IFERROR(__xludf.DUMMYFUNCTION("""COMPUTED_VALUE"""),275.3385257161531)</f>
        <v>275.3385257</v>
      </c>
      <c r="O96" s="57">
        <f>IFERROR(__xludf.DUMMYFUNCTION("""COMPUTED_VALUE"""),0.0)</f>
        <v>0</v>
      </c>
      <c r="Q96" s="109">
        <v>131.4652</v>
      </c>
      <c r="R96" s="109">
        <v>0.946</v>
      </c>
      <c r="S96" s="109">
        <v>1.4518</v>
      </c>
      <c r="T96" s="109">
        <v>0.5872</v>
      </c>
      <c r="U96" s="109">
        <v>0.493</v>
      </c>
      <c r="V96" s="109">
        <v>0.5428</v>
      </c>
      <c r="W96" s="109">
        <v>0.4591</v>
      </c>
      <c r="X96" s="109">
        <v>0.0</v>
      </c>
      <c r="Y96" s="109">
        <v>0.0</v>
      </c>
      <c r="Z96" s="109">
        <v>0.0</v>
      </c>
      <c r="AA96" s="109">
        <v>82.2647</v>
      </c>
      <c r="AB96" s="109">
        <v>973.9038</v>
      </c>
      <c r="AC96" s="109">
        <v>0.0</v>
      </c>
      <c r="AE96" s="51">
        <f t="shared" ref="AE96:AQ96" si="92">IFERROR((Q96-C96)/C96, "")</f>
        <v>2.643121044</v>
      </c>
      <c r="AF96" s="51">
        <f t="shared" si="92"/>
        <v>2.469752359</v>
      </c>
      <c r="AG96" s="51">
        <f t="shared" si="92"/>
        <v>2.57603446</v>
      </c>
      <c r="AH96" s="51">
        <f t="shared" si="92"/>
        <v>2.454094857</v>
      </c>
      <c r="AI96" s="51">
        <f t="shared" si="92"/>
        <v>2.727863193</v>
      </c>
      <c r="AJ96" s="51">
        <f t="shared" si="92"/>
        <v>2.645263457</v>
      </c>
      <c r="AK96" s="51">
        <f t="shared" si="92"/>
        <v>2.666479317</v>
      </c>
      <c r="AL96" s="51" t="str">
        <f t="shared" si="92"/>
        <v/>
      </c>
      <c r="AM96" s="51" t="str">
        <f t="shared" si="92"/>
        <v/>
      </c>
      <c r="AN96" s="51" t="str">
        <f t="shared" si="92"/>
        <v/>
      </c>
      <c r="AO96" s="51">
        <f t="shared" si="92"/>
        <v>2.624016999</v>
      </c>
      <c r="AP96" s="51">
        <f t="shared" si="92"/>
        <v>2.537114167</v>
      </c>
      <c r="AQ96" s="51" t="str">
        <f t="shared" si="92"/>
        <v/>
      </c>
    </row>
    <row r="97">
      <c r="B97" s="56" t="s">
        <v>90</v>
      </c>
      <c r="C97" s="57">
        <f>IFERROR(__xludf.DUMMYFUNCTION("""COMPUTED_VALUE"""),13.85567688068714)</f>
        <v>13.85567688</v>
      </c>
      <c r="D97" s="57">
        <f>IFERROR(__xludf.DUMMYFUNCTION("""COMPUTED_VALUE"""),0.20547561044771417)</f>
        <v>0.2054756104</v>
      </c>
      <c r="E97" s="57">
        <f>IFERROR(__xludf.DUMMYFUNCTION("""COMPUTED_VALUE"""),0.14529264312045118)</f>
        <v>0.1452926431</v>
      </c>
      <c r="F97" s="57">
        <f>IFERROR(__xludf.DUMMYFUNCTION("""COMPUTED_VALUE"""),0.019325473392356407)</f>
        <v>0.01932547339</v>
      </c>
      <c r="G97" s="57">
        <f>IFERROR(__xludf.DUMMYFUNCTION("""COMPUTED_VALUE"""),0.0)</f>
        <v>0</v>
      </c>
      <c r="H97" s="57">
        <f>IFERROR(__xludf.DUMMYFUNCTION("""COMPUTED_VALUE"""),0.0)</f>
        <v>0</v>
      </c>
      <c r="I97" s="57">
        <f>IFERROR(__xludf.DUMMYFUNCTION("""COMPUTED_VALUE"""),0.0)</f>
        <v>0</v>
      </c>
      <c r="J97" s="57">
        <f>IFERROR(__xludf.DUMMYFUNCTION("""COMPUTED_VALUE"""),0.9476513815810202)</f>
        <v>0.9476513816</v>
      </c>
      <c r="K97" s="57">
        <f>IFERROR(__xludf.DUMMYFUNCTION("""COMPUTED_VALUE"""),1.5604410472919752)</f>
        <v>1.560441047</v>
      </c>
      <c r="L97" s="57">
        <f>IFERROR(__xludf.DUMMYFUNCTION("""COMPUTED_VALUE"""),1.9740595229843412)</f>
        <v>1.974059523</v>
      </c>
      <c r="M97" s="57">
        <f>IFERROR(__xludf.DUMMYFUNCTION("""COMPUTED_VALUE"""),19.376781675541135)</f>
        <v>19.37678168</v>
      </c>
      <c r="N97" s="57">
        <f>IFERROR(__xludf.DUMMYFUNCTION("""COMPUTED_VALUE"""),0.0)</f>
        <v>0</v>
      </c>
      <c r="O97" s="57">
        <f>IFERROR(__xludf.DUMMYFUNCTION("""COMPUTED_VALUE"""),0.05620633290273796)</f>
        <v>0.0562063329</v>
      </c>
      <c r="Q97" s="109">
        <v>49.8697</v>
      </c>
      <c r="R97" s="109">
        <v>0.5543</v>
      </c>
      <c r="S97" s="109">
        <v>0.4449</v>
      </c>
      <c r="T97" s="109">
        <v>0.0563</v>
      </c>
      <c r="U97" s="109">
        <v>0.0</v>
      </c>
      <c r="V97" s="109">
        <v>0.0</v>
      </c>
      <c r="W97" s="109">
        <v>0.0</v>
      </c>
      <c r="X97" s="109">
        <v>1.7231</v>
      </c>
      <c r="Y97" s="109">
        <v>4.412</v>
      </c>
      <c r="Z97" s="109">
        <v>6.5566</v>
      </c>
      <c r="AA97" s="109">
        <v>56.7926</v>
      </c>
      <c r="AB97" s="109">
        <v>0.0</v>
      </c>
      <c r="AC97" s="109">
        <v>0.0143</v>
      </c>
      <c r="AE97" s="51">
        <f t="shared" ref="AE97:AQ97" si="93">IFERROR((Q97-C97)/C97, "")</f>
        <v>2.5992251</v>
      </c>
      <c r="AF97" s="51">
        <f t="shared" si="93"/>
        <v>1.697643768</v>
      </c>
      <c r="AG97" s="51">
        <f t="shared" si="93"/>
        <v>2.062095853</v>
      </c>
      <c r="AH97" s="51">
        <f t="shared" si="93"/>
        <v>1.913253345</v>
      </c>
      <c r="AI97" s="51" t="str">
        <f t="shared" si="93"/>
        <v/>
      </c>
      <c r="AJ97" s="51" t="str">
        <f t="shared" si="93"/>
        <v/>
      </c>
      <c r="AK97" s="51" t="str">
        <f t="shared" si="93"/>
        <v/>
      </c>
      <c r="AL97" s="51">
        <f t="shared" si="93"/>
        <v>0.8182846915</v>
      </c>
      <c r="AM97" s="51">
        <f t="shared" si="93"/>
        <v>1.827405757</v>
      </c>
      <c r="AN97" s="51">
        <f t="shared" si="93"/>
        <v>2.321379079</v>
      </c>
      <c r="AO97" s="51">
        <f t="shared" si="93"/>
        <v>1.930961444</v>
      </c>
      <c r="AP97" s="51" t="str">
        <f t="shared" si="93"/>
        <v/>
      </c>
      <c r="AQ97" s="51">
        <f t="shared" si="93"/>
        <v>-0.7455802707</v>
      </c>
    </row>
    <row r="98">
      <c r="B98" s="56" t="s">
        <v>93</v>
      </c>
      <c r="C98" s="57">
        <f>IFERROR(__xludf.DUMMYFUNCTION("""COMPUTED_VALUE"""),38.35810645577993)</f>
        <v>38.35810646</v>
      </c>
      <c r="D98" s="57">
        <f>IFERROR(__xludf.DUMMYFUNCTION("""COMPUTED_VALUE"""),0.24531469800560815)</f>
        <v>0.245314698</v>
      </c>
      <c r="E98" s="57">
        <f>IFERROR(__xludf.DUMMYFUNCTION("""COMPUTED_VALUE"""),0.0)</f>
        <v>0</v>
      </c>
      <c r="F98" s="57">
        <f>IFERROR(__xludf.DUMMYFUNCTION("""COMPUTED_VALUE"""),0.019010252370900146)</f>
        <v>0.01901025237</v>
      </c>
      <c r="G98" s="57">
        <f>IFERROR(__xludf.DUMMYFUNCTION("""COMPUTED_VALUE"""),0.3248231387252275)</f>
        <v>0.3248231387</v>
      </c>
      <c r="H98" s="57">
        <f>IFERROR(__xludf.DUMMYFUNCTION("""COMPUTED_VALUE"""),0.22351595198336421)</f>
        <v>0.223515952</v>
      </c>
      <c r="I98" s="57">
        <f>IFERROR(__xludf.DUMMYFUNCTION("""COMPUTED_VALUE"""),0.0)</f>
        <v>0</v>
      </c>
      <c r="J98" s="57">
        <f>IFERROR(__xludf.DUMMYFUNCTION("""COMPUTED_VALUE"""),0.0)</f>
        <v>0</v>
      </c>
      <c r="K98" s="57">
        <f>IFERROR(__xludf.DUMMYFUNCTION("""COMPUTED_VALUE"""),1.212388544062509E-4)</f>
        <v>0.0001212388544</v>
      </c>
      <c r="L98" s="57">
        <f>IFERROR(__xludf.DUMMYFUNCTION("""COMPUTED_VALUE"""),0.0)</f>
        <v>0</v>
      </c>
      <c r="M98" s="57">
        <f>IFERROR(__xludf.DUMMYFUNCTION("""COMPUTED_VALUE"""),9.580221531869304)</f>
        <v>9.580221532</v>
      </c>
      <c r="N98" s="57">
        <f>IFERROR(__xludf.DUMMYFUNCTION("""COMPUTED_VALUE"""),0.0)</f>
        <v>0</v>
      </c>
      <c r="O98" s="57">
        <f>IFERROR(__xludf.DUMMYFUNCTION("""COMPUTED_VALUE"""),0.0)</f>
        <v>0</v>
      </c>
      <c r="Q98" s="109">
        <v>219.2101</v>
      </c>
      <c r="R98" s="109">
        <v>0.5719</v>
      </c>
      <c r="S98" s="109">
        <v>0.0</v>
      </c>
      <c r="T98" s="109">
        <v>0.1774</v>
      </c>
      <c r="U98" s="109">
        <v>0.987</v>
      </c>
      <c r="V98" s="109">
        <v>0.3945</v>
      </c>
      <c r="W98" s="109">
        <v>0.0</v>
      </c>
      <c r="X98" s="109">
        <v>0.0</v>
      </c>
      <c r="Y98" s="109">
        <v>0.0</v>
      </c>
      <c r="Z98" s="109">
        <v>0.0</v>
      </c>
      <c r="AA98" s="109">
        <v>47.1132</v>
      </c>
      <c r="AB98" s="109">
        <v>0.0</v>
      </c>
      <c r="AC98" s="109">
        <v>0.0</v>
      </c>
      <c r="AE98" s="51">
        <f t="shared" ref="AE98:AQ98" si="94">IFERROR((Q98-C98)/C98, "")</f>
        <v>4.714831108</v>
      </c>
      <c r="AF98" s="51">
        <f t="shared" si="94"/>
        <v>1.331291213</v>
      </c>
      <c r="AG98" s="51" t="str">
        <f t="shared" si="94"/>
        <v/>
      </c>
      <c r="AH98" s="51">
        <f t="shared" si="94"/>
        <v>8.331806677</v>
      </c>
      <c r="AI98" s="51">
        <f t="shared" si="94"/>
        <v>2.038576635</v>
      </c>
      <c r="AJ98" s="51">
        <f t="shared" si="94"/>
        <v>0.7649746987</v>
      </c>
      <c r="AK98" s="51" t="str">
        <f t="shared" si="94"/>
        <v/>
      </c>
      <c r="AL98" s="51" t="str">
        <f t="shared" si="94"/>
        <v/>
      </c>
      <c r="AM98" s="51">
        <f t="shared" si="94"/>
        <v>-1</v>
      </c>
      <c r="AN98" s="51" t="str">
        <f t="shared" si="94"/>
        <v/>
      </c>
      <c r="AO98" s="51">
        <f t="shared" si="94"/>
        <v>3.917756843</v>
      </c>
      <c r="AP98" s="51" t="str">
        <f t="shared" si="94"/>
        <v/>
      </c>
      <c r="AQ98" s="51" t="str">
        <f t="shared" si="94"/>
        <v/>
      </c>
    </row>
    <row r="99">
      <c r="B99" s="56" t="s">
        <v>95</v>
      </c>
      <c r="C99" s="57">
        <f>IFERROR(__xludf.DUMMYFUNCTION("""COMPUTED_VALUE"""),0.0)</f>
        <v>0</v>
      </c>
      <c r="D99" s="57">
        <f>IFERROR(__xludf.DUMMYFUNCTION("""COMPUTED_VALUE"""),0.30324999999999985)</f>
        <v>0.30325</v>
      </c>
      <c r="E99" s="57">
        <f>IFERROR(__xludf.DUMMYFUNCTION("""COMPUTED_VALUE"""),0.0)</f>
        <v>0</v>
      </c>
      <c r="F99" s="57">
        <f>IFERROR(__xludf.DUMMYFUNCTION("""COMPUTED_VALUE"""),0.0)</f>
        <v>0</v>
      </c>
      <c r="G99" s="57">
        <f>IFERROR(__xludf.DUMMYFUNCTION("""COMPUTED_VALUE"""),0.2995833333333332)</f>
        <v>0.2995833333</v>
      </c>
      <c r="H99" s="57">
        <f>IFERROR(__xludf.DUMMYFUNCTION("""COMPUTED_VALUE"""),0.29897222222222214)</f>
        <v>0.2989722222</v>
      </c>
      <c r="I99" s="57">
        <f>IFERROR(__xludf.DUMMYFUNCTION("""COMPUTED_VALUE"""),0.3040277777777777)</f>
        <v>0.3040277778</v>
      </c>
      <c r="J99" s="57">
        <f>IFERROR(__xludf.DUMMYFUNCTION("""COMPUTED_VALUE"""),0.0)</f>
        <v>0</v>
      </c>
      <c r="K99" s="57">
        <f>IFERROR(__xludf.DUMMYFUNCTION("""COMPUTED_VALUE"""),0.0)</f>
        <v>0</v>
      </c>
      <c r="L99" s="57">
        <f>IFERROR(__xludf.DUMMYFUNCTION("""COMPUTED_VALUE"""),0.0)</f>
        <v>0</v>
      </c>
      <c r="M99" s="57">
        <f>IFERROR(__xludf.DUMMYFUNCTION("""COMPUTED_VALUE"""),37.489055555555545)</f>
        <v>37.48905556</v>
      </c>
      <c r="N99" s="57">
        <f>IFERROR(__xludf.DUMMYFUNCTION("""COMPUTED_VALUE"""),5.906083333333331)</f>
        <v>5.906083333</v>
      </c>
      <c r="O99" s="57">
        <f>IFERROR(__xludf.DUMMYFUNCTION("""COMPUTED_VALUE"""),0.0)</f>
        <v>0</v>
      </c>
      <c r="Q99" s="109">
        <v>0.0</v>
      </c>
      <c r="R99" s="109">
        <v>0.4467</v>
      </c>
      <c r="S99" s="109">
        <v>0.0</v>
      </c>
      <c r="T99" s="109">
        <v>0.0</v>
      </c>
      <c r="U99" s="109">
        <v>0.4467</v>
      </c>
      <c r="V99" s="109">
        <v>0.4467</v>
      </c>
      <c r="W99" s="109">
        <v>0.4467</v>
      </c>
      <c r="X99" s="109">
        <v>0.0</v>
      </c>
      <c r="Y99" s="109">
        <v>0.0</v>
      </c>
      <c r="Z99" s="109">
        <v>0.0</v>
      </c>
      <c r="AA99" s="109">
        <v>79.1132</v>
      </c>
      <c r="AB99" s="109">
        <v>7.9673</v>
      </c>
      <c r="AC99" s="109">
        <v>0.0</v>
      </c>
      <c r="AE99" s="51" t="str">
        <f t="shared" ref="AE99:AQ99" si="95">IFERROR((Q99-C99)/C99, "")</f>
        <v/>
      </c>
      <c r="AF99" s="51">
        <f t="shared" si="95"/>
        <v>0.4730420445</v>
      </c>
      <c r="AG99" s="51" t="str">
        <f t="shared" si="95"/>
        <v/>
      </c>
      <c r="AH99" s="51" t="str">
        <f t="shared" si="95"/>
        <v/>
      </c>
      <c r="AI99" s="51">
        <f t="shared" si="95"/>
        <v>0.4910709318</v>
      </c>
      <c r="AJ99" s="51">
        <f t="shared" si="95"/>
        <v>0.4941187401</v>
      </c>
      <c r="AK99" s="51">
        <f t="shared" si="95"/>
        <v>0.4692736409</v>
      </c>
      <c r="AL99" s="51" t="str">
        <f t="shared" si="95"/>
        <v/>
      </c>
      <c r="AM99" s="51" t="str">
        <f t="shared" si="95"/>
        <v/>
      </c>
      <c r="AN99" s="51" t="str">
        <f t="shared" si="95"/>
        <v/>
      </c>
      <c r="AO99" s="51">
        <f t="shared" si="95"/>
        <v>1.110301229</v>
      </c>
      <c r="AP99" s="51">
        <f t="shared" si="95"/>
        <v>0.3489989135</v>
      </c>
      <c r="AQ99" s="51" t="str">
        <f t="shared" si="95"/>
        <v/>
      </c>
    </row>
    <row r="100">
      <c r="B100" s="56" t="s">
        <v>96</v>
      </c>
      <c r="C100" s="57">
        <f>IFERROR(__xludf.DUMMYFUNCTION("""COMPUTED_VALUE"""),12.52928525204161)</f>
        <v>12.52928525</v>
      </c>
      <c r="D100" s="57">
        <f>IFERROR(__xludf.DUMMYFUNCTION("""COMPUTED_VALUE"""),0.21432682115133395)</f>
        <v>0.2143268212</v>
      </c>
      <c r="E100" s="57">
        <f>IFERROR(__xludf.DUMMYFUNCTION("""COMPUTED_VALUE"""),0.25475710448676614)</f>
        <v>0.2547571045</v>
      </c>
      <c r="F100" s="57">
        <f>IFERROR(__xludf.DUMMYFUNCTION("""COMPUTED_VALUE"""),0.17297014834504074)</f>
        <v>0.1729701483</v>
      </c>
      <c r="G100" s="57">
        <f>IFERROR(__xludf.DUMMYFUNCTION("""COMPUTED_VALUE"""),0.3169575403874311)</f>
        <v>0.3169575404</v>
      </c>
      <c r="H100" s="57">
        <f>IFERROR(__xludf.DUMMYFUNCTION("""COMPUTED_VALUE"""),0.2834751780834562)</f>
        <v>0.2834751781</v>
      </c>
      <c r="I100" s="57">
        <f>IFERROR(__xludf.DUMMYFUNCTION("""COMPUTED_VALUE"""),0.2571392488404086)</f>
        <v>0.2571392488</v>
      </c>
      <c r="J100" s="57">
        <f>IFERROR(__xludf.DUMMYFUNCTION("""COMPUTED_VALUE"""),0.0)</f>
        <v>0</v>
      </c>
      <c r="K100" s="57">
        <f>IFERROR(__xludf.DUMMYFUNCTION("""COMPUTED_VALUE"""),1.9110753077096867)</f>
        <v>1.911075308</v>
      </c>
      <c r="L100" s="57">
        <f>IFERROR(__xludf.DUMMYFUNCTION("""COMPUTED_VALUE"""),2.302706456516161)</f>
        <v>2.302706457</v>
      </c>
      <c r="M100" s="57">
        <f>IFERROR(__xludf.DUMMYFUNCTION("""COMPUTED_VALUE"""),26.257516991406785)</f>
        <v>26.25751699</v>
      </c>
      <c r="N100" s="57">
        <f>IFERROR(__xludf.DUMMYFUNCTION("""COMPUTED_VALUE"""),0.0)</f>
        <v>0</v>
      </c>
      <c r="O100" s="57">
        <f>IFERROR(__xludf.DUMMYFUNCTION("""COMPUTED_VALUE"""),0.0)</f>
        <v>0</v>
      </c>
      <c r="Q100" s="109">
        <v>28.9263</v>
      </c>
      <c r="R100" s="109">
        <v>0.4888</v>
      </c>
      <c r="S100" s="109">
        <v>0.5374</v>
      </c>
      <c r="T100" s="109">
        <v>0.5458</v>
      </c>
      <c r="U100" s="109">
        <v>0.6378</v>
      </c>
      <c r="V100" s="109">
        <v>0.5993</v>
      </c>
      <c r="W100" s="109">
        <v>0.5643</v>
      </c>
      <c r="X100" s="109">
        <v>0.0</v>
      </c>
      <c r="Y100" s="109">
        <v>4.6958</v>
      </c>
      <c r="Z100" s="109">
        <v>5.2169</v>
      </c>
      <c r="AA100" s="109">
        <v>55.1951</v>
      </c>
      <c r="AB100" s="109">
        <v>0.0</v>
      </c>
      <c r="AC100" s="109">
        <v>0.0</v>
      </c>
      <c r="AE100" s="51">
        <f t="shared" ref="AE100:AQ100" si="96">IFERROR((Q100-C100)/C100, "")</f>
        <v>1.308695142</v>
      </c>
      <c r="AF100" s="51">
        <f t="shared" si="96"/>
        <v>1.280629169</v>
      </c>
      <c r="AG100" s="51">
        <f t="shared" si="96"/>
        <v>1.109460308</v>
      </c>
      <c r="AH100" s="51">
        <f t="shared" si="96"/>
        <v>2.155457778</v>
      </c>
      <c r="AI100" s="51">
        <f t="shared" si="96"/>
        <v>1.012256907</v>
      </c>
      <c r="AJ100" s="51">
        <f t="shared" si="96"/>
        <v>1.114118083</v>
      </c>
      <c r="AK100" s="51">
        <f t="shared" si="96"/>
        <v>1.194530794</v>
      </c>
      <c r="AL100" s="51" t="str">
        <f t="shared" si="96"/>
        <v/>
      </c>
      <c r="AM100" s="51">
        <f t="shared" si="96"/>
        <v>1.457150684</v>
      </c>
      <c r="AN100" s="51">
        <f t="shared" si="96"/>
        <v>1.265551471</v>
      </c>
      <c r="AO100" s="51">
        <f t="shared" si="96"/>
        <v>1.102068525</v>
      </c>
      <c r="AP100" s="51" t="str">
        <f t="shared" si="96"/>
        <v/>
      </c>
      <c r="AQ100" s="51" t="str">
        <f t="shared" si="96"/>
        <v/>
      </c>
    </row>
    <row r="101">
      <c r="B101" s="56" t="s">
        <v>97</v>
      </c>
      <c r="C101" s="57">
        <f>IFERROR(__xludf.DUMMYFUNCTION("""COMPUTED_VALUE"""),0.0)</f>
        <v>0</v>
      </c>
      <c r="D101" s="57">
        <f>IFERROR(__xludf.DUMMYFUNCTION("""COMPUTED_VALUE"""),0.0)</f>
        <v>0</v>
      </c>
      <c r="E101" s="57">
        <f>IFERROR(__xludf.DUMMYFUNCTION("""COMPUTED_VALUE"""),0.0)</f>
        <v>0</v>
      </c>
      <c r="F101" s="57">
        <f>IFERROR(__xludf.DUMMYFUNCTION("""COMPUTED_VALUE"""),0.0)</f>
        <v>0</v>
      </c>
      <c r="G101" s="57">
        <f>IFERROR(__xludf.DUMMYFUNCTION("""COMPUTED_VALUE"""),0.0)</f>
        <v>0</v>
      </c>
      <c r="H101" s="57">
        <f>IFERROR(__xludf.DUMMYFUNCTION("""COMPUTED_VALUE"""),0.0)</f>
        <v>0</v>
      </c>
      <c r="I101" s="57">
        <f>IFERROR(__xludf.DUMMYFUNCTION("""COMPUTED_VALUE"""),0.0)</f>
        <v>0</v>
      </c>
      <c r="J101" s="57">
        <f>IFERROR(__xludf.DUMMYFUNCTION("""COMPUTED_VALUE"""),0.0)</f>
        <v>0</v>
      </c>
      <c r="K101" s="57">
        <f>IFERROR(__xludf.DUMMYFUNCTION("""COMPUTED_VALUE"""),0.0)</f>
        <v>0</v>
      </c>
      <c r="L101" s="57">
        <f>IFERROR(__xludf.DUMMYFUNCTION("""COMPUTED_VALUE"""),0.0)</f>
        <v>0</v>
      </c>
      <c r="M101" s="57">
        <f>IFERROR(__xludf.DUMMYFUNCTION("""COMPUTED_VALUE"""),0.0)</f>
        <v>0</v>
      </c>
      <c r="N101" s="57">
        <f>IFERROR(__xludf.DUMMYFUNCTION("""COMPUTED_VALUE"""),0.0)</f>
        <v>0</v>
      </c>
      <c r="O101" s="57">
        <f>IFERROR(__xludf.DUMMYFUNCTION("""COMPUTED_VALUE"""),0.0)</f>
        <v>0</v>
      </c>
      <c r="Q101" s="109">
        <v>0.2115</v>
      </c>
      <c r="R101" s="109">
        <v>4.0E-4</v>
      </c>
      <c r="S101" s="109">
        <v>0.0</v>
      </c>
      <c r="T101" s="109">
        <v>0.0</v>
      </c>
      <c r="U101" s="109">
        <v>0.005</v>
      </c>
      <c r="V101" s="109">
        <v>0.0141</v>
      </c>
      <c r="W101" s="109">
        <v>0.0</v>
      </c>
      <c r="X101" s="109">
        <v>0.0477</v>
      </c>
      <c r="Y101" s="109">
        <v>0.103</v>
      </c>
      <c r="Z101" s="109">
        <v>0.1562</v>
      </c>
      <c r="AA101" s="109">
        <v>0.5157</v>
      </c>
      <c r="AB101" s="109">
        <v>0.0</v>
      </c>
      <c r="AC101" s="109">
        <v>0.0</v>
      </c>
      <c r="AE101" s="51" t="str">
        <f t="shared" ref="AE101:AQ101" si="97">IFERROR((Q101-C101)/C101, "")</f>
        <v/>
      </c>
      <c r="AF101" s="51" t="str">
        <f t="shared" si="97"/>
        <v/>
      </c>
      <c r="AG101" s="51" t="str">
        <f t="shared" si="97"/>
        <v/>
      </c>
      <c r="AH101" s="51" t="str">
        <f t="shared" si="97"/>
        <v/>
      </c>
      <c r="AI101" s="51" t="str">
        <f t="shared" si="97"/>
        <v/>
      </c>
      <c r="AJ101" s="51" t="str">
        <f t="shared" si="97"/>
        <v/>
      </c>
      <c r="AK101" s="51" t="str">
        <f t="shared" si="97"/>
        <v/>
      </c>
      <c r="AL101" s="51" t="str">
        <f t="shared" si="97"/>
        <v/>
      </c>
      <c r="AM101" s="51" t="str">
        <f t="shared" si="97"/>
        <v/>
      </c>
      <c r="AN101" s="51" t="str">
        <f t="shared" si="97"/>
        <v/>
      </c>
      <c r="AO101" s="51" t="str">
        <f t="shared" si="97"/>
        <v/>
      </c>
      <c r="AP101" s="51" t="str">
        <f t="shared" si="97"/>
        <v/>
      </c>
      <c r="AQ101" s="51" t="str">
        <f t="shared" si="97"/>
        <v/>
      </c>
    </row>
    <row r="102">
      <c r="B102" s="56" t="s">
        <v>99</v>
      </c>
      <c r="C102" s="57">
        <f>IFERROR(__xludf.DUMMYFUNCTION("""COMPUTED_VALUE"""),6.966692524020953)</f>
        <v>6.966692524</v>
      </c>
      <c r="D102" s="57">
        <f>IFERROR(__xludf.DUMMYFUNCTION("""COMPUTED_VALUE"""),0.0)</f>
        <v>0</v>
      </c>
      <c r="E102" s="57">
        <f>IFERROR(__xludf.DUMMYFUNCTION("""COMPUTED_VALUE"""),0.03807068614938251)</f>
        <v>0.03807068615</v>
      </c>
      <c r="F102" s="57">
        <f>IFERROR(__xludf.DUMMYFUNCTION("""COMPUTED_VALUE"""),0.010702497953075384)</f>
        <v>0.01070249795</v>
      </c>
      <c r="G102" s="57">
        <f>IFERROR(__xludf.DUMMYFUNCTION("""COMPUTED_VALUE"""),0.00455702467588368)</f>
        <v>0.004557024676</v>
      </c>
      <c r="H102" s="57">
        <f>IFERROR(__xludf.DUMMYFUNCTION("""COMPUTED_VALUE"""),0.0052080282010099205)</f>
        <v>0.005208028201</v>
      </c>
      <c r="I102" s="57">
        <f>IFERROR(__xludf.DUMMYFUNCTION("""COMPUTED_VALUE"""),0.0064319148282472515)</f>
        <v>0.006431914828</v>
      </c>
      <c r="J102" s="57">
        <f>IFERROR(__xludf.DUMMYFUNCTION("""COMPUTED_VALUE"""),0.0)</f>
        <v>0</v>
      </c>
      <c r="K102" s="57">
        <f>IFERROR(__xludf.DUMMYFUNCTION("""COMPUTED_VALUE"""),0.0)</f>
        <v>0</v>
      </c>
      <c r="L102" s="57">
        <f>IFERROR(__xludf.DUMMYFUNCTION("""COMPUTED_VALUE"""),0.0)</f>
        <v>0</v>
      </c>
      <c r="M102" s="57">
        <f>IFERROR(__xludf.DUMMYFUNCTION("""COMPUTED_VALUE"""),3.3506370234017417)</f>
        <v>3.350637023</v>
      </c>
      <c r="N102" s="57">
        <f>IFERROR(__xludf.DUMMYFUNCTION("""COMPUTED_VALUE"""),11.351788095440664)</f>
        <v>11.3517881</v>
      </c>
      <c r="O102" s="57">
        <f>IFERROR(__xludf.DUMMYFUNCTION("""COMPUTED_VALUE"""),0.0)</f>
        <v>0</v>
      </c>
      <c r="Q102" s="109">
        <v>26.6303</v>
      </c>
      <c r="R102" s="109">
        <v>0.0854</v>
      </c>
      <c r="S102" s="109">
        <v>0.1231</v>
      </c>
      <c r="T102" s="109">
        <v>0.0292</v>
      </c>
      <c r="U102" s="109">
        <v>0.0153</v>
      </c>
      <c r="V102" s="109">
        <v>0.0166</v>
      </c>
      <c r="W102" s="109">
        <v>0.0207</v>
      </c>
      <c r="X102" s="109">
        <v>0.0</v>
      </c>
      <c r="Y102" s="109">
        <v>0.0</v>
      </c>
      <c r="Z102" s="109">
        <v>0.0</v>
      </c>
      <c r="AA102" s="109">
        <v>23.2844</v>
      </c>
      <c r="AB102" s="109">
        <v>48.8759</v>
      </c>
      <c r="AC102" s="109">
        <v>0.0</v>
      </c>
      <c r="AE102" s="51">
        <f t="shared" ref="AE102:AQ102" si="98">IFERROR((Q102-C102)/C102, "")</f>
        <v>2.822516913</v>
      </c>
      <c r="AF102" s="51" t="str">
        <f t="shared" si="98"/>
        <v/>
      </c>
      <c r="AG102" s="51">
        <f t="shared" si="98"/>
        <v>2.233458927</v>
      </c>
      <c r="AH102" s="51">
        <f t="shared" si="98"/>
        <v>1.728335023</v>
      </c>
      <c r="AI102" s="51">
        <f t="shared" si="98"/>
        <v>2.357453841</v>
      </c>
      <c r="AJ102" s="51">
        <f t="shared" si="98"/>
        <v>2.187386734</v>
      </c>
      <c r="AK102" s="51">
        <f t="shared" si="98"/>
        <v>2.218326199</v>
      </c>
      <c r="AL102" s="51" t="str">
        <f t="shared" si="98"/>
        <v/>
      </c>
      <c r="AM102" s="51" t="str">
        <f t="shared" si="98"/>
        <v/>
      </c>
      <c r="AN102" s="51" t="str">
        <f t="shared" si="98"/>
        <v/>
      </c>
      <c r="AO102" s="51">
        <f t="shared" si="98"/>
        <v>5.949245722</v>
      </c>
      <c r="AP102" s="51">
        <f t="shared" si="98"/>
        <v>3.305568391</v>
      </c>
      <c r="AQ102" s="51" t="str">
        <f t="shared" si="98"/>
        <v/>
      </c>
    </row>
    <row r="103">
      <c r="B103" s="56" t="s">
        <v>100</v>
      </c>
      <c r="C103" s="57">
        <f>IFERROR(__xludf.DUMMYFUNCTION("""COMPUTED_VALUE"""),0.0)</f>
        <v>0</v>
      </c>
      <c r="D103" s="57">
        <f>IFERROR(__xludf.DUMMYFUNCTION("""COMPUTED_VALUE"""),0.0)</f>
        <v>0</v>
      </c>
      <c r="E103" s="57">
        <f>IFERROR(__xludf.DUMMYFUNCTION("""COMPUTED_VALUE"""),0.0)</f>
        <v>0</v>
      </c>
      <c r="F103" s="57">
        <f>IFERROR(__xludf.DUMMYFUNCTION("""COMPUTED_VALUE"""),0.0)</f>
        <v>0</v>
      </c>
      <c r="G103" s="57">
        <f>IFERROR(__xludf.DUMMYFUNCTION("""COMPUTED_VALUE"""),0.0)</f>
        <v>0</v>
      </c>
      <c r="H103" s="57">
        <f>IFERROR(__xludf.DUMMYFUNCTION("""COMPUTED_VALUE"""),0.0)</f>
        <v>0</v>
      </c>
      <c r="I103" s="57">
        <f>IFERROR(__xludf.DUMMYFUNCTION("""COMPUTED_VALUE"""),0.0)</f>
        <v>0</v>
      </c>
      <c r="J103" s="57">
        <f>IFERROR(__xludf.DUMMYFUNCTION("""COMPUTED_VALUE"""),0.0)</f>
        <v>0</v>
      </c>
      <c r="K103" s="57">
        <f>IFERROR(__xludf.DUMMYFUNCTION("""COMPUTED_VALUE"""),0.0)</f>
        <v>0</v>
      </c>
      <c r="L103" s="57">
        <f>IFERROR(__xludf.DUMMYFUNCTION("""COMPUTED_VALUE"""),0.0)</f>
        <v>0</v>
      </c>
      <c r="M103" s="57">
        <f>IFERROR(__xludf.DUMMYFUNCTION("""COMPUTED_VALUE"""),0.0)</f>
        <v>0</v>
      </c>
      <c r="N103" s="57">
        <f>IFERROR(__xludf.DUMMYFUNCTION("""COMPUTED_VALUE"""),0.0)</f>
        <v>0</v>
      </c>
      <c r="O103" s="57">
        <f>IFERROR(__xludf.DUMMYFUNCTION("""COMPUTED_VALUE"""),0.0)</f>
        <v>0</v>
      </c>
      <c r="Q103" s="109">
        <v>0.0</v>
      </c>
      <c r="R103" s="109">
        <v>0.0</v>
      </c>
      <c r="S103" s="109">
        <v>0.0</v>
      </c>
      <c r="T103" s="109">
        <v>0.0</v>
      </c>
      <c r="U103" s="109">
        <v>0.0</v>
      </c>
      <c r="V103" s="109">
        <v>0.0</v>
      </c>
      <c r="W103" s="109">
        <v>0.0</v>
      </c>
      <c r="X103" s="109">
        <v>0.0</v>
      </c>
      <c r="Y103" s="109">
        <v>0.0</v>
      </c>
      <c r="Z103" s="109">
        <v>0.0</v>
      </c>
      <c r="AA103" s="109">
        <v>0.0</v>
      </c>
      <c r="AB103" s="109">
        <v>0.0</v>
      </c>
      <c r="AC103" s="109">
        <v>0.0</v>
      </c>
      <c r="AE103" s="51" t="str">
        <f t="shared" ref="AE103:AQ103" si="99">IFERROR((Q103-C103)/C103, "")</f>
        <v/>
      </c>
      <c r="AF103" s="51" t="str">
        <f t="shared" si="99"/>
        <v/>
      </c>
      <c r="AG103" s="51" t="str">
        <f t="shared" si="99"/>
        <v/>
      </c>
      <c r="AH103" s="51" t="str">
        <f t="shared" si="99"/>
        <v/>
      </c>
      <c r="AI103" s="51" t="str">
        <f t="shared" si="99"/>
        <v/>
      </c>
      <c r="AJ103" s="51" t="str">
        <f t="shared" si="99"/>
        <v/>
      </c>
      <c r="AK103" s="51" t="str">
        <f t="shared" si="99"/>
        <v/>
      </c>
      <c r="AL103" s="51" t="str">
        <f t="shared" si="99"/>
        <v/>
      </c>
      <c r="AM103" s="51" t="str">
        <f t="shared" si="99"/>
        <v/>
      </c>
      <c r="AN103" s="51" t="str">
        <f t="shared" si="99"/>
        <v/>
      </c>
      <c r="AO103" s="51" t="str">
        <f t="shared" si="99"/>
        <v/>
      </c>
      <c r="AP103" s="51" t="str">
        <f t="shared" si="99"/>
        <v/>
      </c>
      <c r="AQ103" s="51" t="str">
        <f t="shared" si="99"/>
        <v/>
      </c>
    </row>
    <row r="104">
      <c r="B104" s="37" t="s">
        <v>104</v>
      </c>
      <c r="C104" s="43">
        <f>IFERROR(__xludf.DUMMYFUNCTION("""COMPUTED_VALUE"""),25.049648484848486)</f>
        <v>25.04964848</v>
      </c>
      <c r="D104" s="43">
        <f>IFERROR(__xludf.DUMMYFUNCTION("""COMPUTED_VALUE"""),0.28198787878787884)</f>
        <v>0.2819878788</v>
      </c>
      <c r="E104" s="43">
        <f>IFERROR(__xludf.DUMMYFUNCTION("""COMPUTED_VALUE"""),0.2834666666666667)</f>
        <v>0.2834666667</v>
      </c>
      <c r="F104" s="43">
        <f>IFERROR(__xludf.DUMMYFUNCTION("""COMPUTED_VALUE"""),0.18353939393939392)</f>
        <v>0.1835393939</v>
      </c>
      <c r="G104" s="43">
        <f>IFERROR(__xludf.DUMMYFUNCTION("""COMPUTED_VALUE"""),0.3829575757575757)</f>
        <v>0.3829575758</v>
      </c>
      <c r="H104" s="43">
        <f>IFERROR(__xludf.DUMMYFUNCTION("""COMPUTED_VALUE"""),0.4299878787878787)</f>
        <v>0.4299878788</v>
      </c>
      <c r="I104" s="43">
        <f>IFERROR(__xludf.DUMMYFUNCTION("""COMPUTED_VALUE"""),0.435660606060606)</f>
        <v>0.4356606061</v>
      </c>
      <c r="J104" s="43">
        <f>IFERROR(__xludf.DUMMYFUNCTION("""COMPUTED_VALUE"""),0.09789090909090911)</f>
        <v>0.09789090909</v>
      </c>
      <c r="K104" s="43">
        <f>IFERROR(__xludf.DUMMYFUNCTION("""COMPUTED_VALUE"""),0.07229090909090909)</f>
        <v>0.07229090909</v>
      </c>
      <c r="L104" s="43">
        <f>IFERROR(__xludf.DUMMYFUNCTION("""COMPUTED_VALUE"""),0.07163636363636362)</f>
        <v>0.07163636364</v>
      </c>
      <c r="M104" s="43">
        <f>IFERROR(__xludf.DUMMYFUNCTION("""COMPUTED_VALUE"""),17.126981818181818)</f>
        <v>17.12698182</v>
      </c>
      <c r="N104" s="41">
        <f>IFERROR(__xludf.DUMMYFUNCTION("""COMPUTED_VALUE"""),33.58244848484849)</f>
        <v>33.58244848</v>
      </c>
      <c r="O104" s="41">
        <f>IFERROR(__xludf.DUMMYFUNCTION("""COMPUTED_VALUE"""),0.0)</f>
        <v>0</v>
      </c>
      <c r="Q104" s="109">
        <v>54.6085</v>
      </c>
      <c r="R104" s="109">
        <v>0.2873</v>
      </c>
      <c r="S104" s="109">
        <v>0.43</v>
      </c>
      <c r="T104" s="109">
        <v>0.2636</v>
      </c>
      <c r="U104" s="109">
        <v>0.6903</v>
      </c>
      <c r="V104" s="109">
        <v>0.6944</v>
      </c>
      <c r="W104" s="109">
        <v>0.692</v>
      </c>
      <c r="X104" s="109">
        <v>0.0716</v>
      </c>
      <c r="Y104" s="109">
        <v>0.0744</v>
      </c>
      <c r="Z104" s="109">
        <v>0.0737</v>
      </c>
      <c r="AA104" s="109">
        <v>9.7675</v>
      </c>
      <c r="AB104" s="109">
        <v>25.2844</v>
      </c>
      <c r="AC104" s="109">
        <v>0.0</v>
      </c>
      <c r="AE104" s="51">
        <f t="shared" ref="AE104:AQ104" si="100">IFERROR((Q104-C104)/C104, "")</f>
        <v>1.180010631</v>
      </c>
      <c r="AF104" s="51">
        <f t="shared" si="100"/>
        <v>0.01883811898</v>
      </c>
      <c r="AG104" s="51">
        <f t="shared" si="100"/>
        <v>0.5169332079</v>
      </c>
      <c r="AH104" s="51">
        <f t="shared" si="100"/>
        <v>0.4362039361</v>
      </c>
      <c r="AI104" s="51">
        <f t="shared" si="100"/>
        <v>0.8025495347</v>
      </c>
      <c r="AJ104" s="51">
        <f t="shared" si="100"/>
        <v>0.614929244</v>
      </c>
      <c r="AK104" s="51">
        <f t="shared" si="100"/>
        <v>0.58839241</v>
      </c>
      <c r="AL104" s="51">
        <f t="shared" si="100"/>
        <v>-0.2685735513</v>
      </c>
      <c r="AM104" s="51">
        <f t="shared" si="100"/>
        <v>0.0291750503</v>
      </c>
      <c r="AN104" s="51">
        <f t="shared" si="100"/>
        <v>0.0288071066</v>
      </c>
      <c r="AO104" s="51">
        <f t="shared" si="100"/>
        <v>-0.4297010353</v>
      </c>
      <c r="AP104" s="51">
        <f t="shared" si="100"/>
        <v>-0.2470948028</v>
      </c>
      <c r="AQ104" s="51" t="str">
        <f t="shared" si="100"/>
        <v/>
      </c>
    </row>
    <row r="105">
      <c r="B105" s="56" t="s">
        <v>107</v>
      </c>
      <c r="C105" s="57">
        <f>IFERROR(__xludf.DUMMYFUNCTION("""COMPUTED_VALUE"""),0.0)</f>
        <v>0</v>
      </c>
      <c r="D105" s="57">
        <f>IFERROR(__xludf.DUMMYFUNCTION("""COMPUTED_VALUE"""),0.0)</f>
        <v>0</v>
      </c>
      <c r="E105" s="57">
        <f>IFERROR(__xludf.DUMMYFUNCTION("""COMPUTED_VALUE"""),0.0)</f>
        <v>0</v>
      </c>
      <c r="F105" s="57">
        <f>IFERROR(__xludf.DUMMYFUNCTION("""COMPUTED_VALUE"""),0.0)</f>
        <v>0</v>
      </c>
      <c r="G105" s="57">
        <f>IFERROR(__xludf.DUMMYFUNCTION("""COMPUTED_VALUE"""),0.0)</f>
        <v>0</v>
      </c>
      <c r="H105" s="57">
        <f>IFERROR(__xludf.DUMMYFUNCTION("""COMPUTED_VALUE"""),0.0)</f>
        <v>0</v>
      </c>
      <c r="I105" s="57">
        <f>IFERROR(__xludf.DUMMYFUNCTION("""COMPUTED_VALUE"""),0.0)</f>
        <v>0</v>
      </c>
      <c r="J105" s="57">
        <f>IFERROR(__xludf.DUMMYFUNCTION("""COMPUTED_VALUE"""),0.0)</f>
        <v>0</v>
      </c>
      <c r="K105" s="57">
        <f>IFERROR(__xludf.DUMMYFUNCTION("""COMPUTED_VALUE"""),0.0)</f>
        <v>0</v>
      </c>
      <c r="L105" s="57">
        <f>IFERROR(__xludf.DUMMYFUNCTION("""COMPUTED_VALUE"""),0.0)</f>
        <v>0</v>
      </c>
      <c r="M105" s="57">
        <f>IFERROR(__xludf.DUMMYFUNCTION("""COMPUTED_VALUE"""),0.0)</f>
        <v>0</v>
      </c>
      <c r="N105" s="57">
        <f>IFERROR(__xludf.DUMMYFUNCTION("""COMPUTED_VALUE"""),0.0)</f>
        <v>0</v>
      </c>
      <c r="O105" s="57">
        <f>IFERROR(__xludf.DUMMYFUNCTION("""COMPUTED_VALUE"""),0.0)</f>
        <v>0</v>
      </c>
      <c r="Q105" s="109">
        <v>0.1194</v>
      </c>
      <c r="R105" s="109">
        <v>0.0</v>
      </c>
      <c r="S105" s="109">
        <v>0.001</v>
      </c>
      <c r="T105" s="109">
        <v>0.0</v>
      </c>
      <c r="U105" s="109">
        <v>0.0016</v>
      </c>
      <c r="V105" s="109">
        <v>0.0014</v>
      </c>
      <c r="W105" s="109">
        <v>7.0E-4</v>
      </c>
      <c r="X105" s="109">
        <v>0.0205</v>
      </c>
      <c r="Y105" s="109">
        <v>0.0327</v>
      </c>
      <c r="Z105" s="109">
        <v>0.0266</v>
      </c>
      <c r="AA105" s="109">
        <v>0.3356</v>
      </c>
      <c r="AB105" s="109">
        <v>0.0</v>
      </c>
      <c r="AC105" s="109">
        <v>0.0</v>
      </c>
      <c r="AE105" s="51" t="str">
        <f t="shared" ref="AE105:AQ105" si="101">IFERROR((Q105-C105)/C105, "")</f>
        <v/>
      </c>
      <c r="AF105" s="51" t="str">
        <f t="shared" si="101"/>
        <v/>
      </c>
      <c r="AG105" s="51" t="str">
        <f t="shared" si="101"/>
        <v/>
      </c>
      <c r="AH105" s="51" t="str">
        <f t="shared" si="101"/>
        <v/>
      </c>
      <c r="AI105" s="51" t="str">
        <f t="shared" si="101"/>
        <v/>
      </c>
      <c r="AJ105" s="51" t="str">
        <f t="shared" si="101"/>
        <v/>
      </c>
      <c r="AK105" s="51" t="str">
        <f t="shared" si="101"/>
        <v/>
      </c>
      <c r="AL105" s="51" t="str">
        <f t="shared" si="101"/>
        <v/>
      </c>
      <c r="AM105" s="51" t="str">
        <f t="shared" si="101"/>
        <v/>
      </c>
      <c r="AN105" s="51" t="str">
        <f t="shared" si="101"/>
        <v/>
      </c>
      <c r="AO105" s="51" t="str">
        <f t="shared" si="101"/>
        <v/>
      </c>
      <c r="AP105" s="51" t="str">
        <f t="shared" si="101"/>
        <v/>
      </c>
      <c r="AQ105" s="51" t="str">
        <f t="shared" si="101"/>
        <v/>
      </c>
    </row>
    <row r="106">
      <c r="B106" s="56" t="s">
        <v>110</v>
      </c>
      <c r="C106" s="57">
        <f>IFERROR(__xludf.DUMMYFUNCTION("""COMPUTED_VALUE"""),0.0)</f>
        <v>0</v>
      </c>
      <c r="D106" s="57">
        <f>IFERROR(__xludf.DUMMYFUNCTION("""COMPUTED_VALUE"""),0.0)</f>
        <v>0</v>
      </c>
      <c r="E106" s="57">
        <f>IFERROR(__xludf.DUMMYFUNCTION("""COMPUTED_VALUE"""),0.0)</f>
        <v>0</v>
      </c>
      <c r="F106" s="57">
        <f>IFERROR(__xludf.DUMMYFUNCTION("""COMPUTED_VALUE"""),0.0)</f>
        <v>0</v>
      </c>
      <c r="G106" s="57">
        <f>IFERROR(__xludf.DUMMYFUNCTION("""COMPUTED_VALUE"""),0.0)</f>
        <v>0</v>
      </c>
      <c r="H106" s="57">
        <f>IFERROR(__xludf.DUMMYFUNCTION("""COMPUTED_VALUE"""),0.0)</f>
        <v>0</v>
      </c>
      <c r="I106" s="57">
        <f>IFERROR(__xludf.DUMMYFUNCTION("""COMPUTED_VALUE"""),0.0)</f>
        <v>0</v>
      </c>
      <c r="J106" s="57">
        <f>IFERROR(__xludf.DUMMYFUNCTION("""COMPUTED_VALUE"""),0.0)</f>
        <v>0</v>
      </c>
      <c r="K106" s="57">
        <f>IFERROR(__xludf.DUMMYFUNCTION("""COMPUTED_VALUE"""),0.0)</f>
        <v>0</v>
      </c>
      <c r="L106" s="57">
        <f>IFERROR(__xludf.DUMMYFUNCTION("""COMPUTED_VALUE"""),0.0)</f>
        <v>0</v>
      </c>
      <c r="M106" s="57">
        <f>IFERROR(__xludf.DUMMYFUNCTION("""COMPUTED_VALUE"""),0.0)</f>
        <v>0</v>
      </c>
      <c r="N106" s="57">
        <f>IFERROR(__xludf.DUMMYFUNCTION("""COMPUTED_VALUE"""),0.0)</f>
        <v>0</v>
      </c>
      <c r="O106" s="57">
        <f>IFERROR(__xludf.DUMMYFUNCTION("""COMPUTED_VALUE"""),0.0)</f>
        <v>0</v>
      </c>
      <c r="Q106" s="109">
        <v>66.7599</v>
      </c>
      <c r="R106" s="109">
        <v>0.1913</v>
      </c>
      <c r="S106" s="109">
        <v>0.5027</v>
      </c>
      <c r="T106" s="109">
        <v>0.2089</v>
      </c>
      <c r="U106" s="109">
        <v>0.0</v>
      </c>
      <c r="V106" s="109">
        <v>0.0</v>
      </c>
      <c r="W106" s="109">
        <v>0.0</v>
      </c>
      <c r="X106" s="109">
        <v>0.0</v>
      </c>
      <c r="Y106" s="109">
        <v>0.0</v>
      </c>
      <c r="Z106" s="109">
        <v>0.0</v>
      </c>
      <c r="AA106" s="109">
        <v>0.0</v>
      </c>
      <c r="AB106" s="109">
        <v>0.0</v>
      </c>
      <c r="AC106" s="109">
        <v>0.0</v>
      </c>
      <c r="AE106" s="51" t="str">
        <f t="shared" ref="AE106:AQ106" si="102">IFERROR((Q106-C106)/C106, "")</f>
        <v/>
      </c>
      <c r="AF106" s="51" t="str">
        <f t="shared" si="102"/>
        <v/>
      </c>
      <c r="AG106" s="51" t="str">
        <f t="shared" si="102"/>
        <v/>
      </c>
      <c r="AH106" s="51" t="str">
        <f t="shared" si="102"/>
        <v/>
      </c>
      <c r="AI106" s="51" t="str">
        <f t="shared" si="102"/>
        <v/>
      </c>
      <c r="AJ106" s="51" t="str">
        <f t="shared" si="102"/>
        <v/>
      </c>
      <c r="AK106" s="51" t="str">
        <f t="shared" si="102"/>
        <v/>
      </c>
      <c r="AL106" s="51" t="str">
        <f t="shared" si="102"/>
        <v/>
      </c>
      <c r="AM106" s="51" t="str">
        <f t="shared" si="102"/>
        <v/>
      </c>
      <c r="AN106" s="51" t="str">
        <f t="shared" si="102"/>
        <v/>
      </c>
      <c r="AO106" s="51" t="str">
        <f t="shared" si="102"/>
        <v/>
      </c>
      <c r="AP106" s="51" t="str">
        <f t="shared" si="102"/>
        <v/>
      </c>
      <c r="AQ106" s="51" t="str">
        <f t="shared" si="102"/>
        <v/>
      </c>
    </row>
    <row r="107">
      <c r="B107" s="56" t="s">
        <v>111</v>
      </c>
      <c r="C107" s="57">
        <f>IFERROR(__xludf.DUMMYFUNCTION("""COMPUTED_VALUE"""),0.0)</f>
        <v>0</v>
      </c>
      <c r="D107" s="57">
        <f>IFERROR(__xludf.DUMMYFUNCTION("""COMPUTED_VALUE"""),0.0)</f>
        <v>0</v>
      </c>
      <c r="E107" s="57">
        <f>IFERROR(__xludf.DUMMYFUNCTION("""COMPUTED_VALUE"""),0.0)</f>
        <v>0</v>
      </c>
      <c r="F107" s="57">
        <f>IFERROR(__xludf.DUMMYFUNCTION("""COMPUTED_VALUE"""),0.0)</f>
        <v>0</v>
      </c>
      <c r="G107" s="57">
        <f>IFERROR(__xludf.DUMMYFUNCTION("""COMPUTED_VALUE"""),0.0)</f>
        <v>0</v>
      </c>
      <c r="H107" s="57">
        <f>IFERROR(__xludf.DUMMYFUNCTION("""COMPUTED_VALUE"""),0.0)</f>
        <v>0</v>
      </c>
      <c r="I107" s="57">
        <f>IFERROR(__xludf.DUMMYFUNCTION("""COMPUTED_VALUE"""),0.0)</f>
        <v>0</v>
      </c>
      <c r="J107" s="57">
        <f>IFERROR(__xludf.DUMMYFUNCTION("""COMPUTED_VALUE"""),0.0)</f>
        <v>0</v>
      </c>
      <c r="K107" s="57">
        <f>IFERROR(__xludf.DUMMYFUNCTION("""COMPUTED_VALUE"""),0.0)</f>
        <v>0</v>
      </c>
      <c r="L107" s="57">
        <f>IFERROR(__xludf.DUMMYFUNCTION("""COMPUTED_VALUE"""),0.0)</f>
        <v>0</v>
      </c>
      <c r="M107" s="57">
        <f>IFERROR(__xludf.DUMMYFUNCTION("""COMPUTED_VALUE"""),0.0)</f>
        <v>0</v>
      </c>
      <c r="N107" s="57">
        <f>IFERROR(__xludf.DUMMYFUNCTION("""COMPUTED_VALUE"""),0.0)</f>
        <v>0</v>
      </c>
      <c r="O107" s="57">
        <f>IFERROR(__xludf.DUMMYFUNCTION("""COMPUTED_VALUE"""),0.0)</f>
        <v>0</v>
      </c>
      <c r="Q107" s="109">
        <v>0.0471</v>
      </c>
      <c r="R107" s="109">
        <v>4.0E-4</v>
      </c>
      <c r="S107" s="109">
        <v>5.0E-4</v>
      </c>
      <c r="T107" s="109">
        <v>7.0E-4</v>
      </c>
      <c r="U107" s="109">
        <v>5.0E-4</v>
      </c>
      <c r="V107" s="109">
        <v>1.0E-4</v>
      </c>
      <c r="W107" s="109">
        <v>1.0E-4</v>
      </c>
      <c r="X107" s="109">
        <v>0.0048</v>
      </c>
      <c r="Y107" s="109">
        <v>0.0068</v>
      </c>
      <c r="Z107" s="109">
        <v>0.0075</v>
      </c>
      <c r="AA107" s="109">
        <v>0.0027</v>
      </c>
      <c r="AB107" s="109">
        <v>0.0041</v>
      </c>
      <c r="AC107" s="109">
        <v>0.0034</v>
      </c>
      <c r="AE107" s="51" t="str">
        <f t="shared" ref="AE107:AQ107" si="103">IFERROR((Q107-C107)/C107, "")</f>
        <v/>
      </c>
      <c r="AF107" s="51" t="str">
        <f t="shared" si="103"/>
        <v/>
      </c>
      <c r="AG107" s="51" t="str">
        <f t="shared" si="103"/>
        <v/>
      </c>
      <c r="AH107" s="51" t="str">
        <f t="shared" si="103"/>
        <v/>
      </c>
      <c r="AI107" s="51" t="str">
        <f t="shared" si="103"/>
        <v/>
      </c>
      <c r="AJ107" s="51" t="str">
        <f t="shared" si="103"/>
        <v/>
      </c>
      <c r="AK107" s="51" t="str">
        <f t="shared" si="103"/>
        <v/>
      </c>
      <c r="AL107" s="51" t="str">
        <f t="shared" si="103"/>
        <v/>
      </c>
      <c r="AM107" s="51" t="str">
        <f t="shared" si="103"/>
        <v/>
      </c>
      <c r="AN107" s="51" t="str">
        <f t="shared" si="103"/>
        <v/>
      </c>
      <c r="AO107" s="51" t="str">
        <f t="shared" si="103"/>
        <v/>
      </c>
      <c r="AP107" s="51" t="str">
        <f t="shared" si="103"/>
        <v/>
      </c>
      <c r="AQ107" s="51" t="str">
        <f t="shared" si="103"/>
        <v/>
      </c>
    </row>
    <row r="108">
      <c r="B108" s="56" t="s">
        <v>113</v>
      </c>
      <c r="C108" s="57">
        <f>IFERROR(__xludf.DUMMYFUNCTION("""COMPUTED_VALUE"""),69.28883941649075)</f>
        <v>69.28883942</v>
      </c>
      <c r="D108" s="57">
        <f>IFERROR(__xludf.DUMMYFUNCTION("""COMPUTED_VALUE"""),0.9293443145656765)</f>
        <v>0.9293443146</v>
      </c>
      <c r="E108" s="57">
        <f>IFERROR(__xludf.DUMMYFUNCTION("""COMPUTED_VALUE"""),0.6190940861400802)</f>
        <v>0.6190940861</v>
      </c>
      <c r="F108" s="57">
        <f>IFERROR(__xludf.DUMMYFUNCTION("""COMPUTED_VALUE"""),0.0)</f>
        <v>0</v>
      </c>
      <c r="G108" s="57">
        <f>IFERROR(__xludf.DUMMYFUNCTION("""COMPUTED_VALUE"""),0.7191565539767061)</f>
        <v>0.719156554</v>
      </c>
      <c r="H108" s="57">
        <f>IFERROR(__xludf.DUMMYFUNCTION("""COMPUTED_VALUE"""),0.7174349622441373)</f>
        <v>0.7174349622</v>
      </c>
      <c r="I108" s="57">
        <f>IFERROR(__xludf.DUMMYFUNCTION("""COMPUTED_VALUE"""),0.419502601426216)</f>
        <v>0.4195026014</v>
      </c>
      <c r="J108" s="57">
        <f>IFERROR(__xludf.DUMMYFUNCTION("""COMPUTED_VALUE"""),0.0)</f>
        <v>0</v>
      </c>
      <c r="K108" s="57">
        <f>IFERROR(__xludf.DUMMYFUNCTION("""COMPUTED_VALUE"""),0.0)</f>
        <v>0</v>
      </c>
      <c r="L108" s="57">
        <f>IFERROR(__xludf.DUMMYFUNCTION("""COMPUTED_VALUE"""),0.0)</f>
        <v>0</v>
      </c>
      <c r="M108" s="57">
        <f>IFERROR(__xludf.DUMMYFUNCTION("""COMPUTED_VALUE"""),126.52666279340876)</f>
        <v>126.5266628</v>
      </c>
      <c r="N108" s="57">
        <f>IFERROR(__xludf.DUMMYFUNCTION("""COMPUTED_VALUE"""),0.0)</f>
        <v>0</v>
      </c>
      <c r="O108" s="57">
        <f>IFERROR(__xludf.DUMMYFUNCTION("""COMPUTED_VALUE"""),0.0)</f>
        <v>0</v>
      </c>
      <c r="Q108" s="109">
        <v>105.4823</v>
      </c>
      <c r="R108" s="109">
        <v>1.7437</v>
      </c>
      <c r="S108" s="109">
        <v>1.6986</v>
      </c>
      <c r="T108" s="109">
        <v>0.0045</v>
      </c>
      <c r="U108" s="109">
        <v>1.761</v>
      </c>
      <c r="V108" s="109">
        <v>1.7011</v>
      </c>
      <c r="W108" s="109">
        <v>1.7056</v>
      </c>
      <c r="X108" s="109">
        <v>0.0</v>
      </c>
      <c r="Y108" s="109">
        <v>0.0</v>
      </c>
      <c r="Z108" s="109">
        <v>0.0</v>
      </c>
      <c r="AA108" s="109">
        <v>454.8752</v>
      </c>
      <c r="AB108" s="109">
        <v>0.0</v>
      </c>
      <c r="AC108" s="109">
        <v>0.0</v>
      </c>
      <c r="AE108" s="51">
        <f t="shared" ref="AE108:AQ108" si="104">IFERROR((Q108-C108)/C108, "")</f>
        <v>0.5223562826</v>
      </c>
      <c r="AF108" s="51">
        <f t="shared" si="104"/>
        <v>0.8762690777</v>
      </c>
      <c r="AG108" s="51">
        <f t="shared" si="104"/>
        <v>1.74368636</v>
      </c>
      <c r="AH108" s="51" t="str">
        <f t="shared" si="104"/>
        <v/>
      </c>
      <c r="AI108" s="51">
        <f t="shared" si="104"/>
        <v>1.448701872</v>
      </c>
      <c r="AJ108" s="51">
        <f t="shared" si="104"/>
        <v>1.371086007</v>
      </c>
      <c r="AK108" s="51">
        <f t="shared" si="104"/>
        <v>3.065767397</v>
      </c>
      <c r="AL108" s="51" t="str">
        <f t="shared" si="104"/>
        <v/>
      </c>
      <c r="AM108" s="51" t="str">
        <f t="shared" si="104"/>
        <v/>
      </c>
      <c r="AN108" s="51" t="str">
        <f t="shared" si="104"/>
        <v/>
      </c>
      <c r="AO108" s="51">
        <f t="shared" si="104"/>
        <v>2.595093634</v>
      </c>
      <c r="AP108" s="51" t="str">
        <f t="shared" si="104"/>
        <v/>
      </c>
      <c r="AQ108" s="51" t="str">
        <f t="shared" si="104"/>
        <v/>
      </c>
    </row>
    <row r="109">
      <c r="B109" s="56" t="s">
        <v>115</v>
      </c>
      <c r="C109" s="57">
        <f>IFERROR(__xludf.DUMMYFUNCTION("""COMPUTED_VALUE"""),20.12263003119482)</f>
        <v>20.12263003</v>
      </c>
      <c r="D109" s="57">
        <f>IFERROR(__xludf.DUMMYFUNCTION("""COMPUTED_VALUE"""),0.1869623667356234)</f>
        <v>0.1869623667</v>
      </c>
      <c r="E109" s="57">
        <f>IFERROR(__xludf.DUMMYFUNCTION("""COMPUTED_VALUE"""),0.26959218405638835)</f>
        <v>0.2695921841</v>
      </c>
      <c r="F109" s="57">
        <f>IFERROR(__xludf.DUMMYFUNCTION("""COMPUTED_VALUE"""),0.1221795487456084)</f>
        <v>0.1221795487</v>
      </c>
      <c r="G109" s="57">
        <f>IFERROR(__xludf.DUMMYFUNCTION("""COMPUTED_VALUE"""),0.4457357225741915)</f>
        <v>0.4457357226</v>
      </c>
      <c r="H109" s="57">
        <f>IFERROR(__xludf.DUMMYFUNCTION("""COMPUTED_VALUE"""),0.4797377541159121)</f>
        <v>0.4797377541</v>
      </c>
      <c r="I109" s="57">
        <f>IFERROR(__xludf.DUMMYFUNCTION("""COMPUTED_VALUE"""),0.2874066455579118)</f>
        <v>0.2874066456</v>
      </c>
      <c r="J109" s="57">
        <f>IFERROR(__xludf.DUMMYFUNCTION("""COMPUTED_VALUE"""),1.7849439667941975)</f>
        <v>1.784943967</v>
      </c>
      <c r="K109" s="57">
        <f>IFERROR(__xludf.DUMMYFUNCTION("""COMPUTED_VALUE"""),3.7149415762802516)</f>
        <v>3.714941576</v>
      </c>
      <c r="L109" s="57">
        <f>IFERROR(__xludf.DUMMYFUNCTION("""COMPUTED_VALUE"""),4.405670884015577)</f>
        <v>4.405670884</v>
      </c>
      <c r="M109" s="57">
        <f>IFERROR(__xludf.DUMMYFUNCTION("""COMPUTED_VALUE"""),30.312306783090882)</f>
        <v>30.31230678</v>
      </c>
      <c r="N109" s="57">
        <f>IFERROR(__xludf.DUMMYFUNCTION("""COMPUTED_VALUE"""),1.084453310290914)</f>
        <v>1.08445331</v>
      </c>
      <c r="O109" s="57">
        <f>IFERROR(__xludf.DUMMYFUNCTION("""COMPUTED_VALUE"""),0.0)</f>
        <v>0</v>
      </c>
      <c r="Q109" s="109">
        <v>32.7299</v>
      </c>
      <c r="R109" s="109">
        <v>0.3258</v>
      </c>
      <c r="S109" s="109">
        <v>0.4963</v>
      </c>
      <c r="T109" s="109">
        <v>0.0658</v>
      </c>
      <c r="U109" s="109">
        <v>0.8112</v>
      </c>
      <c r="V109" s="109">
        <v>1.0783</v>
      </c>
      <c r="W109" s="109">
        <v>0.5724</v>
      </c>
      <c r="X109" s="109">
        <v>0.5744</v>
      </c>
      <c r="Y109" s="109">
        <v>2.998</v>
      </c>
      <c r="Z109" s="109">
        <v>6.925</v>
      </c>
      <c r="AA109" s="109">
        <v>38.5061</v>
      </c>
      <c r="AB109" s="109">
        <v>0.2057</v>
      </c>
      <c r="AC109" s="109">
        <v>0.0</v>
      </c>
      <c r="AE109" s="51">
        <f t="shared" ref="AE109:AQ109" si="105">IFERROR((Q109-C109)/C109, "")</f>
        <v>0.626521978</v>
      </c>
      <c r="AF109" s="51">
        <f t="shared" si="105"/>
        <v>0.7425966824</v>
      </c>
      <c r="AG109" s="51">
        <f t="shared" si="105"/>
        <v>0.8409287411</v>
      </c>
      <c r="AH109" s="51">
        <f t="shared" si="105"/>
        <v>-0.4614483301</v>
      </c>
      <c r="AI109" s="51">
        <f t="shared" si="105"/>
        <v>0.8199124704</v>
      </c>
      <c r="AJ109" s="51">
        <f t="shared" si="105"/>
        <v>1.247686347</v>
      </c>
      <c r="AK109" s="51">
        <f t="shared" si="105"/>
        <v>0.9916032174</v>
      </c>
      <c r="AL109" s="51">
        <f t="shared" si="105"/>
        <v>-0.6781971812</v>
      </c>
      <c r="AM109" s="51">
        <f t="shared" si="105"/>
        <v>-0.1929886545</v>
      </c>
      <c r="AN109" s="51">
        <f t="shared" si="105"/>
        <v>0.5718377932</v>
      </c>
      <c r="AO109" s="51">
        <f t="shared" si="105"/>
        <v>0.2703124271</v>
      </c>
      <c r="AP109" s="51">
        <f t="shared" si="105"/>
        <v>-0.8103191737</v>
      </c>
      <c r="AQ109" s="51" t="str">
        <f t="shared" si="105"/>
        <v/>
      </c>
    </row>
    <row r="110">
      <c r="B110" s="56" t="s">
        <v>117</v>
      </c>
      <c r="C110" s="57">
        <f>IFERROR(__xludf.DUMMYFUNCTION("""COMPUTED_VALUE"""),7.245608611518638)</f>
        <v>7.245608612</v>
      </c>
      <c r="D110" s="57">
        <f>IFERROR(__xludf.DUMMYFUNCTION("""COMPUTED_VALUE"""),0.03390099774856116)</f>
        <v>0.03390099775</v>
      </c>
      <c r="E110" s="57">
        <f>IFERROR(__xludf.DUMMYFUNCTION("""COMPUTED_VALUE"""),0.04297494030267383)</f>
        <v>0.0429749403</v>
      </c>
      <c r="F110" s="57">
        <f>IFERROR(__xludf.DUMMYFUNCTION("""COMPUTED_VALUE"""),0.05283466757281276)</f>
        <v>0.05283466757</v>
      </c>
      <c r="G110" s="57">
        <f>IFERROR(__xludf.DUMMYFUNCTION("""COMPUTED_VALUE"""),2.2450991886464343E-4)</f>
        <v>0.0002245099189</v>
      </c>
      <c r="H110" s="57">
        <f>IFERROR(__xludf.DUMMYFUNCTION("""COMPUTED_VALUE"""),1.4967327924309565E-4)</f>
        <v>0.0001496732792</v>
      </c>
      <c r="I110" s="57">
        <f>IFERROR(__xludf.DUMMYFUNCTION("""COMPUTED_VALUE"""),7.483663962154782E-5)</f>
        <v>0.00007483663962</v>
      </c>
      <c r="J110" s="57">
        <f>IFERROR(__xludf.DUMMYFUNCTION("""COMPUTED_VALUE"""),0.0)</f>
        <v>0</v>
      </c>
      <c r="K110" s="57">
        <f>IFERROR(__xludf.DUMMYFUNCTION("""COMPUTED_VALUE"""),0.0)</f>
        <v>0</v>
      </c>
      <c r="L110" s="57">
        <f>IFERROR(__xludf.DUMMYFUNCTION("""COMPUTED_VALUE"""),0.0)</f>
        <v>0</v>
      </c>
      <c r="M110" s="57">
        <f>IFERROR(__xludf.DUMMYFUNCTION("""COMPUTED_VALUE"""),4.741350139862783)</f>
        <v>4.74135014</v>
      </c>
      <c r="N110" s="57">
        <f>IFERROR(__xludf.DUMMYFUNCTION("""COMPUTED_VALUE"""),8.980396754585737E-4)</f>
        <v>0.0008980396755</v>
      </c>
      <c r="O110" s="57">
        <f>IFERROR(__xludf.DUMMYFUNCTION("""COMPUTED_VALUE"""),0.0)</f>
        <v>0</v>
      </c>
      <c r="Q110" s="109">
        <v>24.5805</v>
      </c>
      <c r="R110" s="109">
        <v>0.1512</v>
      </c>
      <c r="S110" s="109">
        <v>0.134</v>
      </c>
      <c r="T110" s="109">
        <v>0.1501</v>
      </c>
      <c r="U110" s="109">
        <v>0.0842</v>
      </c>
      <c r="V110" s="109">
        <v>0.0935</v>
      </c>
      <c r="W110" s="109">
        <v>0.1061</v>
      </c>
      <c r="X110" s="109">
        <v>0.0</v>
      </c>
      <c r="Y110" s="109">
        <v>0.0</v>
      </c>
      <c r="Z110" s="109">
        <v>0.0</v>
      </c>
      <c r="AA110" s="109">
        <v>22.7558</v>
      </c>
      <c r="AB110" s="109">
        <v>0.0027</v>
      </c>
      <c r="AC110" s="109">
        <v>0.0</v>
      </c>
      <c r="AE110" s="51">
        <f t="shared" ref="AE110:AQ110" si="106">IFERROR((Q110-C110)/C110, "")</f>
        <v>2.392468641</v>
      </c>
      <c r="AF110" s="51">
        <f t="shared" si="106"/>
        <v>3.460045723</v>
      </c>
      <c r="AG110" s="51">
        <f t="shared" si="106"/>
        <v>2.118096245</v>
      </c>
      <c r="AH110" s="51">
        <f t="shared" si="106"/>
        <v>1.840937719</v>
      </c>
      <c r="AI110" s="51">
        <f t="shared" si="106"/>
        <v>374.0391093</v>
      </c>
      <c r="AJ110" s="51">
        <f t="shared" si="106"/>
        <v>623.6940033</v>
      </c>
      <c r="AK110" s="51">
        <f t="shared" si="106"/>
        <v>1416.754733</v>
      </c>
      <c r="AL110" s="51" t="str">
        <f t="shared" si="106"/>
        <v/>
      </c>
      <c r="AM110" s="51" t="str">
        <f t="shared" si="106"/>
        <v/>
      </c>
      <c r="AN110" s="51" t="str">
        <f t="shared" si="106"/>
        <v/>
      </c>
      <c r="AO110" s="51">
        <f t="shared" si="106"/>
        <v>3.799434619</v>
      </c>
      <c r="AP110" s="51">
        <f t="shared" si="106"/>
        <v>2.006548679</v>
      </c>
      <c r="AQ110" s="51" t="str">
        <f t="shared" si="106"/>
        <v/>
      </c>
    </row>
    <row r="111">
      <c r="B111" s="37" t="s">
        <v>120</v>
      </c>
      <c r="C111" s="43">
        <f>IFERROR(__xludf.DUMMYFUNCTION("""COMPUTED_VALUE"""),10.552405782328407)</f>
        <v>10.55240578</v>
      </c>
      <c r="D111" s="43">
        <f>IFERROR(__xludf.DUMMYFUNCTION("""COMPUTED_VALUE"""),0.1293909535239108)</f>
        <v>0.1293909535</v>
      </c>
      <c r="E111" s="43">
        <f>IFERROR(__xludf.DUMMYFUNCTION("""COMPUTED_VALUE"""),0.0639772336893703)</f>
        <v>0.06397723369</v>
      </c>
      <c r="F111" s="43">
        <f>IFERROR(__xludf.DUMMYFUNCTION("""COMPUTED_VALUE"""),0.03192429656952828)</f>
        <v>0.03192429657</v>
      </c>
      <c r="G111" s="43">
        <f>IFERROR(__xludf.DUMMYFUNCTION("""COMPUTED_VALUE"""),0.0)</f>
        <v>0</v>
      </c>
      <c r="H111" s="43">
        <f>IFERROR(__xludf.DUMMYFUNCTION("""COMPUTED_VALUE"""),0.0)</f>
        <v>0</v>
      </c>
      <c r="I111" s="43">
        <f>IFERROR(__xludf.DUMMYFUNCTION("""COMPUTED_VALUE"""),0.0)</f>
        <v>0</v>
      </c>
      <c r="J111" s="43">
        <f>IFERROR(__xludf.DUMMYFUNCTION("""COMPUTED_VALUE"""),0.0)</f>
        <v>0</v>
      </c>
      <c r="K111" s="43">
        <f>IFERROR(__xludf.DUMMYFUNCTION("""COMPUTED_VALUE"""),3.0016128406541026E-4)</f>
        <v>0.0003001612841</v>
      </c>
      <c r="L111" s="43">
        <f>IFERROR(__xludf.DUMMYFUNCTION("""COMPUTED_VALUE"""),2.787211923464524E-4)</f>
        <v>0.0002787211923</v>
      </c>
      <c r="M111" s="43">
        <f>IFERROR(__xludf.DUMMYFUNCTION("""COMPUTED_VALUE"""),0.0)</f>
        <v>0</v>
      </c>
      <c r="N111" s="41">
        <f>IFERROR(__xludf.DUMMYFUNCTION("""COMPUTED_VALUE"""),0.0)</f>
        <v>0</v>
      </c>
      <c r="O111" s="41">
        <f>IFERROR(__xludf.DUMMYFUNCTION("""COMPUTED_VALUE"""),0.0)</f>
        <v>0</v>
      </c>
      <c r="Q111" s="109">
        <v>33.2033</v>
      </c>
      <c r="R111" s="109">
        <v>0.3523</v>
      </c>
      <c r="S111" s="109">
        <v>0.1839</v>
      </c>
      <c r="T111" s="109">
        <v>0.1091</v>
      </c>
      <c r="U111" s="109">
        <v>0.0</v>
      </c>
      <c r="V111" s="109">
        <v>0.0</v>
      </c>
      <c r="W111" s="109">
        <v>0.0</v>
      </c>
      <c r="X111" s="109">
        <v>0.0</v>
      </c>
      <c r="Y111" s="109">
        <v>0.0</v>
      </c>
      <c r="Z111" s="109">
        <v>0.0</v>
      </c>
      <c r="AA111" s="109">
        <v>0.0</v>
      </c>
      <c r="AB111" s="109">
        <v>0.0</v>
      </c>
      <c r="AC111" s="109">
        <v>0.0</v>
      </c>
      <c r="AE111" s="51">
        <f t="shared" ref="AE111:AQ111" si="107">IFERROR((Q111-C111)/C111, "")</f>
        <v>2.146514708</v>
      </c>
      <c r="AF111" s="51">
        <f t="shared" si="107"/>
        <v>1.722756038</v>
      </c>
      <c r="AG111" s="51">
        <f t="shared" si="107"/>
        <v>1.874460013</v>
      </c>
      <c r="AH111" s="51">
        <f t="shared" si="107"/>
        <v>2.417459795</v>
      </c>
      <c r="AI111" s="51" t="str">
        <f t="shared" si="107"/>
        <v/>
      </c>
      <c r="AJ111" s="51" t="str">
        <f t="shared" si="107"/>
        <v/>
      </c>
      <c r="AK111" s="51" t="str">
        <f t="shared" si="107"/>
        <v/>
      </c>
      <c r="AL111" s="51" t="str">
        <f t="shared" si="107"/>
        <v/>
      </c>
      <c r="AM111" s="51">
        <f t="shared" si="107"/>
        <v>-1</v>
      </c>
      <c r="AN111" s="51">
        <f t="shared" si="107"/>
        <v>-1</v>
      </c>
      <c r="AO111" s="51" t="str">
        <f t="shared" si="107"/>
        <v/>
      </c>
      <c r="AP111" s="51" t="str">
        <f t="shared" si="107"/>
        <v/>
      </c>
      <c r="AQ111" s="51" t="str">
        <f t="shared" si="107"/>
        <v/>
      </c>
    </row>
    <row r="112">
      <c r="B112" s="37" t="s">
        <v>121</v>
      </c>
      <c r="C112" s="43">
        <f>IFERROR(__xludf.DUMMYFUNCTION("""COMPUTED_VALUE"""),13.973740000000001)</f>
        <v>13.97374</v>
      </c>
      <c r="D112" s="43">
        <f>IFERROR(__xludf.DUMMYFUNCTION("""COMPUTED_VALUE"""),0.06134)</f>
        <v>0.06134</v>
      </c>
      <c r="E112" s="43">
        <f>IFERROR(__xludf.DUMMYFUNCTION("""COMPUTED_VALUE"""),0.1146)</f>
        <v>0.1146</v>
      </c>
      <c r="F112" s="43">
        <f>IFERROR(__xludf.DUMMYFUNCTION("""COMPUTED_VALUE"""),0.1986)</f>
        <v>0.1986</v>
      </c>
      <c r="G112" s="43">
        <f>IFERROR(__xludf.DUMMYFUNCTION("""COMPUTED_VALUE"""),0.011040000000000001)</f>
        <v>0.01104</v>
      </c>
      <c r="H112" s="43">
        <f>IFERROR(__xludf.DUMMYFUNCTION("""COMPUTED_VALUE"""),0.02178)</f>
        <v>0.02178</v>
      </c>
      <c r="I112" s="43">
        <f>IFERROR(__xludf.DUMMYFUNCTION("""COMPUTED_VALUE"""),0.08460000000000001)</f>
        <v>0.0846</v>
      </c>
      <c r="J112" s="43">
        <f>IFERROR(__xludf.DUMMYFUNCTION("""COMPUTED_VALUE"""),0.0)</f>
        <v>0</v>
      </c>
      <c r="K112" s="43">
        <f>IFERROR(__xludf.DUMMYFUNCTION("""COMPUTED_VALUE"""),0.0)</f>
        <v>0</v>
      </c>
      <c r="L112" s="43">
        <f>IFERROR(__xludf.DUMMYFUNCTION("""COMPUTED_VALUE"""),0.0)</f>
        <v>0</v>
      </c>
      <c r="M112" s="43">
        <f>IFERROR(__xludf.DUMMYFUNCTION("""COMPUTED_VALUE"""),0.0)</f>
        <v>0</v>
      </c>
      <c r="N112" s="41">
        <f>IFERROR(__xludf.DUMMYFUNCTION("""COMPUTED_VALUE"""),0.0)</f>
        <v>0</v>
      </c>
      <c r="O112" s="41">
        <f>IFERROR(__xludf.DUMMYFUNCTION("""COMPUTED_VALUE"""),0.0)</f>
        <v>0</v>
      </c>
      <c r="Q112" s="109">
        <v>34.3254</v>
      </c>
      <c r="R112" s="109">
        <v>0.1546</v>
      </c>
      <c r="S112" s="109">
        <v>0.2918</v>
      </c>
      <c r="T112" s="109">
        <v>0.4589</v>
      </c>
      <c r="U112" s="109">
        <v>0.033</v>
      </c>
      <c r="V112" s="109">
        <v>0.0596</v>
      </c>
      <c r="W112" s="109">
        <v>0.1859</v>
      </c>
      <c r="X112" s="109">
        <v>0.0</v>
      </c>
      <c r="Y112" s="109">
        <v>0.0</v>
      </c>
      <c r="Z112" s="109">
        <v>0.0</v>
      </c>
      <c r="AA112" s="109">
        <v>0.0</v>
      </c>
      <c r="AB112" s="109">
        <v>0.0</v>
      </c>
      <c r="AC112" s="109">
        <v>0.0</v>
      </c>
      <c r="AE112" s="51">
        <f t="shared" ref="AE112:AQ112" si="108">IFERROR((Q112-C112)/C112, "")</f>
        <v>1.456421831</v>
      </c>
      <c r="AF112" s="51">
        <f t="shared" si="108"/>
        <v>1.52037822</v>
      </c>
      <c r="AG112" s="51">
        <f t="shared" si="108"/>
        <v>1.546247818</v>
      </c>
      <c r="AH112" s="51">
        <f t="shared" si="108"/>
        <v>1.310674723</v>
      </c>
      <c r="AI112" s="51">
        <f t="shared" si="108"/>
        <v>1.989130435</v>
      </c>
      <c r="AJ112" s="51">
        <f t="shared" si="108"/>
        <v>1.736455464</v>
      </c>
      <c r="AK112" s="51">
        <f t="shared" si="108"/>
        <v>1.197399527</v>
      </c>
      <c r="AL112" s="51" t="str">
        <f t="shared" si="108"/>
        <v/>
      </c>
      <c r="AM112" s="51" t="str">
        <f t="shared" si="108"/>
        <v/>
      </c>
      <c r="AN112" s="51" t="str">
        <f t="shared" si="108"/>
        <v/>
      </c>
      <c r="AO112" s="51" t="str">
        <f t="shared" si="108"/>
        <v/>
      </c>
      <c r="AP112" s="51" t="str">
        <f t="shared" si="108"/>
        <v/>
      </c>
      <c r="AQ112" s="51" t="str">
        <f t="shared" si="108"/>
        <v/>
      </c>
    </row>
    <row r="113">
      <c r="B113" s="56" t="s">
        <v>122</v>
      </c>
      <c r="C113" s="57">
        <f>IFERROR(__xludf.DUMMYFUNCTION("""COMPUTED_VALUE"""),7.928494492395597)</f>
        <v>7.928494492</v>
      </c>
      <c r="D113" s="57">
        <f>IFERROR(__xludf.DUMMYFUNCTION("""COMPUTED_VALUE"""),0.0)</f>
        <v>0</v>
      </c>
      <c r="E113" s="57">
        <f>IFERROR(__xludf.DUMMYFUNCTION("""COMPUTED_VALUE"""),0.08210400416136865)</f>
        <v>0.08210400416</v>
      </c>
      <c r="F113" s="57">
        <f>IFERROR(__xludf.DUMMYFUNCTION("""COMPUTED_VALUE"""),0.11379467113628486)</f>
        <v>0.1137946711</v>
      </c>
      <c r="G113" s="57">
        <f>IFERROR(__xludf.DUMMYFUNCTION("""COMPUTED_VALUE"""),0.0074131383655068805)</f>
        <v>0.007413138366</v>
      </c>
      <c r="H113" s="57">
        <f>IFERROR(__xludf.DUMMYFUNCTION("""COMPUTED_VALUE"""),0.01788344700034679)</f>
        <v>0.017883447</v>
      </c>
      <c r="I113" s="57">
        <f>IFERROR(__xludf.DUMMYFUNCTION("""COMPUTED_VALUE"""),0.03596670905097678)</f>
        <v>0.03596670905</v>
      </c>
      <c r="J113" s="57">
        <f>IFERROR(__xludf.DUMMYFUNCTION("""COMPUTED_VALUE"""),0.0)</f>
        <v>0</v>
      </c>
      <c r="K113" s="57">
        <f>IFERROR(__xludf.DUMMYFUNCTION("""COMPUTED_VALUE"""),0.0)</f>
        <v>0</v>
      </c>
      <c r="L113" s="57">
        <f>IFERROR(__xludf.DUMMYFUNCTION("""COMPUTED_VALUE"""),0.0)</f>
        <v>0</v>
      </c>
      <c r="M113" s="57">
        <f>IFERROR(__xludf.DUMMYFUNCTION("""COMPUTED_VALUE"""),0.12832122529187381)</f>
        <v>0.1283212253</v>
      </c>
      <c r="N113" s="100">
        <f>IFERROR(__xludf.DUMMYFUNCTION("""COMPUTED_VALUE"""),15.246407855739225)</f>
        <v>15.24640786</v>
      </c>
      <c r="O113" s="100">
        <f>IFERROR(__xludf.DUMMYFUNCTION("""COMPUTED_VALUE"""),0.0)</f>
        <v>0</v>
      </c>
      <c r="Q113" s="109">
        <v>20.6739</v>
      </c>
      <c r="R113" s="109">
        <v>0.1574</v>
      </c>
      <c r="S113" s="109">
        <v>0.2342</v>
      </c>
      <c r="T113" s="109">
        <v>0.2469</v>
      </c>
      <c r="U113" s="109">
        <v>0.0494</v>
      </c>
      <c r="V113" s="109">
        <v>0.092</v>
      </c>
      <c r="W113" s="109">
        <v>0.2079</v>
      </c>
      <c r="X113" s="109">
        <v>0.0</v>
      </c>
      <c r="Y113" s="109">
        <v>0.0</v>
      </c>
      <c r="Z113" s="109">
        <v>0.0</v>
      </c>
      <c r="AA113" s="109">
        <v>1.0887</v>
      </c>
      <c r="AB113" s="109">
        <v>47.3506</v>
      </c>
      <c r="AC113" s="109">
        <v>0.0</v>
      </c>
      <c r="AE113" s="51">
        <f t="shared" ref="AE113:AQ113" si="109">IFERROR((Q113-C113)/C113, "")</f>
        <v>1.607544222</v>
      </c>
      <c r="AF113" s="51" t="str">
        <f t="shared" si="109"/>
        <v/>
      </c>
      <c r="AG113" s="51">
        <f t="shared" si="109"/>
        <v>1.852479637</v>
      </c>
      <c r="AH113" s="51">
        <f t="shared" si="109"/>
        <v>1.169697382</v>
      </c>
      <c r="AI113" s="51">
        <f t="shared" si="109"/>
        <v>5.663844321</v>
      </c>
      <c r="AJ113" s="51">
        <f t="shared" si="109"/>
        <v>4.144422102</v>
      </c>
      <c r="AK113" s="51">
        <f t="shared" si="109"/>
        <v>4.780345366</v>
      </c>
      <c r="AL113" s="51" t="str">
        <f t="shared" si="109"/>
        <v/>
      </c>
      <c r="AM113" s="51" t="str">
        <f t="shared" si="109"/>
        <v/>
      </c>
      <c r="AN113" s="51" t="str">
        <f t="shared" si="109"/>
        <v/>
      </c>
      <c r="AO113" s="51">
        <f t="shared" si="109"/>
        <v>7.484177092</v>
      </c>
      <c r="AP113" s="51">
        <f t="shared" si="109"/>
        <v>2.105688923</v>
      </c>
      <c r="AQ113" s="51" t="str">
        <f t="shared" si="109"/>
        <v/>
      </c>
    </row>
    <row r="114">
      <c r="B114" s="37" t="s">
        <v>123</v>
      </c>
      <c r="C114" s="43">
        <f>IFERROR(__xludf.DUMMYFUNCTION("""COMPUTED_VALUE"""),0.0)</f>
        <v>0</v>
      </c>
      <c r="D114" s="43">
        <f>IFERROR(__xludf.DUMMYFUNCTION("""COMPUTED_VALUE"""),0.0)</f>
        <v>0</v>
      </c>
      <c r="E114" s="43">
        <f>IFERROR(__xludf.DUMMYFUNCTION("""COMPUTED_VALUE"""),0.0)</f>
        <v>0</v>
      </c>
      <c r="F114" s="43">
        <f>IFERROR(__xludf.DUMMYFUNCTION("""COMPUTED_VALUE"""),4.848484848484848E-5)</f>
        <v>0.00004848484848</v>
      </c>
      <c r="G114" s="43">
        <f>IFERROR(__xludf.DUMMYFUNCTION("""COMPUTED_VALUE"""),0.0)</f>
        <v>0</v>
      </c>
      <c r="H114" s="43">
        <f>IFERROR(__xludf.DUMMYFUNCTION("""COMPUTED_VALUE"""),4.848484848484848E-5)</f>
        <v>0.00004848484848</v>
      </c>
      <c r="I114" s="43">
        <f>IFERROR(__xludf.DUMMYFUNCTION("""COMPUTED_VALUE"""),2.424242424242424E-5)</f>
        <v>0.00002424242424</v>
      </c>
      <c r="J114" s="43">
        <f>IFERROR(__xludf.DUMMYFUNCTION("""COMPUTED_VALUE"""),0.0)</f>
        <v>0</v>
      </c>
      <c r="K114" s="43">
        <f>IFERROR(__xludf.DUMMYFUNCTION("""COMPUTED_VALUE"""),0.0)</f>
        <v>0</v>
      </c>
      <c r="L114" s="43">
        <f>IFERROR(__xludf.DUMMYFUNCTION("""COMPUTED_VALUE"""),9.696969696969696E-5)</f>
        <v>0.00009696969697</v>
      </c>
      <c r="M114" s="43">
        <f>IFERROR(__xludf.DUMMYFUNCTION("""COMPUTED_VALUE"""),4.363636363636363E-4)</f>
        <v>0.0004363636364</v>
      </c>
      <c r="N114" s="41">
        <f>IFERROR(__xludf.DUMMYFUNCTION("""COMPUTED_VALUE"""),0.0)</f>
        <v>0</v>
      </c>
      <c r="O114" s="41">
        <f>IFERROR(__xludf.DUMMYFUNCTION("""COMPUTED_VALUE"""),0.0)</f>
        <v>0</v>
      </c>
      <c r="Q114" s="109">
        <v>0.0</v>
      </c>
      <c r="R114" s="109">
        <v>0.0</v>
      </c>
      <c r="S114" s="109">
        <v>0.0</v>
      </c>
      <c r="T114" s="109">
        <v>0.0</v>
      </c>
      <c r="U114" s="109">
        <v>0.0</v>
      </c>
      <c r="V114" s="109">
        <v>0.0</v>
      </c>
      <c r="W114" s="109">
        <v>0.0</v>
      </c>
      <c r="X114" s="109">
        <v>0.0</v>
      </c>
      <c r="Y114" s="109">
        <v>0.0</v>
      </c>
      <c r="Z114" s="109">
        <v>0.0</v>
      </c>
      <c r="AA114" s="109">
        <v>0.0</v>
      </c>
      <c r="AB114" s="109">
        <v>0.0</v>
      </c>
      <c r="AC114" s="109">
        <v>0.0</v>
      </c>
      <c r="AE114" s="51" t="str">
        <f t="shared" ref="AE114:AQ114" si="110">IFERROR((Q114-C114)/C114, "")</f>
        <v/>
      </c>
      <c r="AF114" s="51" t="str">
        <f t="shared" si="110"/>
        <v/>
      </c>
      <c r="AG114" s="51" t="str">
        <f t="shared" si="110"/>
        <v/>
      </c>
      <c r="AH114" s="51">
        <f t="shared" si="110"/>
        <v>-1</v>
      </c>
      <c r="AI114" s="51" t="str">
        <f t="shared" si="110"/>
        <v/>
      </c>
      <c r="AJ114" s="51">
        <f t="shared" si="110"/>
        <v>-1</v>
      </c>
      <c r="AK114" s="51">
        <f t="shared" si="110"/>
        <v>-1</v>
      </c>
      <c r="AL114" s="51" t="str">
        <f t="shared" si="110"/>
        <v/>
      </c>
      <c r="AM114" s="51" t="str">
        <f t="shared" si="110"/>
        <v/>
      </c>
      <c r="AN114" s="51">
        <f t="shared" si="110"/>
        <v>-1</v>
      </c>
      <c r="AO114" s="51">
        <f t="shared" si="110"/>
        <v>-1</v>
      </c>
      <c r="AP114" s="51" t="str">
        <f t="shared" si="110"/>
        <v/>
      </c>
      <c r="AQ114" s="51" t="str">
        <f t="shared" si="110"/>
        <v/>
      </c>
    </row>
    <row r="115">
      <c r="B115" s="56" t="s">
        <v>137</v>
      </c>
      <c r="C115" s="57">
        <f>IFERROR(__xludf.DUMMYFUNCTION("""COMPUTED_VALUE"""),60.71315254026136)</f>
        <v>60.71315254</v>
      </c>
      <c r="D115" s="57">
        <f>IFERROR(__xludf.DUMMYFUNCTION("""COMPUTED_VALUE"""),2.5267457429875084)</f>
        <v>2.526745743</v>
      </c>
      <c r="E115" s="57">
        <f>IFERROR(__xludf.DUMMYFUNCTION("""COMPUTED_VALUE"""),1.6066397059495579)</f>
        <v>1.606639706</v>
      </c>
      <c r="F115" s="57">
        <f>IFERROR(__xludf.DUMMYFUNCTION("""COMPUTED_VALUE"""),1.02843349570533)</f>
        <v>1.028433496</v>
      </c>
      <c r="G115" s="57">
        <f>IFERROR(__xludf.DUMMYFUNCTION("""COMPUTED_VALUE"""),1.8968266635769526)</f>
        <v>1.896826664</v>
      </c>
      <c r="H115" s="57">
        <f>IFERROR(__xludf.DUMMYFUNCTION("""COMPUTED_VALUE"""),1.468673170033525)</f>
        <v>1.46867317</v>
      </c>
      <c r="I115" s="57">
        <f>IFERROR(__xludf.DUMMYFUNCTION("""COMPUTED_VALUE"""),0.9497085750278613)</f>
        <v>0.949708575</v>
      </c>
      <c r="J115" s="57">
        <f>IFERROR(__xludf.DUMMYFUNCTION("""COMPUTED_VALUE"""),0.0)</f>
        <v>0</v>
      </c>
      <c r="K115" s="57">
        <f>IFERROR(__xludf.DUMMYFUNCTION("""COMPUTED_VALUE"""),3.305698913188923)</f>
        <v>3.305698913</v>
      </c>
      <c r="L115" s="57">
        <f>IFERROR(__xludf.DUMMYFUNCTION("""COMPUTED_VALUE"""),8.511185368727153)</f>
        <v>8.511185369</v>
      </c>
      <c r="M115" s="57">
        <f>IFERROR(__xludf.DUMMYFUNCTION("""COMPUTED_VALUE"""),81.42687544304017)</f>
        <v>81.42687544</v>
      </c>
      <c r="N115" s="100">
        <f>IFERROR(__xludf.DUMMYFUNCTION("""COMPUTED_VALUE"""),359.1923582015612)</f>
        <v>359.1923582</v>
      </c>
      <c r="O115" s="100">
        <f>IFERROR(__xludf.DUMMYFUNCTION("""COMPUTED_VALUE"""),0.0)</f>
        <v>0</v>
      </c>
      <c r="Q115" s="109">
        <v>53.6289</v>
      </c>
      <c r="R115" s="109">
        <v>1.9034</v>
      </c>
      <c r="S115" s="109">
        <v>1.2319</v>
      </c>
      <c r="T115" s="109">
        <v>0.7655</v>
      </c>
      <c r="U115" s="109">
        <v>1.3221</v>
      </c>
      <c r="V115" s="109">
        <v>1.0966</v>
      </c>
      <c r="W115" s="109">
        <v>0.7026</v>
      </c>
      <c r="X115" s="109">
        <v>0.0</v>
      </c>
      <c r="Y115" s="109">
        <v>2.6221</v>
      </c>
      <c r="Z115" s="109">
        <v>6.6221</v>
      </c>
      <c r="AA115" s="109">
        <v>80.9004</v>
      </c>
      <c r="AB115" s="109">
        <v>256.0812</v>
      </c>
      <c r="AC115" s="109">
        <v>0.0</v>
      </c>
      <c r="AE115" s="51">
        <f t="shared" ref="AE115:AQ115" si="111">IFERROR((Q115-C115)/C115, "")</f>
        <v>-0.1166839843</v>
      </c>
      <c r="AF115" s="51">
        <f t="shared" si="111"/>
        <v>-0.2466990376</v>
      </c>
      <c r="AG115" s="51">
        <f t="shared" si="111"/>
        <v>-0.2332443948</v>
      </c>
      <c r="AH115" s="51">
        <f t="shared" si="111"/>
        <v>-0.2556640724</v>
      </c>
      <c r="AI115" s="51">
        <f t="shared" si="111"/>
        <v>-0.3029937709</v>
      </c>
      <c r="AJ115" s="51">
        <f t="shared" si="111"/>
        <v>-0.2533396658</v>
      </c>
      <c r="AK115" s="51">
        <f t="shared" si="111"/>
        <v>-0.2601941075</v>
      </c>
      <c r="AL115" s="51" t="str">
        <f t="shared" si="111"/>
        <v/>
      </c>
      <c r="AM115" s="51">
        <f t="shared" si="111"/>
        <v>-0.2067940642</v>
      </c>
      <c r="AN115" s="51">
        <f t="shared" si="111"/>
        <v>-0.2219532635</v>
      </c>
      <c r="AO115" s="51">
        <f t="shared" si="111"/>
        <v>-0.006465622562</v>
      </c>
      <c r="AP115" s="51">
        <f t="shared" si="111"/>
        <v>-0.2870638972</v>
      </c>
      <c r="AQ115" s="51" t="str">
        <f t="shared" si="111"/>
        <v/>
      </c>
    </row>
    <row r="116">
      <c r="B116" s="37" t="s">
        <v>180</v>
      </c>
      <c r="C116" s="43">
        <f>IFERROR(__xludf.DUMMYFUNCTION("""COMPUTED_VALUE"""),0.0)</f>
        <v>0</v>
      </c>
      <c r="D116" s="43">
        <f>IFERROR(__xludf.DUMMYFUNCTION("""COMPUTED_VALUE"""),0.0)</f>
        <v>0</v>
      </c>
      <c r="E116" s="43">
        <f>IFERROR(__xludf.DUMMYFUNCTION("""COMPUTED_VALUE"""),0.0)</f>
        <v>0</v>
      </c>
      <c r="F116" s="43">
        <f>IFERROR(__xludf.DUMMYFUNCTION("""COMPUTED_VALUE"""),0.0)</f>
        <v>0</v>
      </c>
      <c r="G116" s="43">
        <f>IFERROR(__xludf.DUMMYFUNCTION("""COMPUTED_VALUE"""),0.0)</f>
        <v>0</v>
      </c>
      <c r="H116" s="43">
        <f>IFERROR(__xludf.DUMMYFUNCTION("""COMPUTED_VALUE"""),0.0)</f>
        <v>0</v>
      </c>
      <c r="I116" s="43">
        <f>IFERROR(__xludf.DUMMYFUNCTION("""COMPUTED_VALUE"""),0.0)</f>
        <v>0</v>
      </c>
      <c r="J116" s="43">
        <f>IFERROR(__xludf.DUMMYFUNCTION("""COMPUTED_VALUE"""),0.0)</f>
        <v>0</v>
      </c>
      <c r="K116" s="43">
        <f>IFERROR(__xludf.DUMMYFUNCTION("""COMPUTED_VALUE"""),0.0)</f>
        <v>0</v>
      </c>
      <c r="L116" s="43">
        <f>IFERROR(__xludf.DUMMYFUNCTION("""COMPUTED_VALUE"""),0.0)</f>
        <v>0</v>
      </c>
      <c r="M116" s="43">
        <f>IFERROR(__xludf.DUMMYFUNCTION("""COMPUTED_VALUE"""),0.0)</f>
        <v>0</v>
      </c>
      <c r="N116" s="41">
        <f>IFERROR(__xludf.DUMMYFUNCTION("""COMPUTED_VALUE"""),0.0)</f>
        <v>0</v>
      </c>
      <c r="O116" s="41">
        <f>IFERROR(__xludf.DUMMYFUNCTION("""COMPUTED_VALUE"""),0.0)</f>
        <v>0</v>
      </c>
      <c r="Q116" s="109">
        <v>0.0</v>
      </c>
      <c r="R116" s="109">
        <v>0.0</v>
      </c>
      <c r="S116" s="109">
        <v>0.0</v>
      </c>
      <c r="T116" s="109">
        <v>0.0</v>
      </c>
      <c r="U116" s="109">
        <v>0.0</v>
      </c>
      <c r="V116" s="109">
        <v>0.0</v>
      </c>
      <c r="W116" s="109">
        <v>0.0</v>
      </c>
      <c r="X116" s="109">
        <v>0.0</v>
      </c>
      <c r="Y116" s="109">
        <v>0.0</v>
      </c>
      <c r="Z116" s="109">
        <v>0.0</v>
      </c>
      <c r="AA116" s="109">
        <v>0.0</v>
      </c>
      <c r="AB116" s="109">
        <v>0.0</v>
      </c>
      <c r="AC116" s="109">
        <v>0.0</v>
      </c>
      <c r="AE116" s="51" t="str">
        <f t="shared" ref="AE116:AQ116" si="112">IFERROR((Q116-C116)/C116, "")</f>
        <v/>
      </c>
      <c r="AF116" s="51" t="str">
        <f t="shared" si="112"/>
        <v/>
      </c>
      <c r="AG116" s="51" t="str">
        <f t="shared" si="112"/>
        <v/>
      </c>
      <c r="AH116" s="51" t="str">
        <f t="shared" si="112"/>
        <v/>
      </c>
      <c r="AI116" s="51" t="str">
        <f t="shared" si="112"/>
        <v/>
      </c>
      <c r="AJ116" s="51" t="str">
        <f t="shared" si="112"/>
        <v/>
      </c>
      <c r="AK116" s="51" t="str">
        <f t="shared" si="112"/>
        <v/>
      </c>
      <c r="AL116" s="51" t="str">
        <f t="shared" si="112"/>
        <v/>
      </c>
      <c r="AM116" s="51" t="str">
        <f t="shared" si="112"/>
        <v/>
      </c>
      <c r="AN116" s="51" t="str">
        <f t="shared" si="112"/>
        <v/>
      </c>
      <c r="AO116" s="51" t="str">
        <f t="shared" si="112"/>
        <v/>
      </c>
      <c r="AP116" s="51" t="str">
        <f t="shared" si="112"/>
        <v/>
      </c>
      <c r="AQ116" s="51" t="str">
        <f t="shared" si="112"/>
        <v/>
      </c>
    </row>
    <row r="117"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AE117" s="51" t="str">
        <f t="shared" ref="AE117:AQ117" si="113">IFERROR((Q117-C117)/C117, "")</f>
        <v/>
      </c>
      <c r="AF117" s="51" t="str">
        <f t="shared" si="113"/>
        <v/>
      </c>
      <c r="AG117" s="51" t="str">
        <f t="shared" si="113"/>
        <v/>
      </c>
      <c r="AH117" s="51" t="str">
        <f t="shared" si="113"/>
        <v/>
      </c>
      <c r="AI117" s="51" t="str">
        <f t="shared" si="113"/>
        <v/>
      </c>
      <c r="AJ117" s="51" t="str">
        <f t="shared" si="113"/>
        <v/>
      </c>
      <c r="AK117" s="51" t="str">
        <f t="shared" si="113"/>
        <v/>
      </c>
      <c r="AL117" s="51" t="str">
        <f t="shared" si="113"/>
        <v/>
      </c>
      <c r="AM117" s="51" t="str">
        <f t="shared" si="113"/>
        <v/>
      </c>
      <c r="AN117" s="51" t="str">
        <f t="shared" si="113"/>
        <v/>
      </c>
      <c r="AO117" s="51" t="str">
        <f t="shared" si="113"/>
        <v/>
      </c>
      <c r="AP117" s="51" t="str">
        <f t="shared" si="113"/>
        <v/>
      </c>
      <c r="AQ117" s="51" t="str">
        <f t="shared" si="113"/>
        <v/>
      </c>
    </row>
    <row r="118"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AE118" s="51" t="str">
        <f t="shared" ref="AE118:AQ118" si="114">IFERROR((Q118-C118)/C118, "")</f>
        <v/>
      </c>
      <c r="AF118" s="51" t="str">
        <f t="shared" si="114"/>
        <v/>
      </c>
      <c r="AG118" s="51" t="str">
        <f t="shared" si="114"/>
        <v/>
      </c>
      <c r="AH118" s="51" t="str">
        <f t="shared" si="114"/>
        <v/>
      </c>
      <c r="AI118" s="51" t="str">
        <f t="shared" si="114"/>
        <v/>
      </c>
      <c r="AJ118" s="51" t="str">
        <f t="shared" si="114"/>
        <v/>
      </c>
      <c r="AK118" s="51" t="str">
        <f t="shared" si="114"/>
        <v/>
      </c>
      <c r="AL118" s="51" t="str">
        <f t="shared" si="114"/>
        <v/>
      </c>
      <c r="AM118" s="51" t="str">
        <f t="shared" si="114"/>
        <v/>
      </c>
      <c r="AN118" s="51" t="str">
        <f t="shared" si="114"/>
        <v/>
      </c>
      <c r="AO118" s="51" t="str">
        <f t="shared" si="114"/>
        <v/>
      </c>
      <c r="AP118" s="51" t="str">
        <f t="shared" si="114"/>
        <v/>
      </c>
      <c r="AQ118" s="51" t="str">
        <f t="shared" si="114"/>
        <v/>
      </c>
    </row>
    <row r="119">
      <c r="B119" s="5" t="s">
        <v>195</v>
      </c>
      <c r="C119" s="8" t="str">
        <f>IFERROR(__xludf.DUMMYFUNCTION("""COMPUTED_VALUE"""),"100+ Segment - Over Time Period")</f>
        <v>100+ Segment - Over Time Period</v>
      </c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AE119" s="51" t="str">
        <f t="shared" ref="AE119:AQ119" si="115">IFERROR((Q119-C119)/C119, "")</f>
        <v/>
      </c>
      <c r="AF119" s="51" t="str">
        <f t="shared" si="115"/>
        <v/>
      </c>
      <c r="AG119" s="51" t="str">
        <f t="shared" si="115"/>
        <v/>
      </c>
      <c r="AH119" s="51" t="str">
        <f t="shared" si="115"/>
        <v/>
      </c>
      <c r="AI119" s="51" t="str">
        <f t="shared" si="115"/>
        <v/>
      </c>
      <c r="AJ119" s="51" t="str">
        <f t="shared" si="115"/>
        <v/>
      </c>
      <c r="AK119" s="51" t="str">
        <f t="shared" si="115"/>
        <v/>
      </c>
      <c r="AL119" s="51" t="str">
        <f t="shared" si="115"/>
        <v/>
      </c>
      <c r="AM119" s="51" t="str">
        <f t="shared" si="115"/>
        <v/>
      </c>
      <c r="AN119" s="51" t="str">
        <f t="shared" si="115"/>
        <v/>
      </c>
      <c r="AO119" s="51" t="str">
        <f t="shared" si="115"/>
        <v/>
      </c>
      <c r="AP119" s="51" t="str">
        <f t="shared" si="115"/>
        <v/>
      </c>
      <c r="AQ119" s="51" t="str">
        <f t="shared" si="115"/>
        <v/>
      </c>
    </row>
    <row r="120">
      <c r="B120" s="15" t="s">
        <v>8</v>
      </c>
      <c r="C120" s="18" t="str">
        <f>IFERROR(__xludf.DUMMYFUNCTION("""COMPUTED_VALUE"""),"HC")</f>
        <v>HC</v>
      </c>
      <c r="D120" s="18" t="str">
        <f>IFERROR(__xludf.DUMMYFUNCTION("""COMPUTED_VALUE"""),"Slingshot")</f>
        <v>Slingshot</v>
      </c>
      <c r="E120" s="18" t="str">
        <f>IFERROR(__xludf.DUMMYFUNCTION("""COMPUTED_VALUE"""),"Shuffle")</f>
        <v>Shuffle</v>
      </c>
      <c r="F120" s="18" t="str">
        <f>IFERROR(__xludf.DUMMYFUNCTION("""COMPUTED_VALUE"""),"Comet")</f>
        <v>Comet</v>
      </c>
      <c r="G120" s="18" t="str">
        <f>IFERROR(__xludf.DUMMYFUNCTION("""COMPUTED_VALUE"""),"Red")</f>
        <v>Red</v>
      </c>
      <c r="H120" s="18" t="str">
        <f>IFERROR(__xludf.DUMMYFUNCTION("""COMPUTED_VALUE"""),"Chuck")</f>
        <v>Chuck</v>
      </c>
      <c r="I120" s="18" t="str">
        <f>IFERROR(__xludf.DUMMYFUNCTION("""COMPUTED_VALUE"""),"Bomb")</f>
        <v>Bomb</v>
      </c>
      <c r="J120" s="18" t="str">
        <f>IFERROR(__xludf.DUMMYFUNCTION("""COMPUTED_VALUE"""),"UL Bomb")</f>
        <v>UL Bomb</v>
      </c>
      <c r="K120" s="18" t="str">
        <f>IFERROR(__xludf.DUMMYFUNCTION("""COMPUTED_VALUE"""),"UL Chuck")</f>
        <v>UL Chuck</v>
      </c>
      <c r="L120" s="18" t="str">
        <f>IFERROR(__xludf.DUMMYFUNCTION("""COMPUTED_VALUE"""),"UL Red")</f>
        <v>UL Red</v>
      </c>
      <c r="M120" s="18" t="str">
        <f>IFERROR(__xludf.DUMMYFUNCTION("""COMPUTED_VALUE"""),"Unlimited Lives")</f>
        <v>Unlimited Lives</v>
      </c>
      <c r="N120" s="18" t="str">
        <f>IFERROR(__xludf.DUMMYFUNCTION("""COMPUTED_VALUE"""),"SPT")</f>
        <v>SPT</v>
      </c>
      <c r="O120" s="18" t="str">
        <f>IFERROR(__xludf.DUMMYFUNCTION("""COMPUTED_VALUE"""),"SPTx2")</f>
        <v>SPTx2</v>
      </c>
      <c r="Q120" s="18" t="s">
        <v>12</v>
      </c>
      <c r="R120" s="18" t="s">
        <v>15</v>
      </c>
      <c r="S120" s="18" t="s">
        <v>17</v>
      </c>
      <c r="T120" s="18" t="s">
        <v>18</v>
      </c>
      <c r="U120" s="18" t="s">
        <v>19</v>
      </c>
      <c r="V120" s="18" t="s">
        <v>21</v>
      </c>
      <c r="W120" s="18" t="s">
        <v>22</v>
      </c>
      <c r="X120" s="18" t="s">
        <v>26</v>
      </c>
      <c r="Y120" s="18" t="s">
        <v>27</v>
      </c>
      <c r="Z120" s="18" t="s">
        <v>29</v>
      </c>
      <c r="AA120" s="18" t="s">
        <v>30</v>
      </c>
      <c r="AB120" s="18" t="s">
        <v>31</v>
      </c>
      <c r="AC120" s="18" t="s">
        <v>32</v>
      </c>
      <c r="AE120" s="51" t="str">
        <f t="shared" ref="AE120:AQ120" si="116">IFERROR((Q120-C120)/C120, "")</f>
        <v/>
      </c>
      <c r="AF120" s="51" t="str">
        <f t="shared" si="116"/>
        <v/>
      </c>
      <c r="AG120" s="51" t="str">
        <f t="shared" si="116"/>
        <v/>
      </c>
      <c r="AH120" s="51" t="str">
        <f t="shared" si="116"/>
        <v/>
      </c>
      <c r="AI120" s="51" t="str">
        <f t="shared" si="116"/>
        <v/>
      </c>
      <c r="AJ120" s="51" t="str">
        <f t="shared" si="116"/>
        <v/>
      </c>
      <c r="AK120" s="51" t="str">
        <f t="shared" si="116"/>
        <v/>
      </c>
      <c r="AL120" s="51" t="str">
        <f t="shared" si="116"/>
        <v/>
      </c>
      <c r="AM120" s="51" t="str">
        <f t="shared" si="116"/>
        <v/>
      </c>
      <c r="AN120" s="51" t="str">
        <f t="shared" si="116"/>
        <v/>
      </c>
      <c r="AO120" s="51" t="str">
        <f t="shared" si="116"/>
        <v/>
      </c>
      <c r="AP120" s="51" t="str">
        <f t="shared" si="116"/>
        <v/>
      </c>
      <c r="AQ120" s="51" t="str">
        <f t="shared" si="116"/>
        <v/>
      </c>
    </row>
    <row r="121">
      <c r="B121" s="37" t="s">
        <v>33</v>
      </c>
      <c r="C121" s="41">
        <f>IFERROR(__xludf.DUMMYFUNCTION("""COMPUTED_VALUE"""),5.93801212121212)</f>
        <v>5.938012121</v>
      </c>
      <c r="D121" s="43">
        <f>IFERROR(__xludf.DUMMYFUNCTION("""COMPUTED_VALUE"""),0.13083636363636364)</f>
        <v>0.1308363636</v>
      </c>
      <c r="E121" s="43">
        <f>IFERROR(__xludf.DUMMYFUNCTION("""COMPUTED_VALUE"""),0.12989090909090908)</f>
        <v>0.1298909091</v>
      </c>
      <c r="F121" s="43">
        <f>IFERROR(__xludf.DUMMYFUNCTION("""COMPUTED_VALUE"""),0.06256969696969696)</f>
        <v>0.06256969697</v>
      </c>
      <c r="G121" s="43">
        <f>IFERROR(__xludf.DUMMYFUNCTION("""COMPUTED_VALUE"""),5.333333333333335E-4)</f>
        <v>0.0005333333333</v>
      </c>
      <c r="H121" s="43">
        <f>IFERROR(__xludf.DUMMYFUNCTION("""COMPUTED_VALUE"""),3.8787878787878785E-4)</f>
        <v>0.0003878787879</v>
      </c>
      <c r="I121" s="43">
        <f>IFERROR(__xludf.DUMMYFUNCTION("""COMPUTED_VALUE"""),9.696969696969696E-5)</f>
        <v>0.00009696969697</v>
      </c>
      <c r="J121" s="43">
        <f>IFERROR(__xludf.DUMMYFUNCTION("""COMPUTED_VALUE"""),0.0)</f>
        <v>0</v>
      </c>
      <c r="K121" s="43">
        <f>IFERROR(__xludf.DUMMYFUNCTION("""COMPUTED_VALUE"""),0.0)</f>
        <v>0</v>
      </c>
      <c r="L121" s="43">
        <f>IFERROR(__xludf.DUMMYFUNCTION("""COMPUTED_VALUE"""),0.0)</f>
        <v>0</v>
      </c>
      <c r="M121" s="43">
        <f>IFERROR(__xludf.DUMMYFUNCTION("""COMPUTED_VALUE"""),1.9718545454545457)</f>
        <v>1.971854545</v>
      </c>
      <c r="N121" s="41">
        <f>IFERROR(__xludf.DUMMYFUNCTION("""COMPUTED_VALUE"""),0.0)</f>
        <v>0</v>
      </c>
      <c r="O121" s="41">
        <f>IFERROR(__xludf.DUMMYFUNCTION("""COMPUTED_VALUE"""),0.0)</f>
        <v>0</v>
      </c>
      <c r="Q121" s="109">
        <v>17.5345</v>
      </c>
      <c r="R121" s="109">
        <v>0.4289</v>
      </c>
      <c r="S121" s="109">
        <v>0.4086</v>
      </c>
      <c r="T121" s="109">
        <v>0.199</v>
      </c>
      <c r="U121" s="109">
        <v>0.0016</v>
      </c>
      <c r="V121" s="109">
        <v>8.0E-4</v>
      </c>
      <c r="W121" s="109">
        <v>0.0</v>
      </c>
      <c r="X121" s="109">
        <v>0.0</v>
      </c>
      <c r="Y121" s="109">
        <v>0.0</v>
      </c>
      <c r="Z121" s="109">
        <v>0.0</v>
      </c>
      <c r="AA121" s="109">
        <v>6.2266</v>
      </c>
      <c r="AB121" s="109">
        <v>0.0</v>
      </c>
      <c r="AC121" s="109">
        <v>0.0</v>
      </c>
      <c r="AE121" s="51">
        <f t="shared" ref="AE121:AQ121" si="117">IFERROR((Q121-C121)/C121, "")</f>
        <v>1.952924252</v>
      </c>
      <c r="AF121" s="51">
        <f t="shared" si="117"/>
        <v>2.278140634</v>
      </c>
      <c r="AG121" s="51">
        <f t="shared" si="117"/>
        <v>2.145716685</v>
      </c>
      <c r="AH121" s="51">
        <f t="shared" si="117"/>
        <v>2.180453313</v>
      </c>
      <c r="AI121" s="51">
        <f t="shared" si="117"/>
        <v>2</v>
      </c>
      <c r="AJ121" s="51">
        <f t="shared" si="117"/>
        <v>1.0625</v>
      </c>
      <c r="AK121" s="51">
        <f t="shared" si="117"/>
        <v>-1</v>
      </c>
      <c r="AL121" s="51" t="str">
        <f t="shared" si="117"/>
        <v/>
      </c>
      <c r="AM121" s="51" t="str">
        <f t="shared" si="117"/>
        <v/>
      </c>
      <c r="AN121" s="51" t="str">
        <f t="shared" si="117"/>
        <v/>
      </c>
      <c r="AO121" s="51">
        <f t="shared" si="117"/>
        <v>2.157737985</v>
      </c>
      <c r="AP121" s="51" t="str">
        <f t="shared" si="117"/>
        <v/>
      </c>
      <c r="AQ121" s="51" t="str">
        <f t="shared" si="117"/>
        <v/>
      </c>
    </row>
    <row r="122">
      <c r="B122" s="56" t="s">
        <v>40</v>
      </c>
      <c r="C122" s="57">
        <f>IFERROR(__xludf.DUMMYFUNCTION("""COMPUTED_VALUE"""),0.0)</f>
        <v>0</v>
      </c>
      <c r="D122" s="57">
        <f>IFERROR(__xludf.DUMMYFUNCTION("""COMPUTED_VALUE"""),0.0)</f>
        <v>0</v>
      </c>
      <c r="E122" s="57">
        <f>IFERROR(__xludf.DUMMYFUNCTION("""COMPUTED_VALUE"""),0.0)</f>
        <v>0</v>
      </c>
      <c r="F122" s="57">
        <f>IFERROR(__xludf.DUMMYFUNCTION("""COMPUTED_VALUE"""),0.0)</f>
        <v>0</v>
      </c>
      <c r="G122" s="57">
        <f>IFERROR(__xludf.DUMMYFUNCTION("""COMPUTED_VALUE"""),0.0)</f>
        <v>0</v>
      </c>
      <c r="H122" s="57">
        <f>IFERROR(__xludf.DUMMYFUNCTION("""COMPUTED_VALUE"""),0.0)</f>
        <v>0</v>
      </c>
      <c r="I122" s="57">
        <f>IFERROR(__xludf.DUMMYFUNCTION("""COMPUTED_VALUE"""),0.0)</f>
        <v>0</v>
      </c>
      <c r="J122" s="57">
        <f>IFERROR(__xludf.DUMMYFUNCTION("""COMPUTED_VALUE"""),0.0)</f>
        <v>0</v>
      </c>
      <c r="K122" s="57">
        <f>IFERROR(__xludf.DUMMYFUNCTION("""COMPUTED_VALUE"""),0.0)</f>
        <v>0</v>
      </c>
      <c r="L122" s="57">
        <f>IFERROR(__xludf.DUMMYFUNCTION("""COMPUTED_VALUE"""),0.0)</f>
        <v>0</v>
      </c>
      <c r="M122" s="57">
        <f>IFERROR(__xludf.DUMMYFUNCTION("""COMPUTED_VALUE"""),0.0)</f>
        <v>0</v>
      </c>
      <c r="N122" s="57">
        <f>IFERROR(__xludf.DUMMYFUNCTION("""COMPUTED_VALUE"""),0.0)</f>
        <v>0</v>
      </c>
      <c r="O122" s="57">
        <f>IFERROR(__xludf.DUMMYFUNCTION("""COMPUTED_VALUE"""),0.0)</f>
        <v>0</v>
      </c>
      <c r="Q122" s="109">
        <v>1.1373</v>
      </c>
      <c r="R122" s="109">
        <v>0.0024</v>
      </c>
      <c r="S122" s="109">
        <v>0.0041</v>
      </c>
      <c r="T122" s="109">
        <v>0.0049</v>
      </c>
      <c r="U122" s="109">
        <v>0.0</v>
      </c>
      <c r="V122" s="109">
        <v>0.0</v>
      </c>
      <c r="W122" s="109">
        <v>0.0</v>
      </c>
      <c r="X122" s="109">
        <v>0.0</v>
      </c>
      <c r="Y122" s="109">
        <v>0.0</v>
      </c>
      <c r="Z122" s="109">
        <v>0.0</v>
      </c>
      <c r="AA122" s="109">
        <v>0.0</v>
      </c>
      <c r="AB122" s="109">
        <v>0.0</v>
      </c>
      <c r="AC122" s="109">
        <v>0.0</v>
      </c>
      <c r="AE122" s="51" t="str">
        <f t="shared" ref="AE122:AQ122" si="118">IFERROR((Q122-C122)/C122, "")</f>
        <v/>
      </c>
      <c r="AF122" s="51" t="str">
        <f t="shared" si="118"/>
        <v/>
      </c>
      <c r="AG122" s="51" t="str">
        <f t="shared" si="118"/>
        <v/>
      </c>
      <c r="AH122" s="51" t="str">
        <f t="shared" si="118"/>
        <v/>
      </c>
      <c r="AI122" s="51" t="str">
        <f t="shared" si="118"/>
        <v/>
      </c>
      <c r="AJ122" s="51" t="str">
        <f t="shared" si="118"/>
        <v/>
      </c>
      <c r="AK122" s="51" t="str">
        <f t="shared" si="118"/>
        <v/>
      </c>
      <c r="AL122" s="51" t="str">
        <f t="shared" si="118"/>
        <v/>
      </c>
      <c r="AM122" s="51" t="str">
        <f t="shared" si="118"/>
        <v/>
      </c>
      <c r="AN122" s="51" t="str">
        <f t="shared" si="118"/>
        <v/>
      </c>
      <c r="AO122" s="51" t="str">
        <f t="shared" si="118"/>
        <v/>
      </c>
      <c r="AP122" s="51" t="str">
        <f t="shared" si="118"/>
        <v/>
      </c>
      <c r="AQ122" s="51" t="str">
        <f t="shared" si="118"/>
        <v/>
      </c>
    </row>
    <row r="123">
      <c r="B123" s="56" t="s">
        <v>43</v>
      </c>
      <c r="C123" s="57">
        <f>IFERROR(__xludf.DUMMYFUNCTION("""COMPUTED_VALUE"""),9.294597850204076)</f>
        <v>9.29459785</v>
      </c>
      <c r="D123" s="57">
        <f>IFERROR(__xludf.DUMMYFUNCTION("""COMPUTED_VALUE"""),0.0907295724221899)</f>
        <v>0.09072957242</v>
      </c>
      <c r="E123" s="57">
        <f>IFERROR(__xludf.DUMMYFUNCTION("""COMPUTED_VALUE"""),0.06734036253431659)</f>
        <v>0.06734036253</v>
      </c>
      <c r="F123" s="57">
        <f>IFERROR(__xludf.DUMMYFUNCTION("""COMPUTED_VALUE"""),0.068197110149257)</f>
        <v>0.06819711015</v>
      </c>
      <c r="G123" s="57">
        <f>IFERROR(__xludf.DUMMYFUNCTION("""COMPUTED_VALUE"""),0.121915185606021)</f>
        <v>0.1219151856</v>
      </c>
      <c r="H123" s="57">
        <f>IFERROR(__xludf.DUMMYFUNCTION("""COMPUTED_VALUE"""),0.1336526279307047)</f>
        <v>0.1336526279</v>
      </c>
      <c r="I123" s="57">
        <f>IFERROR(__xludf.DUMMYFUNCTION("""COMPUTED_VALUE"""),0.068197110149257)</f>
        <v>0.06819711015</v>
      </c>
      <c r="J123" s="57">
        <f>IFERROR(__xludf.DUMMYFUNCTION("""COMPUTED_VALUE"""),3.7791994042636627)</f>
        <v>3.779199404</v>
      </c>
      <c r="K123" s="57">
        <f>IFERROR(__xludf.DUMMYFUNCTION("""COMPUTED_VALUE"""),3.1207031874204603)</f>
        <v>3.120703187</v>
      </c>
      <c r="L123" s="57">
        <f>IFERROR(__xludf.DUMMYFUNCTION("""COMPUTED_VALUE"""),3.2714050928884792)</f>
        <v>3.271405093</v>
      </c>
      <c r="M123" s="57">
        <f>IFERROR(__xludf.DUMMYFUNCTION("""COMPUTED_VALUE"""),15.731856729820375)</f>
        <v>15.73185673</v>
      </c>
      <c r="N123" s="57">
        <f>IFERROR(__xludf.DUMMYFUNCTION("""COMPUTED_VALUE"""),0.0)</f>
        <v>0</v>
      </c>
      <c r="O123" s="57">
        <f>IFERROR(__xludf.DUMMYFUNCTION("""COMPUTED_VALUE"""),0.0)</f>
        <v>0</v>
      </c>
      <c r="Q123" s="109">
        <v>30.9708</v>
      </c>
      <c r="R123" s="109">
        <v>0.3103</v>
      </c>
      <c r="S123" s="109">
        <v>0.2283</v>
      </c>
      <c r="T123" s="109">
        <v>0.2242</v>
      </c>
      <c r="U123" s="109">
        <v>0.4021</v>
      </c>
      <c r="V123" s="109">
        <v>0.4289</v>
      </c>
      <c r="W123" s="109">
        <v>0.2242</v>
      </c>
      <c r="X123" s="109">
        <v>9.1592</v>
      </c>
      <c r="Y123" s="109">
        <v>9.606</v>
      </c>
      <c r="Z123" s="109">
        <v>10.1665</v>
      </c>
      <c r="AA123" s="109">
        <v>53.9561</v>
      </c>
      <c r="AB123" s="109">
        <v>0.0</v>
      </c>
      <c r="AC123" s="109">
        <v>0.0</v>
      </c>
      <c r="AE123" s="51">
        <f t="shared" ref="AE123:AQ123" si="119">IFERROR((Q123-C123)/C123, "")</f>
        <v>2.332129103</v>
      </c>
      <c r="AF123" s="51">
        <f t="shared" si="119"/>
        <v>2.420053591</v>
      </c>
      <c r="AG123" s="51">
        <f t="shared" si="119"/>
        <v>2.390240138</v>
      </c>
      <c r="AH123" s="51">
        <f t="shared" si="119"/>
        <v>2.287529332</v>
      </c>
      <c r="AI123" s="51">
        <f t="shared" si="119"/>
        <v>2.298194544</v>
      </c>
      <c r="AJ123" s="51">
        <f t="shared" si="119"/>
        <v>2.209065221</v>
      </c>
      <c r="AK123" s="51">
        <f t="shared" si="119"/>
        <v>2.287529332</v>
      </c>
      <c r="AL123" s="51">
        <f t="shared" si="119"/>
        <v>1.423582092</v>
      </c>
      <c r="AM123" s="51">
        <f t="shared" si="119"/>
        <v>2.078152398</v>
      </c>
      <c r="AN123" s="51">
        <f t="shared" si="119"/>
        <v>2.107686059</v>
      </c>
      <c r="AO123" s="51">
        <f t="shared" si="119"/>
        <v>2.429735023</v>
      </c>
      <c r="AP123" s="51" t="str">
        <f t="shared" si="119"/>
        <v/>
      </c>
      <c r="AQ123" s="51" t="str">
        <f t="shared" si="119"/>
        <v/>
      </c>
    </row>
    <row r="124">
      <c r="B124" s="56" t="s">
        <v>52</v>
      </c>
      <c r="C124" s="57">
        <f>IFERROR(__xludf.DUMMYFUNCTION("""COMPUTED_VALUE"""),10.741803407999997)</f>
        <v>10.74180341</v>
      </c>
      <c r="D124" s="57">
        <f>IFERROR(__xludf.DUMMYFUNCTION("""COMPUTED_VALUE"""),0.007418471999999999)</f>
        <v>0.007418472</v>
      </c>
      <c r="E124" s="57">
        <f>IFERROR(__xludf.DUMMYFUNCTION("""COMPUTED_VALUE"""),0.028449479999999996)</f>
        <v>0.02844948</v>
      </c>
      <c r="F124" s="57">
        <f>IFERROR(__xludf.DUMMYFUNCTION("""COMPUTED_VALUE"""),0.045087023999999996)</f>
        <v>0.045087024</v>
      </c>
      <c r="G124" s="57">
        <f>IFERROR(__xludf.DUMMYFUNCTION("""COMPUTED_VALUE"""),0.0)</f>
        <v>0</v>
      </c>
      <c r="H124" s="57">
        <f>IFERROR(__xludf.DUMMYFUNCTION("""COMPUTED_VALUE"""),0.0)</f>
        <v>0</v>
      </c>
      <c r="I124" s="57">
        <f>IFERROR(__xludf.DUMMYFUNCTION("""COMPUTED_VALUE"""),0.0)</f>
        <v>0</v>
      </c>
      <c r="J124" s="57">
        <f>IFERROR(__xludf.DUMMYFUNCTION("""COMPUTED_VALUE"""),0.0)</f>
        <v>0</v>
      </c>
      <c r="K124" s="57">
        <f>IFERROR(__xludf.DUMMYFUNCTION("""COMPUTED_VALUE"""),0.0)</f>
        <v>0</v>
      </c>
      <c r="L124" s="57">
        <f>IFERROR(__xludf.DUMMYFUNCTION("""COMPUTED_VALUE"""),0.0)</f>
        <v>0</v>
      </c>
      <c r="M124" s="57">
        <f>IFERROR(__xludf.DUMMYFUNCTION("""COMPUTED_VALUE"""),0.0)</f>
        <v>0</v>
      </c>
      <c r="N124" s="57">
        <f>IFERROR(__xludf.DUMMYFUNCTION("""COMPUTED_VALUE"""),0.0)</f>
        <v>0</v>
      </c>
      <c r="O124" s="57">
        <f>IFERROR(__xludf.DUMMYFUNCTION("""COMPUTED_VALUE"""),0.0)</f>
        <v>0</v>
      </c>
      <c r="Q124" s="109">
        <v>0.0812</v>
      </c>
      <c r="R124" s="109">
        <v>0.0</v>
      </c>
      <c r="S124" s="109">
        <v>0.0016</v>
      </c>
      <c r="T124" s="109">
        <v>0.0</v>
      </c>
      <c r="U124" s="109">
        <v>0.0</v>
      </c>
      <c r="V124" s="109">
        <v>0.0</v>
      </c>
      <c r="W124" s="109">
        <v>0.0</v>
      </c>
      <c r="X124" s="109">
        <v>0.0</v>
      </c>
      <c r="Y124" s="109">
        <v>0.0</v>
      </c>
      <c r="Z124" s="109">
        <v>0.0</v>
      </c>
      <c r="AA124" s="109">
        <v>0.0</v>
      </c>
      <c r="AB124" s="109">
        <v>0.0</v>
      </c>
      <c r="AC124" s="109">
        <v>0.0</v>
      </c>
      <c r="AE124" s="51">
        <f t="shared" ref="AE124:AQ124" si="120">IFERROR((Q124-C124)/C124, "")</f>
        <v>-0.9924407479</v>
      </c>
      <c r="AF124" s="51">
        <f t="shared" si="120"/>
        <v>-1</v>
      </c>
      <c r="AG124" s="51">
        <f t="shared" si="120"/>
        <v>-0.9437599562</v>
      </c>
      <c r="AH124" s="51">
        <f t="shared" si="120"/>
        <v>-1</v>
      </c>
      <c r="AI124" s="51" t="str">
        <f t="shared" si="120"/>
        <v/>
      </c>
      <c r="AJ124" s="51" t="str">
        <f t="shared" si="120"/>
        <v/>
      </c>
      <c r="AK124" s="51" t="str">
        <f t="shared" si="120"/>
        <v/>
      </c>
      <c r="AL124" s="51" t="str">
        <f t="shared" si="120"/>
        <v/>
      </c>
      <c r="AM124" s="51" t="str">
        <f t="shared" si="120"/>
        <v/>
      </c>
      <c r="AN124" s="51" t="str">
        <f t="shared" si="120"/>
        <v/>
      </c>
      <c r="AO124" s="51" t="str">
        <f t="shared" si="120"/>
        <v/>
      </c>
      <c r="AP124" s="51" t="str">
        <f t="shared" si="120"/>
        <v/>
      </c>
      <c r="AQ124" s="51" t="str">
        <f t="shared" si="120"/>
        <v/>
      </c>
    </row>
    <row r="125">
      <c r="B125" s="56" t="s">
        <v>88</v>
      </c>
      <c r="C125" s="57">
        <f>IFERROR(__xludf.DUMMYFUNCTION("""COMPUTED_VALUE"""),83.2598066211463)</f>
        <v>83.25980662</v>
      </c>
      <c r="D125" s="57">
        <f>IFERROR(__xludf.DUMMYFUNCTION("""COMPUTED_VALUE"""),0.6466679908959239)</f>
        <v>0.6466679909</v>
      </c>
      <c r="E125" s="57">
        <f>IFERROR(__xludf.DUMMYFUNCTION("""COMPUTED_VALUE"""),0.8996752741568383)</f>
        <v>0.8996752742</v>
      </c>
      <c r="F125" s="57">
        <f>IFERROR(__xludf.DUMMYFUNCTION("""COMPUTED_VALUE"""),0.33846087316366646)</f>
        <v>0.3384608732</v>
      </c>
      <c r="G125" s="57">
        <f>IFERROR(__xludf.DUMMYFUNCTION("""COMPUTED_VALUE"""),0.291584440306228)</f>
        <v>0.2915844403</v>
      </c>
      <c r="H125" s="57">
        <f>IFERROR(__xludf.DUMMYFUNCTION("""COMPUTED_VALUE"""),0.4280399751707015)</f>
        <v>0.4280399752</v>
      </c>
      <c r="I125" s="57">
        <f>IFERROR(__xludf.DUMMYFUNCTION("""COMPUTED_VALUE"""),0.32273085040347615)</f>
        <v>0.3227308504</v>
      </c>
      <c r="J125" s="57">
        <f>IFERROR(__xludf.DUMMYFUNCTION("""COMPUTED_VALUE"""),0.0)</f>
        <v>0</v>
      </c>
      <c r="K125" s="57">
        <f>IFERROR(__xludf.DUMMYFUNCTION("""COMPUTED_VALUE"""),0.0)</f>
        <v>0</v>
      </c>
      <c r="L125" s="57">
        <f>IFERROR(__xludf.DUMMYFUNCTION("""COMPUTED_VALUE"""),0.0)</f>
        <v>0</v>
      </c>
      <c r="M125" s="57">
        <f>IFERROR(__xludf.DUMMYFUNCTION("""COMPUTED_VALUE"""),51.468923980964206)</f>
        <v>51.46892398</v>
      </c>
      <c r="N125" s="57">
        <f>IFERROR(__xludf.DUMMYFUNCTION("""COMPUTED_VALUE"""),478.7542302858325)</f>
        <v>478.7542303</v>
      </c>
      <c r="O125" s="57">
        <f>IFERROR(__xludf.DUMMYFUNCTION("""COMPUTED_VALUE"""),0.0)</f>
        <v>0</v>
      </c>
      <c r="Q125" s="109">
        <v>302.9488</v>
      </c>
      <c r="R125" s="109">
        <v>2.3582</v>
      </c>
      <c r="S125" s="109">
        <v>3.2624</v>
      </c>
      <c r="T125" s="109">
        <v>1.1998</v>
      </c>
      <c r="U125" s="109">
        <v>1.0431</v>
      </c>
      <c r="V125" s="109">
        <v>1.5662</v>
      </c>
      <c r="W125" s="109">
        <v>1.2031</v>
      </c>
      <c r="X125" s="109">
        <v>0.0</v>
      </c>
      <c r="Y125" s="109">
        <v>0.0</v>
      </c>
      <c r="Z125" s="109">
        <v>0.0</v>
      </c>
      <c r="AA125" s="109">
        <v>187.7254</v>
      </c>
      <c r="AB125" s="109">
        <v>1761.8944</v>
      </c>
      <c r="AC125" s="109">
        <v>0.0</v>
      </c>
      <c r="AE125" s="51">
        <f t="shared" ref="AE125:AQ125" si="121">IFERROR((Q125-C125)/C125, "")</f>
        <v>2.638596008</v>
      </c>
      <c r="AF125" s="51">
        <f t="shared" si="121"/>
        <v>2.646693563</v>
      </c>
      <c r="AG125" s="51">
        <f t="shared" si="121"/>
        <v>2.626197244</v>
      </c>
      <c r="AH125" s="51">
        <f t="shared" si="121"/>
        <v>2.544870604</v>
      </c>
      <c r="AI125" s="51">
        <f t="shared" si="121"/>
        <v>2.57735138</v>
      </c>
      <c r="AJ125" s="51">
        <f t="shared" si="121"/>
        <v>2.659004044</v>
      </c>
      <c r="AK125" s="51">
        <f t="shared" si="121"/>
        <v>2.727874167</v>
      </c>
      <c r="AL125" s="51" t="str">
        <f t="shared" si="121"/>
        <v/>
      </c>
      <c r="AM125" s="51" t="str">
        <f t="shared" si="121"/>
        <v/>
      </c>
      <c r="AN125" s="51" t="str">
        <f t="shared" si="121"/>
        <v/>
      </c>
      <c r="AO125" s="51">
        <f t="shared" si="121"/>
        <v>2.647354277</v>
      </c>
      <c r="AP125" s="51">
        <f t="shared" si="121"/>
        <v>2.680164662</v>
      </c>
      <c r="AQ125" s="51" t="str">
        <f t="shared" si="121"/>
        <v/>
      </c>
    </row>
    <row r="126">
      <c r="B126" s="56" t="s">
        <v>90</v>
      </c>
      <c r="C126" s="57">
        <f>IFERROR(__xludf.DUMMYFUNCTION("""COMPUTED_VALUE"""),8.364400855231397)</f>
        <v>8.364400855</v>
      </c>
      <c r="D126" s="57">
        <f>IFERROR(__xludf.DUMMYFUNCTION("""COMPUTED_VALUE"""),0.16851872542934)</f>
        <v>0.1685187254</v>
      </c>
      <c r="E126" s="57">
        <f>IFERROR(__xludf.DUMMYFUNCTION("""COMPUTED_VALUE"""),0.09486265259673082)</f>
        <v>0.0948626526</v>
      </c>
      <c r="F126" s="57">
        <f>IFERROR(__xludf.DUMMYFUNCTION("""COMPUTED_VALUE"""),0.009433188495758329)</f>
        <v>0.009433188496</v>
      </c>
      <c r="G126" s="57">
        <f>IFERROR(__xludf.DUMMYFUNCTION("""COMPUTED_VALUE"""),0.0)</f>
        <v>0</v>
      </c>
      <c r="H126" s="57">
        <f>IFERROR(__xludf.DUMMYFUNCTION("""COMPUTED_VALUE"""),0.0)</f>
        <v>0</v>
      </c>
      <c r="I126" s="57">
        <f>IFERROR(__xludf.DUMMYFUNCTION("""COMPUTED_VALUE"""),0.0)</f>
        <v>0</v>
      </c>
      <c r="J126" s="57">
        <f>IFERROR(__xludf.DUMMYFUNCTION("""COMPUTED_VALUE"""),0.4807307262569832)</f>
        <v>0.4807307263</v>
      </c>
      <c r="K126" s="57">
        <f>IFERROR(__xludf.DUMMYFUNCTION("""COMPUTED_VALUE"""),0.7753550175874199)</f>
        <v>0.7753550176</v>
      </c>
      <c r="L126" s="57">
        <f>IFERROR(__xludf.DUMMYFUNCTION("""COMPUTED_VALUE"""),1.1816093937512935)</f>
        <v>1.181609394</v>
      </c>
      <c r="M126" s="57">
        <f>IFERROR(__xludf.DUMMYFUNCTION("""COMPUTED_VALUE"""),12.022586674943101)</f>
        <v>12.02258667</v>
      </c>
      <c r="N126" s="57">
        <f>IFERROR(__xludf.DUMMYFUNCTION("""COMPUTED_VALUE"""),0.0)</f>
        <v>0</v>
      </c>
      <c r="O126" s="57">
        <f>IFERROR(__xludf.DUMMYFUNCTION("""COMPUTED_VALUE"""),0.10164200289675152)</f>
        <v>0.1016420029</v>
      </c>
      <c r="Q126" s="109">
        <v>36.3972</v>
      </c>
      <c r="R126" s="109">
        <v>0.6141</v>
      </c>
      <c r="S126" s="109">
        <v>0.3176</v>
      </c>
      <c r="T126" s="109">
        <v>0.039</v>
      </c>
      <c r="U126" s="109">
        <v>0.0</v>
      </c>
      <c r="V126" s="109">
        <v>0.0</v>
      </c>
      <c r="W126" s="109">
        <v>0.0</v>
      </c>
      <c r="X126" s="109">
        <v>1.4622</v>
      </c>
      <c r="Y126" s="109">
        <v>2.8757</v>
      </c>
      <c r="Z126" s="109">
        <v>4.3867</v>
      </c>
      <c r="AA126" s="109">
        <v>43.8546</v>
      </c>
      <c r="AB126" s="109">
        <v>0.0</v>
      </c>
      <c r="AC126" s="109">
        <v>0.0366</v>
      </c>
      <c r="AE126" s="51">
        <f t="shared" ref="AE126:AQ126" si="122">IFERROR((Q126-C126)/C126, "")</f>
        <v>3.35144138</v>
      </c>
      <c r="AF126" s="51">
        <f t="shared" si="122"/>
        <v>2.644105416</v>
      </c>
      <c r="AG126" s="51">
        <f t="shared" si="122"/>
        <v>2.347998304</v>
      </c>
      <c r="AH126" s="51">
        <f t="shared" si="122"/>
        <v>3.134339096</v>
      </c>
      <c r="AI126" s="51" t="str">
        <f t="shared" si="122"/>
        <v/>
      </c>
      <c r="AJ126" s="51" t="str">
        <f t="shared" si="122"/>
        <v/>
      </c>
      <c r="AK126" s="51" t="str">
        <f t="shared" si="122"/>
        <v/>
      </c>
      <c r="AL126" s="51">
        <f t="shared" si="122"/>
        <v>2.041619601</v>
      </c>
      <c r="AM126" s="51">
        <f t="shared" si="122"/>
        <v>2.708881654</v>
      </c>
      <c r="AN126" s="51">
        <f t="shared" si="122"/>
        <v>2.712478949</v>
      </c>
      <c r="AO126" s="51">
        <f t="shared" si="122"/>
        <v>2.647684245</v>
      </c>
      <c r="AP126" s="51" t="str">
        <f t="shared" si="122"/>
        <v/>
      </c>
      <c r="AQ126" s="51">
        <f t="shared" si="122"/>
        <v>-0.6399126448</v>
      </c>
    </row>
    <row r="127">
      <c r="B127" s="56" t="s">
        <v>93</v>
      </c>
      <c r="C127" s="57">
        <f>IFERROR(__xludf.DUMMYFUNCTION("""COMPUTED_VALUE"""),40.504108959238565)</f>
        <v>40.50410896</v>
      </c>
      <c r="D127" s="57">
        <f>IFERROR(__xludf.DUMMYFUNCTION("""COMPUTED_VALUE"""),0.2562401406993585)</f>
        <v>0.2562401407</v>
      </c>
      <c r="E127" s="57">
        <f>IFERROR(__xludf.DUMMYFUNCTION("""COMPUTED_VALUE"""),0.0)</f>
        <v>0</v>
      </c>
      <c r="F127" s="57">
        <f>IFERROR(__xludf.DUMMYFUNCTION("""COMPUTED_VALUE"""),0.036236954272708455)</f>
        <v>0.03623695427</v>
      </c>
      <c r="G127" s="57">
        <f>IFERROR(__xludf.DUMMYFUNCTION("""COMPUTED_VALUE"""),0.29184982412580174)</f>
        <v>0.2918498241</v>
      </c>
      <c r="H127" s="57">
        <f>IFERROR(__xludf.DUMMYFUNCTION("""COMPUTED_VALUE"""),0.21971367680529685)</f>
        <v>0.2197136768</v>
      </c>
      <c r="I127" s="57">
        <f>IFERROR(__xludf.DUMMYFUNCTION("""COMPUTED_VALUE"""),0.0)</f>
        <v>0</v>
      </c>
      <c r="J127" s="57">
        <f>IFERROR(__xludf.DUMMYFUNCTION("""COMPUTED_VALUE"""),0.0)</f>
        <v>0</v>
      </c>
      <c r="K127" s="57">
        <f>IFERROR(__xludf.DUMMYFUNCTION("""COMPUTED_VALUE"""),0.0)</f>
        <v>0</v>
      </c>
      <c r="L127" s="57">
        <f>IFERROR(__xludf.DUMMYFUNCTION("""COMPUTED_VALUE"""),0.0)</f>
        <v>0</v>
      </c>
      <c r="M127" s="57">
        <f>IFERROR(__xludf.DUMMYFUNCTION("""COMPUTED_VALUE"""),8.984279702048415)</f>
        <v>8.984279702</v>
      </c>
      <c r="N127" s="57">
        <f>IFERROR(__xludf.DUMMYFUNCTION("""COMPUTED_VALUE"""),0.0)</f>
        <v>0</v>
      </c>
      <c r="O127" s="57">
        <f>IFERROR(__xludf.DUMMYFUNCTION("""COMPUTED_VALUE"""),0.0)</f>
        <v>0</v>
      </c>
      <c r="Q127" s="109">
        <v>312.7011</v>
      </c>
      <c r="R127" s="109">
        <v>0.8448</v>
      </c>
      <c r="S127" s="109">
        <v>0.0</v>
      </c>
      <c r="T127" s="109">
        <v>0.3363</v>
      </c>
      <c r="U127" s="109">
        <v>1.1251</v>
      </c>
      <c r="V127" s="109">
        <v>0.5085</v>
      </c>
      <c r="W127" s="109">
        <v>0.0</v>
      </c>
      <c r="X127" s="109">
        <v>0.0</v>
      </c>
      <c r="Y127" s="109">
        <v>0.0</v>
      </c>
      <c r="Z127" s="109">
        <v>0.0</v>
      </c>
      <c r="AA127" s="109">
        <v>68.1966</v>
      </c>
      <c r="AB127" s="109">
        <v>0.0</v>
      </c>
      <c r="AC127" s="109">
        <v>0.0</v>
      </c>
      <c r="AE127" s="51">
        <f t="shared" ref="AE127:AQ127" si="123">IFERROR((Q127-C127)/C127, "")</f>
        <v>6.720231553</v>
      </c>
      <c r="AF127" s="51">
        <f t="shared" si="123"/>
        <v>2.296907337</v>
      </c>
      <c r="AG127" s="51" t="str">
        <f t="shared" si="123"/>
        <v/>
      </c>
      <c r="AH127" s="51">
        <f t="shared" si="123"/>
        <v>8.280581295</v>
      </c>
      <c r="AI127" s="51">
        <f t="shared" si="123"/>
        <v>2.855064855</v>
      </c>
      <c r="AJ127" s="51">
        <f t="shared" si="123"/>
        <v>1.314375725</v>
      </c>
      <c r="AK127" s="51" t="str">
        <f t="shared" si="123"/>
        <v/>
      </c>
      <c r="AL127" s="51" t="str">
        <f t="shared" si="123"/>
        <v/>
      </c>
      <c r="AM127" s="51" t="str">
        <f t="shared" si="123"/>
        <v/>
      </c>
      <c r="AN127" s="51" t="str">
        <f t="shared" si="123"/>
        <v/>
      </c>
      <c r="AO127" s="51">
        <f t="shared" si="123"/>
        <v>6.590658602</v>
      </c>
      <c r="AP127" s="51" t="str">
        <f t="shared" si="123"/>
        <v/>
      </c>
      <c r="AQ127" s="51" t="str">
        <f t="shared" si="123"/>
        <v/>
      </c>
    </row>
    <row r="128">
      <c r="B128" s="56" t="s">
        <v>95</v>
      </c>
      <c r="C128" s="57">
        <f>IFERROR(__xludf.DUMMYFUNCTION("""COMPUTED_VALUE"""),0.0)</f>
        <v>0</v>
      </c>
      <c r="D128" s="57">
        <f>IFERROR(__xludf.DUMMYFUNCTION("""COMPUTED_VALUE"""),0.28155555555555556)</f>
        <v>0.2815555556</v>
      </c>
      <c r="E128" s="57">
        <f>IFERROR(__xludf.DUMMYFUNCTION("""COMPUTED_VALUE"""),0.0)</f>
        <v>0</v>
      </c>
      <c r="F128" s="57">
        <f>IFERROR(__xludf.DUMMYFUNCTION("""COMPUTED_VALUE"""),0.0)</f>
        <v>0</v>
      </c>
      <c r="G128" s="57">
        <f>IFERROR(__xludf.DUMMYFUNCTION("""COMPUTED_VALUE"""),0.2820000000000001)</f>
        <v>0.282</v>
      </c>
      <c r="H128" s="57">
        <f>IFERROR(__xludf.DUMMYFUNCTION("""COMPUTED_VALUE"""),0.28119444444444447)</f>
        <v>0.2811944444</v>
      </c>
      <c r="I128" s="57">
        <f>IFERROR(__xludf.DUMMYFUNCTION("""COMPUTED_VALUE"""),0.28175)</f>
        <v>0.28175</v>
      </c>
      <c r="J128" s="57">
        <f>IFERROR(__xludf.DUMMYFUNCTION("""COMPUTED_VALUE"""),0.0)</f>
        <v>0</v>
      </c>
      <c r="K128" s="57">
        <f>IFERROR(__xludf.DUMMYFUNCTION("""COMPUTED_VALUE"""),0.0)</f>
        <v>0</v>
      </c>
      <c r="L128" s="57">
        <f>IFERROR(__xludf.DUMMYFUNCTION("""COMPUTED_VALUE"""),0.0)</f>
        <v>0</v>
      </c>
      <c r="M128" s="57">
        <f>IFERROR(__xludf.DUMMYFUNCTION("""COMPUTED_VALUE"""),28.64675)</f>
        <v>28.64675</v>
      </c>
      <c r="N128" s="57">
        <f>IFERROR(__xludf.DUMMYFUNCTION("""COMPUTED_VALUE"""),5.6153611111111115)</f>
        <v>5.615361111</v>
      </c>
      <c r="O128" s="57">
        <f>IFERROR(__xludf.DUMMYFUNCTION("""COMPUTED_VALUE"""),0.0)</f>
        <v>0</v>
      </c>
      <c r="Q128" s="109">
        <v>0.0</v>
      </c>
      <c r="R128" s="109">
        <v>0.5589</v>
      </c>
      <c r="S128" s="109">
        <v>0.0</v>
      </c>
      <c r="T128" s="109">
        <v>0.0</v>
      </c>
      <c r="U128" s="109">
        <v>0.5589</v>
      </c>
      <c r="V128" s="109">
        <v>0.5589</v>
      </c>
      <c r="W128" s="109">
        <v>0.5589</v>
      </c>
      <c r="X128" s="109">
        <v>0.0</v>
      </c>
      <c r="Y128" s="109">
        <v>0.0</v>
      </c>
      <c r="Z128" s="109">
        <v>0.0</v>
      </c>
      <c r="AA128" s="109">
        <v>74.4598</v>
      </c>
      <c r="AB128" s="109">
        <v>10.4143</v>
      </c>
      <c r="AC128" s="109">
        <v>0.0</v>
      </c>
      <c r="AE128" s="51" t="str">
        <f t="shared" ref="AE128:AQ128" si="124">IFERROR((Q128-C128)/C128, "")</f>
        <v/>
      </c>
      <c r="AF128" s="51">
        <f t="shared" si="124"/>
        <v>0.9850434096</v>
      </c>
      <c r="AG128" s="51" t="str">
        <f t="shared" si="124"/>
        <v/>
      </c>
      <c r="AH128" s="51" t="str">
        <f t="shared" si="124"/>
        <v/>
      </c>
      <c r="AI128" s="51">
        <f t="shared" si="124"/>
        <v>0.9819148936</v>
      </c>
      <c r="AJ128" s="51">
        <f t="shared" si="124"/>
        <v>0.9875926109</v>
      </c>
      <c r="AK128" s="51">
        <f t="shared" si="124"/>
        <v>0.9836734694</v>
      </c>
      <c r="AL128" s="51" t="str">
        <f t="shared" si="124"/>
        <v/>
      </c>
      <c r="AM128" s="51" t="str">
        <f t="shared" si="124"/>
        <v/>
      </c>
      <c r="AN128" s="51" t="str">
        <f t="shared" si="124"/>
        <v/>
      </c>
      <c r="AO128" s="51">
        <f t="shared" si="124"/>
        <v>1.599240752</v>
      </c>
      <c r="AP128" s="51">
        <f t="shared" si="124"/>
        <v>0.8546091327</v>
      </c>
      <c r="AQ128" s="51" t="str">
        <f t="shared" si="124"/>
        <v/>
      </c>
    </row>
    <row r="129">
      <c r="B129" s="56" t="s">
        <v>96</v>
      </c>
      <c r="C129" s="57">
        <f>IFERROR(__xludf.DUMMYFUNCTION("""COMPUTED_VALUE"""),16.664217780742945)</f>
        <v>16.66421778</v>
      </c>
      <c r="D129" s="57">
        <f>IFERROR(__xludf.DUMMYFUNCTION("""COMPUTED_VALUE"""),0.261589984385863)</f>
        <v>0.2615899844</v>
      </c>
      <c r="E129" s="57">
        <f>IFERROR(__xludf.DUMMYFUNCTION("""COMPUTED_VALUE"""),0.27129719769987015)</f>
        <v>0.2712971977</v>
      </c>
      <c r="F129" s="57">
        <f>IFERROR(__xludf.DUMMYFUNCTION("""COMPUTED_VALUE"""),0.24935889561021407)</f>
        <v>0.2493588956</v>
      </c>
      <c r="G129" s="57">
        <f>IFERROR(__xludf.DUMMYFUNCTION("""COMPUTED_VALUE"""),0.2959923483707042)</f>
        <v>0.2959923484</v>
      </c>
      <c r="H129" s="57">
        <f>IFERROR(__xludf.DUMMYFUNCTION("""COMPUTED_VALUE"""),0.2813538706931815)</f>
        <v>0.2813538707</v>
      </c>
      <c r="I129" s="57">
        <f>IFERROR(__xludf.DUMMYFUNCTION("""COMPUTED_VALUE"""),0.27184080164545454)</f>
        <v>0.2718408016</v>
      </c>
      <c r="J129" s="57">
        <f>IFERROR(__xludf.DUMMYFUNCTION("""COMPUTED_VALUE"""),0.0)</f>
        <v>0</v>
      </c>
      <c r="K129" s="57">
        <f>IFERROR(__xludf.DUMMYFUNCTION("""COMPUTED_VALUE"""),2.708467830021002)</f>
        <v>2.70846783</v>
      </c>
      <c r="L129" s="57">
        <f>IFERROR(__xludf.DUMMYFUNCTION("""COMPUTED_VALUE"""),2.7657015597203882)</f>
        <v>2.76570156</v>
      </c>
      <c r="M129" s="57">
        <f>IFERROR(__xludf.DUMMYFUNCTION("""COMPUTED_VALUE"""),25.807170199233433)</f>
        <v>25.8071702</v>
      </c>
      <c r="N129" s="57">
        <f>IFERROR(__xludf.DUMMYFUNCTION("""COMPUTED_VALUE"""),0.0)</f>
        <v>0</v>
      </c>
      <c r="O129" s="57">
        <f>IFERROR(__xludf.DUMMYFUNCTION("""COMPUTED_VALUE"""),0.0)</f>
        <v>0</v>
      </c>
      <c r="Q129" s="109">
        <v>30.9139</v>
      </c>
      <c r="R129" s="109">
        <v>0.5613</v>
      </c>
      <c r="S129" s="109">
        <v>0.5581</v>
      </c>
      <c r="T129" s="109">
        <v>0.5451</v>
      </c>
      <c r="U129" s="109">
        <v>0.5703</v>
      </c>
      <c r="V129" s="109">
        <v>0.567</v>
      </c>
      <c r="W129" s="109">
        <v>0.5597</v>
      </c>
      <c r="X129" s="109">
        <v>0.0</v>
      </c>
      <c r="Y129" s="109">
        <v>5.3209</v>
      </c>
      <c r="Z129" s="109">
        <v>5.4833</v>
      </c>
      <c r="AA129" s="109">
        <v>51.0073</v>
      </c>
      <c r="AB129" s="109">
        <v>0.0</v>
      </c>
      <c r="AC129" s="109">
        <v>0.0</v>
      </c>
      <c r="AE129" s="51">
        <f t="shared" ref="AE129:AQ129" si="125">IFERROR((Q129-C129)/C129, "")</f>
        <v>0.8551065767</v>
      </c>
      <c r="AF129" s="51">
        <f t="shared" si="125"/>
        <v>1.145724353</v>
      </c>
      <c r="AG129" s="51">
        <f t="shared" si="125"/>
        <v>1.057153574</v>
      </c>
      <c r="AH129" s="51">
        <f t="shared" si="125"/>
        <v>1.186005832</v>
      </c>
      <c r="AI129" s="51">
        <f t="shared" si="125"/>
        <v>0.9267389956</v>
      </c>
      <c r="AJ129" s="51">
        <f t="shared" si="125"/>
        <v>1.01525573</v>
      </c>
      <c r="AK129" s="51">
        <f t="shared" si="125"/>
        <v>1.058925653</v>
      </c>
      <c r="AL129" s="51" t="str">
        <f t="shared" si="125"/>
        <v/>
      </c>
      <c r="AM129" s="51">
        <f t="shared" si="125"/>
        <v>0.9645424402</v>
      </c>
      <c r="AN129" s="51">
        <f t="shared" si="125"/>
        <v>0.9826072631</v>
      </c>
      <c r="AO129" s="51">
        <f t="shared" si="125"/>
        <v>0.9764778395</v>
      </c>
      <c r="AP129" s="51" t="str">
        <f t="shared" si="125"/>
        <v/>
      </c>
      <c r="AQ129" s="51" t="str">
        <f t="shared" si="125"/>
        <v/>
      </c>
    </row>
    <row r="130">
      <c r="B130" s="56" t="s">
        <v>97</v>
      </c>
      <c r="C130" s="57">
        <f>IFERROR(__xludf.DUMMYFUNCTION("""COMPUTED_VALUE"""),0.0)</f>
        <v>0</v>
      </c>
      <c r="D130" s="57">
        <f>IFERROR(__xludf.DUMMYFUNCTION("""COMPUTED_VALUE"""),0.0)</f>
        <v>0</v>
      </c>
      <c r="E130" s="57">
        <f>IFERROR(__xludf.DUMMYFUNCTION("""COMPUTED_VALUE"""),0.0)</f>
        <v>0</v>
      </c>
      <c r="F130" s="57">
        <f>IFERROR(__xludf.DUMMYFUNCTION("""COMPUTED_VALUE"""),0.0)</f>
        <v>0</v>
      </c>
      <c r="G130" s="57">
        <f>IFERROR(__xludf.DUMMYFUNCTION("""COMPUTED_VALUE"""),0.0)</f>
        <v>0</v>
      </c>
      <c r="H130" s="57">
        <f>IFERROR(__xludf.DUMMYFUNCTION("""COMPUTED_VALUE"""),0.0)</f>
        <v>0</v>
      </c>
      <c r="I130" s="57">
        <f>IFERROR(__xludf.DUMMYFUNCTION("""COMPUTED_VALUE"""),0.0)</f>
        <v>0</v>
      </c>
      <c r="J130" s="57">
        <f>IFERROR(__xludf.DUMMYFUNCTION("""COMPUTED_VALUE"""),0.0)</f>
        <v>0</v>
      </c>
      <c r="K130" s="57">
        <f>IFERROR(__xludf.DUMMYFUNCTION("""COMPUTED_VALUE"""),0.0)</f>
        <v>0</v>
      </c>
      <c r="L130" s="57">
        <f>IFERROR(__xludf.DUMMYFUNCTION("""COMPUTED_VALUE"""),0.0)</f>
        <v>0</v>
      </c>
      <c r="M130" s="57">
        <f>IFERROR(__xludf.DUMMYFUNCTION("""COMPUTED_VALUE"""),0.0)</f>
        <v>0</v>
      </c>
      <c r="N130" s="57">
        <f>IFERROR(__xludf.DUMMYFUNCTION("""COMPUTED_VALUE"""),0.0)</f>
        <v>0</v>
      </c>
      <c r="O130" s="57">
        <f>IFERROR(__xludf.DUMMYFUNCTION("""COMPUTED_VALUE"""),0.0)</f>
        <v>0</v>
      </c>
      <c r="Q130" s="109">
        <v>0.0812</v>
      </c>
      <c r="R130" s="109">
        <v>8.0E-4</v>
      </c>
      <c r="S130" s="109">
        <v>0.0</v>
      </c>
      <c r="T130" s="109">
        <v>0.0</v>
      </c>
      <c r="U130" s="109">
        <v>0.0016</v>
      </c>
      <c r="V130" s="109">
        <v>0.0114</v>
      </c>
      <c r="W130" s="109">
        <v>0.0</v>
      </c>
      <c r="X130" s="109">
        <v>0.0162</v>
      </c>
      <c r="Y130" s="109">
        <v>0.1015</v>
      </c>
      <c r="Z130" s="109">
        <v>0.1097</v>
      </c>
      <c r="AA130" s="109">
        <v>0.3168</v>
      </c>
      <c r="AB130" s="109">
        <v>0.0</v>
      </c>
      <c r="AC130" s="109">
        <v>0.0</v>
      </c>
      <c r="AE130" s="51" t="str">
        <f t="shared" ref="AE130:AQ130" si="126">IFERROR((Q130-C130)/C130, "")</f>
        <v/>
      </c>
      <c r="AF130" s="51" t="str">
        <f t="shared" si="126"/>
        <v/>
      </c>
      <c r="AG130" s="51" t="str">
        <f t="shared" si="126"/>
        <v/>
      </c>
      <c r="AH130" s="51" t="str">
        <f t="shared" si="126"/>
        <v/>
      </c>
      <c r="AI130" s="51" t="str">
        <f t="shared" si="126"/>
        <v/>
      </c>
      <c r="AJ130" s="51" t="str">
        <f t="shared" si="126"/>
        <v/>
      </c>
      <c r="AK130" s="51" t="str">
        <f t="shared" si="126"/>
        <v/>
      </c>
      <c r="AL130" s="51" t="str">
        <f t="shared" si="126"/>
        <v/>
      </c>
      <c r="AM130" s="51" t="str">
        <f t="shared" si="126"/>
        <v/>
      </c>
      <c r="AN130" s="51" t="str">
        <f t="shared" si="126"/>
        <v/>
      </c>
      <c r="AO130" s="51" t="str">
        <f t="shared" si="126"/>
        <v/>
      </c>
      <c r="AP130" s="51" t="str">
        <f t="shared" si="126"/>
        <v/>
      </c>
      <c r="AQ130" s="51" t="str">
        <f t="shared" si="126"/>
        <v/>
      </c>
    </row>
    <row r="131">
      <c r="B131" s="56" t="s">
        <v>99</v>
      </c>
      <c r="C131" s="57">
        <f>IFERROR(__xludf.DUMMYFUNCTION("""COMPUTED_VALUE"""),8.292280726061874)</f>
        <v>8.292280726</v>
      </c>
      <c r="D131" s="57">
        <f>IFERROR(__xludf.DUMMYFUNCTION("""COMPUTED_VALUE"""),0.0)</f>
        <v>0</v>
      </c>
      <c r="E131" s="57">
        <f>IFERROR(__xludf.DUMMYFUNCTION("""COMPUTED_VALUE"""),0.024427055119244624)</f>
        <v>0.02442705512</v>
      </c>
      <c r="F131" s="57">
        <f>IFERROR(__xludf.DUMMYFUNCTION("""COMPUTED_VALUE"""),0.021691418619269754)</f>
        <v>0.02169141862</v>
      </c>
      <c r="G131" s="57">
        <f>IFERROR(__xludf.DUMMYFUNCTION("""COMPUTED_VALUE"""),0.0018398971150273451)</f>
        <v>0.001839897115</v>
      </c>
      <c r="H131" s="57">
        <f>IFERROR(__xludf.DUMMYFUNCTION("""COMPUTED_VALUE"""),0.001573596216799703)</f>
        <v>0.001573596217</v>
      </c>
      <c r="I131" s="57">
        <f>IFERROR(__xludf.DUMMYFUNCTION("""COMPUTED_VALUE"""),0.001960942977858091)</f>
        <v>0.001960942978</v>
      </c>
      <c r="J131" s="57">
        <f>IFERROR(__xludf.DUMMYFUNCTION("""COMPUTED_VALUE"""),0.0)</f>
        <v>0</v>
      </c>
      <c r="K131" s="57">
        <f>IFERROR(__xludf.DUMMYFUNCTION("""COMPUTED_VALUE"""),0.0)</f>
        <v>0</v>
      </c>
      <c r="L131" s="57">
        <f>IFERROR(__xludf.DUMMYFUNCTION("""COMPUTED_VALUE"""),0.0)</f>
        <v>0</v>
      </c>
      <c r="M131" s="57">
        <f>IFERROR(__xludf.DUMMYFUNCTION("""COMPUTED_VALUE"""),3.3452234651905073)</f>
        <v>3.345223465</v>
      </c>
      <c r="N131" s="57">
        <f>IFERROR(__xludf.DUMMYFUNCTION("""COMPUTED_VALUE"""),10.511510328492246)</f>
        <v>10.51151033</v>
      </c>
      <c r="O131" s="57">
        <f>IFERROR(__xludf.DUMMYFUNCTION("""COMPUTED_VALUE"""),0.0)</f>
        <v>0</v>
      </c>
      <c r="Q131" s="109">
        <v>53.6149</v>
      </c>
      <c r="R131" s="109">
        <v>0.0349</v>
      </c>
      <c r="S131" s="109">
        <v>0.1267</v>
      </c>
      <c r="T131" s="109">
        <v>0.108</v>
      </c>
      <c r="U131" s="109">
        <v>0.0032</v>
      </c>
      <c r="V131" s="109">
        <v>0.0065</v>
      </c>
      <c r="W131" s="109">
        <v>0.0089</v>
      </c>
      <c r="X131" s="109">
        <v>0.0</v>
      </c>
      <c r="Y131" s="109">
        <v>0.0</v>
      </c>
      <c r="Z131" s="109">
        <v>0.0</v>
      </c>
      <c r="AA131" s="109">
        <v>20.3899</v>
      </c>
      <c r="AB131" s="109">
        <v>77.2218</v>
      </c>
      <c r="AC131" s="109">
        <v>0.0</v>
      </c>
      <c r="AE131" s="51">
        <f t="shared" ref="AE131:AQ131" si="127">IFERROR((Q131-C131)/C131, "")</f>
        <v>5.465639764</v>
      </c>
      <c r="AF131" s="51" t="str">
        <f t="shared" si="127"/>
        <v/>
      </c>
      <c r="AG131" s="51">
        <f t="shared" si="127"/>
        <v>4.186871663</v>
      </c>
      <c r="AH131" s="51">
        <f t="shared" si="127"/>
        <v>3.978927469</v>
      </c>
      <c r="AI131" s="51">
        <f t="shared" si="127"/>
        <v>0.739227685</v>
      </c>
      <c r="AJ131" s="51">
        <f t="shared" si="127"/>
        <v>3.130665752</v>
      </c>
      <c r="AK131" s="51">
        <f t="shared" si="127"/>
        <v>3.53863274</v>
      </c>
      <c r="AL131" s="51" t="str">
        <f t="shared" si="127"/>
        <v/>
      </c>
      <c r="AM131" s="51" t="str">
        <f t="shared" si="127"/>
        <v/>
      </c>
      <c r="AN131" s="51" t="str">
        <f t="shared" si="127"/>
        <v/>
      </c>
      <c r="AO131" s="51">
        <f t="shared" si="127"/>
        <v>5.09522808</v>
      </c>
      <c r="AP131" s="51">
        <f t="shared" si="127"/>
        <v>6.346403855</v>
      </c>
      <c r="AQ131" s="51" t="str">
        <f t="shared" si="127"/>
        <v/>
      </c>
    </row>
    <row r="132">
      <c r="B132" s="56" t="s">
        <v>100</v>
      </c>
      <c r="C132" s="57">
        <f>IFERROR(__xludf.DUMMYFUNCTION("""COMPUTED_VALUE"""),0.0)</f>
        <v>0</v>
      </c>
      <c r="D132" s="57">
        <f>IFERROR(__xludf.DUMMYFUNCTION("""COMPUTED_VALUE"""),0.0)</f>
        <v>0</v>
      </c>
      <c r="E132" s="57">
        <f>IFERROR(__xludf.DUMMYFUNCTION("""COMPUTED_VALUE"""),0.0)</f>
        <v>0</v>
      </c>
      <c r="F132" s="57">
        <f>IFERROR(__xludf.DUMMYFUNCTION("""COMPUTED_VALUE"""),0.0)</f>
        <v>0</v>
      </c>
      <c r="G132" s="57">
        <f>IFERROR(__xludf.DUMMYFUNCTION("""COMPUTED_VALUE"""),0.0)</f>
        <v>0</v>
      </c>
      <c r="H132" s="57">
        <f>IFERROR(__xludf.DUMMYFUNCTION("""COMPUTED_VALUE"""),0.0)</f>
        <v>0</v>
      </c>
      <c r="I132" s="57">
        <f>IFERROR(__xludf.DUMMYFUNCTION("""COMPUTED_VALUE"""),0.0)</f>
        <v>0</v>
      </c>
      <c r="J132" s="57">
        <f>IFERROR(__xludf.DUMMYFUNCTION("""COMPUTED_VALUE"""),0.0)</f>
        <v>0</v>
      </c>
      <c r="K132" s="57">
        <f>IFERROR(__xludf.DUMMYFUNCTION("""COMPUTED_VALUE"""),0.0)</f>
        <v>0</v>
      </c>
      <c r="L132" s="57">
        <f>IFERROR(__xludf.DUMMYFUNCTION("""COMPUTED_VALUE"""),0.0)</f>
        <v>0</v>
      </c>
      <c r="M132" s="57">
        <f>IFERROR(__xludf.DUMMYFUNCTION("""COMPUTED_VALUE"""),0.0)</f>
        <v>0</v>
      </c>
      <c r="N132" s="57">
        <f>IFERROR(__xludf.DUMMYFUNCTION("""COMPUTED_VALUE"""),0.0)</f>
        <v>0</v>
      </c>
      <c r="O132" s="57">
        <f>IFERROR(__xludf.DUMMYFUNCTION("""COMPUTED_VALUE"""),0.0)</f>
        <v>0</v>
      </c>
      <c r="Q132" s="109">
        <v>0.0</v>
      </c>
      <c r="R132" s="109">
        <v>0.0</v>
      </c>
      <c r="S132" s="109">
        <v>0.0</v>
      </c>
      <c r="T132" s="109">
        <v>0.0</v>
      </c>
      <c r="U132" s="109">
        <v>0.0</v>
      </c>
      <c r="V132" s="109">
        <v>0.0</v>
      </c>
      <c r="W132" s="109">
        <v>0.0</v>
      </c>
      <c r="X132" s="109">
        <v>0.0</v>
      </c>
      <c r="Y132" s="109">
        <v>0.0</v>
      </c>
      <c r="Z132" s="109">
        <v>0.0</v>
      </c>
      <c r="AA132" s="109">
        <v>0.0</v>
      </c>
      <c r="AB132" s="109">
        <v>0.0</v>
      </c>
      <c r="AC132" s="109">
        <v>0.0</v>
      </c>
      <c r="AE132" s="51" t="str">
        <f t="shared" ref="AE132:AQ132" si="128">IFERROR((Q132-C132)/C132, "")</f>
        <v/>
      </c>
      <c r="AF132" s="51" t="str">
        <f t="shared" si="128"/>
        <v/>
      </c>
      <c r="AG132" s="51" t="str">
        <f t="shared" si="128"/>
        <v/>
      </c>
      <c r="AH132" s="51" t="str">
        <f t="shared" si="128"/>
        <v/>
      </c>
      <c r="AI132" s="51" t="str">
        <f t="shared" si="128"/>
        <v/>
      </c>
      <c r="AJ132" s="51" t="str">
        <f t="shared" si="128"/>
        <v/>
      </c>
      <c r="AK132" s="51" t="str">
        <f t="shared" si="128"/>
        <v/>
      </c>
      <c r="AL132" s="51" t="str">
        <f t="shared" si="128"/>
        <v/>
      </c>
      <c r="AM132" s="51" t="str">
        <f t="shared" si="128"/>
        <v/>
      </c>
      <c r="AN132" s="51" t="str">
        <f t="shared" si="128"/>
        <v/>
      </c>
      <c r="AO132" s="51" t="str">
        <f t="shared" si="128"/>
        <v/>
      </c>
      <c r="AP132" s="51" t="str">
        <f t="shared" si="128"/>
        <v/>
      </c>
      <c r="AQ132" s="51" t="str">
        <f t="shared" si="128"/>
        <v/>
      </c>
    </row>
    <row r="133">
      <c r="B133" s="37" t="s">
        <v>104</v>
      </c>
      <c r="C133" s="43">
        <f>IFERROR(__xludf.DUMMYFUNCTION("""COMPUTED_VALUE"""),29.924460606060613)</f>
        <v>29.92446061</v>
      </c>
      <c r="D133" s="43">
        <f>IFERROR(__xludf.DUMMYFUNCTION("""COMPUTED_VALUE"""),0.2976242424242424)</f>
        <v>0.2976242424</v>
      </c>
      <c r="E133" s="43">
        <f>IFERROR(__xludf.DUMMYFUNCTION("""COMPUTED_VALUE"""),0.3130181818181818)</f>
        <v>0.3130181818</v>
      </c>
      <c r="F133" s="43">
        <f>IFERROR(__xludf.DUMMYFUNCTION("""COMPUTED_VALUE"""),0.22601212121212116)</f>
        <v>0.2260121212</v>
      </c>
      <c r="G133" s="43">
        <f>IFERROR(__xludf.DUMMYFUNCTION("""COMPUTED_VALUE"""),0.37704242424242423)</f>
        <v>0.3770424242</v>
      </c>
      <c r="H133" s="43">
        <f>IFERROR(__xludf.DUMMYFUNCTION("""COMPUTED_VALUE"""),0.4165090909090909)</f>
        <v>0.4165090909</v>
      </c>
      <c r="I133" s="43">
        <f>IFERROR(__xludf.DUMMYFUNCTION("""COMPUTED_VALUE"""),0.41604848484848483)</f>
        <v>0.4160484848</v>
      </c>
      <c r="J133" s="43">
        <f>IFERROR(__xludf.DUMMYFUNCTION("""COMPUTED_VALUE"""),0.07267878787878788)</f>
        <v>0.07267878788</v>
      </c>
      <c r="K133" s="43">
        <f>IFERROR(__xludf.DUMMYFUNCTION("""COMPUTED_VALUE"""),0.05985454545454545)</f>
        <v>0.05985454545</v>
      </c>
      <c r="L133" s="43">
        <f>IFERROR(__xludf.DUMMYFUNCTION("""COMPUTED_VALUE"""),0.0579878787878788)</f>
        <v>0.05798787879</v>
      </c>
      <c r="M133" s="43">
        <f>IFERROR(__xludf.DUMMYFUNCTION("""COMPUTED_VALUE"""),20.768969696969695)</f>
        <v>20.7689697</v>
      </c>
      <c r="N133" s="41">
        <f>IFERROR(__xludf.DUMMYFUNCTION("""COMPUTED_VALUE"""),33.998400000000004)</f>
        <v>33.9984</v>
      </c>
      <c r="O133" s="41">
        <f>IFERROR(__xludf.DUMMYFUNCTION("""COMPUTED_VALUE"""),0.0)</f>
        <v>0</v>
      </c>
      <c r="Q133" s="109">
        <v>86.7498</v>
      </c>
      <c r="R133" s="109">
        <v>0.3582</v>
      </c>
      <c r="S133" s="109">
        <v>0.541</v>
      </c>
      <c r="T133" s="109">
        <v>0.4842</v>
      </c>
      <c r="U133" s="109">
        <v>0.8172</v>
      </c>
      <c r="V133" s="109">
        <v>0.8205</v>
      </c>
      <c r="W133" s="109">
        <v>0.8253</v>
      </c>
      <c r="X133" s="109">
        <v>0.0731</v>
      </c>
      <c r="Y133" s="109">
        <v>0.0731</v>
      </c>
      <c r="Z133" s="109">
        <v>0.0731</v>
      </c>
      <c r="AA133" s="109">
        <v>14.5402</v>
      </c>
      <c r="AB133" s="109">
        <v>29.7725</v>
      </c>
      <c r="AC133" s="109">
        <v>0.0</v>
      </c>
      <c r="AE133" s="51">
        <f t="shared" ref="AE133:AQ133" si="129">IFERROR((Q133-C133)/C133, "")</f>
        <v>1.898959522</v>
      </c>
      <c r="AF133" s="51">
        <f t="shared" si="129"/>
        <v>0.2035309929</v>
      </c>
      <c r="AG133" s="51">
        <f t="shared" si="129"/>
        <v>0.7283341078</v>
      </c>
      <c r="AH133" s="51">
        <f t="shared" si="129"/>
        <v>1.142362973</v>
      </c>
      <c r="AI133" s="51">
        <f t="shared" si="129"/>
        <v>1.167395358</v>
      </c>
      <c r="AJ133" s="51">
        <f t="shared" si="129"/>
        <v>0.9699449974</v>
      </c>
      <c r="AK133" s="51">
        <f t="shared" si="129"/>
        <v>0.9836630346</v>
      </c>
      <c r="AL133" s="51">
        <f t="shared" si="129"/>
        <v>0.005795530354</v>
      </c>
      <c r="AM133" s="51">
        <f t="shared" si="129"/>
        <v>0.2212940462</v>
      </c>
      <c r="AN133" s="51">
        <f t="shared" si="129"/>
        <v>0.2606082776</v>
      </c>
      <c r="AO133" s="51">
        <f t="shared" si="129"/>
        <v>-0.299907496</v>
      </c>
      <c r="AP133" s="51">
        <f t="shared" si="129"/>
        <v>-0.1242970257</v>
      </c>
      <c r="AQ133" s="51" t="str">
        <f t="shared" si="129"/>
        <v/>
      </c>
    </row>
    <row r="134">
      <c r="B134" s="56" t="s">
        <v>107</v>
      </c>
      <c r="C134" s="57">
        <f>IFERROR(__xludf.DUMMYFUNCTION("""COMPUTED_VALUE"""),0.0)</f>
        <v>0</v>
      </c>
      <c r="D134" s="57">
        <f>IFERROR(__xludf.DUMMYFUNCTION("""COMPUTED_VALUE"""),0.0)</f>
        <v>0</v>
      </c>
      <c r="E134" s="57">
        <f>IFERROR(__xludf.DUMMYFUNCTION("""COMPUTED_VALUE"""),0.0)</f>
        <v>0</v>
      </c>
      <c r="F134" s="57">
        <f>IFERROR(__xludf.DUMMYFUNCTION("""COMPUTED_VALUE"""),0.0)</f>
        <v>0</v>
      </c>
      <c r="G134" s="57">
        <f>IFERROR(__xludf.DUMMYFUNCTION("""COMPUTED_VALUE"""),0.0)</f>
        <v>0</v>
      </c>
      <c r="H134" s="57">
        <f>IFERROR(__xludf.DUMMYFUNCTION("""COMPUTED_VALUE"""),0.0)</f>
        <v>0</v>
      </c>
      <c r="I134" s="57">
        <f>IFERROR(__xludf.DUMMYFUNCTION("""COMPUTED_VALUE"""),0.0)</f>
        <v>0</v>
      </c>
      <c r="J134" s="57">
        <f>IFERROR(__xludf.DUMMYFUNCTION("""COMPUTED_VALUE"""),0.0)</f>
        <v>0</v>
      </c>
      <c r="K134" s="57">
        <f>IFERROR(__xludf.DUMMYFUNCTION("""COMPUTED_VALUE"""),0.0)</f>
        <v>0</v>
      </c>
      <c r="L134" s="57">
        <f>IFERROR(__xludf.DUMMYFUNCTION("""COMPUTED_VALUE"""),0.0)</f>
        <v>0</v>
      </c>
      <c r="M134" s="57">
        <f>IFERROR(__xludf.DUMMYFUNCTION("""COMPUTED_VALUE"""),0.0)</f>
        <v>0</v>
      </c>
      <c r="N134" s="57">
        <f>IFERROR(__xludf.DUMMYFUNCTION("""COMPUTED_VALUE"""),0.0)</f>
        <v>0</v>
      </c>
      <c r="O134" s="57">
        <f>IFERROR(__xludf.DUMMYFUNCTION("""COMPUTED_VALUE"""),0.0)</f>
        <v>0</v>
      </c>
      <c r="Q134" s="109">
        <v>0.0812</v>
      </c>
      <c r="R134" s="109">
        <v>0.0</v>
      </c>
      <c r="S134" s="109">
        <v>8.0E-4</v>
      </c>
      <c r="T134" s="109">
        <v>0.0</v>
      </c>
      <c r="U134" s="109">
        <v>0.0016</v>
      </c>
      <c r="V134" s="109">
        <v>0.0</v>
      </c>
      <c r="W134" s="109">
        <v>8.0E-4</v>
      </c>
      <c r="X134" s="109">
        <v>0.0122</v>
      </c>
      <c r="Y134" s="109">
        <v>0.0244</v>
      </c>
      <c r="Z134" s="109">
        <v>0.0122</v>
      </c>
      <c r="AA134" s="109">
        <v>0.2193</v>
      </c>
      <c r="AB134" s="109">
        <v>0.0</v>
      </c>
      <c r="AC134" s="109">
        <v>0.0</v>
      </c>
      <c r="AE134" s="51" t="str">
        <f t="shared" ref="AE134:AQ134" si="130">IFERROR((Q134-C134)/C134, "")</f>
        <v/>
      </c>
      <c r="AF134" s="51" t="str">
        <f t="shared" si="130"/>
        <v/>
      </c>
      <c r="AG134" s="51" t="str">
        <f t="shared" si="130"/>
        <v/>
      </c>
      <c r="AH134" s="51" t="str">
        <f t="shared" si="130"/>
        <v/>
      </c>
      <c r="AI134" s="51" t="str">
        <f t="shared" si="130"/>
        <v/>
      </c>
      <c r="AJ134" s="51" t="str">
        <f t="shared" si="130"/>
        <v/>
      </c>
      <c r="AK134" s="51" t="str">
        <f t="shared" si="130"/>
        <v/>
      </c>
      <c r="AL134" s="51" t="str">
        <f t="shared" si="130"/>
        <v/>
      </c>
      <c r="AM134" s="51" t="str">
        <f t="shared" si="130"/>
        <v/>
      </c>
      <c r="AN134" s="51" t="str">
        <f t="shared" si="130"/>
        <v/>
      </c>
      <c r="AO134" s="51" t="str">
        <f t="shared" si="130"/>
        <v/>
      </c>
      <c r="AP134" s="51" t="str">
        <f t="shared" si="130"/>
        <v/>
      </c>
      <c r="AQ134" s="51" t="str">
        <f t="shared" si="130"/>
        <v/>
      </c>
    </row>
    <row r="135">
      <c r="B135" s="56" t="s">
        <v>110</v>
      </c>
      <c r="C135" s="57">
        <f>IFERROR(__xludf.DUMMYFUNCTION("""COMPUTED_VALUE"""),0.0)</f>
        <v>0</v>
      </c>
      <c r="D135" s="57">
        <f>IFERROR(__xludf.DUMMYFUNCTION("""COMPUTED_VALUE"""),0.0)</f>
        <v>0</v>
      </c>
      <c r="E135" s="57">
        <f>IFERROR(__xludf.DUMMYFUNCTION("""COMPUTED_VALUE"""),0.0)</f>
        <v>0</v>
      </c>
      <c r="F135" s="57">
        <f>IFERROR(__xludf.DUMMYFUNCTION("""COMPUTED_VALUE"""),0.0)</f>
        <v>0</v>
      </c>
      <c r="G135" s="57">
        <f>IFERROR(__xludf.DUMMYFUNCTION("""COMPUTED_VALUE"""),0.0)</f>
        <v>0</v>
      </c>
      <c r="H135" s="57">
        <f>IFERROR(__xludf.DUMMYFUNCTION("""COMPUTED_VALUE"""),0.0)</f>
        <v>0</v>
      </c>
      <c r="I135" s="57">
        <f>IFERROR(__xludf.DUMMYFUNCTION("""COMPUTED_VALUE"""),0.0)</f>
        <v>0</v>
      </c>
      <c r="J135" s="57">
        <f>IFERROR(__xludf.DUMMYFUNCTION("""COMPUTED_VALUE"""),0.0)</f>
        <v>0</v>
      </c>
      <c r="K135" s="57">
        <f>IFERROR(__xludf.DUMMYFUNCTION("""COMPUTED_VALUE"""),0.0)</f>
        <v>0</v>
      </c>
      <c r="L135" s="57">
        <f>IFERROR(__xludf.DUMMYFUNCTION("""COMPUTED_VALUE"""),0.0)</f>
        <v>0</v>
      </c>
      <c r="M135" s="57">
        <f>IFERROR(__xludf.DUMMYFUNCTION("""COMPUTED_VALUE"""),0.0)</f>
        <v>0</v>
      </c>
      <c r="N135" s="57">
        <f>IFERROR(__xludf.DUMMYFUNCTION("""COMPUTED_VALUE"""),0.0)</f>
        <v>0</v>
      </c>
      <c r="O135" s="57">
        <f>IFERROR(__xludf.DUMMYFUNCTION("""COMPUTED_VALUE"""),0.0)</f>
        <v>0</v>
      </c>
      <c r="Q135" s="109">
        <v>117.8716</v>
      </c>
      <c r="R135" s="109">
        <v>0.0276</v>
      </c>
      <c r="S135" s="109">
        <v>0.2803</v>
      </c>
      <c r="T135" s="109">
        <v>0.4898</v>
      </c>
      <c r="U135" s="109">
        <v>0.0</v>
      </c>
      <c r="V135" s="109">
        <v>0.0</v>
      </c>
      <c r="W135" s="109">
        <v>0.0</v>
      </c>
      <c r="X135" s="109">
        <v>0.0</v>
      </c>
      <c r="Y135" s="109">
        <v>0.0</v>
      </c>
      <c r="Z135" s="109">
        <v>0.0</v>
      </c>
      <c r="AA135" s="109">
        <v>0.0</v>
      </c>
      <c r="AB135" s="109">
        <v>0.0</v>
      </c>
      <c r="AC135" s="109">
        <v>0.0</v>
      </c>
      <c r="AE135" s="51" t="str">
        <f t="shared" ref="AE135:AQ135" si="131">IFERROR((Q135-C135)/C135, "")</f>
        <v/>
      </c>
      <c r="AF135" s="51" t="str">
        <f t="shared" si="131"/>
        <v/>
      </c>
      <c r="AG135" s="51" t="str">
        <f t="shared" si="131"/>
        <v/>
      </c>
      <c r="AH135" s="51" t="str">
        <f t="shared" si="131"/>
        <v/>
      </c>
      <c r="AI135" s="51" t="str">
        <f t="shared" si="131"/>
        <v/>
      </c>
      <c r="AJ135" s="51" t="str">
        <f t="shared" si="131"/>
        <v/>
      </c>
      <c r="AK135" s="51" t="str">
        <f t="shared" si="131"/>
        <v/>
      </c>
      <c r="AL135" s="51" t="str">
        <f t="shared" si="131"/>
        <v/>
      </c>
      <c r="AM135" s="51" t="str">
        <f t="shared" si="131"/>
        <v/>
      </c>
      <c r="AN135" s="51" t="str">
        <f t="shared" si="131"/>
        <v/>
      </c>
      <c r="AO135" s="51" t="str">
        <f t="shared" si="131"/>
        <v/>
      </c>
      <c r="AP135" s="51" t="str">
        <f t="shared" si="131"/>
        <v/>
      </c>
      <c r="AQ135" s="51" t="str">
        <f t="shared" si="131"/>
        <v/>
      </c>
    </row>
    <row r="136">
      <c r="B136" s="56" t="s">
        <v>111</v>
      </c>
      <c r="C136" s="57">
        <f>IFERROR(__xludf.DUMMYFUNCTION("""COMPUTED_VALUE"""),0.0)</f>
        <v>0</v>
      </c>
      <c r="D136" s="57">
        <f>IFERROR(__xludf.DUMMYFUNCTION("""COMPUTED_VALUE"""),0.0)</f>
        <v>0</v>
      </c>
      <c r="E136" s="57">
        <f>IFERROR(__xludf.DUMMYFUNCTION("""COMPUTED_VALUE"""),0.0)</f>
        <v>0</v>
      </c>
      <c r="F136" s="57">
        <f>IFERROR(__xludf.DUMMYFUNCTION("""COMPUTED_VALUE"""),0.0)</f>
        <v>0</v>
      </c>
      <c r="G136" s="57">
        <f>IFERROR(__xludf.DUMMYFUNCTION("""COMPUTED_VALUE"""),0.0)</f>
        <v>0</v>
      </c>
      <c r="H136" s="57">
        <f>IFERROR(__xludf.DUMMYFUNCTION("""COMPUTED_VALUE"""),0.0)</f>
        <v>0</v>
      </c>
      <c r="I136" s="57">
        <f>IFERROR(__xludf.DUMMYFUNCTION("""COMPUTED_VALUE"""),0.0)</f>
        <v>0</v>
      </c>
      <c r="J136" s="57">
        <f>IFERROR(__xludf.DUMMYFUNCTION("""COMPUTED_VALUE"""),0.0)</f>
        <v>0</v>
      </c>
      <c r="K136" s="57">
        <f>IFERROR(__xludf.DUMMYFUNCTION("""COMPUTED_VALUE"""),0.0)</f>
        <v>0</v>
      </c>
      <c r="L136" s="57">
        <f>IFERROR(__xludf.DUMMYFUNCTION("""COMPUTED_VALUE"""),0.0)</f>
        <v>0</v>
      </c>
      <c r="M136" s="57">
        <f>IFERROR(__xludf.DUMMYFUNCTION("""COMPUTED_VALUE"""),0.0)</f>
        <v>0</v>
      </c>
      <c r="N136" s="57">
        <f>IFERROR(__xludf.DUMMYFUNCTION("""COMPUTED_VALUE"""),0.0)</f>
        <v>0</v>
      </c>
      <c r="O136" s="57">
        <f>IFERROR(__xludf.DUMMYFUNCTION("""COMPUTED_VALUE"""),0.0)</f>
        <v>0</v>
      </c>
      <c r="Q136" s="109">
        <v>0.0</v>
      </c>
      <c r="R136" s="109">
        <v>8.0E-4</v>
      </c>
      <c r="S136" s="109">
        <v>8.0E-4</v>
      </c>
      <c r="T136" s="109">
        <v>0.0016</v>
      </c>
      <c r="U136" s="109">
        <v>0.0</v>
      </c>
      <c r="V136" s="109">
        <v>8.0E-4</v>
      </c>
      <c r="W136" s="109">
        <v>0.0016</v>
      </c>
      <c r="X136" s="109">
        <v>0.0162</v>
      </c>
      <c r="Y136" s="109">
        <v>0.0122</v>
      </c>
      <c r="Z136" s="109">
        <v>0.0</v>
      </c>
      <c r="AA136" s="109">
        <v>0.0</v>
      </c>
      <c r="AB136" s="109">
        <v>0.0</v>
      </c>
      <c r="AC136" s="109">
        <v>0.0</v>
      </c>
      <c r="AE136" s="51" t="str">
        <f t="shared" ref="AE136:AQ136" si="132">IFERROR((Q136-C136)/C136, "")</f>
        <v/>
      </c>
      <c r="AF136" s="51" t="str">
        <f t="shared" si="132"/>
        <v/>
      </c>
      <c r="AG136" s="51" t="str">
        <f t="shared" si="132"/>
        <v/>
      </c>
      <c r="AH136" s="51" t="str">
        <f t="shared" si="132"/>
        <v/>
      </c>
      <c r="AI136" s="51" t="str">
        <f t="shared" si="132"/>
        <v/>
      </c>
      <c r="AJ136" s="51" t="str">
        <f t="shared" si="132"/>
        <v/>
      </c>
      <c r="AK136" s="51" t="str">
        <f t="shared" si="132"/>
        <v/>
      </c>
      <c r="AL136" s="51" t="str">
        <f t="shared" si="132"/>
        <v/>
      </c>
      <c r="AM136" s="51" t="str">
        <f t="shared" si="132"/>
        <v/>
      </c>
      <c r="AN136" s="51" t="str">
        <f t="shared" si="132"/>
        <v/>
      </c>
      <c r="AO136" s="51" t="str">
        <f t="shared" si="132"/>
        <v/>
      </c>
      <c r="AP136" s="51" t="str">
        <f t="shared" si="132"/>
        <v/>
      </c>
      <c r="AQ136" s="51" t="str">
        <f t="shared" si="132"/>
        <v/>
      </c>
    </row>
    <row r="137">
      <c r="B137" s="56" t="s">
        <v>113</v>
      </c>
      <c r="C137" s="57">
        <f>IFERROR(__xludf.DUMMYFUNCTION("""COMPUTED_VALUE"""),122.95419577074279)</f>
        <v>122.9541958</v>
      </c>
      <c r="D137" s="57">
        <f>IFERROR(__xludf.DUMMYFUNCTION("""COMPUTED_VALUE"""),1.5899385888681983)</f>
        <v>1.589938589</v>
      </c>
      <c r="E137" s="57">
        <f>IFERROR(__xludf.DUMMYFUNCTION("""COMPUTED_VALUE"""),1.0371802813987172)</f>
        <v>1.037180281</v>
      </c>
      <c r="F137" s="57">
        <f>IFERROR(__xludf.DUMMYFUNCTION("""COMPUTED_VALUE"""),0.0)</f>
        <v>0</v>
      </c>
      <c r="G137" s="57">
        <f>IFERROR(__xludf.DUMMYFUNCTION("""COMPUTED_VALUE"""),1.2375571280777988)</f>
        <v>1.237557128</v>
      </c>
      <c r="H137" s="57">
        <f>IFERROR(__xludf.DUMMYFUNCTION("""COMPUTED_VALUE"""),1.2327963031933238)</f>
        <v>1.232796303</v>
      </c>
      <c r="I137" s="57">
        <f>IFERROR(__xludf.DUMMYFUNCTION("""COMPUTED_VALUE"""),0.670254983102283)</f>
        <v>0.6702549831</v>
      </c>
      <c r="J137" s="57">
        <f>IFERROR(__xludf.DUMMYFUNCTION("""COMPUTED_VALUE"""),0.0)</f>
        <v>0</v>
      </c>
      <c r="K137" s="57">
        <f>IFERROR(__xludf.DUMMYFUNCTION("""COMPUTED_VALUE"""),0.0)</f>
        <v>0</v>
      </c>
      <c r="L137" s="57">
        <f>IFERROR(__xludf.DUMMYFUNCTION("""COMPUTED_VALUE"""),0.0)</f>
        <v>0</v>
      </c>
      <c r="M137" s="57">
        <f>IFERROR(__xludf.DUMMYFUNCTION("""COMPUTED_VALUE"""),211.8616933581626)</f>
        <v>211.8616934</v>
      </c>
      <c r="N137" s="57">
        <f>IFERROR(__xludf.DUMMYFUNCTION("""COMPUTED_VALUE"""),0.0)</f>
        <v>0</v>
      </c>
      <c r="O137" s="57">
        <f>IFERROR(__xludf.DUMMYFUNCTION("""COMPUTED_VALUE"""),0.0)</f>
        <v>0</v>
      </c>
      <c r="Q137" s="109">
        <v>210.3168</v>
      </c>
      <c r="R137" s="109">
        <v>3.433</v>
      </c>
      <c r="S137" s="109">
        <v>3.4135</v>
      </c>
      <c r="T137" s="109">
        <v>0.0089</v>
      </c>
      <c r="U137" s="109">
        <v>3.4785</v>
      </c>
      <c r="V137" s="109">
        <v>3.407</v>
      </c>
      <c r="W137" s="109">
        <v>3.4411</v>
      </c>
      <c r="X137" s="109">
        <v>0.0</v>
      </c>
      <c r="Y137" s="109">
        <v>0.0</v>
      </c>
      <c r="Z137" s="109">
        <v>0.0</v>
      </c>
      <c r="AA137" s="109">
        <v>914.3014</v>
      </c>
      <c r="AB137" s="109">
        <v>0.0</v>
      </c>
      <c r="AC137" s="109">
        <v>0.0</v>
      </c>
      <c r="AE137" s="51">
        <f t="shared" ref="AE137:AQ137" si="133">IFERROR((Q137-C137)/C137, "")</f>
        <v>0.7105296707</v>
      </c>
      <c r="AF137" s="51">
        <f t="shared" si="133"/>
        <v>1.159202893</v>
      </c>
      <c r="AG137" s="51">
        <f t="shared" si="133"/>
        <v>2.291134686</v>
      </c>
      <c r="AH137" s="51" t="str">
        <f t="shared" si="133"/>
        <v/>
      </c>
      <c r="AI137" s="51">
        <f t="shared" si="133"/>
        <v>1.810779334</v>
      </c>
      <c r="AJ137" s="51">
        <f t="shared" si="133"/>
        <v>1.763635802</v>
      </c>
      <c r="AK137" s="51">
        <f t="shared" si="133"/>
        <v>4.134016287</v>
      </c>
      <c r="AL137" s="51" t="str">
        <f t="shared" si="133"/>
        <v/>
      </c>
      <c r="AM137" s="51" t="str">
        <f t="shared" si="133"/>
        <v/>
      </c>
      <c r="AN137" s="51" t="str">
        <f t="shared" si="133"/>
        <v/>
      </c>
      <c r="AO137" s="51">
        <f t="shared" si="133"/>
        <v>3.315557879</v>
      </c>
      <c r="AP137" s="51" t="str">
        <f t="shared" si="133"/>
        <v/>
      </c>
      <c r="AQ137" s="51" t="str">
        <f t="shared" si="133"/>
        <v/>
      </c>
    </row>
    <row r="138">
      <c r="B138" s="56" t="s">
        <v>115</v>
      </c>
      <c r="C138" s="57">
        <f>IFERROR(__xludf.DUMMYFUNCTION("""COMPUTED_VALUE"""),29.364515040424063)</f>
        <v>29.36451504</v>
      </c>
      <c r="D138" s="57">
        <f>IFERROR(__xludf.DUMMYFUNCTION("""COMPUTED_VALUE"""),0.26353764038463934)</f>
        <v>0.2635376404</v>
      </c>
      <c r="E138" s="57">
        <f>IFERROR(__xludf.DUMMYFUNCTION("""COMPUTED_VALUE"""),0.3742114655562012)</f>
        <v>0.3742114656</v>
      </c>
      <c r="F138" s="57">
        <f>IFERROR(__xludf.DUMMYFUNCTION("""COMPUTED_VALUE"""),0.15926104427952292)</f>
        <v>0.1592610443</v>
      </c>
      <c r="G138" s="57">
        <f>IFERROR(__xludf.DUMMYFUNCTION("""COMPUTED_VALUE"""),0.63582817489885)</f>
        <v>0.6358281749</v>
      </c>
      <c r="H138" s="57">
        <f>IFERROR(__xludf.DUMMYFUNCTION("""COMPUTED_VALUE"""),0.6876580665914556)</f>
        <v>0.6876580666</v>
      </c>
      <c r="I138" s="57">
        <f>IFERROR(__xludf.DUMMYFUNCTION("""COMPUTED_VALUE"""),0.4302180605235934)</f>
        <v>0.4302180605</v>
      </c>
      <c r="J138" s="57">
        <f>IFERROR(__xludf.DUMMYFUNCTION("""COMPUTED_VALUE"""),2.075821527568964)</f>
        <v>2.075821528</v>
      </c>
      <c r="K138" s="57">
        <f>IFERROR(__xludf.DUMMYFUNCTION("""COMPUTED_VALUE"""),4.485479722371191)</f>
        <v>4.485479722</v>
      </c>
      <c r="L138" s="57">
        <f>IFERROR(__xludf.DUMMYFUNCTION("""COMPUTED_VALUE"""),5.757541406241972)</f>
        <v>5.757541406</v>
      </c>
      <c r="M138" s="57">
        <f>IFERROR(__xludf.DUMMYFUNCTION("""COMPUTED_VALUE"""),39.50264276021221)</f>
        <v>39.50264276</v>
      </c>
      <c r="N138" s="57">
        <f>IFERROR(__xludf.DUMMYFUNCTION("""COMPUTED_VALUE"""),1.395424227851821)</f>
        <v>1.395424228</v>
      </c>
      <c r="O138" s="57">
        <f>IFERROR(__xludf.DUMMYFUNCTION("""COMPUTED_VALUE"""),0.0)</f>
        <v>0</v>
      </c>
      <c r="Q138" s="109">
        <v>34.3501</v>
      </c>
      <c r="R138" s="109">
        <v>0.2323</v>
      </c>
      <c r="S138" s="109">
        <v>0.5467</v>
      </c>
      <c r="T138" s="109">
        <v>0.0755</v>
      </c>
      <c r="U138" s="109">
        <v>1.2949</v>
      </c>
      <c r="V138" s="109">
        <v>1.3591</v>
      </c>
      <c r="W138" s="109">
        <v>0.5719</v>
      </c>
      <c r="X138" s="109">
        <v>0.7027</v>
      </c>
      <c r="Y138" s="109">
        <v>4.5004</v>
      </c>
      <c r="Z138" s="109">
        <v>8.7693</v>
      </c>
      <c r="AA138" s="109">
        <v>45.9667</v>
      </c>
      <c r="AB138" s="109">
        <v>0.0203</v>
      </c>
      <c r="AC138" s="109">
        <v>0.0</v>
      </c>
      <c r="AE138" s="51">
        <f t="shared" ref="AE138:AQ138" si="134">IFERROR((Q138-C138)/C138, "")</f>
        <v>0.1697826425</v>
      </c>
      <c r="AF138" s="51">
        <f t="shared" si="134"/>
        <v>-0.1185319878</v>
      </c>
      <c r="AG138" s="51">
        <f t="shared" si="134"/>
        <v>0.4609386679</v>
      </c>
      <c r="AH138" s="51">
        <f t="shared" si="134"/>
        <v>-0.525935546</v>
      </c>
      <c r="AI138" s="51">
        <f t="shared" si="134"/>
        <v>1.036556496</v>
      </c>
      <c r="AJ138" s="51">
        <f t="shared" si="134"/>
        <v>0.976418319</v>
      </c>
      <c r="AK138" s="51">
        <f t="shared" si="134"/>
        <v>0.3293258756</v>
      </c>
      <c r="AL138" s="51">
        <f t="shared" si="134"/>
        <v>-0.661483422</v>
      </c>
      <c r="AM138" s="51">
        <f t="shared" si="134"/>
        <v>0.00332635048</v>
      </c>
      <c r="AN138" s="51">
        <f t="shared" si="134"/>
        <v>0.5230980346</v>
      </c>
      <c r="AO138" s="51">
        <f t="shared" si="134"/>
        <v>0.1636360706</v>
      </c>
      <c r="AP138" s="51">
        <f t="shared" si="134"/>
        <v>-0.9854524527</v>
      </c>
      <c r="AQ138" s="51" t="str">
        <f t="shared" si="134"/>
        <v/>
      </c>
    </row>
    <row r="139">
      <c r="B139" s="56" t="s">
        <v>117</v>
      </c>
      <c r="C139" s="57">
        <f>IFERROR(__xludf.DUMMYFUNCTION("""COMPUTED_VALUE"""),7.6517033491226485)</f>
        <v>7.651703349</v>
      </c>
      <c r="D139" s="57">
        <f>IFERROR(__xludf.DUMMYFUNCTION("""COMPUTED_VALUE"""),0.0065920548817619785)</f>
        <v>0.006592054882</v>
      </c>
      <c r="E139" s="57">
        <f>IFERROR(__xludf.DUMMYFUNCTION("""COMPUTED_VALUE"""),0.03636995796834196)</f>
        <v>0.03636995797</v>
      </c>
      <c r="F139" s="57">
        <f>IFERROR(__xludf.DUMMYFUNCTION("""COMPUTED_VALUE"""),0.06494635351489635)</f>
        <v>0.06494635351</v>
      </c>
      <c r="G139" s="57">
        <f>IFERROR(__xludf.DUMMYFUNCTION("""COMPUTED_VALUE"""),2.9225859081703353E-4)</f>
        <v>0.0002922585908</v>
      </c>
      <c r="H139" s="57">
        <f>IFERROR(__xludf.DUMMYFUNCTION("""COMPUTED_VALUE"""),1.2989270702979273E-4)</f>
        <v>0.000129892707</v>
      </c>
      <c r="I139" s="57">
        <f>IFERROR(__xludf.DUMMYFUNCTION("""COMPUTED_VALUE"""),0.0)</f>
        <v>0</v>
      </c>
      <c r="J139" s="57">
        <f>IFERROR(__xludf.DUMMYFUNCTION("""COMPUTED_VALUE"""),0.0)</f>
        <v>0</v>
      </c>
      <c r="K139" s="57">
        <f>IFERROR(__xludf.DUMMYFUNCTION("""COMPUTED_VALUE"""),0.0)</f>
        <v>0</v>
      </c>
      <c r="L139" s="57">
        <f>IFERROR(__xludf.DUMMYFUNCTION("""COMPUTED_VALUE"""),0.0)</f>
        <v>0</v>
      </c>
      <c r="M139" s="57">
        <f>IFERROR(__xludf.DUMMYFUNCTION("""COMPUTED_VALUE"""),2.6568903759408946)</f>
        <v>2.656890376</v>
      </c>
      <c r="N139" s="57">
        <f>IFERROR(__xludf.DUMMYFUNCTION("""COMPUTED_VALUE"""),0.0)</f>
        <v>0</v>
      </c>
      <c r="O139" s="57">
        <f>IFERROR(__xludf.DUMMYFUNCTION("""COMPUTED_VALUE"""),0.0)</f>
        <v>0</v>
      </c>
      <c r="Q139" s="109">
        <v>48.8018</v>
      </c>
      <c r="R139" s="109">
        <v>0.0626</v>
      </c>
      <c r="S139" s="109">
        <v>0.1397</v>
      </c>
      <c r="T139" s="109">
        <v>0.3948</v>
      </c>
      <c r="U139" s="109">
        <v>0.0211</v>
      </c>
      <c r="V139" s="109">
        <v>0.0317</v>
      </c>
      <c r="W139" s="109">
        <v>0.0723</v>
      </c>
      <c r="X139" s="109">
        <v>0.0</v>
      </c>
      <c r="Y139" s="109">
        <v>0.0</v>
      </c>
      <c r="Z139" s="109">
        <v>0.0</v>
      </c>
      <c r="AA139" s="109">
        <v>17.5467</v>
      </c>
      <c r="AB139" s="109">
        <v>0.0</v>
      </c>
      <c r="AC139" s="109">
        <v>0.0</v>
      </c>
      <c r="AE139" s="51">
        <f t="shared" ref="AE139:AQ139" si="135">IFERROR((Q139-C139)/C139, "")</f>
        <v>5.377900158</v>
      </c>
      <c r="AF139" s="51">
        <f t="shared" si="135"/>
        <v>8.496280162</v>
      </c>
      <c r="AG139" s="51">
        <f t="shared" si="135"/>
        <v>2.84108225</v>
      </c>
      <c r="AH139" s="51">
        <f t="shared" si="135"/>
        <v>5.078863225</v>
      </c>
      <c r="AI139" s="51">
        <f t="shared" si="135"/>
        <v>71.19633798</v>
      </c>
      <c r="AJ139" s="51">
        <f t="shared" si="135"/>
        <v>243.0475738</v>
      </c>
      <c r="AK139" s="51" t="str">
        <f t="shared" si="135"/>
        <v/>
      </c>
      <c r="AL139" s="51" t="str">
        <f t="shared" si="135"/>
        <v/>
      </c>
      <c r="AM139" s="51" t="str">
        <f t="shared" si="135"/>
        <v/>
      </c>
      <c r="AN139" s="51" t="str">
        <f t="shared" si="135"/>
        <v/>
      </c>
      <c r="AO139" s="51">
        <f t="shared" si="135"/>
        <v>5.604224306</v>
      </c>
      <c r="AP139" s="51" t="str">
        <f t="shared" si="135"/>
        <v/>
      </c>
      <c r="AQ139" s="51" t="str">
        <f t="shared" si="135"/>
        <v/>
      </c>
    </row>
    <row r="140">
      <c r="B140" s="37" t="s">
        <v>120</v>
      </c>
      <c r="C140" s="43">
        <f>IFERROR(__xludf.DUMMYFUNCTION("""COMPUTED_VALUE"""),9.284203374582638)</f>
        <v>9.284203375</v>
      </c>
      <c r="D140" s="43">
        <f>IFERROR(__xludf.DUMMYFUNCTION("""COMPUTED_VALUE"""),0.08983817157806524)</f>
        <v>0.08983817158</v>
      </c>
      <c r="E140" s="43">
        <f>IFERROR(__xludf.DUMMYFUNCTION("""COMPUTED_VALUE"""),0.05441056129383908)</f>
        <v>0.05441056129</v>
      </c>
      <c r="F140" s="43">
        <f>IFERROR(__xludf.DUMMYFUNCTION("""COMPUTED_VALUE"""),0.03169610448576511)</f>
        <v>0.03169610449</v>
      </c>
      <c r="G140" s="43">
        <f>IFERROR(__xludf.DUMMYFUNCTION("""COMPUTED_VALUE"""),0.0)</f>
        <v>0</v>
      </c>
      <c r="H140" s="43">
        <f>IFERROR(__xludf.DUMMYFUNCTION("""COMPUTED_VALUE"""),0.0)</f>
        <v>0</v>
      </c>
      <c r="I140" s="43">
        <f>IFERROR(__xludf.DUMMYFUNCTION("""COMPUTED_VALUE"""),0.0)</f>
        <v>0</v>
      </c>
      <c r="J140" s="43">
        <f>IFERROR(__xludf.DUMMYFUNCTION("""COMPUTED_VALUE"""),0.0)</f>
        <v>0</v>
      </c>
      <c r="K140" s="43">
        <f>IFERROR(__xludf.DUMMYFUNCTION("""COMPUTED_VALUE"""),0.0)</f>
        <v>0</v>
      </c>
      <c r="L140" s="43">
        <f>IFERROR(__xludf.DUMMYFUNCTION("""COMPUTED_VALUE"""),0.0)</f>
        <v>0</v>
      </c>
      <c r="M140" s="43">
        <f>IFERROR(__xludf.DUMMYFUNCTION("""COMPUTED_VALUE"""),0.0)</f>
        <v>0</v>
      </c>
      <c r="N140" s="41">
        <f>IFERROR(__xludf.DUMMYFUNCTION("""COMPUTED_VALUE"""),0.0)</f>
        <v>0</v>
      </c>
      <c r="O140" s="41">
        <f>IFERROR(__xludf.DUMMYFUNCTION("""COMPUTED_VALUE"""),0.0)</f>
        <v>0</v>
      </c>
      <c r="Q140" s="109">
        <v>36.9659</v>
      </c>
      <c r="R140" s="109">
        <v>0.3355</v>
      </c>
      <c r="S140" s="109">
        <v>0.1706</v>
      </c>
      <c r="T140" s="109">
        <v>0.143</v>
      </c>
      <c r="U140" s="109">
        <v>0.0</v>
      </c>
      <c r="V140" s="109">
        <v>0.0</v>
      </c>
      <c r="W140" s="109">
        <v>0.0</v>
      </c>
      <c r="X140" s="109">
        <v>0.0</v>
      </c>
      <c r="Y140" s="109">
        <v>0.0</v>
      </c>
      <c r="Z140" s="109">
        <v>0.0</v>
      </c>
      <c r="AA140" s="109">
        <v>0.0</v>
      </c>
      <c r="AB140" s="109">
        <v>0.0</v>
      </c>
      <c r="AC140" s="109">
        <v>0.0</v>
      </c>
      <c r="AE140" s="51">
        <f t="shared" ref="AE140:AQ140" si="136">IFERROR((Q140-C140)/C140, "")</f>
        <v>2.981590936</v>
      </c>
      <c r="AF140" s="51">
        <f t="shared" si="136"/>
        <v>2.734492745</v>
      </c>
      <c r="AG140" s="51">
        <f t="shared" si="136"/>
        <v>2.135420697</v>
      </c>
      <c r="AH140" s="51">
        <f t="shared" si="136"/>
        <v>3.511595425</v>
      </c>
      <c r="AI140" s="51" t="str">
        <f t="shared" si="136"/>
        <v/>
      </c>
      <c r="AJ140" s="51" t="str">
        <f t="shared" si="136"/>
        <v/>
      </c>
      <c r="AK140" s="51" t="str">
        <f t="shared" si="136"/>
        <v/>
      </c>
      <c r="AL140" s="51" t="str">
        <f t="shared" si="136"/>
        <v/>
      </c>
      <c r="AM140" s="51" t="str">
        <f t="shared" si="136"/>
        <v/>
      </c>
      <c r="AN140" s="51" t="str">
        <f t="shared" si="136"/>
        <v/>
      </c>
      <c r="AO140" s="51" t="str">
        <f t="shared" si="136"/>
        <v/>
      </c>
      <c r="AP140" s="51" t="str">
        <f t="shared" si="136"/>
        <v/>
      </c>
      <c r="AQ140" s="51" t="str">
        <f t="shared" si="136"/>
        <v/>
      </c>
    </row>
    <row r="141">
      <c r="B141" s="37" t="s">
        <v>121</v>
      </c>
      <c r="C141" s="43">
        <f>IFERROR(__xludf.DUMMYFUNCTION("""COMPUTED_VALUE"""),10.24104)</f>
        <v>10.24104</v>
      </c>
      <c r="D141" s="43">
        <f>IFERROR(__xludf.DUMMYFUNCTION("""COMPUTED_VALUE"""),0.027800000000000005)</f>
        <v>0.0278</v>
      </c>
      <c r="E141" s="43">
        <f>IFERROR(__xludf.DUMMYFUNCTION("""COMPUTED_VALUE"""),0.074)</f>
        <v>0.074</v>
      </c>
      <c r="F141" s="43">
        <f>IFERROR(__xludf.DUMMYFUNCTION("""COMPUTED_VALUE"""),0.13282000000000002)</f>
        <v>0.13282</v>
      </c>
      <c r="G141" s="43">
        <f>IFERROR(__xludf.DUMMYFUNCTION("""COMPUTED_VALUE"""),0.0047)</f>
        <v>0.0047</v>
      </c>
      <c r="H141" s="43">
        <f>IFERROR(__xludf.DUMMYFUNCTION("""COMPUTED_VALUE"""),0.01058)</f>
        <v>0.01058</v>
      </c>
      <c r="I141" s="43">
        <f>IFERROR(__xludf.DUMMYFUNCTION("""COMPUTED_VALUE"""),0.061680000000000006)</f>
        <v>0.06168</v>
      </c>
      <c r="J141" s="43">
        <f>IFERROR(__xludf.DUMMYFUNCTION("""COMPUTED_VALUE"""),0.0)</f>
        <v>0</v>
      </c>
      <c r="K141" s="43">
        <f>IFERROR(__xludf.DUMMYFUNCTION("""COMPUTED_VALUE"""),0.0)</f>
        <v>0</v>
      </c>
      <c r="L141" s="43">
        <f>IFERROR(__xludf.DUMMYFUNCTION("""COMPUTED_VALUE"""),0.0)</f>
        <v>0</v>
      </c>
      <c r="M141" s="43">
        <f>IFERROR(__xludf.DUMMYFUNCTION("""COMPUTED_VALUE"""),9.0E-4)</f>
        <v>0.0009</v>
      </c>
      <c r="N141" s="41">
        <f>IFERROR(__xludf.DUMMYFUNCTION("""COMPUTED_VALUE"""),0.0)</f>
        <v>0</v>
      </c>
      <c r="O141" s="41">
        <f>IFERROR(__xludf.DUMMYFUNCTION("""COMPUTED_VALUE"""),0.0)</f>
        <v>0</v>
      </c>
      <c r="Q141" s="109">
        <v>32.7295</v>
      </c>
      <c r="R141" s="109">
        <v>0.078</v>
      </c>
      <c r="S141" s="109">
        <v>0.2396</v>
      </c>
      <c r="T141" s="109">
        <v>0.4159</v>
      </c>
      <c r="U141" s="109">
        <v>0.0154</v>
      </c>
      <c r="V141" s="109">
        <v>0.0341</v>
      </c>
      <c r="W141" s="109">
        <v>0.1803</v>
      </c>
      <c r="X141" s="109">
        <v>0.0</v>
      </c>
      <c r="Y141" s="109">
        <v>0.0</v>
      </c>
      <c r="Z141" s="109">
        <v>0.0</v>
      </c>
      <c r="AA141" s="109">
        <v>0.0</v>
      </c>
      <c r="AB141" s="109">
        <v>0.0</v>
      </c>
      <c r="AC141" s="109">
        <v>0.0</v>
      </c>
      <c r="AE141" s="51">
        <f t="shared" ref="AE141:AQ141" si="137">IFERROR((Q141-C141)/C141, "")</f>
        <v>2.195915649</v>
      </c>
      <c r="AF141" s="51">
        <f t="shared" si="137"/>
        <v>1.805755396</v>
      </c>
      <c r="AG141" s="51">
        <f t="shared" si="137"/>
        <v>2.237837838</v>
      </c>
      <c r="AH141" s="51">
        <f t="shared" si="137"/>
        <v>2.131305526</v>
      </c>
      <c r="AI141" s="51">
        <f t="shared" si="137"/>
        <v>2.276595745</v>
      </c>
      <c r="AJ141" s="51">
        <f t="shared" si="137"/>
        <v>2.223062382</v>
      </c>
      <c r="AK141" s="51">
        <f t="shared" si="137"/>
        <v>1.923151751</v>
      </c>
      <c r="AL141" s="51" t="str">
        <f t="shared" si="137"/>
        <v/>
      </c>
      <c r="AM141" s="51" t="str">
        <f t="shared" si="137"/>
        <v/>
      </c>
      <c r="AN141" s="51" t="str">
        <f t="shared" si="137"/>
        <v/>
      </c>
      <c r="AO141" s="51">
        <f t="shared" si="137"/>
        <v>-1</v>
      </c>
      <c r="AP141" s="51" t="str">
        <f t="shared" si="137"/>
        <v/>
      </c>
      <c r="AQ141" s="51" t="str">
        <f t="shared" si="137"/>
        <v/>
      </c>
    </row>
    <row r="142">
      <c r="B142" s="56" t="s">
        <v>122</v>
      </c>
      <c r="C142" s="57">
        <f>IFERROR(__xludf.DUMMYFUNCTION("""COMPUTED_VALUE"""),8.073544219949554)</f>
        <v>8.07354422</v>
      </c>
      <c r="D142" s="57">
        <f>IFERROR(__xludf.DUMMYFUNCTION("""COMPUTED_VALUE"""),0.0)</f>
        <v>0</v>
      </c>
      <c r="E142" s="57">
        <f>IFERROR(__xludf.DUMMYFUNCTION("""COMPUTED_VALUE"""),0.06786439165329053)</f>
        <v>0.06786439165</v>
      </c>
      <c r="F142" s="57">
        <f>IFERROR(__xludf.DUMMYFUNCTION("""COMPUTED_VALUE"""),0.12348993900481542)</f>
        <v>0.123489939</v>
      </c>
      <c r="G142" s="57">
        <f>IFERROR(__xludf.DUMMYFUNCTION("""COMPUTED_VALUE"""),0.0051199165329052975)</f>
        <v>0.005119916533</v>
      </c>
      <c r="H142" s="57">
        <f>IFERROR(__xludf.DUMMYFUNCTION("""COMPUTED_VALUE"""),0.01052540609951846)</f>
        <v>0.0105254061</v>
      </c>
      <c r="I142" s="57">
        <f>IFERROR(__xludf.DUMMYFUNCTION("""COMPUTED_VALUE"""),0.023396590690208666)</f>
        <v>0.02339659069</v>
      </c>
      <c r="J142" s="57">
        <f>IFERROR(__xludf.DUMMYFUNCTION("""COMPUTED_VALUE"""),0.0)</f>
        <v>0</v>
      </c>
      <c r="K142" s="57">
        <f>IFERROR(__xludf.DUMMYFUNCTION("""COMPUTED_VALUE"""),0.0)</f>
        <v>0</v>
      </c>
      <c r="L142" s="57">
        <f>IFERROR(__xludf.DUMMYFUNCTION("""COMPUTED_VALUE"""),0.0)</f>
        <v>0</v>
      </c>
      <c r="M142" s="57">
        <f>IFERROR(__xludf.DUMMYFUNCTION("""COMPUTED_VALUE"""),0.09907344462279294)</f>
        <v>0.09907344462</v>
      </c>
      <c r="N142" s="100">
        <f>IFERROR(__xludf.DUMMYFUNCTION("""COMPUTED_VALUE"""),13.22558072552167)</f>
        <v>13.22558073</v>
      </c>
      <c r="O142" s="100">
        <f>IFERROR(__xludf.DUMMYFUNCTION("""COMPUTED_VALUE"""),0.0)</f>
        <v>0</v>
      </c>
      <c r="Q142" s="109">
        <v>26.7506</v>
      </c>
      <c r="R142" s="109">
        <v>0.1348</v>
      </c>
      <c r="S142" s="109">
        <v>0.2266</v>
      </c>
      <c r="T142" s="109">
        <v>0.3802</v>
      </c>
      <c r="U142" s="109">
        <v>0.0309</v>
      </c>
      <c r="V142" s="109">
        <v>0.0707</v>
      </c>
      <c r="W142" s="109">
        <v>0.1771</v>
      </c>
      <c r="X142" s="109">
        <v>0.0</v>
      </c>
      <c r="Y142" s="109">
        <v>0.0</v>
      </c>
      <c r="Z142" s="109">
        <v>0.0</v>
      </c>
      <c r="AA142" s="109">
        <v>0.8448</v>
      </c>
      <c r="AB142" s="109">
        <v>49.5085</v>
      </c>
      <c r="AC142" s="109">
        <v>0.0</v>
      </c>
      <c r="AE142" s="51">
        <f t="shared" ref="AE142:AQ142" si="138">IFERROR((Q142-C142)/C142, "")</f>
        <v>2.313365143</v>
      </c>
      <c r="AF142" s="51" t="str">
        <f t="shared" si="138"/>
        <v/>
      </c>
      <c r="AG142" s="51">
        <f t="shared" si="138"/>
        <v>2.339011733</v>
      </c>
      <c r="AH142" s="51">
        <f t="shared" si="138"/>
        <v>2.078793326</v>
      </c>
      <c r="AI142" s="51">
        <f t="shared" si="138"/>
        <v>5.035254638</v>
      </c>
      <c r="AJ142" s="51">
        <f t="shared" si="138"/>
        <v>5.717080494</v>
      </c>
      <c r="AK142" s="51">
        <f t="shared" si="138"/>
        <v>6.569478919</v>
      </c>
      <c r="AL142" s="51" t="str">
        <f t="shared" si="138"/>
        <v/>
      </c>
      <c r="AM142" s="51" t="str">
        <f t="shared" si="138"/>
        <v/>
      </c>
      <c r="AN142" s="51" t="str">
        <f t="shared" si="138"/>
        <v/>
      </c>
      <c r="AO142" s="51">
        <f t="shared" si="138"/>
        <v>7.527007446</v>
      </c>
      <c r="AP142" s="51">
        <f t="shared" si="138"/>
        <v>2.743389499</v>
      </c>
      <c r="AQ142" s="51" t="str">
        <f t="shared" si="138"/>
        <v/>
      </c>
    </row>
    <row r="143">
      <c r="B143" s="37" t="s">
        <v>123</v>
      </c>
      <c r="C143" s="43">
        <f>IFERROR(__xludf.DUMMYFUNCTION("""COMPUTED_VALUE"""),0.0)</f>
        <v>0</v>
      </c>
      <c r="D143" s="43">
        <f>IFERROR(__xludf.DUMMYFUNCTION("""COMPUTED_VALUE"""),0.0)</f>
        <v>0</v>
      </c>
      <c r="E143" s="43">
        <f>IFERROR(__xludf.DUMMYFUNCTION("""COMPUTED_VALUE"""),0.0)</f>
        <v>0</v>
      </c>
      <c r="F143" s="43">
        <f>IFERROR(__xludf.DUMMYFUNCTION("""COMPUTED_VALUE"""),0.0)</f>
        <v>0</v>
      </c>
      <c r="G143" s="43">
        <f>IFERROR(__xludf.DUMMYFUNCTION("""COMPUTED_VALUE"""),0.0)</f>
        <v>0</v>
      </c>
      <c r="H143" s="43">
        <f>IFERROR(__xludf.DUMMYFUNCTION("""COMPUTED_VALUE"""),0.0)</f>
        <v>0</v>
      </c>
      <c r="I143" s="43">
        <f>IFERROR(__xludf.DUMMYFUNCTION("""COMPUTED_VALUE"""),0.0)</f>
        <v>0</v>
      </c>
      <c r="J143" s="43">
        <f>IFERROR(__xludf.DUMMYFUNCTION("""COMPUTED_VALUE"""),0.0)</f>
        <v>0</v>
      </c>
      <c r="K143" s="43">
        <f>IFERROR(__xludf.DUMMYFUNCTION("""COMPUTED_VALUE"""),0.0)</f>
        <v>0</v>
      </c>
      <c r="L143" s="43">
        <f>IFERROR(__xludf.DUMMYFUNCTION("""COMPUTED_VALUE"""),0.0)</f>
        <v>0</v>
      </c>
      <c r="M143" s="43">
        <f>IFERROR(__xludf.DUMMYFUNCTION("""COMPUTED_VALUE"""),0.0)</f>
        <v>0</v>
      </c>
      <c r="N143" s="41">
        <f>IFERROR(__xludf.DUMMYFUNCTION("""COMPUTED_VALUE"""),0.0)</f>
        <v>0</v>
      </c>
      <c r="O143" s="41">
        <f>IFERROR(__xludf.DUMMYFUNCTION("""COMPUTED_VALUE"""),0.0)</f>
        <v>0</v>
      </c>
      <c r="Q143" s="109">
        <v>0.0</v>
      </c>
      <c r="R143" s="109">
        <v>0.0</v>
      </c>
      <c r="S143" s="109">
        <v>0.0</v>
      </c>
      <c r="T143" s="109">
        <v>0.0</v>
      </c>
      <c r="U143" s="109">
        <v>0.0</v>
      </c>
      <c r="V143" s="109">
        <v>0.0</v>
      </c>
      <c r="W143" s="109">
        <v>0.0</v>
      </c>
      <c r="X143" s="109">
        <v>0.0</v>
      </c>
      <c r="Y143" s="109">
        <v>0.0</v>
      </c>
      <c r="Z143" s="109">
        <v>0.0</v>
      </c>
      <c r="AA143" s="109">
        <v>0.0</v>
      </c>
      <c r="AB143" s="109">
        <v>0.0</v>
      </c>
      <c r="AC143" s="109">
        <v>0.0</v>
      </c>
      <c r="AE143" s="51" t="str">
        <f t="shared" ref="AE143:AQ143" si="139">IFERROR((Q143-C143)/C143, "")</f>
        <v/>
      </c>
      <c r="AF143" s="51" t="str">
        <f t="shared" si="139"/>
        <v/>
      </c>
      <c r="AG143" s="51" t="str">
        <f t="shared" si="139"/>
        <v/>
      </c>
      <c r="AH143" s="51" t="str">
        <f t="shared" si="139"/>
        <v/>
      </c>
      <c r="AI143" s="51" t="str">
        <f t="shared" si="139"/>
        <v/>
      </c>
      <c r="AJ143" s="51" t="str">
        <f t="shared" si="139"/>
        <v/>
      </c>
      <c r="AK143" s="51" t="str">
        <f t="shared" si="139"/>
        <v/>
      </c>
      <c r="AL143" s="51" t="str">
        <f t="shared" si="139"/>
        <v/>
      </c>
      <c r="AM143" s="51" t="str">
        <f t="shared" si="139"/>
        <v/>
      </c>
      <c r="AN143" s="51" t="str">
        <f t="shared" si="139"/>
        <v/>
      </c>
      <c r="AO143" s="51" t="str">
        <f t="shared" si="139"/>
        <v/>
      </c>
      <c r="AP143" s="51" t="str">
        <f t="shared" si="139"/>
        <v/>
      </c>
      <c r="AQ143" s="51" t="str">
        <f t="shared" si="139"/>
        <v/>
      </c>
    </row>
    <row r="144">
      <c r="B144" s="56" t="s">
        <v>137</v>
      </c>
      <c r="C144" s="57">
        <f>IFERROR(__xludf.DUMMYFUNCTION("""COMPUTED_VALUE"""),115.67788553250367)</f>
        <v>115.6778855</v>
      </c>
      <c r="D144" s="57">
        <f>IFERROR(__xludf.DUMMYFUNCTION("""COMPUTED_VALUE"""),2.366189894339163)</f>
        <v>2.366189894</v>
      </c>
      <c r="E144" s="57">
        <f>IFERROR(__xludf.DUMMYFUNCTION("""COMPUTED_VALUE"""),1.9652357538207401)</f>
        <v>1.965235754</v>
      </c>
      <c r="F144" s="57">
        <f>IFERROR(__xludf.DUMMYFUNCTION("""COMPUTED_VALUE"""),1.3153720931692303)</f>
        <v>1.315372093</v>
      </c>
      <c r="G144" s="57">
        <f>IFERROR(__xludf.DUMMYFUNCTION("""COMPUTED_VALUE"""),1.9295609544016972)</f>
        <v>1.929560954</v>
      </c>
      <c r="H144" s="57">
        <f>IFERROR(__xludf.DUMMYFUNCTION("""COMPUTED_VALUE"""),1.6888345767487376)</f>
        <v>1.688834577</v>
      </c>
      <c r="I144" s="57">
        <f>IFERROR(__xludf.DUMMYFUNCTION("""COMPUTED_VALUE"""),1.8640231511280605)</f>
        <v>1.864023151</v>
      </c>
      <c r="J144" s="57">
        <f>IFERROR(__xludf.DUMMYFUNCTION("""COMPUTED_VALUE"""),0.0)</f>
        <v>0</v>
      </c>
      <c r="K144" s="57">
        <f>IFERROR(__xludf.DUMMYFUNCTION("""COMPUTED_VALUE"""),5.0728380960044674)</f>
        <v>5.072838096</v>
      </c>
      <c r="L144" s="57">
        <f>IFERROR(__xludf.DUMMYFUNCTION("""COMPUTED_VALUE"""),7.120442479249668)</f>
        <v>7.120442479</v>
      </c>
      <c r="M144" s="57">
        <f>IFERROR(__xludf.DUMMYFUNCTION("""COMPUTED_VALUE"""),102.95685748276078)</f>
        <v>102.9568575</v>
      </c>
      <c r="N144" s="100">
        <f>IFERROR(__xludf.DUMMYFUNCTION("""COMPUTED_VALUE"""),593.9716635910403)</f>
        <v>593.9716636</v>
      </c>
      <c r="O144" s="100">
        <f>IFERROR(__xludf.DUMMYFUNCTION("""COMPUTED_VALUE"""),0.0)</f>
        <v>0</v>
      </c>
      <c r="Q144" s="109">
        <v>1147.5467</v>
      </c>
      <c r="R144" s="109">
        <v>12.5556</v>
      </c>
      <c r="S144" s="109">
        <v>12.2608</v>
      </c>
      <c r="T144" s="109">
        <v>11.6483</v>
      </c>
      <c r="U144" s="109">
        <v>1.5597</v>
      </c>
      <c r="V144" s="109">
        <v>1.3777</v>
      </c>
      <c r="W144" s="109">
        <v>1.6036</v>
      </c>
      <c r="X144" s="109">
        <v>0.0</v>
      </c>
      <c r="Y144" s="109">
        <v>4.2892</v>
      </c>
      <c r="Z144" s="109">
        <v>6.515</v>
      </c>
      <c r="AA144" s="109">
        <v>120.6174</v>
      </c>
      <c r="AB144" s="109">
        <v>475.922</v>
      </c>
      <c r="AC144" s="109">
        <v>0.0</v>
      </c>
      <c r="AE144" s="51">
        <f t="shared" ref="AE144:AQ144" si="140">IFERROR((Q144-C144)/C144, "")</f>
        <v>8.920190836</v>
      </c>
      <c r="AF144" s="51">
        <f t="shared" si="140"/>
        <v>4.306252059</v>
      </c>
      <c r="AG144" s="51">
        <f t="shared" si="140"/>
        <v>5.238844361</v>
      </c>
      <c r="AH144" s="51">
        <f t="shared" si="140"/>
        <v>7.855517051</v>
      </c>
      <c r="AI144" s="51">
        <f t="shared" si="140"/>
        <v>-0.1916814048</v>
      </c>
      <c r="AJ144" s="51">
        <f t="shared" si="140"/>
        <v>-0.184230345</v>
      </c>
      <c r="AK144" s="51">
        <f t="shared" si="140"/>
        <v>-0.1397102557</v>
      </c>
      <c r="AL144" s="51" t="str">
        <f t="shared" si="140"/>
        <v/>
      </c>
      <c r="AM144" s="51">
        <f t="shared" si="140"/>
        <v>-0.1544772534</v>
      </c>
      <c r="AN144" s="51">
        <f t="shared" si="140"/>
        <v>-0.08502877188</v>
      </c>
      <c r="AO144" s="51">
        <f t="shared" si="140"/>
        <v>0.1715334262</v>
      </c>
      <c r="AP144" s="51">
        <f t="shared" si="140"/>
        <v>-0.1987462885</v>
      </c>
      <c r="AQ144" s="51" t="str">
        <f t="shared" si="140"/>
        <v/>
      </c>
    </row>
    <row r="145">
      <c r="B145" s="37" t="s">
        <v>180</v>
      </c>
      <c r="C145" s="43">
        <f>IFERROR(__xludf.DUMMYFUNCTION("""COMPUTED_VALUE"""),0.0)</f>
        <v>0</v>
      </c>
      <c r="D145" s="43">
        <f>IFERROR(__xludf.DUMMYFUNCTION("""COMPUTED_VALUE"""),0.0)</f>
        <v>0</v>
      </c>
      <c r="E145" s="43">
        <f>IFERROR(__xludf.DUMMYFUNCTION("""COMPUTED_VALUE"""),0.0)</f>
        <v>0</v>
      </c>
      <c r="F145" s="43">
        <f>IFERROR(__xludf.DUMMYFUNCTION("""COMPUTED_VALUE"""),0.0)</f>
        <v>0</v>
      </c>
      <c r="G145" s="43">
        <f>IFERROR(__xludf.DUMMYFUNCTION("""COMPUTED_VALUE"""),0.0)</f>
        <v>0</v>
      </c>
      <c r="H145" s="43">
        <f>IFERROR(__xludf.DUMMYFUNCTION("""COMPUTED_VALUE"""),0.0)</f>
        <v>0</v>
      </c>
      <c r="I145" s="43">
        <f>IFERROR(__xludf.DUMMYFUNCTION("""COMPUTED_VALUE"""),0.0)</f>
        <v>0</v>
      </c>
      <c r="J145" s="43">
        <f>IFERROR(__xludf.DUMMYFUNCTION("""COMPUTED_VALUE"""),0.0)</f>
        <v>0</v>
      </c>
      <c r="K145" s="43">
        <f>IFERROR(__xludf.DUMMYFUNCTION("""COMPUTED_VALUE"""),0.0)</f>
        <v>0</v>
      </c>
      <c r="L145" s="43">
        <f>IFERROR(__xludf.DUMMYFUNCTION("""COMPUTED_VALUE"""),0.0)</f>
        <v>0</v>
      </c>
      <c r="M145" s="43">
        <f>IFERROR(__xludf.DUMMYFUNCTION("""COMPUTED_VALUE"""),0.0)</f>
        <v>0</v>
      </c>
      <c r="N145" s="41">
        <f>IFERROR(__xludf.DUMMYFUNCTION("""COMPUTED_VALUE"""),0.0)</f>
        <v>0</v>
      </c>
      <c r="O145" s="41">
        <f>IFERROR(__xludf.DUMMYFUNCTION("""COMPUTED_VALUE"""),0.0)</f>
        <v>0</v>
      </c>
      <c r="Q145" s="109">
        <v>0.0</v>
      </c>
      <c r="R145" s="109">
        <v>0.0</v>
      </c>
      <c r="S145" s="109">
        <v>0.0</v>
      </c>
      <c r="T145" s="109">
        <v>0.0</v>
      </c>
      <c r="U145" s="109">
        <v>0.0</v>
      </c>
      <c r="V145" s="109">
        <v>0.0</v>
      </c>
      <c r="W145" s="109">
        <v>0.0</v>
      </c>
      <c r="X145" s="109">
        <v>0.0</v>
      </c>
      <c r="Y145" s="109">
        <v>0.0</v>
      </c>
      <c r="Z145" s="109">
        <v>0.0</v>
      </c>
      <c r="AA145" s="109">
        <v>0.0</v>
      </c>
      <c r="AB145" s="109">
        <v>0.0</v>
      </c>
      <c r="AC145" s="109">
        <v>0.0</v>
      </c>
      <c r="AE145" s="51" t="str">
        <f t="shared" ref="AE145:AQ145" si="141">IFERROR((Q145-C145)/C145, "")</f>
        <v/>
      </c>
      <c r="AF145" s="51" t="str">
        <f t="shared" si="141"/>
        <v/>
      </c>
      <c r="AG145" s="51" t="str">
        <f t="shared" si="141"/>
        <v/>
      </c>
      <c r="AH145" s="51" t="str">
        <f t="shared" si="141"/>
        <v/>
      </c>
      <c r="AI145" s="51" t="str">
        <f t="shared" si="141"/>
        <v/>
      </c>
      <c r="AJ145" s="51" t="str">
        <f t="shared" si="141"/>
        <v/>
      </c>
      <c r="AK145" s="51" t="str">
        <f t="shared" si="141"/>
        <v/>
      </c>
      <c r="AL145" s="51" t="str">
        <f t="shared" si="141"/>
        <v/>
      </c>
      <c r="AM145" s="51" t="str">
        <f t="shared" si="141"/>
        <v/>
      </c>
      <c r="AN145" s="51" t="str">
        <f t="shared" si="141"/>
        <v/>
      </c>
      <c r="AO145" s="51" t="str">
        <f t="shared" si="141"/>
        <v/>
      </c>
      <c r="AP145" s="51" t="str">
        <f t="shared" si="141"/>
        <v/>
      </c>
      <c r="AQ145" s="51" t="str">
        <f t="shared" si="141"/>
        <v/>
      </c>
    </row>
    <row r="146"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AE146" s="51" t="str">
        <f t="shared" ref="AE146:AQ146" si="142">IFERROR((Q146-C146)/C146, "")</f>
        <v/>
      </c>
      <c r="AF146" s="51" t="str">
        <f t="shared" si="142"/>
        <v/>
      </c>
      <c r="AG146" s="51" t="str">
        <f t="shared" si="142"/>
        <v/>
      </c>
      <c r="AH146" s="51" t="str">
        <f t="shared" si="142"/>
        <v/>
      </c>
      <c r="AI146" s="51" t="str">
        <f t="shared" si="142"/>
        <v/>
      </c>
      <c r="AJ146" s="51" t="str">
        <f t="shared" si="142"/>
        <v/>
      </c>
      <c r="AK146" s="51" t="str">
        <f t="shared" si="142"/>
        <v/>
      </c>
      <c r="AL146" s="51" t="str">
        <f t="shared" si="142"/>
        <v/>
      </c>
      <c r="AM146" s="51" t="str">
        <f t="shared" si="142"/>
        <v/>
      </c>
      <c r="AN146" s="51" t="str">
        <f t="shared" si="142"/>
        <v/>
      </c>
      <c r="AO146" s="51" t="str">
        <f t="shared" si="142"/>
        <v/>
      </c>
      <c r="AP146" s="51" t="str">
        <f t="shared" si="142"/>
        <v/>
      </c>
      <c r="AQ146" s="51" t="str">
        <f t="shared" si="142"/>
        <v/>
      </c>
    </row>
    <row r="147"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AE147" s="51" t="str">
        <f t="shared" ref="AE147:AQ147" si="143">IFERROR((Q147-C147)/C147, "")</f>
        <v/>
      </c>
      <c r="AF147" s="51" t="str">
        <f t="shared" si="143"/>
        <v/>
      </c>
      <c r="AG147" s="51" t="str">
        <f t="shared" si="143"/>
        <v/>
      </c>
      <c r="AH147" s="51" t="str">
        <f t="shared" si="143"/>
        <v/>
      </c>
      <c r="AI147" s="51" t="str">
        <f t="shared" si="143"/>
        <v/>
      </c>
      <c r="AJ147" s="51" t="str">
        <f t="shared" si="143"/>
        <v/>
      </c>
      <c r="AK147" s="51" t="str">
        <f t="shared" si="143"/>
        <v/>
      </c>
      <c r="AL147" s="51" t="str">
        <f t="shared" si="143"/>
        <v/>
      </c>
      <c r="AM147" s="51" t="str">
        <f t="shared" si="143"/>
        <v/>
      </c>
      <c r="AN147" s="51" t="str">
        <f t="shared" si="143"/>
        <v/>
      </c>
      <c r="AO147" s="51" t="str">
        <f t="shared" si="143"/>
        <v/>
      </c>
      <c r="AP147" s="51" t="str">
        <f t="shared" si="143"/>
        <v/>
      </c>
      <c r="AQ147" s="51" t="str">
        <f t="shared" si="143"/>
        <v/>
      </c>
    </row>
    <row r="148">
      <c r="B148" s="5" t="s">
        <v>179</v>
      </c>
      <c r="C148" s="8" t="str">
        <f>IFERROR(__xludf.DUMMYFUNCTION("""COMPUTED_VALUE"""),"A. 0 Appendix - carried &amp; annotated (not simulated)")</f>
        <v>A. 0 Appendix - carried &amp; annotated (not simulated)</v>
      </c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AE148" s="51" t="str">
        <f t="shared" ref="AE148:AQ148" si="144">IFERROR((Q148-C148)/C148, "")</f>
        <v/>
      </c>
      <c r="AF148" s="51" t="str">
        <f t="shared" si="144"/>
        <v/>
      </c>
      <c r="AG148" s="51" t="str">
        <f t="shared" si="144"/>
        <v/>
      </c>
      <c r="AH148" s="51" t="str">
        <f t="shared" si="144"/>
        <v/>
      </c>
      <c r="AI148" s="51" t="str">
        <f t="shared" si="144"/>
        <v/>
      </c>
      <c r="AJ148" s="51" t="str">
        <f t="shared" si="144"/>
        <v/>
      </c>
      <c r="AK148" s="51" t="str">
        <f t="shared" si="144"/>
        <v/>
      </c>
      <c r="AL148" s="51" t="str">
        <f t="shared" si="144"/>
        <v/>
      </c>
      <c r="AM148" s="51" t="str">
        <f t="shared" si="144"/>
        <v/>
      </c>
      <c r="AN148" s="51" t="str">
        <f t="shared" si="144"/>
        <v/>
      </c>
      <c r="AO148" s="51" t="str">
        <f t="shared" si="144"/>
        <v/>
      </c>
      <c r="AP148" s="51" t="str">
        <f t="shared" si="144"/>
        <v/>
      </c>
      <c r="AQ148" s="51" t="str">
        <f t="shared" si="144"/>
        <v/>
      </c>
    </row>
    <row r="149">
      <c r="B149" s="15" t="s">
        <v>8</v>
      </c>
      <c r="C149" s="18" t="str">
        <f>IFERROR(__xludf.DUMMYFUNCTION("""COMPUTED_VALUE"""),"HC")</f>
        <v>HC</v>
      </c>
      <c r="D149" s="18" t="str">
        <f>IFERROR(__xludf.DUMMYFUNCTION("""COMPUTED_VALUE"""),"Slingshot")</f>
        <v>Slingshot</v>
      </c>
      <c r="E149" s="18" t="str">
        <f>IFERROR(__xludf.DUMMYFUNCTION("""COMPUTED_VALUE"""),"Shuffle")</f>
        <v>Shuffle</v>
      </c>
      <c r="F149" s="18" t="str">
        <f>IFERROR(__xludf.DUMMYFUNCTION("""COMPUTED_VALUE"""),"Comet")</f>
        <v>Comet</v>
      </c>
      <c r="G149" s="18" t="str">
        <f>IFERROR(__xludf.DUMMYFUNCTION("""COMPUTED_VALUE"""),"Red")</f>
        <v>Red</v>
      </c>
      <c r="H149" s="18" t="str">
        <f>IFERROR(__xludf.DUMMYFUNCTION("""COMPUTED_VALUE"""),"Chuck")</f>
        <v>Chuck</v>
      </c>
      <c r="I149" s="18" t="str">
        <f>IFERROR(__xludf.DUMMYFUNCTION("""COMPUTED_VALUE"""),"Bomb")</f>
        <v>Bomb</v>
      </c>
      <c r="J149" s="18" t="str">
        <f>IFERROR(__xludf.DUMMYFUNCTION("""COMPUTED_VALUE"""),"UL Bomb")</f>
        <v>UL Bomb</v>
      </c>
      <c r="K149" s="18" t="str">
        <f>IFERROR(__xludf.DUMMYFUNCTION("""COMPUTED_VALUE"""),"UL Chuck")</f>
        <v>UL Chuck</v>
      </c>
      <c r="L149" s="18" t="str">
        <f>IFERROR(__xludf.DUMMYFUNCTION("""COMPUTED_VALUE"""),"UL Red")</f>
        <v>UL Red</v>
      </c>
      <c r="M149" s="18" t="str">
        <f>IFERROR(__xludf.DUMMYFUNCTION("""COMPUTED_VALUE"""),"Unlimited Lives")</f>
        <v>Unlimited Lives</v>
      </c>
      <c r="N149" s="18" t="str">
        <f>IFERROR(__xludf.DUMMYFUNCTION("""COMPUTED_VALUE"""),"SPT")</f>
        <v>SPT</v>
      </c>
      <c r="O149" s="18" t="str">
        <f>IFERROR(__xludf.DUMMYFUNCTION("""COMPUTED_VALUE"""),"SPTx2")</f>
        <v>SPTx2</v>
      </c>
      <c r="Q149" s="18" t="s">
        <v>12</v>
      </c>
      <c r="R149" s="18" t="s">
        <v>15</v>
      </c>
      <c r="S149" s="18" t="s">
        <v>17</v>
      </c>
      <c r="T149" s="18" t="s">
        <v>18</v>
      </c>
      <c r="U149" s="18" t="s">
        <v>19</v>
      </c>
      <c r="V149" s="18" t="s">
        <v>21</v>
      </c>
      <c r="W149" s="18" t="s">
        <v>22</v>
      </c>
      <c r="X149" s="18" t="s">
        <v>26</v>
      </c>
      <c r="Y149" s="18" t="s">
        <v>27</v>
      </c>
      <c r="Z149" s="18" t="s">
        <v>29</v>
      </c>
      <c r="AA149" s="18" t="s">
        <v>30</v>
      </c>
      <c r="AB149" s="18" t="s">
        <v>31</v>
      </c>
      <c r="AC149" s="18" t="s">
        <v>32</v>
      </c>
      <c r="AE149" s="51" t="str">
        <f t="shared" ref="AE149:AQ149" si="145">IFERROR((Q149-C149)/C149, "")</f>
        <v/>
      </c>
      <c r="AF149" s="51" t="str">
        <f t="shared" si="145"/>
        <v/>
      </c>
      <c r="AG149" s="51" t="str">
        <f t="shared" si="145"/>
        <v/>
      </c>
      <c r="AH149" s="51" t="str">
        <f t="shared" si="145"/>
        <v/>
      </c>
      <c r="AI149" s="51" t="str">
        <f t="shared" si="145"/>
        <v/>
      </c>
      <c r="AJ149" s="51" t="str">
        <f t="shared" si="145"/>
        <v/>
      </c>
      <c r="AK149" s="51" t="str">
        <f t="shared" si="145"/>
        <v/>
      </c>
      <c r="AL149" s="51" t="str">
        <f t="shared" si="145"/>
        <v/>
      </c>
      <c r="AM149" s="51" t="str">
        <f t="shared" si="145"/>
        <v/>
      </c>
      <c r="AN149" s="51" t="str">
        <f t="shared" si="145"/>
        <v/>
      </c>
      <c r="AO149" s="51" t="str">
        <f t="shared" si="145"/>
        <v/>
      </c>
      <c r="AP149" s="51" t="str">
        <f t="shared" si="145"/>
        <v/>
      </c>
      <c r="AQ149" s="51" t="str">
        <f t="shared" si="145"/>
        <v/>
      </c>
    </row>
    <row r="150">
      <c r="B150" s="37" t="s">
        <v>33</v>
      </c>
      <c r="C150" s="41">
        <f>IFERROR(__xludf.DUMMYFUNCTION("""COMPUTED_VALUE"""),3.2698181818181813)</f>
        <v>3.269818182</v>
      </c>
      <c r="D150" s="43">
        <f>IFERROR(__xludf.DUMMYFUNCTION("""COMPUTED_VALUE"""),0.11636363636363635)</f>
        <v>0.1163636364</v>
      </c>
      <c r="E150" s="43">
        <f>IFERROR(__xludf.DUMMYFUNCTION("""COMPUTED_VALUE"""),0.1384969696969697)</f>
        <v>0.1384969697</v>
      </c>
      <c r="F150" s="43">
        <f>IFERROR(__xludf.DUMMYFUNCTION("""COMPUTED_VALUE"""),0.10705454545454549)</f>
        <v>0.1070545455</v>
      </c>
      <c r="G150" s="43">
        <f>IFERROR(__xludf.DUMMYFUNCTION("""COMPUTED_VALUE"""),0.0)</f>
        <v>0</v>
      </c>
      <c r="H150" s="43">
        <f>IFERROR(__xludf.DUMMYFUNCTION("""COMPUTED_VALUE"""),0.0)</f>
        <v>0</v>
      </c>
      <c r="I150" s="43">
        <f>IFERROR(__xludf.DUMMYFUNCTION("""COMPUTED_VALUE"""),0.0)</f>
        <v>0</v>
      </c>
      <c r="J150" s="43">
        <f>IFERROR(__xludf.DUMMYFUNCTION("""COMPUTED_VALUE"""),0.0)</f>
        <v>0</v>
      </c>
      <c r="K150" s="43">
        <f>IFERROR(__xludf.DUMMYFUNCTION("""COMPUTED_VALUE"""),0.0)</f>
        <v>0</v>
      </c>
      <c r="L150" s="43">
        <f>IFERROR(__xludf.DUMMYFUNCTION("""COMPUTED_VALUE"""),0.0)</f>
        <v>0</v>
      </c>
      <c r="M150" s="43">
        <f>IFERROR(__xludf.DUMMYFUNCTION("""COMPUTED_VALUE"""),1.263078787878788)</f>
        <v>1.263078788</v>
      </c>
      <c r="N150" s="41">
        <f>IFERROR(__xludf.DUMMYFUNCTION("""COMPUTED_VALUE"""),0.0)</f>
        <v>0</v>
      </c>
      <c r="O150" s="41">
        <f>IFERROR(__xludf.DUMMYFUNCTION("""COMPUTED_VALUE"""),0.0)</f>
        <v>0</v>
      </c>
      <c r="AE150" s="51">
        <f t="shared" ref="AE150:AQ150" si="146">IFERROR((Q150-C150)/C150, "")</f>
        <v>-1</v>
      </c>
      <c r="AF150" s="51">
        <f t="shared" si="146"/>
        <v>-1</v>
      </c>
      <c r="AG150" s="51">
        <f t="shared" si="146"/>
        <v>-1</v>
      </c>
      <c r="AH150" s="51">
        <f t="shared" si="146"/>
        <v>-1</v>
      </c>
      <c r="AI150" s="51" t="str">
        <f t="shared" si="146"/>
        <v/>
      </c>
      <c r="AJ150" s="51" t="str">
        <f t="shared" si="146"/>
        <v/>
      </c>
      <c r="AK150" s="51" t="str">
        <f t="shared" si="146"/>
        <v/>
      </c>
      <c r="AL150" s="51" t="str">
        <f t="shared" si="146"/>
        <v/>
      </c>
      <c r="AM150" s="51" t="str">
        <f t="shared" si="146"/>
        <v/>
      </c>
      <c r="AN150" s="51" t="str">
        <f t="shared" si="146"/>
        <v/>
      </c>
      <c r="AO150" s="51">
        <f t="shared" si="146"/>
        <v>-1</v>
      </c>
      <c r="AP150" s="51" t="str">
        <f t="shared" si="146"/>
        <v/>
      </c>
      <c r="AQ150" s="51" t="str">
        <f t="shared" si="146"/>
        <v/>
      </c>
    </row>
    <row r="151">
      <c r="B151" s="37" t="s">
        <v>40</v>
      </c>
      <c r="C151" s="41">
        <f>IFERROR(__xludf.DUMMYFUNCTION("""COMPUTED_VALUE"""),0.0)</f>
        <v>0</v>
      </c>
      <c r="D151" s="41">
        <f>IFERROR(__xludf.DUMMYFUNCTION("""COMPUTED_VALUE"""),0.0)</f>
        <v>0</v>
      </c>
      <c r="E151" s="41">
        <f>IFERROR(__xludf.DUMMYFUNCTION("""COMPUTED_VALUE"""),0.0)</f>
        <v>0</v>
      </c>
      <c r="F151" s="41">
        <f>IFERROR(__xludf.DUMMYFUNCTION("""COMPUTED_VALUE"""),0.0)</f>
        <v>0</v>
      </c>
      <c r="G151" s="41">
        <f>IFERROR(__xludf.DUMMYFUNCTION("""COMPUTED_VALUE"""),0.0)</f>
        <v>0</v>
      </c>
      <c r="H151" s="41">
        <f>IFERROR(__xludf.DUMMYFUNCTION("""COMPUTED_VALUE"""),0.0)</f>
        <v>0</v>
      </c>
      <c r="I151" s="41">
        <f>IFERROR(__xludf.DUMMYFUNCTION("""COMPUTED_VALUE"""),0.0)</f>
        <v>0</v>
      </c>
      <c r="J151" s="41">
        <f>IFERROR(__xludf.DUMMYFUNCTION("""COMPUTED_VALUE"""),0.0)</f>
        <v>0</v>
      </c>
      <c r="K151" s="41">
        <f>IFERROR(__xludf.DUMMYFUNCTION("""COMPUTED_VALUE"""),0.0)</f>
        <v>0</v>
      </c>
      <c r="L151" s="41">
        <f>IFERROR(__xludf.DUMMYFUNCTION("""COMPUTED_VALUE"""),0.0)</f>
        <v>0</v>
      </c>
      <c r="M151" s="41">
        <f>IFERROR(__xludf.DUMMYFUNCTION("""COMPUTED_VALUE"""),0.0)</f>
        <v>0</v>
      </c>
      <c r="N151" s="41">
        <f>IFERROR(__xludf.DUMMYFUNCTION("""COMPUTED_VALUE"""),0.0)</f>
        <v>0</v>
      </c>
      <c r="O151" s="41">
        <f>IFERROR(__xludf.DUMMYFUNCTION("""COMPUTED_VALUE"""),0.0)</f>
        <v>0</v>
      </c>
      <c r="AE151" s="51" t="str">
        <f t="shared" ref="AE151:AQ151" si="147">IFERROR((Q151-C151)/C151, "")</f>
        <v/>
      </c>
      <c r="AF151" s="51" t="str">
        <f t="shared" si="147"/>
        <v/>
      </c>
      <c r="AG151" s="51" t="str">
        <f t="shared" si="147"/>
        <v/>
      </c>
      <c r="AH151" s="51" t="str">
        <f t="shared" si="147"/>
        <v/>
      </c>
      <c r="AI151" s="51" t="str">
        <f t="shared" si="147"/>
        <v/>
      </c>
      <c r="AJ151" s="51" t="str">
        <f t="shared" si="147"/>
        <v/>
      </c>
      <c r="AK151" s="51" t="str">
        <f t="shared" si="147"/>
        <v/>
      </c>
      <c r="AL151" s="51" t="str">
        <f t="shared" si="147"/>
        <v/>
      </c>
      <c r="AM151" s="51" t="str">
        <f t="shared" si="147"/>
        <v/>
      </c>
      <c r="AN151" s="51" t="str">
        <f t="shared" si="147"/>
        <v/>
      </c>
      <c r="AO151" s="51" t="str">
        <f t="shared" si="147"/>
        <v/>
      </c>
      <c r="AP151" s="51" t="str">
        <f t="shared" si="147"/>
        <v/>
      </c>
      <c r="AQ151" s="51" t="str">
        <f t="shared" si="147"/>
        <v/>
      </c>
    </row>
    <row r="152">
      <c r="B152" s="37" t="s">
        <v>43</v>
      </c>
      <c r="C152" s="41">
        <f>IFERROR(__xludf.DUMMYFUNCTION("""COMPUTED_VALUE"""),0.06709999999999999)</f>
        <v>0.0671</v>
      </c>
      <c r="D152" s="41">
        <f>IFERROR(__xludf.DUMMYFUNCTION("""COMPUTED_VALUE"""),2.0E-4)</f>
        <v>0.0002</v>
      </c>
      <c r="E152" s="41">
        <f>IFERROR(__xludf.DUMMYFUNCTION("""COMPUTED_VALUE"""),1.0E-4)</f>
        <v>0.0001</v>
      </c>
      <c r="F152" s="41">
        <f>IFERROR(__xludf.DUMMYFUNCTION("""COMPUTED_VALUE"""),2.0E-4)</f>
        <v>0.0002</v>
      </c>
      <c r="G152" s="41">
        <f>IFERROR(__xludf.DUMMYFUNCTION("""COMPUTED_VALUE"""),0.0018999999999999998)</f>
        <v>0.0019</v>
      </c>
      <c r="H152" s="41">
        <f>IFERROR(__xludf.DUMMYFUNCTION("""COMPUTED_VALUE"""),0.0581)</f>
        <v>0.0581</v>
      </c>
      <c r="I152" s="41">
        <f>IFERROR(__xludf.DUMMYFUNCTION("""COMPUTED_VALUE"""),2.0E-4)</f>
        <v>0.0002</v>
      </c>
      <c r="J152" s="41">
        <f>IFERROR(__xludf.DUMMYFUNCTION("""COMPUTED_VALUE"""),0.20349999999999996)</f>
        <v>0.2035</v>
      </c>
      <c r="K152" s="41">
        <f>IFERROR(__xludf.DUMMYFUNCTION("""COMPUTED_VALUE"""),0.41579999999999995)</f>
        <v>0.4158</v>
      </c>
      <c r="L152" s="41">
        <f>IFERROR(__xludf.DUMMYFUNCTION("""COMPUTED_VALUE"""),0.5238)</f>
        <v>0.5238</v>
      </c>
      <c r="M152" s="41">
        <f>IFERROR(__xludf.DUMMYFUNCTION("""COMPUTED_VALUE"""),0.1833)</f>
        <v>0.1833</v>
      </c>
      <c r="N152" s="41">
        <f>IFERROR(__xludf.DUMMYFUNCTION("""COMPUTED_VALUE"""),0.0)</f>
        <v>0</v>
      </c>
      <c r="O152" s="41">
        <f>IFERROR(__xludf.DUMMYFUNCTION("""COMPUTED_VALUE"""),0.0)</f>
        <v>0</v>
      </c>
      <c r="AE152" s="51">
        <f t="shared" ref="AE152:AQ152" si="148">IFERROR((Q152-C152)/C152, "")</f>
        <v>-1</v>
      </c>
      <c r="AF152" s="51">
        <f t="shared" si="148"/>
        <v>-1</v>
      </c>
      <c r="AG152" s="51">
        <f t="shared" si="148"/>
        <v>-1</v>
      </c>
      <c r="AH152" s="51">
        <f t="shared" si="148"/>
        <v>-1</v>
      </c>
      <c r="AI152" s="51">
        <f t="shared" si="148"/>
        <v>-1</v>
      </c>
      <c r="AJ152" s="51">
        <f t="shared" si="148"/>
        <v>-1</v>
      </c>
      <c r="AK152" s="51">
        <f t="shared" si="148"/>
        <v>-1</v>
      </c>
      <c r="AL152" s="51">
        <f t="shared" si="148"/>
        <v>-1</v>
      </c>
      <c r="AM152" s="51">
        <f t="shared" si="148"/>
        <v>-1</v>
      </c>
      <c r="AN152" s="51">
        <f t="shared" si="148"/>
        <v>-1</v>
      </c>
      <c r="AO152" s="51">
        <f t="shared" si="148"/>
        <v>-1</v>
      </c>
      <c r="AP152" s="51" t="str">
        <f t="shared" si="148"/>
        <v/>
      </c>
      <c r="AQ152" s="51" t="str">
        <f t="shared" si="148"/>
        <v/>
      </c>
    </row>
    <row r="153">
      <c r="B153" s="37" t="s">
        <v>52</v>
      </c>
      <c r="C153" s="41">
        <f>IFERROR(__xludf.DUMMYFUNCTION("""COMPUTED_VALUE"""),0.3402)</f>
        <v>0.3402</v>
      </c>
      <c r="D153" s="41">
        <f>IFERROR(__xludf.DUMMYFUNCTION("""COMPUTED_VALUE"""),0.0234)</f>
        <v>0.0234</v>
      </c>
      <c r="E153" s="41">
        <f>IFERROR(__xludf.DUMMYFUNCTION("""COMPUTED_VALUE"""),0.012)</f>
        <v>0.012</v>
      </c>
      <c r="F153" s="41">
        <f>IFERROR(__xludf.DUMMYFUNCTION("""COMPUTED_VALUE"""),0.0026)</f>
        <v>0.0026</v>
      </c>
      <c r="G153" s="41">
        <f>IFERROR(__xludf.DUMMYFUNCTION("""COMPUTED_VALUE"""),0.0)</f>
        <v>0</v>
      </c>
      <c r="H153" s="41">
        <f>IFERROR(__xludf.DUMMYFUNCTION("""COMPUTED_VALUE"""),0.0)</f>
        <v>0</v>
      </c>
      <c r="I153" s="41">
        <f>IFERROR(__xludf.DUMMYFUNCTION("""COMPUTED_VALUE"""),0.0)</f>
        <v>0</v>
      </c>
      <c r="J153" s="41">
        <f>IFERROR(__xludf.DUMMYFUNCTION("""COMPUTED_VALUE"""),0.0)</f>
        <v>0</v>
      </c>
      <c r="K153" s="41">
        <f>IFERROR(__xludf.DUMMYFUNCTION("""COMPUTED_VALUE"""),0.0)</f>
        <v>0</v>
      </c>
      <c r="L153" s="41">
        <f>IFERROR(__xludf.DUMMYFUNCTION("""COMPUTED_VALUE"""),0.0)</f>
        <v>0</v>
      </c>
      <c r="M153" s="41">
        <f>IFERROR(__xludf.DUMMYFUNCTION("""COMPUTED_VALUE"""),0.0)</f>
        <v>0</v>
      </c>
      <c r="N153" s="41">
        <f>IFERROR(__xludf.DUMMYFUNCTION("""COMPUTED_VALUE"""),0.0)</f>
        <v>0</v>
      </c>
      <c r="O153" s="41">
        <f>IFERROR(__xludf.DUMMYFUNCTION("""COMPUTED_VALUE"""),0.0)</f>
        <v>0</v>
      </c>
      <c r="AE153" s="51">
        <f t="shared" ref="AE153:AQ153" si="149">IFERROR((Q153-C153)/C153, "")</f>
        <v>-1</v>
      </c>
      <c r="AF153" s="51">
        <f t="shared" si="149"/>
        <v>-1</v>
      </c>
      <c r="AG153" s="51">
        <f t="shared" si="149"/>
        <v>-1</v>
      </c>
      <c r="AH153" s="51">
        <f t="shared" si="149"/>
        <v>-1</v>
      </c>
      <c r="AI153" s="51" t="str">
        <f t="shared" si="149"/>
        <v/>
      </c>
      <c r="AJ153" s="51" t="str">
        <f t="shared" si="149"/>
        <v/>
      </c>
      <c r="AK153" s="51" t="str">
        <f t="shared" si="149"/>
        <v/>
      </c>
      <c r="AL153" s="51" t="str">
        <f t="shared" si="149"/>
        <v/>
      </c>
      <c r="AM153" s="51" t="str">
        <f t="shared" si="149"/>
        <v/>
      </c>
      <c r="AN153" s="51" t="str">
        <f t="shared" si="149"/>
        <v/>
      </c>
      <c r="AO153" s="51" t="str">
        <f t="shared" si="149"/>
        <v/>
      </c>
      <c r="AP153" s="51" t="str">
        <f t="shared" si="149"/>
        <v/>
      </c>
      <c r="AQ153" s="51" t="str">
        <f t="shared" si="149"/>
        <v/>
      </c>
    </row>
    <row r="154">
      <c r="B154" s="37" t="s">
        <v>88</v>
      </c>
      <c r="C154" s="41">
        <f>IFERROR(__xludf.DUMMYFUNCTION("""COMPUTED_VALUE"""),0.04218181818181818)</f>
        <v>0.04218181818</v>
      </c>
      <c r="D154" s="41">
        <f>IFERROR(__xludf.DUMMYFUNCTION("""COMPUTED_VALUE"""),5.333333333333335E-4)</f>
        <v>0.0005333333333</v>
      </c>
      <c r="E154" s="41">
        <f>IFERROR(__xludf.DUMMYFUNCTION("""COMPUTED_VALUE"""),8.484848484848485E-4)</f>
        <v>0.0008484848485</v>
      </c>
      <c r="F154" s="41">
        <f>IFERROR(__xludf.DUMMYFUNCTION("""COMPUTED_VALUE"""),5.575757575757576E-4)</f>
        <v>0.0005575757576</v>
      </c>
      <c r="G154" s="41">
        <f>IFERROR(__xludf.DUMMYFUNCTION("""COMPUTED_VALUE"""),3.393939393939393E-4)</f>
        <v>0.0003393939394</v>
      </c>
      <c r="H154" s="41">
        <f>IFERROR(__xludf.DUMMYFUNCTION("""COMPUTED_VALUE"""),2.6666666666666673E-4)</f>
        <v>0.0002666666667</v>
      </c>
      <c r="I154" s="41">
        <f>IFERROR(__xludf.DUMMYFUNCTION("""COMPUTED_VALUE"""),3.6363636363636367E-4)</f>
        <v>0.0003636363636</v>
      </c>
      <c r="J154" s="41">
        <f>IFERROR(__xludf.DUMMYFUNCTION("""COMPUTED_VALUE"""),0.0)</f>
        <v>0</v>
      </c>
      <c r="K154" s="41">
        <f>IFERROR(__xludf.DUMMYFUNCTION("""COMPUTED_VALUE"""),0.0)</f>
        <v>0</v>
      </c>
      <c r="L154" s="41">
        <f>IFERROR(__xludf.DUMMYFUNCTION("""COMPUTED_VALUE"""),0.0)</f>
        <v>0</v>
      </c>
      <c r="M154" s="41">
        <f>IFERROR(__xludf.DUMMYFUNCTION("""COMPUTED_VALUE"""),0.030739393939393934)</f>
        <v>0.03073939394</v>
      </c>
      <c r="N154" s="41">
        <f>IFERROR(__xludf.DUMMYFUNCTION("""COMPUTED_VALUE"""),0.0)</f>
        <v>0</v>
      </c>
      <c r="O154" s="41">
        <f>IFERROR(__xludf.DUMMYFUNCTION("""COMPUTED_VALUE"""),0.0)</f>
        <v>0</v>
      </c>
      <c r="AE154" s="51">
        <f t="shared" ref="AE154:AQ154" si="150">IFERROR((Q154-C154)/C154, "")</f>
        <v>-1</v>
      </c>
      <c r="AF154" s="51">
        <f t="shared" si="150"/>
        <v>-1</v>
      </c>
      <c r="AG154" s="51">
        <f t="shared" si="150"/>
        <v>-1</v>
      </c>
      <c r="AH154" s="51">
        <f t="shared" si="150"/>
        <v>-1</v>
      </c>
      <c r="AI154" s="51">
        <f t="shared" si="150"/>
        <v>-1</v>
      </c>
      <c r="AJ154" s="51">
        <f t="shared" si="150"/>
        <v>-1</v>
      </c>
      <c r="AK154" s="51">
        <f t="shared" si="150"/>
        <v>-1</v>
      </c>
      <c r="AL154" s="51" t="str">
        <f t="shared" si="150"/>
        <v/>
      </c>
      <c r="AM154" s="51" t="str">
        <f t="shared" si="150"/>
        <v/>
      </c>
      <c r="AN154" s="51" t="str">
        <f t="shared" si="150"/>
        <v/>
      </c>
      <c r="AO154" s="51">
        <f t="shared" si="150"/>
        <v>-1</v>
      </c>
      <c r="AP154" s="51" t="str">
        <f t="shared" si="150"/>
        <v/>
      </c>
      <c r="AQ154" s="51" t="str">
        <f t="shared" si="150"/>
        <v/>
      </c>
    </row>
    <row r="155">
      <c r="B155" s="126" t="s">
        <v>90</v>
      </c>
      <c r="C155" s="100">
        <f>IFERROR(__xludf.DUMMYFUNCTION("""COMPUTED_VALUE"""),12.296051423324151)</f>
        <v>12.29605142</v>
      </c>
      <c r="D155" s="100">
        <f>IFERROR(__xludf.DUMMYFUNCTION("""COMPUTED_VALUE"""),0.36019393939393934)</f>
        <v>0.3601939394</v>
      </c>
      <c r="E155" s="100">
        <f>IFERROR(__xludf.DUMMYFUNCTION("""COMPUTED_VALUE"""),0.2983030303030303)</f>
        <v>0.2983030303</v>
      </c>
      <c r="F155" s="100">
        <f>IFERROR(__xludf.DUMMYFUNCTION("""COMPUTED_VALUE"""),0.058157575757575755)</f>
        <v>0.05815757576</v>
      </c>
      <c r="G155" s="100">
        <f>IFERROR(__xludf.DUMMYFUNCTION("""COMPUTED_VALUE"""),0.0)</f>
        <v>0</v>
      </c>
      <c r="H155" s="100">
        <f>IFERROR(__xludf.DUMMYFUNCTION("""COMPUTED_VALUE"""),0.0)</f>
        <v>0</v>
      </c>
      <c r="I155" s="100">
        <f>IFERROR(__xludf.DUMMYFUNCTION("""COMPUTED_VALUE"""),0.0)</f>
        <v>0</v>
      </c>
      <c r="J155" s="100">
        <f>IFERROR(__xludf.DUMMYFUNCTION("""COMPUTED_VALUE"""),6.964848484848487)</f>
        <v>6.964848485</v>
      </c>
      <c r="K155" s="100">
        <f>IFERROR(__xludf.DUMMYFUNCTION("""COMPUTED_VALUE"""),5.554303030303031)</f>
        <v>5.55430303</v>
      </c>
      <c r="L155" s="100">
        <f>IFERROR(__xludf.DUMMYFUNCTION("""COMPUTED_VALUE"""),4.067660606060606)</f>
        <v>4.067660606</v>
      </c>
      <c r="M155" s="100">
        <f>IFERROR(__xludf.DUMMYFUNCTION("""COMPUTED_VALUE"""),19.586181818181817)</f>
        <v>19.58618182</v>
      </c>
      <c r="N155" s="100">
        <f>IFERROR(__xludf.DUMMYFUNCTION("""COMPUTED_VALUE"""),0.0)</f>
        <v>0</v>
      </c>
      <c r="O155" s="100">
        <f>IFERROR(__xludf.DUMMYFUNCTION("""COMPUTED_VALUE"""),5.768024242424241)</f>
        <v>5.768024242</v>
      </c>
      <c r="AE155" s="51">
        <f t="shared" ref="AE155:AQ155" si="151">IFERROR((Q155-C155)/C155, "")</f>
        <v>-1</v>
      </c>
      <c r="AF155" s="51">
        <f t="shared" si="151"/>
        <v>-1</v>
      </c>
      <c r="AG155" s="51">
        <f t="shared" si="151"/>
        <v>-1</v>
      </c>
      <c r="AH155" s="51">
        <f t="shared" si="151"/>
        <v>-1</v>
      </c>
      <c r="AI155" s="51" t="str">
        <f t="shared" si="151"/>
        <v/>
      </c>
      <c r="AJ155" s="51" t="str">
        <f t="shared" si="151"/>
        <v/>
      </c>
      <c r="AK155" s="51" t="str">
        <f t="shared" si="151"/>
        <v/>
      </c>
      <c r="AL155" s="51">
        <f t="shared" si="151"/>
        <v>-1</v>
      </c>
      <c r="AM155" s="51">
        <f t="shared" si="151"/>
        <v>-1</v>
      </c>
      <c r="AN155" s="51">
        <f t="shared" si="151"/>
        <v>-1</v>
      </c>
      <c r="AO155" s="51">
        <f t="shared" si="151"/>
        <v>-1</v>
      </c>
      <c r="AP155" s="51" t="str">
        <f t="shared" si="151"/>
        <v/>
      </c>
      <c r="AQ155" s="51">
        <f t="shared" si="151"/>
        <v>-1</v>
      </c>
    </row>
    <row r="156">
      <c r="B156" s="37" t="s">
        <v>93</v>
      </c>
      <c r="C156" s="41">
        <f>IFERROR(__xludf.DUMMYFUNCTION("""COMPUTED_VALUE"""),0.09250909090909097)</f>
        <v>0.09250909091</v>
      </c>
      <c r="D156" s="41">
        <f>IFERROR(__xludf.DUMMYFUNCTION("""COMPUTED_VALUE"""),6.545454545454552E-4)</f>
        <v>0.0006545454545</v>
      </c>
      <c r="E156" s="41">
        <f>IFERROR(__xludf.DUMMYFUNCTION("""COMPUTED_VALUE"""),2.424242424242426E-5)</f>
        <v>0.00002424242424</v>
      </c>
      <c r="F156" s="41">
        <f>IFERROR(__xludf.DUMMYFUNCTION("""COMPUTED_VALUE"""),2.4242424242424258E-4)</f>
        <v>0.0002424242424</v>
      </c>
      <c r="G156" s="41">
        <f>IFERROR(__xludf.DUMMYFUNCTION("""COMPUTED_VALUE"""),0.001793939393939395)</f>
        <v>0.001793939394</v>
      </c>
      <c r="H156" s="41">
        <f>IFERROR(__xludf.DUMMYFUNCTION("""COMPUTED_VALUE"""),6.303030303030306E-4)</f>
        <v>0.0006303030303</v>
      </c>
      <c r="I156" s="41">
        <f>IFERROR(__xludf.DUMMYFUNCTION("""COMPUTED_VALUE"""),0.0)</f>
        <v>0</v>
      </c>
      <c r="J156" s="41">
        <f>IFERROR(__xludf.DUMMYFUNCTION("""COMPUTED_VALUE"""),4.60606060606061E-4)</f>
        <v>0.0004606060606</v>
      </c>
      <c r="K156" s="41">
        <f>IFERROR(__xludf.DUMMYFUNCTION("""COMPUTED_VALUE"""),1.6969696969696983E-4)</f>
        <v>0.0001696969697</v>
      </c>
      <c r="L156" s="41">
        <f>IFERROR(__xludf.DUMMYFUNCTION("""COMPUTED_VALUE"""),1.6969696969696983E-4)</f>
        <v>0.0001696969697</v>
      </c>
      <c r="M156" s="41">
        <f>IFERROR(__xludf.DUMMYFUNCTION("""COMPUTED_VALUE"""),0.06947878787878793)</f>
        <v>0.06947878788</v>
      </c>
      <c r="N156" s="41">
        <f>IFERROR(__xludf.DUMMYFUNCTION("""COMPUTED_VALUE"""),0.0)</f>
        <v>0</v>
      </c>
      <c r="O156" s="41">
        <f>IFERROR(__xludf.DUMMYFUNCTION("""COMPUTED_VALUE"""),0.0)</f>
        <v>0</v>
      </c>
      <c r="AE156" s="51">
        <f t="shared" ref="AE156:AQ156" si="152">IFERROR((Q156-C156)/C156, "")</f>
        <v>-1</v>
      </c>
      <c r="AF156" s="51">
        <f t="shared" si="152"/>
        <v>-1</v>
      </c>
      <c r="AG156" s="51">
        <f t="shared" si="152"/>
        <v>-1</v>
      </c>
      <c r="AH156" s="51">
        <f t="shared" si="152"/>
        <v>-1</v>
      </c>
      <c r="AI156" s="51">
        <f t="shared" si="152"/>
        <v>-1</v>
      </c>
      <c r="AJ156" s="51">
        <f t="shared" si="152"/>
        <v>-1</v>
      </c>
      <c r="AK156" s="51" t="str">
        <f t="shared" si="152"/>
        <v/>
      </c>
      <c r="AL156" s="51">
        <f t="shared" si="152"/>
        <v>-1</v>
      </c>
      <c r="AM156" s="51">
        <f t="shared" si="152"/>
        <v>-1</v>
      </c>
      <c r="AN156" s="51">
        <f t="shared" si="152"/>
        <v>-1</v>
      </c>
      <c r="AO156" s="51">
        <f t="shared" si="152"/>
        <v>-1</v>
      </c>
      <c r="AP156" s="51" t="str">
        <f t="shared" si="152"/>
        <v/>
      </c>
      <c r="AQ156" s="51" t="str">
        <f t="shared" si="152"/>
        <v/>
      </c>
    </row>
    <row r="157">
      <c r="B157" s="37" t="s">
        <v>95</v>
      </c>
      <c r="C157" s="41">
        <f>IFERROR(__xludf.DUMMYFUNCTION("""COMPUTED_VALUE"""),0.0)</f>
        <v>0</v>
      </c>
      <c r="D157" s="41">
        <f>IFERROR(__xludf.DUMMYFUNCTION("""COMPUTED_VALUE"""),0.018944444444444437)</f>
        <v>0.01894444444</v>
      </c>
      <c r="E157" s="41">
        <f>IFERROR(__xludf.DUMMYFUNCTION("""COMPUTED_VALUE"""),0.0)</f>
        <v>0</v>
      </c>
      <c r="F157" s="41">
        <f>IFERROR(__xludf.DUMMYFUNCTION("""COMPUTED_VALUE"""),0.0)</f>
        <v>0</v>
      </c>
      <c r="G157" s="41">
        <f>IFERROR(__xludf.DUMMYFUNCTION("""COMPUTED_VALUE"""),0.025583333333333326)</f>
        <v>0.02558333333</v>
      </c>
      <c r="H157" s="41">
        <f>IFERROR(__xludf.DUMMYFUNCTION("""COMPUTED_VALUE"""),0.02294444444444444)</f>
        <v>0.02294444444</v>
      </c>
      <c r="I157" s="41">
        <f>IFERROR(__xludf.DUMMYFUNCTION("""COMPUTED_VALUE"""),0.029083333333333326)</f>
        <v>0.02908333333</v>
      </c>
      <c r="J157" s="41">
        <f>IFERROR(__xludf.DUMMYFUNCTION("""COMPUTED_VALUE"""),0.0)</f>
        <v>0</v>
      </c>
      <c r="K157" s="41">
        <f>IFERROR(__xludf.DUMMYFUNCTION("""COMPUTED_VALUE"""),0.0)</f>
        <v>0</v>
      </c>
      <c r="L157" s="41">
        <f>IFERROR(__xludf.DUMMYFUNCTION("""COMPUTED_VALUE"""),0.0)</f>
        <v>0</v>
      </c>
      <c r="M157" s="41">
        <f>IFERROR(__xludf.DUMMYFUNCTION("""COMPUTED_VALUE"""),14.75430555555555)</f>
        <v>14.75430556</v>
      </c>
      <c r="N157" s="41">
        <f>IFERROR(__xludf.DUMMYFUNCTION("""COMPUTED_VALUE"""),0.6264999999999998)</f>
        <v>0.6265</v>
      </c>
      <c r="O157" s="41">
        <f>IFERROR(__xludf.DUMMYFUNCTION("""COMPUTED_VALUE"""),0.0)</f>
        <v>0</v>
      </c>
      <c r="AE157" s="51" t="str">
        <f t="shared" ref="AE157:AQ157" si="153">IFERROR((Q157-C157)/C157, "")</f>
        <v/>
      </c>
      <c r="AF157" s="51">
        <f t="shared" si="153"/>
        <v>-1</v>
      </c>
      <c r="AG157" s="51" t="str">
        <f t="shared" si="153"/>
        <v/>
      </c>
      <c r="AH157" s="51" t="str">
        <f t="shared" si="153"/>
        <v/>
      </c>
      <c r="AI157" s="51">
        <f t="shared" si="153"/>
        <v>-1</v>
      </c>
      <c r="AJ157" s="51">
        <f t="shared" si="153"/>
        <v>-1</v>
      </c>
      <c r="AK157" s="51">
        <f t="shared" si="153"/>
        <v>-1</v>
      </c>
      <c r="AL157" s="51" t="str">
        <f t="shared" si="153"/>
        <v/>
      </c>
      <c r="AM157" s="51" t="str">
        <f t="shared" si="153"/>
        <v/>
      </c>
      <c r="AN157" s="51" t="str">
        <f t="shared" si="153"/>
        <v/>
      </c>
      <c r="AO157" s="51">
        <f t="shared" si="153"/>
        <v>-1</v>
      </c>
      <c r="AP157" s="51">
        <f t="shared" si="153"/>
        <v>-1</v>
      </c>
      <c r="AQ157" s="51" t="str">
        <f t="shared" si="153"/>
        <v/>
      </c>
    </row>
    <row r="158">
      <c r="B158" s="37" t="s">
        <v>96</v>
      </c>
      <c r="C158" s="41">
        <f>IFERROR(__xludf.DUMMYFUNCTION("""COMPUTED_VALUE"""),0.14230530000000002)</f>
        <v>0.1423053</v>
      </c>
      <c r="D158" s="41">
        <f>IFERROR(__xludf.DUMMYFUNCTION("""COMPUTED_VALUE"""),0.0017863600000000005)</f>
        <v>0.00178636</v>
      </c>
      <c r="E158" s="41">
        <f>IFERROR(__xludf.DUMMYFUNCTION("""COMPUTED_VALUE"""),0.0070247400000000015)</f>
        <v>0.00702474</v>
      </c>
      <c r="F158" s="41">
        <f>IFERROR(__xludf.DUMMYFUNCTION("""COMPUTED_VALUE"""),0.0012311400000000004)</f>
        <v>0.00123114</v>
      </c>
      <c r="G158" s="41">
        <f>IFERROR(__xludf.DUMMYFUNCTION("""COMPUTED_VALUE"""),0.05909472000000001)</f>
        <v>0.05909472</v>
      </c>
      <c r="H158" s="41">
        <f>IFERROR(__xludf.DUMMYFUNCTION("""COMPUTED_VALUE"""),0.01972238)</f>
        <v>0.01972238</v>
      </c>
      <c r="I158" s="41">
        <f>IFERROR(__xludf.DUMMYFUNCTION("""COMPUTED_VALUE"""),0.009004220000000002)</f>
        <v>0.00900422</v>
      </c>
      <c r="J158" s="41">
        <f>IFERROR(__xludf.DUMMYFUNCTION("""COMPUTED_VALUE"""),0.0)</f>
        <v>0</v>
      </c>
      <c r="K158" s="41">
        <f>IFERROR(__xludf.DUMMYFUNCTION("""COMPUTED_VALUE"""),0.024381400000000008)</f>
        <v>0.0243814</v>
      </c>
      <c r="L158" s="41">
        <f>IFERROR(__xludf.DUMMYFUNCTION("""COMPUTED_VALUE"""),0.04992152000000001)</f>
        <v>0.04992152</v>
      </c>
      <c r="M158" s="41">
        <f>IFERROR(__xludf.DUMMYFUNCTION("""COMPUTED_VALUE"""),2.059214420000001)</f>
        <v>2.05921442</v>
      </c>
      <c r="N158" s="41">
        <f>IFERROR(__xludf.DUMMYFUNCTION("""COMPUTED_VALUE"""),0.0)</f>
        <v>0</v>
      </c>
      <c r="O158" s="41">
        <f>IFERROR(__xludf.DUMMYFUNCTION("""COMPUTED_VALUE"""),0.0)</f>
        <v>0</v>
      </c>
      <c r="AE158" s="51">
        <f t="shared" ref="AE158:AQ158" si="154">IFERROR((Q158-C158)/C158, "")</f>
        <v>-1</v>
      </c>
      <c r="AF158" s="51">
        <f t="shared" si="154"/>
        <v>-1</v>
      </c>
      <c r="AG158" s="51">
        <f t="shared" si="154"/>
        <v>-1</v>
      </c>
      <c r="AH158" s="51">
        <f t="shared" si="154"/>
        <v>-1</v>
      </c>
      <c r="AI158" s="51">
        <f t="shared" si="154"/>
        <v>-1</v>
      </c>
      <c r="AJ158" s="51">
        <f t="shared" si="154"/>
        <v>-1</v>
      </c>
      <c r="AK158" s="51">
        <f t="shared" si="154"/>
        <v>-1</v>
      </c>
      <c r="AL158" s="51" t="str">
        <f t="shared" si="154"/>
        <v/>
      </c>
      <c r="AM158" s="51">
        <f t="shared" si="154"/>
        <v>-1</v>
      </c>
      <c r="AN158" s="51">
        <f t="shared" si="154"/>
        <v>-1</v>
      </c>
      <c r="AO158" s="51">
        <f t="shared" si="154"/>
        <v>-1</v>
      </c>
      <c r="AP158" s="51" t="str">
        <f t="shared" si="154"/>
        <v/>
      </c>
      <c r="AQ158" s="51" t="str">
        <f t="shared" si="154"/>
        <v/>
      </c>
    </row>
    <row r="159">
      <c r="B159" s="37" t="s">
        <v>97</v>
      </c>
      <c r="C159" s="41">
        <f>IFERROR(__xludf.DUMMYFUNCTION("""COMPUTED_VALUE"""),0.0)</f>
        <v>0</v>
      </c>
      <c r="D159" s="41">
        <f>IFERROR(__xludf.DUMMYFUNCTION("""COMPUTED_VALUE"""),0.0)</f>
        <v>0</v>
      </c>
      <c r="E159" s="41">
        <f>IFERROR(__xludf.DUMMYFUNCTION("""COMPUTED_VALUE"""),0.0)</f>
        <v>0</v>
      </c>
      <c r="F159" s="41">
        <f>IFERROR(__xludf.DUMMYFUNCTION("""COMPUTED_VALUE"""),0.0)</f>
        <v>0</v>
      </c>
      <c r="G159" s="41">
        <f>IFERROR(__xludf.DUMMYFUNCTION("""COMPUTED_VALUE"""),0.0)</f>
        <v>0</v>
      </c>
      <c r="H159" s="41">
        <f>IFERROR(__xludf.DUMMYFUNCTION("""COMPUTED_VALUE"""),0.0)</f>
        <v>0</v>
      </c>
      <c r="I159" s="41">
        <f>IFERROR(__xludf.DUMMYFUNCTION("""COMPUTED_VALUE"""),0.0)</f>
        <v>0</v>
      </c>
      <c r="J159" s="41">
        <f>IFERROR(__xludf.DUMMYFUNCTION("""COMPUTED_VALUE"""),0.0)</f>
        <v>0</v>
      </c>
      <c r="K159" s="41">
        <f>IFERROR(__xludf.DUMMYFUNCTION("""COMPUTED_VALUE"""),0.0)</f>
        <v>0</v>
      </c>
      <c r="L159" s="41">
        <f>IFERROR(__xludf.DUMMYFUNCTION("""COMPUTED_VALUE"""),0.0)</f>
        <v>0</v>
      </c>
      <c r="M159" s="41">
        <f>IFERROR(__xludf.DUMMYFUNCTION("""COMPUTED_VALUE"""),0.0)</f>
        <v>0</v>
      </c>
      <c r="N159" s="41">
        <f>IFERROR(__xludf.DUMMYFUNCTION("""COMPUTED_VALUE"""),0.0)</f>
        <v>0</v>
      </c>
      <c r="O159" s="41">
        <f>IFERROR(__xludf.DUMMYFUNCTION("""COMPUTED_VALUE"""),0.0)</f>
        <v>0</v>
      </c>
      <c r="AE159" s="51" t="str">
        <f t="shared" ref="AE159:AQ159" si="155">IFERROR((Q159-C159)/C159, "")</f>
        <v/>
      </c>
      <c r="AF159" s="51" t="str">
        <f t="shared" si="155"/>
        <v/>
      </c>
      <c r="AG159" s="51" t="str">
        <f t="shared" si="155"/>
        <v/>
      </c>
      <c r="AH159" s="51" t="str">
        <f t="shared" si="155"/>
        <v/>
      </c>
      <c r="AI159" s="51" t="str">
        <f t="shared" si="155"/>
        <v/>
      </c>
      <c r="AJ159" s="51" t="str">
        <f t="shared" si="155"/>
        <v/>
      </c>
      <c r="AK159" s="51" t="str">
        <f t="shared" si="155"/>
        <v/>
      </c>
      <c r="AL159" s="51" t="str">
        <f t="shared" si="155"/>
        <v/>
      </c>
      <c r="AM159" s="51" t="str">
        <f t="shared" si="155"/>
        <v/>
      </c>
      <c r="AN159" s="51" t="str">
        <f t="shared" si="155"/>
        <v/>
      </c>
      <c r="AO159" s="51" t="str">
        <f t="shared" si="155"/>
        <v/>
      </c>
      <c r="AP159" s="51" t="str">
        <f t="shared" si="155"/>
        <v/>
      </c>
      <c r="AQ159" s="51" t="str">
        <f t="shared" si="155"/>
        <v/>
      </c>
    </row>
    <row r="160">
      <c r="B160" s="37" t="s">
        <v>99</v>
      </c>
      <c r="C160" s="41">
        <f>IFERROR(__xludf.DUMMYFUNCTION("""COMPUTED_VALUE"""),0.1341)</f>
        <v>0.1341</v>
      </c>
      <c r="D160" s="41">
        <f>IFERROR(__xludf.DUMMYFUNCTION("""COMPUTED_VALUE"""),0.0025800000000000003)</f>
        <v>0.00258</v>
      </c>
      <c r="E160" s="41">
        <f>IFERROR(__xludf.DUMMYFUNCTION("""COMPUTED_VALUE"""),0.00134)</f>
        <v>0.00134</v>
      </c>
      <c r="F160" s="41">
        <f>IFERROR(__xludf.DUMMYFUNCTION("""COMPUTED_VALUE"""),3.2E-4)</f>
        <v>0.00032</v>
      </c>
      <c r="G160" s="41">
        <f>IFERROR(__xludf.DUMMYFUNCTION("""COMPUTED_VALUE"""),0.0018599999999999999)</f>
        <v>0.00186</v>
      </c>
      <c r="H160" s="41">
        <f>IFERROR(__xludf.DUMMYFUNCTION("""COMPUTED_VALUE"""),0.0017200000000000002)</f>
        <v>0.00172</v>
      </c>
      <c r="I160" s="41">
        <f>IFERROR(__xludf.DUMMYFUNCTION("""COMPUTED_VALUE"""),0.0016400000000000002)</f>
        <v>0.00164</v>
      </c>
      <c r="J160" s="41">
        <f>IFERROR(__xludf.DUMMYFUNCTION("""COMPUTED_VALUE"""),0.0)</f>
        <v>0</v>
      </c>
      <c r="K160" s="41">
        <f>IFERROR(__xludf.DUMMYFUNCTION("""COMPUTED_VALUE"""),0.0)</f>
        <v>0</v>
      </c>
      <c r="L160" s="41">
        <f>IFERROR(__xludf.DUMMYFUNCTION("""COMPUTED_VALUE"""),0.0)</f>
        <v>0</v>
      </c>
      <c r="M160" s="41">
        <f>IFERROR(__xludf.DUMMYFUNCTION("""COMPUTED_VALUE"""),0.10338000000000001)</f>
        <v>0.10338</v>
      </c>
      <c r="N160" s="41">
        <f>IFERROR(__xludf.DUMMYFUNCTION("""COMPUTED_VALUE"""),2.40236)</f>
        <v>2.40236</v>
      </c>
      <c r="O160" s="41">
        <f>IFERROR(__xludf.DUMMYFUNCTION("""COMPUTED_VALUE"""),0.0)</f>
        <v>0</v>
      </c>
      <c r="AE160" s="51">
        <f t="shared" ref="AE160:AQ160" si="156">IFERROR((Q160-C160)/C160, "")</f>
        <v>-1</v>
      </c>
      <c r="AF160" s="51">
        <f t="shared" si="156"/>
        <v>-1</v>
      </c>
      <c r="AG160" s="51">
        <f t="shared" si="156"/>
        <v>-1</v>
      </c>
      <c r="AH160" s="51">
        <f t="shared" si="156"/>
        <v>-1</v>
      </c>
      <c r="AI160" s="51">
        <f t="shared" si="156"/>
        <v>-1</v>
      </c>
      <c r="AJ160" s="51">
        <f t="shared" si="156"/>
        <v>-1</v>
      </c>
      <c r="AK160" s="51">
        <f t="shared" si="156"/>
        <v>-1</v>
      </c>
      <c r="AL160" s="51" t="str">
        <f t="shared" si="156"/>
        <v/>
      </c>
      <c r="AM160" s="51" t="str">
        <f t="shared" si="156"/>
        <v/>
      </c>
      <c r="AN160" s="51" t="str">
        <f t="shared" si="156"/>
        <v/>
      </c>
      <c r="AO160" s="51">
        <f t="shared" si="156"/>
        <v>-1</v>
      </c>
      <c r="AP160" s="51">
        <f t="shared" si="156"/>
        <v>-1</v>
      </c>
      <c r="AQ160" s="51" t="str">
        <f t="shared" si="156"/>
        <v/>
      </c>
    </row>
    <row r="161">
      <c r="B161" s="37" t="s">
        <v>100</v>
      </c>
      <c r="C161" s="41">
        <f>IFERROR(__xludf.DUMMYFUNCTION("""COMPUTED_VALUE"""),0.0)</f>
        <v>0</v>
      </c>
      <c r="D161" s="41">
        <f>IFERROR(__xludf.DUMMYFUNCTION("""COMPUTED_VALUE"""),0.0)</f>
        <v>0</v>
      </c>
      <c r="E161" s="41">
        <f>IFERROR(__xludf.DUMMYFUNCTION("""COMPUTED_VALUE"""),0.0)</f>
        <v>0</v>
      </c>
      <c r="F161" s="41">
        <f>IFERROR(__xludf.DUMMYFUNCTION("""COMPUTED_VALUE"""),0.0)</f>
        <v>0</v>
      </c>
      <c r="G161" s="41">
        <f>IFERROR(__xludf.DUMMYFUNCTION("""COMPUTED_VALUE"""),0.0)</f>
        <v>0</v>
      </c>
      <c r="H161" s="41">
        <f>IFERROR(__xludf.DUMMYFUNCTION("""COMPUTED_VALUE"""),0.0)</f>
        <v>0</v>
      </c>
      <c r="I161" s="41">
        <f>IFERROR(__xludf.DUMMYFUNCTION("""COMPUTED_VALUE"""),0.0)</f>
        <v>0</v>
      </c>
      <c r="J161" s="41">
        <f>IFERROR(__xludf.DUMMYFUNCTION("""COMPUTED_VALUE"""),0.0)</f>
        <v>0</v>
      </c>
      <c r="K161" s="41">
        <f>IFERROR(__xludf.DUMMYFUNCTION("""COMPUTED_VALUE"""),0.0)</f>
        <v>0</v>
      </c>
      <c r="L161" s="41">
        <f>IFERROR(__xludf.DUMMYFUNCTION("""COMPUTED_VALUE"""),0.0)</f>
        <v>0</v>
      </c>
      <c r="M161" s="41">
        <f>IFERROR(__xludf.DUMMYFUNCTION("""COMPUTED_VALUE"""),0.0)</f>
        <v>0</v>
      </c>
      <c r="N161" s="41">
        <f>IFERROR(__xludf.DUMMYFUNCTION("""COMPUTED_VALUE"""),0.0)</f>
        <v>0</v>
      </c>
      <c r="O161" s="41">
        <f>IFERROR(__xludf.DUMMYFUNCTION("""COMPUTED_VALUE"""),0.0)</f>
        <v>0</v>
      </c>
      <c r="AE161" s="51" t="str">
        <f t="shared" ref="AE161:AQ161" si="157">IFERROR((Q161-C161)/C161, "")</f>
        <v/>
      </c>
      <c r="AF161" s="51" t="str">
        <f t="shared" si="157"/>
        <v/>
      </c>
      <c r="AG161" s="51" t="str">
        <f t="shared" si="157"/>
        <v/>
      </c>
      <c r="AH161" s="51" t="str">
        <f t="shared" si="157"/>
        <v/>
      </c>
      <c r="AI161" s="51" t="str">
        <f t="shared" si="157"/>
        <v/>
      </c>
      <c r="AJ161" s="51" t="str">
        <f t="shared" si="157"/>
        <v/>
      </c>
      <c r="AK161" s="51" t="str">
        <f t="shared" si="157"/>
        <v/>
      </c>
      <c r="AL161" s="51" t="str">
        <f t="shared" si="157"/>
        <v/>
      </c>
      <c r="AM161" s="51" t="str">
        <f t="shared" si="157"/>
        <v/>
      </c>
      <c r="AN161" s="51" t="str">
        <f t="shared" si="157"/>
        <v/>
      </c>
      <c r="AO161" s="51" t="str">
        <f t="shared" si="157"/>
        <v/>
      </c>
      <c r="AP161" s="51" t="str">
        <f t="shared" si="157"/>
        <v/>
      </c>
      <c r="AQ161" s="51" t="str">
        <f t="shared" si="157"/>
        <v/>
      </c>
    </row>
    <row r="162">
      <c r="B162" s="37" t="s">
        <v>104</v>
      </c>
      <c r="C162" s="41">
        <f>IFERROR(__xludf.DUMMYFUNCTION("""COMPUTED_VALUE"""),1.0269818181818182)</f>
        <v>1.026981818</v>
      </c>
      <c r="D162" s="41">
        <f>IFERROR(__xludf.DUMMYFUNCTION("""COMPUTED_VALUE"""),0.02686060606060606)</f>
        <v>0.02686060606</v>
      </c>
      <c r="E162" s="41">
        <f>IFERROR(__xludf.DUMMYFUNCTION("""COMPUTED_VALUE"""),0.0168)</f>
        <v>0.0168</v>
      </c>
      <c r="F162" s="41">
        <f>IFERROR(__xludf.DUMMYFUNCTION("""COMPUTED_VALUE"""),0.0076363636363636364)</f>
        <v>0.007636363636</v>
      </c>
      <c r="G162" s="41">
        <f>IFERROR(__xludf.DUMMYFUNCTION("""COMPUTED_VALUE"""),0.24484848484848487)</f>
        <v>0.2448484848</v>
      </c>
      <c r="H162" s="41">
        <f>IFERROR(__xludf.DUMMYFUNCTION("""COMPUTED_VALUE"""),0.22106666666666672)</f>
        <v>0.2210666667</v>
      </c>
      <c r="I162" s="41">
        <f>IFERROR(__xludf.DUMMYFUNCTION("""COMPUTED_VALUE"""),0.2829575757575758)</f>
        <v>0.2829575758</v>
      </c>
      <c r="J162" s="41">
        <f>IFERROR(__xludf.DUMMYFUNCTION("""COMPUTED_VALUE"""),0.06172121212121212)</f>
        <v>0.06172121212</v>
      </c>
      <c r="K162" s="41">
        <f>IFERROR(__xludf.DUMMYFUNCTION("""COMPUTED_VALUE"""),0.02264242424242424)</f>
        <v>0.02264242424</v>
      </c>
      <c r="L162" s="41">
        <f>IFERROR(__xludf.DUMMYFUNCTION("""COMPUTED_VALUE"""),0.01718787878787879)</f>
        <v>0.01718787879</v>
      </c>
      <c r="M162" s="41">
        <f>IFERROR(__xludf.DUMMYFUNCTION("""COMPUTED_VALUE"""),0.2804121212121213)</f>
        <v>0.2804121212</v>
      </c>
      <c r="N162" s="41">
        <f>IFERROR(__xludf.DUMMYFUNCTION("""COMPUTED_VALUE"""),13.224484848484849)</f>
        <v>13.22448485</v>
      </c>
      <c r="O162" s="41">
        <f>IFERROR(__xludf.DUMMYFUNCTION("""COMPUTED_VALUE"""),0.0)</f>
        <v>0</v>
      </c>
      <c r="AE162" s="51">
        <f t="shared" ref="AE162:AQ162" si="158">IFERROR((Q162-C162)/C162, "")</f>
        <v>-1</v>
      </c>
      <c r="AF162" s="51">
        <f t="shared" si="158"/>
        <v>-1</v>
      </c>
      <c r="AG162" s="51">
        <f t="shared" si="158"/>
        <v>-1</v>
      </c>
      <c r="AH162" s="51">
        <f t="shared" si="158"/>
        <v>-1</v>
      </c>
      <c r="AI162" s="51">
        <f t="shared" si="158"/>
        <v>-1</v>
      </c>
      <c r="AJ162" s="51">
        <f t="shared" si="158"/>
        <v>-1</v>
      </c>
      <c r="AK162" s="51">
        <f t="shared" si="158"/>
        <v>-1</v>
      </c>
      <c r="AL162" s="51">
        <f t="shared" si="158"/>
        <v>-1</v>
      </c>
      <c r="AM162" s="51">
        <f t="shared" si="158"/>
        <v>-1</v>
      </c>
      <c r="AN162" s="51">
        <f t="shared" si="158"/>
        <v>-1</v>
      </c>
      <c r="AO162" s="51">
        <f t="shared" si="158"/>
        <v>-1</v>
      </c>
      <c r="AP162" s="51">
        <f t="shared" si="158"/>
        <v>-1</v>
      </c>
      <c r="AQ162" s="51" t="str">
        <f t="shared" si="158"/>
        <v/>
      </c>
    </row>
    <row r="163">
      <c r="B163" s="37" t="s">
        <v>107</v>
      </c>
      <c r="C163" s="41">
        <f>IFERROR(__xludf.DUMMYFUNCTION("""COMPUTED_VALUE"""),0.0)</f>
        <v>0</v>
      </c>
      <c r="D163" s="41">
        <f>IFERROR(__xludf.DUMMYFUNCTION("""COMPUTED_VALUE"""),0.0)</f>
        <v>0</v>
      </c>
      <c r="E163" s="41">
        <f>IFERROR(__xludf.DUMMYFUNCTION("""COMPUTED_VALUE"""),0.0)</f>
        <v>0</v>
      </c>
      <c r="F163" s="41">
        <f>IFERROR(__xludf.DUMMYFUNCTION("""COMPUTED_VALUE"""),0.0)</f>
        <v>0</v>
      </c>
      <c r="G163" s="41">
        <f>IFERROR(__xludf.DUMMYFUNCTION("""COMPUTED_VALUE"""),0.0)</f>
        <v>0</v>
      </c>
      <c r="H163" s="41">
        <f>IFERROR(__xludf.DUMMYFUNCTION("""COMPUTED_VALUE"""),0.0)</f>
        <v>0</v>
      </c>
      <c r="I163" s="41">
        <f>IFERROR(__xludf.DUMMYFUNCTION("""COMPUTED_VALUE"""),0.0)</f>
        <v>0</v>
      </c>
      <c r="J163" s="41">
        <f>IFERROR(__xludf.DUMMYFUNCTION("""COMPUTED_VALUE"""),0.0)</f>
        <v>0</v>
      </c>
      <c r="K163" s="41">
        <f>IFERROR(__xludf.DUMMYFUNCTION("""COMPUTED_VALUE"""),0.0)</f>
        <v>0</v>
      </c>
      <c r="L163" s="41">
        <f>IFERROR(__xludf.DUMMYFUNCTION("""COMPUTED_VALUE"""),0.0)</f>
        <v>0</v>
      </c>
      <c r="M163" s="41">
        <f>IFERROR(__xludf.DUMMYFUNCTION("""COMPUTED_VALUE"""),0.0)</f>
        <v>0</v>
      </c>
      <c r="N163" s="41">
        <f>IFERROR(__xludf.DUMMYFUNCTION("""COMPUTED_VALUE"""),0.0)</f>
        <v>0</v>
      </c>
      <c r="O163" s="41">
        <f>IFERROR(__xludf.DUMMYFUNCTION("""COMPUTED_VALUE"""),0.0)</f>
        <v>0</v>
      </c>
      <c r="AE163" s="51" t="str">
        <f t="shared" ref="AE163:AQ163" si="159">IFERROR((Q163-C163)/C163, "")</f>
        <v/>
      </c>
      <c r="AF163" s="51" t="str">
        <f t="shared" si="159"/>
        <v/>
      </c>
      <c r="AG163" s="51" t="str">
        <f t="shared" si="159"/>
        <v/>
      </c>
      <c r="AH163" s="51" t="str">
        <f t="shared" si="159"/>
        <v/>
      </c>
      <c r="AI163" s="51" t="str">
        <f t="shared" si="159"/>
        <v/>
      </c>
      <c r="AJ163" s="51" t="str">
        <f t="shared" si="159"/>
        <v/>
      </c>
      <c r="AK163" s="51" t="str">
        <f t="shared" si="159"/>
        <v/>
      </c>
      <c r="AL163" s="51" t="str">
        <f t="shared" si="159"/>
        <v/>
      </c>
      <c r="AM163" s="51" t="str">
        <f t="shared" si="159"/>
        <v/>
      </c>
      <c r="AN163" s="51" t="str">
        <f t="shared" si="159"/>
        <v/>
      </c>
      <c r="AO163" s="51" t="str">
        <f t="shared" si="159"/>
        <v/>
      </c>
      <c r="AP163" s="51" t="str">
        <f t="shared" si="159"/>
        <v/>
      </c>
      <c r="AQ163" s="51" t="str">
        <f t="shared" si="159"/>
        <v/>
      </c>
    </row>
    <row r="164">
      <c r="B164" s="37" t="s">
        <v>110</v>
      </c>
      <c r="C164" s="41">
        <f>IFERROR(__xludf.DUMMYFUNCTION("""COMPUTED_VALUE"""),0.0)</f>
        <v>0</v>
      </c>
      <c r="D164" s="41">
        <f>IFERROR(__xludf.DUMMYFUNCTION("""COMPUTED_VALUE"""),0.0)</f>
        <v>0</v>
      </c>
      <c r="E164" s="41">
        <f>IFERROR(__xludf.DUMMYFUNCTION("""COMPUTED_VALUE"""),0.0)</f>
        <v>0</v>
      </c>
      <c r="F164" s="41">
        <f>IFERROR(__xludf.DUMMYFUNCTION("""COMPUTED_VALUE"""),0.0)</f>
        <v>0</v>
      </c>
      <c r="G164" s="41">
        <f>IFERROR(__xludf.DUMMYFUNCTION("""COMPUTED_VALUE"""),0.0)</f>
        <v>0</v>
      </c>
      <c r="H164" s="41">
        <f>IFERROR(__xludf.DUMMYFUNCTION("""COMPUTED_VALUE"""),0.0)</f>
        <v>0</v>
      </c>
      <c r="I164" s="41">
        <f>IFERROR(__xludf.DUMMYFUNCTION("""COMPUTED_VALUE"""),0.0)</f>
        <v>0</v>
      </c>
      <c r="J164" s="41">
        <f>IFERROR(__xludf.DUMMYFUNCTION("""COMPUTED_VALUE"""),0.0)</f>
        <v>0</v>
      </c>
      <c r="K164" s="41">
        <f>IFERROR(__xludf.DUMMYFUNCTION("""COMPUTED_VALUE"""),0.0)</f>
        <v>0</v>
      </c>
      <c r="L164" s="41">
        <f>IFERROR(__xludf.DUMMYFUNCTION("""COMPUTED_VALUE"""),0.0)</f>
        <v>0</v>
      </c>
      <c r="M164" s="41">
        <f>IFERROR(__xludf.DUMMYFUNCTION("""COMPUTED_VALUE"""),0.0)</f>
        <v>0</v>
      </c>
      <c r="N164" s="41">
        <f>IFERROR(__xludf.DUMMYFUNCTION("""COMPUTED_VALUE"""),0.0)</f>
        <v>0</v>
      </c>
      <c r="O164" s="41">
        <f>IFERROR(__xludf.DUMMYFUNCTION("""COMPUTED_VALUE"""),0.0)</f>
        <v>0</v>
      </c>
      <c r="AE164" s="51" t="str">
        <f t="shared" ref="AE164:AQ164" si="160">IFERROR((Q164-C164)/C164, "")</f>
        <v/>
      </c>
      <c r="AF164" s="51" t="str">
        <f t="shared" si="160"/>
        <v/>
      </c>
      <c r="AG164" s="51" t="str">
        <f t="shared" si="160"/>
        <v/>
      </c>
      <c r="AH164" s="51" t="str">
        <f t="shared" si="160"/>
        <v/>
      </c>
      <c r="AI164" s="51" t="str">
        <f t="shared" si="160"/>
        <v/>
      </c>
      <c r="AJ164" s="51" t="str">
        <f t="shared" si="160"/>
        <v/>
      </c>
      <c r="AK164" s="51" t="str">
        <f t="shared" si="160"/>
        <v/>
      </c>
      <c r="AL164" s="51" t="str">
        <f t="shared" si="160"/>
        <v/>
      </c>
      <c r="AM164" s="51" t="str">
        <f t="shared" si="160"/>
        <v/>
      </c>
      <c r="AN164" s="51" t="str">
        <f t="shared" si="160"/>
        <v/>
      </c>
      <c r="AO164" s="51" t="str">
        <f t="shared" si="160"/>
        <v/>
      </c>
      <c r="AP164" s="51" t="str">
        <f t="shared" si="160"/>
        <v/>
      </c>
      <c r="AQ164" s="51" t="str">
        <f t="shared" si="160"/>
        <v/>
      </c>
    </row>
    <row r="165">
      <c r="B165" s="133" t="s">
        <v>111</v>
      </c>
      <c r="C165" s="100">
        <f>IFERROR(__xludf.DUMMYFUNCTION("""COMPUTED_VALUE"""),0.0)</f>
        <v>0</v>
      </c>
      <c r="D165" s="100">
        <f>IFERROR(__xludf.DUMMYFUNCTION("""COMPUTED_VALUE"""),0.0)</f>
        <v>0</v>
      </c>
      <c r="E165" s="100">
        <f>IFERROR(__xludf.DUMMYFUNCTION("""COMPUTED_VALUE"""),0.0)</f>
        <v>0</v>
      </c>
      <c r="F165" s="100">
        <f>IFERROR(__xludf.DUMMYFUNCTION("""COMPUTED_VALUE"""),0.0)</f>
        <v>0</v>
      </c>
      <c r="G165" s="100">
        <f>IFERROR(__xludf.DUMMYFUNCTION("""COMPUTED_VALUE"""),0.0)</f>
        <v>0</v>
      </c>
      <c r="H165" s="100">
        <f>IFERROR(__xludf.DUMMYFUNCTION("""COMPUTED_VALUE"""),0.0)</f>
        <v>0</v>
      </c>
      <c r="I165" s="100">
        <f>IFERROR(__xludf.DUMMYFUNCTION("""COMPUTED_VALUE"""),0.0)</f>
        <v>0</v>
      </c>
      <c r="J165" s="100">
        <f>IFERROR(__xludf.DUMMYFUNCTION("""COMPUTED_VALUE"""),0.0)</f>
        <v>0</v>
      </c>
      <c r="K165" s="100">
        <f>IFERROR(__xludf.DUMMYFUNCTION("""COMPUTED_VALUE"""),0.0)</f>
        <v>0</v>
      </c>
      <c r="L165" s="100">
        <f>IFERROR(__xludf.DUMMYFUNCTION("""COMPUTED_VALUE"""),0.0)</f>
        <v>0</v>
      </c>
      <c r="M165" s="100">
        <f>IFERROR(__xludf.DUMMYFUNCTION("""COMPUTED_VALUE"""),0.0)</f>
        <v>0</v>
      </c>
      <c r="N165" s="100">
        <f>IFERROR(__xludf.DUMMYFUNCTION("""COMPUTED_VALUE"""),0.0)</f>
        <v>0</v>
      </c>
      <c r="O165" s="100">
        <f>IFERROR(__xludf.DUMMYFUNCTION("""COMPUTED_VALUE"""),0.0)</f>
        <v>0</v>
      </c>
      <c r="AE165" s="51" t="str">
        <f t="shared" ref="AE165:AQ165" si="161">IFERROR((Q165-C165)/C165, "")</f>
        <v/>
      </c>
      <c r="AF165" s="51" t="str">
        <f t="shared" si="161"/>
        <v/>
      </c>
      <c r="AG165" s="51" t="str">
        <f t="shared" si="161"/>
        <v/>
      </c>
      <c r="AH165" s="51" t="str">
        <f t="shared" si="161"/>
        <v/>
      </c>
      <c r="AI165" s="51" t="str">
        <f t="shared" si="161"/>
        <v/>
      </c>
      <c r="AJ165" s="51" t="str">
        <f t="shared" si="161"/>
        <v/>
      </c>
      <c r="AK165" s="51" t="str">
        <f t="shared" si="161"/>
        <v/>
      </c>
      <c r="AL165" s="51" t="str">
        <f t="shared" si="161"/>
        <v/>
      </c>
      <c r="AM165" s="51" t="str">
        <f t="shared" si="161"/>
        <v/>
      </c>
      <c r="AN165" s="51" t="str">
        <f t="shared" si="161"/>
        <v/>
      </c>
      <c r="AO165" s="51" t="str">
        <f t="shared" si="161"/>
        <v/>
      </c>
      <c r="AP165" s="51" t="str">
        <f t="shared" si="161"/>
        <v/>
      </c>
      <c r="AQ165" s="51" t="str">
        <f t="shared" si="161"/>
        <v/>
      </c>
    </row>
    <row r="166">
      <c r="B166" s="126" t="s">
        <v>113</v>
      </c>
      <c r="C166" s="100">
        <f>IFERROR(__xludf.DUMMYFUNCTION("""COMPUTED_VALUE"""),0.05496242424242424)</f>
        <v>0.05496242424</v>
      </c>
      <c r="D166" s="100">
        <f>IFERROR(__xludf.DUMMYFUNCTION("""COMPUTED_VALUE"""),0.001066666666666667)</f>
        <v>0.001066666667</v>
      </c>
      <c r="E166" s="100">
        <f>IFERROR(__xludf.DUMMYFUNCTION("""COMPUTED_VALUE"""),8.484848484848485E-4)</f>
        <v>0.0008484848485</v>
      </c>
      <c r="F166" s="100">
        <f>IFERROR(__xludf.DUMMYFUNCTION("""COMPUTED_VALUE"""),0.0)</f>
        <v>0</v>
      </c>
      <c r="G166" s="100">
        <f>IFERROR(__xludf.DUMMYFUNCTION("""COMPUTED_VALUE"""),0.0011070707070707073)</f>
        <v>0.001107070707</v>
      </c>
      <c r="H166" s="100">
        <f>IFERROR(__xludf.DUMMYFUNCTION("""COMPUTED_VALUE"""),0.0010101010101010103)</f>
        <v>0.00101010101</v>
      </c>
      <c r="I166" s="100">
        <f>IFERROR(__xludf.DUMMYFUNCTION("""COMPUTED_VALUE"""),6.222222222222224E-4)</f>
        <v>0.0006222222222</v>
      </c>
      <c r="J166" s="100">
        <f>IFERROR(__xludf.DUMMYFUNCTION("""COMPUTED_VALUE"""),0.0)</f>
        <v>0</v>
      </c>
      <c r="K166" s="100">
        <f>IFERROR(__xludf.DUMMYFUNCTION("""COMPUTED_VALUE"""),0.0)</f>
        <v>0</v>
      </c>
      <c r="L166" s="100">
        <f>IFERROR(__xludf.DUMMYFUNCTION("""COMPUTED_VALUE"""),1.6969696969696966E-4)</f>
        <v>0.0001696969697</v>
      </c>
      <c r="M166" s="100">
        <f>IFERROR(__xludf.DUMMYFUNCTION("""COMPUTED_VALUE"""),0.1004121212121212)</f>
        <v>0.1004121212</v>
      </c>
      <c r="N166" s="100">
        <f>IFERROR(__xludf.DUMMYFUNCTION("""COMPUTED_VALUE"""),0.0)</f>
        <v>0</v>
      </c>
      <c r="O166" s="100">
        <f>IFERROR(__xludf.DUMMYFUNCTION("""COMPUTED_VALUE"""),0.0)</f>
        <v>0</v>
      </c>
      <c r="AE166" s="51">
        <f t="shared" ref="AE166:AQ166" si="162">IFERROR((Q166-C166)/C166, "")</f>
        <v>-1</v>
      </c>
      <c r="AF166" s="51">
        <f t="shared" si="162"/>
        <v>-1</v>
      </c>
      <c r="AG166" s="51">
        <f t="shared" si="162"/>
        <v>-1</v>
      </c>
      <c r="AH166" s="51" t="str">
        <f t="shared" si="162"/>
        <v/>
      </c>
      <c r="AI166" s="51">
        <f t="shared" si="162"/>
        <v>-1</v>
      </c>
      <c r="AJ166" s="51">
        <f t="shared" si="162"/>
        <v>-1</v>
      </c>
      <c r="AK166" s="51">
        <f t="shared" si="162"/>
        <v>-1</v>
      </c>
      <c r="AL166" s="51" t="str">
        <f t="shared" si="162"/>
        <v/>
      </c>
      <c r="AM166" s="51" t="str">
        <f t="shared" si="162"/>
        <v/>
      </c>
      <c r="AN166" s="51">
        <f t="shared" si="162"/>
        <v>-1</v>
      </c>
      <c r="AO166" s="51">
        <f t="shared" si="162"/>
        <v>-1</v>
      </c>
      <c r="AP166" s="51" t="str">
        <f t="shared" si="162"/>
        <v/>
      </c>
      <c r="AQ166" s="51" t="str">
        <f t="shared" si="162"/>
        <v/>
      </c>
    </row>
    <row r="167">
      <c r="B167" s="37" t="s">
        <v>115</v>
      </c>
      <c r="C167" s="41">
        <f>IFERROR(__xludf.DUMMYFUNCTION("""COMPUTED_VALUE"""),0.6410666666666668)</f>
        <v>0.6410666667</v>
      </c>
      <c r="D167" s="41">
        <f>IFERROR(__xludf.DUMMYFUNCTION("""COMPUTED_VALUE"""),0.004866666666666668)</f>
        <v>0.004866666667</v>
      </c>
      <c r="E167" s="41">
        <f>IFERROR(__xludf.DUMMYFUNCTION("""COMPUTED_VALUE"""),0.014546666666666668)</f>
        <v>0.01454666667</v>
      </c>
      <c r="F167" s="41">
        <f>IFERROR(__xludf.DUMMYFUNCTION("""COMPUTED_VALUE"""),0.005186666666666667)</f>
        <v>0.005186666667</v>
      </c>
      <c r="G167" s="41">
        <f>IFERROR(__xludf.DUMMYFUNCTION("""COMPUTED_VALUE"""),0.054173333333333344)</f>
        <v>0.05417333333</v>
      </c>
      <c r="H167" s="41">
        <f>IFERROR(__xludf.DUMMYFUNCTION("""COMPUTED_VALUE"""),0.06045333333333335)</f>
        <v>0.06045333333</v>
      </c>
      <c r="I167" s="41">
        <f>IFERROR(__xludf.DUMMYFUNCTION("""COMPUTED_VALUE"""),0.013720000000000006)</f>
        <v>0.01372</v>
      </c>
      <c r="J167" s="41">
        <f>IFERROR(__xludf.DUMMYFUNCTION("""COMPUTED_VALUE"""),0.6829999999999999)</f>
        <v>0.683</v>
      </c>
      <c r="K167" s="41">
        <f>IFERROR(__xludf.DUMMYFUNCTION("""COMPUTED_VALUE"""),1.4109600000000002)</f>
        <v>1.41096</v>
      </c>
      <c r="L167" s="41">
        <f>IFERROR(__xludf.DUMMYFUNCTION("""COMPUTED_VALUE"""),1.097733333333334)</f>
        <v>1.097733333</v>
      </c>
      <c r="M167" s="41">
        <f>IFERROR(__xludf.DUMMYFUNCTION("""COMPUTED_VALUE"""),2.2322266666666675)</f>
        <v>2.232226667</v>
      </c>
      <c r="N167" s="41">
        <f>IFERROR(__xludf.DUMMYFUNCTION("""COMPUTED_VALUE"""),3.2E-4)</f>
        <v>0.00032</v>
      </c>
      <c r="O167" s="41">
        <f>IFERROR(__xludf.DUMMYFUNCTION("""COMPUTED_VALUE"""),0.0)</f>
        <v>0</v>
      </c>
      <c r="AE167" s="51">
        <f t="shared" ref="AE167:AQ167" si="163">IFERROR((Q167-C167)/C167, "")</f>
        <v>-1</v>
      </c>
      <c r="AF167" s="51">
        <f t="shared" si="163"/>
        <v>-1</v>
      </c>
      <c r="AG167" s="51">
        <f t="shared" si="163"/>
        <v>-1</v>
      </c>
      <c r="AH167" s="51">
        <f t="shared" si="163"/>
        <v>-1</v>
      </c>
      <c r="AI167" s="51">
        <f t="shared" si="163"/>
        <v>-1</v>
      </c>
      <c r="AJ167" s="51">
        <f t="shared" si="163"/>
        <v>-1</v>
      </c>
      <c r="AK167" s="51">
        <f t="shared" si="163"/>
        <v>-1</v>
      </c>
      <c r="AL167" s="51">
        <f t="shared" si="163"/>
        <v>-1</v>
      </c>
      <c r="AM167" s="51">
        <f t="shared" si="163"/>
        <v>-1</v>
      </c>
      <c r="AN167" s="51">
        <f t="shared" si="163"/>
        <v>-1</v>
      </c>
      <c r="AO167" s="51">
        <f t="shared" si="163"/>
        <v>-1</v>
      </c>
      <c r="AP167" s="51">
        <f t="shared" si="163"/>
        <v>-1</v>
      </c>
      <c r="AQ167" s="51" t="str">
        <f t="shared" si="163"/>
        <v/>
      </c>
    </row>
    <row r="168">
      <c r="B168" s="37" t="s">
        <v>117</v>
      </c>
      <c r="C168" s="41">
        <f>IFERROR(__xludf.DUMMYFUNCTION("""COMPUTED_VALUE"""),0.24184000000000005)</f>
        <v>0.24184</v>
      </c>
      <c r="D168" s="41">
        <f>IFERROR(__xludf.DUMMYFUNCTION("""COMPUTED_VALUE"""),0.021500000000000002)</f>
        <v>0.0215</v>
      </c>
      <c r="E168" s="41">
        <f>IFERROR(__xludf.DUMMYFUNCTION("""COMPUTED_VALUE"""),0.010460000000000002)</f>
        <v>0.01046</v>
      </c>
      <c r="F168" s="41">
        <f>IFERROR(__xludf.DUMMYFUNCTION("""COMPUTED_VALUE"""),0.0015600000000000002)</f>
        <v>0.00156</v>
      </c>
      <c r="G168" s="41">
        <f>IFERROR(__xludf.DUMMYFUNCTION("""COMPUTED_VALUE"""),4.000000000000001E-5)</f>
        <v>0.00004</v>
      </c>
      <c r="H168" s="41">
        <f>IFERROR(__xludf.DUMMYFUNCTION("""COMPUTED_VALUE"""),0.0)</f>
        <v>0</v>
      </c>
      <c r="I168" s="41">
        <f>IFERROR(__xludf.DUMMYFUNCTION("""COMPUTED_VALUE"""),0.0)</f>
        <v>0</v>
      </c>
      <c r="J168" s="41">
        <f>IFERROR(__xludf.DUMMYFUNCTION("""COMPUTED_VALUE"""),0.0)</f>
        <v>0</v>
      </c>
      <c r="K168" s="41">
        <f>IFERROR(__xludf.DUMMYFUNCTION("""COMPUTED_VALUE"""),0.0)</f>
        <v>0</v>
      </c>
      <c r="L168" s="41">
        <f>IFERROR(__xludf.DUMMYFUNCTION("""COMPUTED_VALUE"""),0.0)</f>
        <v>0</v>
      </c>
      <c r="M168" s="41">
        <f>IFERROR(__xludf.DUMMYFUNCTION("""COMPUTED_VALUE"""),0.014720000000000004)</f>
        <v>0.01472</v>
      </c>
      <c r="N168" s="41">
        <f>IFERROR(__xludf.DUMMYFUNCTION("""COMPUTED_VALUE"""),2.4000000000000003E-4)</f>
        <v>0.00024</v>
      </c>
      <c r="O168" s="41">
        <f>IFERROR(__xludf.DUMMYFUNCTION("""COMPUTED_VALUE"""),0.0)</f>
        <v>0</v>
      </c>
      <c r="AE168" s="51">
        <f t="shared" ref="AE168:AQ168" si="164">IFERROR((Q168-C168)/C168, "")</f>
        <v>-1</v>
      </c>
      <c r="AF168" s="51">
        <f t="shared" si="164"/>
        <v>-1</v>
      </c>
      <c r="AG168" s="51">
        <f t="shared" si="164"/>
        <v>-1</v>
      </c>
      <c r="AH168" s="51">
        <f t="shared" si="164"/>
        <v>-1</v>
      </c>
      <c r="AI168" s="51">
        <f t="shared" si="164"/>
        <v>-1</v>
      </c>
      <c r="AJ168" s="51" t="str">
        <f t="shared" si="164"/>
        <v/>
      </c>
      <c r="AK168" s="51" t="str">
        <f t="shared" si="164"/>
        <v/>
      </c>
      <c r="AL168" s="51" t="str">
        <f t="shared" si="164"/>
        <v/>
      </c>
      <c r="AM168" s="51" t="str">
        <f t="shared" si="164"/>
        <v/>
      </c>
      <c r="AN168" s="51" t="str">
        <f t="shared" si="164"/>
        <v/>
      </c>
      <c r="AO168" s="51">
        <f t="shared" si="164"/>
        <v>-1</v>
      </c>
      <c r="AP168" s="51">
        <f t="shared" si="164"/>
        <v>-1</v>
      </c>
      <c r="AQ168" s="51" t="str">
        <f t="shared" si="164"/>
        <v/>
      </c>
    </row>
    <row r="169">
      <c r="B169" s="37" t="s">
        <v>120</v>
      </c>
      <c r="C169" s="41">
        <f>IFERROR(__xludf.DUMMYFUNCTION("""COMPUTED_VALUE"""),2.85448)</f>
        <v>2.85448</v>
      </c>
      <c r="D169" s="41">
        <f>IFERROR(__xludf.DUMMYFUNCTION("""COMPUTED_VALUE"""),0.05832000000000001)</f>
        <v>0.05832</v>
      </c>
      <c r="E169" s="41">
        <f>IFERROR(__xludf.DUMMYFUNCTION("""COMPUTED_VALUE"""),0.03126)</f>
        <v>0.03126</v>
      </c>
      <c r="F169" s="41">
        <f>IFERROR(__xludf.DUMMYFUNCTION("""COMPUTED_VALUE"""),0.021900000000000003)</f>
        <v>0.0219</v>
      </c>
      <c r="G169" s="41">
        <f>IFERROR(__xludf.DUMMYFUNCTION("""COMPUTED_VALUE"""),0.0)</f>
        <v>0</v>
      </c>
      <c r="H169" s="41">
        <f>IFERROR(__xludf.DUMMYFUNCTION("""COMPUTED_VALUE"""),0.0)</f>
        <v>0</v>
      </c>
      <c r="I169" s="41">
        <f>IFERROR(__xludf.DUMMYFUNCTION("""COMPUTED_VALUE"""),0.0)</f>
        <v>0</v>
      </c>
      <c r="J169" s="41">
        <f>IFERROR(__xludf.DUMMYFUNCTION("""COMPUTED_VALUE"""),0.0)</f>
        <v>0</v>
      </c>
      <c r="K169" s="41">
        <f>IFERROR(__xludf.DUMMYFUNCTION("""COMPUTED_VALUE"""),0.0)</f>
        <v>0</v>
      </c>
      <c r="L169" s="41">
        <f>IFERROR(__xludf.DUMMYFUNCTION("""COMPUTED_VALUE"""),0.0)</f>
        <v>0</v>
      </c>
      <c r="M169" s="41">
        <f>IFERROR(__xludf.DUMMYFUNCTION("""COMPUTED_VALUE"""),0.0)</f>
        <v>0</v>
      </c>
      <c r="N169" s="41">
        <f>IFERROR(__xludf.DUMMYFUNCTION("""COMPUTED_VALUE"""),0.0)</f>
        <v>0</v>
      </c>
      <c r="O169" s="41">
        <f>IFERROR(__xludf.DUMMYFUNCTION("""COMPUTED_VALUE"""),0.0)</f>
        <v>0</v>
      </c>
      <c r="AE169" s="51">
        <f t="shared" ref="AE169:AQ169" si="165">IFERROR((Q169-C169)/C169, "")</f>
        <v>-1</v>
      </c>
      <c r="AF169" s="51">
        <f t="shared" si="165"/>
        <v>-1</v>
      </c>
      <c r="AG169" s="51">
        <f t="shared" si="165"/>
        <v>-1</v>
      </c>
      <c r="AH169" s="51">
        <f t="shared" si="165"/>
        <v>-1</v>
      </c>
      <c r="AI169" s="51" t="str">
        <f t="shared" si="165"/>
        <v/>
      </c>
      <c r="AJ169" s="51" t="str">
        <f t="shared" si="165"/>
        <v/>
      </c>
      <c r="AK169" s="51" t="str">
        <f t="shared" si="165"/>
        <v/>
      </c>
      <c r="AL169" s="51" t="str">
        <f t="shared" si="165"/>
        <v/>
      </c>
      <c r="AM169" s="51" t="str">
        <f t="shared" si="165"/>
        <v/>
      </c>
      <c r="AN169" s="51" t="str">
        <f t="shared" si="165"/>
        <v/>
      </c>
      <c r="AO169" s="51" t="str">
        <f t="shared" si="165"/>
        <v/>
      </c>
      <c r="AP169" s="51" t="str">
        <f t="shared" si="165"/>
        <v/>
      </c>
      <c r="AQ169" s="51" t="str">
        <f t="shared" si="165"/>
        <v/>
      </c>
    </row>
    <row r="170">
      <c r="B170" s="37" t="s">
        <v>121</v>
      </c>
      <c r="C170" s="41">
        <f>IFERROR(__xludf.DUMMYFUNCTION("""COMPUTED_VALUE"""),3.7928600000000006)</f>
        <v>3.79286</v>
      </c>
      <c r="D170" s="41">
        <f>IFERROR(__xludf.DUMMYFUNCTION("""COMPUTED_VALUE"""),0.04814)</f>
        <v>0.04814</v>
      </c>
      <c r="E170" s="41">
        <f>IFERROR(__xludf.DUMMYFUNCTION("""COMPUTED_VALUE"""),0.07022)</f>
        <v>0.07022</v>
      </c>
      <c r="F170" s="41">
        <f>IFERROR(__xludf.DUMMYFUNCTION("""COMPUTED_VALUE"""),0.16848000000000002)</f>
        <v>0.16848</v>
      </c>
      <c r="G170" s="41">
        <f>IFERROR(__xludf.DUMMYFUNCTION("""COMPUTED_VALUE"""),0.015300000000000001)</f>
        <v>0.0153</v>
      </c>
      <c r="H170" s="41">
        <f>IFERROR(__xludf.DUMMYFUNCTION("""COMPUTED_VALUE"""),0.024620000000000003)</f>
        <v>0.02462</v>
      </c>
      <c r="I170" s="41">
        <f>IFERROR(__xludf.DUMMYFUNCTION("""COMPUTED_VALUE"""),0.0609)</f>
        <v>0.0609</v>
      </c>
      <c r="J170" s="41">
        <f>IFERROR(__xludf.DUMMYFUNCTION("""COMPUTED_VALUE"""),7.8E-4)</f>
        <v>0.00078</v>
      </c>
      <c r="K170" s="41">
        <f>IFERROR(__xludf.DUMMYFUNCTION("""COMPUTED_VALUE"""),0.0)</f>
        <v>0</v>
      </c>
      <c r="L170" s="41">
        <f>IFERROR(__xludf.DUMMYFUNCTION("""COMPUTED_VALUE"""),0.0)</f>
        <v>0</v>
      </c>
      <c r="M170" s="41">
        <f>IFERROR(__xludf.DUMMYFUNCTION("""COMPUTED_VALUE"""),1.8E-4)</f>
        <v>0.00018</v>
      </c>
      <c r="N170" s="41">
        <f>IFERROR(__xludf.DUMMYFUNCTION("""COMPUTED_VALUE"""),0.0)</f>
        <v>0</v>
      </c>
      <c r="O170" s="41">
        <f>IFERROR(__xludf.DUMMYFUNCTION("""COMPUTED_VALUE"""),0.0)</f>
        <v>0</v>
      </c>
      <c r="AE170" s="51">
        <f t="shared" ref="AE170:AQ170" si="166">IFERROR((Q170-C170)/C170, "")</f>
        <v>-1</v>
      </c>
      <c r="AF170" s="51">
        <f t="shared" si="166"/>
        <v>-1</v>
      </c>
      <c r="AG170" s="51">
        <f t="shared" si="166"/>
        <v>-1</v>
      </c>
      <c r="AH170" s="51">
        <f t="shared" si="166"/>
        <v>-1</v>
      </c>
      <c r="AI170" s="51">
        <f t="shared" si="166"/>
        <v>-1</v>
      </c>
      <c r="AJ170" s="51">
        <f t="shared" si="166"/>
        <v>-1</v>
      </c>
      <c r="AK170" s="51">
        <f t="shared" si="166"/>
        <v>-1</v>
      </c>
      <c r="AL170" s="51">
        <f t="shared" si="166"/>
        <v>-1</v>
      </c>
      <c r="AM170" s="51" t="str">
        <f t="shared" si="166"/>
        <v/>
      </c>
      <c r="AN170" s="51" t="str">
        <f t="shared" si="166"/>
        <v/>
      </c>
      <c r="AO170" s="51">
        <f t="shared" si="166"/>
        <v>-1</v>
      </c>
      <c r="AP170" s="51" t="str">
        <f t="shared" si="166"/>
        <v/>
      </c>
      <c r="AQ170" s="51" t="str">
        <f t="shared" si="166"/>
        <v/>
      </c>
    </row>
    <row r="171">
      <c r="B171" s="37" t="s">
        <v>122</v>
      </c>
      <c r="C171" s="41">
        <f>IFERROR(__xludf.DUMMYFUNCTION("""COMPUTED_VALUE"""),0.2784400000000001)</f>
        <v>0.27844</v>
      </c>
      <c r="D171" s="41">
        <f>IFERROR(__xludf.DUMMYFUNCTION("""COMPUTED_VALUE"""),0.0026000000000000007)</f>
        <v>0.0026</v>
      </c>
      <c r="E171" s="41">
        <f>IFERROR(__xludf.DUMMYFUNCTION("""COMPUTED_VALUE"""),0.0032200000000000006)</f>
        <v>0.00322</v>
      </c>
      <c r="F171" s="41">
        <f>IFERROR(__xludf.DUMMYFUNCTION("""COMPUTED_VALUE"""),0.004480000000000001)</f>
        <v>0.00448</v>
      </c>
      <c r="G171" s="41">
        <f>IFERROR(__xludf.DUMMYFUNCTION("""COMPUTED_VALUE"""),5.400000000000001E-4)</f>
        <v>0.00054</v>
      </c>
      <c r="H171" s="41">
        <f>IFERROR(__xludf.DUMMYFUNCTION("""COMPUTED_VALUE"""),0.0013000000000000004)</f>
        <v>0.0013</v>
      </c>
      <c r="I171" s="41">
        <f>IFERROR(__xludf.DUMMYFUNCTION("""COMPUTED_VALUE"""),0.0029200000000000007)</f>
        <v>0.00292</v>
      </c>
      <c r="J171" s="41">
        <f>IFERROR(__xludf.DUMMYFUNCTION("""COMPUTED_VALUE"""),0.0)</f>
        <v>0</v>
      </c>
      <c r="K171" s="41">
        <f>IFERROR(__xludf.DUMMYFUNCTION("""COMPUTED_VALUE"""),0.0)</f>
        <v>0</v>
      </c>
      <c r="L171" s="41">
        <f>IFERROR(__xludf.DUMMYFUNCTION("""COMPUTED_VALUE"""),0.0)</f>
        <v>0</v>
      </c>
      <c r="M171" s="41">
        <f>IFERROR(__xludf.DUMMYFUNCTION("""COMPUTED_VALUE"""),0.03350000000000001)</f>
        <v>0.0335</v>
      </c>
      <c r="N171" s="41">
        <f>IFERROR(__xludf.DUMMYFUNCTION("""COMPUTED_VALUE"""),0.8591200000000003)</f>
        <v>0.85912</v>
      </c>
      <c r="O171" s="41">
        <f>IFERROR(__xludf.DUMMYFUNCTION("""COMPUTED_VALUE"""),0.0)</f>
        <v>0</v>
      </c>
      <c r="AE171" s="51">
        <f t="shared" ref="AE171:AQ171" si="167">IFERROR((Q171-C171)/C171, "")</f>
        <v>-1</v>
      </c>
      <c r="AF171" s="51">
        <f t="shared" si="167"/>
        <v>-1</v>
      </c>
      <c r="AG171" s="51">
        <f t="shared" si="167"/>
        <v>-1</v>
      </c>
      <c r="AH171" s="51">
        <f t="shared" si="167"/>
        <v>-1</v>
      </c>
      <c r="AI171" s="51">
        <f t="shared" si="167"/>
        <v>-1</v>
      </c>
      <c r="AJ171" s="51">
        <f t="shared" si="167"/>
        <v>-1</v>
      </c>
      <c r="AK171" s="51">
        <f t="shared" si="167"/>
        <v>-1</v>
      </c>
      <c r="AL171" s="51" t="str">
        <f t="shared" si="167"/>
        <v/>
      </c>
      <c r="AM171" s="51" t="str">
        <f t="shared" si="167"/>
        <v/>
      </c>
      <c r="AN171" s="51" t="str">
        <f t="shared" si="167"/>
        <v/>
      </c>
      <c r="AO171" s="51">
        <f t="shared" si="167"/>
        <v>-1</v>
      </c>
      <c r="AP171" s="51">
        <f t="shared" si="167"/>
        <v>-1</v>
      </c>
      <c r="AQ171" s="51" t="str">
        <f t="shared" si="167"/>
        <v/>
      </c>
    </row>
    <row r="172">
      <c r="B172" s="37" t="s">
        <v>123</v>
      </c>
      <c r="C172" s="41">
        <f>IFERROR(__xludf.DUMMYFUNCTION("""COMPUTED_VALUE"""),0.001624242424242424)</f>
        <v>0.001624242424</v>
      </c>
      <c r="D172" s="41">
        <f>IFERROR(__xludf.DUMMYFUNCTION("""COMPUTED_VALUE"""),0.0)</f>
        <v>0</v>
      </c>
      <c r="E172" s="41">
        <f>IFERROR(__xludf.DUMMYFUNCTION("""COMPUTED_VALUE"""),0.0)</f>
        <v>0</v>
      </c>
      <c r="F172" s="41">
        <f>IFERROR(__xludf.DUMMYFUNCTION("""COMPUTED_VALUE"""),9.696969696969696E-5)</f>
        <v>0.00009696969697</v>
      </c>
      <c r="G172" s="41">
        <f>IFERROR(__xludf.DUMMYFUNCTION("""COMPUTED_VALUE"""),0.0)</f>
        <v>0</v>
      </c>
      <c r="H172" s="41">
        <f>IFERROR(__xludf.DUMMYFUNCTION("""COMPUTED_VALUE"""),4.848484848484848E-5)</f>
        <v>0.00004848484848</v>
      </c>
      <c r="I172" s="41">
        <f>IFERROR(__xludf.DUMMYFUNCTION("""COMPUTED_VALUE"""),7.272727272727271E-5)</f>
        <v>0.00007272727273</v>
      </c>
      <c r="J172" s="41">
        <f>IFERROR(__xludf.DUMMYFUNCTION("""COMPUTED_VALUE"""),0.001406060606060606)</f>
        <v>0.001406060606</v>
      </c>
      <c r="K172" s="41">
        <f>IFERROR(__xludf.DUMMYFUNCTION("""COMPUTED_VALUE"""),0.0)</f>
        <v>0</v>
      </c>
      <c r="L172" s="41">
        <f>IFERROR(__xludf.DUMMYFUNCTION("""COMPUTED_VALUE"""),1.212121212121212E-4)</f>
        <v>0.0001212121212</v>
      </c>
      <c r="M172" s="41">
        <f>IFERROR(__xludf.DUMMYFUNCTION("""COMPUTED_VALUE"""),1.6969696969696966E-4)</f>
        <v>0.0001696969697</v>
      </c>
      <c r="N172" s="41">
        <f>IFERROR(__xludf.DUMMYFUNCTION("""COMPUTED_VALUE"""),0.0)</f>
        <v>0</v>
      </c>
      <c r="O172" s="41">
        <f>IFERROR(__xludf.DUMMYFUNCTION("""COMPUTED_VALUE"""),0.0)</f>
        <v>0</v>
      </c>
      <c r="AE172" s="51">
        <f t="shared" ref="AE172:AQ172" si="168">IFERROR((Q172-C172)/C172, "")</f>
        <v>-1</v>
      </c>
      <c r="AF172" s="51" t="str">
        <f t="shared" si="168"/>
        <v/>
      </c>
      <c r="AG172" s="51" t="str">
        <f t="shared" si="168"/>
        <v/>
      </c>
      <c r="AH172" s="51">
        <f t="shared" si="168"/>
        <v>-1</v>
      </c>
      <c r="AI172" s="51" t="str">
        <f t="shared" si="168"/>
        <v/>
      </c>
      <c r="AJ172" s="51">
        <f t="shared" si="168"/>
        <v>-1</v>
      </c>
      <c r="AK172" s="51">
        <f t="shared" si="168"/>
        <v>-1</v>
      </c>
      <c r="AL172" s="51">
        <f t="shared" si="168"/>
        <v>-1</v>
      </c>
      <c r="AM172" s="51" t="str">
        <f t="shared" si="168"/>
        <v/>
      </c>
      <c r="AN172" s="51">
        <f t="shared" si="168"/>
        <v>-1</v>
      </c>
      <c r="AO172" s="51">
        <f t="shared" si="168"/>
        <v>-1</v>
      </c>
      <c r="AP172" s="51" t="str">
        <f t="shared" si="168"/>
        <v/>
      </c>
      <c r="AQ172" s="51" t="str">
        <f t="shared" si="168"/>
        <v/>
      </c>
    </row>
    <row r="173">
      <c r="B173" s="37" t="s">
        <v>137</v>
      </c>
      <c r="C173" s="41">
        <f>IFERROR(__xludf.DUMMYFUNCTION("""COMPUTED_VALUE"""),0.0)</f>
        <v>0</v>
      </c>
      <c r="D173" s="41">
        <f>IFERROR(__xludf.DUMMYFUNCTION("""COMPUTED_VALUE"""),0.0)</f>
        <v>0</v>
      </c>
      <c r="E173" s="41">
        <f>IFERROR(__xludf.DUMMYFUNCTION("""COMPUTED_VALUE"""),0.0)</f>
        <v>0</v>
      </c>
      <c r="F173" s="41">
        <f>IFERROR(__xludf.DUMMYFUNCTION("""COMPUTED_VALUE"""),0.0)</f>
        <v>0</v>
      </c>
      <c r="G173" s="41">
        <f>IFERROR(__xludf.DUMMYFUNCTION("""COMPUTED_VALUE"""),0.0)</f>
        <v>0</v>
      </c>
      <c r="H173" s="41">
        <f>IFERROR(__xludf.DUMMYFUNCTION("""COMPUTED_VALUE"""),0.0)</f>
        <v>0</v>
      </c>
      <c r="I173" s="41">
        <f>IFERROR(__xludf.DUMMYFUNCTION("""COMPUTED_VALUE"""),0.0)</f>
        <v>0</v>
      </c>
      <c r="J173" s="41">
        <f>IFERROR(__xludf.DUMMYFUNCTION("""COMPUTED_VALUE"""),0.0)</f>
        <v>0</v>
      </c>
      <c r="K173" s="41">
        <f>IFERROR(__xludf.DUMMYFUNCTION("""COMPUTED_VALUE"""),0.0)</f>
        <v>0</v>
      </c>
      <c r="L173" s="41">
        <f>IFERROR(__xludf.DUMMYFUNCTION("""COMPUTED_VALUE"""),0.0)</f>
        <v>0</v>
      </c>
      <c r="M173" s="41">
        <f>IFERROR(__xludf.DUMMYFUNCTION("""COMPUTED_VALUE"""),0.0)</f>
        <v>0</v>
      </c>
      <c r="N173" s="41">
        <f>IFERROR(__xludf.DUMMYFUNCTION("""COMPUTED_VALUE"""),0.0)</f>
        <v>0</v>
      </c>
      <c r="O173" s="41">
        <f>IFERROR(__xludf.DUMMYFUNCTION("""COMPUTED_VALUE"""),0.0)</f>
        <v>0</v>
      </c>
      <c r="AE173" s="51" t="str">
        <f t="shared" ref="AE173:AQ173" si="169">IFERROR((Q173-C173)/C173, "")</f>
        <v/>
      </c>
      <c r="AF173" s="51" t="str">
        <f t="shared" si="169"/>
        <v/>
      </c>
      <c r="AG173" s="51" t="str">
        <f t="shared" si="169"/>
        <v/>
      </c>
      <c r="AH173" s="51" t="str">
        <f t="shared" si="169"/>
        <v/>
      </c>
      <c r="AI173" s="51" t="str">
        <f t="shared" si="169"/>
        <v/>
      </c>
      <c r="AJ173" s="51" t="str">
        <f t="shared" si="169"/>
        <v/>
      </c>
      <c r="AK173" s="51" t="str">
        <f t="shared" si="169"/>
        <v/>
      </c>
      <c r="AL173" s="51" t="str">
        <f t="shared" si="169"/>
        <v/>
      </c>
      <c r="AM173" s="51" t="str">
        <f t="shared" si="169"/>
        <v/>
      </c>
      <c r="AN173" s="51" t="str">
        <f t="shared" si="169"/>
        <v/>
      </c>
      <c r="AO173" s="51" t="str">
        <f t="shared" si="169"/>
        <v/>
      </c>
      <c r="AP173" s="51" t="str">
        <f t="shared" si="169"/>
        <v/>
      </c>
      <c r="AQ173" s="51" t="str">
        <f t="shared" si="169"/>
        <v/>
      </c>
    </row>
    <row r="174">
      <c r="B174" s="37" t="s">
        <v>180</v>
      </c>
      <c r="C174" s="41">
        <f>IFERROR(__xludf.DUMMYFUNCTION("""COMPUTED_VALUE"""),0.0)</f>
        <v>0</v>
      </c>
      <c r="D174" s="41">
        <f>IFERROR(__xludf.DUMMYFUNCTION("""COMPUTED_VALUE"""),0.0)</f>
        <v>0</v>
      </c>
      <c r="E174" s="41">
        <f>IFERROR(__xludf.DUMMYFUNCTION("""COMPUTED_VALUE"""),0.0)</f>
        <v>0</v>
      </c>
      <c r="F174" s="41">
        <f>IFERROR(__xludf.DUMMYFUNCTION("""COMPUTED_VALUE"""),0.0)</f>
        <v>0</v>
      </c>
      <c r="G174" s="41">
        <f>IFERROR(__xludf.DUMMYFUNCTION("""COMPUTED_VALUE"""),0.0)</f>
        <v>0</v>
      </c>
      <c r="H174" s="41">
        <f>IFERROR(__xludf.DUMMYFUNCTION("""COMPUTED_VALUE"""),0.0)</f>
        <v>0</v>
      </c>
      <c r="I174" s="41">
        <f>IFERROR(__xludf.DUMMYFUNCTION("""COMPUTED_VALUE"""),0.0)</f>
        <v>0</v>
      </c>
      <c r="J174" s="41">
        <f>IFERROR(__xludf.DUMMYFUNCTION("""COMPUTED_VALUE"""),0.0)</f>
        <v>0</v>
      </c>
      <c r="K174" s="41">
        <f>IFERROR(__xludf.DUMMYFUNCTION("""COMPUTED_VALUE"""),0.0)</f>
        <v>0</v>
      </c>
      <c r="L174" s="41">
        <f>IFERROR(__xludf.DUMMYFUNCTION("""COMPUTED_VALUE"""),0.0)</f>
        <v>0</v>
      </c>
      <c r="M174" s="41">
        <f>IFERROR(__xludf.DUMMYFUNCTION("""COMPUTED_VALUE"""),0.0)</f>
        <v>0</v>
      </c>
      <c r="N174" s="41">
        <f>IFERROR(__xludf.DUMMYFUNCTION("""COMPUTED_VALUE"""),0.0)</f>
        <v>0</v>
      </c>
      <c r="O174" s="41">
        <f>IFERROR(__xludf.DUMMYFUNCTION("""COMPUTED_VALUE"""),0.0)</f>
        <v>0</v>
      </c>
      <c r="AE174" s="51" t="str">
        <f t="shared" ref="AE174:AQ174" si="170">IFERROR((Q174-C174)/C174, "")</f>
        <v/>
      </c>
      <c r="AF174" s="51" t="str">
        <f t="shared" si="170"/>
        <v/>
      </c>
      <c r="AG174" s="51" t="str">
        <f t="shared" si="170"/>
        <v/>
      </c>
      <c r="AH174" s="51" t="str">
        <f t="shared" si="170"/>
        <v/>
      </c>
      <c r="AI174" s="51" t="str">
        <f t="shared" si="170"/>
        <v/>
      </c>
      <c r="AJ174" s="51" t="str">
        <f t="shared" si="170"/>
        <v/>
      </c>
      <c r="AK174" s="51" t="str">
        <f t="shared" si="170"/>
        <v/>
      </c>
      <c r="AL174" s="51" t="str">
        <f t="shared" si="170"/>
        <v/>
      </c>
      <c r="AM174" s="51" t="str">
        <f t="shared" si="170"/>
        <v/>
      </c>
      <c r="AN174" s="51" t="str">
        <f t="shared" si="170"/>
        <v/>
      </c>
      <c r="AO174" s="51" t="str">
        <f t="shared" si="170"/>
        <v/>
      </c>
      <c r="AP174" s="51" t="str">
        <f t="shared" si="170"/>
        <v/>
      </c>
      <c r="AQ174" s="51" t="str">
        <f t="shared" si="170"/>
        <v/>
      </c>
    </row>
    <row r="175"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</row>
    <row r="176"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</row>
    <row r="177"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15.29"/>
    <col customWidth="1" min="2" max="2" width="12.0"/>
    <col customWidth="1" min="3" max="3" width="22.0"/>
    <col customWidth="1" min="4" max="5" width="12.0"/>
    <col customWidth="1" min="6" max="6" width="15.0"/>
    <col customWidth="1" min="7" max="7" width="12.0"/>
    <col customWidth="1" min="8" max="8" width="16.0"/>
    <col customWidth="1" min="9" max="9" width="12.0"/>
    <col customWidth="1" min="10" max="10" width="21.0"/>
    <col customWidth="1" min="11" max="11" width="20.0"/>
    <col customWidth="1" min="12" max="12" width="21.0"/>
    <col customWidth="1" min="13" max="16" width="12.0"/>
    <col customWidth="1" min="17" max="17" width="19.0"/>
    <col customWidth="1" min="18" max="18" width="22.0"/>
    <col customWidth="1" min="19" max="21" width="18.0"/>
    <col customWidth="1" min="22" max="22" width="14.0"/>
    <col customWidth="1" min="23" max="24" width="22.0"/>
    <col customWidth="1" min="25" max="27" width="16.0"/>
    <col customWidth="1" min="28" max="29" width="22.0"/>
    <col customWidth="1" min="30" max="34" width="18.0"/>
    <col customWidth="1" min="35" max="37" width="22.0"/>
    <col customWidth="1" min="38" max="38" width="15.0"/>
    <col customWidth="1" min="39" max="39" width="12.0"/>
  </cols>
  <sheetData>
    <row r="1">
      <c r="A1" s="101" t="s">
        <v>124</v>
      </c>
      <c r="B1" s="101" t="s">
        <v>125</v>
      </c>
      <c r="C1" s="101" t="s">
        <v>126</v>
      </c>
      <c r="D1" s="101" t="s">
        <v>127</v>
      </c>
      <c r="E1" s="101" t="s">
        <v>128</v>
      </c>
      <c r="F1" s="101" t="s">
        <v>129</v>
      </c>
      <c r="G1" s="101" t="s">
        <v>130</v>
      </c>
      <c r="H1" s="101" t="s">
        <v>131</v>
      </c>
      <c r="I1" s="101" t="s">
        <v>132</v>
      </c>
      <c r="J1" s="101" t="s">
        <v>133</v>
      </c>
      <c r="K1" s="101" t="s">
        <v>134</v>
      </c>
      <c r="L1" s="101" t="s">
        <v>135</v>
      </c>
      <c r="M1" s="101" t="s">
        <v>136</v>
      </c>
      <c r="N1" s="101" t="s">
        <v>138</v>
      </c>
      <c r="O1" s="101" t="s">
        <v>139</v>
      </c>
      <c r="P1" s="101" t="s">
        <v>140</v>
      </c>
      <c r="Q1" s="101" t="s">
        <v>141</v>
      </c>
      <c r="R1" s="101" t="s">
        <v>142</v>
      </c>
      <c r="S1" s="101" t="s">
        <v>143</v>
      </c>
      <c r="T1" s="101" t="s">
        <v>144</v>
      </c>
      <c r="U1" s="101" t="s">
        <v>145</v>
      </c>
      <c r="V1" s="101" t="s">
        <v>146</v>
      </c>
      <c r="W1" s="101" t="s">
        <v>147</v>
      </c>
      <c r="X1" s="101" t="s">
        <v>148</v>
      </c>
      <c r="Y1" s="101" t="s">
        <v>149</v>
      </c>
      <c r="Z1" s="101" t="s">
        <v>150</v>
      </c>
      <c r="AA1" s="101" t="s">
        <v>151</v>
      </c>
      <c r="AB1" s="101" t="s">
        <v>152</v>
      </c>
      <c r="AC1" s="101" t="s">
        <v>153</v>
      </c>
      <c r="AD1" s="101" t="s">
        <v>154</v>
      </c>
      <c r="AE1" s="101" t="s">
        <v>155</v>
      </c>
      <c r="AF1" s="101" t="s">
        <v>156</v>
      </c>
      <c r="AG1" s="101" t="s">
        <v>157</v>
      </c>
      <c r="AH1" s="101" t="s">
        <v>158</v>
      </c>
      <c r="AI1" s="101" t="s">
        <v>159</v>
      </c>
      <c r="AJ1" s="101" t="s">
        <v>160</v>
      </c>
      <c r="AK1" s="101" t="s">
        <v>161</v>
      </c>
      <c r="AL1" s="101" t="s">
        <v>162</v>
      </c>
      <c r="AM1" s="101" t="s">
        <v>163</v>
      </c>
      <c r="AN1" s="101" t="s">
        <v>164</v>
      </c>
      <c r="AO1" s="101" t="s">
        <v>165</v>
      </c>
      <c r="AP1" s="101" t="s">
        <v>166</v>
      </c>
      <c r="AQ1" s="101" t="s">
        <v>167</v>
      </c>
      <c r="AR1" s="101" t="s">
        <v>168</v>
      </c>
      <c r="AS1" s="101" t="s">
        <v>169</v>
      </c>
      <c r="AT1" s="101" t="s">
        <v>170</v>
      </c>
      <c r="AU1" s="101" t="s">
        <v>171</v>
      </c>
      <c r="AV1" s="102" t="s">
        <v>172</v>
      </c>
      <c r="AW1" s="102" t="s">
        <v>173</v>
      </c>
      <c r="AX1" s="102" t="s">
        <v>174</v>
      </c>
      <c r="AY1" s="102" t="s">
        <v>175</v>
      </c>
      <c r="AZ1" s="102" t="s">
        <v>176</v>
      </c>
      <c r="BA1" s="102" t="s">
        <v>177</v>
      </c>
      <c r="BB1" s="102" t="s">
        <v>178</v>
      </c>
    </row>
    <row r="2">
      <c r="A2" s="103">
        <v>46230.0</v>
      </c>
      <c r="B2" s="104" t="s">
        <v>9</v>
      </c>
      <c r="C2" s="104" t="s">
        <v>179</v>
      </c>
      <c r="D2" s="104">
        <v>3184.0</v>
      </c>
      <c r="E2" s="104">
        <v>13.51</v>
      </c>
      <c r="F2" s="104">
        <v>21.27</v>
      </c>
      <c r="G2" s="104">
        <v>0.0067</v>
      </c>
      <c r="H2" s="104">
        <v>0.13</v>
      </c>
      <c r="I2" s="104">
        <v>5.3175</v>
      </c>
      <c r="J2" s="104">
        <v>6.05</v>
      </c>
      <c r="K2" s="104">
        <v>2.45</v>
      </c>
      <c r="L2" s="104">
        <v>0.16</v>
      </c>
      <c r="M2" s="104">
        <v>0.0673</v>
      </c>
      <c r="N2" s="104">
        <v>0.9439</v>
      </c>
      <c r="O2" s="104">
        <v>0.5586</v>
      </c>
      <c r="P2" s="104">
        <v>14.8667</v>
      </c>
      <c r="Q2" s="104">
        <v>40.84</v>
      </c>
      <c r="R2" s="104">
        <v>40.65</v>
      </c>
      <c r="S2" s="104">
        <v>0.19</v>
      </c>
      <c r="T2" s="104">
        <v>0.28</v>
      </c>
      <c r="U2" s="104">
        <v>40.56</v>
      </c>
      <c r="V2" s="104">
        <v>3.05</v>
      </c>
      <c r="W2" s="104">
        <v>1.2428</v>
      </c>
      <c r="X2" s="104">
        <v>0.69</v>
      </c>
      <c r="Y2" s="104">
        <v>261.0</v>
      </c>
      <c r="Z2" s="104">
        <v>2852.0</v>
      </c>
      <c r="AA2" s="104">
        <v>14939.0</v>
      </c>
      <c r="AB2" s="104">
        <v>50.5734</v>
      </c>
      <c r="AC2" s="104">
        <v>0.5601</v>
      </c>
      <c r="AD2" s="105"/>
      <c r="AE2" s="105"/>
      <c r="AF2" s="105"/>
      <c r="AG2" s="105"/>
      <c r="AH2" s="105"/>
      <c r="AI2" s="104">
        <v>0.0</v>
      </c>
      <c r="AJ2" s="104">
        <v>0.0</v>
      </c>
      <c r="AK2" s="104">
        <v>0.0</v>
      </c>
      <c r="AL2" s="104">
        <v>0.337</v>
      </c>
      <c r="AM2" s="105"/>
      <c r="AQ2" s="1">
        <v>1.7751</v>
      </c>
      <c r="AR2" s="1">
        <v>0.0091</v>
      </c>
      <c r="AS2" s="1">
        <v>1.766</v>
      </c>
      <c r="AT2" s="1">
        <v>0.3863</v>
      </c>
      <c r="AU2" s="1">
        <v>0.1576</v>
      </c>
      <c r="AV2" s="1">
        <v>3184.0</v>
      </c>
      <c r="AW2" s="1">
        <v>0.0</v>
      </c>
      <c r="AX2" s="1">
        <v>15.66</v>
      </c>
      <c r="AY2" s="1">
        <v>22.89</v>
      </c>
      <c r="AZ2" s="1">
        <v>1.84</v>
      </c>
      <c r="BA2" s="1">
        <v>0.28</v>
      </c>
      <c r="BB2" s="1">
        <v>0.17</v>
      </c>
    </row>
    <row r="3">
      <c r="A3" s="103">
        <v>46230.0</v>
      </c>
      <c r="B3" s="104" t="s">
        <v>9</v>
      </c>
      <c r="C3" s="104" t="s">
        <v>181</v>
      </c>
      <c r="D3" s="104">
        <v>6842.0</v>
      </c>
      <c r="E3" s="104">
        <v>29.03</v>
      </c>
      <c r="F3" s="104">
        <v>215.27</v>
      </c>
      <c r="G3" s="104">
        <v>0.0315</v>
      </c>
      <c r="H3" s="104">
        <v>1.24</v>
      </c>
      <c r="I3" s="104">
        <v>2.5326</v>
      </c>
      <c r="J3" s="104">
        <v>32.42</v>
      </c>
      <c r="K3" s="104">
        <v>15.61</v>
      </c>
      <c r="L3" s="104">
        <v>6.1</v>
      </c>
      <c r="M3" s="104">
        <v>0.3908</v>
      </c>
      <c r="N3" s="104">
        <v>0.7378</v>
      </c>
      <c r="O3" s="104">
        <v>0.5117</v>
      </c>
      <c r="P3" s="104">
        <v>2.559</v>
      </c>
      <c r="Q3" s="104">
        <v>82.18</v>
      </c>
      <c r="R3" s="104">
        <v>73.5</v>
      </c>
      <c r="S3" s="104">
        <v>8.68</v>
      </c>
      <c r="T3" s="104">
        <v>2.58</v>
      </c>
      <c r="U3" s="104">
        <v>79.6</v>
      </c>
      <c r="V3" s="104">
        <v>64.64</v>
      </c>
      <c r="W3" s="104">
        <v>4.142</v>
      </c>
      <c r="X3" s="104">
        <v>3.14</v>
      </c>
      <c r="Y3" s="104">
        <v>126.0</v>
      </c>
      <c r="Z3" s="104">
        <v>567.0</v>
      </c>
      <c r="AA3" s="104">
        <v>4624.0</v>
      </c>
      <c r="AB3" s="104">
        <v>49.892</v>
      </c>
      <c r="AC3" s="104">
        <v>0.5103</v>
      </c>
      <c r="AD3" s="104">
        <v>4.18</v>
      </c>
      <c r="AE3" s="104">
        <v>2.0</v>
      </c>
      <c r="AF3" s="104">
        <v>3.0</v>
      </c>
      <c r="AG3" s="104">
        <v>6.0</v>
      </c>
      <c r="AH3" s="104">
        <v>9.0</v>
      </c>
      <c r="AI3" s="104">
        <v>76.38</v>
      </c>
      <c r="AJ3" s="104">
        <v>33.31</v>
      </c>
      <c r="AK3" s="104">
        <v>8.86</v>
      </c>
      <c r="AL3" s="104">
        <v>0.2615</v>
      </c>
      <c r="AM3" s="105"/>
      <c r="AQ3" s="1">
        <v>4.7514</v>
      </c>
      <c r="AR3" s="1">
        <v>0.0248</v>
      </c>
      <c r="AS3" s="1">
        <v>4.7265</v>
      </c>
      <c r="AT3" s="1">
        <v>3.6631</v>
      </c>
      <c r="AU3" s="1">
        <v>0.2347</v>
      </c>
      <c r="AV3" s="1">
        <v>6842.0</v>
      </c>
      <c r="AW3" s="1">
        <v>0.0</v>
      </c>
      <c r="AX3" s="1">
        <v>29.32</v>
      </c>
      <c r="AY3" s="1">
        <v>45.4</v>
      </c>
      <c r="AZ3" s="1">
        <v>3.95</v>
      </c>
      <c r="BA3" s="1">
        <v>2.58</v>
      </c>
      <c r="BB3" s="1">
        <v>0.93</v>
      </c>
    </row>
    <row r="4">
      <c r="A4" s="103">
        <v>46230.0</v>
      </c>
      <c r="B4" s="104" t="s">
        <v>9</v>
      </c>
      <c r="C4" s="104" t="s">
        <v>182</v>
      </c>
      <c r="D4" s="104">
        <v>6281.0</v>
      </c>
      <c r="E4" s="104">
        <v>26.65</v>
      </c>
      <c r="F4" s="104">
        <v>611.38</v>
      </c>
      <c r="G4" s="104">
        <v>0.0973</v>
      </c>
      <c r="H4" s="104">
        <v>3.18</v>
      </c>
      <c r="I4" s="104">
        <v>3.0569</v>
      </c>
      <c r="J4" s="104">
        <v>57.99</v>
      </c>
      <c r="K4" s="104">
        <v>28.54</v>
      </c>
      <c r="L4" s="104">
        <v>15.24</v>
      </c>
      <c r="M4" s="104">
        <v>0.5339</v>
      </c>
      <c r="N4" s="104">
        <v>0.6238</v>
      </c>
      <c r="O4" s="104">
        <v>0.4167</v>
      </c>
      <c r="P4" s="104">
        <v>1.8732</v>
      </c>
      <c r="Q4" s="104">
        <v>141.41</v>
      </c>
      <c r="R4" s="104">
        <v>121.48</v>
      </c>
      <c r="S4" s="104">
        <v>19.93</v>
      </c>
      <c r="T4" s="104">
        <v>7.89</v>
      </c>
      <c r="U4" s="104">
        <v>133.52</v>
      </c>
      <c r="V4" s="104">
        <v>138.27</v>
      </c>
      <c r="W4" s="104">
        <v>4.8449</v>
      </c>
      <c r="X4" s="104">
        <v>5.58</v>
      </c>
      <c r="Y4" s="104">
        <v>118.0</v>
      </c>
      <c r="Z4" s="104">
        <v>485.0</v>
      </c>
      <c r="AA4" s="104">
        <v>4362.0</v>
      </c>
      <c r="AB4" s="104">
        <v>52.6921</v>
      </c>
      <c r="AC4" s="104">
        <v>0.5755</v>
      </c>
      <c r="AD4" s="104">
        <v>9.64</v>
      </c>
      <c r="AE4" s="104">
        <v>4.0</v>
      </c>
      <c r="AF4" s="104">
        <v>8.0</v>
      </c>
      <c r="AG4" s="104">
        <v>13.0</v>
      </c>
      <c r="AH4" s="104">
        <v>20.0</v>
      </c>
      <c r="AI4" s="104">
        <v>62.46</v>
      </c>
      <c r="AJ4" s="104">
        <v>26.95</v>
      </c>
      <c r="AK4" s="104">
        <v>4.81</v>
      </c>
      <c r="AL4" s="104">
        <v>0.1896</v>
      </c>
      <c r="AM4" s="105"/>
      <c r="AQ4" s="1">
        <v>8.6179</v>
      </c>
      <c r="AR4" s="1">
        <v>0.302</v>
      </c>
      <c r="AS4" s="1">
        <v>8.3159</v>
      </c>
      <c r="AT4" s="1">
        <v>6.9984</v>
      </c>
      <c r="AU4" s="1">
        <v>0.2452</v>
      </c>
      <c r="AV4" s="1">
        <v>6281.0</v>
      </c>
      <c r="AW4" s="1">
        <v>0.0</v>
      </c>
      <c r="AX4" s="1">
        <v>48.92</v>
      </c>
      <c r="AY4" s="1">
        <v>77.5</v>
      </c>
      <c r="AZ4" s="1">
        <v>5.35</v>
      </c>
      <c r="BA4" s="1">
        <v>7.89</v>
      </c>
      <c r="BB4" s="1">
        <v>1.75</v>
      </c>
    </row>
    <row r="5">
      <c r="A5" s="103">
        <v>46230.0</v>
      </c>
      <c r="B5" s="104" t="s">
        <v>9</v>
      </c>
      <c r="C5" s="104" t="s">
        <v>183</v>
      </c>
      <c r="D5" s="104">
        <v>4335.0</v>
      </c>
      <c r="E5" s="104">
        <v>18.39</v>
      </c>
      <c r="F5" s="104">
        <v>1327.14</v>
      </c>
      <c r="G5" s="104">
        <v>0.3061</v>
      </c>
      <c r="H5" s="104">
        <v>5.19</v>
      </c>
      <c r="I5" s="104">
        <v>5.8984</v>
      </c>
      <c r="J5" s="104">
        <v>88.03</v>
      </c>
      <c r="K5" s="104">
        <v>45.37</v>
      </c>
      <c r="L5" s="104">
        <v>30.33</v>
      </c>
      <c r="M5" s="104">
        <v>0.6685</v>
      </c>
      <c r="N5" s="104">
        <v>0.5043</v>
      </c>
      <c r="O5" s="104">
        <v>0.3466</v>
      </c>
      <c r="P5" s="104">
        <v>1.4959</v>
      </c>
      <c r="Q5" s="104">
        <v>244.37</v>
      </c>
      <c r="R5" s="104">
        <v>205.79</v>
      </c>
      <c r="S5" s="104">
        <v>38.58</v>
      </c>
      <c r="T5" s="104">
        <v>26.04</v>
      </c>
      <c r="U5" s="104">
        <v>218.33</v>
      </c>
      <c r="V5" s="104">
        <v>228.63</v>
      </c>
      <c r="W5" s="104">
        <v>5.0397</v>
      </c>
      <c r="X5" s="104">
        <v>10.66</v>
      </c>
      <c r="Y5" s="104">
        <v>118.0</v>
      </c>
      <c r="Z5" s="104">
        <v>576.0</v>
      </c>
      <c r="AA5" s="104">
        <v>4639.0</v>
      </c>
      <c r="AB5" s="104">
        <v>55.136</v>
      </c>
      <c r="AC5" s="104">
        <v>0.6499</v>
      </c>
      <c r="AD5" s="104">
        <v>18.06</v>
      </c>
      <c r="AE5" s="104">
        <v>8.0</v>
      </c>
      <c r="AF5" s="104">
        <v>14.0</v>
      </c>
      <c r="AG5" s="104">
        <v>25.0</v>
      </c>
      <c r="AH5" s="104">
        <v>37.0</v>
      </c>
      <c r="AI5" s="104">
        <v>62.72</v>
      </c>
      <c r="AJ5" s="104">
        <v>23.74</v>
      </c>
      <c r="AK5" s="104">
        <v>6.14</v>
      </c>
      <c r="AL5" s="104">
        <v>0.1587</v>
      </c>
      <c r="AM5" s="105"/>
      <c r="AQ5" s="1">
        <v>12.7799</v>
      </c>
      <c r="AR5" s="1">
        <v>0.2759</v>
      </c>
      <c r="AS5" s="1">
        <v>12.504</v>
      </c>
      <c r="AT5" s="1">
        <v>10.8969</v>
      </c>
      <c r="AU5" s="1">
        <v>0.2402</v>
      </c>
      <c r="AV5" s="1">
        <v>4335.0</v>
      </c>
      <c r="AW5" s="1">
        <v>0.0</v>
      </c>
      <c r="AX5" s="1">
        <v>79.84</v>
      </c>
      <c r="AY5" s="1">
        <v>129.85</v>
      </c>
      <c r="AZ5" s="1">
        <v>5.59</v>
      </c>
      <c r="BA5" s="1">
        <v>26.04</v>
      </c>
      <c r="BB5" s="1">
        <v>3.05</v>
      </c>
    </row>
    <row r="6">
      <c r="A6" s="103">
        <v>46230.0</v>
      </c>
      <c r="B6" s="104" t="s">
        <v>9</v>
      </c>
      <c r="C6" s="104" t="s">
        <v>184</v>
      </c>
      <c r="D6" s="104">
        <v>2595.0</v>
      </c>
      <c r="E6" s="104">
        <v>11.01</v>
      </c>
      <c r="F6" s="104">
        <v>1177.09</v>
      </c>
      <c r="G6" s="104">
        <v>0.4536</v>
      </c>
      <c r="H6" s="104">
        <v>7.09</v>
      </c>
      <c r="I6" s="104">
        <v>6.3972</v>
      </c>
      <c r="J6" s="104">
        <v>145.36</v>
      </c>
      <c r="K6" s="104">
        <v>83.26</v>
      </c>
      <c r="L6" s="104">
        <v>63.14</v>
      </c>
      <c r="M6" s="104">
        <v>0.7583</v>
      </c>
      <c r="N6" s="104">
        <v>0.4008</v>
      </c>
      <c r="O6" s="104">
        <v>0.2782</v>
      </c>
      <c r="P6" s="104">
        <v>1.3187</v>
      </c>
      <c r="Q6" s="104">
        <v>430.5</v>
      </c>
      <c r="R6" s="104">
        <v>348.53</v>
      </c>
      <c r="S6" s="104">
        <v>81.96</v>
      </c>
      <c r="T6" s="104">
        <v>40.27</v>
      </c>
      <c r="U6" s="104">
        <v>390.23</v>
      </c>
      <c r="V6" s="104">
        <v>407.67</v>
      </c>
      <c r="W6" s="104">
        <v>4.8961</v>
      </c>
      <c r="X6" s="104">
        <v>9.35</v>
      </c>
      <c r="Y6" s="104">
        <v>170.0</v>
      </c>
      <c r="Z6" s="104">
        <v>1030.0</v>
      </c>
      <c r="AA6" s="104">
        <v>7414.0</v>
      </c>
      <c r="AB6" s="104">
        <v>57.8709</v>
      </c>
      <c r="AC6" s="104">
        <v>0.7237</v>
      </c>
      <c r="AD6" s="104">
        <v>34.96</v>
      </c>
      <c r="AE6" s="104">
        <v>14.0</v>
      </c>
      <c r="AF6" s="104">
        <v>27.0</v>
      </c>
      <c r="AG6" s="104">
        <v>45.0</v>
      </c>
      <c r="AH6" s="104">
        <v>73.0</v>
      </c>
      <c r="AI6" s="104">
        <v>48.09</v>
      </c>
      <c r="AJ6" s="104">
        <v>15.88</v>
      </c>
      <c r="AK6" s="104">
        <v>4.59</v>
      </c>
      <c r="AL6" s="104">
        <v>0.0979</v>
      </c>
      <c r="AM6" s="105"/>
      <c r="AQ6" s="1">
        <v>19.2628</v>
      </c>
      <c r="AR6" s="1">
        <v>0.4039</v>
      </c>
      <c r="AS6" s="1">
        <v>18.859</v>
      </c>
      <c r="AT6" s="1">
        <v>16.8509</v>
      </c>
      <c r="AU6" s="1">
        <v>0.2024</v>
      </c>
      <c r="AV6" s="1">
        <v>2595.0</v>
      </c>
      <c r="AW6" s="1">
        <v>0.0</v>
      </c>
      <c r="AX6" s="1">
        <v>150.02</v>
      </c>
      <c r="AY6" s="1">
        <v>226.65</v>
      </c>
      <c r="AZ6" s="1">
        <v>6.73</v>
      </c>
      <c r="BA6" s="1">
        <v>40.27</v>
      </c>
      <c r="BB6" s="1">
        <v>6.82</v>
      </c>
    </row>
    <row r="7">
      <c r="A7" s="103">
        <v>46230.0</v>
      </c>
      <c r="B7" s="104" t="s">
        <v>9</v>
      </c>
      <c r="C7" s="104" t="s">
        <v>186</v>
      </c>
      <c r="D7" s="104">
        <v>331.0</v>
      </c>
      <c r="E7" s="104">
        <v>1.4</v>
      </c>
      <c r="F7" s="104">
        <v>150.32</v>
      </c>
      <c r="G7" s="104">
        <v>0.4541</v>
      </c>
      <c r="H7" s="104">
        <v>7.55</v>
      </c>
      <c r="I7" s="104">
        <v>6.0128</v>
      </c>
      <c r="J7" s="104">
        <v>264.95</v>
      </c>
      <c r="K7" s="104">
        <v>164.15</v>
      </c>
      <c r="L7" s="104">
        <v>133.94</v>
      </c>
      <c r="M7" s="104">
        <v>0.816</v>
      </c>
      <c r="N7" s="104">
        <v>0.3322</v>
      </c>
      <c r="O7" s="104">
        <v>0.2385</v>
      </c>
      <c r="P7" s="104">
        <v>1.2255</v>
      </c>
      <c r="Q7" s="104">
        <v>735.19</v>
      </c>
      <c r="R7" s="104">
        <v>532.31</v>
      </c>
      <c r="S7" s="104">
        <v>202.89</v>
      </c>
      <c r="T7" s="104">
        <v>51.36</v>
      </c>
      <c r="U7" s="104">
        <v>683.83</v>
      </c>
      <c r="V7" s="104">
        <v>1058.91</v>
      </c>
      <c r="W7" s="104">
        <v>6.4511</v>
      </c>
      <c r="X7" s="104">
        <v>6.99</v>
      </c>
      <c r="Y7" s="104">
        <v>230.0</v>
      </c>
      <c r="Z7" s="104">
        <v>1087.0</v>
      </c>
      <c r="AA7" s="104">
        <v>5924.0</v>
      </c>
      <c r="AB7" s="104">
        <v>60.5124</v>
      </c>
      <c r="AC7" s="104">
        <v>0.8454</v>
      </c>
      <c r="AD7" s="104">
        <v>74.78</v>
      </c>
      <c r="AE7" s="104">
        <v>27.0</v>
      </c>
      <c r="AF7" s="104">
        <v>53.0</v>
      </c>
      <c r="AG7" s="104">
        <v>107.0</v>
      </c>
      <c r="AH7" s="104">
        <v>161.0</v>
      </c>
      <c r="AI7" s="104">
        <v>37.16</v>
      </c>
      <c r="AJ7" s="104">
        <v>7.55</v>
      </c>
      <c r="AK7" s="104">
        <v>2.11</v>
      </c>
      <c r="AL7" s="104">
        <v>0.0634</v>
      </c>
      <c r="AM7" s="105"/>
      <c r="AQ7" s="1">
        <v>41.3414</v>
      </c>
      <c r="AR7" s="1">
        <v>8.1148</v>
      </c>
      <c r="AS7" s="1">
        <v>33.2266</v>
      </c>
      <c r="AT7" s="1">
        <v>32.5498</v>
      </c>
      <c r="AU7" s="1">
        <v>0.1983</v>
      </c>
      <c r="AV7" s="1">
        <v>331.0</v>
      </c>
      <c r="AW7" s="1">
        <v>0.0</v>
      </c>
      <c r="AX7" s="1">
        <v>306.31</v>
      </c>
      <c r="AY7" s="1">
        <v>355.85</v>
      </c>
      <c r="AZ7" s="1">
        <v>8.05</v>
      </c>
      <c r="BA7" s="1">
        <v>51.36</v>
      </c>
      <c r="BB7" s="1">
        <v>13.62</v>
      </c>
    </row>
    <row r="8">
      <c r="A8" s="103">
        <v>46230.0</v>
      </c>
      <c r="B8" s="104" t="s">
        <v>10</v>
      </c>
      <c r="C8" s="104" t="s">
        <v>179</v>
      </c>
      <c r="D8" s="104">
        <v>3064.0</v>
      </c>
      <c r="E8" s="104">
        <v>12.94</v>
      </c>
      <c r="F8" s="104">
        <v>97.81</v>
      </c>
      <c r="G8" s="104">
        <v>0.0319</v>
      </c>
      <c r="H8" s="104">
        <v>0.07</v>
      </c>
      <c r="I8" s="104">
        <v>48.905</v>
      </c>
      <c r="J8" s="104">
        <v>6.0</v>
      </c>
      <c r="K8" s="104">
        <v>2.53</v>
      </c>
      <c r="L8" s="104">
        <v>0.12</v>
      </c>
      <c r="M8" s="104">
        <v>0.0482</v>
      </c>
      <c r="N8" s="104">
        <v>0.9595</v>
      </c>
      <c r="O8" s="104">
        <v>0.6169</v>
      </c>
      <c r="P8" s="104">
        <v>20.7406</v>
      </c>
      <c r="Q8" s="104">
        <v>37.31</v>
      </c>
      <c r="R8" s="104">
        <v>37.25</v>
      </c>
      <c r="S8" s="104">
        <v>0.05</v>
      </c>
      <c r="T8" s="104">
        <v>4.27</v>
      </c>
      <c r="U8" s="104">
        <v>33.04</v>
      </c>
      <c r="V8" s="104">
        <v>2.46</v>
      </c>
      <c r="W8" s="104">
        <v>0.971</v>
      </c>
      <c r="X8" s="104">
        <v>11.43</v>
      </c>
      <c r="Y8" s="104">
        <v>215.0</v>
      </c>
      <c r="Z8" s="104">
        <v>2384.0</v>
      </c>
      <c r="AA8" s="104">
        <v>13168.0</v>
      </c>
      <c r="AB8" s="104">
        <v>50.112</v>
      </c>
      <c r="AC8" s="104">
        <v>0.5445</v>
      </c>
      <c r="AD8" s="105"/>
      <c r="AE8" s="105"/>
      <c r="AF8" s="105"/>
      <c r="AG8" s="105"/>
      <c r="AH8" s="105"/>
      <c r="AI8" s="104">
        <v>0.0</v>
      </c>
      <c r="AJ8" s="104">
        <v>0.0</v>
      </c>
      <c r="AK8" s="104">
        <v>0.0</v>
      </c>
      <c r="AL8" s="104">
        <v>0.3672</v>
      </c>
      <c r="AM8" s="104">
        <v>0.29</v>
      </c>
      <c r="AN8" s="1">
        <v>0.29</v>
      </c>
      <c r="AO8" s="1">
        <v>0.1</v>
      </c>
      <c r="AP8" s="1">
        <v>0.07</v>
      </c>
      <c r="AQ8" s="1">
        <v>1.7301</v>
      </c>
      <c r="AR8" s="1">
        <v>0.0989</v>
      </c>
      <c r="AS8" s="1">
        <v>1.6312</v>
      </c>
      <c r="AT8" s="1">
        <v>0.4406</v>
      </c>
      <c r="AU8" s="1">
        <v>0.174</v>
      </c>
      <c r="AV8" s="1">
        <v>3048.0</v>
      </c>
      <c r="AW8" s="1">
        <v>16.0</v>
      </c>
      <c r="AX8" s="1">
        <v>11.17</v>
      </c>
      <c r="AY8" s="1">
        <v>20.08</v>
      </c>
      <c r="AZ8" s="1">
        <v>1.59</v>
      </c>
      <c r="BA8" s="1">
        <v>4.27</v>
      </c>
      <c r="BB8" s="1">
        <v>0.2</v>
      </c>
    </row>
    <row r="9">
      <c r="A9" s="103">
        <v>46230.0</v>
      </c>
      <c r="B9" s="104" t="s">
        <v>10</v>
      </c>
      <c r="C9" s="104" t="s">
        <v>181</v>
      </c>
      <c r="D9" s="104">
        <v>6850.0</v>
      </c>
      <c r="E9" s="104">
        <v>28.92</v>
      </c>
      <c r="F9" s="104">
        <v>222.06</v>
      </c>
      <c r="G9" s="104">
        <v>0.0324</v>
      </c>
      <c r="H9" s="104">
        <v>1.46</v>
      </c>
      <c r="I9" s="104">
        <v>2.2206</v>
      </c>
      <c r="J9" s="104">
        <v>34.6</v>
      </c>
      <c r="K9" s="104">
        <v>16.44</v>
      </c>
      <c r="L9" s="104">
        <v>6.21</v>
      </c>
      <c r="M9" s="104">
        <v>0.3781</v>
      </c>
      <c r="N9" s="104">
        <v>0.7487</v>
      </c>
      <c r="O9" s="104">
        <v>0.5175</v>
      </c>
      <c r="P9" s="104">
        <v>2.6448</v>
      </c>
      <c r="Q9" s="104">
        <v>82.69</v>
      </c>
      <c r="R9" s="104">
        <v>78.74</v>
      </c>
      <c r="S9" s="104">
        <v>3.95</v>
      </c>
      <c r="T9" s="104">
        <v>2.47</v>
      </c>
      <c r="U9" s="104">
        <v>80.22</v>
      </c>
      <c r="V9" s="104">
        <v>67.65</v>
      </c>
      <c r="W9" s="104">
        <v>4.1096</v>
      </c>
      <c r="X9" s="104">
        <v>2.99</v>
      </c>
      <c r="Y9" s="104">
        <v>119.0</v>
      </c>
      <c r="Z9" s="104">
        <v>605.0</v>
      </c>
      <c r="AA9" s="104">
        <v>4356.0</v>
      </c>
      <c r="AB9" s="104">
        <v>49.8635</v>
      </c>
      <c r="AC9" s="104">
        <v>0.5131</v>
      </c>
      <c r="AD9" s="104">
        <v>4.29</v>
      </c>
      <c r="AE9" s="104">
        <v>2.0</v>
      </c>
      <c r="AF9" s="104">
        <v>3.0</v>
      </c>
      <c r="AG9" s="104">
        <v>6.0</v>
      </c>
      <c r="AH9" s="104">
        <v>9.0</v>
      </c>
      <c r="AI9" s="104">
        <v>75.45</v>
      </c>
      <c r="AJ9" s="104">
        <v>33.56</v>
      </c>
      <c r="AK9" s="104">
        <v>9.78</v>
      </c>
      <c r="AL9" s="104">
        <v>0.2588</v>
      </c>
      <c r="AM9" s="104">
        <v>57.27</v>
      </c>
      <c r="AN9" s="1">
        <v>57.27</v>
      </c>
      <c r="AO9" s="1">
        <v>27.84</v>
      </c>
      <c r="AP9" s="1">
        <v>9.14</v>
      </c>
      <c r="AQ9" s="1">
        <v>5.9369</v>
      </c>
      <c r="AR9" s="1">
        <v>0.0229</v>
      </c>
      <c r="AS9" s="1">
        <v>5.914</v>
      </c>
      <c r="AT9" s="1">
        <v>4.0442</v>
      </c>
      <c r="AU9" s="1">
        <v>0.246</v>
      </c>
      <c r="AV9" s="1">
        <v>6800.0</v>
      </c>
      <c r="AW9" s="1">
        <v>50.0</v>
      </c>
      <c r="AX9" s="1">
        <v>20.88</v>
      </c>
      <c r="AY9" s="1">
        <v>55.28</v>
      </c>
      <c r="AZ9" s="1">
        <v>3.42</v>
      </c>
      <c r="BA9" s="1">
        <v>2.47</v>
      </c>
      <c r="BB9" s="1">
        <v>0.64</v>
      </c>
    </row>
    <row r="10">
      <c r="A10" s="103">
        <v>46230.0</v>
      </c>
      <c r="B10" s="104" t="s">
        <v>10</v>
      </c>
      <c r="C10" s="104" t="s">
        <v>182</v>
      </c>
      <c r="D10" s="104">
        <v>6223.0</v>
      </c>
      <c r="E10" s="104">
        <v>26.27</v>
      </c>
      <c r="F10" s="104">
        <v>634.11</v>
      </c>
      <c r="G10" s="104">
        <v>0.1019</v>
      </c>
      <c r="H10" s="104">
        <v>3.23</v>
      </c>
      <c r="I10" s="104">
        <v>3.1548</v>
      </c>
      <c r="J10" s="104">
        <v>64.07</v>
      </c>
      <c r="K10" s="104">
        <v>31.12</v>
      </c>
      <c r="L10" s="104">
        <v>16.59</v>
      </c>
      <c r="M10" s="104">
        <v>0.5329</v>
      </c>
      <c r="N10" s="104">
        <v>0.6242</v>
      </c>
      <c r="O10" s="104">
        <v>0.4096</v>
      </c>
      <c r="P10" s="104">
        <v>1.8764</v>
      </c>
      <c r="Q10" s="104">
        <v>155.49</v>
      </c>
      <c r="R10" s="104">
        <v>145.53</v>
      </c>
      <c r="S10" s="104">
        <v>9.96</v>
      </c>
      <c r="T10" s="104">
        <v>8.63</v>
      </c>
      <c r="U10" s="104">
        <v>146.86</v>
      </c>
      <c r="V10" s="104">
        <v>134.32</v>
      </c>
      <c r="W10" s="104">
        <v>4.3114</v>
      </c>
      <c r="X10" s="104">
        <v>5.55</v>
      </c>
      <c r="Y10" s="104">
        <v>112.0</v>
      </c>
      <c r="Z10" s="104">
        <v>530.0</v>
      </c>
      <c r="AA10" s="104">
        <v>4052.0</v>
      </c>
      <c r="AB10" s="104">
        <v>52.6941</v>
      </c>
      <c r="AC10" s="104">
        <v>0.5807</v>
      </c>
      <c r="AD10" s="104">
        <v>10.51</v>
      </c>
      <c r="AE10" s="104">
        <v>4.0</v>
      </c>
      <c r="AF10" s="104">
        <v>9.0</v>
      </c>
      <c r="AG10" s="104">
        <v>14.0</v>
      </c>
      <c r="AH10" s="104">
        <v>22.0</v>
      </c>
      <c r="AI10" s="104">
        <v>65.69</v>
      </c>
      <c r="AJ10" s="104">
        <v>31.67</v>
      </c>
      <c r="AK10" s="104">
        <v>6.2</v>
      </c>
      <c r="AL10" s="104">
        <v>0.1877</v>
      </c>
      <c r="AM10" s="104">
        <v>60.15</v>
      </c>
      <c r="AN10" s="1">
        <v>60.15</v>
      </c>
      <c r="AO10" s="1">
        <v>37.12</v>
      </c>
      <c r="AP10" s="1">
        <v>18.09</v>
      </c>
      <c r="AQ10" s="1">
        <v>10.891</v>
      </c>
      <c r="AR10" s="1">
        <v>0.0783</v>
      </c>
      <c r="AS10" s="1">
        <v>10.8128</v>
      </c>
      <c r="AT10" s="1">
        <v>7.7583</v>
      </c>
      <c r="AU10" s="1">
        <v>0.2493</v>
      </c>
      <c r="AV10" s="1">
        <v>6200.0</v>
      </c>
      <c r="AW10" s="1">
        <v>23.0</v>
      </c>
      <c r="AX10" s="1">
        <v>36.68</v>
      </c>
      <c r="AY10" s="1">
        <v>103.78</v>
      </c>
      <c r="AZ10" s="1">
        <v>4.84</v>
      </c>
      <c r="BA10" s="1">
        <v>8.63</v>
      </c>
      <c r="BB10" s="1">
        <v>1.56</v>
      </c>
    </row>
    <row r="11">
      <c r="A11" s="103">
        <v>46230.0</v>
      </c>
      <c r="B11" s="104" t="s">
        <v>10</v>
      </c>
      <c r="C11" s="104" t="s">
        <v>183</v>
      </c>
      <c r="D11" s="104">
        <v>4634.0</v>
      </c>
      <c r="E11" s="104">
        <v>19.56</v>
      </c>
      <c r="F11" s="104">
        <v>1216.64</v>
      </c>
      <c r="G11" s="104">
        <v>0.2625</v>
      </c>
      <c r="H11" s="104">
        <v>5.22</v>
      </c>
      <c r="I11" s="104">
        <v>5.0274</v>
      </c>
      <c r="J11" s="104">
        <v>99.69</v>
      </c>
      <c r="K11" s="104">
        <v>50.77</v>
      </c>
      <c r="L11" s="104">
        <v>33.93</v>
      </c>
      <c r="M11" s="104">
        <v>0.6683</v>
      </c>
      <c r="N11" s="104">
        <v>0.5009</v>
      </c>
      <c r="O11" s="104">
        <v>0.3352</v>
      </c>
      <c r="P11" s="104">
        <v>1.4962</v>
      </c>
      <c r="Q11" s="104">
        <v>273.88</v>
      </c>
      <c r="R11" s="104">
        <v>255.65</v>
      </c>
      <c r="S11" s="104">
        <v>18.23</v>
      </c>
      <c r="T11" s="104">
        <v>21.99</v>
      </c>
      <c r="U11" s="104">
        <v>251.89</v>
      </c>
      <c r="V11" s="104">
        <v>240.46</v>
      </c>
      <c r="W11" s="104">
        <v>4.755</v>
      </c>
      <c r="X11" s="104">
        <v>8.03</v>
      </c>
      <c r="Y11" s="104">
        <v>130.0</v>
      </c>
      <c r="Z11" s="104">
        <v>567.0</v>
      </c>
      <c r="AA11" s="104">
        <v>4989.0</v>
      </c>
      <c r="AB11" s="104">
        <v>55.0921</v>
      </c>
      <c r="AC11" s="104">
        <v>0.629</v>
      </c>
      <c r="AD11" s="104">
        <v>19.32</v>
      </c>
      <c r="AE11" s="104">
        <v>8.0</v>
      </c>
      <c r="AF11" s="104">
        <v>15.0</v>
      </c>
      <c r="AG11" s="104">
        <v>27.0</v>
      </c>
      <c r="AH11" s="104">
        <v>40.0</v>
      </c>
      <c r="AI11" s="104">
        <v>65.58</v>
      </c>
      <c r="AJ11" s="104">
        <v>27.51</v>
      </c>
      <c r="AK11" s="104">
        <v>6.88</v>
      </c>
      <c r="AL11" s="104">
        <v>0.1567</v>
      </c>
      <c r="AM11" s="104">
        <v>62.75</v>
      </c>
      <c r="AN11" s="1">
        <v>62.75</v>
      </c>
      <c r="AO11" s="1">
        <v>38.15</v>
      </c>
      <c r="AP11" s="1">
        <v>20.41</v>
      </c>
      <c r="AQ11" s="1">
        <v>15.8252</v>
      </c>
      <c r="AR11" s="1">
        <v>0.2365</v>
      </c>
      <c r="AS11" s="1">
        <v>15.5887</v>
      </c>
      <c r="AT11" s="1">
        <v>12.0153</v>
      </c>
      <c r="AU11" s="1">
        <v>0.2367</v>
      </c>
      <c r="AV11" s="1">
        <v>4613.0</v>
      </c>
      <c r="AW11" s="1">
        <v>21.0</v>
      </c>
      <c r="AX11" s="1">
        <v>62.55</v>
      </c>
      <c r="AY11" s="1">
        <v>180.43</v>
      </c>
      <c r="AZ11" s="1">
        <v>6.0</v>
      </c>
      <c r="BA11" s="1">
        <v>21.99</v>
      </c>
      <c r="BB11" s="1">
        <v>2.91</v>
      </c>
    </row>
    <row r="12">
      <c r="A12" s="103">
        <v>46230.0</v>
      </c>
      <c r="B12" s="104" t="s">
        <v>10</v>
      </c>
      <c r="C12" s="104" t="s">
        <v>184</v>
      </c>
      <c r="D12" s="104">
        <v>2603.0</v>
      </c>
      <c r="E12" s="104">
        <v>10.99</v>
      </c>
      <c r="F12" s="104">
        <v>1328.3</v>
      </c>
      <c r="G12" s="104">
        <v>0.5103</v>
      </c>
      <c r="H12" s="104">
        <v>6.57</v>
      </c>
      <c r="I12" s="104">
        <v>7.7678</v>
      </c>
      <c r="J12" s="104">
        <v>160.92</v>
      </c>
      <c r="K12" s="104">
        <v>89.77</v>
      </c>
      <c r="L12" s="104">
        <v>68.49</v>
      </c>
      <c r="M12" s="104">
        <v>0.7629</v>
      </c>
      <c r="N12" s="104">
        <v>0.3973</v>
      </c>
      <c r="O12" s="104">
        <v>0.2757</v>
      </c>
      <c r="P12" s="104">
        <v>1.3107</v>
      </c>
      <c r="Q12" s="104">
        <v>461.15</v>
      </c>
      <c r="R12" s="104">
        <v>423.88</v>
      </c>
      <c r="S12" s="104">
        <v>37.27</v>
      </c>
      <c r="T12" s="104">
        <v>42.45</v>
      </c>
      <c r="U12" s="104">
        <v>418.7</v>
      </c>
      <c r="V12" s="104">
        <v>402.57</v>
      </c>
      <c r="W12" s="104">
        <v>4.5752</v>
      </c>
      <c r="X12" s="104">
        <v>9.21</v>
      </c>
      <c r="Y12" s="104">
        <v>173.0</v>
      </c>
      <c r="Z12" s="104">
        <v>956.0</v>
      </c>
      <c r="AA12" s="104">
        <v>6029.0</v>
      </c>
      <c r="AB12" s="104">
        <v>57.9058</v>
      </c>
      <c r="AC12" s="104">
        <v>0.7085</v>
      </c>
      <c r="AD12" s="104">
        <v>36.7</v>
      </c>
      <c r="AE12" s="104">
        <v>15.0</v>
      </c>
      <c r="AF12" s="104">
        <v>30.0</v>
      </c>
      <c r="AG12" s="104">
        <v>48.0</v>
      </c>
      <c r="AH12" s="104">
        <v>73.0</v>
      </c>
      <c r="AI12" s="104">
        <v>53.09</v>
      </c>
      <c r="AJ12" s="104">
        <v>17.1</v>
      </c>
      <c r="AK12" s="104">
        <v>4.84</v>
      </c>
      <c r="AL12" s="104">
        <v>0.0914</v>
      </c>
      <c r="AM12" s="104">
        <v>63.58</v>
      </c>
      <c r="AN12" s="1">
        <v>63.58</v>
      </c>
      <c r="AO12" s="1">
        <v>38.61</v>
      </c>
      <c r="AP12" s="1">
        <v>21.67</v>
      </c>
      <c r="AQ12" s="1">
        <v>22.7576</v>
      </c>
      <c r="AR12" s="1">
        <v>0.4983</v>
      </c>
      <c r="AS12" s="1">
        <v>22.2593</v>
      </c>
      <c r="AT12" s="1">
        <v>18.4276</v>
      </c>
      <c r="AU12" s="1">
        <v>0.2053</v>
      </c>
      <c r="AV12" s="1">
        <v>2564.0</v>
      </c>
      <c r="AW12" s="1">
        <v>39.0</v>
      </c>
      <c r="AX12" s="1">
        <v>99.95</v>
      </c>
      <c r="AY12" s="1">
        <v>306.18</v>
      </c>
      <c r="AZ12" s="1">
        <v>6.4</v>
      </c>
      <c r="BA12" s="1">
        <v>42.45</v>
      </c>
      <c r="BB12" s="1">
        <v>6.17</v>
      </c>
    </row>
    <row r="13">
      <c r="A13" s="103">
        <v>46230.0</v>
      </c>
      <c r="B13" s="104" t="s">
        <v>10</v>
      </c>
      <c r="C13" s="104" t="s">
        <v>186</v>
      </c>
      <c r="D13" s="104">
        <v>312.0</v>
      </c>
      <c r="E13" s="104">
        <v>1.32</v>
      </c>
      <c r="F13" s="104">
        <v>328.34</v>
      </c>
      <c r="G13" s="104">
        <v>1.0524</v>
      </c>
      <c r="H13" s="104">
        <v>8.01</v>
      </c>
      <c r="I13" s="104">
        <v>13.1336</v>
      </c>
      <c r="J13" s="104">
        <v>280.58</v>
      </c>
      <c r="K13" s="104">
        <v>165.98</v>
      </c>
      <c r="L13" s="104">
        <v>135.8</v>
      </c>
      <c r="M13" s="104">
        <v>0.8181</v>
      </c>
      <c r="N13" s="104">
        <v>0.3308</v>
      </c>
      <c r="O13" s="104">
        <v>0.2428</v>
      </c>
      <c r="P13" s="104">
        <v>1.2223</v>
      </c>
      <c r="Q13" s="104">
        <v>705.36</v>
      </c>
      <c r="R13" s="104">
        <v>627.79</v>
      </c>
      <c r="S13" s="104">
        <v>77.57</v>
      </c>
      <c r="T13" s="104">
        <v>87.77</v>
      </c>
      <c r="U13" s="104">
        <v>617.59</v>
      </c>
      <c r="V13" s="104">
        <v>647.66</v>
      </c>
      <c r="W13" s="104">
        <v>4.1371</v>
      </c>
      <c r="X13" s="104">
        <v>12.44</v>
      </c>
      <c r="Y13" s="104">
        <v>249.0</v>
      </c>
      <c r="Z13" s="104">
        <v>1347.0</v>
      </c>
      <c r="AA13" s="104">
        <v>6756.0</v>
      </c>
      <c r="AB13" s="104">
        <v>60.6183</v>
      </c>
      <c r="AC13" s="104">
        <v>0.8253</v>
      </c>
      <c r="AD13" s="104">
        <v>74.13</v>
      </c>
      <c r="AE13" s="104">
        <v>28.0</v>
      </c>
      <c r="AF13" s="104">
        <v>55.0</v>
      </c>
      <c r="AG13" s="104">
        <v>101.0</v>
      </c>
      <c r="AH13" s="104">
        <v>165.0</v>
      </c>
      <c r="AI13" s="104">
        <v>36.54</v>
      </c>
      <c r="AJ13" s="104">
        <v>8.97</v>
      </c>
      <c r="AK13" s="104">
        <v>1.28</v>
      </c>
      <c r="AL13" s="104">
        <v>0.0321</v>
      </c>
      <c r="AM13" s="104">
        <v>57.37</v>
      </c>
      <c r="AN13" s="1">
        <v>57.37</v>
      </c>
      <c r="AO13" s="1">
        <v>29.17</v>
      </c>
      <c r="AP13" s="1">
        <v>17.63</v>
      </c>
      <c r="AQ13" s="1">
        <v>32.6282</v>
      </c>
      <c r="AR13" s="1">
        <v>0.8365</v>
      </c>
      <c r="AS13" s="1">
        <v>31.7917</v>
      </c>
      <c r="AT13" s="1">
        <v>29.4391</v>
      </c>
      <c r="AU13" s="1">
        <v>0.1774</v>
      </c>
      <c r="AV13" s="1">
        <v>278.0</v>
      </c>
      <c r="AW13" s="1">
        <v>34.0</v>
      </c>
      <c r="AX13" s="1">
        <v>171.17</v>
      </c>
      <c r="AY13" s="1">
        <v>423.02</v>
      </c>
      <c r="AZ13" s="1">
        <v>7.43</v>
      </c>
      <c r="BA13" s="1">
        <v>87.77</v>
      </c>
      <c r="BB13" s="1">
        <v>15.97</v>
      </c>
    </row>
    <row r="14">
      <c r="A14" s="103">
        <v>46231.0</v>
      </c>
      <c r="B14" s="104" t="s">
        <v>9</v>
      </c>
      <c r="C14" s="104" t="s">
        <v>179</v>
      </c>
      <c r="D14" s="104">
        <v>3454.0</v>
      </c>
      <c r="E14" s="104">
        <v>14.63</v>
      </c>
      <c r="F14" s="104">
        <v>15.07</v>
      </c>
      <c r="G14" s="104">
        <v>0.0044</v>
      </c>
      <c r="H14" s="104">
        <v>0.14</v>
      </c>
      <c r="I14" s="104">
        <v>3.014</v>
      </c>
      <c r="J14" s="104">
        <v>6.65</v>
      </c>
      <c r="K14" s="104">
        <v>2.93</v>
      </c>
      <c r="L14" s="104">
        <v>0.31</v>
      </c>
      <c r="M14" s="104">
        <v>0.1075</v>
      </c>
      <c r="N14" s="104">
        <v>0.905</v>
      </c>
      <c r="O14" s="104">
        <v>0.4312</v>
      </c>
      <c r="P14" s="104">
        <v>9.3015</v>
      </c>
      <c r="Q14" s="104">
        <v>24.3</v>
      </c>
      <c r="R14" s="104">
        <v>24.25</v>
      </c>
      <c r="S14" s="104">
        <v>0.05</v>
      </c>
      <c r="T14" s="104">
        <v>0.81</v>
      </c>
      <c r="U14" s="104">
        <v>23.49</v>
      </c>
      <c r="V14" s="104">
        <v>3.0</v>
      </c>
      <c r="W14" s="104">
        <v>1.0227</v>
      </c>
      <c r="X14" s="104">
        <v>3.34</v>
      </c>
      <c r="Y14" s="104">
        <v>211.0</v>
      </c>
      <c r="Z14" s="104">
        <v>2103.0</v>
      </c>
      <c r="AA14" s="104">
        <v>12723.0</v>
      </c>
      <c r="AB14" s="104">
        <v>50.1346</v>
      </c>
      <c r="AC14" s="104">
        <v>0.5439</v>
      </c>
      <c r="AD14" s="105"/>
      <c r="AE14" s="105"/>
      <c r="AF14" s="105"/>
      <c r="AG14" s="105"/>
      <c r="AH14" s="105"/>
      <c r="AI14" s="104">
        <v>0.0</v>
      </c>
      <c r="AJ14" s="104">
        <v>0.0</v>
      </c>
      <c r="AK14" s="104">
        <v>0.0</v>
      </c>
      <c r="AL14" s="104">
        <v>0.3364</v>
      </c>
      <c r="AM14" s="105"/>
      <c r="AQ14" s="1">
        <v>1.084</v>
      </c>
      <c r="AR14" s="1">
        <v>0.0035</v>
      </c>
      <c r="AS14" s="1">
        <v>1.0805</v>
      </c>
      <c r="AT14" s="1">
        <v>0.3955</v>
      </c>
      <c r="AU14" s="1">
        <v>0.135</v>
      </c>
      <c r="AV14" s="1">
        <v>3454.0</v>
      </c>
      <c r="AW14" s="1">
        <v>0.0</v>
      </c>
      <c r="AX14" s="1">
        <v>11.38</v>
      </c>
      <c r="AY14" s="1">
        <v>10.04</v>
      </c>
      <c r="AZ14" s="1">
        <v>1.91</v>
      </c>
      <c r="BA14" s="1">
        <v>0.81</v>
      </c>
      <c r="BB14" s="1">
        <v>0.16</v>
      </c>
    </row>
    <row r="15">
      <c r="A15" s="103">
        <v>46231.0</v>
      </c>
      <c r="B15" s="104" t="s">
        <v>9</v>
      </c>
      <c r="C15" s="104" t="s">
        <v>181</v>
      </c>
      <c r="D15" s="104">
        <v>6999.0</v>
      </c>
      <c r="E15" s="104">
        <v>29.65</v>
      </c>
      <c r="F15" s="104">
        <v>217.22</v>
      </c>
      <c r="G15" s="104">
        <v>0.031</v>
      </c>
      <c r="H15" s="104">
        <v>1.51</v>
      </c>
      <c r="I15" s="104">
        <v>2.0492</v>
      </c>
      <c r="J15" s="104">
        <v>29.04</v>
      </c>
      <c r="K15" s="104">
        <v>13.98</v>
      </c>
      <c r="L15" s="104">
        <v>5.77</v>
      </c>
      <c r="M15" s="104">
        <v>0.4125</v>
      </c>
      <c r="N15" s="104">
        <v>0.7247</v>
      </c>
      <c r="O15" s="104">
        <v>0.512</v>
      </c>
      <c r="P15" s="104">
        <v>2.4241</v>
      </c>
      <c r="Q15" s="104">
        <v>54.62</v>
      </c>
      <c r="R15" s="104">
        <v>46.23</v>
      </c>
      <c r="S15" s="104">
        <v>8.39</v>
      </c>
      <c r="T15" s="104">
        <v>3.07</v>
      </c>
      <c r="U15" s="104">
        <v>51.55</v>
      </c>
      <c r="V15" s="104">
        <v>59.12</v>
      </c>
      <c r="W15" s="104">
        <v>4.2294</v>
      </c>
      <c r="X15" s="104">
        <v>5.62</v>
      </c>
      <c r="Y15" s="104">
        <v>112.0</v>
      </c>
      <c r="Z15" s="104">
        <v>521.0</v>
      </c>
      <c r="AA15" s="104">
        <v>4402.0</v>
      </c>
      <c r="AB15" s="104">
        <v>50.0162</v>
      </c>
      <c r="AC15" s="104">
        <v>0.5117</v>
      </c>
      <c r="AD15" s="104">
        <v>4.21</v>
      </c>
      <c r="AE15" s="104">
        <v>1.0</v>
      </c>
      <c r="AF15" s="104">
        <v>3.0</v>
      </c>
      <c r="AG15" s="104">
        <v>6.0</v>
      </c>
      <c r="AH15" s="104">
        <v>10.0</v>
      </c>
      <c r="AI15" s="104">
        <v>74.35</v>
      </c>
      <c r="AJ15" s="104">
        <v>33.08</v>
      </c>
      <c r="AK15" s="104">
        <v>10.16</v>
      </c>
      <c r="AL15" s="104">
        <v>0.2532</v>
      </c>
      <c r="AM15" s="105"/>
      <c r="AQ15" s="1">
        <v>3.3755</v>
      </c>
      <c r="AR15" s="1">
        <v>0.0336</v>
      </c>
      <c r="AS15" s="1">
        <v>3.3419</v>
      </c>
      <c r="AT15" s="1">
        <v>3.3108</v>
      </c>
      <c r="AU15" s="1">
        <v>0.2368</v>
      </c>
      <c r="AV15" s="1">
        <v>6999.0</v>
      </c>
      <c r="AW15" s="1">
        <v>0.0</v>
      </c>
      <c r="AX15" s="1">
        <v>26.51</v>
      </c>
      <c r="AY15" s="1">
        <v>20.62</v>
      </c>
      <c r="AZ15" s="1">
        <v>3.58</v>
      </c>
      <c r="BA15" s="1">
        <v>3.07</v>
      </c>
      <c r="BB15" s="1">
        <v>0.84</v>
      </c>
    </row>
    <row r="16">
      <c r="A16" s="103">
        <v>46231.0</v>
      </c>
      <c r="B16" s="104" t="s">
        <v>9</v>
      </c>
      <c r="C16" s="104" t="s">
        <v>182</v>
      </c>
      <c r="D16" s="104">
        <v>6170.0</v>
      </c>
      <c r="E16" s="104">
        <v>26.14</v>
      </c>
      <c r="F16" s="104">
        <v>807.53</v>
      </c>
      <c r="G16" s="104">
        <v>0.1309</v>
      </c>
      <c r="H16" s="104">
        <v>3.55</v>
      </c>
      <c r="I16" s="104">
        <v>3.6874</v>
      </c>
      <c r="J16" s="104">
        <v>52.7</v>
      </c>
      <c r="K16" s="104">
        <v>25.92</v>
      </c>
      <c r="L16" s="104">
        <v>14.55</v>
      </c>
      <c r="M16" s="104">
        <v>0.5615</v>
      </c>
      <c r="N16" s="104">
        <v>0.6004</v>
      </c>
      <c r="O16" s="104">
        <v>0.4053</v>
      </c>
      <c r="P16" s="104">
        <v>1.7808</v>
      </c>
      <c r="Q16" s="104">
        <v>108.2</v>
      </c>
      <c r="R16" s="104">
        <v>88.77</v>
      </c>
      <c r="S16" s="104">
        <v>19.43</v>
      </c>
      <c r="T16" s="104">
        <v>9.85</v>
      </c>
      <c r="U16" s="104">
        <v>98.34</v>
      </c>
      <c r="V16" s="104">
        <v>112.72</v>
      </c>
      <c r="W16" s="104">
        <v>4.349</v>
      </c>
      <c r="X16" s="104">
        <v>9.11</v>
      </c>
      <c r="Y16" s="104">
        <v>112.0</v>
      </c>
      <c r="Z16" s="104">
        <v>544.0</v>
      </c>
      <c r="AA16" s="104">
        <v>4657.0</v>
      </c>
      <c r="AB16" s="104">
        <v>52.9467</v>
      </c>
      <c r="AC16" s="104">
        <v>0.5962</v>
      </c>
      <c r="AD16" s="104">
        <v>9.32</v>
      </c>
      <c r="AE16" s="104">
        <v>4.0</v>
      </c>
      <c r="AF16" s="104">
        <v>7.0</v>
      </c>
      <c r="AG16" s="104">
        <v>13.0</v>
      </c>
      <c r="AH16" s="104">
        <v>19.0</v>
      </c>
      <c r="AI16" s="104">
        <v>59.98</v>
      </c>
      <c r="AJ16" s="104">
        <v>25.75</v>
      </c>
      <c r="AK16" s="104">
        <v>4.54</v>
      </c>
      <c r="AL16" s="104">
        <v>0.1943</v>
      </c>
      <c r="AM16" s="105"/>
      <c r="AQ16" s="1">
        <v>6.1676</v>
      </c>
      <c r="AR16" s="1">
        <v>0.0959</v>
      </c>
      <c r="AS16" s="1">
        <v>6.0716</v>
      </c>
      <c r="AT16" s="1">
        <v>6.1125</v>
      </c>
      <c r="AU16" s="1">
        <v>0.2358</v>
      </c>
      <c r="AV16" s="1">
        <v>6170.0</v>
      </c>
      <c r="AW16" s="1">
        <v>0.0</v>
      </c>
      <c r="AX16" s="1">
        <v>42.24</v>
      </c>
      <c r="AY16" s="1">
        <v>49.57</v>
      </c>
      <c r="AZ16" s="1">
        <v>5.08</v>
      </c>
      <c r="BA16" s="1">
        <v>9.85</v>
      </c>
      <c r="BB16" s="1">
        <v>1.46</v>
      </c>
    </row>
    <row r="17">
      <c r="A17" s="103">
        <v>46231.0</v>
      </c>
      <c r="B17" s="104" t="s">
        <v>9</v>
      </c>
      <c r="C17" s="104" t="s">
        <v>183</v>
      </c>
      <c r="D17" s="104">
        <v>4274.0</v>
      </c>
      <c r="E17" s="104">
        <v>18.11</v>
      </c>
      <c r="F17" s="104">
        <v>1227.82</v>
      </c>
      <c r="G17" s="104">
        <v>0.2873</v>
      </c>
      <c r="H17" s="104">
        <v>5.38</v>
      </c>
      <c r="I17" s="104">
        <v>5.3383</v>
      </c>
      <c r="J17" s="104">
        <v>79.95</v>
      </c>
      <c r="K17" s="104">
        <v>42.68</v>
      </c>
      <c r="L17" s="104">
        <v>29.93</v>
      </c>
      <c r="M17" s="104">
        <v>0.7011</v>
      </c>
      <c r="N17" s="104">
        <v>0.4687</v>
      </c>
      <c r="O17" s="104">
        <v>0.3197</v>
      </c>
      <c r="P17" s="104">
        <v>1.4262</v>
      </c>
      <c r="Q17" s="104">
        <v>204.57</v>
      </c>
      <c r="R17" s="104">
        <v>167.13</v>
      </c>
      <c r="S17" s="104">
        <v>37.44</v>
      </c>
      <c r="T17" s="104">
        <v>23.56</v>
      </c>
      <c r="U17" s="104">
        <v>181.01</v>
      </c>
      <c r="V17" s="104">
        <v>205.62</v>
      </c>
      <c r="W17" s="104">
        <v>4.8173</v>
      </c>
      <c r="X17" s="104">
        <v>11.52</v>
      </c>
      <c r="Y17" s="104">
        <v>131.0</v>
      </c>
      <c r="Z17" s="104">
        <v>613.0</v>
      </c>
      <c r="AA17" s="104">
        <v>5105.0</v>
      </c>
      <c r="AB17" s="104">
        <v>55.4629</v>
      </c>
      <c r="AC17" s="104">
        <v>0.6854</v>
      </c>
      <c r="AD17" s="104">
        <v>17.51</v>
      </c>
      <c r="AE17" s="104">
        <v>7.0</v>
      </c>
      <c r="AF17" s="104">
        <v>14.0</v>
      </c>
      <c r="AG17" s="104">
        <v>24.0</v>
      </c>
      <c r="AH17" s="104">
        <v>37.0</v>
      </c>
      <c r="AI17" s="104">
        <v>59.99</v>
      </c>
      <c r="AJ17" s="104">
        <v>22.32</v>
      </c>
      <c r="AK17" s="104">
        <v>6.81</v>
      </c>
      <c r="AL17" s="104">
        <v>0.1717</v>
      </c>
      <c r="AM17" s="105"/>
      <c r="AQ17" s="1">
        <v>9.5964</v>
      </c>
      <c r="AR17" s="1">
        <v>0.2562</v>
      </c>
      <c r="AS17" s="1">
        <v>9.3402</v>
      </c>
      <c r="AT17" s="1">
        <v>9.5711</v>
      </c>
      <c r="AU17" s="1">
        <v>0.2242</v>
      </c>
      <c r="AV17" s="1">
        <v>4274.0</v>
      </c>
      <c r="AW17" s="1">
        <v>0.0</v>
      </c>
      <c r="AX17" s="1">
        <v>67.98</v>
      </c>
      <c r="AY17" s="1">
        <v>104.25</v>
      </c>
      <c r="AZ17" s="1">
        <v>5.33</v>
      </c>
      <c r="BA17" s="1">
        <v>23.56</v>
      </c>
      <c r="BB17" s="1">
        <v>3.45</v>
      </c>
    </row>
    <row r="18">
      <c r="A18" s="103">
        <v>46231.0</v>
      </c>
      <c r="B18" s="104" t="s">
        <v>9</v>
      </c>
      <c r="C18" s="104" t="s">
        <v>184</v>
      </c>
      <c r="D18" s="104">
        <v>2358.0</v>
      </c>
      <c r="E18" s="104">
        <v>9.99</v>
      </c>
      <c r="F18" s="104">
        <v>1099.54</v>
      </c>
      <c r="G18" s="104">
        <v>0.4663</v>
      </c>
      <c r="H18" s="104">
        <v>6.66</v>
      </c>
      <c r="I18" s="104">
        <v>7.0034</v>
      </c>
      <c r="J18" s="104">
        <v>138.28</v>
      </c>
      <c r="K18" s="104">
        <v>78.99</v>
      </c>
      <c r="L18" s="104">
        <v>59.92</v>
      </c>
      <c r="M18" s="104">
        <v>0.7586</v>
      </c>
      <c r="N18" s="104">
        <v>0.3992</v>
      </c>
      <c r="O18" s="104">
        <v>0.2813</v>
      </c>
      <c r="P18" s="104">
        <v>1.3182</v>
      </c>
      <c r="Q18" s="104">
        <v>392.26</v>
      </c>
      <c r="R18" s="104">
        <v>306.78</v>
      </c>
      <c r="S18" s="104">
        <v>85.48</v>
      </c>
      <c r="T18" s="104">
        <v>44.95</v>
      </c>
      <c r="U18" s="104">
        <v>347.31</v>
      </c>
      <c r="V18" s="104">
        <v>383.18</v>
      </c>
      <c r="W18" s="104">
        <v>4.8509</v>
      </c>
      <c r="X18" s="104">
        <v>11.46</v>
      </c>
      <c r="Y18" s="104">
        <v>155.0</v>
      </c>
      <c r="Z18" s="104">
        <v>936.0</v>
      </c>
      <c r="AA18" s="104">
        <v>6150.0</v>
      </c>
      <c r="AB18" s="104">
        <v>58.1733</v>
      </c>
      <c r="AC18" s="104">
        <v>0.8021</v>
      </c>
      <c r="AD18" s="104">
        <v>35.64</v>
      </c>
      <c r="AE18" s="104">
        <v>13.0</v>
      </c>
      <c r="AF18" s="104">
        <v>26.0</v>
      </c>
      <c r="AG18" s="104">
        <v>48.0</v>
      </c>
      <c r="AH18" s="104">
        <v>77.0</v>
      </c>
      <c r="AI18" s="104">
        <v>47.46</v>
      </c>
      <c r="AJ18" s="104">
        <v>17.22</v>
      </c>
      <c r="AK18" s="104">
        <v>5.34</v>
      </c>
      <c r="AL18" s="104">
        <v>0.109</v>
      </c>
      <c r="AM18" s="105"/>
      <c r="AQ18" s="1">
        <v>15.6586</v>
      </c>
      <c r="AR18" s="1">
        <v>0.5543</v>
      </c>
      <c r="AS18" s="1">
        <v>15.1043</v>
      </c>
      <c r="AT18" s="1">
        <v>15.7532</v>
      </c>
      <c r="AU18" s="1">
        <v>0.1994</v>
      </c>
      <c r="AV18" s="1">
        <v>2358.0</v>
      </c>
      <c r="AW18" s="1">
        <v>0.0</v>
      </c>
      <c r="AX18" s="1">
        <v>140.81</v>
      </c>
      <c r="AY18" s="1">
        <v>194.11</v>
      </c>
      <c r="AZ18" s="1">
        <v>5.56</v>
      </c>
      <c r="BA18" s="1">
        <v>44.95</v>
      </c>
      <c r="BB18" s="1">
        <v>6.83</v>
      </c>
    </row>
    <row r="19">
      <c r="A19" s="103">
        <v>46231.0</v>
      </c>
      <c r="B19" s="104" t="s">
        <v>9</v>
      </c>
      <c r="C19" s="104" t="s">
        <v>186</v>
      </c>
      <c r="D19" s="104">
        <v>348.0</v>
      </c>
      <c r="E19" s="104">
        <v>1.47</v>
      </c>
      <c r="F19" s="104">
        <v>254.83</v>
      </c>
      <c r="G19" s="104">
        <v>0.7323</v>
      </c>
      <c r="H19" s="104">
        <v>7.47</v>
      </c>
      <c r="I19" s="104">
        <v>9.8012</v>
      </c>
      <c r="J19" s="104">
        <v>254.97</v>
      </c>
      <c r="K19" s="104">
        <v>159.64</v>
      </c>
      <c r="L19" s="104">
        <v>131.18</v>
      </c>
      <c r="M19" s="104">
        <v>0.8217</v>
      </c>
      <c r="N19" s="104">
        <v>0.3198</v>
      </c>
      <c r="O19" s="104">
        <v>0.232</v>
      </c>
      <c r="P19" s="104">
        <v>1.217</v>
      </c>
      <c r="Q19" s="104">
        <v>697.3</v>
      </c>
      <c r="R19" s="104">
        <v>497.03</v>
      </c>
      <c r="S19" s="104">
        <v>200.27</v>
      </c>
      <c r="T19" s="104">
        <v>72.27</v>
      </c>
      <c r="U19" s="104">
        <v>625.03</v>
      </c>
      <c r="V19" s="104">
        <v>918.1</v>
      </c>
      <c r="W19" s="104">
        <v>5.751</v>
      </c>
      <c r="X19" s="104">
        <v>10.36</v>
      </c>
      <c r="Y19" s="104">
        <v>218.0</v>
      </c>
      <c r="Z19" s="104">
        <v>1031.0</v>
      </c>
      <c r="AA19" s="104">
        <v>5171.0</v>
      </c>
      <c r="AB19" s="104">
        <v>60.5203</v>
      </c>
      <c r="AC19" s="104">
        <v>0.8473</v>
      </c>
      <c r="AD19" s="104">
        <v>72.81</v>
      </c>
      <c r="AE19" s="104">
        <v>27.0</v>
      </c>
      <c r="AF19" s="104">
        <v>52.0</v>
      </c>
      <c r="AG19" s="104">
        <v>107.0</v>
      </c>
      <c r="AH19" s="104">
        <v>159.0</v>
      </c>
      <c r="AI19" s="104">
        <v>33.91</v>
      </c>
      <c r="AJ19" s="104">
        <v>7.18</v>
      </c>
      <c r="AK19" s="104">
        <v>1.15</v>
      </c>
      <c r="AL19" s="104">
        <v>0.0632</v>
      </c>
      <c r="AM19" s="105"/>
      <c r="AQ19" s="1">
        <v>33.6293</v>
      </c>
      <c r="AR19" s="1">
        <v>5.704</v>
      </c>
      <c r="AS19" s="1">
        <v>27.9253</v>
      </c>
      <c r="AT19" s="1">
        <v>28.7931</v>
      </c>
      <c r="AU19" s="1">
        <v>0.1804</v>
      </c>
      <c r="AV19" s="1">
        <v>348.0</v>
      </c>
      <c r="AW19" s="1">
        <v>0.0</v>
      </c>
      <c r="AX19" s="1">
        <v>302.1</v>
      </c>
      <c r="AY19" s="1">
        <v>300.0</v>
      </c>
      <c r="AZ19" s="1">
        <v>8.13</v>
      </c>
      <c r="BA19" s="1">
        <v>72.27</v>
      </c>
      <c r="BB19" s="1">
        <v>14.8</v>
      </c>
    </row>
    <row r="20" ht="15.75" customHeight="1">
      <c r="A20" s="103">
        <v>46231.0</v>
      </c>
      <c r="B20" s="104" t="s">
        <v>10</v>
      </c>
      <c r="C20" s="104" t="s">
        <v>179</v>
      </c>
      <c r="D20" s="104">
        <v>3361.0</v>
      </c>
      <c r="E20" s="104">
        <v>14.25</v>
      </c>
      <c r="F20" s="104">
        <v>5.0</v>
      </c>
      <c r="G20" s="104">
        <v>0.0015</v>
      </c>
      <c r="H20" s="104">
        <v>0.06</v>
      </c>
      <c r="I20" s="104">
        <v>2.5</v>
      </c>
      <c r="J20" s="104">
        <v>7.09</v>
      </c>
      <c r="K20" s="104">
        <v>3.05</v>
      </c>
      <c r="L20" s="104">
        <v>0.23</v>
      </c>
      <c r="M20" s="104">
        <v>0.0762</v>
      </c>
      <c r="N20" s="104">
        <v>0.9404</v>
      </c>
      <c r="O20" s="104">
        <v>0.5367</v>
      </c>
      <c r="P20" s="104">
        <v>13.1228</v>
      </c>
      <c r="Q20" s="104">
        <v>19.06</v>
      </c>
      <c r="R20" s="104">
        <v>18.99</v>
      </c>
      <c r="S20" s="104">
        <v>0.07</v>
      </c>
      <c r="T20" s="104">
        <v>0.0</v>
      </c>
      <c r="U20" s="104">
        <v>19.06</v>
      </c>
      <c r="V20" s="104">
        <v>2.79</v>
      </c>
      <c r="W20" s="104">
        <v>0.9154</v>
      </c>
      <c r="X20" s="104">
        <v>0.0</v>
      </c>
      <c r="Y20" s="104">
        <v>179.0</v>
      </c>
      <c r="Z20" s="104">
        <v>2297.0</v>
      </c>
      <c r="AA20" s="104">
        <v>11410.0</v>
      </c>
      <c r="AB20" s="104">
        <v>49.8522</v>
      </c>
      <c r="AC20" s="104">
        <v>0.5391</v>
      </c>
      <c r="AD20" s="105"/>
      <c r="AE20" s="105"/>
      <c r="AF20" s="105"/>
      <c r="AG20" s="105"/>
      <c r="AH20" s="105"/>
      <c r="AI20" s="104">
        <v>0.0</v>
      </c>
      <c r="AJ20" s="104">
        <v>0.0</v>
      </c>
      <c r="AK20" s="104">
        <v>0.0</v>
      </c>
      <c r="AL20" s="104">
        <v>0.3454</v>
      </c>
      <c r="AM20" s="104">
        <v>0.33</v>
      </c>
      <c r="AN20" s="1">
        <v>0.33</v>
      </c>
      <c r="AO20" s="1">
        <v>0.18</v>
      </c>
      <c r="AP20" s="1">
        <v>0.0</v>
      </c>
      <c r="AQ20" s="1">
        <v>1.0173</v>
      </c>
      <c r="AR20" s="1">
        <v>0.0036</v>
      </c>
      <c r="AS20" s="1">
        <v>1.0137</v>
      </c>
      <c r="AT20" s="1">
        <v>0.4457</v>
      </c>
      <c r="AU20" s="1">
        <v>0.146</v>
      </c>
      <c r="AV20" s="1">
        <v>3347.0</v>
      </c>
      <c r="AW20" s="1">
        <v>14.0</v>
      </c>
      <c r="AX20" s="1">
        <v>8.7</v>
      </c>
      <c r="AY20" s="1">
        <v>8.38</v>
      </c>
      <c r="AZ20" s="1">
        <v>1.82</v>
      </c>
      <c r="BA20" s="1">
        <v>0.0</v>
      </c>
      <c r="BB20" s="1">
        <v>0.16</v>
      </c>
    </row>
    <row r="21" ht="15.75" customHeight="1">
      <c r="A21" s="103">
        <v>46231.0</v>
      </c>
      <c r="B21" s="104" t="s">
        <v>10</v>
      </c>
      <c r="C21" s="104" t="s">
        <v>181</v>
      </c>
      <c r="D21" s="104">
        <v>6794.0</v>
      </c>
      <c r="E21" s="104">
        <v>28.81</v>
      </c>
      <c r="F21" s="104">
        <v>202.67</v>
      </c>
      <c r="G21" s="104">
        <v>0.0298</v>
      </c>
      <c r="H21" s="104">
        <v>1.27</v>
      </c>
      <c r="I21" s="104">
        <v>2.3566</v>
      </c>
      <c r="J21" s="104">
        <v>32.86</v>
      </c>
      <c r="K21" s="104">
        <v>15.42</v>
      </c>
      <c r="L21" s="104">
        <v>5.84</v>
      </c>
      <c r="M21" s="104">
        <v>0.3789</v>
      </c>
      <c r="N21" s="104">
        <v>0.7464</v>
      </c>
      <c r="O21" s="104">
        <v>0.5212</v>
      </c>
      <c r="P21" s="104">
        <v>2.6392</v>
      </c>
      <c r="Q21" s="104">
        <v>53.04</v>
      </c>
      <c r="R21" s="104">
        <v>49.38</v>
      </c>
      <c r="S21" s="104">
        <v>3.66</v>
      </c>
      <c r="T21" s="104">
        <v>2.65</v>
      </c>
      <c r="U21" s="104">
        <v>50.39</v>
      </c>
      <c r="V21" s="104">
        <v>55.15</v>
      </c>
      <c r="W21" s="104">
        <v>3.5703</v>
      </c>
      <c r="X21" s="104">
        <v>4.99</v>
      </c>
      <c r="Y21" s="104">
        <v>108.0</v>
      </c>
      <c r="Z21" s="104">
        <v>547.0</v>
      </c>
      <c r="AA21" s="104">
        <v>4265.0</v>
      </c>
      <c r="AB21" s="104">
        <v>49.8828</v>
      </c>
      <c r="AC21" s="104">
        <v>0.5179</v>
      </c>
      <c r="AD21" s="104">
        <v>4.14</v>
      </c>
      <c r="AE21" s="104">
        <v>1.0</v>
      </c>
      <c r="AF21" s="104">
        <v>3.0</v>
      </c>
      <c r="AG21" s="104">
        <v>5.0</v>
      </c>
      <c r="AH21" s="104">
        <v>9.0</v>
      </c>
      <c r="AI21" s="104">
        <v>74.82</v>
      </c>
      <c r="AJ21" s="104">
        <v>32.4</v>
      </c>
      <c r="AK21" s="104">
        <v>8.93</v>
      </c>
      <c r="AL21" s="104">
        <v>0.2602</v>
      </c>
      <c r="AM21" s="104">
        <v>53.03</v>
      </c>
      <c r="AN21" s="1">
        <v>53.03</v>
      </c>
      <c r="AO21" s="1">
        <v>24.76</v>
      </c>
      <c r="AP21" s="1">
        <v>7.58</v>
      </c>
      <c r="AQ21" s="1">
        <v>4.1969</v>
      </c>
      <c r="AR21" s="1">
        <v>0.0274</v>
      </c>
      <c r="AS21" s="1">
        <v>4.1696</v>
      </c>
      <c r="AT21" s="1">
        <v>3.6298</v>
      </c>
      <c r="AU21" s="1">
        <v>0.2354</v>
      </c>
      <c r="AV21" s="1">
        <v>6744.0</v>
      </c>
      <c r="AW21" s="1">
        <v>50.0</v>
      </c>
      <c r="AX21" s="1">
        <v>18.5</v>
      </c>
      <c r="AY21" s="1">
        <v>27.82</v>
      </c>
      <c r="AZ21" s="1">
        <v>3.28</v>
      </c>
      <c r="BA21" s="1">
        <v>2.65</v>
      </c>
      <c r="BB21" s="1">
        <v>0.8</v>
      </c>
    </row>
    <row r="22" ht="15.75" customHeight="1">
      <c r="A22" s="103">
        <v>46231.0</v>
      </c>
      <c r="B22" s="104" t="s">
        <v>10</v>
      </c>
      <c r="C22" s="104" t="s">
        <v>182</v>
      </c>
      <c r="D22" s="104">
        <v>6324.0</v>
      </c>
      <c r="E22" s="104">
        <v>26.82</v>
      </c>
      <c r="F22" s="104">
        <v>654.55</v>
      </c>
      <c r="G22" s="104">
        <v>0.1035</v>
      </c>
      <c r="H22" s="104">
        <v>3.48</v>
      </c>
      <c r="I22" s="104">
        <v>2.9752</v>
      </c>
      <c r="J22" s="104">
        <v>60.83</v>
      </c>
      <c r="K22" s="104">
        <v>29.71</v>
      </c>
      <c r="L22" s="104">
        <v>15.41</v>
      </c>
      <c r="M22" s="104">
        <v>0.5188</v>
      </c>
      <c r="N22" s="104">
        <v>0.63</v>
      </c>
      <c r="O22" s="104">
        <v>0.4087</v>
      </c>
      <c r="P22" s="104">
        <v>1.9276</v>
      </c>
      <c r="Q22" s="104">
        <v>92.46</v>
      </c>
      <c r="R22" s="104">
        <v>83.43</v>
      </c>
      <c r="S22" s="104">
        <v>9.03</v>
      </c>
      <c r="T22" s="104">
        <v>8.55</v>
      </c>
      <c r="U22" s="104">
        <v>83.91</v>
      </c>
      <c r="V22" s="104">
        <v>104.78</v>
      </c>
      <c r="W22" s="104">
        <v>3.5277</v>
      </c>
      <c r="X22" s="104">
        <v>9.24</v>
      </c>
      <c r="Y22" s="104">
        <v>95.0</v>
      </c>
      <c r="Z22" s="104">
        <v>398.0</v>
      </c>
      <c r="AA22" s="104">
        <v>3801.0</v>
      </c>
      <c r="AB22" s="104">
        <v>52.6805</v>
      </c>
      <c r="AC22" s="104">
        <v>0.5925</v>
      </c>
      <c r="AD22" s="104">
        <v>9.64</v>
      </c>
      <c r="AE22" s="104">
        <v>4.0</v>
      </c>
      <c r="AF22" s="104">
        <v>8.0</v>
      </c>
      <c r="AG22" s="104">
        <v>13.0</v>
      </c>
      <c r="AH22" s="104">
        <v>20.0</v>
      </c>
      <c r="AI22" s="104">
        <v>62.33</v>
      </c>
      <c r="AJ22" s="104">
        <v>27.09</v>
      </c>
      <c r="AK22" s="104">
        <v>4.74</v>
      </c>
      <c r="AL22" s="104">
        <v>0.1856</v>
      </c>
      <c r="AM22" s="104">
        <v>55.44</v>
      </c>
      <c r="AN22" s="1">
        <v>55.44</v>
      </c>
      <c r="AO22" s="1">
        <v>32.84</v>
      </c>
      <c r="AP22" s="1">
        <v>16.49</v>
      </c>
      <c r="AQ22" s="1">
        <v>7.0408</v>
      </c>
      <c r="AR22" s="1">
        <v>0.065</v>
      </c>
      <c r="AS22" s="1">
        <v>6.9758</v>
      </c>
      <c r="AT22" s="1">
        <v>6.6415</v>
      </c>
      <c r="AU22" s="1">
        <v>0.2235</v>
      </c>
      <c r="AV22" s="1">
        <v>6295.0</v>
      </c>
      <c r="AW22" s="1">
        <v>29.0</v>
      </c>
      <c r="AX22" s="1">
        <v>28.7</v>
      </c>
      <c r="AY22" s="1">
        <v>48.85</v>
      </c>
      <c r="AZ22" s="1">
        <v>4.76</v>
      </c>
      <c r="BA22" s="1">
        <v>8.55</v>
      </c>
      <c r="BB22" s="1">
        <v>1.61</v>
      </c>
    </row>
    <row r="23" ht="15.75" customHeight="1">
      <c r="A23" s="103">
        <v>46231.0</v>
      </c>
      <c r="B23" s="104" t="s">
        <v>10</v>
      </c>
      <c r="C23" s="104" t="s">
        <v>183</v>
      </c>
      <c r="D23" s="104">
        <v>4420.0</v>
      </c>
      <c r="E23" s="104">
        <v>18.75</v>
      </c>
      <c r="F23" s="104">
        <v>1125.54</v>
      </c>
      <c r="G23" s="104">
        <v>0.2546</v>
      </c>
      <c r="H23" s="104">
        <v>5.54</v>
      </c>
      <c r="I23" s="104">
        <v>4.594</v>
      </c>
      <c r="J23" s="104">
        <v>91.17</v>
      </c>
      <c r="K23" s="104">
        <v>46.79</v>
      </c>
      <c r="L23" s="104">
        <v>31.22</v>
      </c>
      <c r="M23" s="104">
        <v>0.6671</v>
      </c>
      <c r="N23" s="104">
        <v>0.4916</v>
      </c>
      <c r="O23" s="104">
        <v>0.3235</v>
      </c>
      <c r="P23" s="104">
        <v>1.499</v>
      </c>
      <c r="Q23" s="104">
        <v>158.47</v>
      </c>
      <c r="R23" s="104">
        <v>141.43</v>
      </c>
      <c r="S23" s="104">
        <v>17.04</v>
      </c>
      <c r="T23" s="104">
        <v>21.56</v>
      </c>
      <c r="U23" s="104">
        <v>136.91</v>
      </c>
      <c r="V23" s="104">
        <v>181.86</v>
      </c>
      <c r="W23" s="104">
        <v>3.8985</v>
      </c>
      <c r="X23" s="104">
        <v>13.6</v>
      </c>
      <c r="Y23" s="104">
        <v>110.0</v>
      </c>
      <c r="Z23" s="104">
        <v>544.0</v>
      </c>
      <c r="AA23" s="104">
        <v>3939.0</v>
      </c>
      <c r="AB23" s="104">
        <v>55.5961</v>
      </c>
      <c r="AC23" s="104">
        <v>0.6806</v>
      </c>
      <c r="AD23" s="104">
        <v>17.72</v>
      </c>
      <c r="AE23" s="104">
        <v>7.0</v>
      </c>
      <c r="AF23" s="104">
        <v>14.0</v>
      </c>
      <c r="AG23" s="104">
        <v>25.0</v>
      </c>
      <c r="AH23" s="104">
        <v>37.0</v>
      </c>
      <c r="AI23" s="104">
        <v>60.57</v>
      </c>
      <c r="AJ23" s="104">
        <v>22.58</v>
      </c>
      <c r="AK23" s="104">
        <v>7.29</v>
      </c>
      <c r="AL23" s="104">
        <v>0.1627</v>
      </c>
      <c r="AM23" s="104">
        <v>59.32</v>
      </c>
      <c r="AN23" s="1">
        <v>59.32</v>
      </c>
      <c r="AO23" s="1">
        <v>35.11</v>
      </c>
      <c r="AP23" s="1">
        <v>18.19</v>
      </c>
      <c r="AQ23" s="1">
        <v>10.1941</v>
      </c>
      <c r="AR23" s="1">
        <v>0.2253</v>
      </c>
      <c r="AS23" s="1">
        <v>9.9688</v>
      </c>
      <c r="AT23" s="1">
        <v>10.2317</v>
      </c>
      <c r="AU23" s="1">
        <v>0.2187</v>
      </c>
      <c r="AV23" s="1">
        <v>4411.0</v>
      </c>
      <c r="AW23" s="1">
        <v>9.0</v>
      </c>
      <c r="AX23" s="1">
        <v>46.29</v>
      </c>
      <c r="AY23" s="1">
        <v>82.36</v>
      </c>
      <c r="AZ23" s="1">
        <v>5.4</v>
      </c>
      <c r="BA23" s="1">
        <v>21.56</v>
      </c>
      <c r="BB23" s="1">
        <v>2.87</v>
      </c>
    </row>
    <row r="24" ht="15.75" customHeight="1">
      <c r="A24" s="103">
        <v>46231.0</v>
      </c>
      <c r="B24" s="104" t="s">
        <v>10</v>
      </c>
      <c r="C24" s="104" t="s">
        <v>184</v>
      </c>
      <c r="D24" s="104">
        <v>2346.0</v>
      </c>
      <c r="E24" s="104">
        <v>9.95</v>
      </c>
      <c r="F24" s="104">
        <v>1122.12</v>
      </c>
      <c r="G24" s="104">
        <v>0.4783</v>
      </c>
      <c r="H24" s="104">
        <v>6.27</v>
      </c>
      <c r="I24" s="104">
        <v>7.6335</v>
      </c>
      <c r="J24" s="104">
        <v>141.53</v>
      </c>
      <c r="K24" s="104">
        <v>77.99</v>
      </c>
      <c r="L24" s="104">
        <v>57.87</v>
      </c>
      <c r="M24" s="104">
        <v>0.7421</v>
      </c>
      <c r="N24" s="104">
        <v>0.4135</v>
      </c>
      <c r="O24" s="104">
        <v>0.2869</v>
      </c>
      <c r="P24" s="104">
        <v>1.3476</v>
      </c>
      <c r="Q24" s="104">
        <v>268.11</v>
      </c>
      <c r="R24" s="104">
        <v>232.63</v>
      </c>
      <c r="S24" s="104">
        <v>35.49</v>
      </c>
      <c r="T24" s="104">
        <v>38.5</v>
      </c>
      <c r="U24" s="104">
        <v>229.62</v>
      </c>
      <c r="V24" s="104">
        <v>292.89</v>
      </c>
      <c r="W24" s="104">
        <v>3.7829</v>
      </c>
      <c r="X24" s="104">
        <v>14.36</v>
      </c>
      <c r="Y24" s="104">
        <v>139.0</v>
      </c>
      <c r="Z24" s="104">
        <v>762.0</v>
      </c>
      <c r="AA24" s="104">
        <v>4645.0</v>
      </c>
      <c r="AB24" s="104">
        <v>58.4983</v>
      </c>
      <c r="AC24" s="104">
        <v>0.8123</v>
      </c>
      <c r="AD24" s="104">
        <v>33.16</v>
      </c>
      <c r="AE24" s="104">
        <v>13.0</v>
      </c>
      <c r="AF24" s="104">
        <v>25.0</v>
      </c>
      <c r="AG24" s="104">
        <v>45.0</v>
      </c>
      <c r="AH24" s="104">
        <v>72.0</v>
      </c>
      <c r="AI24" s="104">
        <v>44.54</v>
      </c>
      <c r="AJ24" s="104">
        <v>15.26</v>
      </c>
      <c r="AK24" s="104">
        <v>4.13</v>
      </c>
      <c r="AL24" s="104">
        <v>0.1198</v>
      </c>
      <c r="AM24" s="104">
        <v>55.16</v>
      </c>
      <c r="AN24" s="1">
        <v>55.16</v>
      </c>
      <c r="AO24" s="1">
        <v>30.73</v>
      </c>
      <c r="AP24" s="1">
        <v>17.6</v>
      </c>
      <c r="AQ24" s="1">
        <v>14.2609</v>
      </c>
      <c r="AR24" s="1">
        <v>0.4778</v>
      </c>
      <c r="AS24" s="1">
        <v>13.783</v>
      </c>
      <c r="AT24" s="1">
        <v>14.7144</v>
      </c>
      <c r="AU24" s="1">
        <v>0.1887</v>
      </c>
      <c r="AV24" s="1">
        <v>2334.0</v>
      </c>
      <c r="AW24" s="1">
        <v>12.0</v>
      </c>
      <c r="AX24" s="1">
        <v>84.53</v>
      </c>
      <c r="AY24" s="1">
        <v>131.69</v>
      </c>
      <c r="AZ24" s="1">
        <v>5.56</v>
      </c>
      <c r="BA24" s="1">
        <v>38.5</v>
      </c>
      <c r="BB24" s="1">
        <v>7.83</v>
      </c>
    </row>
    <row r="25" ht="15.75" customHeight="1">
      <c r="A25" s="103">
        <v>46231.0</v>
      </c>
      <c r="B25" s="104" t="s">
        <v>10</v>
      </c>
      <c r="C25" s="104" t="s">
        <v>186</v>
      </c>
      <c r="D25" s="104">
        <v>334.0</v>
      </c>
      <c r="E25" s="104">
        <v>1.42</v>
      </c>
      <c r="F25" s="104">
        <v>227.92</v>
      </c>
      <c r="G25" s="104">
        <v>0.6824</v>
      </c>
      <c r="H25" s="104">
        <v>6.59</v>
      </c>
      <c r="I25" s="104">
        <v>10.36</v>
      </c>
      <c r="J25" s="104">
        <v>263.57</v>
      </c>
      <c r="K25" s="104">
        <v>157.97</v>
      </c>
      <c r="L25" s="104">
        <v>130.32</v>
      </c>
      <c r="M25" s="104">
        <v>0.825</v>
      </c>
      <c r="N25" s="104">
        <v>0.3195</v>
      </c>
      <c r="O25" s="104">
        <v>0.2378</v>
      </c>
      <c r="P25" s="104">
        <v>1.2121</v>
      </c>
      <c r="Q25" s="104">
        <v>469.39</v>
      </c>
      <c r="R25" s="104">
        <v>394.63</v>
      </c>
      <c r="S25" s="104">
        <v>74.76</v>
      </c>
      <c r="T25" s="104">
        <v>60.77</v>
      </c>
      <c r="U25" s="104">
        <v>408.62</v>
      </c>
      <c r="V25" s="104">
        <v>539.56</v>
      </c>
      <c r="W25" s="104">
        <v>3.6032</v>
      </c>
      <c r="X25" s="104">
        <v>12.95</v>
      </c>
      <c r="Y25" s="104">
        <v>228.0</v>
      </c>
      <c r="Z25" s="104">
        <v>1370.0</v>
      </c>
      <c r="AA25" s="104">
        <v>8302.0</v>
      </c>
      <c r="AB25" s="104">
        <v>60.7337</v>
      </c>
      <c r="AC25" s="104">
        <v>0.8565</v>
      </c>
      <c r="AD25" s="104">
        <v>69.34</v>
      </c>
      <c r="AE25" s="104">
        <v>23.0</v>
      </c>
      <c r="AF25" s="104">
        <v>46.0</v>
      </c>
      <c r="AG25" s="104">
        <v>98.0</v>
      </c>
      <c r="AH25" s="104">
        <v>168.0</v>
      </c>
      <c r="AI25" s="104">
        <v>33.83</v>
      </c>
      <c r="AJ25" s="104">
        <v>8.98</v>
      </c>
      <c r="AK25" s="104">
        <v>0.9</v>
      </c>
      <c r="AL25" s="104">
        <v>0.0629</v>
      </c>
      <c r="AM25" s="104">
        <v>55.99</v>
      </c>
      <c r="AN25" s="1">
        <v>55.99</v>
      </c>
      <c r="AO25" s="1">
        <v>29.64</v>
      </c>
      <c r="AP25" s="1">
        <v>17.37</v>
      </c>
      <c r="AQ25" s="1">
        <v>24.3443</v>
      </c>
      <c r="AR25" s="1">
        <v>0.7844</v>
      </c>
      <c r="AS25" s="1">
        <v>23.5599</v>
      </c>
      <c r="AT25" s="1">
        <v>34.3623</v>
      </c>
      <c r="AU25" s="1">
        <v>0.2175</v>
      </c>
      <c r="AV25" s="1">
        <v>297.0</v>
      </c>
      <c r="AW25" s="1">
        <v>37.0</v>
      </c>
      <c r="AX25" s="1">
        <v>161.33</v>
      </c>
      <c r="AY25" s="1">
        <v>226.09</v>
      </c>
      <c r="AZ25" s="1">
        <v>7.24</v>
      </c>
      <c r="BA25" s="1">
        <v>60.77</v>
      </c>
      <c r="BB25" s="1">
        <v>13.95</v>
      </c>
    </row>
    <row r="26" ht="15.75" customHeight="1">
      <c r="A26" s="103">
        <v>46232.0</v>
      </c>
      <c r="B26" s="104" t="s">
        <v>9</v>
      </c>
      <c r="C26" s="104" t="s">
        <v>179</v>
      </c>
      <c r="D26" s="104">
        <v>3576.0</v>
      </c>
      <c r="E26" s="104">
        <v>15.52</v>
      </c>
      <c r="F26" s="104">
        <v>10.96</v>
      </c>
      <c r="G26" s="104">
        <v>0.0031</v>
      </c>
      <c r="H26" s="104">
        <v>0.03</v>
      </c>
      <c r="I26" s="104">
        <v>10.96</v>
      </c>
      <c r="J26" s="104">
        <v>6.9</v>
      </c>
      <c r="K26" s="104">
        <v>2.97</v>
      </c>
      <c r="L26" s="104">
        <v>0.08</v>
      </c>
      <c r="M26" s="104">
        <v>0.0274</v>
      </c>
      <c r="N26" s="104">
        <v>0.9788</v>
      </c>
      <c r="O26" s="104">
        <v>0.7397</v>
      </c>
      <c r="P26" s="104">
        <v>36.457</v>
      </c>
      <c r="Q26" s="104">
        <v>17.98</v>
      </c>
      <c r="R26" s="104">
        <v>17.9</v>
      </c>
      <c r="S26" s="104">
        <v>0.08</v>
      </c>
      <c r="T26" s="104">
        <v>0.0</v>
      </c>
      <c r="U26" s="104">
        <v>17.98</v>
      </c>
      <c r="V26" s="104">
        <v>2.17</v>
      </c>
      <c r="W26" s="104">
        <v>0.7305</v>
      </c>
      <c r="X26" s="104">
        <v>0.0</v>
      </c>
      <c r="Y26" s="104">
        <v>183.0</v>
      </c>
      <c r="Z26" s="104">
        <v>2050.0</v>
      </c>
      <c r="AA26" s="104">
        <v>12360.0</v>
      </c>
      <c r="AB26" s="104">
        <v>50.4908</v>
      </c>
      <c r="AC26" s="104">
        <v>0.558</v>
      </c>
      <c r="AD26" s="105"/>
      <c r="AE26" s="105"/>
      <c r="AF26" s="105"/>
      <c r="AG26" s="105"/>
      <c r="AH26" s="105"/>
      <c r="AI26" s="104">
        <v>0.0</v>
      </c>
      <c r="AJ26" s="104">
        <v>0.0</v>
      </c>
      <c r="AK26" s="104">
        <v>0.0</v>
      </c>
      <c r="AL26" s="104">
        <v>0.3255</v>
      </c>
      <c r="AM26" s="105"/>
      <c r="AQ26" s="1">
        <v>0.762</v>
      </c>
      <c r="AR26" s="1">
        <v>0.0034</v>
      </c>
      <c r="AS26" s="1">
        <v>0.7587</v>
      </c>
      <c r="AT26" s="1">
        <v>0.3798</v>
      </c>
      <c r="AU26" s="1">
        <v>0.128</v>
      </c>
      <c r="AV26" s="1">
        <v>3576.0</v>
      </c>
      <c r="AW26" s="1">
        <v>0.0</v>
      </c>
      <c r="AX26" s="1">
        <v>11.36</v>
      </c>
      <c r="AY26" s="1">
        <v>4.55</v>
      </c>
      <c r="AZ26" s="1">
        <v>1.88</v>
      </c>
      <c r="BA26" s="1">
        <v>0.0</v>
      </c>
      <c r="BB26" s="1">
        <v>0.19</v>
      </c>
    </row>
    <row r="27" ht="15.75" customHeight="1">
      <c r="A27" s="103">
        <v>46232.0</v>
      </c>
      <c r="B27" s="104" t="s">
        <v>9</v>
      </c>
      <c r="C27" s="104" t="s">
        <v>181</v>
      </c>
      <c r="D27" s="104">
        <v>7018.0</v>
      </c>
      <c r="E27" s="104">
        <v>30.46</v>
      </c>
      <c r="F27" s="104">
        <v>214.46</v>
      </c>
      <c r="G27" s="104">
        <v>0.0306</v>
      </c>
      <c r="H27" s="104">
        <v>1.35</v>
      </c>
      <c r="I27" s="104">
        <v>2.2575</v>
      </c>
      <c r="J27" s="104">
        <v>31.51</v>
      </c>
      <c r="K27" s="104">
        <v>15.43</v>
      </c>
      <c r="L27" s="104">
        <v>5.65</v>
      </c>
      <c r="M27" s="104">
        <v>0.3661</v>
      </c>
      <c r="N27" s="104">
        <v>0.7547</v>
      </c>
      <c r="O27" s="104">
        <v>0.5304</v>
      </c>
      <c r="P27" s="104">
        <v>2.7318</v>
      </c>
      <c r="Q27" s="104">
        <v>45.51</v>
      </c>
      <c r="R27" s="104">
        <v>37.27</v>
      </c>
      <c r="S27" s="104">
        <v>8.24</v>
      </c>
      <c r="T27" s="104">
        <v>3.04</v>
      </c>
      <c r="U27" s="104">
        <v>42.47</v>
      </c>
      <c r="V27" s="104">
        <v>50.92</v>
      </c>
      <c r="W27" s="104">
        <v>3.3006</v>
      </c>
      <c r="X27" s="104">
        <v>6.68</v>
      </c>
      <c r="Y27" s="104">
        <v>107.0</v>
      </c>
      <c r="Z27" s="104">
        <v>525.0</v>
      </c>
      <c r="AA27" s="104">
        <v>4484.0</v>
      </c>
      <c r="AB27" s="104">
        <v>50.1171</v>
      </c>
      <c r="AC27" s="104">
        <v>0.5196</v>
      </c>
      <c r="AD27" s="104">
        <v>3.95</v>
      </c>
      <c r="AE27" s="104">
        <v>1.0</v>
      </c>
      <c r="AF27" s="104">
        <v>3.0</v>
      </c>
      <c r="AG27" s="104">
        <v>5.0</v>
      </c>
      <c r="AH27" s="104">
        <v>9.0</v>
      </c>
      <c r="AI27" s="104">
        <v>72.23</v>
      </c>
      <c r="AJ27" s="104">
        <v>31.05</v>
      </c>
      <c r="AK27" s="104">
        <v>8.14</v>
      </c>
      <c r="AL27" s="104">
        <v>0.2585</v>
      </c>
      <c r="AM27" s="105"/>
      <c r="AQ27" s="1">
        <v>2.6755</v>
      </c>
      <c r="AR27" s="1">
        <v>0.0231</v>
      </c>
      <c r="AS27" s="1">
        <v>2.6525</v>
      </c>
      <c r="AT27" s="1">
        <v>3.0911</v>
      </c>
      <c r="AU27" s="1">
        <v>0.2004</v>
      </c>
      <c r="AV27" s="1">
        <v>7018.0</v>
      </c>
      <c r="AW27" s="1">
        <v>0.0</v>
      </c>
      <c r="AX27" s="1">
        <v>26.5</v>
      </c>
      <c r="AY27" s="1">
        <v>11.45</v>
      </c>
      <c r="AZ27" s="1">
        <v>3.66</v>
      </c>
      <c r="BA27" s="1">
        <v>3.04</v>
      </c>
      <c r="BB27" s="1">
        <v>0.86</v>
      </c>
    </row>
    <row r="28" ht="15.75" customHeight="1">
      <c r="A28" s="103">
        <v>46232.0</v>
      </c>
      <c r="B28" s="104" t="s">
        <v>9</v>
      </c>
      <c r="C28" s="104" t="s">
        <v>182</v>
      </c>
      <c r="D28" s="104">
        <v>5943.0</v>
      </c>
      <c r="E28" s="104">
        <v>25.79</v>
      </c>
      <c r="F28" s="104">
        <v>627.47</v>
      </c>
      <c r="G28" s="104">
        <v>0.1056</v>
      </c>
      <c r="H28" s="104">
        <v>3.48</v>
      </c>
      <c r="I28" s="104">
        <v>3.0313</v>
      </c>
      <c r="J28" s="104">
        <v>56.53</v>
      </c>
      <c r="K28" s="104">
        <v>28.87</v>
      </c>
      <c r="L28" s="104">
        <v>14.98</v>
      </c>
      <c r="M28" s="104">
        <v>0.519</v>
      </c>
      <c r="N28" s="104">
        <v>0.6287</v>
      </c>
      <c r="O28" s="104">
        <v>0.4085</v>
      </c>
      <c r="P28" s="104">
        <v>1.9269</v>
      </c>
      <c r="Q28" s="104">
        <v>85.37</v>
      </c>
      <c r="R28" s="104">
        <v>66.01</v>
      </c>
      <c r="S28" s="104">
        <v>19.36</v>
      </c>
      <c r="T28" s="104">
        <v>8.95</v>
      </c>
      <c r="U28" s="104">
        <v>76.42</v>
      </c>
      <c r="V28" s="104">
        <v>98.04</v>
      </c>
      <c r="W28" s="104">
        <v>3.396</v>
      </c>
      <c r="X28" s="104">
        <v>10.48</v>
      </c>
      <c r="Y28" s="104">
        <v>98.0</v>
      </c>
      <c r="Z28" s="104">
        <v>464.0</v>
      </c>
      <c r="AA28" s="104">
        <v>4642.0</v>
      </c>
      <c r="AB28" s="104">
        <v>52.9216</v>
      </c>
      <c r="AC28" s="104">
        <v>0.6055</v>
      </c>
      <c r="AD28" s="104">
        <v>8.9</v>
      </c>
      <c r="AE28" s="104">
        <v>3.0</v>
      </c>
      <c r="AF28" s="104">
        <v>7.0</v>
      </c>
      <c r="AG28" s="104">
        <v>12.0</v>
      </c>
      <c r="AH28" s="104">
        <v>19.0</v>
      </c>
      <c r="AI28" s="104">
        <v>58.54</v>
      </c>
      <c r="AJ28" s="104">
        <v>23.42</v>
      </c>
      <c r="AK28" s="104">
        <v>3.87</v>
      </c>
      <c r="AL28" s="104">
        <v>0.1942</v>
      </c>
      <c r="AM28" s="105"/>
      <c r="AQ28" s="1">
        <v>5.1639</v>
      </c>
      <c r="AR28" s="1">
        <v>0.0799</v>
      </c>
      <c r="AS28" s="1">
        <v>5.084</v>
      </c>
      <c r="AT28" s="1">
        <v>5.7055</v>
      </c>
      <c r="AU28" s="1">
        <v>0.1976</v>
      </c>
      <c r="AV28" s="1">
        <v>5943.0</v>
      </c>
      <c r="AW28" s="1">
        <v>0.0</v>
      </c>
      <c r="AX28" s="1">
        <v>42.55</v>
      </c>
      <c r="AY28" s="1">
        <v>27.67</v>
      </c>
      <c r="AZ28" s="1">
        <v>4.72</v>
      </c>
      <c r="BA28" s="1">
        <v>8.94</v>
      </c>
      <c r="BB28" s="1">
        <v>1.49</v>
      </c>
    </row>
    <row r="29" ht="15.75" customHeight="1">
      <c r="A29" s="103">
        <v>46232.0</v>
      </c>
      <c r="B29" s="104" t="s">
        <v>9</v>
      </c>
      <c r="C29" s="104" t="s">
        <v>183</v>
      </c>
      <c r="D29" s="104">
        <v>3836.0</v>
      </c>
      <c r="E29" s="104">
        <v>16.65</v>
      </c>
      <c r="F29" s="104">
        <v>979.28</v>
      </c>
      <c r="G29" s="104">
        <v>0.2553</v>
      </c>
      <c r="H29" s="104">
        <v>5.4</v>
      </c>
      <c r="I29" s="104">
        <v>4.7308</v>
      </c>
      <c r="J29" s="104">
        <v>78.34</v>
      </c>
      <c r="K29" s="104">
        <v>41.86</v>
      </c>
      <c r="L29" s="104">
        <v>27.1</v>
      </c>
      <c r="M29" s="104">
        <v>0.6474</v>
      </c>
      <c r="N29" s="104">
        <v>0.5101</v>
      </c>
      <c r="O29" s="104">
        <v>0.3383</v>
      </c>
      <c r="P29" s="104">
        <v>1.5447</v>
      </c>
      <c r="Q29" s="104">
        <v>150.83</v>
      </c>
      <c r="R29" s="104">
        <v>112.34</v>
      </c>
      <c r="S29" s="104">
        <v>38.49</v>
      </c>
      <c r="T29" s="104">
        <v>21.51</v>
      </c>
      <c r="U29" s="104">
        <v>129.32</v>
      </c>
      <c r="V29" s="104">
        <v>179.3</v>
      </c>
      <c r="W29" s="104">
        <v>4.2833</v>
      </c>
      <c r="X29" s="104">
        <v>14.26</v>
      </c>
      <c r="Y29" s="104">
        <v>105.0</v>
      </c>
      <c r="Z29" s="104">
        <v>548.0</v>
      </c>
      <c r="AA29" s="104">
        <v>4175.0</v>
      </c>
      <c r="AB29" s="104">
        <v>55.9566</v>
      </c>
      <c r="AC29" s="104">
        <v>0.7437</v>
      </c>
      <c r="AD29" s="104">
        <v>17.03</v>
      </c>
      <c r="AE29" s="104">
        <v>7.0</v>
      </c>
      <c r="AF29" s="104">
        <v>13.0</v>
      </c>
      <c r="AG29" s="104">
        <v>23.0</v>
      </c>
      <c r="AH29" s="104">
        <v>36.0</v>
      </c>
      <c r="AI29" s="104">
        <v>57.74</v>
      </c>
      <c r="AJ29" s="104">
        <v>21.06</v>
      </c>
      <c r="AK29" s="104">
        <v>6.52</v>
      </c>
      <c r="AL29" s="104">
        <v>0.1718</v>
      </c>
      <c r="AM29" s="105"/>
      <c r="AQ29" s="1">
        <v>8.323</v>
      </c>
      <c r="AR29" s="1">
        <v>0.1906</v>
      </c>
      <c r="AS29" s="1">
        <v>8.1324</v>
      </c>
      <c r="AT29" s="1">
        <v>9.1569</v>
      </c>
      <c r="AU29" s="1">
        <v>0.2188</v>
      </c>
      <c r="AV29" s="1">
        <v>3836.0</v>
      </c>
      <c r="AW29" s="1">
        <v>0.0</v>
      </c>
      <c r="AX29" s="1">
        <v>70.01</v>
      </c>
      <c r="AY29" s="1">
        <v>51.29</v>
      </c>
      <c r="AZ29" s="1">
        <v>4.5</v>
      </c>
      <c r="BA29" s="1">
        <v>21.51</v>
      </c>
      <c r="BB29" s="1">
        <v>3.54</v>
      </c>
    </row>
    <row r="30" ht="15.75" customHeight="1">
      <c r="A30" s="103">
        <v>46232.0</v>
      </c>
      <c r="B30" s="104" t="s">
        <v>9</v>
      </c>
      <c r="C30" s="104" t="s">
        <v>184</v>
      </c>
      <c r="D30" s="104">
        <v>2311.0</v>
      </c>
      <c r="E30" s="104">
        <v>10.03</v>
      </c>
      <c r="F30" s="104">
        <v>1156.58</v>
      </c>
      <c r="G30" s="104">
        <v>0.5005</v>
      </c>
      <c r="H30" s="104">
        <v>6.84</v>
      </c>
      <c r="I30" s="104">
        <v>7.3201</v>
      </c>
      <c r="J30" s="104">
        <v>141.86</v>
      </c>
      <c r="K30" s="104">
        <v>81.72</v>
      </c>
      <c r="L30" s="104">
        <v>59.48</v>
      </c>
      <c r="M30" s="104">
        <v>0.7279</v>
      </c>
      <c r="N30" s="104">
        <v>0.4226</v>
      </c>
      <c r="O30" s="104">
        <v>0.2886</v>
      </c>
      <c r="P30" s="104">
        <v>1.3738</v>
      </c>
      <c r="Q30" s="104">
        <v>273.84</v>
      </c>
      <c r="R30" s="104">
        <v>187.08</v>
      </c>
      <c r="S30" s="104">
        <v>86.76</v>
      </c>
      <c r="T30" s="104">
        <v>42.3</v>
      </c>
      <c r="U30" s="104">
        <v>231.54</v>
      </c>
      <c r="V30" s="104">
        <v>324.62</v>
      </c>
      <c r="W30" s="104">
        <v>3.9724</v>
      </c>
      <c r="X30" s="104">
        <v>15.45</v>
      </c>
      <c r="Y30" s="104">
        <v>120.0</v>
      </c>
      <c r="Z30" s="104">
        <v>815.0</v>
      </c>
      <c r="AA30" s="104">
        <v>5409.0</v>
      </c>
      <c r="AB30" s="104">
        <v>58.3244</v>
      </c>
      <c r="AC30" s="104">
        <v>0.8066</v>
      </c>
      <c r="AD30" s="104">
        <v>33.6</v>
      </c>
      <c r="AE30" s="104">
        <v>12.0</v>
      </c>
      <c r="AF30" s="104">
        <v>23.0</v>
      </c>
      <c r="AG30" s="104">
        <v>46.0</v>
      </c>
      <c r="AH30" s="104">
        <v>75.0</v>
      </c>
      <c r="AI30" s="104">
        <v>43.01</v>
      </c>
      <c r="AJ30" s="104">
        <v>16.57</v>
      </c>
      <c r="AK30" s="104">
        <v>4.63</v>
      </c>
      <c r="AL30" s="104">
        <v>0.0956</v>
      </c>
      <c r="AM30" s="105"/>
      <c r="AQ30" s="1">
        <v>14.5811</v>
      </c>
      <c r="AR30" s="1">
        <v>0.4872</v>
      </c>
      <c r="AS30" s="1">
        <v>14.0939</v>
      </c>
      <c r="AT30" s="1">
        <v>15.3453</v>
      </c>
      <c r="AU30" s="1">
        <v>0.1878</v>
      </c>
      <c r="AV30" s="1">
        <v>2311.0</v>
      </c>
      <c r="AW30" s="1">
        <v>0.0</v>
      </c>
      <c r="AX30" s="1">
        <v>140.02</v>
      </c>
      <c r="AY30" s="1">
        <v>79.66</v>
      </c>
      <c r="AZ30" s="1">
        <v>5.75</v>
      </c>
      <c r="BA30" s="1">
        <v>42.3</v>
      </c>
      <c r="BB30" s="1">
        <v>6.11</v>
      </c>
    </row>
    <row r="31" ht="15.75" customHeight="1">
      <c r="A31" s="103">
        <v>46232.0</v>
      </c>
      <c r="B31" s="104" t="s">
        <v>9</v>
      </c>
      <c r="C31" s="104" t="s">
        <v>186</v>
      </c>
      <c r="D31" s="104">
        <v>357.0</v>
      </c>
      <c r="E31" s="104">
        <v>1.55</v>
      </c>
      <c r="F31" s="104">
        <v>213.98</v>
      </c>
      <c r="G31" s="104">
        <v>0.5994</v>
      </c>
      <c r="H31" s="104">
        <v>7.84</v>
      </c>
      <c r="I31" s="104">
        <v>7.6421</v>
      </c>
      <c r="J31" s="104">
        <v>244.33</v>
      </c>
      <c r="K31" s="104">
        <v>149.17</v>
      </c>
      <c r="L31" s="104">
        <v>123.01</v>
      </c>
      <c r="M31" s="104">
        <v>0.8246</v>
      </c>
      <c r="N31" s="104">
        <v>0.3184</v>
      </c>
      <c r="O31" s="104">
        <v>0.2386</v>
      </c>
      <c r="P31" s="104">
        <v>1.2127</v>
      </c>
      <c r="Q31" s="104">
        <v>487.87</v>
      </c>
      <c r="R31" s="104">
        <v>300.53</v>
      </c>
      <c r="S31" s="104">
        <v>187.34</v>
      </c>
      <c r="T31" s="104">
        <v>75.35</v>
      </c>
      <c r="U31" s="104">
        <v>412.52</v>
      </c>
      <c r="V31" s="104">
        <v>714.01</v>
      </c>
      <c r="W31" s="104">
        <v>4.7864</v>
      </c>
      <c r="X31" s="104">
        <v>15.44</v>
      </c>
      <c r="Y31" s="104">
        <v>189.0</v>
      </c>
      <c r="Z31" s="104">
        <v>1074.0</v>
      </c>
      <c r="AA31" s="104">
        <v>5626.0</v>
      </c>
      <c r="AB31" s="104">
        <v>61.0754</v>
      </c>
      <c r="AC31" s="104">
        <v>0.8567</v>
      </c>
      <c r="AD31" s="104">
        <v>64.35</v>
      </c>
      <c r="AE31" s="104">
        <v>20.0</v>
      </c>
      <c r="AF31" s="104">
        <v>42.0</v>
      </c>
      <c r="AG31" s="104">
        <v>95.0</v>
      </c>
      <c r="AH31" s="104">
        <v>146.0</v>
      </c>
      <c r="AI31" s="104">
        <v>29.13</v>
      </c>
      <c r="AJ31" s="104">
        <v>6.16</v>
      </c>
      <c r="AK31" s="104">
        <v>0.84</v>
      </c>
      <c r="AL31" s="104">
        <v>0.042</v>
      </c>
      <c r="AM31" s="105"/>
      <c r="AQ31" s="1">
        <v>29.4874</v>
      </c>
      <c r="AR31" s="1">
        <v>4.014</v>
      </c>
      <c r="AS31" s="1">
        <v>25.4734</v>
      </c>
      <c r="AT31" s="1">
        <v>30.3417</v>
      </c>
      <c r="AU31" s="1">
        <v>0.2034</v>
      </c>
      <c r="AV31" s="1">
        <v>357.0</v>
      </c>
      <c r="AW31" s="1">
        <v>0.0</v>
      </c>
      <c r="AX31" s="1">
        <v>283.07</v>
      </c>
      <c r="AY31" s="1">
        <v>107.89</v>
      </c>
      <c r="AZ31" s="1">
        <v>7.1</v>
      </c>
      <c r="BA31" s="1">
        <v>75.35</v>
      </c>
      <c r="BB31" s="1">
        <v>14.47</v>
      </c>
    </row>
    <row r="32" ht="15.75" customHeight="1">
      <c r="A32" s="103">
        <v>46232.0</v>
      </c>
      <c r="B32" s="104" t="s">
        <v>10</v>
      </c>
      <c r="C32" s="104" t="s">
        <v>179</v>
      </c>
      <c r="D32" s="104">
        <v>3496.0</v>
      </c>
      <c r="E32" s="104">
        <v>15.2</v>
      </c>
      <c r="F32" s="104">
        <v>7.6</v>
      </c>
      <c r="G32" s="104">
        <v>0.0022</v>
      </c>
      <c r="H32" s="104">
        <v>0.09</v>
      </c>
      <c r="I32" s="104">
        <v>2.5333</v>
      </c>
      <c r="J32" s="104">
        <v>7.17</v>
      </c>
      <c r="K32" s="104">
        <v>3.09</v>
      </c>
      <c r="L32" s="104">
        <v>0.18</v>
      </c>
      <c r="M32" s="104">
        <v>0.0592</v>
      </c>
      <c r="N32" s="104">
        <v>0.9493</v>
      </c>
      <c r="O32" s="104">
        <v>0.5477</v>
      </c>
      <c r="P32" s="104">
        <v>16.8858</v>
      </c>
      <c r="Q32" s="104">
        <v>15.94</v>
      </c>
      <c r="R32" s="104">
        <v>15.84</v>
      </c>
      <c r="S32" s="104">
        <v>0.1</v>
      </c>
      <c r="T32" s="104">
        <v>0.16</v>
      </c>
      <c r="U32" s="104">
        <v>15.78</v>
      </c>
      <c r="V32" s="104">
        <v>2.77</v>
      </c>
      <c r="W32" s="104">
        <v>0.8997</v>
      </c>
      <c r="X32" s="104">
        <v>1.0</v>
      </c>
      <c r="Y32" s="104">
        <v>162.0</v>
      </c>
      <c r="Z32" s="104">
        <v>1751.0</v>
      </c>
      <c r="AA32" s="104">
        <v>11372.0</v>
      </c>
      <c r="AB32" s="104">
        <v>50.228</v>
      </c>
      <c r="AC32" s="104">
        <v>0.5468</v>
      </c>
      <c r="AD32" s="105"/>
      <c r="AE32" s="105"/>
      <c r="AF32" s="105"/>
      <c r="AG32" s="105"/>
      <c r="AH32" s="105"/>
      <c r="AI32" s="104">
        <v>0.0</v>
      </c>
      <c r="AJ32" s="104">
        <v>0.0</v>
      </c>
      <c r="AK32" s="104">
        <v>0.0</v>
      </c>
      <c r="AL32" s="104">
        <v>0.3432</v>
      </c>
      <c r="AM32" s="104">
        <v>0.31</v>
      </c>
      <c r="AN32" s="1">
        <v>0.31</v>
      </c>
      <c r="AO32" s="1">
        <v>0.14</v>
      </c>
      <c r="AP32" s="1">
        <v>0.09</v>
      </c>
      <c r="AQ32" s="1">
        <v>0.9585</v>
      </c>
      <c r="AR32" s="1">
        <v>0.0017</v>
      </c>
      <c r="AS32" s="1">
        <v>0.9568</v>
      </c>
      <c r="AT32" s="1">
        <v>0.4645</v>
      </c>
      <c r="AU32" s="1">
        <v>0.1505</v>
      </c>
      <c r="AV32" s="1">
        <v>3480.0</v>
      </c>
      <c r="AW32" s="1">
        <v>16.0</v>
      </c>
      <c r="AX32" s="1">
        <v>8.69</v>
      </c>
      <c r="AY32" s="1">
        <v>5.19</v>
      </c>
      <c r="AZ32" s="1">
        <v>1.68</v>
      </c>
      <c r="BA32" s="1">
        <v>0.14</v>
      </c>
      <c r="BB32" s="1">
        <v>0.23</v>
      </c>
    </row>
    <row r="33" ht="15.75" customHeight="1">
      <c r="A33" s="103">
        <v>46232.0</v>
      </c>
      <c r="B33" s="104" t="s">
        <v>10</v>
      </c>
      <c r="C33" s="104" t="s">
        <v>181</v>
      </c>
      <c r="D33" s="104">
        <v>6803.0</v>
      </c>
      <c r="E33" s="104">
        <v>29.58</v>
      </c>
      <c r="F33" s="104">
        <v>169.15</v>
      </c>
      <c r="G33" s="104">
        <v>0.0249</v>
      </c>
      <c r="H33" s="104">
        <v>1.12</v>
      </c>
      <c r="I33" s="104">
        <v>2.2257</v>
      </c>
      <c r="J33" s="104">
        <v>31.82</v>
      </c>
      <c r="K33" s="104">
        <v>15.17</v>
      </c>
      <c r="L33" s="104">
        <v>5.78</v>
      </c>
      <c r="M33" s="104">
        <v>0.3806</v>
      </c>
      <c r="N33" s="104">
        <v>0.7411</v>
      </c>
      <c r="O33" s="104">
        <v>0.5111</v>
      </c>
      <c r="P33" s="104">
        <v>2.6272</v>
      </c>
      <c r="Q33" s="104">
        <v>44.01</v>
      </c>
      <c r="R33" s="104">
        <v>40.23</v>
      </c>
      <c r="S33" s="104">
        <v>3.78</v>
      </c>
      <c r="T33" s="104">
        <v>2.2</v>
      </c>
      <c r="U33" s="104">
        <v>41.8</v>
      </c>
      <c r="V33" s="104">
        <v>48.62</v>
      </c>
      <c r="W33" s="104">
        <v>3.1968</v>
      </c>
      <c r="X33" s="104">
        <v>5.01</v>
      </c>
      <c r="Y33" s="104">
        <v>102.0</v>
      </c>
      <c r="Z33" s="104">
        <v>561.0</v>
      </c>
      <c r="AA33" s="104">
        <v>4435.0</v>
      </c>
      <c r="AB33" s="104">
        <v>49.9672</v>
      </c>
      <c r="AC33" s="104">
        <v>0.5275</v>
      </c>
      <c r="AD33" s="104">
        <v>4.11</v>
      </c>
      <c r="AE33" s="104">
        <v>1.0</v>
      </c>
      <c r="AF33" s="104">
        <v>3.0</v>
      </c>
      <c r="AG33" s="104">
        <v>5.0</v>
      </c>
      <c r="AH33" s="104">
        <v>9.0</v>
      </c>
      <c r="AI33" s="104">
        <v>74.36</v>
      </c>
      <c r="AJ33" s="104">
        <v>31.96</v>
      </c>
      <c r="AK33" s="104">
        <v>8.89</v>
      </c>
      <c r="AL33" s="104">
        <v>0.269</v>
      </c>
      <c r="AM33" s="104">
        <v>51.71</v>
      </c>
      <c r="AN33" s="1">
        <v>51.71</v>
      </c>
      <c r="AO33" s="1">
        <v>24.02</v>
      </c>
      <c r="AP33" s="1">
        <v>7.13</v>
      </c>
      <c r="AQ33" s="1">
        <v>3.6591</v>
      </c>
      <c r="AR33" s="1">
        <v>0.022</v>
      </c>
      <c r="AS33" s="1">
        <v>3.6371</v>
      </c>
      <c r="AT33" s="1">
        <v>3.3406</v>
      </c>
      <c r="AU33" s="1">
        <v>0.2201</v>
      </c>
      <c r="AV33" s="1">
        <v>6740.0</v>
      </c>
      <c r="AW33" s="1">
        <v>63.0</v>
      </c>
      <c r="AX33" s="1">
        <v>18.41</v>
      </c>
      <c r="AY33" s="1">
        <v>19.31</v>
      </c>
      <c r="AZ33" s="1">
        <v>3.28</v>
      </c>
      <c r="BA33" s="1">
        <v>2.2</v>
      </c>
      <c r="BB33" s="1">
        <v>0.8</v>
      </c>
    </row>
    <row r="34" ht="15.75" customHeight="1">
      <c r="A34" s="103">
        <v>46232.0</v>
      </c>
      <c r="B34" s="104" t="s">
        <v>10</v>
      </c>
      <c r="C34" s="104" t="s">
        <v>182</v>
      </c>
      <c r="D34" s="104">
        <v>5988.0</v>
      </c>
      <c r="E34" s="104">
        <v>26.04</v>
      </c>
      <c r="F34" s="104">
        <v>705.69</v>
      </c>
      <c r="G34" s="104">
        <v>0.1179</v>
      </c>
      <c r="H34" s="104">
        <v>3.92</v>
      </c>
      <c r="I34" s="104">
        <v>3.0029</v>
      </c>
      <c r="J34" s="104">
        <v>59.68</v>
      </c>
      <c r="K34" s="104">
        <v>29.24</v>
      </c>
      <c r="L34" s="104">
        <v>15.45</v>
      </c>
      <c r="M34" s="104">
        <v>0.5285</v>
      </c>
      <c r="N34" s="104">
        <v>0.6171</v>
      </c>
      <c r="O34" s="104">
        <v>0.3937</v>
      </c>
      <c r="P34" s="104">
        <v>1.8922</v>
      </c>
      <c r="Q34" s="104">
        <v>87.62</v>
      </c>
      <c r="R34" s="104">
        <v>78.95</v>
      </c>
      <c r="S34" s="104">
        <v>8.68</v>
      </c>
      <c r="T34" s="104">
        <v>10.21</v>
      </c>
      <c r="U34" s="104">
        <v>77.41</v>
      </c>
      <c r="V34" s="104">
        <v>96.05</v>
      </c>
      <c r="W34" s="104">
        <v>3.2831</v>
      </c>
      <c r="X34" s="104">
        <v>11.66</v>
      </c>
      <c r="Y34" s="104">
        <v>93.0</v>
      </c>
      <c r="Z34" s="104">
        <v>411.0</v>
      </c>
      <c r="AA34" s="104">
        <v>4120.0</v>
      </c>
      <c r="AB34" s="104">
        <v>52.9096</v>
      </c>
      <c r="AC34" s="104">
        <v>0.6112</v>
      </c>
      <c r="AD34" s="104">
        <v>9.44</v>
      </c>
      <c r="AE34" s="104">
        <v>4.0</v>
      </c>
      <c r="AF34" s="104">
        <v>8.0</v>
      </c>
      <c r="AG34" s="104">
        <v>13.0</v>
      </c>
      <c r="AH34" s="104">
        <v>20.0</v>
      </c>
      <c r="AI34" s="104">
        <v>60.75</v>
      </c>
      <c r="AJ34" s="104">
        <v>26.34</v>
      </c>
      <c r="AK34" s="104">
        <v>4.56</v>
      </c>
      <c r="AL34" s="104">
        <v>0.2072</v>
      </c>
      <c r="AM34" s="104">
        <v>53.59</v>
      </c>
      <c r="AN34" s="1">
        <v>53.59</v>
      </c>
      <c r="AO34" s="1">
        <v>31.5</v>
      </c>
      <c r="AP34" s="1">
        <v>14.55</v>
      </c>
      <c r="AQ34" s="1">
        <v>6.4833</v>
      </c>
      <c r="AR34" s="1">
        <v>0.101</v>
      </c>
      <c r="AS34" s="1">
        <v>6.3823</v>
      </c>
      <c r="AT34" s="1">
        <v>6.2704</v>
      </c>
      <c r="AU34" s="1">
        <v>0.2145</v>
      </c>
      <c r="AV34" s="1">
        <v>5968.0</v>
      </c>
      <c r="AW34" s="1">
        <v>20.0</v>
      </c>
      <c r="AX34" s="1">
        <v>28.78</v>
      </c>
      <c r="AY34" s="1">
        <v>42.14</v>
      </c>
      <c r="AZ34" s="1">
        <v>4.77</v>
      </c>
      <c r="BA34" s="1">
        <v>10.21</v>
      </c>
      <c r="BB34" s="1">
        <v>1.72</v>
      </c>
    </row>
    <row r="35" ht="15.75" customHeight="1">
      <c r="A35" s="103">
        <v>46232.0</v>
      </c>
      <c r="B35" s="104" t="s">
        <v>10</v>
      </c>
      <c r="C35" s="104" t="s">
        <v>183</v>
      </c>
      <c r="D35" s="104">
        <v>4056.0</v>
      </c>
      <c r="E35" s="104">
        <v>17.64</v>
      </c>
      <c r="F35" s="104">
        <v>932.72</v>
      </c>
      <c r="G35" s="104">
        <v>0.23</v>
      </c>
      <c r="H35" s="104">
        <v>4.68</v>
      </c>
      <c r="I35" s="104">
        <v>4.9091</v>
      </c>
      <c r="J35" s="104">
        <v>83.9</v>
      </c>
      <c r="K35" s="104">
        <v>43.13</v>
      </c>
      <c r="L35" s="104">
        <v>28.07</v>
      </c>
      <c r="M35" s="104">
        <v>0.6508</v>
      </c>
      <c r="N35" s="104">
        <v>0.5109</v>
      </c>
      <c r="O35" s="104">
        <v>0.3403</v>
      </c>
      <c r="P35" s="104">
        <v>1.5367</v>
      </c>
      <c r="Q35" s="104">
        <v>163.7</v>
      </c>
      <c r="R35" s="104">
        <v>145.93</v>
      </c>
      <c r="S35" s="104">
        <v>17.77</v>
      </c>
      <c r="T35" s="104">
        <v>22.47</v>
      </c>
      <c r="U35" s="104">
        <v>141.23</v>
      </c>
      <c r="V35" s="104">
        <v>167.58</v>
      </c>
      <c r="W35" s="104">
        <v>3.8859</v>
      </c>
      <c r="X35" s="104">
        <v>13.73</v>
      </c>
      <c r="Y35" s="104">
        <v>105.0</v>
      </c>
      <c r="Z35" s="104">
        <v>490.0</v>
      </c>
      <c r="AA35" s="104">
        <v>4280.0</v>
      </c>
      <c r="AB35" s="104">
        <v>55.6467</v>
      </c>
      <c r="AC35" s="104">
        <v>0.7324</v>
      </c>
      <c r="AD35" s="104">
        <v>17.75</v>
      </c>
      <c r="AE35" s="104">
        <v>8.0</v>
      </c>
      <c r="AF35" s="104">
        <v>14.0</v>
      </c>
      <c r="AG35" s="104">
        <v>23.0</v>
      </c>
      <c r="AH35" s="104">
        <v>37.0</v>
      </c>
      <c r="AI35" s="104">
        <v>60.58</v>
      </c>
      <c r="AJ35" s="104">
        <v>21.7</v>
      </c>
      <c r="AK35" s="104">
        <v>7.1</v>
      </c>
      <c r="AL35" s="104">
        <v>0.1699</v>
      </c>
      <c r="AM35" s="104">
        <v>57.52</v>
      </c>
      <c r="AN35" s="1">
        <v>57.52</v>
      </c>
      <c r="AO35" s="1">
        <v>32.27</v>
      </c>
      <c r="AP35" s="1">
        <v>16.52</v>
      </c>
      <c r="AQ35" s="1">
        <v>9.3841</v>
      </c>
      <c r="AR35" s="1">
        <v>0.2295</v>
      </c>
      <c r="AS35" s="1">
        <v>9.1546</v>
      </c>
      <c r="AT35" s="1">
        <v>9.4564</v>
      </c>
      <c r="AU35" s="1">
        <v>0.2192</v>
      </c>
      <c r="AV35" s="1">
        <v>4050.0</v>
      </c>
      <c r="AW35" s="1">
        <v>6.0</v>
      </c>
      <c r="AX35" s="1">
        <v>45.59</v>
      </c>
      <c r="AY35" s="1">
        <v>87.21</v>
      </c>
      <c r="AZ35" s="1">
        <v>4.76</v>
      </c>
      <c r="BA35" s="1">
        <v>22.47</v>
      </c>
      <c r="BB35" s="1">
        <v>3.67</v>
      </c>
    </row>
    <row r="36" ht="15.75" customHeight="1">
      <c r="A36" s="103">
        <v>46232.0</v>
      </c>
      <c r="B36" s="104" t="s">
        <v>10</v>
      </c>
      <c r="C36" s="104" t="s">
        <v>184</v>
      </c>
      <c r="D36" s="104">
        <v>2313.0</v>
      </c>
      <c r="E36" s="104">
        <v>10.06</v>
      </c>
      <c r="F36" s="104">
        <v>1171.26</v>
      </c>
      <c r="G36" s="104">
        <v>0.5064</v>
      </c>
      <c r="H36" s="104">
        <v>6.14</v>
      </c>
      <c r="I36" s="104">
        <v>8.2483</v>
      </c>
      <c r="J36" s="104">
        <v>139.51</v>
      </c>
      <c r="K36" s="104">
        <v>77.55</v>
      </c>
      <c r="L36" s="104">
        <v>57.55</v>
      </c>
      <c r="M36" s="104">
        <v>0.742</v>
      </c>
      <c r="N36" s="104">
        <v>0.4143</v>
      </c>
      <c r="O36" s="104">
        <v>0.2892</v>
      </c>
      <c r="P36" s="104">
        <v>1.3476</v>
      </c>
      <c r="Q36" s="104">
        <v>343.12</v>
      </c>
      <c r="R36" s="104">
        <v>307.69</v>
      </c>
      <c r="S36" s="104">
        <v>35.43</v>
      </c>
      <c r="T36" s="104">
        <v>42.22</v>
      </c>
      <c r="U36" s="104">
        <v>300.9</v>
      </c>
      <c r="V36" s="104">
        <v>328.52</v>
      </c>
      <c r="W36" s="104">
        <v>4.2565</v>
      </c>
      <c r="X36" s="104">
        <v>12.31</v>
      </c>
      <c r="Y36" s="104">
        <v>165.0</v>
      </c>
      <c r="Z36" s="104">
        <v>778.0</v>
      </c>
      <c r="AA36" s="104">
        <v>5640.0</v>
      </c>
      <c r="AB36" s="104">
        <v>58.6841</v>
      </c>
      <c r="AC36" s="104">
        <v>0.8052</v>
      </c>
      <c r="AD36" s="104">
        <v>33.75</v>
      </c>
      <c r="AE36" s="104">
        <v>13.0</v>
      </c>
      <c r="AF36" s="104">
        <v>24.0</v>
      </c>
      <c r="AG36" s="104">
        <v>46.0</v>
      </c>
      <c r="AH36" s="104">
        <v>74.0</v>
      </c>
      <c r="AI36" s="104">
        <v>44.88</v>
      </c>
      <c r="AJ36" s="104">
        <v>15.91</v>
      </c>
      <c r="AK36" s="104">
        <v>4.41</v>
      </c>
      <c r="AL36" s="104">
        <v>0.0981</v>
      </c>
      <c r="AM36" s="104">
        <v>56.9</v>
      </c>
      <c r="AN36" s="1">
        <v>56.9</v>
      </c>
      <c r="AO36" s="1">
        <v>32.25</v>
      </c>
      <c r="AP36" s="1">
        <v>17.9</v>
      </c>
      <c r="AQ36" s="1">
        <v>13.9157</v>
      </c>
      <c r="AR36" s="1">
        <v>0.546</v>
      </c>
      <c r="AS36" s="1">
        <v>13.3696</v>
      </c>
      <c r="AT36" s="1">
        <v>13.7363</v>
      </c>
      <c r="AU36" s="1">
        <v>0.1771</v>
      </c>
      <c r="AV36" s="1">
        <v>2302.0</v>
      </c>
      <c r="AW36" s="1">
        <v>11.0</v>
      </c>
      <c r="AX36" s="1">
        <v>84.12</v>
      </c>
      <c r="AY36" s="1">
        <v>204.47</v>
      </c>
      <c r="AZ36" s="1">
        <v>5.77</v>
      </c>
      <c r="BA36" s="1">
        <v>42.22</v>
      </c>
      <c r="BB36" s="1">
        <v>6.53</v>
      </c>
    </row>
    <row r="37" ht="15.75" customHeight="1">
      <c r="A37" s="103">
        <v>46232.0</v>
      </c>
      <c r="B37" s="104" t="s">
        <v>10</v>
      </c>
      <c r="C37" s="104" t="s">
        <v>186</v>
      </c>
      <c r="D37" s="104">
        <v>339.0</v>
      </c>
      <c r="E37" s="104">
        <v>1.47</v>
      </c>
      <c r="F37" s="104">
        <v>300.97</v>
      </c>
      <c r="G37" s="104">
        <v>0.8878</v>
      </c>
      <c r="H37" s="104">
        <v>7.96</v>
      </c>
      <c r="I37" s="104">
        <v>11.147</v>
      </c>
      <c r="J37" s="104">
        <v>265.26</v>
      </c>
      <c r="K37" s="104">
        <v>158.79</v>
      </c>
      <c r="L37" s="104">
        <v>129.19</v>
      </c>
      <c r="M37" s="104">
        <v>0.8136</v>
      </c>
      <c r="N37" s="104">
        <v>0.329</v>
      </c>
      <c r="O37" s="104">
        <v>0.2424</v>
      </c>
      <c r="P37" s="104">
        <v>1.2291</v>
      </c>
      <c r="Q37" s="104">
        <v>601.54</v>
      </c>
      <c r="R37" s="104">
        <v>526.96</v>
      </c>
      <c r="S37" s="104">
        <v>74.58</v>
      </c>
      <c r="T37" s="104">
        <v>71.5</v>
      </c>
      <c r="U37" s="104">
        <v>530.04</v>
      </c>
      <c r="V37" s="104">
        <v>572.17</v>
      </c>
      <c r="W37" s="104">
        <v>3.7918</v>
      </c>
      <c r="X37" s="104">
        <v>11.89</v>
      </c>
      <c r="Y37" s="104">
        <v>205.0</v>
      </c>
      <c r="Z37" s="104">
        <v>1432.0</v>
      </c>
      <c r="AA37" s="104">
        <v>6275.0</v>
      </c>
      <c r="AB37" s="104">
        <v>61.0897</v>
      </c>
      <c r="AC37" s="104">
        <v>0.8468</v>
      </c>
      <c r="AD37" s="104">
        <v>68.3</v>
      </c>
      <c r="AE37" s="104">
        <v>22.0</v>
      </c>
      <c r="AF37" s="104">
        <v>50.0</v>
      </c>
      <c r="AG37" s="104">
        <v>99.0</v>
      </c>
      <c r="AH37" s="104">
        <v>154.0</v>
      </c>
      <c r="AI37" s="104">
        <v>31.56</v>
      </c>
      <c r="AJ37" s="104">
        <v>6.78</v>
      </c>
      <c r="AK37" s="104">
        <v>0.88</v>
      </c>
      <c r="AL37" s="104">
        <v>0.0501</v>
      </c>
      <c r="AM37" s="104">
        <v>56.64</v>
      </c>
      <c r="AN37" s="1">
        <v>56.64</v>
      </c>
      <c r="AO37" s="1">
        <v>31.86</v>
      </c>
      <c r="AP37" s="1">
        <v>20.06</v>
      </c>
      <c r="AQ37" s="1">
        <v>55.3923</v>
      </c>
      <c r="AR37" s="1">
        <v>1.0708</v>
      </c>
      <c r="AS37" s="1">
        <v>54.3215</v>
      </c>
      <c r="AT37" s="1">
        <v>31.2242</v>
      </c>
      <c r="AU37" s="1">
        <v>0.1966</v>
      </c>
      <c r="AV37" s="1">
        <v>300.0</v>
      </c>
      <c r="AW37" s="1">
        <v>39.0</v>
      </c>
      <c r="AX37" s="1">
        <v>165.27</v>
      </c>
      <c r="AY37" s="1">
        <v>348.92</v>
      </c>
      <c r="AZ37" s="1">
        <v>4.95</v>
      </c>
      <c r="BA37" s="1">
        <v>71.5</v>
      </c>
      <c r="BB37" s="1">
        <v>10.91</v>
      </c>
    </row>
    <row r="38" ht="15.75" customHeight="1">
      <c r="A38" s="103">
        <v>46233.0</v>
      </c>
      <c r="B38" s="104" t="s">
        <v>9</v>
      </c>
      <c r="C38" s="104" t="s">
        <v>179</v>
      </c>
      <c r="D38" s="104">
        <v>3744.0</v>
      </c>
      <c r="E38" s="104">
        <v>16.34</v>
      </c>
      <c r="F38" s="104">
        <v>0.0</v>
      </c>
      <c r="G38" s="104">
        <v>0.0</v>
      </c>
      <c r="H38" s="104">
        <v>0.0</v>
      </c>
      <c r="I38" s="104"/>
      <c r="J38" s="104">
        <v>6.64</v>
      </c>
      <c r="K38" s="104">
        <v>2.8</v>
      </c>
      <c r="L38" s="104">
        <v>0.01</v>
      </c>
      <c r="M38" s="104">
        <v>0.0028</v>
      </c>
      <c r="N38" s="104">
        <v>0.9973</v>
      </c>
      <c r="O38" s="104">
        <v>0.9585</v>
      </c>
      <c r="P38" s="104">
        <v>361.3448</v>
      </c>
      <c r="Q38" s="104">
        <v>18.53</v>
      </c>
      <c r="R38" s="104">
        <v>18.44</v>
      </c>
      <c r="S38" s="104">
        <v>0.09</v>
      </c>
      <c r="T38" s="104">
        <v>0.0</v>
      </c>
      <c r="U38" s="104">
        <v>18.53</v>
      </c>
      <c r="V38" s="104">
        <v>2.02</v>
      </c>
      <c r="W38" s="104">
        <v>0.7205</v>
      </c>
      <c r="X38" s="104">
        <v>0.0</v>
      </c>
      <c r="Y38" s="104">
        <v>153.0</v>
      </c>
      <c r="Z38" s="104">
        <v>1750.0</v>
      </c>
      <c r="AA38" s="104">
        <v>11407.0</v>
      </c>
      <c r="AB38" s="104">
        <v>49.7824</v>
      </c>
      <c r="AC38" s="104">
        <v>0.5427</v>
      </c>
      <c r="AD38" s="105"/>
      <c r="AE38" s="105"/>
      <c r="AF38" s="105"/>
      <c r="AG38" s="105"/>
      <c r="AH38" s="105"/>
      <c r="AI38" s="104">
        <v>0.0</v>
      </c>
      <c r="AJ38" s="104">
        <v>0.0</v>
      </c>
      <c r="AK38" s="104">
        <v>0.0</v>
      </c>
      <c r="AL38" s="104">
        <v>0.3379</v>
      </c>
      <c r="AM38" s="105"/>
      <c r="AQ38" s="1">
        <v>0.8801</v>
      </c>
      <c r="AR38" s="1">
        <v>0.004</v>
      </c>
      <c r="AS38" s="1">
        <v>0.8761</v>
      </c>
      <c r="AT38" s="1">
        <v>0.394</v>
      </c>
      <c r="AU38" s="1">
        <v>0.1408</v>
      </c>
      <c r="AV38" s="1">
        <v>3744.0</v>
      </c>
      <c r="AW38" s="1">
        <v>0.0</v>
      </c>
      <c r="AX38" s="1">
        <v>11.27</v>
      </c>
      <c r="AY38" s="1">
        <v>5.41</v>
      </c>
      <c r="AZ38" s="1">
        <v>1.67</v>
      </c>
      <c r="BA38" s="1">
        <v>0.0</v>
      </c>
      <c r="BB38" s="1">
        <v>0.19</v>
      </c>
    </row>
    <row r="39" ht="15.75" customHeight="1">
      <c r="A39" s="103">
        <v>46233.0</v>
      </c>
      <c r="B39" s="104" t="s">
        <v>9</v>
      </c>
      <c r="C39" s="104" t="s">
        <v>181</v>
      </c>
      <c r="D39" s="104">
        <v>7134.0</v>
      </c>
      <c r="E39" s="104">
        <v>31.13</v>
      </c>
      <c r="F39" s="104">
        <v>142.33</v>
      </c>
      <c r="G39" s="104">
        <v>0.02</v>
      </c>
      <c r="H39" s="104">
        <v>1.04</v>
      </c>
      <c r="I39" s="104">
        <v>1.9234</v>
      </c>
      <c r="J39" s="104">
        <v>27.72</v>
      </c>
      <c r="K39" s="104">
        <v>13.44</v>
      </c>
      <c r="L39" s="104">
        <v>5.4</v>
      </c>
      <c r="M39" s="104">
        <v>0.4019</v>
      </c>
      <c r="N39" s="104">
        <v>0.7307</v>
      </c>
      <c r="O39" s="104">
        <v>0.5161</v>
      </c>
      <c r="P39" s="104">
        <v>2.4882</v>
      </c>
      <c r="Q39" s="104">
        <v>46.44</v>
      </c>
      <c r="R39" s="104">
        <v>38.81</v>
      </c>
      <c r="S39" s="104">
        <v>7.63</v>
      </c>
      <c r="T39" s="104">
        <v>1.9</v>
      </c>
      <c r="U39" s="104">
        <v>44.54</v>
      </c>
      <c r="V39" s="104">
        <v>49.33</v>
      </c>
      <c r="W39" s="104">
        <v>3.6715</v>
      </c>
      <c r="X39" s="104">
        <v>4.09</v>
      </c>
      <c r="Y39" s="104">
        <v>109.0</v>
      </c>
      <c r="Z39" s="104">
        <v>539.0</v>
      </c>
      <c r="AA39" s="104">
        <v>4714.0</v>
      </c>
      <c r="AB39" s="104">
        <v>50.1355</v>
      </c>
      <c r="AC39" s="104">
        <v>0.5281</v>
      </c>
      <c r="AD39" s="104">
        <v>3.87</v>
      </c>
      <c r="AE39" s="104">
        <v>1.0</v>
      </c>
      <c r="AF39" s="104">
        <v>3.0</v>
      </c>
      <c r="AG39" s="104">
        <v>5.0</v>
      </c>
      <c r="AH39" s="104">
        <v>9.0</v>
      </c>
      <c r="AI39" s="104">
        <v>72.06</v>
      </c>
      <c r="AJ39" s="104">
        <v>29.89</v>
      </c>
      <c r="AK39" s="104">
        <v>7.79</v>
      </c>
      <c r="AL39" s="104">
        <v>0.2589</v>
      </c>
      <c r="AM39" s="105"/>
      <c r="AQ39" s="1">
        <v>2.7883</v>
      </c>
      <c r="AR39" s="1">
        <v>0.0168</v>
      </c>
      <c r="AS39" s="1">
        <v>2.7715</v>
      </c>
      <c r="AT39" s="1">
        <v>2.8839</v>
      </c>
      <c r="AU39" s="1">
        <v>0.2147</v>
      </c>
      <c r="AV39" s="1">
        <v>7134.0</v>
      </c>
      <c r="AW39" s="1">
        <v>0.0</v>
      </c>
      <c r="AX39" s="1">
        <v>26.17</v>
      </c>
      <c r="AY39" s="1">
        <v>14.16</v>
      </c>
      <c r="AZ39" s="1">
        <v>3.51</v>
      </c>
      <c r="BA39" s="1">
        <v>1.9</v>
      </c>
      <c r="BB39" s="1">
        <v>0.71</v>
      </c>
    </row>
    <row r="40" ht="15.75" customHeight="1">
      <c r="A40" s="103">
        <v>46233.0</v>
      </c>
      <c r="B40" s="104" t="s">
        <v>9</v>
      </c>
      <c r="C40" s="104" t="s">
        <v>182</v>
      </c>
      <c r="D40" s="104">
        <v>5535.0</v>
      </c>
      <c r="E40" s="104">
        <v>24.16</v>
      </c>
      <c r="F40" s="104">
        <v>629.3</v>
      </c>
      <c r="G40" s="104">
        <v>0.1137</v>
      </c>
      <c r="H40" s="104">
        <v>3.25</v>
      </c>
      <c r="I40" s="104">
        <v>3.4961</v>
      </c>
      <c r="J40" s="104">
        <v>50.33</v>
      </c>
      <c r="K40" s="104">
        <v>25.0</v>
      </c>
      <c r="L40" s="104">
        <v>14.15</v>
      </c>
      <c r="M40" s="104">
        <v>0.5657</v>
      </c>
      <c r="N40" s="104">
        <v>0.5941</v>
      </c>
      <c r="O40" s="104">
        <v>0.397</v>
      </c>
      <c r="P40" s="104">
        <v>1.7676</v>
      </c>
      <c r="Q40" s="104">
        <v>105.01</v>
      </c>
      <c r="R40" s="104">
        <v>85.8</v>
      </c>
      <c r="S40" s="104">
        <v>19.21</v>
      </c>
      <c r="T40" s="104">
        <v>9.09</v>
      </c>
      <c r="U40" s="104">
        <v>95.91</v>
      </c>
      <c r="V40" s="104">
        <v>100.26</v>
      </c>
      <c r="W40" s="104">
        <v>4.0098</v>
      </c>
      <c r="X40" s="104">
        <v>8.66</v>
      </c>
      <c r="Y40" s="104">
        <v>106.0</v>
      </c>
      <c r="Z40" s="104">
        <v>473.0</v>
      </c>
      <c r="AA40" s="104">
        <v>4178.0</v>
      </c>
      <c r="AB40" s="104">
        <v>53.1317</v>
      </c>
      <c r="AC40" s="104">
        <v>0.6316</v>
      </c>
      <c r="AD40" s="104">
        <v>9.14</v>
      </c>
      <c r="AE40" s="104">
        <v>3.0</v>
      </c>
      <c r="AF40" s="104">
        <v>7.0</v>
      </c>
      <c r="AG40" s="104">
        <v>12.0</v>
      </c>
      <c r="AH40" s="104">
        <v>19.0</v>
      </c>
      <c r="AI40" s="104">
        <v>58.72</v>
      </c>
      <c r="AJ40" s="104">
        <v>24.79</v>
      </c>
      <c r="AK40" s="104">
        <v>4.26</v>
      </c>
      <c r="AL40" s="104">
        <v>0.2211</v>
      </c>
      <c r="AM40" s="105"/>
      <c r="AQ40" s="1">
        <v>5.7895</v>
      </c>
      <c r="AR40" s="1">
        <v>0.0979</v>
      </c>
      <c r="AS40" s="1">
        <v>5.6916</v>
      </c>
      <c r="AT40" s="1">
        <v>5.4479</v>
      </c>
      <c r="AU40" s="1">
        <v>0.2179</v>
      </c>
      <c r="AV40" s="1">
        <v>5535.0</v>
      </c>
      <c r="AW40" s="1">
        <v>0.0</v>
      </c>
      <c r="AX40" s="1">
        <v>42.64</v>
      </c>
      <c r="AY40" s="1">
        <v>46.95</v>
      </c>
      <c r="AZ40" s="1">
        <v>4.49</v>
      </c>
      <c r="BA40" s="1">
        <v>9.09</v>
      </c>
      <c r="BB40" s="1">
        <v>1.84</v>
      </c>
    </row>
    <row r="41" ht="15.75" customHeight="1">
      <c r="A41" s="103">
        <v>46233.0</v>
      </c>
      <c r="B41" s="104" t="s">
        <v>9</v>
      </c>
      <c r="C41" s="104" t="s">
        <v>183</v>
      </c>
      <c r="D41" s="104">
        <v>3721.0</v>
      </c>
      <c r="E41" s="104">
        <v>16.24</v>
      </c>
      <c r="F41" s="104">
        <v>906.68</v>
      </c>
      <c r="G41" s="104">
        <v>0.2437</v>
      </c>
      <c r="H41" s="104">
        <v>5.16</v>
      </c>
      <c r="I41" s="104">
        <v>4.7223</v>
      </c>
      <c r="J41" s="104">
        <v>74.16</v>
      </c>
      <c r="K41" s="104">
        <v>39.2</v>
      </c>
      <c r="L41" s="104">
        <v>26.78</v>
      </c>
      <c r="M41" s="104">
        <v>0.6831</v>
      </c>
      <c r="N41" s="104">
        <v>0.4798</v>
      </c>
      <c r="O41" s="104">
        <v>0.327</v>
      </c>
      <c r="P41" s="104">
        <v>1.464</v>
      </c>
      <c r="Q41" s="104">
        <v>206.85</v>
      </c>
      <c r="R41" s="104">
        <v>168.03</v>
      </c>
      <c r="S41" s="104">
        <v>38.82</v>
      </c>
      <c r="T41" s="104">
        <v>21.1</v>
      </c>
      <c r="U41" s="104">
        <v>185.75</v>
      </c>
      <c r="V41" s="104">
        <v>182.52</v>
      </c>
      <c r="W41" s="104">
        <v>4.6558</v>
      </c>
      <c r="X41" s="104">
        <v>10.2</v>
      </c>
      <c r="Y41" s="104">
        <v>125.0</v>
      </c>
      <c r="Z41" s="104">
        <v>541.0</v>
      </c>
      <c r="AA41" s="104">
        <v>4041.0</v>
      </c>
      <c r="AB41" s="104">
        <v>55.9423</v>
      </c>
      <c r="AC41" s="104">
        <v>0.7438</v>
      </c>
      <c r="AD41" s="104">
        <v>17.91</v>
      </c>
      <c r="AE41" s="104">
        <v>7.0</v>
      </c>
      <c r="AF41" s="104">
        <v>13.0</v>
      </c>
      <c r="AG41" s="104">
        <v>24.0</v>
      </c>
      <c r="AH41" s="104">
        <v>40.0</v>
      </c>
      <c r="AI41" s="104">
        <v>59.07</v>
      </c>
      <c r="AJ41" s="104">
        <v>23.19</v>
      </c>
      <c r="AK41" s="104">
        <v>8.73</v>
      </c>
      <c r="AL41" s="104">
        <v>0.1787</v>
      </c>
      <c r="AM41" s="105"/>
      <c r="AQ41" s="1">
        <v>9.5816</v>
      </c>
      <c r="AR41" s="1">
        <v>0.2354</v>
      </c>
      <c r="AS41" s="1">
        <v>9.3461</v>
      </c>
      <c r="AT41" s="1">
        <v>8.7847</v>
      </c>
      <c r="AU41" s="1">
        <v>0.2241</v>
      </c>
      <c r="AV41" s="1">
        <v>3721.0</v>
      </c>
      <c r="AW41" s="1">
        <v>0.0</v>
      </c>
      <c r="AX41" s="1">
        <v>71.15</v>
      </c>
      <c r="AY41" s="1">
        <v>106.71</v>
      </c>
      <c r="AZ41" s="1">
        <v>4.55</v>
      </c>
      <c r="BA41" s="1">
        <v>21.1</v>
      </c>
      <c r="BB41" s="1">
        <v>3.34</v>
      </c>
    </row>
    <row r="42" ht="15.75" customHeight="1">
      <c r="A42" s="103">
        <v>46233.0</v>
      </c>
      <c r="B42" s="104" t="s">
        <v>9</v>
      </c>
      <c r="C42" s="104" t="s">
        <v>184</v>
      </c>
      <c r="D42" s="104">
        <v>2393.0</v>
      </c>
      <c r="E42" s="104">
        <v>10.44</v>
      </c>
      <c r="F42" s="104">
        <v>1131.6</v>
      </c>
      <c r="G42" s="104">
        <v>0.4729</v>
      </c>
      <c r="H42" s="104">
        <v>5.98</v>
      </c>
      <c r="I42" s="104">
        <v>7.9133</v>
      </c>
      <c r="J42" s="104">
        <v>137.11</v>
      </c>
      <c r="K42" s="104">
        <v>79.52</v>
      </c>
      <c r="L42" s="104">
        <v>61.36</v>
      </c>
      <c r="M42" s="104">
        <v>0.7716</v>
      </c>
      <c r="N42" s="104">
        <v>0.3829</v>
      </c>
      <c r="O42" s="104">
        <v>0.2722</v>
      </c>
      <c r="P42" s="104">
        <v>1.296</v>
      </c>
      <c r="Q42" s="104">
        <v>457.12</v>
      </c>
      <c r="R42" s="104">
        <v>369.05</v>
      </c>
      <c r="S42" s="104">
        <v>88.07</v>
      </c>
      <c r="T42" s="104">
        <v>38.63</v>
      </c>
      <c r="U42" s="104">
        <v>418.49</v>
      </c>
      <c r="V42" s="104">
        <v>378.81</v>
      </c>
      <c r="W42" s="104">
        <v>4.7636</v>
      </c>
      <c r="X42" s="104">
        <v>8.45</v>
      </c>
      <c r="Y42" s="104">
        <v>202.0</v>
      </c>
      <c r="Z42" s="104">
        <v>1003.0</v>
      </c>
      <c r="AA42" s="104">
        <v>5441.0</v>
      </c>
      <c r="AB42" s="104">
        <v>58.2444</v>
      </c>
      <c r="AC42" s="104">
        <v>0.7945</v>
      </c>
      <c r="AD42" s="104">
        <v>37.29</v>
      </c>
      <c r="AE42" s="104">
        <v>14.0</v>
      </c>
      <c r="AF42" s="104">
        <v>27.0</v>
      </c>
      <c r="AG42" s="104">
        <v>50.0</v>
      </c>
      <c r="AH42" s="104">
        <v>82.0</v>
      </c>
      <c r="AI42" s="104">
        <v>49.44</v>
      </c>
      <c r="AJ42" s="104">
        <v>19.68</v>
      </c>
      <c r="AK42" s="104">
        <v>5.64</v>
      </c>
      <c r="AL42" s="104">
        <v>0.1153</v>
      </c>
      <c r="AM42" s="105"/>
      <c r="AQ42" s="1">
        <v>17.0418</v>
      </c>
      <c r="AR42" s="1">
        <v>0.458</v>
      </c>
      <c r="AS42" s="1">
        <v>16.5838</v>
      </c>
      <c r="AT42" s="1">
        <v>15.2039</v>
      </c>
      <c r="AU42" s="1">
        <v>0.1912</v>
      </c>
      <c r="AV42" s="1">
        <v>2393.0</v>
      </c>
      <c r="AW42" s="1">
        <v>0.0</v>
      </c>
      <c r="AX42" s="1">
        <v>144.07</v>
      </c>
      <c r="AY42" s="1">
        <v>261.45</v>
      </c>
      <c r="AZ42" s="1">
        <v>5.44</v>
      </c>
      <c r="BA42" s="1">
        <v>38.63</v>
      </c>
      <c r="BB42" s="1">
        <v>7.52</v>
      </c>
    </row>
    <row r="43" ht="15.75" customHeight="1">
      <c r="A43" s="103">
        <v>46233.0</v>
      </c>
      <c r="B43" s="104" t="s">
        <v>9</v>
      </c>
      <c r="C43" s="104" t="s">
        <v>186</v>
      </c>
      <c r="D43" s="104">
        <v>387.0</v>
      </c>
      <c r="E43" s="104">
        <v>1.69</v>
      </c>
      <c r="F43" s="104">
        <v>224.8</v>
      </c>
      <c r="G43" s="104">
        <v>0.5809</v>
      </c>
      <c r="H43" s="104">
        <v>7.24</v>
      </c>
      <c r="I43" s="104">
        <v>8.0286</v>
      </c>
      <c r="J43" s="104">
        <v>250.93</v>
      </c>
      <c r="K43" s="104">
        <v>158.08</v>
      </c>
      <c r="L43" s="104">
        <v>134.45</v>
      </c>
      <c r="M43" s="104">
        <v>0.8505</v>
      </c>
      <c r="N43" s="104">
        <v>0.2903</v>
      </c>
      <c r="O43" s="104">
        <v>0.2233</v>
      </c>
      <c r="P43" s="104">
        <v>1.1757</v>
      </c>
      <c r="Q43" s="104">
        <v>860.4</v>
      </c>
      <c r="R43" s="104">
        <v>656.71</v>
      </c>
      <c r="S43" s="104">
        <v>203.7</v>
      </c>
      <c r="T43" s="104">
        <v>52.84</v>
      </c>
      <c r="U43" s="104">
        <v>807.56</v>
      </c>
      <c r="V43" s="104">
        <v>777.0</v>
      </c>
      <c r="W43" s="104">
        <v>4.9152</v>
      </c>
      <c r="X43" s="104">
        <v>6.14</v>
      </c>
      <c r="Y43" s="104">
        <v>286.0</v>
      </c>
      <c r="Z43" s="104">
        <v>1284.0</v>
      </c>
      <c r="AA43" s="104">
        <v>6163.0</v>
      </c>
      <c r="AB43" s="104">
        <v>61.477</v>
      </c>
      <c r="AC43" s="104">
        <v>0.8458</v>
      </c>
      <c r="AD43" s="104">
        <v>73.51</v>
      </c>
      <c r="AE43" s="104">
        <v>28.0</v>
      </c>
      <c r="AF43" s="104">
        <v>59.0</v>
      </c>
      <c r="AG43" s="104">
        <v>103.0</v>
      </c>
      <c r="AH43" s="104">
        <v>156.0</v>
      </c>
      <c r="AI43" s="104">
        <v>36.95</v>
      </c>
      <c r="AJ43" s="104">
        <v>6.72</v>
      </c>
      <c r="AK43" s="104">
        <v>0.78</v>
      </c>
      <c r="AL43" s="104">
        <v>0.0853</v>
      </c>
      <c r="AM43" s="105"/>
      <c r="AQ43" s="1">
        <v>33.155</v>
      </c>
      <c r="AR43" s="1">
        <v>2.1395</v>
      </c>
      <c r="AS43" s="1">
        <v>31.0155</v>
      </c>
      <c r="AT43" s="1">
        <v>29.9845</v>
      </c>
      <c r="AU43" s="1">
        <v>0.1897</v>
      </c>
      <c r="AV43" s="1">
        <v>387.0</v>
      </c>
      <c r="AW43" s="1">
        <v>0.0</v>
      </c>
      <c r="AX43" s="1">
        <v>304.37</v>
      </c>
      <c r="AY43" s="1">
        <v>483.02</v>
      </c>
      <c r="AZ43" s="1">
        <v>7.29</v>
      </c>
      <c r="BA43" s="1">
        <v>52.84</v>
      </c>
      <c r="BB43" s="1">
        <v>12.88</v>
      </c>
    </row>
    <row r="44" ht="15.75" customHeight="1">
      <c r="A44" s="103">
        <v>46233.0</v>
      </c>
      <c r="B44" s="104" t="s">
        <v>10</v>
      </c>
      <c r="C44" s="104" t="s">
        <v>179</v>
      </c>
      <c r="D44" s="104">
        <v>3522.0</v>
      </c>
      <c r="E44" s="104">
        <v>15.58</v>
      </c>
      <c r="F44" s="104">
        <v>0.0</v>
      </c>
      <c r="G44" s="104">
        <v>0.0</v>
      </c>
      <c r="H44" s="104">
        <v>0.0</v>
      </c>
      <c r="I44" s="104"/>
      <c r="J44" s="104">
        <v>7.21</v>
      </c>
      <c r="K44" s="104">
        <v>3.01</v>
      </c>
      <c r="L44" s="104">
        <v>0.05</v>
      </c>
      <c r="M44" s="104">
        <v>0.0171</v>
      </c>
      <c r="N44" s="104">
        <v>0.9872</v>
      </c>
      <c r="O44" s="104">
        <v>0.8063</v>
      </c>
      <c r="P44" s="104">
        <v>58.6243</v>
      </c>
      <c r="Q44" s="104">
        <v>14.49</v>
      </c>
      <c r="R44" s="104">
        <v>14.42</v>
      </c>
      <c r="S44" s="104">
        <v>0.07</v>
      </c>
      <c r="T44" s="104">
        <v>0.09</v>
      </c>
      <c r="U44" s="104">
        <v>14.4</v>
      </c>
      <c r="V44" s="104">
        <v>1.77</v>
      </c>
      <c r="W44" s="104">
        <v>0.5893</v>
      </c>
      <c r="X44" s="104">
        <v>0.59</v>
      </c>
      <c r="Y44" s="104">
        <v>144.0</v>
      </c>
      <c r="Z44" s="104">
        <v>1893.0</v>
      </c>
      <c r="AA44" s="104">
        <v>11321.0</v>
      </c>
      <c r="AB44" s="104">
        <v>49.9209</v>
      </c>
      <c r="AC44" s="104">
        <v>0.5425</v>
      </c>
      <c r="AD44" s="105"/>
      <c r="AE44" s="105"/>
      <c r="AF44" s="105"/>
      <c r="AG44" s="105"/>
      <c r="AH44" s="105"/>
      <c r="AI44" s="104">
        <v>0.0</v>
      </c>
      <c r="AJ44" s="104">
        <v>0.0</v>
      </c>
      <c r="AK44" s="104">
        <v>0.0</v>
      </c>
      <c r="AL44" s="104">
        <v>0.3339</v>
      </c>
      <c r="AM44" s="104">
        <v>0.14</v>
      </c>
      <c r="AN44" s="1">
        <v>0.14</v>
      </c>
      <c r="AO44" s="1">
        <v>0.09</v>
      </c>
      <c r="AP44" s="1">
        <v>0.03</v>
      </c>
      <c r="AQ44" s="1">
        <v>0.7808</v>
      </c>
      <c r="AR44" s="1">
        <v>0.0034</v>
      </c>
      <c r="AS44" s="1">
        <v>0.7774</v>
      </c>
      <c r="AT44" s="1">
        <v>0.4188</v>
      </c>
      <c r="AU44" s="1">
        <v>0.139</v>
      </c>
      <c r="AV44" s="1">
        <v>3504.0</v>
      </c>
      <c r="AW44" s="1">
        <v>18.0</v>
      </c>
      <c r="AX44" s="1">
        <v>8.6</v>
      </c>
      <c r="AY44" s="1">
        <v>4.02</v>
      </c>
      <c r="AZ44" s="1">
        <v>1.57</v>
      </c>
      <c r="BA44" s="1">
        <v>0.09</v>
      </c>
      <c r="BB44" s="1">
        <v>0.21</v>
      </c>
    </row>
    <row r="45" ht="15.75" customHeight="1">
      <c r="A45" s="103">
        <v>46233.0</v>
      </c>
      <c r="B45" s="104" t="s">
        <v>10</v>
      </c>
      <c r="C45" s="104" t="s">
        <v>181</v>
      </c>
      <c r="D45" s="104">
        <v>6678.0</v>
      </c>
      <c r="E45" s="104">
        <v>29.53</v>
      </c>
      <c r="F45" s="104">
        <v>201.06</v>
      </c>
      <c r="G45" s="104">
        <v>0.0301</v>
      </c>
      <c r="H45" s="104">
        <v>1.35</v>
      </c>
      <c r="I45" s="104">
        <v>2.234</v>
      </c>
      <c r="J45" s="104">
        <v>31.0</v>
      </c>
      <c r="K45" s="104">
        <v>14.86</v>
      </c>
      <c r="L45" s="104">
        <v>5.71</v>
      </c>
      <c r="M45" s="104">
        <v>0.3844</v>
      </c>
      <c r="N45" s="104">
        <v>0.7399</v>
      </c>
      <c r="O45" s="104">
        <v>0.5104</v>
      </c>
      <c r="P45" s="104">
        <v>2.6012</v>
      </c>
      <c r="Q45" s="104">
        <v>42.63</v>
      </c>
      <c r="R45" s="104">
        <v>39.0</v>
      </c>
      <c r="S45" s="104">
        <v>3.63</v>
      </c>
      <c r="T45" s="104">
        <v>2.58</v>
      </c>
      <c r="U45" s="104">
        <v>40.06</v>
      </c>
      <c r="V45" s="104">
        <v>45.63</v>
      </c>
      <c r="W45" s="104">
        <v>3.069</v>
      </c>
      <c r="X45" s="104">
        <v>6.05</v>
      </c>
      <c r="Y45" s="104">
        <v>101.0</v>
      </c>
      <c r="Z45" s="104">
        <v>517.0</v>
      </c>
      <c r="AA45" s="104">
        <v>4444.0</v>
      </c>
      <c r="AB45" s="104">
        <v>50.2553</v>
      </c>
      <c r="AC45" s="104">
        <v>0.5338</v>
      </c>
      <c r="AD45" s="104">
        <v>4.05</v>
      </c>
      <c r="AE45" s="104">
        <v>1.0</v>
      </c>
      <c r="AF45" s="104">
        <v>3.0</v>
      </c>
      <c r="AG45" s="104">
        <v>5.0</v>
      </c>
      <c r="AH45" s="104">
        <v>9.0</v>
      </c>
      <c r="AI45" s="104">
        <v>73.88</v>
      </c>
      <c r="AJ45" s="104">
        <v>31.6</v>
      </c>
      <c r="AK45" s="104">
        <v>8.45</v>
      </c>
      <c r="AL45" s="104">
        <v>0.2742</v>
      </c>
      <c r="AM45" s="104">
        <v>56.32</v>
      </c>
      <c r="AN45" s="1">
        <v>56.32</v>
      </c>
      <c r="AO45" s="1">
        <v>25.79</v>
      </c>
      <c r="AP45" s="1">
        <v>7.94</v>
      </c>
      <c r="AQ45" s="1">
        <v>3.4509</v>
      </c>
      <c r="AR45" s="1">
        <v>0.0261</v>
      </c>
      <c r="AS45" s="1">
        <v>3.4248</v>
      </c>
      <c r="AT45" s="1">
        <v>3.2092</v>
      </c>
      <c r="AU45" s="1">
        <v>0.216</v>
      </c>
      <c r="AV45" s="1">
        <v>6615.0</v>
      </c>
      <c r="AW45" s="1">
        <v>63.0</v>
      </c>
      <c r="AX45" s="1">
        <v>18.09</v>
      </c>
      <c r="AY45" s="1">
        <v>17.69</v>
      </c>
      <c r="AZ45" s="1">
        <v>3.46</v>
      </c>
      <c r="BA45" s="1">
        <v>2.58</v>
      </c>
      <c r="BB45" s="1">
        <v>0.81</v>
      </c>
    </row>
    <row r="46" ht="15.75" customHeight="1">
      <c r="A46" s="103">
        <v>46233.0</v>
      </c>
      <c r="B46" s="104" t="s">
        <v>10</v>
      </c>
      <c r="C46" s="104" t="s">
        <v>182</v>
      </c>
      <c r="D46" s="104">
        <v>5670.0</v>
      </c>
      <c r="E46" s="104">
        <v>25.08</v>
      </c>
      <c r="F46" s="104">
        <v>840.52</v>
      </c>
      <c r="G46" s="104">
        <v>0.1482</v>
      </c>
      <c r="H46" s="104">
        <v>3.32</v>
      </c>
      <c r="I46" s="104">
        <v>4.4709</v>
      </c>
      <c r="J46" s="104">
        <v>56.93</v>
      </c>
      <c r="K46" s="104">
        <v>28.08</v>
      </c>
      <c r="L46" s="104">
        <v>14.36</v>
      </c>
      <c r="M46" s="104">
        <v>0.5115</v>
      </c>
      <c r="N46" s="104">
        <v>0.6343</v>
      </c>
      <c r="O46" s="104">
        <v>0.4142</v>
      </c>
      <c r="P46" s="104">
        <v>1.9549</v>
      </c>
      <c r="Q46" s="104">
        <v>79.82</v>
      </c>
      <c r="R46" s="104">
        <v>71.24</v>
      </c>
      <c r="S46" s="104">
        <v>8.57</v>
      </c>
      <c r="T46" s="104">
        <v>10.18</v>
      </c>
      <c r="U46" s="104">
        <v>69.64</v>
      </c>
      <c r="V46" s="104">
        <v>90.46</v>
      </c>
      <c r="W46" s="104">
        <v>3.2192</v>
      </c>
      <c r="X46" s="104">
        <v>12.75</v>
      </c>
      <c r="Y46" s="104">
        <v>91.0</v>
      </c>
      <c r="Z46" s="104">
        <v>337.0</v>
      </c>
      <c r="AA46" s="104">
        <v>2906.0</v>
      </c>
      <c r="AB46" s="104">
        <v>52.7876</v>
      </c>
      <c r="AC46" s="104">
        <v>0.6233</v>
      </c>
      <c r="AD46" s="104">
        <v>8.97</v>
      </c>
      <c r="AE46" s="104">
        <v>3.0</v>
      </c>
      <c r="AF46" s="104">
        <v>7.0</v>
      </c>
      <c r="AG46" s="104">
        <v>12.0</v>
      </c>
      <c r="AH46" s="104">
        <v>19.0</v>
      </c>
      <c r="AI46" s="104">
        <v>59.21</v>
      </c>
      <c r="AJ46" s="104">
        <v>23.88</v>
      </c>
      <c r="AK46" s="104">
        <v>3.97</v>
      </c>
      <c r="AL46" s="104">
        <v>0.2009</v>
      </c>
      <c r="AM46" s="104">
        <v>58.85</v>
      </c>
      <c r="AN46" s="1">
        <v>58.85</v>
      </c>
      <c r="AO46" s="1">
        <v>34.3</v>
      </c>
      <c r="AP46" s="1">
        <v>16.42</v>
      </c>
      <c r="AQ46" s="1">
        <v>5.8725</v>
      </c>
      <c r="AR46" s="1">
        <v>0.1153</v>
      </c>
      <c r="AS46" s="1">
        <v>5.7571</v>
      </c>
      <c r="AT46" s="1">
        <v>5.8866</v>
      </c>
      <c r="AU46" s="1">
        <v>0.2097</v>
      </c>
      <c r="AV46" s="1">
        <v>5649.0</v>
      </c>
      <c r="AW46" s="1">
        <v>21.0</v>
      </c>
      <c r="AX46" s="1">
        <v>28.1</v>
      </c>
      <c r="AY46" s="1">
        <v>35.88</v>
      </c>
      <c r="AZ46" s="1">
        <v>4.28</v>
      </c>
      <c r="BA46" s="1">
        <v>10.18</v>
      </c>
      <c r="BB46" s="1">
        <v>1.38</v>
      </c>
    </row>
    <row r="47" ht="15.75" customHeight="1">
      <c r="A47" s="103">
        <v>46233.0</v>
      </c>
      <c r="B47" s="104" t="s">
        <v>10</v>
      </c>
      <c r="C47" s="104" t="s">
        <v>183</v>
      </c>
      <c r="D47" s="104">
        <v>4052.0</v>
      </c>
      <c r="E47" s="104">
        <v>17.92</v>
      </c>
      <c r="F47" s="104">
        <v>755.56</v>
      </c>
      <c r="G47" s="104">
        <v>0.1865</v>
      </c>
      <c r="H47" s="104">
        <v>4.69</v>
      </c>
      <c r="I47" s="104">
        <v>3.9766</v>
      </c>
      <c r="J47" s="104">
        <v>84.6</v>
      </c>
      <c r="K47" s="104">
        <v>43.58</v>
      </c>
      <c r="L47" s="104">
        <v>27.7</v>
      </c>
      <c r="M47" s="104">
        <v>0.6357</v>
      </c>
      <c r="N47" s="104">
        <v>0.5206</v>
      </c>
      <c r="O47" s="104">
        <v>0.3449</v>
      </c>
      <c r="P47" s="104">
        <v>1.573</v>
      </c>
      <c r="Q47" s="104">
        <v>150.95</v>
      </c>
      <c r="R47" s="104">
        <v>133.49</v>
      </c>
      <c r="S47" s="104">
        <v>17.46</v>
      </c>
      <c r="T47" s="104">
        <v>16.35</v>
      </c>
      <c r="U47" s="104">
        <v>134.6</v>
      </c>
      <c r="V47" s="104">
        <v>158.73</v>
      </c>
      <c r="W47" s="104">
        <v>3.6435</v>
      </c>
      <c r="X47" s="104">
        <v>10.83</v>
      </c>
      <c r="Y47" s="104">
        <v>111.0</v>
      </c>
      <c r="Z47" s="104">
        <v>505.0</v>
      </c>
      <c r="AA47" s="104">
        <v>4348.0</v>
      </c>
      <c r="AB47" s="104">
        <v>55.7235</v>
      </c>
      <c r="AC47" s="104">
        <v>0.7374</v>
      </c>
      <c r="AD47" s="104">
        <v>17.32</v>
      </c>
      <c r="AE47" s="104">
        <v>7.0</v>
      </c>
      <c r="AF47" s="104">
        <v>13.0</v>
      </c>
      <c r="AG47" s="104">
        <v>23.0</v>
      </c>
      <c r="AH47" s="104">
        <v>37.0</v>
      </c>
      <c r="AI47" s="104">
        <v>58.05</v>
      </c>
      <c r="AJ47" s="104">
        <v>21.69</v>
      </c>
      <c r="AK47" s="104">
        <v>7.33</v>
      </c>
      <c r="AL47" s="104">
        <v>0.1705</v>
      </c>
      <c r="AM47" s="104">
        <v>60.14</v>
      </c>
      <c r="AN47" s="1">
        <v>60.14</v>
      </c>
      <c r="AO47" s="1">
        <v>36.15</v>
      </c>
      <c r="AP47" s="1">
        <v>19.42</v>
      </c>
      <c r="AQ47" s="1">
        <v>8.8122</v>
      </c>
      <c r="AR47" s="1">
        <v>0.1676</v>
      </c>
      <c r="AS47" s="1">
        <v>8.6446</v>
      </c>
      <c r="AT47" s="1">
        <v>9.0155</v>
      </c>
      <c r="AU47" s="1">
        <v>0.2069</v>
      </c>
      <c r="AV47" s="1">
        <v>4044.0</v>
      </c>
      <c r="AW47" s="1">
        <v>8.0</v>
      </c>
      <c r="AX47" s="1">
        <v>45.62</v>
      </c>
      <c r="AY47" s="1">
        <v>80.21</v>
      </c>
      <c r="AZ47" s="1">
        <v>4.82</v>
      </c>
      <c r="BA47" s="1">
        <v>16.35</v>
      </c>
      <c r="BB47" s="1">
        <v>3.95</v>
      </c>
    </row>
    <row r="48" ht="15.75" customHeight="1">
      <c r="A48" s="103">
        <v>46233.0</v>
      </c>
      <c r="B48" s="104" t="s">
        <v>10</v>
      </c>
      <c r="C48" s="104" t="s">
        <v>184</v>
      </c>
      <c r="D48" s="104">
        <v>2364.0</v>
      </c>
      <c r="E48" s="104">
        <v>10.45</v>
      </c>
      <c r="F48" s="104">
        <v>762.3</v>
      </c>
      <c r="G48" s="104">
        <v>0.3225</v>
      </c>
      <c r="H48" s="104">
        <v>5.33</v>
      </c>
      <c r="I48" s="104">
        <v>6.05</v>
      </c>
      <c r="J48" s="104">
        <v>131.62</v>
      </c>
      <c r="K48" s="104">
        <v>74.38</v>
      </c>
      <c r="L48" s="104">
        <v>54.54</v>
      </c>
      <c r="M48" s="104">
        <v>0.7333</v>
      </c>
      <c r="N48" s="104">
        <v>0.4194</v>
      </c>
      <c r="O48" s="104">
        <v>0.2925</v>
      </c>
      <c r="P48" s="104">
        <v>1.3637</v>
      </c>
      <c r="Q48" s="104">
        <v>299.85</v>
      </c>
      <c r="R48" s="104">
        <v>266.08</v>
      </c>
      <c r="S48" s="104">
        <v>33.77</v>
      </c>
      <c r="T48" s="104">
        <v>27.26</v>
      </c>
      <c r="U48" s="104">
        <v>272.59</v>
      </c>
      <c r="V48" s="104">
        <v>288.91</v>
      </c>
      <c r="W48" s="104">
        <v>3.886</v>
      </c>
      <c r="X48" s="104">
        <v>9.09</v>
      </c>
      <c r="Y48" s="104">
        <v>144.0</v>
      </c>
      <c r="Z48" s="104">
        <v>734.0</v>
      </c>
      <c r="AA48" s="104">
        <v>4768.0</v>
      </c>
      <c r="AB48" s="104">
        <v>58.6943</v>
      </c>
      <c r="AC48" s="104">
        <v>0.8088</v>
      </c>
      <c r="AD48" s="104">
        <v>30.4</v>
      </c>
      <c r="AE48" s="104">
        <v>12.0</v>
      </c>
      <c r="AF48" s="104">
        <v>21.0</v>
      </c>
      <c r="AG48" s="104">
        <v>39.0</v>
      </c>
      <c r="AH48" s="104">
        <v>66.0</v>
      </c>
      <c r="AI48" s="104">
        <v>40.27</v>
      </c>
      <c r="AJ48" s="104">
        <v>12.77</v>
      </c>
      <c r="AK48" s="104">
        <v>3.21</v>
      </c>
      <c r="AL48" s="104">
        <v>0.1096</v>
      </c>
      <c r="AM48" s="104">
        <v>54.44</v>
      </c>
      <c r="AN48" s="1">
        <v>54.44</v>
      </c>
      <c r="AO48" s="1">
        <v>30.2</v>
      </c>
      <c r="AP48" s="1">
        <v>17.01</v>
      </c>
      <c r="AQ48" s="1">
        <v>12.5664</v>
      </c>
      <c r="AR48" s="1">
        <v>0.2931</v>
      </c>
      <c r="AS48" s="1">
        <v>12.2733</v>
      </c>
      <c r="AT48" s="1">
        <v>12.1058</v>
      </c>
      <c r="AU48" s="1">
        <v>0.1628</v>
      </c>
      <c r="AV48" s="1">
        <v>2359.0</v>
      </c>
      <c r="AW48" s="1">
        <v>5.0</v>
      </c>
      <c r="AX48" s="1">
        <v>79.84</v>
      </c>
      <c r="AY48" s="1">
        <v>180.73</v>
      </c>
      <c r="AZ48" s="1">
        <v>5.46</v>
      </c>
      <c r="BA48" s="1">
        <v>27.26</v>
      </c>
      <c r="BB48" s="1">
        <v>6.57</v>
      </c>
    </row>
    <row r="49" ht="15.75" customHeight="1">
      <c r="A49" s="103">
        <v>46233.0</v>
      </c>
      <c r="B49" s="104" t="s">
        <v>10</v>
      </c>
      <c r="C49" s="104" t="s">
        <v>186</v>
      </c>
      <c r="D49" s="104">
        <v>326.0</v>
      </c>
      <c r="E49" s="104">
        <v>1.44</v>
      </c>
      <c r="F49" s="104">
        <v>162.87</v>
      </c>
      <c r="G49" s="104">
        <v>0.4996</v>
      </c>
      <c r="H49" s="104">
        <v>4.91</v>
      </c>
      <c r="I49" s="104">
        <v>10.1794</v>
      </c>
      <c r="J49" s="104">
        <v>259.94</v>
      </c>
      <c r="K49" s="104">
        <v>155.73</v>
      </c>
      <c r="L49" s="104">
        <v>124.11</v>
      </c>
      <c r="M49" s="104">
        <v>0.7969</v>
      </c>
      <c r="N49" s="104">
        <v>0.3463</v>
      </c>
      <c r="O49" s="104">
        <v>0.2549</v>
      </c>
      <c r="P49" s="104">
        <v>1.2548</v>
      </c>
      <c r="Q49" s="104">
        <v>798.9</v>
      </c>
      <c r="R49" s="104">
        <v>728.85</v>
      </c>
      <c r="S49" s="104">
        <v>70.05</v>
      </c>
      <c r="T49" s="104">
        <v>32.62</v>
      </c>
      <c r="U49" s="104">
        <v>766.29</v>
      </c>
      <c r="V49" s="104">
        <v>516.49</v>
      </c>
      <c r="W49" s="104">
        <v>3.476</v>
      </c>
      <c r="X49" s="104">
        <v>4.08</v>
      </c>
      <c r="Y49" s="104">
        <v>344.0</v>
      </c>
      <c r="Z49" s="104">
        <v>1462.0</v>
      </c>
      <c r="AA49" s="104">
        <v>6424.0</v>
      </c>
      <c r="AB49" s="104">
        <v>61.7485</v>
      </c>
      <c r="AC49" s="104">
        <v>0.837</v>
      </c>
      <c r="AD49" s="104">
        <v>60.23</v>
      </c>
      <c r="AE49" s="104">
        <v>20.0</v>
      </c>
      <c r="AF49" s="104">
        <v>37.0</v>
      </c>
      <c r="AG49" s="104">
        <v>85.0</v>
      </c>
      <c r="AH49" s="104">
        <v>150.0</v>
      </c>
      <c r="AI49" s="104">
        <v>25.15</v>
      </c>
      <c r="AJ49" s="104">
        <v>6.44</v>
      </c>
      <c r="AK49" s="104">
        <v>0.92</v>
      </c>
      <c r="AL49" s="104">
        <v>0.0613</v>
      </c>
      <c r="AM49" s="104">
        <v>55.21</v>
      </c>
      <c r="AN49" s="1">
        <v>55.21</v>
      </c>
      <c r="AO49" s="1">
        <v>32.82</v>
      </c>
      <c r="AP49" s="1">
        <v>22.09</v>
      </c>
      <c r="AQ49" s="1">
        <v>97.3405</v>
      </c>
      <c r="AR49" s="1">
        <v>0.6779</v>
      </c>
      <c r="AS49" s="1">
        <v>96.6626</v>
      </c>
      <c r="AT49" s="1">
        <v>28.2423</v>
      </c>
      <c r="AU49" s="1">
        <v>0.1814</v>
      </c>
      <c r="AV49" s="1">
        <v>279.0</v>
      </c>
      <c r="AW49" s="1">
        <v>47.0</v>
      </c>
      <c r="AX49" s="1">
        <v>158.55</v>
      </c>
      <c r="AY49" s="1">
        <v>590.0</v>
      </c>
      <c r="AZ49" s="1">
        <v>7.04</v>
      </c>
      <c r="BA49" s="1">
        <v>32.62</v>
      </c>
      <c r="BB49" s="1">
        <v>10.7</v>
      </c>
    </row>
    <row r="50" ht="15.75" customHeight="1">
      <c r="A50" s="103">
        <v>46234.0</v>
      </c>
      <c r="B50" s="104" t="s">
        <v>9</v>
      </c>
      <c r="C50" s="104" t="s">
        <v>179</v>
      </c>
      <c r="D50" s="104">
        <v>3493.0</v>
      </c>
      <c r="E50" s="104">
        <v>15.43</v>
      </c>
      <c r="F50" s="104">
        <v>4.3</v>
      </c>
      <c r="G50" s="104">
        <v>0.0012</v>
      </c>
      <c r="H50" s="104">
        <v>0.03</v>
      </c>
      <c r="I50" s="104">
        <v>4.3</v>
      </c>
      <c r="J50" s="104">
        <v>6.55</v>
      </c>
      <c r="K50" s="104">
        <v>2.79</v>
      </c>
      <c r="L50" s="104">
        <v>0.17</v>
      </c>
      <c r="M50" s="104">
        <v>0.061</v>
      </c>
      <c r="N50" s="104">
        <v>0.9427</v>
      </c>
      <c r="O50" s="104">
        <v>0.535</v>
      </c>
      <c r="P50" s="104">
        <v>16.3822</v>
      </c>
      <c r="Q50" s="104">
        <v>32.54</v>
      </c>
      <c r="R50" s="104">
        <v>32.43</v>
      </c>
      <c r="S50" s="104">
        <v>0.11</v>
      </c>
      <c r="T50" s="104">
        <v>0.14</v>
      </c>
      <c r="U50" s="104">
        <v>32.39</v>
      </c>
      <c r="V50" s="104">
        <v>2.53</v>
      </c>
      <c r="W50" s="104">
        <v>0.9095</v>
      </c>
      <c r="X50" s="104">
        <v>0.44</v>
      </c>
      <c r="Y50" s="104">
        <v>207.0</v>
      </c>
      <c r="Z50" s="104">
        <v>2220.0</v>
      </c>
      <c r="AA50" s="104">
        <v>12628.0</v>
      </c>
      <c r="AB50" s="104">
        <v>49.9815</v>
      </c>
      <c r="AC50" s="104">
        <v>0.5581</v>
      </c>
      <c r="AD50" s="105"/>
      <c r="AE50" s="105"/>
      <c r="AF50" s="105"/>
      <c r="AG50" s="105"/>
      <c r="AH50" s="105"/>
      <c r="AI50" s="104">
        <v>0.0</v>
      </c>
      <c r="AJ50" s="104">
        <v>0.0</v>
      </c>
      <c r="AK50" s="104">
        <v>0.0</v>
      </c>
      <c r="AL50" s="104">
        <v>0.363</v>
      </c>
      <c r="AQ50" s="1">
        <v>1.7186</v>
      </c>
      <c r="AR50" s="1">
        <v>0.0123</v>
      </c>
      <c r="AS50" s="1">
        <v>1.7063</v>
      </c>
      <c r="AT50" s="1">
        <v>0.4841</v>
      </c>
      <c r="AU50" s="1">
        <v>0.1738</v>
      </c>
      <c r="AV50" s="1">
        <v>3493.0</v>
      </c>
      <c r="AW50" s="1">
        <v>0.0</v>
      </c>
      <c r="AX50" s="1">
        <v>12.87</v>
      </c>
      <c r="AY50" s="1">
        <v>17.29</v>
      </c>
      <c r="AZ50" s="1">
        <v>1.97</v>
      </c>
      <c r="BA50" s="1">
        <v>0.14</v>
      </c>
      <c r="BB50" s="1">
        <v>0.26</v>
      </c>
    </row>
    <row r="51" ht="15.75" customHeight="1">
      <c r="A51" s="103">
        <v>46234.0</v>
      </c>
      <c r="B51" s="104" t="s">
        <v>9</v>
      </c>
      <c r="C51" s="104" t="s">
        <v>181</v>
      </c>
      <c r="D51" s="104">
        <v>7173.0</v>
      </c>
      <c r="E51" s="104">
        <v>31.69</v>
      </c>
      <c r="F51" s="104">
        <v>251.26</v>
      </c>
      <c r="G51" s="104">
        <v>0.035</v>
      </c>
      <c r="H51" s="104">
        <v>1.44</v>
      </c>
      <c r="I51" s="104">
        <v>2.4394</v>
      </c>
      <c r="J51" s="104">
        <v>31.79</v>
      </c>
      <c r="K51" s="104">
        <v>15.27</v>
      </c>
      <c r="L51" s="104">
        <v>6.08</v>
      </c>
      <c r="M51" s="104">
        <v>0.3979</v>
      </c>
      <c r="N51" s="104">
        <v>0.7296</v>
      </c>
      <c r="O51" s="104">
        <v>0.5004</v>
      </c>
      <c r="P51" s="104">
        <v>2.5131</v>
      </c>
      <c r="Q51" s="104">
        <v>78.57</v>
      </c>
      <c r="R51" s="104">
        <v>69.92</v>
      </c>
      <c r="S51" s="104">
        <v>8.65</v>
      </c>
      <c r="T51" s="104">
        <v>3.0</v>
      </c>
      <c r="U51" s="104">
        <v>75.57</v>
      </c>
      <c r="V51" s="104">
        <v>59.79</v>
      </c>
      <c r="W51" s="104">
        <v>3.9155</v>
      </c>
      <c r="X51" s="104">
        <v>3.81</v>
      </c>
      <c r="Y51" s="104">
        <v>116.0</v>
      </c>
      <c r="Z51" s="104">
        <v>513.0</v>
      </c>
      <c r="AA51" s="104">
        <v>4371.0</v>
      </c>
      <c r="AB51" s="104">
        <v>49.982</v>
      </c>
      <c r="AC51" s="104">
        <v>0.5228</v>
      </c>
      <c r="AD51" s="104">
        <v>4.14</v>
      </c>
      <c r="AE51" s="104">
        <v>1.0</v>
      </c>
      <c r="AF51" s="104">
        <v>3.0</v>
      </c>
      <c r="AG51" s="104">
        <v>5.0</v>
      </c>
      <c r="AH51" s="104">
        <v>9.0</v>
      </c>
      <c r="AI51" s="104">
        <v>74.19</v>
      </c>
      <c r="AJ51" s="104">
        <v>31.98</v>
      </c>
      <c r="AK51" s="104">
        <v>9.69</v>
      </c>
      <c r="AL51" s="104">
        <v>0.288</v>
      </c>
      <c r="AQ51" s="1">
        <v>4.5727</v>
      </c>
      <c r="AR51" s="1">
        <v>0.0291</v>
      </c>
      <c r="AS51" s="1">
        <v>4.5436</v>
      </c>
      <c r="AT51" s="1">
        <v>3.6286</v>
      </c>
      <c r="AU51" s="1">
        <v>0.2376</v>
      </c>
      <c r="AV51" s="1">
        <v>7173.0</v>
      </c>
      <c r="AW51" s="1">
        <v>0.0</v>
      </c>
      <c r="AX51" s="1">
        <v>28.49</v>
      </c>
      <c r="AY51" s="1">
        <v>42.48</v>
      </c>
      <c r="AZ51" s="1">
        <v>3.8</v>
      </c>
      <c r="BA51" s="1">
        <v>3.0</v>
      </c>
      <c r="BB51" s="1">
        <v>0.81</v>
      </c>
    </row>
    <row r="52" ht="15.75" customHeight="1">
      <c r="A52" s="103">
        <v>46234.0</v>
      </c>
      <c r="B52" s="104" t="s">
        <v>9</v>
      </c>
      <c r="C52" s="104" t="s">
        <v>182</v>
      </c>
      <c r="D52" s="104">
        <v>5439.0</v>
      </c>
      <c r="E52" s="104">
        <v>24.03</v>
      </c>
      <c r="F52" s="104">
        <v>618.68</v>
      </c>
      <c r="G52" s="104">
        <v>0.1137</v>
      </c>
      <c r="H52" s="104">
        <v>3.4</v>
      </c>
      <c r="I52" s="104">
        <v>3.3442</v>
      </c>
      <c r="J52" s="104">
        <v>54.92</v>
      </c>
      <c r="K52" s="104">
        <v>27.15</v>
      </c>
      <c r="L52" s="104">
        <v>14.87</v>
      </c>
      <c r="M52" s="104">
        <v>0.5478</v>
      </c>
      <c r="N52" s="104">
        <v>0.6102</v>
      </c>
      <c r="O52" s="104">
        <v>0.4039</v>
      </c>
      <c r="P52" s="104">
        <v>1.8255</v>
      </c>
      <c r="Q52" s="104">
        <v>128.91</v>
      </c>
      <c r="R52" s="104">
        <v>107.4</v>
      </c>
      <c r="S52" s="104">
        <v>21.51</v>
      </c>
      <c r="T52" s="104">
        <v>9.19</v>
      </c>
      <c r="U52" s="104">
        <v>119.72</v>
      </c>
      <c r="V52" s="104">
        <v>115.4</v>
      </c>
      <c r="W52" s="104">
        <v>4.2508</v>
      </c>
      <c r="X52" s="104">
        <v>7.13</v>
      </c>
      <c r="Y52" s="104">
        <v>111.0</v>
      </c>
      <c r="Z52" s="104">
        <v>461.0</v>
      </c>
      <c r="AA52" s="104">
        <v>4124.0</v>
      </c>
      <c r="AB52" s="104">
        <v>53.1767</v>
      </c>
      <c r="AC52" s="104">
        <v>0.6432</v>
      </c>
      <c r="AD52" s="104">
        <v>9.92</v>
      </c>
      <c r="AE52" s="104">
        <v>4.0</v>
      </c>
      <c r="AF52" s="104">
        <v>8.0</v>
      </c>
      <c r="AG52" s="104">
        <v>14.0</v>
      </c>
      <c r="AH52" s="104">
        <v>21.0</v>
      </c>
      <c r="AI52" s="104">
        <v>62.44</v>
      </c>
      <c r="AJ52" s="104">
        <v>28.28</v>
      </c>
      <c r="AK52" s="104">
        <v>5.59</v>
      </c>
      <c r="AL52" s="104">
        <v>0.2375</v>
      </c>
      <c r="AQ52" s="1">
        <v>7.891</v>
      </c>
      <c r="AR52" s="1">
        <v>0.1074</v>
      </c>
      <c r="AS52" s="1">
        <v>7.7836</v>
      </c>
      <c r="AT52" s="1">
        <v>6.4672</v>
      </c>
      <c r="AU52" s="1">
        <v>0.2382</v>
      </c>
      <c r="AV52" s="1">
        <v>5439.0</v>
      </c>
      <c r="AW52" s="1">
        <v>0.0</v>
      </c>
      <c r="AX52" s="1">
        <v>47.08</v>
      </c>
      <c r="AY52" s="1">
        <v>66.54</v>
      </c>
      <c r="AZ52" s="1">
        <v>4.44</v>
      </c>
      <c r="BA52" s="1">
        <v>9.19</v>
      </c>
      <c r="BB52" s="1">
        <v>1.65</v>
      </c>
    </row>
    <row r="53" ht="15.75" customHeight="1">
      <c r="A53" s="103">
        <v>46234.0</v>
      </c>
      <c r="B53" s="104" t="s">
        <v>9</v>
      </c>
      <c r="C53" s="104" t="s">
        <v>183</v>
      </c>
      <c r="D53" s="104">
        <v>3765.0</v>
      </c>
      <c r="E53" s="104">
        <v>16.63</v>
      </c>
      <c r="F53" s="104">
        <v>811.95</v>
      </c>
      <c r="G53" s="104">
        <v>0.2157</v>
      </c>
      <c r="H53" s="104">
        <v>4.83</v>
      </c>
      <c r="I53" s="104">
        <v>4.4613</v>
      </c>
      <c r="J53" s="104">
        <v>80.82</v>
      </c>
      <c r="K53" s="104">
        <v>42.51</v>
      </c>
      <c r="L53" s="104">
        <v>28.29</v>
      </c>
      <c r="M53" s="104">
        <v>0.6654</v>
      </c>
      <c r="N53" s="104">
        <v>0.4955</v>
      </c>
      <c r="O53" s="104">
        <v>0.3327</v>
      </c>
      <c r="P53" s="104">
        <v>1.503</v>
      </c>
      <c r="Q53" s="104">
        <v>203.92</v>
      </c>
      <c r="R53" s="104">
        <v>163.24</v>
      </c>
      <c r="S53" s="104">
        <v>40.68</v>
      </c>
      <c r="T53" s="104">
        <v>19.04</v>
      </c>
      <c r="U53" s="104">
        <v>184.88</v>
      </c>
      <c r="V53" s="104">
        <v>189.99</v>
      </c>
      <c r="W53" s="104">
        <v>4.4689</v>
      </c>
      <c r="X53" s="104">
        <v>9.34</v>
      </c>
      <c r="Y53" s="104">
        <v>124.0</v>
      </c>
      <c r="Z53" s="104">
        <v>564.0</v>
      </c>
      <c r="AA53" s="104">
        <v>4189.0</v>
      </c>
      <c r="AB53" s="104">
        <v>55.796</v>
      </c>
      <c r="AC53" s="104">
        <v>0.7423</v>
      </c>
      <c r="AD53" s="104">
        <v>18.2</v>
      </c>
      <c r="AE53" s="104">
        <v>8.0</v>
      </c>
      <c r="AF53" s="104">
        <v>14.0</v>
      </c>
      <c r="AG53" s="104">
        <v>25.0</v>
      </c>
      <c r="AH53" s="104">
        <v>38.0</v>
      </c>
      <c r="AI53" s="104">
        <v>62.05</v>
      </c>
      <c r="AJ53" s="104">
        <v>23.35</v>
      </c>
      <c r="AK53" s="104">
        <v>7.7</v>
      </c>
      <c r="AL53" s="104">
        <v>0.2</v>
      </c>
      <c r="AQ53" s="1">
        <v>12.1854</v>
      </c>
      <c r="AR53" s="1">
        <v>0.2181</v>
      </c>
      <c r="AS53" s="1">
        <v>11.9673</v>
      </c>
      <c r="AT53" s="1">
        <v>10.1065</v>
      </c>
      <c r="AU53" s="1">
        <v>0.2377</v>
      </c>
      <c r="AV53" s="1">
        <v>3765.0</v>
      </c>
      <c r="AW53" s="1">
        <v>0.0</v>
      </c>
      <c r="AX53" s="1">
        <v>74.23</v>
      </c>
      <c r="AY53" s="1">
        <v>103.08</v>
      </c>
      <c r="AZ53" s="1">
        <v>4.13</v>
      </c>
      <c r="BA53" s="1">
        <v>19.04</v>
      </c>
      <c r="BB53" s="1">
        <v>3.44</v>
      </c>
    </row>
    <row r="54" ht="15.75" customHeight="1">
      <c r="A54" s="103">
        <v>46234.0</v>
      </c>
      <c r="B54" s="104" t="s">
        <v>9</v>
      </c>
      <c r="C54" s="104" t="s">
        <v>184</v>
      </c>
      <c r="D54" s="104">
        <v>2396.0</v>
      </c>
      <c r="E54" s="104">
        <v>10.58</v>
      </c>
      <c r="F54" s="104">
        <v>1047.89</v>
      </c>
      <c r="G54" s="104">
        <v>0.4373</v>
      </c>
      <c r="H54" s="104">
        <v>6.51</v>
      </c>
      <c r="I54" s="104">
        <v>6.7172</v>
      </c>
      <c r="J54" s="104">
        <v>136.53</v>
      </c>
      <c r="K54" s="104">
        <v>78.65</v>
      </c>
      <c r="L54" s="104">
        <v>58.19</v>
      </c>
      <c r="M54" s="104">
        <v>0.7398</v>
      </c>
      <c r="N54" s="104">
        <v>0.4105</v>
      </c>
      <c r="O54" s="104">
        <v>0.2835</v>
      </c>
      <c r="P54" s="104">
        <v>1.3517</v>
      </c>
      <c r="Q54" s="104">
        <v>352.09</v>
      </c>
      <c r="R54" s="104">
        <v>266.5</v>
      </c>
      <c r="S54" s="104">
        <v>85.59</v>
      </c>
      <c r="T54" s="104">
        <v>42.01</v>
      </c>
      <c r="U54" s="104">
        <v>310.09</v>
      </c>
      <c r="V54" s="104">
        <v>345.28</v>
      </c>
      <c r="W54" s="104">
        <v>4.3899</v>
      </c>
      <c r="X54" s="104">
        <v>11.93</v>
      </c>
      <c r="Y54" s="104">
        <v>170.0</v>
      </c>
      <c r="Z54" s="104">
        <v>847.0</v>
      </c>
      <c r="AA54" s="104">
        <v>5107.0</v>
      </c>
      <c r="AB54" s="104">
        <v>58.4025</v>
      </c>
      <c r="AC54" s="104">
        <v>0.8105</v>
      </c>
      <c r="AD54" s="104">
        <v>33.54</v>
      </c>
      <c r="AE54" s="104">
        <v>13.0</v>
      </c>
      <c r="AF54" s="104">
        <v>24.0</v>
      </c>
      <c r="AG54" s="104">
        <v>46.0</v>
      </c>
      <c r="AH54" s="104">
        <v>72.0</v>
      </c>
      <c r="AI54" s="104">
        <v>44.91</v>
      </c>
      <c r="AJ54" s="104">
        <v>15.73</v>
      </c>
      <c r="AK54" s="104">
        <v>4.05</v>
      </c>
      <c r="AL54" s="104">
        <v>0.1273</v>
      </c>
      <c r="AQ54" s="1">
        <v>19.8765</v>
      </c>
      <c r="AR54" s="1">
        <v>0.5079</v>
      </c>
      <c r="AS54" s="1">
        <v>19.3685</v>
      </c>
      <c r="AT54" s="1">
        <v>16.5626</v>
      </c>
      <c r="AU54" s="1">
        <v>0.2106</v>
      </c>
      <c r="AV54" s="1">
        <v>2396.0</v>
      </c>
      <c r="AW54" s="1">
        <v>0.0</v>
      </c>
      <c r="AX54" s="1">
        <v>139.0</v>
      </c>
      <c r="AY54" s="1">
        <v>159.23</v>
      </c>
      <c r="AZ54" s="1">
        <v>5.34</v>
      </c>
      <c r="BA54" s="1">
        <v>42.01</v>
      </c>
      <c r="BB54" s="1">
        <v>6.53</v>
      </c>
    </row>
    <row r="55" ht="15.75" customHeight="1">
      <c r="A55" s="103">
        <v>46234.0</v>
      </c>
      <c r="B55" s="104" t="s">
        <v>9</v>
      </c>
      <c r="C55" s="104" t="s">
        <v>186</v>
      </c>
      <c r="D55" s="104">
        <v>370.0</v>
      </c>
      <c r="E55" s="104">
        <v>1.63</v>
      </c>
      <c r="F55" s="104">
        <v>150.29</v>
      </c>
      <c r="G55" s="104">
        <v>0.4062</v>
      </c>
      <c r="H55" s="104">
        <v>5.41</v>
      </c>
      <c r="I55" s="104">
        <v>7.5145</v>
      </c>
      <c r="J55" s="104">
        <v>260.68</v>
      </c>
      <c r="K55" s="104">
        <v>161.72</v>
      </c>
      <c r="L55" s="104">
        <v>135.08</v>
      </c>
      <c r="M55" s="104">
        <v>0.8353</v>
      </c>
      <c r="N55" s="104">
        <v>0.3097</v>
      </c>
      <c r="O55" s="104">
        <v>0.2443</v>
      </c>
      <c r="P55" s="104">
        <v>1.1972</v>
      </c>
      <c r="Q55" s="104">
        <v>702.89</v>
      </c>
      <c r="R55" s="104">
        <v>496.06</v>
      </c>
      <c r="S55" s="104">
        <v>206.82</v>
      </c>
      <c r="T55" s="104">
        <v>52.57</v>
      </c>
      <c r="U55" s="104">
        <v>650.32</v>
      </c>
      <c r="V55" s="104">
        <v>817.3</v>
      </c>
      <c r="W55" s="104">
        <v>5.0536</v>
      </c>
      <c r="X55" s="104">
        <v>7.48</v>
      </c>
      <c r="Y55" s="104">
        <v>307.0</v>
      </c>
      <c r="Z55" s="104">
        <v>1254.0</v>
      </c>
      <c r="AA55" s="104">
        <v>5564.0</v>
      </c>
      <c r="AB55" s="104">
        <v>61.622</v>
      </c>
      <c r="AC55" s="104">
        <v>0.8698</v>
      </c>
      <c r="AD55" s="104">
        <v>67.5</v>
      </c>
      <c r="AE55" s="104">
        <v>23.0</v>
      </c>
      <c r="AF55" s="104">
        <v>44.0</v>
      </c>
      <c r="AG55" s="104">
        <v>100.0</v>
      </c>
      <c r="AH55" s="104">
        <v>158.0</v>
      </c>
      <c r="AI55" s="104">
        <v>30.54</v>
      </c>
      <c r="AJ55" s="104">
        <v>6.49</v>
      </c>
      <c r="AK55" s="104">
        <v>1.08</v>
      </c>
      <c r="AL55" s="104">
        <v>0.0811</v>
      </c>
      <c r="AQ55" s="1">
        <v>41.5568</v>
      </c>
      <c r="AR55" s="1">
        <v>3.6757</v>
      </c>
      <c r="AS55" s="1">
        <v>37.8811</v>
      </c>
      <c r="AT55" s="1">
        <v>33.2568</v>
      </c>
      <c r="AU55" s="1">
        <v>0.2056</v>
      </c>
      <c r="AV55" s="1">
        <v>370.0</v>
      </c>
      <c r="AW55" s="1">
        <v>0.0</v>
      </c>
      <c r="AX55" s="1">
        <v>315.65</v>
      </c>
      <c r="AY55" s="1">
        <v>315.05</v>
      </c>
      <c r="AZ55" s="1">
        <v>6.78</v>
      </c>
      <c r="BA55" s="1">
        <v>52.57</v>
      </c>
      <c r="BB55" s="1">
        <v>12.84</v>
      </c>
    </row>
    <row r="56" ht="15.75" customHeight="1">
      <c r="A56" s="103">
        <v>46234.0</v>
      </c>
      <c r="B56" s="104" t="s">
        <v>10</v>
      </c>
      <c r="C56" s="104" t="s">
        <v>179</v>
      </c>
      <c r="D56" s="104">
        <v>3438.0</v>
      </c>
      <c r="E56" s="104">
        <v>15.17</v>
      </c>
      <c r="F56" s="104">
        <v>8.87</v>
      </c>
      <c r="G56" s="104">
        <v>0.0026</v>
      </c>
      <c r="H56" s="104">
        <v>0.09</v>
      </c>
      <c r="I56" s="104">
        <v>2.9567</v>
      </c>
      <c r="J56" s="104">
        <v>6.39</v>
      </c>
      <c r="K56" s="104">
        <v>2.29</v>
      </c>
      <c r="L56" s="104">
        <v>0.0</v>
      </c>
      <c r="M56" s="104">
        <v>0.0013</v>
      </c>
      <c r="N56" s="104">
        <v>0.9992</v>
      </c>
      <c r="O56" s="104">
        <v>0.9856</v>
      </c>
      <c r="P56" s="104">
        <v>787.1</v>
      </c>
      <c r="Q56" s="104">
        <v>28.86</v>
      </c>
      <c r="R56" s="104">
        <v>28.8</v>
      </c>
      <c r="S56" s="104">
        <v>0.06</v>
      </c>
      <c r="T56" s="104">
        <v>0.15</v>
      </c>
      <c r="U56" s="104">
        <v>28.72</v>
      </c>
      <c r="V56" s="104">
        <v>1.67</v>
      </c>
      <c r="W56" s="104">
        <v>0.7318</v>
      </c>
      <c r="X56" s="104">
        <v>0.51</v>
      </c>
      <c r="Y56" s="104">
        <v>177.0</v>
      </c>
      <c r="Z56" s="104">
        <v>1327.0</v>
      </c>
      <c r="AA56" s="104">
        <v>10922.0</v>
      </c>
      <c r="AB56" s="104">
        <v>50.1388</v>
      </c>
      <c r="AC56" s="104">
        <v>0.5551</v>
      </c>
      <c r="AD56" s="105"/>
      <c r="AE56" s="105"/>
      <c r="AF56" s="105"/>
      <c r="AG56" s="105"/>
      <c r="AH56" s="105"/>
      <c r="AI56" s="104">
        <v>0.0</v>
      </c>
      <c r="AJ56" s="104">
        <v>0.0</v>
      </c>
      <c r="AK56" s="104">
        <v>0.0</v>
      </c>
      <c r="AL56" s="104">
        <v>0.3729</v>
      </c>
      <c r="AM56" s="1">
        <v>0.09</v>
      </c>
      <c r="AN56" s="1">
        <v>0.09</v>
      </c>
      <c r="AO56" s="1">
        <v>0.03</v>
      </c>
      <c r="AP56" s="1">
        <v>0.03</v>
      </c>
      <c r="AQ56" s="1">
        <v>1.8493</v>
      </c>
      <c r="AR56" s="1">
        <v>0.0035</v>
      </c>
      <c r="AS56" s="1">
        <v>1.8458</v>
      </c>
      <c r="AT56" s="1">
        <v>0.4799</v>
      </c>
      <c r="AU56" s="1">
        <v>0.2096</v>
      </c>
      <c r="AV56" s="1">
        <v>3417.0</v>
      </c>
      <c r="AW56" s="1">
        <v>21.0</v>
      </c>
      <c r="AX56" s="1">
        <v>9.2</v>
      </c>
      <c r="AY56" s="1">
        <v>17.64</v>
      </c>
      <c r="AZ56" s="1">
        <v>1.74</v>
      </c>
      <c r="BA56" s="1">
        <v>0.15</v>
      </c>
      <c r="BB56" s="1">
        <v>0.13</v>
      </c>
    </row>
    <row r="57" ht="15.75" customHeight="1">
      <c r="A57" s="103">
        <v>46234.0</v>
      </c>
      <c r="B57" s="104" t="s">
        <v>10</v>
      </c>
      <c r="C57" s="104" t="s">
        <v>181</v>
      </c>
      <c r="D57" s="104">
        <v>6855.0</v>
      </c>
      <c r="E57" s="104">
        <v>30.25</v>
      </c>
      <c r="F57" s="104">
        <v>229.21</v>
      </c>
      <c r="G57" s="104">
        <v>0.0334</v>
      </c>
      <c r="H57" s="104">
        <v>1.14</v>
      </c>
      <c r="I57" s="104">
        <v>2.9386</v>
      </c>
      <c r="J57" s="104">
        <v>30.82</v>
      </c>
      <c r="K57" s="104">
        <v>14.38</v>
      </c>
      <c r="L57" s="104">
        <v>5.89</v>
      </c>
      <c r="M57" s="104">
        <v>0.4098</v>
      </c>
      <c r="N57" s="104">
        <v>0.7229</v>
      </c>
      <c r="O57" s="104">
        <v>0.4996</v>
      </c>
      <c r="P57" s="104">
        <v>2.4403</v>
      </c>
      <c r="Q57" s="104">
        <v>68.62</v>
      </c>
      <c r="R57" s="104">
        <v>64.7</v>
      </c>
      <c r="S57" s="104">
        <v>3.92</v>
      </c>
      <c r="T57" s="104">
        <v>3.01</v>
      </c>
      <c r="U57" s="104">
        <v>65.61</v>
      </c>
      <c r="V57" s="104">
        <v>56.67</v>
      </c>
      <c r="W57" s="104">
        <v>3.9406</v>
      </c>
      <c r="X57" s="104">
        <v>4.39</v>
      </c>
      <c r="Y57" s="104">
        <v>107.0</v>
      </c>
      <c r="Z57" s="104">
        <v>491.0</v>
      </c>
      <c r="AA57" s="104">
        <v>4204.0</v>
      </c>
      <c r="AB57" s="104">
        <v>50.2121</v>
      </c>
      <c r="AC57" s="104">
        <v>0.5336</v>
      </c>
      <c r="AD57" s="104">
        <v>4.08</v>
      </c>
      <c r="AE57" s="104">
        <v>1.0</v>
      </c>
      <c r="AF57" s="104">
        <v>3.0</v>
      </c>
      <c r="AG57" s="104">
        <v>5.0</v>
      </c>
      <c r="AH57" s="104">
        <v>9.0</v>
      </c>
      <c r="AI57" s="104">
        <v>73.54</v>
      </c>
      <c r="AJ57" s="104">
        <v>31.8</v>
      </c>
      <c r="AK57" s="104">
        <v>8.62</v>
      </c>
      <c r="AL57" s="104">
        <v>0.2903</v>
      </c>
      <c r="AM57" s="1">
        <v>61.24</v>
      </c>
      <c r="AN57" s="1">
        <v>61.24</v>
      </c>
      <c r="AO57" s="1">
        <v>28.87</v>
      </c>
      <c r="AP57" s="1">
        <v>9.15</v>
      </c>
      <c r="AQ57" s="1">
        <v>4.8233</v>
      </c>
      <c r="AR57" s="1">
        <v>0.0385</v>
      </c>
      <c r="AS57" s="1">
        <v>4.7848</v>
      </c>
      <c r="AT57" s="1">
        <v>3.8239</v>
      </c>
      <c r="AU57" s="1">
        <v>0.2658</v>
      </c>
      <c r="AV57" s="1">
        <v>6804.0</v>
      </c>
      <c r="AW57" s="1">
        <v>51.0</v>
      </c>
      <c r="AX57" s="1">
        <v>19.26</v>
      </c>
      <c r="AY57" s="1">
        <v>41.91</v>
      </c>
      <c r="AZ57" s="1">
        <v>3.46</v>
      </c>
      <c r="BA57" s="1">
        <v>3.01</v>
      </c>
      <c r="BB57" s="1">
        <v>0.98</v>
      </c>
    </row>
    <row r="58" ht="15.75" customHeight="1">
      <c r="A58" s="103">
        <v>46234.0</v>
      </c>
      <c r="B58" s="104" t="s">
        <v>10</v>
      </c>
      <c r="C58" s="104" t="s">
        <v>182</v>
      </c>
      <c r="D58" s="104">
        <v>5601.0</v>
      </c>
      <c r="E58" s="104">
        <v>24.72</v>
      </c>
      <c r="F58" s="104">
        <v>484.97</v>
      </c>
      <c r="G58" s="104">
        <v>0.0866</v>
      </c>
      <c r="H58" s="104">
        <v>3.12</v>
      </c>
      <c r="I58" s="104">
        <v>2.7713</v>
      </c>
      <c r="J58" s="104">
        <v>54.92</v>
      </c>
      <c r="K58" s="104">
        <v>26.42</v>
      </c>
      <c r="L58" s="104">
        <v>14.23</v>
      </c>
      <c r="M58" s="104">
        <v>0.5387</v>
      </c>
      <c r="N58" s="104">
        <v>0.617</v>
      </c>
      <c r="O58" s="104">
        <v>0.4084</v>
      </c>
      <c r="P58" s="104">
        <v>1.8562</v>
      </c>
      <c r="Q58" s="104">
        <v>119.93</v>
      </c>
      <c r="R58" s="104">
        <v>111.0</v>
      </c>
      <c r="S58" s="104">
        <v>8.92</v>
      </c>
      <c r="T58" s="104">
        <v>7.44</v>
      </c>
      <c r="U58" s="104">
        <v>112.49</v>
      </c>
      <c r="V58" s="104">
        <v>103.49</v>
      </c>
      <c r="W58" s="104">
        <v>3.9184</v>
      </c>
      <c r="X58" s="104">
        <v>6.21</v>
      </c>
      <c r="Y58" s="104">
        <v>104.0</v>
      </c>
      <c r="Z58" s="104">
        <v>381.0</v>
      </c>
      <c r="AA58" s="104">
        <v>2774.0</v>
      </c>
      <c r="AB58" s="104">
        <v>52.8816</v>
      </c>
      <c r="AC58" s="104">
        <v>0.6357</v>
      </c>
      <c r="AD58" s="104">
        <v>9.55</v>
      </c>
      <c r="AE58" s="104">
        <v>4.0</v>
      </c>
      <c r="AF58" s="104">
        <v>8.0</v>
      </c>
      <c r="AG58" s="104">
        <v>13.0</v>
      </c>
      <c r="AH58" s="104">
        <v>20.0</v>
      </c>
      <c r="AI58" s="104">
        <v>61.29</v>
      </c>
      <c r="AJ58" s="104">
        <v>26.32</v>
      </c>
      <c r="AK58" s="104">
        <v>5.21</v>
      </c>
      <c r="AL58" s="104">
        <v>0.2367</v>
      </c>
      <c r="AM58" s="1">
        <v>62.29</v>
      </c>
      <c r="AN58" s="1">
        <v>62.29</v>
      </c>
      <c r="AO58" s="1">
        <v>37.89</v>
      </c>
      <c r="AP58" s="1">
        <v>17.64</v>
      </c>
      <c r="AQ58" s="1">
        <v>8.1023</v>
      </c>
      <c r="AR58" s="1">
        <v>0.0671</v>
      </c>
      <c r="AS58" s="1">
        <v>8.0352</v>
      </c>
      <c r="AT58" s="1">
        <v>6.6338</v>
      </c>
      <c r="AU58" s="1">
        <v>0.2511</v>
      </c>
      <c r="AV58" s="1">
        <v>5583.0</v>
      </c>
      <c r="AW58" s="1">
        <v>18.0</v>
      </c>
      <c r="AX58" s="1">
        <v>30.14</v>
      </c>
      <c r="AY58" s="1">
        <v>75.91</v>
      </c>
      <c r="AZ58" s="1">
        <v>4.58</v>
      </c>
      <c r="BA58" s="1">
        <v>7.44</v>
      </c>
      <c r="BB58" s="1">
        <v>1.86</v>
      </c>
    </row>
    <row r="59" ht="15.75" customHeight="1">
      <c r="A59" s="103">
        <v>46234.0</v>
      </c>
      <c r="B59" s="104" t="s">
        <v>10</v>
      </c>
      <c r="C59" s="104" t="s">
        <v>183</v>
      </c>
      <c r="D59" s="104">
        <v>4047.0</v>
      </c>
      <c r="E59" s="104">
        <v>17.86</v>
      </c>
      <c r="F59" s="104">
        <v>855.07</v>
      </c>
      <c r="G59" s="104">
        <v>0.2113</v>
      </c>
      <c r="H59" s="104">
        <v>4.89</v>
      </c>
      <c r="I59" s="104">
        <v>4.3185</v>
      </c>
      <c r="J59" s="104">
        <v>79.39</v>
      </c>
      <c r="K59" s="104">
        <v>40.78</v>
      </c>
      <c r="L59" s="104">
        <v>27.65</v>
      </c>
      <c r="M59" s="104">
        <v>0.6781</v>
      </c>
      <c r="N59" s="104">
        <v>0.4889</v>
      </c>
      <c r="O59" s="104">
        <v>0.3343</v>
      </c>
      <c r="P59" s="104">
        <v>1.4748</v>
      </c>
      <c r="Q59" s="104">
        <v>212.4</v>
      </c>
      <c r="R59" s="104">
        <v>195.07</v>
      </c>
      <c r="S59" s="104">
        <v>17.33</v>
      </c>
      <c r="T59" s="104">
        <v>18.67</v>
      </c>
      <c r="U59" s="104">
        <v>193.74</v>
      </c>
      <c r="V59" s="104">
        <v>188.64</v>
      </c>
      <c r="W59" s="104">
        <v>4.6247</v>
      </c>
      <c r="X59" s="104">
        <v>8.79</v>
      </c>
      <c r="Y59" s="104">
        <v>128.0</v>
      </c>
      <c r="Z59" s="104">
        <v>563.0</v>
      </c>
      <c r="AA59" s="104">
        <v>4411.0</v>
      </c>
      <c r="AB59" s="104">
        <v>55.7737</v>
      </c>
      <c r="AC59" s="104">
        <v>0.738</v>
      </c>
      <c r="AD59" s="104">
        <v>18.11</v>
      </c>
      <c r="AE59" s="104">
        <v>7.0</v>
      </c>
      <c r="AF59" s="104">
        <v>14.0</v>
      </c>
      <c r="AG59" s="104">
        <v>25.0</v>
      </c>
      <c r="AH59" s="104">
        <v>38.0</v>
      </c>
      <c r="AI59" s="104">
        <v>61.53</v>
      </c>
      <c r="AJ59" s="104">
        <v>23.92</v>
      </c>
      <c r="AK59" s="104">
        <v>7.31</v>
      </c>
      <c r="AL59" s="104">
        <v>0.1987</v>
      </c>
      <c r="AM59" s="1">
        <v>63.26</v>
      </c>
      <c r="AN59" s="1">
        <v>63.26</v>
      </c>
      <c r="AO59" s="1">
        <v>37.66</v>
      </c>
      <c r="AP59" s="1">
        <v>19.64</v>
      </c>
      <c r="AQ59" s="1">
        <v>10.9422</v>
      </c>
      <c r="AR59" s="1">
        <v>0.1945</v>
      </c>
      <c r="AS59" s="1">
        <v>10.7477</v>
      </c>
      <c r="AT59" s="1">
        <v>9.381</v>
      </c>
      <c r="AU59" s="1">
        <v>0.23</v>
      </c>
      <c r="AV59" s="1">
        <v>4042.0</v>
      </c>
      <c r="AW59" s="1">
        <v>5.0</v>
      </c>
      <c r="AX59" s="1">
        <v>45.99</v>
      </c>
      <c r="AY59" s="1">
        <v>139.25</v>
      </c>
      <c r="AZ59" s="1">
        <v>4.66</v>
      </c>
      <c r="BA59" s="1">
        <v>18.67</v>
      </c>
      <c r="BB59" s="1">
        <v>3.84</v>
      </c>
    </row>
    <row r="60" ht="15.75" customHeight="1">
      <c r="A60" s="103">
        <v>46234.0</v>
      </c>
      <c r="B60" s="104" t="s">
        <v>10</v>
      </c>
      <c r="C60" s="104" t="s">
        <v>184</v>
      </c>
      <c r="D60" s="104">
        <v>2384.0</v>
      </c>
      <c r="E60" s="104">
        <v>10.52</v>
      </c>
      <c r="F60" s="104">
        <v>1171.36</v>
      </c>
      <c r="G60" s="104">
        <v>0.4913</v>
      </c>
      <c r="H60" s="104">
        <v>6.12</v>
      </c>
      <c r="I60" s="104">
        <v>8.023</v>
      </c>
      <c r="J60" s="104">
        <v>136.46</v>
      </c>
      <c r="K60" s="104">
        <v>77.66</v>
      </c>
      <c r="L60" s="104">
        <v>58.73</v>
      </c>
      <c r="M60" s="104">
        <v>0.7562</v>
      </c>
      <c r="N60" s="104">
        <v>0.3987</v>
      </c>
      <c r="O60" s="104">
        <v>0.2841</v>
      </c>
      <c r="P60" s="104">
        <v>1.3223</v>
      </c>
      <c r="Q60" s="104">
        <v>402.03</v>
      </c>
      <c r="R60" s="104">
        <v>365.73</v>
      </c>
      <c r="S60" s="104">
        <v>36.3</v>
      </c>
      <c r="T60" s="104">
        <v>40.29</v>
      </c>
      <c r="U60" s="104">
        <v>361.74</v>
      </c>
      <c r="V60" s="104">
        <v>367.0</v>
      </c>
      <c r="W60" s="104">
        <v>4.7238</v>
      </c>
      <c r="X60" s="104">
        <v>10.02</v>
      </c>
      <c r="Y60" s="104">
        <v>159.0</v>
      </c>
      <c r="Z60" s="104">
        <v>771.0</v>
      </c>
      <c r="AA60" s="104">
        <v>4191.0</v>
      </c>
      <c r="AB60" s="104">
        <v>58.6854</v>
      </c>
      <c r="AC60" s="104">
        <v>0.7946</v>
      </c>
      <c r="AD60" s="104">
        <v>34.1</v>
      </c>
      <c r="AE60" s="104">
        <v>13.0</v>
      </c>
      <c r="AF60" s="104">
        <v>25.0</v>
      </c>
      <c r="AG60" s="104">
        <v>46.0</v>
      </c>
      <c r="AH60" s="104">
        <v>75.0</v>
      </c>
      <c r="AI60" s="104">
        <v>46.06</v>
      </c>
      <c r="AJ60" s="104">
        <v>16.82</v>
      </c>
      <c r="AK60" s="104">
        <v>3.98</v>
      </c>
      <c r="AL60" s="104">
        <v>0.1355</v>
      </c>
      <c r="AM60" s="1">
        <v>60.7</v>
      </c>
      <c r="AN60" s="1">
        <v>60.7</v>
      </c>
      <c r="AO60" s="1">
        <v>35.07</v>
      </c>
      <c r="AP60" s="1">
        <v>19.25</v>
      </c>
      <c r="AQ60" s="1">
        <v>14.8536</v>
      </c>
      <c r="AR60" s="1">
        <v>0.4757</v>
      </c>
      <c r="AS60" s="1">
        <v>14.3779</v>
      </c>
      <c r="AT60" s="1">
        <v>13.6602</v>
      </c>
      <c r="AU60" s="1">
        <v>0.1759</v>
      </c>
      <c r="AV60" s="1">
        <v>2379.0</v>
      </c>
      <c r="AW60" s="1">
        <v>5.0</v>
      </c>
      <c r="AX60" s="1">
        <v>87.6</v>
      </c>
      <c r="AY60" s="1">
        <v>260.62</v>
      </c>
      <c r="AZ60" s="1">
        <v>5.83</v>
      </c>
      <c r="BA60" s="1">
        <v>40.29</v>
      </c>
      <c r="BB60" s="1">
        <v>7.69</v>
      </c>
    </row>
    <row r="61" ht="15.75" customHeight="1">
      <c r="A61" s="103">
        <v>46234.0</v>
      </c>
      <c r="B61" s="104" t="s">
        <v>10</v>
      </c>
      <c r="C61" s="104" t="s">
        <v>186</v>
      </c>
      <c r="D61" s="104">
        <v>334.0</v>
      </c>
      <c r="E61" s="104">
        <v>1.47</v>
      </c>
      <c r="F61" s="104">
        <v>282.6</v>
      </c>
      <c r="G61" s="104">
        <v>0.8461</v>
      </c>
      <c r="H61" s="104">
        <v>5.99</v>
      </c>
      <c r="I61" s="104">
        <v>14.13</v>
      </c>
      <c r="J61" s="104">
        <v>257.58</v>
      </c>
      <c r="K61" s="104">
        <v>158.68</v>
      </c>
      <c r="L61" s="104">
        <v>130.51</v>
      </c>
      <c r="M61" s="104">
        <v>0.8225</v>
      </c>
      <c r="N61" s="104">
        <v>0.3226</v>
      </c>
      <c r="O61" s="104">
        <v>0.2484</v>
      </c>
      <c r="P61" s="104">
        <v>1.2158</v>
      </c>
      <c r="Q61" s="104">
        <v>738.74</v>
      </c>
      <c r="R61" s="104">
        <v>661.76</v>
      </c>
      <c r="S61" s="104">
        <v>76.98</v>
      </c>
      <c r="T61" s="104">
        <v>55.52</v>
      </c>
      <c r="U61" s="104">
        <v>683.22</v>
      </c>
      <c r="V61" s="104">
        <v>607.24</v>
      </c>
      <c r="W61" s="104">
        <v>3.8964</v>
      </c>
      <c r="X61" s="104">
        <v>7.52</v>
      </c>
      <c r="Y61" s="104">
        <v>368.0</v>
      </c>
      <c r="Z61" s="104">
        <v>1546.0</v>
      </c>
      <c r="AA61" s="104">
        <v>6123.0</v>
      </c>
      <c r="AB61" s="104">
        <v>61.2453</v>
      </c>
      <c r="AC61" s="104">
        <v>0.8189</v>
      </c>
      <c r="AD61" s="104">
        <v>64.19</v>
      </c>
      <c r="AE61" s="104">
        <v>23.0</v>
      </c>
      <c r="AF61" s="104">
        <v>43.0</v>
      </c>
      <c r="AG61" s="104">
        <v>85.0</v>
      </c>
      <c r="AH61" s="104">
        <v>143.0</v>
      </c>
      <c r="AI61" s="104">
        <v>26.95</v>
      </c>
      <c r="AJ61" s="104">
        <v>6.89</v>
      </c>
      <c r="AK61" s="104">
        <v>1.8</v>
      </c>
      <c r="AL61" s="104">
        <v>0.0569</v>
      </c>
      <c r="AM61" s="1">
        <v>60.18</v>
      </c>
      <c r="AN61" s="1">
        <v>60.18</v>
      </c>
      <c r="AO61" s="1">
        <v>32.93</v>
      </c>
      <c r="AP61" s="1">
        <v>17.37</v>
      </c>
      <c r="AQ61" s="1">
        <v>28.497</v>
      </c>
      <c r="AR61" s="1">
        <v>1.1168</v>
      </c>
      <c r="AS61" s="1">
        <v>27.3802</v>
      </c>
      <c r="AT61" s="1">
        <v>21.8713</v>
      </c>
      <c r="AU61" s="1">
        <v>0.1378</v>
      </c>
      <c r="AV61" s="1">
        <v>290.0</v>
      </c>
      <c r="AW61" s="1">
        <v>44.0</v>
      </c>
      <c r="AX61" s="1">
        <v>172.19</v>
      </c>
      <c r="AY61" s="1">
        <v>494.78</v>
      </c>
      <c r="AZ61" s="1">
        <v>6.98</v>
      </c>
      <c r="BA61" s="1">
        <v>55.52</v>
      </c>
      <c r="BB61" s="1">
        <v>9.27</v>
      </c>
    </row>
    <row r="62" ht="15.75" customHeight="1">
      <c r="A62" s="122">
        <v>46235.0</v>
      </c>
      <c r="B62" s="1" t="s">
        <v>9</v>
      </c>
      <c r="C62" s="1" t="s">
        <v>179</v>
      </c>
      <c r="D62" s="1">
        <v>3553.0</v>
      </c>
      <c r="E62" s="1">
        <v>16.03</v>
      </c>
      <c r="F62" s="1">
        <v>-2.91</v>
      </c>
      <c r="G62" s="1">
        <v>-8.0E-4</v>
      </c>
      <c r="H62" s="1">
        <v>0.0</v>
      </c>
      <c r="J62" s="1">
        <v>6.21</v>
      </c>
      <c r="K62" s="1">
        <v>2.68</v>
      </c>
      <c r="L62" s="1">
        <v>0.04</v>
      </c>
      <c r="M62" s="1">
        <v>0.0147</v>
      </c>
      <c r="N62" s="1">
        <v>0.9889</v>
      </c>
      <c r="O62" s="1">
        <v>0.8508</v>
      </c>
      <c r="P62" s="1">
        <v>68.0071</v>
      </c>
      <c r="Q62" s="1">
        <v>23.48</v>
      </c>
      <c r="R62" s="1">
        <v>23.37</v>
      </c>
      <c r="S62" s="1">
        <v>0.11</v>
      </c>
      <c r="T62" s="1">
        <v>0.01</v>
      </c>
      <c r="U62" s="1">
        <v>23.47</v>
      </c>
      <c r="V62" s="1">
        <v>2.52</v>
      </c>
      <c r="W62" s="1">
        <v>0.94</v>
      </c>
      <c r="X62" s="1">
        <v>0.04</v>
      </c>
      <c r="Y62" s="1">
        <v>176.0</v>
      </c>
      <c r="Z62" s="1">
        <v>1755.0</v>
      </c>
      <c r="AA62" s="1">
        <v>11921.0</v>
      </c>
      <c r="AB62" s="1">
        <v>49.8037</v>
      </c>
      <c r="AC62" s="1">
        <v>0.5452</v>
      </c>
      <c r="AI62" s="1">
        <v>0.0</v>
      </c>
      <c r="AJ62" s="1">
        <v>0.0</v>
      </c>
      <c r="AK62" s="1">
        <v>0.0</v>
      </c>
      <c r="AL62" s="1">
        <v>0.358</v>
      </c>
      <c r="AQ62" s="1">
        <v>1.123</v>
      </c>
      <c r="AR62" s="1">
        <v>0.0042</v>
      </c>
      <c r="AS62" s="1">
        <v>1.1188</v>
      </c>
      <c r="AT62" s="1">
        <v>0.4016</v>
      </c>
      <c r="AU62" s="1">
        <v>0.1499</v>
      </c>
      <c r="AV62" s="1">
        <v>3553.0</v>
      </c>
      <c r="AW62" s="1">
        <v>0.0</v>
      </c>
      <c r="AX62" s="1">
        <v>13.74</v>
      </c>
      <c r="AY62" s="1">
        <v>7.93</v>
      </c>
      <c r="AZ62" s="1">
        <v>1.64</v>
      </c>
      <c r="BA62" s="1">
        <v>0.0</v>
      </c>
      <c r="BB62" s="1">
        <v>0.18</v>
      </c>
    </row>
    <row r="63" ht="15.75" customHeight="1">
      <c r="A63" s="122">
        <v>46235.0</v>
      </c>
      <c r="B63" s="1" t="s">
        <v>9</v>
      </c>
      <c r="C63" s="1" t="s">
        <v>181</v>
      </c>
      <c r="D63" s="1">
        <v>6945.0</v>
      </c>
      <c r="E63" s="1">
        <v>31.34</v>
      </c>
      <c r="F63" s="1">
        <v>240.05</v>
      </c>
      <c r="G63" s="1">
        <v>0.0346</v>
      </c>
      <c r="H63" s="1">
        <v>1.51</v>
      </c>
      <c r="I63" s="1">
        <v>2.2862</v>
      </c>
      <c r="J63" s="1">
        <v>29.94</v>
      </c>
      <c r="K63" s="1">
        <v>14.46</v>
      </c>
      <c r="L63" s="1">
        <v>5.93</v>
      </c>
      <c r="M63" s="1">
        <v>0.4102</v>
      </c>
      <c r="N63" s="1">
        <v>0.7236</v>
      </c>
      <c r="O63" s="1">
        <v>0.5022</v>
      </c>
      <c r="P63" s="1">
        <v>2.4378</v>
      </c>
      <c r="Q63" s="1">
        <v>60.67</v>
      </c>
      <c r="R63" s="1">
        <v>51.99</v>
      </c>
      <c r="S63" s="1">
        <v>8.68</v>
      </c>
      <c r="T63" s="1">
        <v>3.14</v>
      </c>
      <c r="U63" s="1">
        <v>57.52</v>
      </c>
      <c r="V63" s="1">
        <v>57.48</v>
      </c>
      <c r="W63" s="1">
        <v>3.9755</v>
      </c>
      <c r="X63" s="1">
        <v>5.18</v>
      </c>
      <c r="Y63" s="1">
        <v>114.0</v>
      </c>
      <c r="Z63" s="1">
        <v>533.0</v>
      </c>
      <c r="AA63" s="1">
        <v>4549.0</v>
      </c>
      <c r="AB63" s="1">
        <v>49.9701</v>
      </c>
      <c r="AC63" s="1">
        <v>0.5326</v>
      </c>
      <c r="AD63" s="1">
        <v>4.15</v>
      </c>
      <c r="AE63" s="1">
        <v>1.0</v>
      </c>
      <c r="AF63" s="1">
        <v>3.0</v>
      </c>
      <c r="AG63" s="1">
        <v>5.0</v>
      </c>
      <c r="AH63" s="1">
        <v>9.0</v>
      </c>
      <c r="AI63" s="1">
        <v>74.33</v>
      </c>
      <c r="AJ63" s="1">
        <v>32.02</v>
      </c>
      <c r="AK63" s="1">
        <v>9.46</v>
      </c>
      <c r="AL63" s="1">
        <v>0.2752</v>
      </c>
      <c r="AQ63" s="1">
        <v>3.6295</v>
      </c>
      <c r="AR63" s="1">
        <v>0.0298</v>
      </c>
      <c r="AS63" s="1">
        <v>3.5997</v>
      </c>
      <c r="AT63" s="1">
        <v>3.3914</v>
      </c>
      <c r="AU63" s="1">
        <v>0.2346</v>
      </c>
      <c r="AV63" s="1">
        <v>6945.0</v>
      </c>
      <c r="AW63" s="1">
        <v>0.0</v>
      </c>
      <c r="AX63" s="1">
        <v>30.57</v>
      </c>
      <c r="AY63" s="1">
        <v>22.48</v>
      </c>
      <c r="AZ63" s="1">
        <v>3.76</v>
      </c>
      <c r="BA63" s="1">
        <v>3.14</v>
      </c>
      <c r="BB63" s="1">
        <v>0.72</v>
      </c>
    </row>
    <row r="64" ht="15.75" customHeight="1">
      <c r="A64" s="122">
        <v>46235.0</v>
      </c>
      <c r="B64" s="1" t="s">
        <v>9</v>
      </c>
      <c r="C64" s="1" t="s">
        <v>182</v>
      </c>
      <c r="D64" s="1">
        <v>5275.0</v>
      </c>
      <c r="E64" s="1">
        <v>23.8</v>
      </c>
      <c r="F64" s="1">
        <v>602.17</v>
      </c>
      <c r="G64" s="1">
        <v>0.1142</v>
      </c>
      <c r="H64" s="1">
        <v>3.17</v>
      </c>
      <c r="I64" s="1">
        <v>3.6058</v>
      </c>
      <c r="J64" s="1">
        <v>52.27</v>
      </c>
      <c r="K64" s="1">
        <v>25.84</v>
      </c>
      <c r="L64" s="1">
        <v>14.44</v>
      </c>
      <c r="M64" s="1">
        <v>0.5588</v>
      </c>
      <c r="N64" s="1">
        <v>0.6002</v>
      </c>
      <c r="O64" s="1">
        <v>0.4008</v>
      </c>
      <c r="P64" s="1">
        <v>1.7894</v>
      </c>
      <c r="Q64" s="1">
        <v>111.71</v>
      </c>
      <c r="R64" s="1">
        <v>90.98</v>
      </c>
      <c r="S64" s="1">
        <v>20.73</v>
      </c>
      <c r="T64" s="1">
        <v>10.12</v>
      </c>
      <c r="U64" s="1">
        <v>101.59</v>
      </c>
      <c r="V64" s="1">
        <v>109.63</v>
      </c>
      <c r="W64" s="1">
        <v>4.243</v>
      </c>
      <c r="X64" s="1">
        <v>9.06</v>
      </c>
      <c r="Y64" s="1">
        <v>110.0</v>
      </c>
      <c r="Z64" s="1">
        <v>542.0</v>
      </c>
      <c r="AA64" s="1">
        <v>4436.0</v>
      </c>
      <c r="AB64" s="1">
        <v>53.1842</v>
      </c>
      <c r="AC64" s="1">
        <v>0.6557</v>
      </c>
      <c r="AD64" s="1">
        <v>9.9</v>
      </c>
      <c r="AE64" s="1">
        <v>4.0</v>
      </c>
      <c r="AF64" s="1">
        <v>8.0</v>
      </c>
      <c r="AG64" s="1">
        <v>13.0</v>
      </c>
      <c r="AH64" s="1">
        <v>21.0</v>
      </c>
      <c r="AI64" s="1">
        <v>63.68</v>
      </c>
      <c r="AJ64" s="1">
        <v>27.96</v>
      </c>
      <c r="AK64" s="1">
        <v>5.59</v>
      </c>
      <c r="AL64" s="1">
        <v>0.2349</v>
      </c>
      <c r="AQ64" s="1">
        <v>6.7433</v>
      </c>
      <c r="AR64" s="1">
        <v>0.1007</v>
      </c>
      <c r="AS64" s="1">
        <v>6.6427</v>
      </c>
      <c r="AT64" s="1">
        <v>6.2004</v>
      </c>
      <c r="AU64" s="1">
        <v>0.24</v>
      </c>
      <c r="AV64" s="1">
        <v>5275.0</v>
      </c>
      <c r="AW64" s="1">
        <v>0.0</v>
      </c>
      <c r="AX64" s="1">
        <v>46.87</v>
      </c>
      <c r="AY64" s="1">
        <v>48.27</v>
      </c>
      <c r="AZ64" s="1">
        <v>4.47</v>
      </c>
      <c r="BA64" s="1">
        <v>10.12</v>
      </c>
      <c r="BB64" s="1">
        <v>1.99</v>
      </c>
    </row>
    <row r="65" ht="15.75" customHeight="1">
      <c r="A65" s="122">
        <v>46235.0</v>
      </c>
      <c r="B65" s="1" t="s">
        <v>9</v>
      </c>
      <c r="C65" s="1" t="s">
        <v>183</v>
      </c>
      <c r="D65" s="1">
        <v>3684.0</v>
      </c>
      <c r="E65" s="1">
        <v>16.62</v>
      </c>
      <c r="F65" s="1">
        <v>924.15</v>
      </c>
      <c r="G65" s="1">
        <v>0.2509</v>
      </c>
      <c r="H65" s="1">
        <v>5.43</v>
      </c>
      <c r="I65" s="1">
        <v>4.6208</v>
      </c>
      <c r="J65" s="1">
        <v>78.96</v>
      </c>
      <c r="K65" s="1">
        <v>41.4</v>
      </c>
      <c r="L65" s="1">
        <v>28.34</v>
      </c>
      <c r="M65" s="1">
        <v>0.6847</v>
      </c>
      <c r="N65" s="1">
        <v>0.4819</v>
      </c>
      <c r="O65" s="1">
        <v>0.3316</v>
      </c>
      <c r="P65" s="1">
        <v>1.4606</v>
      </c>
      <c r="Q65" s="1">
        <v>199.93</v>
      </c>
      <c r="R65" s="1">
        <v>159.11</v>
      </c>
      <c r="S65" s="1">
        <v>40.82</v>
      </c>
      <c r="T65" s="1">
        <v>20.7</v>
      </c>
      <c r="U65" s="1">
        <v>179.23</v>
      </c>
      <c r="V65" s="1">
        <v>194.56</v>
      </c>
      <c r="W65" s="1">
        <v>4.7</v>
      </c>
      <c r="X65" s="1">
        <v>10.35</v>
      </c>
      <c r="Y65" s="1">
        <v>130.0</v>
      </c>
      <c r="Z65" s="1">
        <v>556.0</v>
      </c>
      <c r="AA65" s="1">
        <v>3774.0</v>
      </c>
      <c r="AB65" s="1">
        <v>55.862</v>
      </c>
      <c r="AC65" s="1">
        <v>0.7514</v>
      </c>
      <c r="AD65" s="1">
        <v>18.43</v>
      </c>
      <c r="AE65" s="1">
        <v>8.0</v>
      </c>
      <c r="AF65" s="1">
        <v>14.0</v>
      </c>
      <c r="AG65" s="1">
        <v>25.0</v>
      </c>
      <c r="AH65" s="1">
        <v>38.0</v>
      </c>
      <c r="AI65" s="1">
        <v>61.64</v>
      </c>
      <c r="AJ65" s="1">
        <v>24.73</v>
      </c>
      <c r="AK65" s="1">
        <v>8.12</v>
      </c>
      <c r="AL65" s="1">
        <v>0.2003</v>
      </c>
      <c r="AQ65" s="1">
        <v>10.6088</v>
      </c>
      <c r="AR65" s="1">
        <v>0.2305</v>
      </c>
      <c r="AS65" s="1">
        <v>10.3784</v>
      </c>
      <c r="AT65" s="1">
        <v>9.6721</v>
      </c>
      <c r="AU65" s="1">
        <v>0.2337</v>
      </c>
      <c r="AV65" s="1">
        <v>3684.0</v>
      </c>
      <c r="AW65" s="1">
        <v>0.0</v>
      </c>
      <c r="AX65" s="1">
        <v>76.28</v>
      </c>
      <c r="AY65" s="1">
        <v>95.35</v>
      </c>
      <c r="AZ65" s="1">
        <v>4.28</v>
      </c>
      <c r="BA65" s="1">
        <v>20.7</v>
      </c>
      <c r="BB65" s="1">
        <v>3.32</v>
      </c>
    </row>
    <row r="66" ht="15.75" customHeight="1">
      <c r="A66" s="122">
        <v>46235.0</v>
      </c>
      <c r="B66" s="1" t="s">
        <v>9</v>
      </c>
      <c r="C66" s="1" t="s">
        <v>184</v>
      </c>
      <c r="D66" s="1">
        <v>2340.0</v>
      </c>
      <c r="E66" s="1">
        <v>10.56</v>
      </c>
      <c r="F66" s="1">
        <v>970.93</v>
      </c>
      <c r="G66" s="1">
        <v>0.4149</v>
      </c>
      <c r="H66" s="1">
        <v>5.68</v>
      </c>
      <c r="I66" s="1">
        <v>7.3002</v>
      </c>
      <c r="J66" s="1">
        <v>126.77</v>
      </c>
      <c r="K66" s="1">
        <v>73.02</v>
      </c>
      <c r="L66" s="1">
        <v>56.13</v>
      </c>
      <c r="M66" s="1">
        <v>0.7687</v>
      </c>
      <c r="N66" s="1">
        <v>0.3867</v>
      </c>
      <c r="O66" s="1">
        <v>0.2767</v>
      </c>
      <c r="P66" s="1">
        <v>1.3009</v>
      </c>
      <c r="Q66" s="1">
        <v>356.49</v>
      </c>
      <c r="R66" s="1">
        <v>275.45</v>
      </c>
      <c r="S66" s="1">
        <v>81.04</v>
      </c>
      <c r="T66" s="1">
        <v>30.68</v>
      </c>
      <c r="U66" s="1">
        <v>325.81</v>
      </c>
      <c r="V66" s="1">
        <v>336.86</v>
      </c>
      <c r="W66" s="1">
        <v>4.6131</v>
      </c>
      <c r="X66" s="1">
        <v>8.61</v>
      </c>
      <c r="Y66" s="1">
        <v>199.0</v>
      </c>
      <c r="Z66" s="1">
        <v>989.0</v>
      </c>
      <c r="AA66" s="1">
        <v>5628.0</v>
      </c>
      <c r="AB66" s="1">
        <v>58.4915</v>
      </c>
      <c r="AC66" s="1">
        <v>0.8134</v>
      </c>
      <c r="AD66" s="1">
        <v>33.22</v>
      </c>
      <c r="AE66" s="1">
        <v>13.0</v>
      </c>
      <c r="AF66" s="1">
        <v>24.0</v>
      </c>
      <c r="AG66" s="1">
        <v>45.0</v>
      </c>
      <c r="AH66" s="1">
        <v>72.0</v>
      </c>
      <c r="AI66" s="1">
        <v>45.26</v>
      </c>
      <c r="AJ66" s="1">
        <v>15.6</v>
      </c>
      <c r="AK66" s="1">
        <v>3.93</v>
      </c>
      <c r="AL66" s="1">
        <v>0.1261</v>
      </c>
      <c r="AQ66" s="1">
        <v>16.5154</v>
      </c>
      <c r="AR66" s="1">
        <v>0.3504</v>
      </c>
      <c r="AS66" s="1">
        <v>16.165</v>
      </c>
      <c r="AT66" s="1">
        <v>14.9513</v>
      </c>
      <c r="AU66" s="1">
        <v>0.2048</v>
      </c>
      <c r="AV66" s="1">
        <v>2340.0</v>
      </c>
      <c r="AW66" s="1">
        <v>0.0</v>
      </c>
      <c r="AX66" s="1">
        <v>135.17</v>
      </c>
      <c r="AY66" s="1">
        <v>180.72</v>
      </c>
      <c r="AZ66" s="1">
        <v>4.95</v>
      </c>
      <c r="BA66" s="1">
        <v>30.68</v>
      </c>
      <c r="BB66" s="1">
        <v>4.97</v>
      </c>
    </row>
    <row r="67" ht="15.75" customHeight="1">
      <c r="A67" s="122">
        <v>46235.0</v>
      </c>
      <c r="B67" s="1" t="s">
        <v>9</v>
      </c>
      <c r="C67" s="1" t="s">
        <v>186</v>
      </c>
      <c r="D67" s="1">
        <v>364.0</v>
      </c>
      <c r="E67" s="1">
        <v>1.64</v>
      </c>
      <c r="F67" s="1">
        <v>126.01</v>
      </c>
      <c r="G67" s="1">
        <v>0.3462</v>
      </c>
      <c r="H67" s="1">
        <v>6.59</v>
      </c>
      <c r="I67" s="1">
        <v>5.2504</v>
      </c>
      <c r="J67" s="1">
        <v>213.54</v>
      </c>
      <c r="K67" s="1">
        <v>134.04</v>
      </c>
      <c r="L67" s="1">
        <v>112.1</v>
      </c>
      <c r="M67" s="1">
        <v>0.8363</v>
      </c>
      <c r="N67" s="1">
        <v>0.3022</v>
      </c>
      <c r="O67" s="1">
        <v>0.2362</v>
      </c>
      <c r="P67" s="1">
        <v>1.1957</v>
      </c>
      <c r="Q67" s="1">
        <v>638.97</v>
      </c>
      <c r="R67" s="1">
        <v>472.73</v>
      </c>
      <c r="S67" s="1">
        <v>166.24</v>
      </c>
      <c r="T67" s="1">
        <v>43.13</v>
      </c>
      <c r="U67" s="1">
        <v>595.84</v>
      </c>
      <c r="V67" s="1">
        <v>665.25</v>
      </c>
      <c r="W67" s="1">
        <v>4.963</v>
      </c>
      <c r="X67" s="1">
        <v>6.75</v>
      </c>
      <c r="Y67" s="1">
        <v>304.0</v>
      </c>
      <c r="Z67" s="1">
        <v>1288.0</v>
      </c>
      <c r="AA67" s="1">
        <v>5189.0</v>
      </c>
      <c r="AB67" s="1">
        <v>61.5253</v>
      </c>
      <c r="AC67" s="1">
        <v>0.8584</v>
      </c>
      <c r="AD67" s="1">
        <v>58.04</v>
      </c>
      <c r="AE67" s="1">
        <v>19.0</v>
      </c>
      <c r="AF67" s="1">
        <v>38.0</v>
      </c>
      <c r="AG67" s="1">
        <v>83.0</v>
      </c>
      <c r="AH67" s="1">
        <v>123.0</v>
      </c>
      <c r="AI67" s="1">
        <v>26.37</v>
      </c>
      <c r="AJ67" s="1">
        <v>4.95</v>
      </c>
      <c r="AK67" s="1">
        <v>1.1</v>
      </c>
      <c r="AL67" s="1">
        <v>0.0962</v>
      </c>
      <c r="AQ67" s="1">
        <v>29.3874</v>
      </c>
      <c r="AR67" s="1">
        <v>2.456</v>
      </c>
      <c r="AS67" s="1">
        <v>26.9313</v>
      </c>
      <c r="AT67" s="1">
        <v>26.0604</v>
      </c>
      <c r="AU67" s="1">
        <v>0.1944</v>
      </c>
      <c r="AV67" s="1">
        <v>364.0</v>
      </c>
      <c r="AW67" s="1">
        <v>0.0</v>
      </c>
      <c r="AX67" s="1">
        <v>255.67</v>
      </c>
      <c r="AY67" s="1">
        <v>320.63</v>
      </c>
      <c r="AZ67" s="1">
        <v>5.89</v>
      </c>
      <c r="BA67" s="1">
        <v>43.13</v>
      </c>
      <c r="BB67" s="1">
        <v>13.64</v>
      </c>
    </row>
    <row r="68" ht="15.75" customHeight="1">
      <c r="A68" s="122">
        <v>46235.0</v>
      </c>
      <c r="B68" s="1" t="s">
        <v>10</v>
      </c>
      <c r="C68" s="1" t="s">
        <v>179</v>
      </c>
      <c r="D68" s="1">
        <v>3538.0</v>
      </c>
      <c r="E68" s="1">
        <v>16.07</v>
      </c>
      <c r="F68" s="1">
        <v>0.91</v>
      </c>
      <c r="G68" s="1">
        <v>3.0E-4</v>
      </c>
      <c r="H68" s="1">
        <v>0.03</v>
      </c>
      <c r="I68" s="1">
        <v>0.91</v>
      </c>
      <c r="J68" s="1">
        <v>6.06</v>
      </c>
      <c r="K68" s="1">
        <v>2.48</v>
      </c>
      <c r="L68" s="1">
        <v>0.06</v>
      </c>
      <c r="M68" s="1">
        <v>0.0255</v>
      </c>
      <c r="N68" s="1">
        <v>0.9799</v>
      </c>
      <c r="O68" s="1">
        <v>0.7823</v>
      </c>
      <c r="P68" s="1">
        <v>39.2188</v>
      </c>
      <c r="Q68" s="1">
        <v>18.99</v>
      </c>
      <c r="R68" s="1">
        <v>18.93</v>
      </c>
      <c r="S68" s="1">
        <v>0.06</v>
      </c>
      <c r="T68" s="1">
        <v>0.04</v>
      </c>
      <c r="U68" s="1">
        <v>18.95</v>
      </c>
      <c r="V68" s="1">
        <v>1.76</v>
      </c>
      <c r="W68" s="1">
        <v>0.7139</v>
      </c>
      <c r="X68" s="1">
        <v>0.22</v>
      </c>
      <c r="Y68" s="1">
        <v>149.0</v>
      </c>
      <c r="Z68" s="1">
        <v>1476.0</v>
      </c>
      <c r="AA68" s="1">
        <v>10209.0</v>
      </c>
      <c r="AB68" s="1">
        <v>49.9284</v>
      </c>
      <c r="AC68" s="1">
        <v>0.5429</v>
      </c>
      <c r="AI68" s="1">
        <v>0.0</v>
      </c>
      <c r="AJ68" s="1">
        <v>0.0</v>
      </c>
      <c r="AK68" s="1">
        <v>0.0</v>
      </c>
      <c r="AL68" s="1">
        <v>0.3508</v>
      </c>
      <c r="AM68" s="1">
        <v>0.23</v>
      </c>
      <c r="AN68" s="1">
        <v>0.23</v>
      </c>
      <c r="AO68" s="1">
        <v>0.06</v>
      </c>
      <c r="AP68" s="1">
        <v>0.0</v>
      </c>
      <c r="AQ68" s="1">
        <v>1.1439</v>
      </c>
      <c r="AR68" s="1">
        <v>0.0025</v>
      </c>
      <c r="AS68" s="1">
        <v>1.1413</v>
      </c>
      <c r="AT68" s="1">
        <v>0.4211</v>
      </c>
      <c r="AU68" s="1">
        <v>0.1696</v>
      </c>
      <c r="AV68" s="1">
        <v>3520.0</v>
      </c>
      <c r="AW68" s="1">
        <v>18.0</v>
      </c>
      <c r="AX68" s="1">
        <v>9.41</v>
      </c>
      <c r="AY68" s="1">
        <v>7.66</v>
      </c>
      <c r="AZ68" s="1">
        <v>1.7</v>
      </c>
      <c r="BA68" s="1">
        <v>0.04</v>
      </c>
      <c r="BB68" s="1">
        <v>0.18</v>
      </c>
    </row>
    <row r="69" ht="15.75" customHeight="1">
      <c r="A69" s="122">
        <v>46235.0</v>
      </c>
      <c r="B69" s="1" t="s">
        <v>10</v>
      </c>
      <c r="C69" s="1" t="s">
        <v>181</v>
      </c>
      <c r="D69" s="1">
        <v>6598.0</v>
      </c>
      <c r="E69" s="1">
        <v>29.98</v>
      </c>
      <c r="F69" s="1">
        <v>225.46</v>
      </c>
      <c r="G69" s="1">
        <v>0.0342</v>
      </c>
      <c r="H69" s="1">
        <v>1.27</v>
      </c>
      <c r="I69" s="1">
        <v>2.684</v>
      </c>
      <c r="J69" s="1">
        <v>30.6</v>
      </c>
      <c r="K69" s="1">
        <v>14.52</v>
      </c>
      <c r="L69" s="1">
        <v>5.72</v>
      </c>
      <c r="M69" s="1">
        <v>0.394</v>
      </c>
      <c r="N69" s="1">
        <v>0.7323</v>
      </c>
      <c r="O69" s="1">
        <v>0.5045</v>
      </c>
      <c r="P69" s="1">
        <v>2.5381</v>
      </c>
      <c r="Q69" s="1">
        <v>48.01</v>
      </c>
      <c r="R69" s="1">
        <v>44.21</v>
      </c>
      <c r="S69" s="1">
        <v>3.8</v>
      </c>
      <c r="T69" s="1">
        <v>2.46</v>
      </c>
      <c r="U69" s="1">
        <v>45.55</v>
      </c>
      <c r="V69" s="1">
        <v>51.06</v>
      </c>
      <c r="W69" s="1">
        <v>3.5148</v>
      </c>
      <c r="X69" s="1">
        <v>5.13</v>
      </c>
      <c r="Y69" s="1">
        <v>102.0</v>
      </c>
      <c r="Z69" s="1">
        <v>467.0</v>
      </c>
      <c r="AA69" s="1">
        <v>4349.0</v>
      </c>
      <c r="AB69" s="1">
        <v>50.2942</v>
      </c>
      <c r="AC69" s="1">
        <v>0.5407</v>
      </c>
      <c r="AD69" s="1">
        <v>3.99</v>
      </c>
      <c r="AE69" s="1">
        <v>1.0</v>
      </c>
      <c r="AF69" s="1">
        <v>3.0</v>
      </c>
      <c r="AG69" s="1">
        <v>5.0</v>
      </c>
      <c r="AH69" s="1">
        <v>9.0</v>
      </c>
      <c r="AI69" s="1">
        <v>72.76</v>
      </c>
      <c r="AJ69" s="1">
        <v>30.24</v>
      </c>
      <c r="AK69" s="1">
        <v>8.75</v>
      </c>
      <c r="AL69" s="1">
        <v>0.2769</v>
      </c>
      <c r="AM69" s="1">
        <v>61.49</v>
      </c>
      <c r="AN69" s="1">
        <v>61.49</v>
      </c>
      <c r="AO69" s="1">
        <v>27.71</v>
      </c>
      <c r="AP69" s="1">
        <v>8.85</v>
      </c>
      <c r="AQ69" s="1">
        <v>3.3172</v>
      </c>
      <c r="AR69" s="1">
        <v>0.027</v>
      </c>
      <c r="AS69" s="1">
        <v>3.2902</v>
      </c>
      <c r="AT69" s="1">
        <v>3.3651</v>
      </c>
      <c r="AU69" s="1">
        <v>0.2318</v>
      </c>
      <c r="AV69" s="1">
        <v>6542.0</v>
      </c>
      <c r="AW69" s="1">
        <v>56.0</v>
      </c>
      <c r="AX69" s="1">
        <v>20.88</v>
      </c>
      <c r="AY69" s="1">
        <v>20.3</v>
      </c>
      <c r="AZ69" s="1">
        <v>3.42</v>
      </c>
      <c r="BA69" s="1">
        <v>2.46</v>
      </c>
      <c r="BB69" s="1">
        <v>0.95</v>
      </c>
    </row>
    <row r="70" ht="15.75" customHeight="1">
      <c r="A70" s="122">
        <v>46235.0</v>
      </c>
      <c r="B70" s="1" t="s">
        <v>10</v>
      </c>
      <c r="C70" s="1" t="s">
        <v>182</v>
      </c>
      <c r="D70" s="1">
        <v>5247.0</v>
      </c>
      <c r="E70" s="1">
        <v>23.84</v>
      </c>
      <c r="F70" s="1">
        <v>592.43</v>
      </c>
      <c r="G70" s="1">
        <v>0.1129</v>
      </c>
      <c r="H70" s="1">
        <v>3.43</v>
      </c>
      <c r="I70" s="1">
        <v>3.2913</v>
      </c>
      <c r="J70" s="1">
        <v>52.26</v>
      </c>
      <c r="K70" s="1">
        <v>25.75</v>
      </c>
      <c r="L70" s="1">
        <v>13.68</v>
      </c>
      <c r="M70" s="1">
        <v>0.5312</v>
      </c>
      <c r="N70" s="1">
        <v>0.6212</v>
      </c>
      <c r="O70" s="1">
        <v>0.4126</v>
      </c>
      <c r="P70" s="1">
        <v>1.8826</v>
      </c>
      <c r="Q70" s="1">
        <v>90.2</v>
      </c>
      <c r="R70" s="1">
        <v>81.86</v>
      </c>
      <c r="S70" s="1">
        <v>8.34</v>
      </c>
      <c r="T70" s="1">
        <v>10.55</v>
      </c>
      <c r="U70" s="1">
        <v>79.65</v>
      </c>
      <c r="V70" s="1">
        <v>99.24</v>
      </c>
      <c r="W70" s="1">
        <v>3.8567</v>
      </c>
      <c r="X70" s="1">
        <v>11.69</v>
      </c>
      <c r="Y70" s="1">
        <v>98.0</v>
      </c>
      <c r="Z70" s="1">
        <v>382.0</v>
      </c>
      <c r="AA70" s="1">
        <v>3537.0</v>
      </c>
      <c r="AB70" s="1">
        <v>52.9444</v>
      </c>
      <c r="AC70" s="1">
        <v>0.6438</v>
      </c>
      <c r="AD70" s="1">
        <v>9.31</v>
      </c>
      <c r="AE70" s="1">
        <v>3.0</v>
      </c>
      <c r="AF70" s="1">
        <v>7.0</v>
      </c>
      <c r="AG70" s="1">
        <v>13.0</v>
      </c>
      <c r="AH70" s="1">
        <v>20.0</v>
      </c>
      <c r="AI70" s="1">
        <v>58.47</v>
      </c>
      <c r="AJ70" s="1">
        <v>26.05</v>
      </c>
      <c r="AK70" s="1">
        <v>5.01</v>
      </c>
      <c r="AL70" s="1">
        <v>0.2258</v>
      </c>
      <c r="AM70" s="1">
        <v>60.13</v>
      </c>
      <c r="AN70" s="1">
        <v>60.13</v>
      </c>
      <c r="AO70" s="1">
        <v>36.31</v>
      </c>
      <c r="AP70" s="1">
        <v>17.48</v>
      </c>
      <c r="AQ70" s="1">
        <v>5.4324</v>
      </c>
      <c r="AR70" s="1">
        <v>0.1189</v>
      </c>
      <c r="AS70" s="1">
        <v>5.3135</v>
      </c>
      <c r="AT70" s="1">
        <v>5.6621</v>
      </c>
      <c r="AU70" s="1">
        <v>0.2199</v>
      </c>
      <c r="AV70" s="1">
        <v>5233.0</v>
      </c>
      <c r="AW70" s="1">
        <v>14.0</v>
      </c>
      <c r="AX70" s="1">
        <v>30.32</v>
      </c>
      <c r="AY70" s="1">
        <v>43.12</v>
      </c>
      <c r="AZ70" s="1">
        <v>4.22</v>
      </c>
      <c r="BA70" s="1">
        <v>10.55</v>
      </c>
      <c r="BB70" s="1">
        <v>2.0</v>
      </c>
    </row>
    <row r="71" ht="15.75" customHeight="1">
      <c r="A71" s="122">
        <v>46235.0</v>
      </c>
      <c r="B71" s="1" t="s">
        <v>10</v>
      </c>
      <c r="C71" s="1" t="s">
        <v>183</v>
      </c>
      <c r="D71" s="1">
        <v>3969.0</v>
      </c>
      <c r="E71" s="1">
        <v>18.03</v>
      </c>
      <c r="F71" s="1">
        <v>1076.12</v>
      </c>
      <c r="G71" s="1">
        <v>0.2711</v>
      </c>
      <c r="H71" s="1">
        <v>4.91</v>
      </c>
      <c r="I71" s="1">
        <v>5.5186</v>
      </c>
      <c r="J71" s="1">
        <v>77.27</v>
      </c>
      <c r="K71" s="1">
        <v>40.02</v>
      </c>
      <c r="L71" s="1">
        <v>26.34</v>
      </c>
      <c r="M71" s="1">
        <v>0.6581</v>
      </c>
      <c r="N71" s="1">
        <v>0.5058</v>
      </c>
      <c r="O71" s="1">
        <v>0.342</v>
      </c>
      <c r="P71" s="1">
        <v>1.5194</v>
      </c>
      <c r="Q71" s="1">
        <v>160.4</v>
      </c>
      <c r="R71" s="1">
        <v>143.88</v>
      </c>
      <c r="S71" s="1">
        <v>16.52</v>
      </c>
      <c r="T71" s="1">
        <v>20.41</v>
      </c>
      <c r="U71" s="1">
        <v>139.99</v>
      </c>
      <c r="V71" s="1">
        <v>172.83</v>
      </c>
      <c r="W71" s="1">
        <v>4.3174</v>
      </c>
      <c r="X71" s="1">
        <v>12.73</v>
      </c>
      <c r="Y71" s="1">
        <v>117.0</v>
      </c>
      <c r="Z71" s="1">
        <v>481.0</v>
      </c>
      <c r="AA71" s="1">
        <v>3795.0</v>
      </c>
      <c r="AB71" s="1">
        <v>55.6577</v>
      </c>
      <c r="AC71" s="1">
        <v>0.745</v>
      </c>
      <c r="AD71" s="1">
        <v>17.01</v>
      </c>
      <c r="AE71" s="1">
        <v>6.0</v>
      </c>
      <c r="AF71" s="1">
        <v>12.0</v>
      </c>
      <c r="AG71" s="1">
        <v>24.0</v>
      </c>
      <c r="AH71" s="1">
        <v>37.0</v>
      </c>
      <c r="AI71" s="1">
        <v>56.46</v>
      </c>
      <c r="AJ71" s="1">
        <v>22.02</v>
      </c>
      <c r="AK71" s="1">
        <v>7.0</v>
      </c>
      <c r="AL71" s="1">
        <v>0.188</v>
      </c>
      <c r="AM71" s="1">
        <v>60.39</v>
      </c>
      <c r="AN71" s="1">
        <v>60.39</v>
      </c>
      <c r="AO71" s="1">
        <v>35.4</v>
      </c>
      <c r="AP71" s="1">
        <v>19.25</v>
      </c>
      <c r="AQ71" s="1">
        <v>7.4528</v>
      </c>
      <c r="AR71" s="1">
        <v>0.2298</v>
      </c>
      <c r="AS71" s="1">
        <v>7.223</v>
      </c>
      <c r="AT71" s="1">
        <v>8.1141</v>
      </c>
      <c r="AU71" s="1">
        <v>0.2027</v>
      </c>
      <c r="AV71" s="1">
        <v>3962.0</v>
      </c>
      <c r="AW71" s="1">
        <v>7.0</v>
      </c>
      <c r="AX71" s="1">
        <v>46.17</v>
      </c>
      <c r="AY71" s="1">
        <v>85.52</v>
      </c>
      <c r="AZ71" s="1">
        <v>4.58</v>
      </c>
      <c r="BA71" s="1">
        <v>20.37</v>
      </c>
      <c r="BB71" s="1">
        <v>3.77</v>
      </c>
    </row>
    <row r="72" ht="15.75" customHeight="1">
      <c r="A72" s="122">
        <v>46235.0</v>
      </c>
      <c r="B72" s="1" t="s">
        <v>10</v>
      </c>
      <c r="C72" s="1" t="s">
        <v>184</v>
      </c>
      <c r="D72" s="1">
        <v>2315.0</v>
      </c>
      <c r="E72" s="1">
        <v>10.52</v>
      </c>
      <c r="F72" s="1">
        <v>1195.66</v>
      </c>
      <c r="G72" s="1">
        <v>0.5165</v>
      </c>
      <c r="H72" s="1">
        <v>6.22</v>
      </c>
      <c r="I72" s="1">
        <v>8.3032</v>
      </c>
      <c r="J72" s="1">
        <v>134.22</v>
      </c>
      <c r="K72" s="1">
        <v>76.43</v>
      </c>
      <c r="L72" s="1">
        <v>56.97</v>
      </c>
      <c r="M72" s="1">
        <v>0.7453</v>
      </c>
      <c r="N72" s="1">
        <v>0.4048</v>
      </c>
      <c r="O72" s="1">
        <v>0.2874</v>
      </c>
      <c r="P72" s="1">
        <v>1.3418</v>
      </c>
      <c r="Q72" s="1">
        <v>297.79</v>
      </c>
      <c r="R72" s="1">
        <v>263.12</v>
      </c>
      <c r="S72" s="1">
        <v>34.67</v>
      </c>
      <c r="T72" s="1">
        <v>41.45</v>
      </c>
      <c r="U72" s="1">
        <v>256.34</v>
      </c>
      <c r="V72" s="1">
        <v>316.84</v>
      </c>
      <c r="W72" s="1">
        <v>4.1425</v>
      </c>
      <c r="X72" s="1">
        <v>13.92</v>
      </c>
      <c r="Y72" s="1">
        <v>148.0</v>
      </c>
      <c r="Z72" s="1">
        <v>761.0</v>
      </c>
      <c r="AA72" s="1">
        <v>4440.0</v>
      </c>
      <c r="AB72" s="1">
        <v>58.6906</v>
      </c>
      <c r="AC72" s="1">
        <v>0.8103</v>
      </c>
      <c r="AD72" s="1">
        <v>31.6</v>
      </c>
      <c r="AE72" s="1">
        <v>11.0</v>
      </c>
      <c r="AF72" s="1">
        <v>21.0</v>
      </c>
      <c r="AG72" s="1">
        <v>43.0</v>
      </c>
      <c r="AH72" s="1">
        <v>73.0</v>
      </c>
      <c r="AI72" s="1">
        <v>39.61</v>
      </c>
      <c r="AJ72" s="1">
        <v>15.51</v>
      </c>
      <c r="AK72" s="1">
        <v>4.06</v>
      </c>
      <c r="AL72" s="1">
        <v>0.1227</v>
      </c>
      <c r="AM72" s="1">
        <v>56.07</v>
      </c>
      <c r="AN72" s="1">
        <v>56.07</v>
      </c>
      <c r="AO72" s="1">
        <v>33.91</v>
      </c>
      <c r="AP72" s="1">
        <v>20.04</v>
      </c>
      <c r="AQ72" s="1">
        <v>10.3015</v>
      </c>
      <c r="AR72" s="1">
        <v>0.4648</v>
      </c>
      <c r="AS72" s="1">
        <v>9.8367</v>
      </c>
      <c r="AT72" s="1">
        <v>11.743</v>
      </c>
      <c r="AU72" s="1">
        <v>0.1536</v>
      </c>
      <c r="AV72" s="1">
        <v>2310.0</v>
      </c>
      <c r="AW72" s="1">
        <v>5.0</v>
      </c>
      <c r="AX72" s="1">
        <v>84.2</v>
      </c>
      <c r="AY72" s="1">
        <v>159.08</v>
      </c>
      <c r="AZ72" s="1">
        <v>5.74</v>
      </c>
      <c r="BA72" s="1">
        <v>41.45</v>
      </c>
      <c r="BB72" s="1">
        <v>7.31</v>
      </c>
    </row>
    <row r="73" ht="15.75" customHeight="1">
      <c r="A73" s="122">
        <v>46235.0</v>
      </c>
      <c r="B73" s="1" t="s">
        <v>10</v>
      </c>
      <c r="C73" s="1" t="s">
        <v>186</v>
      </c>
      <c r="D73" s="1">
        <v>344.0</v>
      </c>
      <c r="E73" s="1">
        <v>1.56</v>
      </c>
      <c r="F73" s="1">
        <v>333.62</v>
      </c>
      <c r="G73" s="1">
        <v>0.9698</v>
      </c>
      <c r="H73" s="1">
        <v>5.81</v>
      </c>
      <c r="I73" s="1">
        <v>16.681</v>
      </c>
      <c r="J73" s="1">
        <v>255.29</v>
      </c>
      <c r="K73" s="1">
        <v>156.66</v>
      </c>
      <c r="L73" s="1">
        <v>126.9</v>
      </c>
      <c r="M73" s="1">
        <v>0.8101</v>
      </c>
      <c r="N73" s="1">
        <v>0.3267</v>
      </c>
      <c r="O73" s="1">
        <v>0.2536</v>
      </c>
      <c r="P73" s="1">
        <v>1.2345</v>
      </c>
      <c r="Q73" s="1">
        <v>548.73</v>
      </c>
      <c r="R73" s="1">
        <v>472.37</v>
      </c>
      <c r="S73" s="1">
        <v>76.36</v>
      </c>
      <c r="T73" s="1">
        <v>78.2</v>
      </c>
      <c r="U73" s="1">
        <v>470.54</v>
      </c>
      <c r="V73" s="1">
        <v>580.82</v>
      </c>
      <c r="W73" s="1">
        <v>3.7712</v>
      </c>
      <c r="X73" s="1">
        <v>14.25</v>
      </c>
      <c r="Y73" s="1">
        <v>218.0</v>
      </c>
      <c r="Z73" s="1">
        <v>1256.0</v>
      </c>
      <c r="AA73" s="1">
        <v>5551.0</v>
      </c>
      <c r="AB73" s="1">
        <v>61.4829</v>
      </c>
      <c r="AC73" s="1">
        <v>0.8467</v>
      </c>
      <c r="AD73" s="1">
        <v>60.46</v>
      </c>
      <c r="AE73" s="1">
        <v>19.0</v>
      </c>
      <c r="AF73" s="1">
        <v>36.0</v>
      </c>
      <c r="AG73" s="1">
        <v>90.0</v>
      </c>
      <c r="AH73" s="1">
        <v>148.0</v>
      </c>
      <c r="AI73" s="1">
        <v>29.36</v>
      </c>
      <c r="AJ73" s="1">
        <v>6.69</v>
      </c>
      <c r="AK73" s="1">
        <v>0.58</v>
      </c>
      <c r="AL73" s="1">
        <v>0.0669</v>
      </c>
      <c r="AM73" s="1">
        <v>56.98</v>
      </c>
      <c r="AN73" s="1">
        <v>56.98</v>
      </c>
      <c r="AO73" s="1">
        <v>30.52</v>
      </c>
      <c r="AP73" s="1">
        <v>18.9</v>
      </c>
      <c r="AQ73" s="1">
        <v>17.0756</v>
      </c>
      <c r="AR73" s="1">
        <v>0.6744</v>
      </c>
      <c r="AS73" s="1">
        <v>16.4012</v>
      </c>
      <c r="AT73" s="1">
        <v>20.5552</v>
      </c>
      <c r="AU73" s="1">
        <v>0.1312</v>
      </c>
      <c r="AV73" s="1">
        <v>305.0</v>
      </c>
      <c r="AW73" s="1">
        <v>39.0</v>
      </c>
      <c r="AX73" s="1">
        <v>171.34</v>
      </c>
      <c r="AY73" s="1">
        <v>279.26</v>
      </c>
      <c r="AZ73" s="1">
        <v>5.93</v>
      </c>
      <c r="BA73" s="1">
        <v>78.2</v>
      </c>
      <c r="BB73" s="1">
        <v>14.0</v>
      </c>
    </row>
    <row r="74" ht="15.75" customHeight="1">
      <c r="A74" s="122">
        <v>46236.0</v>
      </c>
      <c r="B74" s="1" t="s">
        <v>9</v>
      </c>
      <c r="C74" s="1" t="s">
        <v>179</v>
      </c>
      <c r="D74" s="1">
        <v>3505.0</v>
      </c>
      <c r="E74" s="1">
        <v>15.82</v>
      </c>
      <c r="F74" s="1">
        <v>5.5</v>
      </c>
      <c r="G74" s="1">
        <v>0.0016</v>
      </c>
      <c r="H74" s="1">
        <v>0.06</v>
      </c>
      <c r="I74" s="1">
        <v>2.75</v>
      </c>
      <c r="J74" s="1">
        <v>6.74</v>
      </c>
      <c r="K74" s="1">
        <v>2.9</v>
      </c>
      <c r="L74" s="1">
        <v>0.08</v>
      </c>
      <c r="M74" s="1">
        <v>0.0284</v>
      </c>
      <c r="N74" s="1">
        <v>0.9755</v>
      </c>
      <c r="O74" s="1">
        <v>0.7109</v>
      </c>
      <c r="P74" s="1">
        <v>35.1972</v>
      </c>
      <c r="Q74" s="1">
        <v>20.96</v>
      </c>
      <c r="R74" s="1">
        <v>20.87</v>
      </c>
      <c r="S74" s="1">
        <v>0.1</v>
      </c>
      <c r="T74" s="1">
        <v>0.0</v>
      </c>
      <c r="U74" s="1">
        <v>20.96</v>
      </c>
      <c r="V74" s="1">
        <v>2.54</v>
      </c>
      <c r="W74" s="1">
        <v>0.875</v>
      </c>
      <c r="X74" s="1">
        <v>0.0</v>
      </c>
      <c r="Y74" s="1">
        <v>175.0</v>
      </c>
      <c r="Z74" s="1">
        <v>1928.0</v>
      </c>
      <c r="AA74" s="1">
        <v>12412.0</v>
      </c>
      <c r="AB74" s="1">
        <v>50.0928</v>
      </c>
      <c r="AC74" s="1">
        <v>0.552</v>
      </c>
      <c r="AI74" s="1">
        <v>0.0</v>
      </c>
      <c r="AJ74" s="1">
        <v>0.0</v>
      </c>
      <c r="AK74" s="1">
        <v>0.0</v>
      </c>
      <c r="AQ74" s="1">
        <v>0.7929</v>
      </c>
      <c r="AR74" s="1">
        <v>0.0051</v>
      </c>
      <c r="AS74" s="1">
        <v>0.7877</v>
      </c>
      <c r="AT74" s="1">
        <v>0.4154</v>
      </c>
      <c r="AU74" s="1">
        <v>0.1431</v>
      </c>
      <c r="AV74" s="1">
        <v>3505.0</v>
      </c>
      <c r="AW74" s="1">
        <v>0.0</v>
      </c>
      <c r="AX74" s="1">
        <v>14.52</v>
      </c>
      <c r="AY74" s="1">
        <v>4.12</v>
      </c>
      <c r="AZ74" s="1">
        <v>2.11</v>
      </c>
      <c r="BA74" s="1">
        <v>0.0</v>
      </c>
      <c r="BB74" s="1">
        <v>0.21</v>
      </c>
    </row>
    <row r="75" ht="15.75" customHeight="1">
      <c r="A75" s="122">
        <v>46236.0</v>
      </c>
      <c r="B75" s="1" t="s">
        <v>9</v>
      </c>
      <c r="C75" s="1" t="s">
        <v>181</v>
      </c>
      <c r="D75" s="1">
        <v>6976.0</v>
      </c>
      <c r="E75" s="1">
        <v>31.5</v>
      </c>
      <c r="F75" s="1">
        <v>214.13</v>
      </c>
      <c r="G75" s="1">
        <v>0.0307</v>
      </c>
      <c r="H75" s="1">
        <v>1.18</v>
      </c>
      <c r="I75" s="1">
        <v>2.6113</v>
      </c>
      <c r="J75" s="1">
        <v>32.39</v>
      </c>
      <c r="K75" s="1">
        <v>15.86</v>
      </c>
      <c r="L75" s="1">
        <v>5.87</v>
      </c>
      <c r="M75" s="1">
        <v>0.3699</v>
      </c>
      <c r="N75" s="1">
        <v>0.7526</v>
      </c>
      <c r="O75" s="1">
        <v>0.5204</v>
      </c>
      <c r="P75" s="1">
        <v>2.7032</v>
      </c>
      <c r="Q75" s="1">
        <v>49.91</v>
      </c>
      <c r="R75" s="1">
        <v>41.38</v>
      </c>
      <c r="S75" s="1">
        <v>8.53</v>
      </c>
      <c r="T75" s="1">
        <v>2.49</v>
      </c>
      <c r="U75" s="1">
        <v>47.42</v>
      </c>
      <c r="V75" s="1">
        <v>55.2</v>
      </c>
      <c r="W75" s="1">
        <v>3.4801</v>
      </c>
      <c r="X75" s="1">
        <v>4.98</v>
      </c>
      <c r="Y75" s="1">
        <v>108.0</v>
      </c>
      <c r="Z75" s="1">
        <v>521.0</v>
      </c>
      <c r="AA75" s="1">
        <v>4088.0</v>
      </c>
      <c r="AB75" s="1">
        <v>49.8931</v>
      </c>
      <c r="AC75" s="1">
        <v>0.5317</v>
      </c>
      <c r="AD75" s="1">
        <v>4.05</v>
      </c>
      <c r="AE75" s="1">
        <v>1.0</v>
      </c>
      <c r="AF75" s="1">
        <v>3.0</v>
      </c>
      <c r="AG75" s="1">
        <v>5.0</v>
      </c>
      <c r="AH75" s="1">
        <v>9.0</v>
      </c>
      <c r="AI75" s="1">
        <v>74.01</v>
      </c>
      <c r="AJ75" s="1">
        <v>31.11</v>
      </c>
      <c r="AK75" s="1">
        <v>8.26</v>
      </c>
      <c r="AQ75" s="1">
        <v>3.0151</v>
      </c>
      <c r="AR75" s="1">
        <v>0.0249</v>
      </c>
      <c r="AS75" s="1">
        <v>2.9901</v>
      </c>
      <c r="AT75" s="1">
        <v>3.2552</v>
      </c>
      <c r="AU75" s="1">
        <v>0.2052</v>
      </c>
      <c r="AV75" s="1">
        <v>6976.0</v>
      </c>
      <c r="AW75" s="1">
        <v>0.0</v>
      </c>
      <c r="AX75" s="1">
        <v>29.93</v>
      </c>
      <c r="AY75" s="1">
        <v>12.91</v>
      </c>
      <c r="AZ75" s="1">
        <v>3.75</v>
      </c>
      <c r="BA75" s="1">
        <v>2.49</v>
      </c>
      <c r="BB75" s="1">
        <v>0.83</v>
      </c>
    </row>
    <row r="76" ht="15.75" customHeight="1">
      <c r="A76" s="122">
        <v>46236.0</v>
      </c>
      <c r="B76" s="1" t="s">
        <v>9</v>
      </c>
      <c r="C76" s="1" t="s">
        <v>182</v>
      </c>
      <c r="D76" s="1">
        <v>5262.0</v>
      </c>
      <c r="E76" s="1">
        <v>23.76</v>
      </c>
      <c r="F76" s="1">
        <v>603.54</v>
      </c>
      <c r="G76" s="1">
        <v>0.1147</v>
      </c>
      <c r="H76" s="1">
        <v>3.53</v>
      </c>
      <c r="I76" s="1">
        <v>3.2448</v>
      </c>
      <c r="J76" s="1">
        <v>55.49</v>
      </c>
      <c r="K76" s="1">
        <v>28.24</v>
      </c>
      <c r="L76" s="1">
        <v>14.78</v>
      </c>
      <c r="M76" s="1">
        <v>0.5233</v>
      </c>
      <c r="N76" s="1">
        <v>0.6259</v>
      </c>
      <c r="O76" s="1">
        <v>0.4111</v>
      </c>
      <c r="P76" s="1">
        <v>1.9111</v>
      </c>
      <c r="Q76" s="1">
        <v>95.51</v>
      </c>
      <c r="R76" s="1">
        <v>74.16</v>
      </c>
      <c r="S76" s="1">
        <v>21.36</v>
      </c>
      <c r="T76" s="1">
        <v>10.15</v>
      </c>
      <c r="U76" s="1">
        <v>85.37</v>
      </c>
      <c r="V76" s="1">
        <v>103.67</v>
      </c>
      <c r="W76" s="1">
        <v>3.671</v>
      </c>
      <c r="X76" s="1">
        <v>10.62</v>
      </c>
      <c r="Y76" s="1">
        <v>104.0</v>
      </c>
      <c r="Z76" s="1">
        <v>450.0</v>
      </c>
      <c r="AA76" s="1">
        <v>4221.0</v>
      </c>
      <c r="AB76" s="1">
        <v>53.106</v>
      </c>
      <c r="AC76" s="1">
        <v>0.6518</v>
      </c>
      <c r="AD76" s="1">
        <v>9.76</v>
      </c>
      <c r="AE76" s="1">
        <v>4.0</v>
      </c>
      <c r="AF76" s="1">
        <v>8.0</v>
      </c>
      <c r="AG76" s="1">
        <v>14.0</v>
      </c>
      <c r="AH76" s="1">
        <v>21.0</v>
      </c>
      <c r="AI76" s="1">
        <v>62.47</v>
      </c>
      <c r="AJ76" s="1">
        <v>27.88</v>
      </c>
      <c r="AK76" s="1">
        <v>5.23</v>
      </c>
      <c r="AQ76" s="1">
        <v>6.0029</v>
      </c>
      <c r="AR76" s="1">
        <v>0.0868</v>
      </c>
      <c r="AS76" s="1">
        <v>5.916</v>
      </c>
      <c r="AT76" s="1">
        <v>5.9738</v>
      </c>
      <c r="AU76" s="1">
        <v>0.2115</v>
      </c>
      <c r="AV76" s="1">
        <v>5262.0</v>
      </c>
      <c r="AW76" s="1">
        <v>0.0</v>
      </c>
      <c r="AX76" s="1">
        <v>47.51</v>
      </c>
      <c r="AY76" s="1">
        <v>31.91</v>
      </c>
      <c r="AZ76" s="1">
        <v>4.34</v>
      </c>
      <c r="BA76" s="1">
        <v>10.15</v>
      </c>
      <c r="BB76" s="1">
        <v>1.61</v>
      </c>
    </row>
    <row r="77" ht="15.75" customHeight="1">
      <c r="A77" s="122">
        <v>46236.0</v>
      </c>
      <c r="B77" s="1" t="s">
        <v>9</v>
      </c>
      <c r="C77" s="1" t="s">
        <v>183</v>
      </c>
      <c r="D77" s="1">
        <v>3682.0</v>
      </c>
      <c r="E77" s="1">
        <v>16.62</v>
      </c>
      <c r="F77" s="1">
        <v>1049.97</v>
      </c>
      <c r="G77" s="1">
        <v>0.2852</v>
      </c>
      <c r="H77" s="1">
        <v>5.35</v>
      </c>
      <c r="I77" s="1">
        <v>5.3298</v>
      </c>
      <c r="J77" s="1">
        <v>80.8</v>
      </c>
      <c r="K77" s="1">
        <v>43.07</v>
      </c>
      <c r="L77" s="1">
        <v>28.73</v>
      </c>
      <c r="M77" s="1">
        <v>0.6671</v>
      </c>
      <c r="N77" s="1">
        <v>0.4942</v>
      </c>
      <c r="O77" s="1">
        <v>0.3334</v>
      </c>
      <c r="P77" s="1">
        <v>1.4991</v>
      </c>
      <c r="Q77" s="1">
        <v>168.34</v>
      </c>
      <c r="R77" s="1">
        <v>127.05</v>
      </c>
      <c r="S77" s="1">
        <v>41.29</v>
      </c>
      <c r="T77" s="1">
        <v>23.56</v>
      </c>
      <c r="U77" s="1">
        <v>144.79</v>
      </c>
      <c r="V77" s="1">
        <v>188.69</v>
      </c>
      <c r="W77" s="1">
        <v>4.3806</v>
      </c>
      <c r="X77" s="1">
        <v>13.99</v>
      </c>
      <c r="Y77" s="1">
        <v>114.0</v>
      </c>
      <c r="Z77" s="1">
        <v>579.0</v>
      </c>
      <c r="AA77" s="1">
        <v>4262.0</v>
      </c>
      <c r="AB77" s="1">
        <v>55.8879</v>
      </c>
      <c r="AC77" s="1">
        <v>0.7562</v>
      </c>
      <c r="AD77" s="1">
        <v>18.56</v>
      </c>
      <c r="AE77" s="1">
        <v>7.0</v>
      </c>
      <c r="AF77" s="1">
        <v>14.0</v>
      </c>
      <c r="AG77" s="1">
        <v>25.0</v>
      </c>
      <c r="AH77" s="1">
        <v>40.0</v>
      </c>
      <c r="AI77" s="1">
        <v>59.45</v>
      </c>
      <c r="AJ77" s="1">
        <v>24.88</v>
      </c>
      <c r="AK77" s="1">
        <v>8.8</v>
      </c>
      <c r="AQ77" s="1">
        <v>9.8726</v>
      </c>
      <c r="AR77" s="1">
        <v>0.2344</v>
      </c>
      <c r="AS77" s="1">
        <v>9.6382</v>
      </c>
      <c r="AT77" s="1">
        <v>9.7097</v>
      </c>
      <c r="AU77" s="1">
        <v>0.2254</v>
      </c>
      <c r="AV77" s="1">
        <v>3682.0</v>
      </c>
      <c r="AW77" s="1">
        <v>0.0</v>
      </c>
      <c r="AX77" s="1">
        <v>76.44</v>
      </c>
      <c r="AY77" s="1">
        <v>60.44</v>
      </c>
      <c r="AZ77" s="1">
        <v>4.49</v>
      </c>
      <c r="BA77" s="1">
        <v>23.55</v>
      </c>
      <c r="BB77" s="1">
        <v>3.42</v>
      </c>
    </row>
    <row r="78" ht="15.75" customHeight="1">
      <c r="A78" s="122">
        <v>46236.0</v>
      </c>
      <c r="B78" s="1" t="s">
        <v>9</v>
      </c>
      <c r="C78" s="1" t="s">
        <v>184</v>
      </c>
      <c r="D78" s="1">
        <v>2393.0</v>
      </c>
      <c r="E78" s="1">
        <v>10.8</v>
      </c>
      <c r="F78" s="1">
        <v>1009.88</v>
      </c>
      <c r="G78" s="1">
        <v>0.422</v>
      </c>
      <c r="H78" s="1">
        <v>5.89</v>
      </c>
      <c r="I78" s="1">
        <v>7.1623</v>
      </c>
      <c r="J78" s="1">
        <v>124.33</v>
      </c>
      <c r="K78" s="1">
        <v>72.33</v>
      </c>
      <c r="L78" s="1">
        <v>54.46</v>
      </c>
      <c r="M78" s="1">
        <v>0.7529</v>
      </c>
      <c r="N78" s="1">
        <v>0.3962</v>
      </c>
      <c r="O78" s="1">
        <v>0.2787</v>
      </c>
      <c r="P78" s="1">
        <v>1.3281</v>
      </c>
      <c r="Q78" s="1">
        <v>277.19</v>
      </c>
      <c r="R78" s="1">
        <v>195.76</v>
      </c>
      <c r="S78" s="1">
        <v>81.43</v>
      </c>
      <c r="T78" s="1">
        <v>35.79</v>
      </c>
      <c r="U78" s="1">
        <v>241.4</v>
      </c>
      <c r="V78" s="1">
        <v>292.79</v>
      </c>
      <c r="W78" s="1">
        <v>4.0479</v>
      </c>
      <c r="X78" s="1">
        <v>12.91</v>
      </c>
      <c r="Y78" s="1">
        <v>157.0</v>
      </c>
      <c r="Z78" s="1">
        <v>925.0</v>
      </c>
      <c r="AA78" s="1">
        <v>5056.0</v>
      </c>
      <c r="AB78" s="1">
        <v>58.8394</v>
      </c>
      <c r="AC78" s="1">
        <v>0.8211</v>
      </c>
      <c r="AD78" s="1">
        <v>31.96</v>
      </c>
      <c r="AE78" s="1">
        <v>12.0</v>
      </c>
      <c r="AF78" s="1">
        <v>23.0</v>
      </c>
      <c r="AG78" s="1">
        <v>45.0</v>
      </c>
      <c r="AH78" s="1">
        <v>70.0</v>
      </c>
      <c r="AI78" s="1">
        <v>42.96</v>
      </c>
      <c r="AJ78" s="1">
        <v>14.29</v>
      </c>
      <c r="AK78" s="1">
        <v>3.38</v>
      </c>
      <c r="AQ78" s="1">
        <v>15.1864</v>
      </c>
      <c r="AR78" s="1">
        <v>0.3861</v>
      </c>
      <c r="AS78" s="1">
        <v>14.8003</v>
      </c>
      <c r="AT78" s="1">
        <v>14.2486</v>
      </c>
      <c r="AU78" s="1">
        <v>0.197</v>
      </c>
      <c r="AV78" s="1">
        <v>2393.0</v>
      </c>
      <c r="AW78" s="1">
        <v>0.0</v>
      </c>
      <c r="AX78" s="1">
        <v>136.12</v>
      </c>
      <c r="AY78" s="1">
        <v>94.22</v>
      </c>
      <c r="AZ78" s="1">
        <v>4.95</v>
      </c>
      <c r="BA78" s="1">
        <v>35.79</v>
      </c>
      <c r="BB78" s="1">
        <v>6.1</v>
      </c>
    </row>
    <row r="79" ht="15.75" customHeight="1">
      <c r="A79" s="122">
        <v>46236.0</v>
      </c>
      <c r="B79" s="1" t="s">
        <v>9</v>
      </c>
      <c r="C79" s="1" t="s">
        <v>186</v>
      </c>
      <c r="D79" s="1">
        <v>331.0</v>
      </c>
      <c r="E79" s="1">
        <v>1.49</v>
      </c>
      <c r="F79" s="1">
        <v>127.76</v>
      </c>
      <c r="G79" s="1">
        <v>0.386</v>
      </c>
      <c r="H79" s="1">
        <v>6.65</v>
      </c>
      <c r="I79" s="1">
        <v>5.8073</v>
      </c>
      <c r="J79" s="1">
        <v>230.3</v>
      </c>
      <c r="K79" s="1">
        <v>145.89</v>
      </c>
      <c r="L79" s="1">
        <v>117.71</v>
      </c>
      <c r="M79" s="1">
        <v>0.8068</v>
      </c>
      <c r="N79" s="1">
        <v>0.329</v>
      </c>
      <c r="O79" s="1">
        <v>0.2558</v>
      </c>
      <c r="P79" s="1">
        <v>1.2394</v>
      </c>
      <c r="Q79" s="1">
        <v>494.41</v>
      </c>
      <c r="R79" s="1">
        <v>314.24</v>
      </c>
      <c r="S79" s="1">
        <v>180.17</v>
      </c>
      <c r="T79" s="1">
        <v>46.07</v>
      </c>
      <c r="U79" s="1">
        <v>448.34</v>
      </c>
      <c r="V79" s="1">
        <v>635.2</v>
      </c>
      <c r="W79" s="1">
        <v>4.3539</v>
      </c>
      <c r="X79" s="1">
        <v>9.32</v>
      </c>
      <c r="Y79" s="1">
        <v>282.0</v>
      </c>
      <c r="Z79" s="1">
        <v>1249.0</v>
      </c>
      <c r="AA79" s="1">
        <v>4314.0</v>
      </c>
      <c r="AB79" s="1">
        <v>61.1626</v>
      </c>
      <c r="AC79" s="1">
        <v>0.8555</v>
      </c>
      <c r="AD79" s="1">
        <v>56.09</v>
      </c>
      <c r="AE79" s="1">
        <v>17.0</v>
      </c>
      <c r="AF79" s="1">
        <v>36.0</v>
      </c>
      <c r="AG79" s="1">
        <v>82.0</v>
      </c>
      <c r="AH79" s="1">
        <v>133.0</v>
      </c>
      <c r="AI79" s="1">
        <v>25.68</v>
      </c>
      <c r="AJ79" s="1">
        <v>4.23</v>
      </c>
      <c r="AK79" s="1">
        <v>0.6</v>
      </c>
      <c r="AQ79" s="1">
        <v>28.9245</v>
      </c>
      <c r="AR79" s="1">
        <v>2.4562</v>
      </c>
      <c r="AS79" s="1">
        <v>26.4683</v>
      </c>
      <c r="AT79" s="1">
        <v>27.4592</v>
      </c>
      <c r="AU79" s="1">
        <v>0.1882</v>
      </c>
      <c r="AV79" s="1">
        <v>331.0</v>
      </c>
      <c r="AW79" s="1">
        <v>0.0</v>
      </c>
      <c r="AX79" s="1">
        <v>274.8</v>
      </c>
      <c r="AY79" s="1">
        <v>152.69</v>
      </c>
      <c r="AZ79" s="1">
        <v>6.63</v>
      </c>
      <c r="BA79" s="1">
        <v>46.07</v>
      </c>
      <c r="BB79" s="1">
        <v>14.21</v>
      </c>
    </row>
    <row r="80" ht="15.75" customHeight="1">
      <c r="A80" s="122">
        <v>46236.0</v>
      </c>
      <c r="B80" s="1" t="s">
        <v>10</v>
      </c>
      <c r="C80" s="1" t="s">
        <v>179</v>
      </c>
      <c r="D80" s="1">
        <v>3700.0</v>
      </c>
      <c r="E80" s="1">
        <v>16.63</v>
      </c>
      <c r="F80" s="1">
        <v>0.62</v>
      </c>
      <c r="G80" s="1">
        <v>2.0E-4</v>
      </c>
      <c r="H80" s="1">
        <v>0.03</v>
      </c>
      <c r="I80" s="1">
        <v>0.62</v>
      </c>
      <c r="J80" s="1">
        <v>6.86</v>
      </c>
      <c r="K80" s="1">
        <v>2.87</v>
      </c>
      <c r="L80" s="1">
        <v>0.05</v>
      </c>
      <c r="M80" s="1">
        <v>0.0167</v>
      </c>
      <c r="N80" s="1">
        <v>0.9867</v>
      </c>
      <c r="O80" s="1">
        <v>0.807</v>
      </c>
      <c r="P80" s="1">
        <v>59.9379</v>
      </c>
      <c r="Q80" s="1">
        <v>15.73</v>
      </c>
      <c r="R80" s="1">
        <v>15.7</v>
      </c>
      <c r="S80" s="1">
        <v>0.03</v>
      </c>
      <c r="T80" s="1">
        <v>0.03</v>
      </c>
      <c r="U80" s="1">
        <v>15.7</v>
      </c>
      <c r="V80" s="1">
        <v>2.11</v>
      </c>
      <c r="W80" s="1">
        <v>0.7354</v>
      </c>
      <c r="X80" s="1">
        <v>0.17</v>
      </c>
      <c r="Y80" s="1">
        <v>120.0</v>
      </c>
      <c r="Z80" s="1">
        <v>1427.0</v>
      </c>
      <c r="AA80" s="1">
        <v>10429.0</v>
      </c>
      <c r="AB80" s="1">
        <v>50.0182</v>
      </c>
      <c r="AC80" s="1">
        <v>0.5417</v>
      </c>
      <c r="AI80" s="1">
        <v>0.0</v>
      </c>
      <c r="AJ80" s="1">
        <v>0.0</v>
      </c>
      <c r="AK80" s="1">
        <v>0.0</v>
      </c>
      <c r="AM80" s="1">
        <v>0.11</v>
      </c>
      <c r="AN80" s="1">
        <v>0.11</v>
      </c>
      <c r="AO80" s="1">
        <v>0.03</v>
      </c>
      <c r="AP80" s="1">
        <v>0.0</v>
      </c>
      <c r="AQ80" s="1">
        <v>0.8414</v>
      </c>
      <c r="AR80" s="1">
        <v>0.0024</v>
      </c>
      <c r="AS80" s="1">
        <v>0.8389</v>
      </c>
      <c r="AT80" s="1">
        <v>0.4311</v>
      </c>
      <c r="AU80" s="1">
        <v>0.1503</v>
      </c>
      <c r="AV80" s="1">
        <v>3680.0</v>
      </c>
      <c r="AW80" s="1">
        <v>20.0</v>
      </c>
      <c r="AX80" s="1">
        <v>9.4</v>
      </c>
      <c r="AY80" s="1">
        <v>4.55</v>
      </c>
      <c r="AZ80" s="1">
        <v>1.56</v>
      </c>
      <c r="BA80" s="1">
        <v>0.03</v>
      </c>
      <c r="BB80" s="1">
        <v>0.18</v>
      </c>
    </row>
    <row r="81" ht="15.75" customHeight="1">
      <c r="A81" s="122">
        <v>46236.0</v>
      </c>
      <c r="B81" s="1" t="s">
        <v>10</v>
      </c>
      <c r="C81" s="1" t="s">
        <v>181</v>
      </c>
      <c r="D81" s="1">
        <v>6613.0</v>
      </c>
      <c r="E81" s="1">
        <v>29.72</v>
      </c>
      <c r="F81" s="1">
        <v>232.82</v>
      </c>
      <c r="G81" s="1">
        <v>0.0352</v>
      </c>
      <c r="H81" s="1">
        <v>1.59</v>
      </c>
      <c r="I81" s="1">
        <v>2.2173</v>
      </c>
      <c r="J81" s="1">
        <v>30.36</v>
      </c>
      <c r="K81" s="1">
        <v>14.55</v>
      </c>
      <c r="L81" s="1">
        <v>5.71</v>
      </c>
      <c r="M81" s="1">
        <v>0.3924</v>
      </c>
      <c r="N81" s="1">
        <v>0.7322</v>
      </c>
      <c r="O81" s="1">
        <v>0.5053</v>
      </c>
      <c r="P81" s="1">
        <v>2.5482</v>
      </c>
      <c r="Q81" s="1">
        <v>42.98</v>
      </c>
      <c r="R81" s="1">
        <v>39.46</v>
      </c>
      <c r="S81" s="1">
        <v>3.52</v>
      </c>
      <c r="T81" s="1">
        <v>3.11</v>
      </c>
      <c r="U81" s="1">
        <v>39.87</v>
      </c>
      <c r="V81" s="1">
        <v>48.8</v>
      </c>
      <c r="W81" s="1">
        <v>3.3565</v>
      </c>
      <c r="X81" s="1">
        <v>7.24</v>
      </c>
      <c r="Y81" s="1">
        <v>101.0</v>
      </c>
      <c r="Z81" s="1">
        <v>475.0</v>
      </c>
      <c r="AA81" s="1">
        <v>4177.0</v>
      </c>
      <c r="AB81" s="1">
        <v>49.9981</v>
      </c>
      <c r="AC81" s="1">
        <v>0.5411</v>
      </c>
      <c r="AD81" s="1">
        <v>4.01</v>
      </c>
      <c r="AE81" s="1">
        <v>1.0</v>
      </c>
      <c r="AF81" s="1">
        <v>3.0</v>
      </c>
      <c r="AG81" s="1">
        <v>5.0</v>
      </c>
      <c r="AH81" s="1">
        <v>9.0</v>
      </c>
      <c r="AI81" s="1">
        <v>72.25</v>
      </c>
      <c r="AJ81" s="1">
        <v>30.39</v>
      </c>
      <c r="AK81" s="1">
        <v>8.91</v>
      </c>
      <c r="AM81" s="1">
        <v>61.18</v>
      </c>
      <c r="AN81" s="1">
        <v>61.18</v>
      </c>
      <c r="AO81" s="1">
        <v>29.03</v>
      </c>
      <c r="AP81" s="1">
        <v>10.22</v>
      </c>
      <c r="AQ81" s="1">
        <v>2.8391</v>
      </c>
      <c r="AR81" s="1">
        <v>0.034</v>
      </c>
      <c r="AS81" s="1">
        <v>2.8051</v>
      </c>
      <c r="AT81" s="1">
        <v>3.0706</v>
      </c>
      <c r="AU81" s="1">
        <v>0.2111</v>
      </c>
      <c r="AV81" s="1">
        <v>6559.0</v>
      </c>
      <c r="AW81" s="1">
        <v>54.0</v>
      </c>
      <c r="AX81" s="1">
        <v>21.47</v>
      </c>
      <c r="AY81" s="1">
        <v>14.24</v>
      </c>
      <c r="AZ81" s="1">
        <v>3.38</v>
      </c>
      <c r="BA81" s="1">
        <v>3.11</v>
      </c>
      <c r="BB81" s="1">
        <v>0.79</v>
      </c>
    </row>
    <row r="82" ht="15.75" customHeight="1">
      <c r="A82" s="122">
        <v>46236.0</v>
      </c>
      <c r="B82" s="1" t="s">
        <v>10</v>
      </c>
      <c r="C82" s="1" t="s">
        <v>182</v>
      </c>
      <c r="D82" s="1">
        <v>5310.0</v>
      </c>
      <c r="E82" s="1">
        <v>23.86</v>
      </c>
      <c r="F82" s="1">
        <v>505.8</v>
      </c>
      <c r="G82" s="1">
        <v>0.0953</v>
      </c>
      <c r="H82" s="1">
        <v>3.09</v>
      </c>
      <c r="I82" s="1">
        <v>3.0841</v>
      </c>
      <c r="J82" s="1">
        <v>52.86</v>
      </c>
      <c r="K82" s="1">
        <v>26.21</v>
      </c>
      <c r="L82" s="1">
        <v>13.85</v>
      </c>
      <c r="M82" s="1">
        <v>0.5285</v>
      </c>
      <c r="N82" s="1">
        <v>0.6226</v>
      </c>
      <c r="O82" s="1">
        <v>0.4136</v>
      </c>
      <c r="P82" s="1">
        <v>1.8921</v>
      </c>
      <c r="Q82" s="1">
        <v>83.55</v>
      </c>
      <c r="R82" s="1">
        <v>74.72</v>
      </c>
      <c r="S82" s="1">
        <v>8.83</v>
      </c>
      <c r="T82" s="1">
        <v>8.3</v>
      </c>
      <c r="U82" s="1">
        <v>75.25</v>
      </c>
      <c r="V82" s="1">
        <v>92.7</v>
      </c>
      <c r="W82" s="1">
        <v>3.5371</v>
      </c>
      <c r="X82" s="1">
        <v>9.93</v>
      </c>
      <c r="Y82" s="1">
        <v>94.0</v>
      </c>
      <c r="Z82" s="1">
        <v>409.0</v>
      </c>
      <c r="AA82" s="1">
        <v>3400.0</v>
      </c>
      <c r="AB82" s="1">
        <v>53.0602</v>
      </c>
      <c r="AC82" s="1">
        <v>0.6485</v>
      </c>
      <c r="AD82" s="1">
        <v>9.31</v>
      </c>
      <c r="AE82" s="1">
        <v>3.0</v>
      </c>
      <c r="AF82" s="1">
        <v>7.0</v>
      </c>
      <c r="AG82" s="1">
        <v>13.0</v>
      </c>
      <c r="AH82" s="1">
        <v>20.0</v>
      </c>
      <c r="AI82" s="1">
        <v>59.11</v>
      </c>
      <c r="AJ82" s="1">
        <v>25.37</v>
      </c>
      <c r="AK82" s="1">
        <v>5.03</v>
      </c>
      <c r="AM82" s="1">
        <v>60.7</v>
      </c>
      <c r="AN82" s="1">
        <v>60.7</v>
      </c>
      <c r="AO82" s="1">
        <v>36.67</v>
      </c>
      <c r="AP82" s="1">
        <v>18.32</v>
      </c>
      <c r="AQ82" s="1">
        <v>4.8288</v>
      </c>
      <c r="AR82" s="1">
        <v>0.0766</v>
      </c>
      <c r="AS82" s="1">
        <v>4.7522</v>
      </c>
      <c r="AT82" s="1">
        <v>5.3121</v>
      </c>
      <c r="AU82" s="1">
        <v>0.2027</v>
      </c>
      <c r="AV82" s="1">
        <v>5297.0</v>
      </c>
      <c r="AW82" s="1">
        <v>13.0</v>
      </c>
      <c r="AX82" s="1">
        <v>31.1</v>
      </c>
      <c r="AY82" s="1">
        <v>38.43</v>
      </c>
      <c r="AZ82" s="1">
        <v>4.23</v>
      </c>
      <c r="BA82" s="1">
        <v>8.3</v>
      </c>
      <c r="BB82" s="1">
        <v>1.49</v>
      </c>
    </row>
    <row r="83" ht="15.75" customHeight="1">
      <c r="A83" s="122">
        <v>46236.0</v>
      </c>
      <c r="B83" s="1" t="s">
        <v>10</v>
      </c>
      <c r="C83" s="1" t="s">
        <v>183</v>
      </c>
      <c r="D83" s="1">
        <v>4007.0</v>
      </c>
      <c r="E83" s="1">
        <v>18.01</v>
      </c>
      <c r="F83" s="1">
        <v>919.9</v>
      </c>
      <c r="G83" s="1">
        <v>0.2296</v>
      </c>
      <c r="H83" s="1">
        <v>5.12</v>
      </c>
      <c r="I83" s="1">
        <v>4.4873</v>
      </c>
      <c r="J83" s="1">
        <v>77.54</v>
      </c>
      <c r="K83" s="1">
        <v>40.61</v>
      </c>
      <c r="L83" s="1">
        <v>26.51</v>
      </c>
      <c r="M83" s="1">
        <v>0.653</v>
      </c>
      <c r="N83" s="1">
        <v>0.5082</v>
      </c>
      <c r="O83" s="1">
        <v>0.3423</v>
      </c>
      <c r="P83" s="1">
        <v>1.5315</v>
      </c>
      <c r="Q83" s="1">
        <v>152.68</v>
      </c>
      <c r="R83" s="1">
        <v>135.95</v>
      </c>
      <c r="S83" s="1">
        <v>16.73</v>
      </c>
      <c r="T83" s="1">
        <v>18.98</v>
      </c>
      <c r="U83" s="1">
        <v>133.7</v>
      </c>
      <c r="V83" s="1">
        <v>164.53</v>
      </c>
      <c r="W83" s="1">
        <v>4.0531</v>
      </c>
      <c r="X83" s="1">
        <v>12.43</v>
      </c>
      <c r="Y83" s="1">
        <v>108.0</v>
      </c>
      <c r="Z83" s="1">
        <v>465.0</v>
      </c>
      <c r="AA83" s="1">
        <v>3912.0</v>
      </c>
      <c r="AB83" s="1">
        <v>55.8261</v>
      </c>
      <c r="AC83" s="1">
        <v>0.7444</v>
      </c>
      <c r="AD83" s="1">
        <v>16.95</v>
      </c>
      <c r="AE83" s="1">
        <v>7.0</v>
      </c>
      <c r="AF83" s="1">
        <v>13.0</v>
      </c>
      <c r="AG83" s="1">
        <v>23.0</v>
      </c>
      <c r="AH83" s="1">
        <v>37.0</v>
      </c>
      <c r="AI83" s="1">
        <v>57.62</v>
      </c>
      <c r="AJ83" s="1">
        <v>20.86</v>
      </c>
      <c r="AK83" s="1">
        <v>6.71</v>
      </c>
      <c r="AM83" s="1">
        <v>60.52</v>
      </c>
      <c r="AN83" s="1">
        <v>60.52</v>
      </c>
      <c r="AO83" s="1">
        <v>34.76</v>
      </c>
      <c r="AP83" s="1">
        <v>19.54</v>
      </c>
      <c r="AQ83" s="1">
        <v>6.8755</v>
      </c>
      <c r="AR83" s="1">
        <v>0.1957</v>
      </c>
      <c r="AS83" s="1">
        <v>6.6798</v>
      </c>
      <c r="AT83" s="1">
        <v>7.7427</v>
      </c>
      <c r="AU83" s="1">
        <v>0.1907</v>
      </c>
      <c r="AV83" s="1">
        <v>4002.0</v>
      </c>
      <c r="AW83" s="1">
        <v>5.0</v>
      </c>
      <c r="AX83" s="1">
        <v>47.61</v>
      </c>
      <c r="AY83" s="1">
        <v>77.78</v>
      </c>
      <c r="AZ83" s="1">
        <v>4.94</v>
      </c>
      <c r="BA83" s="1">
        <v>18.94</v>
      </c>
      <c r="BB83" s="1">
        <v>3.42</v>
      </c>
    </row>
    <row r="84" ht="15.75" customHeight="1">
      <c r="A84" s="122">
        <v>46236.0</v>
      </c>
      <c r="B84" s="1" t="s">
        <v>10</v>
      </c>
      <c r="C84" s="1" t="s">
        <v>184</v>
      </c>
      <c r="D84" s="1">
        <v>2270.0</v>
      </c>
      <c r="E84" s="1">
        <v>10.2</v>
      </c>
      <c r="F84" s="1">
        <v>1224.84</v>
      </c>
      <c r="G84" s="1">
        <v>0.5396</v>
      </c>
      <c r="H84" s="1">
        <v>6.65</v>
      </c>
      <c r="I84" s="1">
        <v>8.1115</v>
      </c>
      <c r="J84" s="1">
        <v>132.09</v>
      </c>
      <c r="K84" s="1">
        <v>76.05</v>
      </c>
      <c r="L84" s="1">
        <v>56.65</v>
      </c>
      <c r="M84" s="1">
        <v>0.745</v>
      </c>
      <c r="N84" s="1">
        <v>0.4034</v>
      </c>
      <c r="O84" s="1">
        <v>0.2854</v>
      </c>
      <c r="P84" s="1">
        <v>1.3424</v>
      </c>
      <c r="Q84" s="1">
        <v>294.11</v>
      </c>
      <c r="R84" s="1">
        <v>259.25</v>
      </c>
      <c r="S84" s="1">
        <v>34.86</v>
      </c>
      <c r="T84" s="1">
        <v>44.02</v>
      </c>
      <c r="U84" s="1">
        <v>250.09</v>
      </c>
      <c r="V84" s="1">
        <v>313.92</v>
      </c>
      <c r="W84" s="1">
        <v>4.1254</v>
      </c>
      <c r="X84" s="1">
        <v>14.97</v>
      </c>
      <c r="Y84" s="1">
        <v>142.0</v>
      </c>
      <c r="Z84" s="1">
        <v>679.0</v>
      </c>
      <c r="AA84" s="1">
        <v>4001.0</v>
      </c>
      <c r="AB84" s="1">
        <v>58.8362</v>
      </c>
      <c r="AC84" s="1">
        <v>0.8061</v>
      </c>
      <c r="AD84" s="1">
        <v>31.62</v>
      </c>
      <c r="AE84" s="1">
        <v>11.0</v>
      </c>
      <c r="AF84" s="1">
        <v>21.0</v>
      </c>
      <c r="AG84" s="1">
        <v>43.0</v>
      </c>
      <c r="AH84" s="1">
        <v>72.0</v>
      </c>
      <c r="AI84" s="1">
        <v>39.78</v>
      </c>
      <c r="AJ84" s="1">
        <v>14.85</v>
      </c>
      <c r="AK84" s="1">
        <v>3.96</v>
      </c>
      <c r="AM84" s="1">
        <v>57.05</v>
      </c>
      <c r="AN84" s="1">
        <v>57.05</v>
      </c>
      <c r="AO84" s="1">
        <v>33.7</v>
      </c>
      <c r="AP84" s="1">
        <v>19.21</v>
      </c>
      <c r="AQ84" s="1">
        <v>9.7877</v>
      </c>
      <c r="AR84" s="1">
        <v>0.548</v>
      </c>
      <c r="AS84" s="1">
        <v>9.2396</v>
      </c>
      <c r="AT84" s="1">
        <v>11.404</v>
      </c>
      <c r="AU84" s="1">
        <v>0.15</v>
      </c>
      <c r="AV84" s="1">
        <v>2266.0</v>
      </c>
      <c r="AW84" s="1">
        <v>4.0</v>
      </c>
      <c r="AX84" s="1">
        <v>84.43</v>
      </c>
      <c r="AY84" s="1">
        <v>153.32</v>
      </c>
      <c r="AZ84" s="1">
        <v>6.01</v>
      </c>
      <c r="BA84" s="1">
        <v>44.02</v>
      </c>
      <c r="BB84" s="1">
        <v>6.34</v>
      </c>
    </row>
    <row r="85" ht="15.75" customHeight="1">
      <c r="A85" s="122">
        <v>46236.0</v>
      </c>
      <c r="B85" s="1" t="s">
        <v>10</v>
      </c>
      <c r="C85" s="1" t="s">
        <v>186</v>
      </c>
      <c r="D85" s="1">
        <v>354.0</v>
      </c>
      <c r="E85" s="1">
        <v>1.59</v>
      </c>
      <c r="F85" s="1">
        <v>181.17</v>
      </c>
      <c r="G85" s="1">
        <v>0.5118</v>
      </c>
      <c r="H85" s="1">
        <v>6.21</v>
      </c>
      <c r="I85" s="1">
        <v>8.235</v>
      </c>
      <c r="J85" s="1">
        <v>243.42</v>
      </c>
      <c r="K85" s="1">
        <v>151.65</v>
      </c>
      <c r="L85" s="1">
        <v>122.07</v>
      </c>
      <c r="M85" s="1">
        <v>0.8049</v>
      </c>
      <c r="N85" s="1">
        <v>0.33</v>
      </c>
      <c r="O85" s="1">
        <v>0.2509</v>
      </c>
      <c r="P85" s="1">
        <v>1.2423</v>
      </c>
      <c r="Q85" s="1">
        <v>487.11</v>
      </c>
      <c r="R85" s="1">
        <v>413.94</v>
      </c>
      <c r="S85" s="1">
        <v>73.16</v>
      </c>
      <c r="T85" s="1">
        <v>42.49</v>
      </c>
      <c r="U85" s="1">
        <v>444.61</v>
      </c>
      <c r="V85" s="1">
        <v>505.75</v>
      </c>
      <c r="W85" s="1">
        <v>3.3517</v>
      </c>
      <c r="X85" s="1">
        <v>8.72</v>
      </c>
      <c r="Y85" s="1">
        <v>245.0</v>
      </c>
      <c r="Z85" s="1">
        <v>1133.0</v>
      </c>
      <c r="AA85" s="1">
        <v>6046.0</v>
      </c>
      <c r="AB85" s="1">
        <v>61.6161</v>
      </c>
      <c r="AC85" s="1">
        <v>0.832</v>
      </c>
      <c r="AD85" s="1">
        <v>54.93</v>
      </c>
      <c r="AE85" s="1">
        <v>18.0</v>
      </c>
      <c r="AF85" s="1">
        <v>33.0</v>
      </c>
      <c r="AG85" s="1">
        <v>74.0</v>
      </c>
      <c r="AH85" s="1">
        <v>128.0</v>
      </c>
      <c r="AI85" s="1">
        <v>24.01</v>
      </c>
      <c r="AJ85" s="1">
        <v>5.08</v>
      </c>
      <c r="AK85" s="1">
        <v>1.13</v>
      </c>
      <c r="AM85" s="1">
        <v>53.11</v>
      </c>
      <c r="AN85" s="1">
        <v>53.11</v>
      </c>
      <c r="AO85" s="1">
        <v>28.53</v>
      </c>
      <c r="AP85" s="1">
        <v>17.51</v>
      </c>
      <c r="AQ85" s="1">
        <v>16.0339</v>
      </c>
      <c r="AR85" s="1">
        <v>0.6412</v>
      </c>
      <c r="AS85" s="1">
        <v>15.3927</v>
      </c>
      <c r="AT85" s="1">
        <v>18.6695</v>
      </c>
      <c r="AU85" s="1">
        <v>0.1231</v>
      </c>
      <c r="AV85" s="1">
        <v>313.0</v>
      </c>
      <c r="AW85" s="1">
        <v>41.0</v>
      </c>
      <c r="AX85" s="1">
        <v>160.89</v>
      </c>
      <c r="AY85" s="1">
        <v>261.95</v>
      </c>
      <c r="AZ85" s="1">
        <v>6.12</v>
      </c>
      <c r="BA85" s="1">
        <v>42.49</v>
      </c>
      <c r="BB85" s="1">
        <v>15.65</v>
      </c>
    </row>
    <row r="86" ht="15.75" customHeight="1">
      <c r="A86" s="122"/>
    </row>
    <row r="87" ht="15.75" customHeight="1">
      <c r="A87" s="122"/>
    </row>
    <row r="88" ht="15.75" customHeight="1">
      <c r="A88" s="122"/>
    </row>
    <row r="89" ht="15.75" customHeight="1">
      <c r="A89" s="122"/>
    </row>
    <row r="90" ht="15.75" customHeight="1">
      <c r="A90" s="122"/>
    </row>
    <row r="91" ht="15.75" customHeight="1">
      <c r="A91" s="122"/>
    </row>
    <row r="92" ht="15.75" customHeight="1">
      <c r="A92" s="122"/>
    </row>
    <row r="93" ht="15.75" customHeight="1">
      <c r="A93" s="122"/>
    </row>
    <row r="94" ht="15.75" customHeight="1">
      <c r="A94" s="122"/>
    </row>
    <row r="95" ht="15.75" customHeight="1">
      <c r="A95" s="122"/>
    </row>
    <row r="96" ht="15.75" customHeight="1">
      <c r="A96" s="122"/>
    </row>
    <row r="97" ht="15.75" customHeight="1">
      <c r="A97" s="122"/>
    </row>
    <row r="98" ht="15.75" customHeight="1">
      <c r="A98" s="122"/>
    </row>
    <row r="99" ht="15.75" customHeight="1">
      <c r="A99" s="122"/>
    </row>
    <row r="100" ht="15.75" customHeight="1">
      <c r="A100" s="122"/>
    </row>
    <row r="101" ht="15.75" customHeight="1">
      <c r="A101" s="122"/>
    </row>
    <row r="102" ht="15.75" customHeight="1">
      <c r="A102" s="122"/>
    </row>
    <row r="103" ht="15.75" customHeight="1">
      <c r="A103" s="122"/>
    </row>
    <row r="104" ht="15.75" customHeight="1">
      <c r="A104" s="122"/>
    </row>
    <row r="105" ht="15.75" customHeight="1">
      <c r="A105" s="122"/>
    </row>
    <row r="106" ht="15.75" customHeight="1">
      <c r="A106" s="122"/>
    </row>
    <row r="107" ht="15.75" customHeight="1">
      <c r="A107" s="122"/>
    </row>
    <row r="108" ht="15.75" customHeight="1">
      <c r="A108" s="122"/>
    </row>
    <row r="109" ht="15.75" customHeight="1">
      <c r="A109" s="122"/>
    </row>
    <row r="110" ht="15.75" customHeight="1">
      <c r="A110" s="122"/>
    </row>
    <row r="111" ht="15.75" customHeight="1">
      <c r="A111" s="122"/>
    </row>
    <row r="112" ht="15.75" customHeight="1">
      <c r="A112" s="122"/>
    </row>
    <row r="113" ht="15.75" customHeight="1">
      <c r="A113" s="122"/>
    </row>
    <row r="114" ht="15.75" customHeight="1">
      <c r="A114" s="122"/>
    </row>
    <row r="115" ht="15.75" customHeight="1">
      <c r="A115" s="122"/>
    </row>
    <row r="116" ht="15.75" customHeight="1">
      <c r="A116" s="122"/>
    </row>
    <row r="117" ht="15.75" customHeight="1">
      <c r="A117" s="122"/>
    </row>
    <row r="118" ht="15.75" customHeight="1">
      <c r="A118" s="122"/>
    </row>
    <row r="119" ht="15.75" customHeight="1">
      <c r="A119" s="122"/>
    </row>
    <row r="120" ht="15.75" customHeight="1">
      <c r="A120" s="122"/>
    </row>
    <row r="121" ht="15.75" customHeight="1">
      <c r="A121" s="122"/>
    </row>
    <row r="122" ht="15.75" customHeight="1">
      <c r="A122" s="122"/>
    </row>
    <row r="123" ht="15.75" customHeight="1">
      <c r="A123" s="122"/>
    </row>
    <row r="124" ht="15.75" customHeight="1">
      <c r="A124" s="122"/>
    </row>
    <row r="125" ht="15.75" customHeight="1">
      <c r="A125" s="122"/>
    </row>
    <row r="126" ht="15.75" customHeight="1">
      <c r="A126" s="122"/>
    </row>
    <row r="127" ht="15.75" customHeight="1">
      <c r="A127" s="122"/>
    </row>
    <row r="128" ht="15.75" customHeight="1">
      <c r="A128" s="122"/>
    </row>
    <row r="129" ht="15.75" customHeight="1">
      <c r="A129" s="122"/>
    </row>
    <row r="130" ht="15.75" customHeight="1">
      <c r="A130" s="122"/>
    </row>
    <row r="131" ht="15.75" customHeight="1">
      <c r="A131" s="122"/>
    </row>
    <row r="132" ht="15.75" customHeight="1">
      <c r="A132" s="122"/>
    </row>
    <row r="133" ht="15.75" customHeight="1">
      <c r="A133" s="122"/>
    </row>
    <row r="134" ht="15.75" customHeight="1">
      <c r="A134" s="122"/>
    </row>
    <row r="135" ht="15.75" customHeight="1">
      <c r="A135" s="122"/>
    </row>
    <row r="136" ht="15.75" customHeight="1">
      <c r="A136" s="122"/>
    </row>
    <row r="137" ht="15.75" customHeight="1">
      <c r="A137" s="122"/>
    </row>
    <row r="138" ht="15.75" customHeight="1">
      <c r="A138" s="122"/>
    </row>
    <row r="139" ht="15.75" customHeight="1">
      <c r="A139" s="122"/>
    </row>
    <row r="140" ht="15.75" customHeight="1">
      <c r="A140" s="122"/>
    </row>
    <row r="141" ht="15.75" customHeight="1">
      <c r="A141" s="122"/>
    </row>
    <row r="142" ht="15.75" customHeight="1">
      <c r="A142" s="122"/>
    </row>
    <row r="143" ht="15.75" customHeight="1">
      <c r="A143" s="122"/>
    </row>
    <row r="144" ht="15.75" customHeight="1">
      <c r="A144" s="122"/>
    </row>
    <row r="145" ht="15.75" customHeight="1">
      <c r="A145" s="122"/>
    </row>
    <row r="146" ht="15.75" customHeight="1">
      <c r="A146" s="122"/>
    </row>
    <row r="147" ht="15.75" customHeight="1">
      <c r="A147" s="122"/>
    </row>
    <row r="148" ht="15.75" customHeight="1">
      <c r="A148" s="122"/>
    </row>
    <row r="149" ht="15.75" customHeight="1">
      <c r="A149" s="122"/>
    </row>
    <row r="150" ht="15.75" customHeight="1">
      <c r="A150" s="122"/>
    </row>
    <row r="151" ht="15.75" customHeight="1">
      <c r="A151" s="122"/>
    </row>
    <row r="152" ht="15.75" customHeight="1">
      <c r="A152" s="122"/>
    </row>
    <row r="153" ht="15.75" customHeight="1">
      <c r="A153" s="122"/>
    </row>
    <row r="154" ht="15.75" customHeight="1">
      <c r="A154" s="122"/>
    </row>
    <row r="155" ht="15.75" customHeight="1">
      <c r="A155" s="122"/>
    </row>
    <row r="156" ht="15.75" customHeight="1">
      <c r="A156" s="122"/>
    </row>
    <row r="157" ht="15.75" customHeight="1">
      <c r="A157" s="122"/>
    </row>
    <row r="158" ht="15.75" customHeight="1">
      <c r="A158" s="122"/>
    </row>
    <row r="159" ht="15.75" customHeight="1">
      <c r="A159" s="122"/>
    </row>
    <row r="160" ht="15.75" customHeight="1">
      <c r="A160" s="122"/>
    </row>
    <row r="161" ht="15.75" customHeight="1">
      <c r="A161" s="122"/>
    </row>
    <row r="162" ht="15.75" customHeight="1">
      <c r="A162" s="122"/>
    </row>
    <row r="163" ht="15.75" customHeight="1">
      <c r="A163" s="122"/>
    </row>
    <row r="164" ht="15.75" customHeight="1">
      <c r="A164" s="122"/>
    </row>
    <row r="165" ht="15.75" customHeight="1">
      <c r="A165" s="122"/>
    </row>
    <row r="166" ht="15.75" customHeight="1">
      <c r="A166" s="122"/>
    </row>
    <row r="167" ht="15.75" customHeight="1">
      <c r="A167" s="122"/>
    </row>
    <row r="168" ht="15.75" customHeight="1">
      <c r="A168" s="122"/>
    </row>
    <row r="169" ht="15.75" customHeight="1">
      <c r="A169" s="122"/>
    </row>
    <row r="170" ht="15.75" customHeight="1">
      <c r="A170" s="122"/>
    </row>
    <row r="171" ht="15.75" customHeight="1">
      <c r="A171" s="122"/>
    </row>
    <row r="172" ht="15.75" customHeight="1">
      <c r="A172" s="122"/>
    </row>
    <row r="173" ht="15.75" customHeight="1">
      <c r="A173" s="122"/>
    </row>
    <row r="174" ht="15.75" customHeight="1">
      <c r="A174" s="122"/>
    </row>
    <row r="175" ht="15.75" customHeight="1">
      <c r="A175" s="122"/>
    </row>
    <row r="176" ht="15.75" customHeight="1">
      <c r="A176" s="122"/>
    </row>
    <row r="177" ht="15.75" customHeight="1">
      <c r="A177" s="122"/>
    </row>
    <row r="178" ht="15.75" customHeight="1">
      <c r="A178" s="122"/>
    </row>
    <row r="179" ht="15.75" customHeight="1">
      <c r="A179" s="122"/>
    </row>
    <row r="180" ht="15.75" customHeight="1">
      <c r="A180" s="122"/>
    </row>
    <row r="181" ht="15.75" customHeight="1">
      <c r="A181" s="122"/>
    </row>
    <row r="182" ht="15.75" customHeight="1">
      <c r="A182" s="122"/>
    </row>
    <row r="183" ht="15.75" customHeight="1">
      <c r="A183" s="122"/>
    </row>
    <row r="184" ht="15.75" customHeight="1">
      <c r="A184" s="122"/>
    </row>
    <row r="185" ht="15.75" customHeight="1">
      <c r="A185" s="122"/>
    </row>
    <row r="186" ht="15.75" customHeight="1">
      <c r="A186" s="122"/>
    </row>
    <row r="187" ht="15.75" customHeight="1">
      <c r="A187" s="122"/>
    </row>
    <row r="188" ht="15.75" customHeight="1">
      <c r="A188" s="122"/>
    </row>
    <row r="189" ht="15.75" customHeight="1">
      <c r="A189" s="122"/>
    </row>
    <row r="190" ht="15.75" customHeight="1">
      <c r="A190" s="122"/>
    </row>
    <row r="191" ht="15.75" customHeight="1">
      <c r="A191" s="122"/>
    </row>
    <row r="192" ht="15.75" customHeight="1">
      <c r="A192" s="122"/>
    </row>
    <row r="193" ht="15.75" customHeight="1">
      <c r="A193" s="122"/>
    </row>
    <row r="194" ht="15.75" customHeight="1">
      <c r="A194" s="122"/>
    </row>
    <row r="195" ht="15.75" customHeight="1">
      <c r="A195" s="122"/>
    </row>
    <row r="196" ht="15.75" customHeight="1">
      <c r="A196" s="122"/>
    </row>
    <row r="197" ht="15.75" customHeight="1">
      <c r="A197" s="122"/>
    </row>
    <row r="198" ht="15.75" customHeight="1">
      <c r="A198" s="122"/>
    </row>
    <row r="199" ht="15.75" customHeight="1">
      <c r="A199" s="122"/>
    </row>
    <row r="200" ht="15.75" customHeight="1">
      <c r="A200" s="122"/>
    </row>
    <row r="201" ht="15.75" customHeight="1">
      <c r="A201" s="122"/>
    </row>
    <row r="202" ht="15.75" customHeight="1">
      <c r="A202" s="122"/>
    </row>
    <row r="203" ht="15.75" customHeight="1">
      <c r="A203" s="122"/>
    </row>
    <row r="204" ht="15.75" customHeight="1">
      <c r="A204" s="122"/>
    </row>
    <row r="205" ht="15.75" customHeight="1">
      <c r="A205" s="122"/>
    </row>
    <row r="206" ht="15.75" customHeight="1">
      <c r="A206" s="122"/>
    </row>
    <row r="207" ht="15.75" customHeight="1">
      <c r="A207" s="122"/>
    </row>
    <row r="208" ht="15.75" customHeight="1">
      <c r="A208" s="122"/>
    </row>
    <row r="209" ht="15.75" customHeight="1">
      <c r="A209" s="122"/>
    </row>
    <row r="210" ht="15.75" customHeight="1">
      <c r="A210" s="122"/>
    </row>
    <row r="211" ht="15.75" customHeight="1">
      <c r="A211" s="122"/>
    </row>
    <row r="212" ht="15.75" customHeight="1">
      <c r="A212" s="122"/>
    </row>
    <row r="213" ht="15.75" customHeight="1">
      <c r="A213" s="122"/>
    </row>
    <row r="214" ht="15.75" customHeight="1">
      <c r="A214" s="122"/>
    </row>
    <row r="215" ht="15.75" customHeight="1">
      <c r="A215" s="122"/>
    </row>
    <row r="216" ht="15.75" customHeight="1">
      <c r="A216" s="122"/>
    </row>
    <row r="217" ht="15.75" customHeight="1">
      <c r="A217" s="122"/>
    </row>
    <row r="218" ht="15.75" customHeight="1">
      <c r="A218" s="122"/>
    </row>
    <row r="219" ht="15.75" customHeight="1">
      <c r="A219" s="122"/>
    </row>
    <row r="220" ht="15.75" customHeight="1">
      <c r="A220" s="122"/>
    </row>
    <row r="221" ht="15.75" customHeight="1">
      <c r="A221" s="122"/>
    </row>
    <row r="222" ht="15.75" customHeight="1">
      <c r="A222" s="122"/>
    </row>
    <row r="223" ht="15.75" customHeight="1">
      <c r="A223" s="122"/>
    </row>
    <row r="224" ht="15.75" customHeight="1">
      <c r="A224" s="122"/>
    </row>
    <row r="225" ht="15.75" customHeight="1">
      <c r="A225" s="122"/>
    </row>
    <row r="226" ht="15.75" customHeight="1">
      <c r="A226" s="122"/>
    </row>
    <row r="227" ht="15.75" customHeight="1">
      <c r="A227" s="122"/>
    </row>
    <row r="228" ht="15.75" customHeight="1">
      <c r="A228" s="122"/>
    </row>
    <row r="229" ht="15.75" customHeight="1">
      <c r="A229" s="122"/>
    </row>
    <row r="230" ht="15.75" customHeight="1">
      <c r="A230" s="122"/>
    </row>
    <row r="231" ht="15.75" customHeight="1">
      <c r="A231" s="122"/>
    </row>
    <row r="232" ht="15.75" customHeight="1">
      <c r="A232" s="122"/>
    </row>
    <row r="233" ht="15.75" customHeight="1">
      <c r="A233" s="122"/>
    </row>
    <row r="234" ht="15.75" customHeight="1">
      <c r="A234" s="122"/>
    </row>
    <row r="235" ht="15.75" customHeight="1">
      <c r="A235" s="122"/>
    </row>
    <row r="236" ht="15.75" customHeight="1">
      <c r="A236" s="122"/>
    </row>
    <row r="237" ht="15.75" customHeight="1">
      <c r="A237" s="122"/>
    </row>
    <row r="238" ht="15.75" customHeight="1">
      <c r="A238" s="122"/>
    </row>
    <row r="239" ht="15.75" customHeight="1">
      <c r="A239" s="122"/>
    </row>
    <row r="240" ht="15.75" customHeight="1">
      <c r="A240" s="122"/>
    </row>
    <row r="241" ht="15.75" customHeight="1">
      <c r="A241" s="122"/>
    </row>
    <row r="242" ht="15.75" customHeight="1">
      <c r="A242" s="122"/>
    </row>
    <row r="243" ht="15.75" customHeight="1">
      <c r="A243" s="122"/>
    </row>
    <row r="244" ht="15.75" customHeight="1">
      <c r="A244" s="122"/>
    </row>
    <row r="245" ht="15.75" customHeight="1">
      <c r="A245" s="122"/>
    </row>
    <row r="246" ht="15.75" customHeight="1">
      <c r="A246" s="122"/>
    </row>
    <row r="247" ht="15.75" customHeight="1">
      <c r="A247" s="122"/>
    </row>
    <row r="248" ht="15.75" customHeight="1">
      <c r="A248" s="122"/>
    </row>
    <row r="249" ht="15.75" customHeight="1">
      <c r="A249" s="122"/>
    </row>
    <row r="250" ht="15.75" customHeight="1">
      <c r="A250" s="122"/>
    </row>
    <row r="251" ht="15.75" customHeight="1">
      <c r="A251" s="122"/>
    </row>
    <row r="252" ht="15.75" customHeight="1">
      <c r="A252" s="122"/>
    </row>
    <row r="253" ht="15.75" customHeight="1">
      <c r="A253" s="122"/>
    </row>
    <row r="254" ht="15.75" customHeight="1">
      <c r="A254" s="122"/>
    </row>
    <row r="255" ht="15.75" customHeight="1">
      <c r="A255" s="122"/>
    </row>
    <row r="256" ht="15.75" customHeight="1">
      <c r="A256" s="122"/>
    </row>
    <row r="257" ht="15.75" customHeight="1">
      <c r="A257" s="122"/>
    </row>
    <row r="258" ht="15.75" customHeight="1">
      <c r="A258" s="122"/>
    </row>
    <row r="259" ht="15.75" customHeight="1">
      <c r="A259" s="122"/>
    </row>
    <row r="260" ht="15.75" customHeight="1">
      <c r="A260" s="122"/>
    </row>
    <row r="261" ht="15.75" customHeight="1">
      <c r="A261" s="122"/>
    </row>
    <row r="262" ht="15.75" customHeight="1">
      <c r="A262" s="122"/>
    </row>
    <row r="263" ht="15.75" customHeight="1">
      <c r="A263" s="122"/>
    </row>
    <row r="264" ht="15.75" customHeight="1">
      <c r="A264" s="122"/>
    </row>
    <row r="265" ht="15.75" customHeight="1">
      <c r="A265" s="122"/>
    </row>
    <row r="266" ht="15.75" customHeight="1">
      <c r="A266" s="122"/>
    </row>
    <row r="267" ht="15.75" customHeight="1">
      <c r="A267" s="122"/>
    </row>
    <row r="268" ht="15.75" customHeight="1">
      <c r="A268" s="122"/>
    </row>
    <row r="269" ht="15.75" customHeight="1">
      <c r="A269" s="122"/>
    </row>
    <row r="270" ht="15.75" customHeight="1">
      <c r="A270" s="122"/>
    </row>
    <row r="271" ht="15.75" customHeight="1">
      <c r="A271" s="122"/>
    </row>
    <row r="272" ht="15.75" customHeight="1">
      <c r="A272" s="122"/>
    </row>
    <row r="273" ht="15.75" customHeight="1">
      <c r="A273" s="122"/>
    </row>
    <row r="274" ht="15.75" customHeight="1">
      <c r="A274" s="122"/>
    </row>
    <row r="275" ht="15.75" customHeight="1">
      <c r="A275" s="122"/>
    </row>
    <row r="276" ht="15.75" customHeight="1">
      <c r="A276" s="122"/>
    </row>
    <row r="277" ht="15.75" customHeight="1">
      <c r="A277" s="122"/>
    </row>
    <row r="278" ht="15.75" customHeight="1">
      <c r="A278" s="122"/>
    </row>
    <row r="279" ht="15.75" customHeight="1">
      <c r="A279" s="122"/>
    </row>
    <row r="280" ht="15.75" customHeight="1">
      <c r="A280" s="122"/>
    </row>
    <row r="281" ht="15.75" customHeight="1">
      <c r="A281" s="122"/>
    </row>
    <row r="282" ht="15.75" customHeight="1">
      <c r="A282" s="122"/>
    </row>
    <row r="283" ht="15.75" customHeight="1">
      <c r="A283" s="122"/>
    </row>
    <row r="284" ht="15.75" customHeight="1">
      <c r="A284" s="122"/>
    </row>
    <row r="285" ht="15.75" customHeight="1">
      <c r="A285" s="122"/>
    </row>
    <row r="286" ht="15.75" customHeight="1">
      <c r="A286" s="122"/>
    </row>
    <row r="287" ht="15.75" customHeight="1">
      <c r="A287" s="122"/>
    </row>
    <row r="288" ht="15.75" customHeight="1">
      <c r="A288" s="122"/>
    </row>
    <row r="289" ht="15.75" customHeight="1">
      <c r="A289" s="122"/>
    </row>
    <row r="290" ht="15.75" customHeight="1">
      <c r="A290" s="122"/>
    </row>
    <row r="291" ht="15.75" customHeight="1">
      <c r="A291" s="122"/>
    </row>
    <row r="292" ht="15.75" customHeight="1">
      <c r="A292" s="122"/>
    </row>
    <row r="293" ht="15.75" customHeight="1">
      <c r="A293" s="122"/>
    </row>
    <row r="294" ht="15.75" customHeight="1">
      <c r="A294" s="122"/>
    </row>
    <row r="295" ht="15.75" customHeight="1">
      <c r="A295" s="122"/>
    </row>
    <row r="296" ht="15.75" customHeight="1">
      <c r="A296" s="122"/>
    </row>
    <row r="297" ht="15.75" customHeight="1">
      <c r="A297" s="122"/>
    </row>
    <row r="298" ht="15.75" customHeight="1">
      <c r="A298" s="122"/>
    </row>
    <row r="299" ht="15.75" customHeight="1">
      <c r="A299" s="122"/>
    </row>
    <row r="300" ht="15.75" customHeight="1">
      <c r="A300" s="122"/>
    </row>
    <row r="301" ht="15.75" customHeight="1">
      <c r="A301" s="122"/>
    </row>
    <row r="302" ht="15.75" customHeight="1">
      <c r="A302" s="122"/>
    </row>
    <row r="303" ht="15.75" customHeight="1">
      <c r="A303" s="122"/>
    </row>
    <row r="304" ht="15.75" customHeight="1">
      <c r="A304" s="122"/>
    </row>
    <row r="305" ht="15.75" customHeight="1">
      <c r="A305" s="122"/>
    </row>
    <row r="306" ht="15.75" customHeight="1">
      <c r="A306" s="122"/>
    </row>
    <row r="307" ht="15.75" customHeight="1">
      <c r="A307" s="122"/>
    </row>
    <row r="308" ht="15.75" customHeight="1">
      <c r="A308" s="122"/>
    </row>
    <row r="309" ht="15.75" customHeight="1">
      <c r="A309" s="122"/>
    </row>
    <row r="310" ht="15.75" customHeight="1">
      <c r="A310" s="122"/>
    </row>
    <row r="311" ht="15.75" customHeight="1">
      <c r="A311" s="122"/>
    </row>
    <row r="312" ht="15.75" customHeight="1">
      <c r="A312" s="122"/>
    </row>
    <row r="313" ht="15.75" customHeight="1">
      <c r="A313" s="122"/>
    </row>
    <row r="314" ht="15.75" customHeight="1">
      <c r="A314" s="122"/>
    </row>
    <row r="315" ht="15.75" customHeight="1">
      <c r="A315" s="122"/>
    </row>
    <row r="316" ht="15.75" customHeight="1">
      <c r="A316" s="122"/>
    </row>
    <row r="317" ht="15.75" customHeight="1">
      <c r="A317" s="122"/>
    </row>
    <row r="318" ht="15.75" customHeight="1">
      <c r="A318" s="122"/>
    </row>
    <row r="319" ht="15.75" customHeight="1">
      <c r="A319" s="122"/>
    </row>
    <row r="320" ht="15.75" customHeight="1">
      <c r="A320" s="122"/>
    </row>
    <row r="321" ht="15.75" customHeight="1">
      <c r="A321" s="122"/>
    </row>
    <row r="322" ht="15.75" customHeight="1">
      <c r="A322" s="122"/>
    </row>
    <row r="323" ht="15.75" customHeight="1">
      <c r="A323" s="122"/>
    </row>
    <row r="324" ht="15.75" customHeight="1">
      <c r="A324" s="122"/>
    </row>
    <row r="325" ht="15.75" customHeight="1">
      <c r="A325" s="122"/>
    </row>
    <row r="326" ht="15.75" customHeight="1">
      <c r="A326" s="122"/>
    </row>
    <row r="327" ht="15.75" customHeight="1">
      <c r="A327" s="122"/>
    </row>
    <row r="328" ht="15.75" customHeight="1">
      <c r="A328" s="122"/>
    </row>
    <row r="329" ht="15.75" customHeight="1">
      <c r="A329" s="122"/>
    </row>
    <row r="330" ht="15.75" customHeight="1">
      <c r="A330" s="122"/>
    </row>
    <row r="331" ht="15.75" customHeight="1">
      <c r="A331" s="122"/>
    </row>
    <row r="332" ht="15.75" customHeight="1">
      <c r="A332" s="122"/>
    </row>
    <row r="333" ht="15.75" customHeight="1">
      <c r="A333" s="122"/>
    </row>
    <row r="334" ht="15.75" customHeight="1">
      <c r="A334" s="122"/>
    </row>
    <row r="335" ht="15.75" customHeight="1">
      <c r="A335" s="122"/>
    </row>
    <row r="336" ht="15.75" customHeight="1">
      <c r="A336" s="122"/>
    </row>
    <row r="337" ht="15.75" customHeight="1">
      <c r="A337" s="122"/>
    </row>
    <row r="338" ht="15.75" customHeight="1">
      <c r="A338" s="122"/>
    </row>
    <row r="339" ht="15.75" customHeight="1">
      <c r="A339" s="122"/>
    </row>
    <row r="340" ht="15.75" customHeight="1">
      <c r="A340" s="122"/>
    </row>
    <row r="341" ht="15.75" customHeight="1">
      <c r="A341" s="122"/>
    </row>
    <row r="342" ht="15.75" customHeight="1">
      <c r="A342" s="122"/>
    </row>
    <row r="343" ht="15.75" customHeight="1">
      <c r="A343" s="122"/>
    </row>
    <row r="344" ht="15.75" customHeight="1">
      <c r="A344" s="122"/>
    </row>
    <row r="345" ht="15.75" customHeight="1">
      <c r="A345" s="122"/>
    </row>
    <row r="346" ht="15.75" customHeight="1">
      <c r="A346" s="122"/>
    </row>
    <row r="347" ht="15.75" customHeight="1">
      <c r="A347" s="122"/>
    </row>
    <row r="348" ht="15.75" customHeight="1">
      <c r="A348" s="122"/>
    </row>
    <row r="349" ht="15.75" customHeight="1">
      <c r="A349" s="122"/>
    </row>
    <row r="350" ht="15.75" customHeight="1">
      <c r="A350" s="122"/>
    </row>
    <row r="351" ht="15.75" customHeight="1">
      <c r="A351" s="122"/>
    </row>
    <row r="352" ht="15.75" customHeight="1">
      <c r="A352" s="122"/>
    </row>
    <row r="353" ht="15.75" customHeight="1">
      <c r="A353" s="122"/>
    </row>
    <row r="354" ht="15.75" customHeight="1">
      <c r="A354" s="122"/>
    </row>
    <row r="355" ht="15.75" customHeight="1">
      <c r="A355" s="122"/>
    </row>
    <row r="356" ht="15.75" customHeight="1">
      <c r="A356" s="122"/>
    </row>
    <row r="357" ht="15.75" customHeight="1">
      <c r="A357" s="122"/>
    </row>
    <row r="358" ht="15.75" customHeight="1">
      <c r="A358" s="122"/>
    </row>
    <row r="359" ht="15.75" customHeight="1">
      <c r="A359" s="122"/>
    </row>
    <row r="360" ht="15.75" customHeight="1">
      <c r="A360" s="122"/>
    </row>
    <row r="361" ht="15.75" customHeight="1">
      <c r="A361" s="122"/>
    </row>
    <row r="362" ht="15.75" customHeight="1">
      <c r="A362" s="122"/>
    </row>
    <row r="363" ht="15.75" customHeight="1">
      <c r="A363" s="122"/>
    </row>
    <row r="364" ht="15.75" customHeight="1">
      <c r="A364" s="122"/>
    </row>
    <row r="365" ht="15.75" customHeight="1">
      <c r="A365" s="122"/>
    </row>
    <row r="366" ht="15.75" customHeight="1">
      <c r="A366" s="122"/>
    </row>
    <row r="367" ht="15.75" customHeight="1">
      <c r="A367" s="122"/>
    </row>
    <row r="368" ht="15.75" customHeight="1">
      <c r="A368" s="122"/>
    </row>
    <row r="369" ht="15.75" customHeight="1">
      <c r="A369" s="122"/>
    </row>
    <row r="370" ht="15.75" customHeight="1">
      <c r="A370" s="122"/>
    </row>
    <row r="371" ht="15.75" customHeight="1">
      <c r="A371" s="122"/>
    </row>
    <row r="372" ht="15.75" customHeight="1">
      <c r="A372" s="122"/>
    </row>
    <row r="373" ht="15.75" customHeight="1">
      <c r="A373" s="122"/>
    </row>
    <row r="374" ht="15.75" customHeight="1">
      <c r="A374" s="122"/>
    </row>
    <row r="375" ht="15.75" customHeight="1">
      <c r="A375" s="122"/>
    </row>
    <row r="376" ht="15.75" customHeight="1">
      <c r="A376" s="122"/>
    </row>
    <row r="377" ht="15.75" customHeight="1">
      <c r="A377" s="122"/>
    </row>
    <row r="378" ht="15.75" customHeight="1">
      <c r="A378" s="122"/>
    </row>
    <row r="379" ht="15.75" customHeight="1">
      <c r="A379" s="122"/>
    </row>
    <row r="380" ht="15.75" customHeight="1">
      <c r="A380" s="122"/>
    </row>
    <row r="381" ht="15.75" customHeight="1">
      <c r="A381" s="122"/>
    </row>
    <row r="382" ht="15.75" customHeight="1">
      <c r="A382" s="122"/>
    </row>
    <row r="383" ht="15.75" customHeight="1">
      <c r="A383" s="122"/>
    </row>
    <row r="384" ht="15.75" customHeight="1">
      <c r="A384" s="122"/>
    </row>
    <row r="385" ht="15.75" customHeight="1">
      <c r="A385" s="122"/>
    </row>
    <row r="386" ht="15.75" customHeight="1">
      <c r="A386" s="122"/>
    </row>
    <row r="387" ht="15.75" customHeight="1">
      <c r="A387" s="122"/>
    </row>
    <row r="388" ht="15.75" customHeight="1">
      <c r="A388" s="122"/>
    </row>
    <row r="389" ht="15.75" customHeight="1">
      <c r="A389" s="122"/>
    </row>
    <row r="390" ht="15.75" customHeight="1">
      <c r="A390" s="122"/>
    </row>
    <row r="391" ht="15.75" customHeight="1">
      <c r="A391" s="122"/>
    </row>
    <row r="392" ht="15.75" customHeight="1">
      <c r="A392" s="122"/>
    </row>
    <row r="393" ht="15.75" customHeight="1">
      <c r="A393" s="122"/>
    </row>
    <row r="394" ht="15.75" customHeight="1">
      <c r="A394" s="122"/>
    </row>
    <row r="395" ht="15.75" customHeight="1">
      <c r="A395" s="122"/>
    </row>
    <row r="396" ht="15.75" customHeight="1">
      <c r="A396" s="122"/>
    </row>
    <row r="397" ht="15.75" customHeight="1">
      <c r="A397" s="122"/>
    </row>
    <row r="398" ht="15.75" customHeight="1">
      <c r="A398" s="122"/>
    </row>
    <row r="399" ht="15.75" customHeight="1">
      <c r="A399" s="122"/>
    </row>
    <row r="400" ht="15.75" customHeight="1">
      <c r="A400" s="122"/>
    </row>
    <row r="401" ht="15.75" customHeight="1">
      <c r="A401" s="122"/>
    </row>
    <row r="402" ht="15.75" customHeight="1">
      <c r="A402" s="122"/>
    </row>
    <row r="403" ht="15.75" customHeight="1">
      <c r="A403" s="122"/>
    </row>
    <row r="404" ht="15.75" customHeight="1">
      <c r="A404" s="122"/>
    </row>
    <row r="405" ht="15.75" customHeight="1">
      <c r="A405" s="122"/>
    </row>
    <row r="406" ht="15.75" customHeight="1">
      <c r="A406" s="122"/>
    </row>
    <row r="407" ht="15.75" customHeight="1">
      <c r="A407" s="122"/>
    </row>
    <row r="408" ht="15.75" customHeight="1">
      <c r="A408" s="122"/>
    </row>
    <row r="409" ht="15.75" customHeight="1">
      <c r="A409" s="122"/>
    </row>
    <row r="410" ht="15.75" customHeight="1">
      <c r="A410" s="122"/>
    </row>
    <row r="411" ht="15.75" customHeight="1">
      <c r="A411" s="122"/>
    </row>
    <row r="412" ht="15.75" customHeight="1">
      <c r="A412" s="122"/>
    </row>
    <row r="413" ht="15.75" customHeight="1">
      <c r="A413" s="122"/>
    </row>
    <row r="414" ht="15.75" customHeight="1">
      <c r="A414" s="122"/>
    </row>
    <row r="415" ht="15.75" customHeight="1">
      <c r="A415" s="122"/>
    </row>
    <row r="416" ht="15.75" customHeight="1">
      <c r="A416" s="122"/>
    </row>
    <row r="417" ht="15.75" customHeight="1">
      <c r="A417" s="122"/>
    </row>
    <row r="418" ht="15.75" customHeight="1">
      <c r="A418" s="122"/>
    </row>
    <row r="419" ht="15.75" customHeight="1">
      <c r="A419" s="122"/>
    </row>
    <row r="420" ht="15.75" customHeight="1">
      <c r="A420" s="122"/>
    </row>
    <row r="421" ht="15.75" customHeight="1">
      <c r="A421" s="122"/>
    </row>
    <row r="422" ht="15.75" customHeight="1">
      <c r="A422" s="122"/>
    </row>
    <row r="423" ht="15.75" customHeight="1">
      <c r="A423" s="122"/>
    </row>
    <row r="424" ht="15.75" customHeight="1">
      <c r="A424" s="122"/>
    </row>
    <row r="425" ht="15.75" customHeight="1">
      <c r="A425" s="122"/>
    </row>
    <row r="426" ht="15.75" customHeight="1">
      <c r="A426" s="122"/>
    </row>
    <row r="427" ht="15.75" customHeight="1">
      <c r="A427" s="122"/>
    </row>
    <row r="428" ht="15.75" customHeight="1">
      <c r="A428" s="122"/>
    </row>
    <row r="429" ht="15.75" customHeight="1">
      <c r="A429" s="122"/>
    </row>
    <row r="430" ht="15.75" customHeight="1">
      <c r="A430" s="122"/>
    </row>
    <row r="431" ht="15.75" customHeight="1">
      <c r="A431" s="122"/>
    </row>
    <row r="432" ht="15.75" customHeight="1">
      <c r="A432" s="122"/>
    </row>
    <row r="433" ht="15.75" customHeight="1">
      <c r="A433" s="122"/>
    </row>
    <row r="434" ht="15.75" customHeight="1">
      <c r="A434" s="122"/>
    </row>
    <row r="435" ht="15.75" customHeight="1">
      <c r="A435" s="122"/>
    </row>
    <row r="436" ht="15.75" customHeight="1">
      <c r="A436" s="122"/>
    </row>
    <row r="437" ht="15.75" customHeight="1">
      <c r="A437" s="122"/>
    </row>
    <row r="438" ht="15.75" customHeight="1">
      <c r="A438" s="122"/>
    </row>
    <row r="439" ht="15.75" customHeight="1">
      <c r="A439" s="122"/>
    </row>
    <row r="440" ht="15.75" customHeight="1">
      <c r="A440" s="122"/>
    </row>
    <row r="441" ht="15.75" customHeight="1">
      <c r="A441" s="122"/>
    </row>
    <row r="442" ht="15.75" customHeight="1">
      <c r="A442" s="122"/>
    </row>
    <row r="443" ht="15.75" customHeight="1">
      <c r="A443" s="122"/>
    </row>
    <row r="444" ht="15.75" customHeight="1">
      <c r="A444" s="122"/>
    </row>
    <row r="445" ht="15.75" customHeight="1">
      <c r="A445" s="122"/>
    </row>
    <row r="446" ht="15.75" customHeight="1">
      <c r="A446" s="122"/>
    </row>
    <row r="447" ht="15.75" customHeight="1">
      <c r="A447" s="122"/>
    </row>
    <row r="448" ht="15.75" customHeight="1">
      <c r="A448" s="122"/>
    </row>
    <row r="449" ht="15.75" customHeight="1">
      <c r="A449" s="122"/>
    </row>
    <row r="450" ht="15.75" customHeight="1">
      <c r="A450" s="122"/>
    </row>
    <row r="451" ht="15.75" customHeight="1">
      <c r="A451" s="122"/>
    </row>
    <row r="452" ht="15.75" customHeight="1">
      <c r="A452" s="122"/>
    </row>
    <row r="453" ht="15.75" customHeight="1">
      <c r="A453" s="122"/>
    </row>
    <row r="454" ht="15.75" customHeight="1">
      <c r="A454" s="122"/>
    </row>
    <row r="455" ht="15.75" customHeight="1">
      <c r="A455" s="122"/>
    </row>
    <row r="456" ht="15.75" customHeight="1">
      <c r="A456" s="122"/>
    </row>
    <row r="457" ht="15.75" customHeight="1">
      <c r="A457" s="122"/>
    </row>
    <row r="458" ht="15.75" customHeight="1">
      <c r="A458" s="122"/>
    </row>
    <row r="459" ht="15.75" customHeight="1">
      <c r="A459" s="122"/>
    </row>
    <row r="460" ht="15.75" customHeight="1">
      <c r="A460" s="122"/>
    </row>
    <row r="461" ht="15.75" customHeight="1">
      <c r="A461" s="122"/>
    </row>
    <row r="462" ht="15.75" customHeight="1">
      <c r="A462" s="122"/>
    </row>
    <row r="463" ht="15.75" customHeight="1">
      <c r="A463" s="122"/>
    </row>
    <row r="464" ht="15.75" customHeight="1">
      <c r="A464" s="122"/>
    </row>
    <row r="465" ht="15.75" customHeight="1">
      <c r="A465" s="122"/>
    </row>
    <row r="466" ht="15.75" customHeight="1">
      <c r="A466" s="122"/>
    </row>
    <row r="467" ht="15.75" customHeight="1">
      <c r="A467" s="122"/>
    </row>
    <row r="468" ht="15.75" customHeight="1">
      <c r="A468" s="122"/>
    </row>
    <row r="469" ht="15.75" customHeight="1">
      <c r="A469" s="122"/>
    </row>
    <row r="470" ht="15.75" customHeight="1">
      <c r="A470" s="122"/>
    </row>
    <row r="471" ht="15.75" customHeight="1">
      <c r="A471" s="122"/>
    </row>
    <row r="472" ht="15.75" customHeight="1">
      <c r="A472" s="122"/>
    </row>
    <row r="473" ht="15.75" customHeight="1">
      <c r="A473" s="122"/>
    </row>
    <row r="474" ht="15.75" customHeight="1">
      <c r="A474" s="122"/>
    </row>
    <row r="475" ht="15.75" customHeight="1">
      <c r="A475" s="122"/>
    </row>
    <row r="476" ht="15.75" customHeight="1">
      <c r="A476" s="122"/>
    </row>
    <row r="477" ht="15.75" customHeight="1">
      <c r="A477" s="122"/>
    </row>
    <row r="478" ht="15.75" customHeight="1">
      <c r="A478" s="122"/>
    </row>
    <row r="479" ht="15.75" customHeight="1">
      <c r="A479" s="122"/>
    </row>
    <row r="480" ht="15.75" customHeight="1">
      <c r="A480" s="122"/>
    </row>
    <row r="481" ht="15.75" customHeight="1">
      <c r="A481" s="122"/>
    </row>
    <row r="482" ht="15.75" customHeight="1">
      <c r="A482" s="122"/>
    </row>
    <row r="483" ht="15.75" customHeight="1">
      <c r="A483" s="122"/>
    </row>
    <row r="484" ht="15.75" customHeight="1">
      <c r="A484" s="122"/>
    </row>
    <row r="485" ht="15.75" customHeight="1">
      <c r="A485" s="122"/>
    </row>
    <row r="486" ht="15.75" customHeight="1">
      <c r="A486" s="122"/>
    </row>
    <row r="487" ht="15.75" customHeight="1">
      <c r="A487" s="122"/>
    </row>
    <row r="488" ht="15.75" customHeight="1">
      <c r="A488" s="122"/>
    </row>
    <row r="489" ht="15.75" customHeight="1">
      <c r="A489" s="122"/>
    </row>
    <row r="490" ht="15.75" customHeight="1">
      <c r="A490" s="122"/>
    </row>
    <row r="491" ht="15.75" customHeight="1">
      <c r="A491" s="122"/>
    </row>
    <row r="492" ht="15.75" customHeight="1">
      <c r="A492" s="122"/>
    </row>
    <row r="493" ht="15.75" customHeight="1">
      <c r="A493" s="122"/>
    </row>
    <row r="494" ht="15.75" customHeight="1">
      <c r="A494" s="122"/>
    </row>
    <row r="495" ht="15.75" customHeight="1">
      <c r="A495" s="122"/>
    </row>
    <row r="496" ht="15.75" customHeight="1">
      <c r="A496" s="122"/>
    </row>
    <row r="497" ht="15.75" customHeight="1">
      <c r="A497" s="122"/>
    </row>
    <row r="498" ht="15.75" customHeight="1">
      <c r="A498" s="122"/>
    </row>
    <row r="499" ht="15.75" customHeight="1">
      <c r="A499" s="122"/>
    </row>
    <row r="500" ht="15.75" customHeight="1">
      <c r="A500" s="122"/>
    </row>
    <row r="501" ht="15.75" customHeight="1">
      <c r="A501" s="122"/>
    </row>
    <row r="502" ht="15.75" customHeight="1">
      <c r="A502" s="122"/>
    </row>
    <row r="503" ht="15.75" customHeight="1">
      <c r="A503" s="122"/>
    </row>
    <row r="504" ht="15.75" customHeight="1">
      <c r="A504" s="122"/>
    </row>
    <row r="505" ht="15.75" customHeight="1">
      <c r="A505" s="122"/>
    </row>
    <row r="506" ht="15.75" customHeight="1">
      <c r="A506" s="122"/>
    </row>
    <row r="507" ht="15.75" customHeight="1">
      <c r="A507" s="122"/>
    </row>
    <row r="508" ht="15.75" customHeight="1">
      <c r="A508" s="122"/>
    </row>
    <row r="509" ht="15.75" customHeight="1">
      <c r="A509" s="122"/>
    </row>
    <row r="510" ht="15.75" customHeight="1">
      <c r="A510" s="122"/>
    </row>
    <row r="511" ht="15.75" customHeight="1">
      <c r="A511" s="122"/>
    </row>
    <row r="512" ht="15.75" customHeight="1">
      <c r="A512" s="122"/>
    </row>
    <row r="513" ht="15.75" customHeight="1">
      <c r="A513" s="122"/>
    </row>
    <row r="514" ht="15.75" customHeight="1">
      <c r="A514" s="122"/>
    </row>
    <row r="515" ht="15.75" customHeight="1">
      <c r="A515" s="122"/>
    </row>
    <row r="516" ht="15.75" customHeight="1">
      <c r="A516" s="122"/>
    </row>
    <row r="517" ht="15.75" customHeight="1">
      <c r="A517" s="122"/>
    </row>
    <row r="518" ht="15.75" customHeight="1">
      <c r="A518" s="122"/>
    </row>
    <row r="519" ht="15.75" customHeight="1">
      <c r="A519" s="122"/>
    </row>
    <row r="520" ht="15.75" customHeight="1">
      <c r="A520" s="122"/>
    </row>
    <row r="521" ht="15.75" customHeight="1">
      <c r="A521" s="122"/>
    </row>
    <row r="522" ht="15.75" customHeight="1">
      <c r="A522" s="122"/>
    </row>
    <row r="523" ht="15.75" customHeight="1">
      <c r="A523" s="122"/>
    </row>
    <row r="524" ht="15.75" customHeight="1">
      <c r="A524" s="122"/>
    </row>
    <row r="525" ht="15.75" customHeight="1">
      <c r="A525" s="122"/>
    </row>
    <row r="526" ht="15.75" customHeight="1">
      <c r="A526" s="122"/>
    </row>
    <row r="527" ht="15.75" customHeight="1">
      <c r="A527" s="122"/>
    </row>
    <row r="528" ht="15.75" customHeight="1">
      <c r="A528" s="122"/>
    </row>
    <row r="529" ht="15.75" customHeight="1">
      <c r="A529" s="122"/>
    </row>
    <row r="530" ht="15.75" customHeight="1">
      <c r="A530" s="122"/>
    </row>
    <row r="531" ht="15.75" customHeight="1">
      <c r="A531" s="122"/>
    </row>
    <row r="532" ht="15.75" customHeight="1">
      <c r="A532" s="122"/>
    </row>
    <row r="533" ht="15.75" customHeight="1">
      <c r="A533" s="122"/>
    </row>
    <row r="534" ht="15.75" customHeight="1">
      <c r="A534" s="122"/>
    </row>
    <row r="535" ht="15.75" customHeight="1">
      <c r="A535" s="122"/>
    </row>
    <row r="536" ht="15.75" customHeight="1">
      <c r="A536" s="122"/>
    </row>
    <row r="537" ht="15.75" customHeight="1">
      <c r="A537" s="122"/>
    </row>
    <row r="538" ht="15.75" customHeight="1">
      <c r="A538" s="122"/>
    </row>
    <row r="539" ht="15.75" customHeight="1">
      <c r="A539" s="122"/>
    </row>
    <row r="540" ht="15.75" customHeight="1">
      <c r="A540" s="122"/>
    </row>
    <row r="541" ht="15.75" customHeight="1">
      <c r="A541" s="122"/>
    </row>
    <row r="542" ht="15.75" customHeight="1">
      <c r="A542" s="122"/>
    </row>
    <row r="543" ht="15.75" customHeight="1">
      <c r="A543" s="122"/>
    </row>
    <row r="544" ht="15.75" customHeight="1">
      <c r="A544" s="122"/>
    </row>
    <row r="545" ht="15.75" customHeight="1">
      <c r="A545" s="122"/>
    </row>
    <row r="546" ht="15.75" customHeight="1">
      <c r="A546" s="122"/>
    </row>
    <row r="547" ht="15.75" customHeight="1">
      <c r="A547" s="122"/>
    </row>
    <row r="548" ht="15.75" customHeight="1">
      <c r="A548" s="122"/>
    </row>
    <row r="549" ht="15.75" customHeight="1">
      <c r="A549" s="122"/>
    </row>
    <row r="550" ht="15.75" customHeight="1">
      <c r="A550" s="122"/>
    </row>
    <row r="551" ht="15.75" customHeight="1">
      <c r="A551" s="122"/>
    </row>
    <row r="552" ht="15.75" customHeight="1">
      <c r="A552" s="122"/>
    </row>
    <row r="553" ht="15.75" customHeight="1">
      <c r="A553" s="122"/>
    </row>
    <row r="554" ht="15.75" customHeight="1">
      <c r="A554" s="122"/>
    </row>
    <row r="555" ht="15.75" customHeight="1">
      <c r="A555" s="122"/>
    </row>
    <row r="556" ht="15.75" customHeight="1">
      <c r="A556" s="122"/>
    </row>
    <row r="557" ht="15.75" customHeight="1">
      <c r="A557" s="122"/>
    </row>
    <row r="558" ht="15.75" customHeight="1">
      <c r="A558" s="122"/>
    </row>
    <row r="559" ht="15.75" customHeight="1">
      <c r="A559" s="122"/>
    </row>
    <row r="560" ht="15.75" customHeight="1">
      <c r="A560" s="122"/>
    </row>
    <row r="561" ht="15.75" customHeight="1">
      <c r="A561" s="122"/>
    </row>
    <row r="562" ht="15.75" customHeight="1">
      <c r="A562" s="122"/>
    </row>
    <row r="563" ht="15.75" customHeight="1">
      <c r="A563" s="122"/>
    </row>
    <row r="564" ht="15.75" customHeight="1">
      <c r="A564" s="122"/>
    </row>
    <row r="565" ht="15.75" customHeight="1">
      <c r="A565" s="122"/>
    </row>
    <row r="566" ht="15.75" customHeight="1">
      <c r="A566" s="122"/>
    </row>
    <row r="567" ht="15.75" customHeight="1">
      <c r="A567" s="122"/>
    </row>
    <row r="568" ht="15.75" customHeight="1">
      <c r="A568" s="122"/>
    </row>
    <row r="569" ht="15.75" customHeight="1">
      <c r="A569" s="122"/>
    </row>
    <row r="570" ht="15.75" customHeight="1">
      <c r="A570" s="122"/>
    </row>
    <row r="571" ht="15.75" customHeight="1">
      <c r="A571" s="122"/>
    </row>
    <row r="572" ht="15.75" customHeight="1">
      <c r="A572" s="122"/>
    </row>
    <row r="573" ht="15.75" customHeight="1">
      <c r="A573" s="122"/>
    </row>
    <row r="574" ht="15.75" customHeight="1">
      <c r="A574" s="122"/>
    </row>
    <row r="575" ht="15.75" customHeight="1">
      <c r="A575" s="122"/>
    </row>
    <row r="576" ht="15.75" customHeight="1">
      <c r="A576" s="122"/>
    </row>
    <row r="577" ht="15.75" customHeight="1">
      <c r="A577" s="122"/>
    </row>
    <row r="578" ht="15.75" customHeight="1">
      <c r="A578" s="122"/>
    </row>
    <row r="579" ht="15.75" customHeight="1">
      <c r="A579" s="122"/>
    </row>
    <row r="580" ht="15.75" customHeight="1">
      <c r="A580" s="122"/>
    </row>
    <row r="581" ht="15.75" customHeight="1">
      <c r="A581" s="122"/>
    </row>
    <row r="582" ht="15.75" customHeight="1">
      <c r="A582" s="122"/>
    </row>
    <row r="583" ht="15.75" customHeight="1">
      <c r="A583" s="122"/>
    </row>
    <row r="584" ht="15.75" customHeight="1">
      <c r="A584" s="122"/>
    </row>
    <row r="585" ht="15.75" customHeight="1">
      <c r="A585" s="122"/>
    </row>
    <row r="586" ht="15.75" customHeight="1">
      <c r="A586" s="122"/>
    </row>
    <row r="587" ht="15.75" customHeight="1">
      <c r="A587" s="122"/>
    </row>
    <row r="588" ht="15.75" customHeight="1">
      <c r="A588" s="122"/>
    </row>
    <row r="589" ht="15.75" customHeight="1">
      <c r="A589" s="122"/>
    </row>
    <row r="590" ht="15.75" customHeight="1">
      <c r="A590" s="122"/>
    </row>
    <row r="591" ht="15.75" customHeight="1">
      <c r="A591" s="122"/>
    </row>
    <row r="592" ht="15.75" customHeight="1">
      <c r="A592" s="122"/>
    </row>
    <row r="593" ht="15.75" customHeight="1">
      <c r="A593" s="122"/>
    </row>
    <row r="594" ht="15.75" customHeight="1">
      <c r="A594" s="122"/>
    </row>
    <row r="595" ht="15.75" customHeight="1">
      <c r="A595" s="122"/>
    </row>
    <row r="596" ht="15.75" customHeight="1">
      <c r="A596" s="122"/>
    </row>
    <row r="597" ht="15.75" customHeight="1">
      <c r="A597" s="122"/>
    </row>
    <row r="598" ht="15.75" customHeight="1">
      <c r="A598" s="122"/>
    </row>
    <row r="599" ht="15.75" customHeight="1">
      <c r="A599" s="122"/>
    </row>
    <row r="600" ht="15.75" customHeight="1">
      <c r="A600" s="122"/>
    </row>
    <row r="601" ht="15.75" customHeight="1">
      <c r="A601" s="122"/>
    </row>
    <row r="602" ht="15.75" customHeight="1">
      <c r="A602" s="122"/>
    </row>
    <row r="603" ht="15.75" customHeight="1">
      <c r="A603" s="122"/>
    </row>
    <row r="604" ht="15.75" customHeight="1">
      <c r="A604" s="122"/>
    </row>
    <row r="605" ht="15.75" customHeight="1">
      <c r="A605" s="122"/>
    </row>
    <row r="606" ht="15.75" customHeight="1">
      <c r="A606" s="122"/>
    </row>
    <row r="607" ht="15.75" customHeight="1">
      <c r="A607" s="122"/>
    </row>
    <row r="608" ht="15.75" customHeight="1">
      <c r="A608" s="122"/>
    </row>
    <row r="609" ht="15.75" customHeight="1">
      <c r="A609" s="122"/>
    </row>
    <row r="610" ht="15.75" customHeight="1">
      <c r="A610" s="122"/>
    </row>
    <row r="611" ht="15.75" customHeight="1">
      <c r="A611" s="122"/>
    </row>
    <row r="612" ht="15.75" customHeight="1">
      <c r="A612" s="122"/>
    </row>
    <row r="613" ht="15.75" customHeight="1">
      <c r="A613" s="122"/>
    </row>
    <row r="614" ht="15.75" customHeight="1">
      <c r="A614" s="122"/>
    </row>
    <row r="615" ht="15.75" customHeight="1">
      <c r="A615" s="122"/>
    </row>
    <row r="616" ht="15.75" customHeight="1">
      <c r="A616" s="122"/>
    </row>
    <row r="617" ht="15.75" customHeight="1">
      <c r="A617" s="122"/>
    </row>
    <row r="618" ht="15.75" customHeight="1">
      <c r="A618" s="122"/>
    </row>
    <row r="619" ht="15.75" customHeight="1">
      <c r="A619" s="122"/>
    </row>
    <row r="620" ht="15.75" customHeight="1">
      <c r="A620" s="122"/>
    </row>
    <row r="621" ht="15.75" customHeight="1">
      <c r="A621" s="122"/>
    </row>
    <row r="622" ht="15.75" customHeight="1">
      <c r="A622" s="122"/>
    </row>
    <row r="623" ht="15.75" customHeight="1">
      <c r="A623" s="122"/>
    </row>
    <row r="624" ht="15.75" customHeight="1">
      <c r="A624" s="122"/>
    </row>
    <row r="625" ht="15.75" customHeight="1">
      <c r="A625" s="122"/>
    </row>
    <row r="626" ht="15.75" customHeight="1">
      <c r="A626" s="122"/>
    </row>
    <row r="627" ht="15.75" customHeight="1">
      <c r="A627" s="122"/>
    </row>
    <row r="628" ht="15.75" customHeight="1">
      <c r="A628" s="122"/>
    </row>
    <row r="629" ht="15.75" customHeight="1">
      <c r="A629" s="122"/>
    </row>
    <row r="630" ht="15.75" customHeight="1">
      <c r="A630" s="122"/>
    </row>
    <row r="631" ht="15.75" customHeight="1">
      <c r="A631" s="122"/>
    </row>
    <row r="632" ht="15.75" customHeight="1">
      <c r="A632" s="122"/>
    </row>
    <row r="633" ht="15.75" customHeight="1">
      <c r="A633" s="122"/>
    </row>
    <row r="634" ht="15.75" customHeight="1">
      <c r="A634" s="122"/>
    </row>
    <row r="635" ht="15.75" customHeight="1">
      <c r="A635" s="122"/>
    </row>
    <row r="636" ht="15.75" customHeight="1">
      <c r="A636" s="122"/>
    </row>
    <row r="637" ht="15.75" customHeight="1">
      <c r="A637" s="122"/>
    </row>
    <row r="638" ht="15.75" customHeight="1">
      <c r="A638" s="122"/>
    </row>
    <row r="639" ht="15.75" customHeight="1">
      <c r="A639" s="122"/>
    </row>
    <row r="640" ht="15.75" customHeight="1">
      <c r="A640" s="122"/>
    </row>
    <row r="641" ht="15.75" customHeight="1">
      <c r="A641" s="122"/>
    </row>
    <row r="642" ht="15.75" customHeight="1">
      <c r="A642" s="122"/>
    </row>
    <row r="643" ht="15.75" customHeight="1">
      <c r="A643" s="122"/>
    </row>
    <row r="644" ht="15.75" customHeight="1">
      <c r="A644" s="122"/>
    </row>
    <row r="645" ht="15.75" customHeight="1">
      <c r="A645" s="122"/>
    </row>
    <row r="646" ht="15.75" customHeight="1">
      <c r="A646" s="122"/>
    </row>
    <row r="647" ht="15.75" customHeight="1">
      <c r="A647" s="122"/>
    </row>
    <row r="648" ht="15.75" customHeight="1">
      <c r="A648" s="122"/>
    </row>
    <row r="649" ht="15.75" customHeight="1">
      <c r="A649" s="122"/>
    </row>
    <row r="650" ht="15.75" customHeight="1">
      <c r="A650" s="122"/>
    </row>
    <row r="651" ht="15.75" customHeight="1">
      <c r="A651" s="122"/>
    </row>
    <row r="652" ht="15.75" customHeight="1">
      <c r="A652" s="122"/>
    </row>
    <row r="653" ht="15.75" customHeight="1">
      <c r="A653" s="122"/>
    </row>
    <row r="654" ht="15.75" customHeight="1">
      <c r="A654" s="122"/>
    </row>
    <row r="655" ht="15.75" customHeight="1">
      <c r="A655" s="122"/>
    </row>
    <row r="656" ht="15.75" customHeight="1">
      <c r="A656" s="122"/>
    </row>
    <row r="657" ht="15.75" customHeight="1">
      <c r="A657" s="122"/>
    </row>
    <row r="658" ht="15.75" customHeight="1">
      <c r="A658" s="122"/>
    </row>
    <row r="659" ht="15.75" customHeight="1">
      <c r="A659" s="122"/>
    </row>
    <row r="660" ht="15.75" customHeight="1">
      <c r="A660" s="122"/>
    </row>
    <row r="661" ht="15.75" customHeight="1">
      <c r="A661" s="122"/>
    </row>
    <row r="662" ht="15.75" customHeight="1">
      <c r="A662" s="122"/>
    </row>
    <row r="663" ht="15.75" customHeight="1">
      <c r="A663" s="122"/>
    </row>
    <row r="664" ht="15.75" customHeight="1">
      <c r="A664" s="122"/>
    </row>
    <row r="665" ht="15.75" customHeight="1">
      <c r="A665" s="122"/>
    </row>
    <row r="666" ht="15.75" customHeight="1">
      <c r="A666" s="122"/>
    </row>
    <row r="667" ht="15.75" customHeight="1">
      <c r="A667" s="122"/>
    </row>
    <row r="668" ht="15.75" customHeight="1">
      <c r="A668" s="122"/>
    </row>
    <row r="669" ht="15.75" customHeight="1">
      <c r="A669" s="122"/>
    </row>
    <row r="670" ht="15.75" customHeight="1">
      <c r="A670" s="122"/>
    </row>
    <row r="671" ht="15.75" customHeight="1">
      <c r="A671" s="122"/>
    </row>
    <row r="672" ht="15.75" customHeight="1">
      <c r="A672" s="122"/>
    </row>
    <row r="673" ht="15.75" customHeight="1">
      <c r="A673" s="122"/>
    </row>
    <row r="674" ht="15.75" customHeight="1">
      <c r="A674" s="122"/>
    </row>
    <row r="675" ht="15.75" customHeight="1">
      <c r="A675" s="122"/>
    </row>
    <row r="676" ht="15.75" customHeight="1">
      <c r="A676" s="122"/>
    </row>
    <row r="677" ht="15.75" customHeight="1">
      <c r="A677" s="122"/>
    </row>
    <row r="678" ht="15.75" customHeight="1">
      <c r="A678" s="122"/>
    </row>
    <row r="679" ht="15.75" customHeight="1">
      <c r="A679" s="122"/>
    </row>
    <row r="680" ht="15.75" customHeight="1">
      <c r="A680" s="122"/>
    </row>
    <row r="681" ht="15.75" customHeight="1">
      <c r="A681" s="122"/>
    </row>
    <row r="682" ht="15.75" customHeight="1">
      <c r="A682" s="122"/>
    </row>
    <row r="683" ht="15.75" customHeight="1">
      <c r="A683" s="122"/>
    </row>
    <row r="684" ht="15.75" customHeight="1">
      <c r="A684" s="122"/>
    </row>
    <row r="685" ht="15.75" customHeight="1">
      <c r="A685" s="122"/>
    </row>
    <row r="686" ht="15.75" customHeight="1">
      <c r="A686" s="122"/>
    </row>
    <row r="687" ht="15.75" customHeight="1">
      <c r="A687" s="122"/>
    </row>
    <row r="688" ht="15.75" customHeight="1">
      <c r="A688" s="122"/>
    </row>
    <row r="689" ht="15.75" customHeight="1">
      <c r="A689" s="122"/>
    </row>
    <row r="690" ht="15.75" customHeight="1">
      <c r="A690" s="122"/>
    </row>
    <row r="691" ht="15.75" customHeight="1">
      <c r="A691" s="122"/>
    </row>
    <row r="692" ht="15.75" customHeight="1">
      <c r="A692" s="122"/>
    </row>
    <row r="693" ht="15.75" customHeight="1">
      <c r="A693" s="122"/>
    </row>
    <row r="694" ht="15.75" customHeight="1">
      <c r="A694" s="122"/>
    </row>
    <row r="695" ht="15.75" customHeight="1">
      <c r="A695" s="122"/>
    </row>
    <row r="696" ht="15.75" customHeight="1">
      <c r="A696" s="122"/>
    </row>
    <row r="697" ht="15.75" customHeight="1">
      <c r="A697" s="122"/>
    </row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paperSize="9" orientation="portrait"/>
  <drawing r:id="rId1"/>
</worksheet>
</file>