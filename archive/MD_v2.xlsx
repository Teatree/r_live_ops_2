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00%"/>
    <numFmt numFmtId="167" formatCode="0.00000%"/>
    <numFmt numFmtId="168" formatCode="0.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i val="1"/>
      <color rgb="FF666666"/>
      <sz val="9"/>
    </font>
    <font>
      <name val="Arial"/>
      <b val="1"/>
      <sz val="9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2" fontId="4" fillId="4" borderId="1" pivotButton="0" quotePrefix="0" xfId="0"/>
    <xf numFmtId="0" fontId="2" fillId="2" borderId="0" pivotButton="0" quotePrefix="0" xfId="0"/>
    <xf numFmtId="0" fontId="0" fillId="2" borderId="0" pivotButton="0" quotePrefix="0" xfId="0"/>
    <xf numFmtId="0" fontId="4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6" borderId="1" pivotButton="0" quotePrefix="0" xfId="0"/>
    <xf numFmtId="0" fontId="4" fillId="5" borderId="1" pivotButton="0" quotePrefix="0" xfId="0"/>
    <xf numFmtId="164" fontId="4" fillId="5" borderId="1" pivotButton="0" quotePrefix="0" xfId="0"/>
    <xf numFmtId="9" fontId="4" fillId="4" borderId="1" pivotButton="0" quotePrefix="0" xfId="0"/>
    <xf numFmtId="165" fontId="4" fillId="5" borderId="1" pivotButton="0" quotePrefix="0" xfId="0"/>
    <xf numFmtId="0" fontId="6" fillId="3" borderId="1" applyAlignment="1" pivotButton="0" quotePrefix="0" xfId="0">
      <alignment horizontal="center" vertical="center" wrapText="1"/>
    </xf>
    <xf numFmtId="166" fontId="4" fillId="5" borderId="1" pivotButton="0" quotePrefix="0" xfId="0"/>
    <xf numFmtId="167" fontId="4" fillId="5" borderId="1" pivotButton="0" quotePrefix="0" xfId="0"/>
    <xf numFmtId="2" fontId="4" fillId="5" borderId="1" pivotButton="0" quotePrefix="0" xfId="0"/>
    <xf numFmtId="168" fontId="4" fillId="5" borderId="1" pivotButton="0" quotePrefix="0" xfId="0"/>
    <xf numFmtId="1" fontId="4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FFE8F5E9"/>
        </patternFill>
      </fill>
    </dxf>
    <dxf>
      <fill>
        <patternFill patternType="solid">
          <fgColor rgb="FFF4CCCC"/>
        </patternFill>
      </fill>
    </dxf>
    <dxf>
      <font>
        <name val="Arial"/>
        <b val="1"/>
        <sz val="10"/>
      </font>
      <fill>
        <patternFill patternType="solid">
          <fgColor rgb="FF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>
      <c r="A1" s="1" t="inlineStr">
        <is>
          <t>MIGHTY DOORS (Tower of Fortune)</t>
        </is>
      </c>
      <c r="AH1" s="2" t="inlineStr">
        <is>
          <t>Player Reach Simulation (per event day) - SIMULATED</t>
        </is>
      </c>
    </row>
    <row r="2">
      <c r="AH2" s="3" t="inlineStr">
        <is>
          <t>Percentile</t>
        </is>
      </c>
      <c r="AI2" s="4" t="n">
        <v>0.5</v>
      </c>
    </row>
    <row r="3">
      <c r="A3" s="5" t="inlineStr">
        <is>
          <t>RUN CONFIG</t>
        </is>
      </c>
      <c r="B3" s="6" t="n"/>
      <c r="C3" s="6" t="n"/>
      <c r="D3" s="6" t="n"/>
      <c r="AH3" s="3" t="inlineStr">
        <is>
          <t>Payer</t>
        </is>
      </c>
      <c r="AI3" s="7" t="inlineStr">
        <is>
          <t>NONPAYER</t>
        </is>
      </c>
    </row>
    <row r="4">
      <c r="A4" s="8" t="inlineStr">
        <is>
          <t>Parameter</t>
        </is>
      </c>
      <c r="B4" s="8" t="inlineStr">
        <is>
          <t>Value</t>
        </is>
      </c>
      <c r="C4" s="8" t="inlineStr">
        <is>
          <t>What it means</t>
        </is>
      </c>
      <c r="AH4" s="8" t="inlineStr">
        <is>
          <t>Day_of_event</t>
        </is>
      </c>
      <c r="AI4" s="8" t="inlineStr">
        <is>
          <t>0-9_ms</t>
        </is>
      </c>
      <c r="AJ4" s="8" t="inlineStr">
        <is>
          <t>0-9_reward</t>
        </is>
      </c>
      <c r="AK4" s="8" t="inlineStr">
        <is>
          <t>10-19_ms</t>
        </is>
      </c>
      <c r="AL4" s="8" t="inlineStr">
        <is>
          <t>10-19_reward</t>
        </is>
      </c>
      <c r="AM4" s="8" t="inlineStr">
        <is>
          <t>20-39_ms</t>
        </is>
      </c>
      <c r="AN4" s="8" t="inlineStr">
        <is>
          <t>20-39_reward</t>
        </is>
      </c>
      <c r="AO4" s="8" t="inlineStr">
        <is>
          <t>40-99_ms</t>
        </is>
      </c>
      <c r="AP4" s="8" t="inlineStr">
        <is>
          <t>40-99_reward</t>
        </is>
      </c>
      <c r="AQ4" s="8" t="inlineStr">
        <is>
          <t>100_ms</t>
        </is>
      </c>
      <c r="AR4" s="8" t="inlineStr">
        <is>
          <t>100_reward</t>
        </is>
      </c>
    </row>
    <row r="5">
      <c r="A5" s="9" t="inlineStr">
        <is>
          <t>Total Stages</t>
        </is>
      </c>
      <c r="B5" s="7" t="n">
        <v>60</v>
      </c>
      <c r="C5" s="10" t="inlineStr">
        <is>
          <t>How many nodes a full run has.</t>
        </is>
      </c>
      <c r="AH5" s="11" t="n">
        <v>1</v>
      </c>
      <c r="AI5" s="12">
        <f>IF(AND($B$17&gt;0,$AH5&gt;$B$17),"",B$191)</f>
        <v/>
      </c>
      <c r="AJ5" s="12">
        <f>IF(AI5="","","{"&amp;TEXTJOIN(", ",TRUE,IF(B$196:B$216&gt;0,$A$196:$A$216&amp;": "&amp;B$196:B$216,""))&amp;"}")</f>
        <v/>
      </c>
      <c r="AK5" s="12">
        <f>IF(AND($B$17&gt;0,$AH5&gt;$B$17),"",C$191)</f>
        <v/>
      </c>
      <c r="AL5" s="12">
        <f>IF(AK5="","","{"&amp;TEXTJOIN(", ",TRUE,IF(C$196:C$216&gt;0,$A$196:$A$216&amp;": "&amp;C$196:C$216,""))&amp;"}")</f>
        <v/>
      </c>
      <c r="AM5" s="12">
        <f>IF(AND($B$17&gt;0,$AH5&gt;$B$17),"",D$191)</f>
        <v/>
      </c>
      <c r="AN5" s="12">
        <f>IF(AM5="","","{"&amp;TEXTJOIN(", ",TRUE,IF(D$196:D$216&gt;0,$A$196:$A$216&amp;": "&amp;D$196:D$216,""))&amp;"}")</f>
        <v/>
      </c>
      <c r="AO5" s="12">
        <f>IF(AND($B$17&gt;0,$AH5&gt;$B$17),"",E$191)</f>
        <v/>
      </c>
      <c r="AP5" s="12">
        <f>IF(AO5="","","{"&amp;TEXTJOIN(", ",TRUE,IF(E$196:E$216&gt;0,$A$196:$A$216&amp;": "&amp;E$196:E$216,""))&amp;"}")</f>
        <v/>
      </c>
      <c r="AQ5" s="12">
        <f>IF(AND($B$17&gt;0,$AH5&gt;$B$17),"",F$191)</f>
        <v/>
      </c>
      <c r="AR5" s="12">
        <f>IF(AQ5="","","{"&amp;TEXTJOIN(", ",TRUE,IF(F$196:F$216&gt;0,$A$196:$A$216&amp;": "&amp;F$196:F$216,""))&amp;"}")</f>
        <v/>
      </c>
    </row>
    <row r="6">
      <c r="A6" s="9" t="inlineStr">
        <is>
          <t>Choices per Stage (default)</t>
        </is>
      </c>
      <c r="B6" s="7" t="n">
        <v>4</v>
      </c>
      <c r="C6" s="10" t="inlineStr">
        <is>
          <t>How many doors are shown at a node. Min 2, max 4.</t>
        </is>
      </c>
      <c r="AH6" s="11" t="n">
        <v>2</v>
      </c>
      <c r="AI6" s="12">
        <f>IF(AND($B$17&gt;0,$AH6&gt;$B$17),"",B$191)</f>
        <v/>
      </c>
      <c r="AJ6" s="12">
        <f>IF(AI6="","","{"&amp;TEXTJOIN(", ",TRUE,IF(B$196:B$216&gt;0,$A$196:$A$216&amp;": "&amp;B$196:B$216,""))&amp;"}")</f>
        <v/>
      </c>
      <c r="AK6" s="12">
        <f>IF(AND($B$17&gt;0,$AH6&gt;$B$17),"",C$191)</f>
        <v/>
      </c>
      <c r="AL6" s="12">
        <f>IF(AK6="","","{"&amp;TEXTJOIN(", ",TRUE,IF(C$196:C$216&gt;0,$A$196:$A$216&amp;": "&amp;C$196:C$216,""))&amp;"}")</f>
        <v/>
      </c>
      <c r="AM6" s="12">
        <f>IF(AND($B$17&gt;0,$AH6&gt;$B$17),"",D$191)</f>
        <v/>
      </c>
      <c r="AN6" s="12">
        <f>IF(AM6="","","{"&amp;TEXTJOIN(", ",TRUE,IF(D$196:D$216&gt;0,$A$196:$A$216&amp;": "&amp;D$196:D$216,""))&amp;"}")</f>
        <v/>
      </c>
      <c r="AO6" s="12">
        <f>IF(AND($B$17&gt;0,$AH6&gt;$B$17),"",E$191)</f>
        <v/>
      </c>
      <c r="AP6" s="12">
        <f>IF(AO6="","","{"&amp;TEXTJOIN(", ",TRUE,IF(E$196:E$216&gt;0,$A$196:$A$216&amp;": "&amp;E$196:E$216,""))&amp;"}")</f>
        <v/>
      </c>
      <c r="AQ6" s="12">
        <f>IF(AND($B$17&gt;0,$AH6&gt;$B$17),"",F$191)</f>
        <v/>
      </c>
      <c r="AR6" s="12">
        <f>IF(AQ6="","","{"&amp;TEXTJOIN(", ",TRUE,IF(F$196:F$216&gt;0,$A$196:$A$216&amp;": "&amp;F$196:F$216,""))&amp;"}")</f>
        <v/>
      </c>
    </row>
    <row r="7">
      <c r="A7" s="9" t="inlineStr">
        <is>
          <t>Failure Outcomes per Stage</t>
        </is>
      </c>
      <c r="B7" s="7" t="n">
        <v>1</v>
      </c>
      <c r="C7" s="10" t="inlineStr">
        <is>
          <t>Base number of Pigs. The STAGES table raises this on later tiers.</t>
        </is>
      </c>
      <c r="AH7" s="11" t="n">
        <v>3</v>
      </c>
      <c r="AI7" s="12">
        <f>IF(AND($B$17&gt;0,$AH7&gt;$B$17),"",B$191)</f>
        <v/>
      </c>
      <c r="AJ7" s="12">
        <f>IF(AI7="","","{"&amp;TEXTJOIN(", ",TRUE,IF(B$196:B$216&gt;0,$A$196:$A$216&amp;": "&amp;B$196:B$216,""))&amp;"}")</f>
        <v/>
      </c>
      <c r="AK7" s="12">
        <f>IF(AND($B$17&gt;0,$AH7&gt;$B$17),"",C$191)</f>
        <v/>
      </c>
      <c r="AL7" s="12">
        <f>IF(AK7="","","{"&amp;TEXTJOIN(", ",TRUE,IF(C$196:C$216&gt;0,$A$196:$A$216&amp;": "&amp;C$196:C$216,""))&amp;"}")</f>
        <v/>
      </c>
      <c r="AM7" s="12">
        <f>IF(AND($B$17&gt;0,$AH7&gt;$B$17),"",D$191)</f>
        <v/>
      </c>
      <c r="AN7" s="12">
        <f>IF(AM7="","","{"&amp;TEXTJOIN(", ",TRUE,IF(D$196:D$216&gt;0,$A$196:$A$216&amp;": "&amp;D$196:D$216,""))&amp;"}")</f>
        <v/>
      </c>
      <c r="AO7" s="12">
        <f>IF(AND($B$17&gt;0,$AH7&gt;$B$17),"",E$191)</f>
        <v/>
      </c>
      <c r="AP7" s="12">
        <f>IF(AO7="","","{"&amp;TEXTJOIN(", ",TRUE,IF(E$196:E$216&gt;0,$A$196:$A$216&amp;": "&amp;E$196:E$216,""))&amp;"}")</f>
        <v/>
      </c>
      <c r="AQ7" s="12">
        <f>IF(AND($B$17&gt;0,$AH7&gt;$B$17),"",F$191)</f>
        <v/>
      </c>
      <c r="AR7" s="12">
        <f>IF(AQ7="","","{"&amp;TEXTJOIN(", ",TRUE,IF(F$196:F$216&gt;0,$A$196:$A$216&amp;": "&amp;F$196:F$216,""))&amp;"}")</f>
        <v/>
      </c>
    </row>
    <row r="8">
      <c r="A8" s="9" t="inlineStr">
        <is>
          <t>Safe Stage Every N Stages</t>
        </is>
      </c>
      <c r="B8" s="7" t="n">
        <v>5</v>
      </c>
      <c r="C8" s="10" t="inlineStr">
        <is>
          <t>Every Nth node carries no Pig at all.</t>
        </is>
      </c>
      <c r="AH8" s="11" t="n">
        <v>4</v>
      </c>
      <c r="AI8" s="12">
        <f>IF(AND($B$17&gt;0,$AH8&gt;$B$17),"",B$191)</f>
        <v/>
      </c>
      <c r="AJ8" s="12">
        <f>IF(AI8="","","{"&amp;TEXTJOIN(", ",TRUE,IF(B$196:B$216&gt;0,$A$196:$A$216&amp;": "&amp;B$196:B$216,""))&amp;"}")</f>
        <v/>
      </c>
      <c r="AK8" s="12">
        <f>IF(AND($B$17&gt;0,$AH8&gt;$B$17),"",C$191)</f>
        <v/>
      </c>
      <c r="AL8" s="12">
        <f>IF(AK8="","","{"&amp;TEXTJOIN(", ",TRUE,IF(C$196:C$216&gt;0,$A$196:$A$216&amp;": "&amp;C$196:C$216,""))&amp;"}")</f>
        <v/>
      </c>
      <c r="AM8" s="12">
        <f>IF(AND($B$17&gt;0,$AH8&gt;$B$17),"",D$191)</f>
        <v/>
      </c>
      <c r="AN8" s="12">
        <f>IF(AM8="","","{"&amp;TEXTJOIN(", ",TRUE,IF(D$196:D$216&gt;0,$A$196:$A$216&amp;": "&amp;D$196:D$216,""))&amp;"}")</f>
        <v/>
      </c>
      <c r="AO8" s="12">
        <f>IF(AND($B$17&gt;0,$AH8&gt;$B$17),"",E$191)</f>
        <v/>
      </c>
      <c r="AP8" s="12">
        <f>IF(AO8="","","{"&amp;TEXTJOIN(", ",TRUE,IF(E$196:E$216&gt;0,$A$196:$A$216&amp;": "&amp;E$196:E$216,""))&amp;"}")</f>
        <v/>
      </c>
      <c r="AQ8" s="12">
        <f>IF(AND($B$17&gt;0,$AH8&gt;$B$17),"",F$191)</f>
        <v/>
      </c>
      <c r="AR8" s="12">
        <f>IF(AQ8="","","{"&amp;TEXTJOIN(", ",TRUE,IF(F$196:F$216&gt;0,$A$196:$A$216&amp;": "&amp;F$196:F$216,""))&amp;"}")</f>
        <v/>
      </c>
    </row>
    <row r="9">
      <c r="A9" s="9" t="inlineStr">
        <is>
          <t>Major Milestone Stage</t>
        </is>
      </c>
      <c r="B9" s="7" t="n">
        <v>30</v>
      </c>
      <c r="C9" s="10" t="inlineStr">
        <is>
          <t>A safe node with a large bundle.</t>
        </is>
      </c>
      <c r="AH9" s="11" t="n">
        <v>5</v>
      </c>
      <c r="AI9" s="12">
        <f>IF(AND($B$17&gt;0,$AH9&gt;$B$17),"",B$191)</f>
        <v/>
      </c>
      <c r="AJ9" s="12">
        <f>IF(AI9="","","{"&amp;TEXTJOIN(", ",TRUE,IF(B$196:B$216&gt;0,$A$196:$A$216&amp;": "&amp;B$196:B$216,""))&amp;"}")</f>
        <v/>
      </c>
      <c r="AK9" s="12">
        <f>IF(AND($B$17&gt;0,$AH9&gt;$B$17),"",C$191)</f>
        <v/>
      </c>
      <c r="AL9" s="12">
        <f>IF(AK9="","","{"&amp;TEXTJOIN(", ",TRUE,IF(C$196:C$216&gt;0,$A$196:$A$216&amp;": "&amp;C$196:C$216,""))&amp;"}")</f>
        <v/>
      </c>
      <c r="AM9" s="12">
        <f>IF(AND($B$17&gt;0,$AH9&gt;$B$17),"",D$191)</f>
        <v/>
      </c>
      <c r="AN9" s="12">
        <f>IF(AM9="","","{"&amp;TEXTJOIN(", ",TRUE,IF(D$196:D$216&gt;0,$A$196:$A$216&amp;": "&amp;D$196:D$216,""))&amp;"}")</f>
        <v/>
      </c>
      <c r="AO9" s="12">
        <f>IF(AND($B$17&gt;0,$AH9&gt;$B$17),"",E$191)</f>
        <v/>
      </c>
      <c r="AP9" s="12">
        <f>IF(AO9="","","{"&amp;TEXTJOIN(", ",TRUE,IF(E$196:E$216&gt;0,$A$196:$A$216&amp;": "&amp;E$196:E$216,""))&amp;"}")</f>
        <v/>
      </c>
      <c r="AQ9" s="12">
        <f>IF(AND($B$17&gt;0,$AH9&gt;$B$17),"",F$191)</f>
        <v/>
      </c>
      <c r="AR9" s="12">
        <f>IF(AQ9="","","{"&amp;TEXTJOIN(", ",TRUE,IF(F$196:F$216&gt;0,$A$196:$A$216&amp;": "&amp;F$196:F$216,""))&amp;"}")</f>
        <v/>
      </c>
    </row>
    <row r="10">
      <c r="A10" s="9" t="inlineStr">
        <is>
          <t>Aspirational Milestone Stage</t>
        </is>
      </c>
      <c r="B10" s="7" t="n">
        <v>60</v>
      </c>
      <c r="C10" s="10" t="inlineStr">
        <is>
          <t>The final node. Reaching it auto claims everything.</t>
        </is>
      </c>
      <c r="AH10" s="11" t="n">
        <v>6</v>
      </c>
      <c r="AI10" s="12">
        <f>IF(AND($B$17&gt;0,$AH10&gt;$B$17),"",B$191)</f>
        <v/>
      </c>
      <c r="AJ10" s="12">
        <f>IF(AI10="","","{"&amp;TEXTJOIN(", ",TRUE,IF(B$196:B$216&gt;0,$A$196:$A$216&amp;": "&amp;B$196:B$216,""))&amp;"}")</f>
        <v/>
      </c>
      <c r="AK10" s="12">
        <f>IF(AND($B$17&gt;0,$AH10&gt;$B$17),"",C$191)</f>
        <v/>
      </c>
      <c r="AL10" s="12">
        <f>IF(AK10="","","{"&amp;TEXTJOIN(", ",TRUE,IF(C$196:C$216&gt;0,$A$196:$A$216&amp;": "&amp;C$196:C$216,""))&amp;"}")</f>
        <v/>
      </c>
      <c r="AM10" s="12">
        <f>IF(AND($B$17&gt;0,$AH10&gt;$B$17),"",D$191)</f>
        <v/>
      </c>
      <c r="AN10" s="12">
        <f>IF(AM10="","","{"&amp;TEXTJOIN(", ",TRUE,IF(D$196:D$216&gt;0,$A$196:$A$216&amp;": "&amp;D$196:D$216,""))&amp;"}")</f>
        <v/>
      </c>
      <c r="AO10" s="12">
        <f>IF(AND($B$17&gt;0,$AH10&gt;$B$17),"",E$191)</f>
        <v/>
      </c>
      <c r="AP10" s="12">
        <f>IF(AO10="","","{"&amp;TEXTJOIN(", ",TRUE,IF(E$196:E$216&gt;0,$A$196:$A$216&amp;": "&amp;E$196:E$216,""))&amp;"}")</f>
        <v/>
      </c>
      <c r="AQ10" s="12">
        <f>IF(AND($B$17&gt;0,$AH10&gt;$B$17),"",F$191)</f>
        <v/>
      </c>
      <c r="AR10" s="12">
        <f>IF(AQ10="","","{"&amp;TEXTJOIN(", ",TRUE,IF(F$196:F$216&gt;0,$A$196:$A$216&amp;": "&amp;F$196:F$216,""))&amp;"}")</f>
        <v/>
      </c>
    </row>
    <row r="11">
      <c r="A11" s="9" t="inlineStr">
        <is>
          <t>Reward Tier Size (stages)</t>
        </is>
      </c>
      <c r="B11" s="7" t="n">
        <v>10</v>
      </c>
      <c r="C11" s="10" t="inlineStr">
        <is>
          <t>Only used to label the Tier column.</t>
        </is>
      </c>
      <c r="AH11" s="11" t="n">
        <v>7</v>
      </c>
      <c r="AI11" s="12">
        <f>IF(AND($B$17&gt;0,$AH11&gt;$B$17),"",B$191)</f>
        <v/>
      </c>
      <c r="AJ11" s="12">
        <f>IF(AI11="","","{"&amp;TEXTJOIN(", ",TRUE,IF(B$196:B$216&gt;0,$A$196:$A$216&amp;": "&amp;B$196:B$216,""))&amp;"}")</f>
        <v/>
      </c>
      <c r="AK11" s="12">
        <f>IF(AND($B$17&gt;0,$AH11&gt;$B$17),"",C$191)</f>
        <v/>
      </c>
      <c r="AL11" s="12">
        <f>IF(AK11="","","{"&amp;TEXTJOIN(", ",TRUE,IF(C$196:C$216&gt;0,$A$196:$A$216&amp;": "&amp;C$196:C$216,""))&amp;"}")</f>
        <v/>
      </c>
      <c r="AM11" s="12">
        <f>IF(AND($B$17&gt;0,$AH11&gt;$B$17),"",D$191)</f>
        <v/>
      </c>
      <c r="AN11" s="12">
        <f>IF(AM11="","","{"&amp;TEXTJOIN(", ",TRUE,IF(D$196:D$216&gt;0,$A$196:$A$216&amp;": "&amp;D$196:D$216,""))&amp;"}")</f>
        <v/>
      </c>
      <c r="AO11" s="12">
        <f>IF(AND($B$17&gt;0,$AH11&gt;$B$17),"",E$191)</f>
        <v/>
      </c>
      <c r="AP11" s="12">
        <f>IF(AO11="","","{"&amp;TEXTJOIN(", ",TRUE,IF(E$196:E$216&gt;0,$A$196:$A$216&amp;": "&amp;E$196:E$216,""))&amp;"}")</f>
        <v/>
      </c>
      <c r="AQ11" s="12">
        <f>IF(AND($B$17&gt;0,$AH11&gt;$B$17),"",F$191)</f>
        <v/>
      </c>
      <c r="AR11" s="12">
        <f>IF(AQ11="","","{"&amp;TEXTJOIN(", ",TRUE,IF(F$196:F$216&gt;0,$A$196:$A$216&amp;": "&amp;F$196:F$216,""))&amp;"}")</f>
        <v/>
      </c>
    </row>
    <row r="12">
      <c r="A12" s="9" t="inlineStr">
        <is>
          <t>Tickets per Run</t>
        </is>
      </c>
      <c r="B12" s="7" t="n">
        <v>1</v>
      </c>
      <c r="C12" s="10" t="inlineStr">
        <is>
          <t>Tickets spent to start one run.</t>
        </is>
      </c>
      <c r="AH12" s="11" t="n">
        <v>8</v>
      </c>
      <c r="AI12" s="12">
        <f>IF(AND($B$17&gt;0,$AH12&gt;$B$17),"",B$191)</f>
        <v/>
      </c>
      <c r="AJ12" s="12">
        <f>IF(AI12="","","{"&amp;TEXTJOIN(", ",TRUE,IF(B$196:B$216&gt;0,$A$196:$A$216&amp;": "&amp;B$196:B$216,""))&amp;"}")</f>
        <v/>
      </c>
      <c r="AK12" s="12">
        <f>IF(AND($B$17&gt;0,$AH12&gt;$B$17),"",C$191)</f>
        <v/>
      </c>
      <c r="AL12" s="12">
        <f>IF(AK12="","","{"&amp;TEXTJOIN(", ",TRUE,IF(C$196:C$216&gt;0,$A$196:$A$216&amp;": "&amp;C$196:C$216,""))&amp;"}")</f>
        <v/>
      </c>
      <c r="AM12" s="12">
        <f>IF(AND($B$17&gt;0,$AH12&gt;$B$17),"",D$191)</f>
        <v/>
      </c>
      <c r="AN12" s="12">
        <f>IF(AM12="","","{"&amp;TEXTJOIN(", ",TRUE,IF(D$196:D$216&gt;0,$A$196:$A$216&amp;": "&amp;D$196:D$216,""))&amp;"}")</f>
        <v/>
      </c>
      <c r="AO12" s="12">
        <f>IF(AND($B$17&gt;0,$AH12&gt;$B$17),"",E$191)</f>
        <v/>
      </c>
      <c r="AP12" s="12">
        <f>IF(AO12="","","{"&amp;TEXTJOIN(", ",TRUE,IF(E$196:E$216&gt;0,$A$196:$A$216&amp;": "&amp;E$196:E$216,""))&amp;"}")</f>
        <v/>
      </c>
      <c r="AQ12" s="12">
        <f>IF(AND($B$17&gt;0,$AH12&gt;$B$17),"",F$191)</f>
        <v/>
      </c>
      <c r="AR12" s="12">
        <f>IF(AQ12="","","{"&amp;TEXTJOIN(", ",TRUE,IF(F$196:F$216&gt;0,$A$196:$A$216&amp;": "&amp;F$196:F$216,""))&amp;"}")</f>
        <v/>
      </c>
    </row>
    <row r="13">
      <c r="A13" s="9" t="inlineStr">
        <is>
          <t>Ticket Recharge (hours)</t>
        </is>
      </c>
      <c r="B13" s="7" t="n">
        <v>12</v>
      </c>
      <c r="C13" s="10" t="inlineStr">
        <is>
          <t>Hours for ONE ticket to come back. 12 means two free runs a day.</t>
        </is>
      </c>
      <c r="AH13" s="11" t="n">
        <v>9</v>
      </c>
      <c r="AI13" s="12">
        <f>IF(AND($B$17&gt;0,$AH13&gt;$B$17),"",B$191)</f>
        <v/>
      </c>
      <c r="AJ13" s="12">
        <f>IF(AI13="","","{"&amp;TEXTJOIN(", ",TRUE,IF(B$196:B$216&gt;0,$A$196:$A$216&amp;": "&amp;B$196:B$216,""))&amp;"}")</f>
        <v/>
      </c>
      <c r="AK13" s="12">
        <f>IF(AND($B$17&gt;0,$AH13&gt;$B$17),"",C$191)</f>
        <v/>
      </c>
      <c r="AL13" s="12">
        <f>IF(AK13="","","{"&amp;TEXTJOIN(", ",TRUE,IF(C$196:C$216&gt;0,$A$196:$A$216&amp;": "&amp;C$196:C$216,""))&amp;"}")</f>
        <v/>
      </c>
      <c r="AM13" s="12">
        <f>IF(AND($B$17&gt;0,$AH13&gt;$B$17),"",D$191)</f>
        <v/>
      </c>
      <c r="AN13" s="12">
        <f>IF(AM13="","","{"&amp;TEXTJOIN(", ",TRUE,IF(D$196:D$216&gt;0,$A$196:$A$216&amp;": "&amp;D$196:D$216,""))&amp;"}")</f>
        <v/>
      </c>
      <c r="AO13" s="12">
        <f>IF(AND($B$17&gt;0,$AH13&gt;$B$17),"",E$191)</f>
        <v/>
      </c>
      <c r="AP13" s="12">
        <f>IF(AO13="","","{"&amp;TEXTJOIN(", ",TRUE,IF(E$196:E$216&gt;0,$A$196:$A$216&amp;": "&amp;E$196:E$216,""))&amp;"}")</f>
        <v/>
      </c>
      <c r="AQ13" s="12">
        <f>IF(AND($B$17&gt;0,$AH13&gt;$B$17),"",F$191)</f>
        <v/>
      </c>
      <c r="AR13" s="12">
        <f>IF(AQ13="","","{"&amp;TEXTJOIN(", ",TRUE,IF(F$196:F$216&gt;0,$A$196:$A$216&amp;": "&amp;F$196:F$216,""))&amp;"}")</f>
        <v/>
      </c>
    </row>
    <row r="14">
      <c r="A14" s="9" t="inlineStr">
        <is>
          <t>Starting Tickets</t>
        </is>
      </c>
      <c r="B14" s="7" t="n">
        <v>1</v>
      </c>
      <c r="C14" s="10" t="inlineStr">
        <is>
          <t>Tickets the player already holds when the event opens.</t>
        </is>
      </c>
      <c r="AH14" s="11" t="n">
        <v>10</v>
      </c>
      <c r="AI14" s="12">
        <f>IF(AND($B$17&gt;0,$AH14&gt;$B$17),"",B$191)</f>
        <v/>
      </c>
      <c r="AJ14" s="12">
        <f>IF(AI14="","","{"&amp;TEXTJOIN(", ",TRUE,IF(B$196:B$216&gt;0,$A$196:$A$216&amp;": "&amp;B$196:B$216,""))&amp;"}")</f>
        <v/>
      </c>
      <c r="AK14" s="12">
        <f>IF(AND($B$17&gt;0,$AH14&gt;$B$17),"",C$191)</f>
        <v/>
      </c>
      <c r="AL14" s="12">
        <f>IF(AK14="","","{"&amp;TEXTJOIN(", ",TRUE,IF(C$196:C$216&gt;0,$A$196:$A$216&amp;": "&amp;C$196:C$216,""))&amp;"}")</f>
        <v/>
      </c>
      <c r="AM14" s="12">
        <f>IF(AND($B$17&gt;0,$AH14&gt;$B$17),"",D$191)</f>
        <v/>
      </c>
      <c r="AN14" s="12">
        <f>IF(AM14="","","{"&amp;TEXTJOIN(", ",TRUE,IF(D$196:D$216&gt;0,$A$196:$A$216&amp;": "&amp;D$196:D$216,""))&amp;"}")</f>
        <v/>
      </c>
      <c r="AO14" s="12">
        <f>IF(AND($B$17&gt;0,$AH14&gt;$B$17),"",E$191)</f>
        <v/>
      </c>
      <c r="AP14" s="12">
        <f>IF(AO14="","","{"&amp;TEXTJOIN(", ",TRUE,IF(E$196:E$216&gt;0,$A$196:$A$216&amp;": "&amp;E$196:E$216,""))&amp;"}")</f>
        <v/>
      </c>
      <c r="AQ14" s="12">
        <f>IF(AND($B$17&gt;0,$AH14&gt;$B$17),"",F$191)</f>
        <v/>
      </c>
      <c r="AR14" s="12">
        <f>IF(AQ14="","","{"&amp;TEXTJOIN(", ",TRUE,IF(F$196:F$216&gt;0,$A$196:$A$216&amp;": "&amp;F$196:F$216,""))&amp;"}")</f>
        <v/>
      </c>
    </row>
    <row r="15">
      <c r="A15" s="9" t="inlineStr">
        <is>
          <t>Empty Outcomes Enabled</t>
        </is>
      </c>
      <c r="B15" s="7" t="inlineStr">
        <is>
          <t>FALSE</t>
        </is>
      </c>
      <c r="C15" s="10" t="inlineStr">
        <is>
          <t>If TRUE, some doors pay nothing without ending the run.</t>
        </is>
      </c>
      <c r="AH15" s="11" t="n">
        <v>11</v>
      </c>
      <c r="AI15" s="12">
        <f>IF(AND($B$17&gt;0,$AH15&gt;$B$17),"",B$191)</f>
        <v/>
      </c>
      <c r="AJ15" s="12">
        <f>IF(AI15="","","{"&amp;TEXTJOIN(", ",TRUE,IF(B$196:B$216&gt;0,$A$196:$A$216&amp;": "&amp;B$196:B$216,""))&amp;"}")</f>
        <v/>
      </c>
      <c r="AK15" s="12">
        <f>IF(AND($B$17&gt;0,$AH15&gt;$B$17),"",C$191)</f>
        <v/>
      </c>
      <c r="AL15" s="12">
        <f>IF(AK15="","","{"&amp;TEXTJOIN(", ",TRUE,IF(C$196:C$216&gt;0,$A$196:$A$216&amp;": "&amp;C$196:C$216,""))&amp;"}")</f>
        <v/>
      </c>
      <c r="AM15" s="12">
        <f>IF(AND($B$17&gt;0,$AH15&gt;$B$17),"",D$191)</f>
        <v/>
      </c>
      <c r="AN15" s="12">
        <f>IF(AM15="","","{"&amp;TEXTJOIN(", ",TRUE,IF(D$196:D$216&gt;0,$A$196:$A$216&amp;": "&amp;D$196:D$216,""))&amp;"}")</f>
        <v/>
      </c>
      <c r="AO15" s="12">
        <f>IF(AND($B$17&gt;0,$AH15&gt;$B$17),"",E$191)</f>
        <v/>
      </c>
      <c r="AP15" s="12">
        <f>IF(AO15="","","{"&amp;TEXTJOIN(", ",TRUE,IF(E$196:E$216&gt;0,$A$196:$A$216&amp;": "&amp;E$196:E$216,""))&amp;"}")</f>
        <v/>
      </c>
      <c r="AQ15" s="12">
        <f>IF(AND($B$17&gt;0,$AH15&gt;$B$17),"",F$191)</f>
        <v/>
      </c>
      <c r="AR15" s="12">
        <f>IF(AQ15="","","{"&amp;TEXTJOIN(", ",TRUE,IF(F$196:F$216&gt;0,$A$196:$A$216&amp;": "&amp;F$196:F$216,""))&amp;"}")</f>
        <v/>
      </c>
    </row>
    <row r="16">
      <c r="A16" s="9" t="inlineStr">
        <is>
          <t>Cash-Out Variant</t>
        </is>
      </c>
      <c r="B16" s="7" t="inlineStr">
        <is>
          <t>A</t>
        </is>
      </c>
      <c r="C16" s="10" t="inlineStr">
        <is>
          <t>A: bank at any node. B: bank only on safe nodes.</t>
        </is>
      </c>
      <c r="AH16" s="11" t="n">
        <v>12</v>
      </c>
      <c r="AI16" s="12">
        <f>IF(AND($B$17&gt;0,$AH16&gt;$B$17),"",B$191)</f>
        <v/>
      </c>
      <c r="AJ16" s="12">
        <f>IF(AI16="","","{"&amp;TEXTJOIN(", ",TRUE,IF(B$196:B$216&gt;0,$A$196:$A$216&amp;": "&amp;B$196:B$216,""))&amp;"}")</f>
        <v/>
      </c>
      <c r="AK16" s="12">
        <f>IF(AND($B$17&gt;0,$AH16&gt;$B$17),"",C$191)</f>
        <v/>
      </c>
      <c r="AL16" s="12">
        <f>IF(AK16="","","{"&amp;TEXTJOIN(", ",TRUE,IF(C$196:C$216&gt;0,$A$196:$A$216&amp;": "&amp;C$196:C$216,""))&amp;"}")</f>
        <v/>
      </c>
      <c r="AM16" s="12">
        <f>IF(AND($B$17&gt;0,$AH16&gt;$B$17),"",D$191)</f>
        <v/>
      </c>
      <c r="AN16" s="12">
        <f>IF(AM16="","","{"&amp;TEXTJOIN(", ",TRUE,IF(D$196:D$216&gt;0,$A$196:$A$216&amp;": "&amp;D$196:D$216,""))&amp;"}")</f>
        <v/>
      </c>
      <c r="AO16" s="12">
        <f>IF(AND($B$17&gt;0,$AH16&gt;$B$17),"",E$191)</f>
        <v/>
      </c>
      <c r="AP16" s="12">
        <f>IF(AO16="","","{"&amp;TEXTJOIN(", ",TRUE,IF(E$196:E$216&gt;0,$A$196:$A$216&amp;": "&amp;E$196:E$216,""))&amp;"}")</f>
        <v/>
      </c>
      <c r="AQ16" s="12">
        <f>IF(AND($B$17&gt;0,$AH16&gt;$B$17),"",F$191)</f>
        <v/>
      </c>
      <c r="AR16" s="12">
        <f>IF(AQ16="","","{"&amp;TEXTJOIN(", ",TRUE,IF(F$196:F$216&gt;0,$A$196:$A$216&amp;": "&amp;F$196:F$216,""))&amp;"}")</f>
        <v/>
      </c>
    </row>
    <row r="17">
      <c r="A17" s="9" t="inlineStr">
        <is>
          <t>Event Duration (days)</t>
        </is>
      </c>
      <c r="B17" s="7" t="n">
        <v>3</v>
      </c>
      <c r="C17" s="10" t="inlineStr">
        <is>
          <t>How long one instance runs.</t>
        </is>
      </c>
      <c r="AH17" s="11" t="n">
        <v>13</v>
      </c>
      <c r="AI17" s="12">
        <f>IF(AND($B$17&gt;0,$AH17&gt;$B$17),"",B$191)</f>
        <v/>
      </c>
      <c r="AJ17" s="12">
        <f>IF(AI17="","","{"&amp;TEXTJOIN(", ",TRUE,IF(B$196:B$216&gt;0,$A$196:$A$216&amp;": "&amp;B$196:B$216,""))&amp;"}")</f>
        <v/>
      </c>
      <c r="AK17" s="12">
        <f>IF(AND($B$17&gt;0,$AH17&gt;$B$17),"",C$191)</f>
        <v/>
      </c>
      <c r="AL17" s="12">
        <f>IF(AK17="","","{"&amp;TEXTJOIN(", ",TRUE,IF(C$196:C$216&gt;0,$A$196:$A$216&amp;": "&amp;C$196:C$216,""))&amp;"}")</f>
        <v/>
      </c>
      <c r="AM17" s="12">
        <f>IF(AND($B$17&gt;0,$AH17&gt;$B$17),"",D$191)</f>
        <v/>
      </c>
      <c r="AN17" s="12">
        <f>IF(AM17="","","{"&amp;TEXTJOIN(", ",TRUE,IF(D$196:D$216&gt;0,$A$196:$A$216&amp;": "&amp;D$196:D$216,""))&amp;"}")</f>
        <v/>
      </c>
      <c r="AO17" s="12">
        <f>IF(AND($B$17&gt;0,$AH17&gt;$B$17),"",E$191)</f>
        <v/>
      </c>
      <c r="AP17" s="12">
        <f>IF(AO17="","","{"&amp;TEXTJOIN(", ",TRUE,IF(E$196:E$216&gt;0,$A$196:$A$216&amp;": "&amp;E$196:E$216,""))&amp;"}")</f>
        <v/>
      </c>
      <c r="AQ17" s="12">
        <f>IF(AND($B$17&gt;0,$AH17&gt;$B$17),"",F$191)</f>
        <v/>
      </c>
      <c r="AR17" s="12">
        <f>IF(AQ17="","","{"&amp;TEXTJOIN(", ",TRUE,IF(F$196:F$216&gt;0,$A$196:$A$216&amp;": "&amp;F$196:F$216,""))&amp;"}")</f>
        <v/>
      </c>
    </row>
    <row r="18">
      <c r="A18" s="3" t="inlineStr">
        <is>
          <t>Runs per Player per Instance</t>
        </is>
      </c>
      <c r="B18" s="13">
        <f>IF($B$13&lt;=0,$B$14,$B$14+($B$17*24)/$B$13)</f>
        <v/>
      </c>
      <c r="C18" s="10" t="inlineStr">
        <is>
          <t>DERIVED: starting tickets plus one per recharge period over the event. The whole faucet scales linearly with this.</t>
        </is>
      </c>
      <c r="AH18" s="11" t="n">
        <v>14</v>
      </c>
      <c r="AI18" s="12">
        <f>IF(AND($B$17&gt;0,$AH18&gt;$B$17),"",B$191)</f>
        <v/>
      </c>
      <c r="AJ18" s="12">
        <f>IF(AI18="","","{"&amp;TEXTJOIN(", ",TRUE,IF(B$196:B$216&gt;0,$A$196:$A$216&amp;": "&amp;B$196:B$216,""))&amp;"}")</f>
        <v/>
      </c>
      <c r="AK18" s="12">
        <f>IF(AND($B$17&gt;0,$AH18&gt;$B$17),"",C$191)</f>
        <v/>
      </c>
      <c r="AL18" s="12">
        <f>IF(AK18="","","{"&amp;TEXTJOIN(", ",TRUE,IF(C$196:C$216&gt;0,$A$196:$A$216&amp;": "&amp;C$196:C$216,""))&amp;"}")</f>
        <v/>
      </c>
      <c r="AM18" s="12">
        <f>IF(AND($B$17&gt;0,$AH18&gt;$B$17),"",D$191)</f>
        <v/>
      </c>
      <c r="AN18" s="12">
        <f>IF(AM18="","","{"&amp;TEXTJOIN(", ",TRUE,IF(D$196:D$216&gt;0,$A$196:$A$216&amp;": "&amp;D$196:D$216,""))&amp;"}")</f>
        <v/>
      </c>
      <c r="AO18" s="12">
        <f>IF(AND($B$17&gt;0,$AH18&gt;$B$17),"",E$191)</f>
        <v/>
      </c>
      <c r="AP18" s="12">
        <f>IF(AO18="","","{"&amp;TEXTJOIN(", ",TRUE,IF(E$196:E$216&gt;0,$A$196:$A$216&amp;": "&amp;E$196:E$216,""))&amp;"}")</f>
        <v/>
      </c>
      <c r="AQ18" s="12">
        <f>IF(AND($B$17&gt;0,$AH18&gt;$B$17),"",F$191)</f>
        <v/>
      </c>
      <c r="AR18" s="12">
        <f>IF(AQ18="","","{"&amp;TEXTJOIN(", ",TRUE,IF(F$196:F$216&gt;0,$A$196:$A$216&amp;": "&amp;F$196:F$216,""))&amp;"}")</f>
        <v/>
      </c>
    </row>
    <row r="20">
      <c r="A20" s="5" t="inlineStr">
        <is>
          <t>SEGMENT BEHAVIOUR</t>
        </is>
      </c>
      <c r="B20" s="6" t="n"/>
      <c r="C20" s="6" t="n"/>
      <c r="D20" s="6" t="n"/>
      <c r="E20" s="6" t="n"/>
      <c r="F20" s="6" t="n"/>
    </row>
    <row r="21">
      <c r="A21" s="8" t="inlineStr">
        <is>
          <t>Segment</t>
        </is>
      </c>
      <c r="B21" s="8" t="inlineStr">
        <is>
          <t>Continue Take-Up</t>
        </is>
      </c>
      <c r="C21" s="8" t="inlineStr">
        <is>
          <t>Cash-Out Stage</t>
        </is>
      </c>
      <c r="D21" s="8" t="inlineStr">
        <is>
          <t>Runs per Active Day</t>
        </is>
      </c>
      <c r="E21" s="8" t="inlineStr">
        <is>
          <t>Max Continues per Run</t>
        </is>
      </c>
      <c r="F21" s="8" t="inlineStr">
        <is>
          <t>What this row says about this player type</t>
        </is>
      </c>
    </row>
    <row r="22">
      <c r="A22" s="11" t="inlineStr">
        <is>
          <t>0-9</t>
        </is>
      </c>
      <c r="B22" s="14" t="n">
        <v>0.05</v>
      </c>
      <c r="C22" s="7" t="n">
        <v>6</v>
      </c>
      <c r="D22" s="13">
        <f>IF($B$13&lt;=0,0,24/$B$13)</f>
        <v/>
      </c>
      <c r="E22" s="7" t="n">
        <v>0</v>
      </c>
      <c r="F22" s="10" t="inlineStr">
        <is>
          <t>Rarely pays to revive, banks early at the first safe node.</t>
        </is>
      </c>
    </row>
    <row r="23">
      <c r="A23" s="11" t="inlineStr">
        <is>
          <t>10-19</t>
        </is>
      </c>
      <c r="B23" s="14" t="n">
        <v>0.1</v>
      </c>
      <c r="C23" s="7" t="n">
        <v>9</v>
      </c>
      <c r="D23" s="13">
        <f>IF($B$13&lt;=0,0,24/$B$13)</f>
        <v/>
      </c>
      <c r="E23" s="7" t="n">
        <v>0</v>
      </c>
      <c r="F23" s="10" t="inlineStr">
        <is>
          <t>Occasionally revives, pushes one safe node further.</t>
        </is>
      </c>
    </row>
    <row r="24">
      <c r="A24" s="11" t="inlineStr">
        <is>
          <t>20-39</t>
        </is>
      </c>
      <c r="B24" s="14" t="n">
        <v>0.2</v>
      </c>
      <c r="C24" s="7" t="n">
        <v>12</v>
      </c>
      <c r="D24" s="13">
        <f>IF($B$13&lt;=0,0,24/$B$13)</f>
        <v/>
      </c>
      <c r="E24" s="7" t="n">
        <v>0</v>
      </c>
      <c r="F24" s="10" t="inlineStr">
        <is>
          <t>Revives one time in five, comfortable going past the halfway safe node.</t>
        </is>
      </c>
    </row>
    <row r="25">
      <c r="A25" s="11" t="inlineStr">
        <is>
          <t>40-99</t>
        </is>
      </c>
      <c r="B25" s="14" t="n">
        <v>0.35</v>
      </c>
      <c r="C25" s="7" t="n">
        <v>15</v>
      </c>
      <c r="D25" s="13">
        <f>IF($B$13&lt;=0,0,24/$B$13)</f>
        <v/>
      </c>
      <c r="E25" s="7" t="n">
        <v>0</v>
      </c>
      <c r="F25" s="10" t="inlineStr">
        <is>
          <t>Often revives, pushes deep because the coins are affordable.</t>
        </is>
      </c>
    </row>
    <row r="26">
      <c r="A26" s="11" t="inlineStr">
        <is>
          <t>100+</t>
        </is>
      </c>
      <c r="B26" s="14" t="n">
        <v>0.55</v>
      </c>
      <c r="C26" s="7" t="n">
        <v>20</v>
      </c>
      <c r="D26" s="13">
        <f>IF($B$13&lt;=0,0,24/$B$13)</f>
        <v/>
      </c>
      <c r="E26" s="7" t="n">
        <v>0</v>
      </c>
      <c r="F26" s="10" t="inlineStr">
        <is>
          <t>Revives more often than not, so the Pig rarely stops the run.</t>
        </is>
      </c>
    </row>
    <row r="27">
      <c r="A27" s="10" t="inlineStr">
        <is>
          <t>Continue Take-Up: the chance this player PAYS COINS to revive when a Pig ends their run. It is not a retention number. At 100% the Pig never stops them and every run reaches the end.</t>
        </is>
      </c>
    </row>
    <row r="28">
      <c r="A28" s="10" t="inlineStr">
        <is>
          <t>Cash-Out Stage: the node where this player voluntarily stops and banks what they have. They only get paid if they actually REACH it, because a Pig before then loses everything.</t>
        </is>
      </c>
    </row>
    <row r="29">
      <c r="A29" s="10" t="inlineStr">
        <is>
          <t>Runs per Active Day: DERIVED from Ticket Recharge, so it is the same for every segment.</t>
        </is>
      </c>
    </row>
    <row r="30">
      <c r="A30" s="10" t="inlineStr">
        <is>
          <t>Max Continues per Run: 0 means unlimited, which is the current decision.</t>
        </is>
      </c>
    </row>
    <row r="32">
      <c r="A32" s="5" t="inlineStr">
        <is>
          <t>CONTINUE COST LADDER</t>
        </is>
      </c>
      <c r="B32" s="6" t="n"/>
      <c r="C32" s="6" t="n"/>
      <c r="D32" s="6" t="n"/>
    </row>
    <row r="33">
      <c r="A33" s="10" t="inlineStr">
        <is>
          <t>What it is: the COIN PRICE of reviving after a Pig, within a single run. The first revive in a run costs row 1, the second costs row 2, and so on. Costs must rise each time (deck p8).</t>
        </is>
      </c>
    </row>
    <row r="34">
      <c r="A34" s="10" t="inlineStr">
        <is>
          <t>This is an INPUT you author. It is a coin SINK, the only one this event has, and it is how the feature is meant to make money.</t>
        </is>
      </c>
    </row>
    <row r="35">
      <c r="A35" s="8" t="inlineStr">
        <is>
          <t>Continue # in this run</t>
        </is>
      </c>
      <c r="B35" s="8" t="inlineStr">
        <is>
          <t>Cost (Coins)</t>
        </is>
      </c>
      <c r="C35" s="8" t="inlineStr">
        <is>
          <t>Cumulative if they revive this many times</t>
        </is>
      </c>
    </row>
    <row r="36">
      <c r="A36" s="11" t="n">
        <v>1</v>
      </c>
      <c r="B36" s="7" t="n">
        <v>50</v>
      </c>
      <c r="C36" s="12">
        <f>SUM($B$36:$B36)</f>
        <v/>
      </c>
    </row>
    <row r="37">
      <c r="A37" s="11" t="n">
        <v>2</v>
      </c>
      <c r="B37" s="7" t="n">
        <v>75</v>
      </c>
      <c r="C37" s="12">
        <f>SUM($B$36:$B37)</f>
        <v/>
      </c>
    </row>
    <row r="38">
      <c r="A38" s="11" t="n">
        <v>3</v>
      </c>
      <c r="B38" s="7" t="n">
        <v>110</v>
      </c>
      <c r="C38" s="12">
        <f>SUM($B$36:$B38)</f>
        <v/>
      </c>
    </row>
    <row r="39">
      <c r="A39" s="11" t="n">
        <v>4</v>
      </c>
      <c r="B39" s="7" t="n">
        <v>165</v>
      </c>
      <c r="C39" s="12">
        <f>SUM($B$36:$B39)</f>
        <v/>
      </c>
    </row>
    <row r="40">
      <c r="A40" s="11" t="n">
        <v>5</v>
      </c>
      <c r="B40" s="7" t="n">
        <v>250</v>
      </c>
      <c r="C40" s="12">
        <f>SUM($B$36:$B40)</f>
        <v/>
      </c>
    </row>
    <row r="41">
      <c r="A41" s="11" t="n">
        <v>6</v>
      </c>
      <c r="B41" s="7" t="n">
        <v>375</v>
      </c>
      <c r="C41" s="12">
        <f>SUM($B$36:$B41)</f>
        <v/>
      </c>
    </row>
    <row r="42">
      <c r="A42" s="11" t="n">
        <v>7</v>
      </c>
      <c r="B42" s="7" t="n">
        <v>560</v>
      </c>
      <c r="C42" s="12">
        <f>SUM($B$36:$B42)</f>
        <v/>
      </c>
    </row>
    <row r="43">
      <c r="A43" s="11" t="n">
        <v>8</v>
      </c>
      <c r="B43" s="7" t="n">
        <v>840</v>
      </c>
      <c r="C43" s="12">
        <f>SUM($B$36:$B43)</f>
        <v/>
      </c>
    </row>
    <row r="44">
      <c r="A44" s="11" t="n">
        <v>9</v>
      </c>
      <c r="B44" s="7" t="n">
        <v>1260</v>
      </c>
      <c r="C44" s="12">
        <f>SUM($B$36:$B44)</f>
        <v/>
      </c>
    </row>
    <row r="45">
      <c r="A45" s="11" t="n">
        <v>10</v>
      </c>
      <c r="B45" s="7" t="n">
        <v>1890</v>
      </c>
      <c r="C45" s="12">
        <f>SUM($B$36:$B45)</f>
        <v/>
      </c>
    </row>
    <row r="47">
      <c r="A47" s="5" t="inlineStr">
        <is>
          <t>STAGES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10" t="inlineStr">
        <is>
          <t>One row per node. Pig Slots rises with depth (1 for stages 1 to 20, 2 for 21 to 40, 3 for 41 to 60) and never goes above 3, so later nodes are far more dangerous. Safe nodes carry none.</t>
        </is>
      </c>
    </row>
    <row r="49">
      <c r="A49" s="10" t="inlineStr">
        <is>
          <t>Which door hides the Pig is drawn at random when the player arrives, so only the COUNT is configurable, never the position.</t>
        </is>
      </c>
    </row>
    <row r="50">
      <c r="A50" s="10" t="inlineStr">
        <is>
          <t>Rewards are tuned so the event pays each segment roughly 75% of what Rainbow Maker pays, allowing for 3 days against Rainbow Maker 4. See builders/_md_ladder.py for the solve.</t>
        </is>
      </c>
    </row>
    <row r="51">
      <c r="A51" s="8" t="inlineStr">
        <is>
          <t>Stage</t>
        </is>
      </c>
      <c r="B51" s="8" t="inlineStr">
        <is>
          <t>Type</t>
        </is>
      </c>
      <c r="C51" s="8" t="inlineStr">
        <is>
          <t>Tier</t>
        </is>
      </c>
      <c r="D51" s="8" t="inlineStr">
        <is>
          <t>Choices</t>
        </is>
      </c>
      <c r="E51" s="8" t="inlineStr">
        <is>
          <t>Reward Slots</t>
        </is>
      </c>
      <c r="F51" s="8" t="inlineStr">
        <is>
          <t>Pig Slots</t>
        </is>
      </c>
      <c r="G51" s="8" t="inlineStr">
        <is>
          <t>Empty Slots</t>
        </is>
      </c>
      <c r="H51" s="8" t="inlineStr">
        <is>
          <t>Survive p</t>
        </is>
      </c>
      <c r="I51" s="8" t="inlineStr">
        <is>
          <t>P(reward | survived)</t>
        </is>
      </c>
      <c r="J51" s="8" t="inlineStr">
        <is>
          <t>Coins</t>
        </is>
      </c>
      <c r="K51" s="8" t="inlineStr">
        <is>
          <t>SPT</t>
        </is>
      </c>
      <c r="L51" s="8" t="inlineStr">
        <is>
          <t>SPT x2</t>
        </is>
      </c>
      <c r="M51" s="8" t="inlineStr">
        <is>
          <t>Red</t>
        </is>
      </c>
      <c r="N51" s="8" t="inlineStr">
        <is>
          <t>Chuck</t>
        </is>
      </c>
      <c r="O51" s="8" t="inlineStr">
        <is>
          <t>Bomb</t>
        </is>
      </c>
      <c r="P51" s="8" t="inlineStr">
        <is>
          <t>Slingshot</t>
        </is>
      </c>
      <c r="Q51" s="8" t="inlineStr">
        <is>
          <t>Shuffle</t>
        </is>
      </c>
      <c r="R51" s="8" t="inlineStr">
        <is>
          <t>Comet</t>
        </is>
      </c>
      <c r="S51" s="8" t="inlineStr">
        <is>
          <t>Unlimited Lives</t>
        </is>
      </c>
      <c r="T51" s="8" t="inlineStr">
        <is>
          <t>Unlimited Red</t>
        </is>
      </c>
      <c r="U51" s="8" t="inlineStr">
        <is>
          <t>Unlimited Chuck</t>
        </is>
      </c>
      <c r="V51" s="8" t="inlineStr">
        <is>
          <t>Unlimited Bomb</t>
        </is>
      </c>
      <c r="W51" s="8" t="inlineStr">
        <is>
          <t>COOP Token</t>
        </is>
      </c>
      <c r="X51" s="8" t="inlineStr">
        <is>
          <t>Avatar</t>
        </is>
      </c>
      <c r="Y51" s="8" t="inlineStr">
        <is>
          <t>1-star Dly</t>
        </is>
      </c>
      <c r="Z51" s="8" t="inlineStr">
        <is>
          <t>2-star Dly</t>
        </is>
      </c>
      <c r="AA51" s="8" t="inlineStr">
        <is>
          <t>3-star Dly</t>
        </is>
      </c>
      <c r="AB51" s="8" t="inlineStr">
        <is>
          <t>4-star Dly</t>
        </is>
      </c>
      <c r="AC51" s="8" t="inlineStr">
        <is>
          <t>5-star Dly</t>
        </is>
      </c>
      <c r="AD51" s="8" t="inlineStr">
        <is>
          <t>6-star Dly</t>
        </is>
      </c>
    </row>
    <row r="52">
      <c r="A52" s="11" t="n">
        <v>1</v>
      </c>
      <c r="B52" s="12">
        <f>IF(A52=1,"Safe (Start)",IF(OR(A52=$B$9,A52=$B$10),"Milestone",IF(AND($B$8&gt;0,MOD(A52,$B$8)=0),"Safe","Standard")))</f>
        <v/>
      </c>
      <c r="C52" s="12">
        <f>MIN(6,MAX(1,ROUNDUP(A52/$B$11,0)))</f>
        <v/>
      </c>
      <c r="D52" s="7">
        <f>$B$6</f>
        <v/>
      </c>
      <c r="E52" s="12">
        <f>MAX(0,$D52-$F52-$G52)</f>
        <v/>
      </c>
      <c r="F52" s="12">
        <f>IF($B52&lt;&gt;"Standard",0,MIN(3,MAX($B$7,IF($C52&lt;=2,1,IF($C52&lt;=4,2,3)))))</f>
        <v/>
      </c>
      <c r="G52" s="7" t="n">
        <v>0</v>
      </c>
      <c r="H52" s="15">
        <f>IF($D52&lt;=0,0,($D52-$F52)/$D52)</f>
        <v/>
      </c>
      <c r="I52" s="15">
        <f>IF($D52-$F52&lt;=0,0,$E52/($D52-$F52))</f>
        <v/>
      </c>
      <c r="J52" s="7" t="n">
        <v>0</v>
      </c>
      <c r="K52" s="7" t="n">
        <v>1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</row>
    <row r="53">
      <c r="A53" s="11" t="n">
        <v>2</v>
      </c>
      <c r="B53" s="12">
        <f>IF(A53=1,"Safe (Start)",IF(OR(A53=$B$9,A53=$B$10),"Milestone",IF(AND($B$8&gt;0,MOD(A53,$B$8)=0),"Safe","Standard")))</f>
        <v/>
      </c>
      <c r="C53" s="12">
        <f>MIN(6,MAX(1,ROUNDUP(A53/$B$11,0)))</f>
        <v/>
      </c>
      <c r="D53" s="7">
        <f>$B$6</f>
        <v/>
      </c>
      <c r="E53" s="12">
        <f>MAX(0,$D53-$F53-$G53)</f>
        <v/>
      </c>
      <c r="F53" s="12">
        <f>IF($B53&lt;&gt;"Standard",0,MIN(3,MAX($B$7,IF($C53&lt;=2,1,IF($C53&lt;=4,2,3)))))</f>
        <v/>
      </c>
      <c r="G53" s="7" t="n">
        <v>0</v>
      </c>
      <c r="H53" s="15">
        <f>IF($D53&lt;=0,0,($D53-$F53)/$D53)</f>
        <v/>
      </c>
      <c r="I53" s="15">
        <f>IF($D53-$F53&lt;=0,0,$E53/($D53-$F53))</f>
        <v/>
      </c>
      <c r="J53" s="7" t="n">
        <v>0</v>
      </c>
      <c r="K53" s="7" t="n">
        <v>1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</row>
    <row r="54">
      <c r="A54" s="11" t="n">
        <v>3</v>
      </c>
      <c r="B54" s="12">
        <f>IF(A54=1,"Safe (Start)",IF(OR(A54=$B$9,A54=$B$10),"Milestone",IF(AND($B$8&gt;0,MOD(A54,$B$8)=0),"Safe","Standard")))</f>
        <v/>
      </c>
      <c r="C54" s="12">
        <f>MIN(6,MAX(1,ROUNDUP(A54/$B$11,0)))</f>
        <v/>
      </c>
      <c r="D54" s="7">
        <f>$B$6</f>
        <v/>
      </c>
      <c r="E54" s="12">
        <f>MAX(0,$D54-$F54-$G54)</f>
        <v/>
      </c>
      <c r="F54" s="12">
        <f>IF($B54&lt;&gt;"Standard",0,MIN(3,MAX($B$7,IF($C54&lt;=2,1,IF($C54&lt;=4,2,3)))))</f>
        <v/>
      </c>
      <c r="G54" s="7" t="n">
        <v>0</v>
      </c>
      <c r="H54" s="15">
        <f>IF($D54&lt;=0,0,($D54-$F54)/$D54)</f>
        <v/>
      </c>
      <c r="I54" s="15">
        <f>IF($D54-$F54&lt;=0,0,$E54/($D54-$F54))</f>
        <v/>
      </c>
      <c r="J54" s="7" t="n">
        <v>0</v>
      </c>
      <c r="K54" s="7" t="n">
        <v>1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</row>
    <row r="55">
      <c r="A55" s="11" t="n">
        <v>4</v>
      </c>
      <c r="B55" s="12">
        <f>IF(A55=1,"Safe (Start)",IF(OR(A55=$B$9,A55=$B$10),"Milestone",IF(AND($B$8&gt;0,MOD(A55,$B$8)=0),"Safe","Standard")))</f>
        <v/>
      </c>
      <c r="C55" s="12">
        <f>MIN(6,MAX(1,ROUNDUP(A55/$B$11,0)))</f>
        <v/>
      </c>
      <c r="D55" s="7">
        <f>$B$6</f>
        <v/>
      </c>
      <c r="E55" s="12">
        <f>MAX(0,$D55-$F55-$G55)</f>
        <v/>
      </c>
      <c r="F55" s="12">
        <f>IF($B55&lt;&gt;"Standard",0,MIN(3,MAX($B$7,IF($C55&lt;=2,1,IF($C55&lt;=4,2,3)))))</f>
        <v/>
      </c>
      <c r="G55" s="7" t="n">
        <v>0</v>
      </c>
      <c r="H55" s="15">
        <f>IF($D55&lt;=0,0,($D55-$F55)/$D55)</f>
        <v/>
      </c>
      <c r="I55" s="15">
        <f>IF($D55-$F55&lt;=0,0,$E55/($D55-$F55))</f>
        <v/>
      </c>
      <c r="J55" s="7" t="n">
        <v>0</v>
      </c>
      <c r="K55" s="7" t="n">
        <v>1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</row>
    <row r="56">
      <c r="A56" s="11" t="n">
        <v>5</v>
      </c>
      <c r="B56" s="12">
        <f>IF(A56=1,"Safe (Start)",IF(OR(A56=$B$9,A56=$B$10),"Milestone",IF(AND($B$8&gt;0,MOD(A56,$B$8)=0),"Safe","Standard")))</f>
        <v/>
      </c>
      <c r="C56" s="12">
        <f>MIN(6,MAX(1,ROUNDUP(A56/$B$11,0)))</f>
        <v/>
      </c>
      <c r="D56" s="7">
        <f>$B$6</f>
        <v/>
      </c>
      <c r="E56" s="12">
        <f>MAX(0,$D56-$F56-$G56)</f>
        <v/>
      </c>
      <c r="F56" s="12">
        <f>IF($B56&lt;&gt;"Standard",0,MIN(3,MAX($B$7,IF($C56&lt;=2,1,IF($C56&lt;=4,2,3)))))</f>
        <v/>
      </c>
      <c r="G56" s="7" t="n">
        <v>0</v>
      </c>
      <c r="H56" s="15">
        <f>IF($D56&lt;=0,0,($D56-$F56)/$D56)</f>
        <v/>
      </c>
      <c r="I56" s="15">
        <f>IF($D56-$F56&lt;=0,0,$E56/($D56-$F56))</f>
        <v/>
      </c>
      <c r="J56" s="7" t="n">
        <v>0</v>
      </c>
      <c r="K56" s="7" t="n">
        <v>1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</row>
    <row r="57">
      <c r="A57" s="11" t="n">
        <v>6</v>
      </c>
      <c r="B57" s="12">
        <f>IF(A57=1,"Safe (Start)",IF(OR(A57=$B$9,A57=$B$10),"Milestone",IF(AND($B$8&gt;0,MOD(A57,$B$8)=0),"Safe","Standard")))</f>
        <v/>
      </c>
      <c r="C57" s="12">
        <f>MIN(6,MAX(1,ROUNDUP(A57/$B$11,0)))</f>
        <v/>
      </c>
      <c r="D57" s="7">
        <f>$B$6</f>
        <v/>
      </c>
      <c r="E57" s="12">
        <f>MAX(0,$D57-$F57-$G57)</f>
        <v/>
      </c>
      <c r="F57" s="12">
        <f>IF($B57&lt;&gt;"Standard",0,MIN(3,MAX($B$7,IF($C57&lt;=2,1,IF($C57&lt;=4,2,3)))))</f>
        <v/>
      </c>
      <c r="G57" s="7" t="n">
        <v>0</v>
      </c>
      <c r="H57" s="15">
        <f>IF($D57&lt;=0,0,($D57-$F57)/$D57)</f>
        <v/>
      </c>
      <c r="I57" s="15">
        <f>IF($D57-$F57&lt;=0,0,$E57/($D57-$F57))</f>
        <v/>
      </c>
      <c r="J57" s="7" t="n">
        <v>0</v>
      </c>
      <c r="K57" s="7" t="n">
        <v>1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</row>
    <row r="58">
      <c r="A58" s="11" t="n">
        <v>7</v>
      </c>
      <c r="B58" s="12">
        <f>IF(A58=1,"Safe (Start)",IF(OR(A58=$B$9,A58=$B$10),"Milestone",IF(AND($B$8&gt;0,MOD(A58,$B$8)=0),"Safe","Standard")))</f>
        <v/>
      </c>
      <c r="C58" s="12">
        <f>MIN(6,MAX(1,ROUNDUP(A58/$B$11,0)))</f>
        <v/>
      </c>
      <c r="D58" s="7">
        <f>$B$6</f>
        <v/>
      </c>
      <c r="E58" s="12">
        <f>MAX(0,$D58-$F58-$G58)</f>
        <v/>
      </c>
      <c r="F58" s="12">
        <f>IF($B58&lt;&gt;"Standard",0,MIN(3,MAX($B$7,IF($C58&lt;=2,1,IF($C58&lt;=4,2,3)))))</f>
        <v/>
      </c>
      <c r="G58" s="7" t="n">
        <v>0</v>
      </c>
      <c r="H58" s="15">
        <f>IF($D58&lt;=0,0,($D58-$F58)/$D58)</f>
        <v/>
      </c>
      <c r="I58" s="15">
        <f>IF($D58-$F58&lt;=0,0,$E58/($D58-$F58))</f>
        <v/>
      </c>
      <c r="J58" s="7" t="n">
        <v>5</v>
      </c>
      <c r="K58" s="7" t="n">
        <v>4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</row>
    <row r="59">
      <c r="A59" s="11" t="n">
        <v>8</v>
      </c>
      <c r="B59" s="12">
        <f>IF(A59=1,"Safe (Start)",IF(OR(A59=$B$9,A59=$B$10),"Milestone",IF(AND($B$8&gt;0,MOD(A59,$B$8)=0),"Safe","Standard")))</f>
        <v/>
      </c>
      <c r="C59" s="12">
        <f>MIN(6,MAX(1,ROUNDUP(A59/$B$11,0)))</f>
        <v/>
      </c>
      <c r="D59" s="7">
        <f>$B$6</f>
        <v/>
      </c>
      <c r="E59" s="12">
        <f>MAX(0,$D59-$F59-$G59)</f>
        <v/>
      </c>
      <c r="F59" s="12">
        <f>IF($B59&lt;&gt;"Standard",0,MIN(3,MAX($B$7,IF($C59&lt;=2,1,IF($C59&lt;=4,2,3)))))</f>
        <v/>
      </c>
      <c r="G59" s="7" t="n">
        <v>0</v>
      </c>
      <c r="H59" s="15">
        <f>IF($D59&lt;=0,0,($D59-$F59)/$D59)</f>
        <v/>
      </c>
      <c r="I59" s="15">
        <f>IF($D59-$F59&lt;=0,0,$E59/($D59-$F59))</f>
        <v/>
      </c>
      <c r="J59" s="7" t="n">
        <v>0</v>
      </c>
      <c r="K59" s="7" t="n">
        <v>5</v>
      </c>
      <c r="L59" s="7" t="n">
        <v>1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10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</row>
    <row r="60">
      <c r="A60" s="11" t="n">
        <v>9</v>
      </c>
      <c r="B60" s="12">
        <f>IF(A60=1,"Safe (Start)",IF(OR(A60=$B$9,A60=$B$10),"Milestone",IF(AND($B$8&gt;0,MOD(A60,$B$8)=0),"Safe","Standard")))</f>
        <v/>
      </c>
      <c r="C60" s="12">
        <f>MIN(6,MAX(1,ROUNDUP(A60/$B$11,0)))</f>
        <v/>
      </c>
      <c r="D60" s="7">
        <f>$B$6</f>
        <v/>
      </c>
      <c r="E60" s="12">
        <f>MAX(0,$D60-$F60-$G60)</f>
        <v/>
      </c>
      <c r="F60" s="12">
        <f>IF($B60&lt;&gt;"Standard",0,MIN(3,MAX($B$7,IF($C60&lt;=2,1,IF($C60&lt;=4,2,3)))))</f>
        <v/>
      </c>
      <c r="G60" s="7" t="n">
        <v>0</v>
      </c>
      <c r="H60" s="15">
        <f>IF($D60&lt;=0,0,($D60-$F60)/$D60)</f>
        <v/>
      </c>
      <c r="I60" s="15">
        <f>IF($D60-$F60&lt;=0,0,$E60/($D60-$F60))</f>
        <v/>
      </c>
      <c r="J60" s="7" t="n">
        <v>0</v>
      </c>
      <c r="K60" s="7" t="n">
        <v>4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</row>
    <row r="61">
      <c r="A61" s="11" t="n">
        <v>10</v>
      </c>
      <c r="B61" s="12">
        <f>IF(A61=1,"Safe (Start)",IF(OR(A61=$B$9,A61=$B$10),"Milestone",IF(AND($B$8&gt;0,MOD(A61,$B$8)=0),"Safe","Standard")))</f>
        <v/>
      </c>
      <c r="C61" s="12">
        <f>MIN(6,MAX(1,ROUNDUP(A61/$B$11,0)))</f>
        <v/>
      </c>
      <c r="D61" s="7">
        <f>$B$6</f>
        <v/>
      </c>
      <c r="E61" s="12">
        <f>MAX(0,$D61-$F61-$G61)</f>
        <v/>
      </c>
      <c r="F61" s="12">
        <f>IF($B61&lt;&gt;"Standard",0,MIN(3,MAX($B$7,IF($C61&lt;=2,1,IF($C61&lt;=4,2,3)))))</f>
        <v/>
      </c>
      <c r="G61" s="7" t="n">
        <v>0</v>
      </c>
      <c r="H61" s="15">
        <f>IF($D61&lt;=0,0,($D61-$F61)/$D61)</f>
        <v/>
      </c>
      <c r="I61" s="15">
        <f>IF($D61-$F61&lt;=0,0,$E61/($D61-$F61))</f>
        <v/>
      </c>
      <c r="J61" s="7" t="n">
        <v>5</v>
      </c>
      <c r="K61" s="7" t="n">
        <v>9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</row>
    <row r="62">
      <c r="A62" s="11" t="n">
        <v>11</v>
      </c>
      <c r="B62" s="12">
        <f>IF(A62=1,"Safe (Start)",IF(OR(A62=$B$9,A62=$B$10),"Milestone",IF(AND($B$8&gt;0,MOD(A62,$B$8)=0),"Safe","Standard")))</f>
        <v/>
      </c>
      <c r="C62" s="12">
        <f>MIN(6,MAX(1,ROUNDUP(A62/$B$11,0)))</f>
        <v/>
      </c>
      <c r="D62" s="7">
        <f>$B$6</f>
        <v/>
      </c>
      <c r="E62" s="12">
        <f>MAX(0,$D62-$F62-$G62)</f>
        <v/>
      </c>
      <c r="F62" s="12">
        <f>IF($B62&lt;&gt;"Standard",0,MIN(3,MAX($B$7,IF($C62&lt;=2,1,IF($C62&lt;=4,2,3)))))</f>
        <v/>
      </c>
      <c r="G62" s="7" t="n">
        <v>0</v>
      </c>
      <c r="H62" s="15">
        <f>IF($D62&lt;=0,0,($D62-$F62)/$D62)</f>
        <v/>
      </c>
      <c r="I62" s="15">
        <f>IF($D62-$F62&lt;=0,0,$E62/($D62-$F62))</f>
        <v/>
      </c>
      <c r="J62" s="7" t="n">
        <v>0</v>
      </c>
      <c r="K62" s="7" t="n">
        <v>9</v>
      </c>
      <c r="L62" s="7" t="n">
        <v>1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</row>
    <row r="63">
      <c r="A63" s="11" t="n">
        <v>12</v>
      </c>
      <c r="B63" s="12">
        <f>IF(A63=1,"Safe (Start)",IF(OR(A63=$B$9,A63=$B$10),"Milestone",IF(AND($B$8&gt;0,MOD(A63,$B$8)=0),"Safe","Standard")))</f>
        <v/>
      </c>
      <c r="C63" s="12">
        <f>MIN(6,MAX(1,ROUNDUP(A63/$B$11,0)))</f>
        <v/>
      </c>
      <c r="D63" s="7">
        <f>$B$6</f>
        <v/>
      </c>
      <c r="E63" s="12">
        <f>MAX(0,$D63-$F63-$G63)</f>
        <v/>
      </c>
      <c r="F63" s="12">
        <f>IF($B63&lt;&gt;"Standard",0,MIN(3,MAX($B$7,IF($C63&lt;=2,1,IF($C63&lt;=4,2,3)))))</f>
        <v/>
      </c>
      <c r="G63" s="7" t="n">
        <v>0</v>
      </c>
      <c r="H63" s="15">
        <f>IF($D63&lt;=0,0,($D63-$F63)/$D63)</f>
        <v/>
      </c>
      <c r="I63" s="15">
        <f>IF($D63-$F63&lt;=0,0,$E63/($D63-$F63))</f>
        <v/>
      </c>
      <c r="J63" s="7" t="n">
        <v>5</v>
      </c>
      <c r="K63" s="7" t="n">
        <v>9</v>
      </c>
      <c r="L63" s="7" t="n">
        <v>0</v>
      </c>
      <c r="M63" s="7" t="n">
        <v>1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</row>
    <row r="64">
      <c r="A64" s="11" t="n">
        <v>13</v>
      </c>
      <c r="B64" s="12">
        <f>IF(A64=1,"Safe (Start)",IF(OR(A64=$B$9,A64=$B$10),"Milestone",IF(AND($B$8&gt;0,MOD(A64,$B$8)=0),"Safe","Standard")))</f>
        <v/>
      </c>
      <c r="C64" s="12">
        <f>MIN(6,MAX(1,ROUNDUP(A64/$B$11,0)))</f>
        <v/>
      </c>
      <c r="D64" s="7">
        <f>$B$6</f>
        <v/>
      </c>
      <c r="E64" s="12">
        <f>MAX(0,$D64-$F64-$G64)</f>
        <v/>
      </c>
      <c r="F64" s="12">
        <f>IF($B64&lt;&gt;"Standard",0,MIN(3,MAX($B$7,IF($C64&lt;=2,1,IF($C64&lt;=4,2,3)))))</f>
        <v/>
      </c>
      <c r="G64" s="7" t="n">
        <v>0</v>
      </c>
      <c r="H64" s="15">
        <f>IF($D64&lt;=0,0,($D64-$F64)/$D64)</f>
        <v/>
      </c>
      <c r="I64" s="15">
        <f>IF($D64-$F64&lt;=0,0,$E64/($D64-$F64))</f>
        <v/>
      </c>
      <c r="J64" s="7" t="n">
        <v>5</v>
      </c>
      <c r="K64" s="7" t="n">
        <v>22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</row>
    <row r="65">
      <c r="A65" s="11" t="n">
        <v>14</v>
      </c>
      <c r="B65" s="12">
        <f>IF(A65=1,"Safe (Start)",IF(OR(A65=$B$9,A65=$B$10),"Milestone",IF(AND($B$8&gt;0,MOD(A65,$B$8)=0),"Safe","Standard")))</f>
        <v/>
      </c>
      <c r="C65" s="12">
        <f>MIN(6,MAX(1,ROUNDUP(A65/$B$11,0)))</f>
        <v/>
      </c>
      <c r="D65" s="7">
        <f>$B$6</f>
        <v/>
      </c>
      <c r="E65" s="12">
        <f>MAX(0,$D65-$F65-$G65)</f>
        <v/>
      </c>
      <c r="F65" s="12">
        <f>IF($B65&lt;&gt;"Standard",0,MIN(3,MAX($B$7,IF($C65&lt;=2,1,IF($C65&lt;=4,2,3)))))</f>
        <v/>
      </c>
      <c r="G65" s="7" t="n">
        <v>0</v>
      </c>
      <c r="H65" s="15">
        <f>IF($D65&lt;=0,0,($D65-$F65)/$D65)</f>
        <v/>
      </c>
      <c r="I65" s="15">
        <f>IF($D65-$F65&lt;=0,0,$E65/($D65-$F65))</f>
        <v/>
      </c>
      <c r="J65" s="7" t="n">
        <v>0</v>
      </c>
      <c r="K65" s="7" t="n">
        <v>22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</row>
    <row r="66">
      <c r="A66" s="11" t="n">
        <v>15</v>
      </c>
      <c r="B66" s="12">
        <f>IF(A66=1,"Safe (Start)",IF(OR(A66=$B$9,A66=$B$10),"Milestone",IF(AND($B$8&gt;0,MOD(A66,$B$8)=0),"Safe","Standard")))</f>
        <v/>
      </c>
      <c r="C66" s="12">
        <f>MIN(6,MAX(1,ROUNDUP(A66/$B$11,0)))</f>
        <v/>
      </c>
      <c r="D66" s="7">
        <f>$B$6</f>
        <v/>
      </c>
      <c r="E66" s="12">
        <f>MAX(0,$D66-$F66-$G66)</f>
        <v/>
      </c>
      <c r="F66" s="12">
        <f>IF($B66&lt;&gt;"Standard",0,MIN(3,MAX($B$7,IF($C66&lt;=2,1,IF($C66&lt;=4,2,3)))))</f>
        <v/>
      </c>
      <c r="G66" s="7" t="n">
        <v>0</v>
      </c>
      <c r="H66" s="15">
        <f>IF($D66&lt;=0,0,($D66-$F66)/$D66)</f>
        <v/>
      </c>
      <c r="I66" s="15">
        <f>IF($D66-$F66&lt;=0,0,$E66/($D66-$F66))</f>
        <v/>
      </c>
      <c r="J66" s="7" t="n">
        <v>5</v>
      </c>
      <c r="K66" s="7" t="n">
        <v>23</v>
      </c>
      <c r="L66" s="7" t="n">
        <v>1</v>
      </c>
      <c r="M66" s="7" t="n">
        <v>0</v>
      </c>
      <c r="N66" s="7" t="n">
        <v>0</v>
      </c>
      <c r="O66" s="7" t="n">
        <v>0</v>
      </c>
      <c r="P66" s="7" t="n">
        <v>1</v>
      </c>
      <c r="Q66" s="7" t="n">
        <v>0</v>
      </c>
      <c r="R66" s="7" t="n">
        <v>0</v>
      </c>
      <c r="S66" s="7" t="n">
        <v>10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1</v>
      </c>
      <c r="Z66" s="7" t="n">
        <v>1</v>
      </c>
      <c r="AA66" s="7" t="n">
        <v>0</v>
      </c>
      <c r="AB66" s="7" t="n">
        <v>0</v>
      </c>
      <c r="AC66" s="7" t="n">
        <v>0</v>
      </c>
      <c r="AD66" s="7" t="n">
        <v>0</v>
      </c>
    </row>
    <row r="67">
      <c r="A67" s="11" t="n">
        <v>16</v>
      </c>
      <c r="B67" s="12">
        <f>IF(A67=1,"Safe (Start)",IF(OR(A67=$B$9,A67=$B$10),"Milestone",IF(AND($B$8&gt;0,MOD(A67,$B$8)=0),"Safe","Standard")))</f>
        <v/>
      </c>
      <c r="C67" s="12">
        <f>MIN(6,MAX(1,ROUNDUP(A67/$B$11,0)))</f>
        <v/>
      </c>
      <c r="D67" s="7">
        <f>$B$6</f>
        <v/>
      </c>
      <c r="E67" s="12">
        <f>MAX(0,$D67-$F67-$G67)</f>
        <v/>
      </c>
      <c r="F67" s="12">
        <f>IF($B67&lt;&gt;"Standard",0,MIN(3,MAX($B$7,IF($C67&lt;=2,1,IF($C67&lt;=4,2,3)))))</f>
        <v/>
      </c>
      <c r="G67" s="7" t="n">
        <v>0</v>
      </c>
      <c r="H67" s="15">
        <f>IF($D67&lt;=0,0,($D67-$F67)/$D67)</f>
        <v/>
      </c>
      <c r="I67" s="15">
        <f>IF($D67-$F67&lt;=0,0,$E67/($D67-$F67))</f>
        <v/>
      </c>
      <c r="J67" s="7" t="n">
        <v>5</v>
      </c>
      <c r="K67" s="7" t="n">
        <v>11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</row>
    <row r="68">
      <c r="A68" s="11" t="n">
        <v>17</v>
      </c>
      <c r="B68" s="12">
        <f>IF(A68=1,"Safe (Start)",IF(OR(A68=$B$9,A68=$B$10),"Milestone",IF(AND($B$8&gt;0,MOD(A68,$B$8)=0),"Safe","Standard")))</f>
        <v/>
      </c>
      <c r="C68" s="12">
        <f>MIN(6,MAX(1,ROUNDUP(A68/$B$11,0)))</f>
        <v/>
      </c>
      <c r="D68" s="7">
        <f>$B$6</f>
        <v/>
      </c>
      <c r="E68" s="12">
        <f>MAX(0,$D68-$F68-$G68)</f>
        <v/>
      </c>
      <c r="F68" s="12">
        <f>IF($B68&lt;&gt;"Standard",0,MIN(3,MAX($B$7,IF($C68&lt;=2,1,IF($C68&lt;=4,2,3)))))</f>
        <v/>
      </c>
      <c r="G68" s="7" t="n">
        <v>0</v>
      </c>
      <c r="H68" s="15">
        <f>IF($D68&lt;=0,0,($D68-$F68)/$D68)</f>
        <v/>
      </c>
      <c r="I68" s="15">
        <f>IF($D68-$F68&lt;=0,0,$E68/($D68-$F68))</f>
        <v/>
      </c>
      <c r="J68" s="7" t="n">
        <v>5</v>
      </c>
      <c r="K68" s="7" t="n">
        <v>12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1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</row>
    <row r="69">
      <c r="A69" s="11" t="n">
        <v>18</v>
      </c>
      <c r="B69" s="12">
        <f>IF(A69=1,"Safe (Start)",IF(OR(A69=$B$9,A69=$B$10),"Milestone",IF(AND($B$8&gt;0,MOD(A69,$B$8)=0),"Safe","Standard")))</f>
        <v/>
      </c>
      <c r="C69" s="12">
        <f>MIN(6,MAX(1,ROUNDUP(A69/$B$11,0)))</f>
        <v/>
      </c>
      <c r="D69" s="7">
        <f>$B$6</f>
        <v/>
      </c>
      <c r="E69" s="12">
        <f>MAX(0,$D69-$F69-$G69)</f>
        <v/>
      </c>
      <c r="F69" s="12">
        <f>IF($B69&lt;&gt;"Standard",0,MIN(3,MAX($B$7,IF($C69&lt;=2,1,IF($C69&lt;=4,2,3)))))</f>
        <v/>
      </c>
      <c r="G69" s="7" t="n">
        <v>0</v>
      </c>
      <c r="H69" s="15">
        <f>IF($D69&lt;=0,0,($D69-$F69)/$D69)</f>
        <v/>
      </c>
      <c r="I69" s="15">
        <f>IF($D69-$F69&lt;=0,0,$E69/($D69-$F69))</f>
        <v/>
      </c>
      <c r="J69" s="7" t="n">
        <v>5</v>
      </c>
      <c r="K69" s="7" t="n">
        <v>11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</row>
    <row r="70">
      <c r="A70" s="11" t="n">
        <v>19</v>
      </c>
      <c r="B70" s="12">
        <f>IF(A70=1,"Safe (Start)",IF(OR(A70=$B$9,A70=$B$10),"Milestone",IF(AND($B$8&gt;0,MOD(A70,$B$8)=0),"Safe","Standard")))</f>
        <v/>
      </c>
      <c r="C70" s="12">
        <f>MIN(6,MAX(1,ROUNDUP(A70/$B$11,0)))</f>
        <v/>
      </c>
      <c r="D70" s="7">
        <f>$B$6</f>
        <v/>
      </c>
      <c r="E70" s="12">
        <f>MAX(0,$D70-$F70-$G70)</f>
        <v/>
      </c>
      <c r="F70" s="12">
        <f>IF($B70&lt;&gt;"Standard",0,MIN(3,MAX($B$7,IF($C70&lt;=2,1,IF($C70&lt;=4,2,3)))))</f>
        <v/>
      </c>
      <c r="G70" s="7" t="n">
        <v>0</v>
      </c>
      <c r="H70" s="15">
        <f>IF($D70&lt;=0,0,($D70-$F70)/$D70)</f>
        <v/>
      </c>
      <c r="I70" s="15">
        <f>IF($D70-$F70&lt;=0,0,$E70/($D70-$F70))</f>
        <v/>
      </c>
      <c r="J70" s="7" t="n">
        <v>0</v>
      </c>
      <c r="K70" s="7" t="n">
        <v>12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</row>
    <row r="71">
      <c r="A71" s="11" t="n">
        <v>20</v>
      </c>
      <c r="B71" s="12">
        <f>IF(A71=1,"Safe (Start)",IF(OR(A71=$B$9,A71=$B$10),"Milestone",IF(AND($B$8&gt;0,MOD(A71,$B$8)=0),"Safe","Standard")))</f>
        <v/>
      </c>
      <c r="C71" s="12">
        <f>MIN(6,MAX(1,ROUNDUP(A71/$B$11,0)))</f>
        <v/>
      </c>
      <c r="D71" s="7">
        <f>$B$6</f>
        <v/>
      </c>
      <c r="E71" s="12">
        <f>MAX(0,$D71-$F71-$G71)</f>
        <v/>
      </c>
      <c r="F71" s="12">
        <f>IF($B71&lt;&gt;"Standard",0,MIN(3,MAX($B$7,IF($C71&lt;=2,1,IF($C71&lt;=4,2,3)))))</f>
        <v/>
      </c>
      <c r="G71" s="7" t="n">
        <v>0</v>
      </c>
      <c r="H71" s="15">
        <f>IF($D71&lt;=0,0,($D71-$F71)/$D71)</f>
        <v/>
      </c>
      <c r="I71" s="15">
        <f>IF($D71-$F71&lt;=0,0,$E71/($D71-$F71))</f>
        <v/>
      </c>
      <c r="J71" s="7" t="n">
        <v>5</v>
      </c>
      <c r="K71" s="7" t="n">
        <v>12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</row>
    <row r="72">
      <c r="A72" s="11" t="n">
        <v>21</v>
      </c>
      <c r="B72" s="12">
        <f>IF(A72=1,"Safe (Start)",IF(OR(A72=$B$9,A72=$B$10),"Milestone",IF(AND($B$8&gt;0,MOD(A72,$B$8)=0),"Safe","Standard")))</f>
        <v/>
      </c>
      <c r="C72" s="12">
        <f>MIN(6,MAX(1,ROUNDUP(A72/$B$11,0)))</f>
        <v/>
      </c>
      <c r="D72" s="7">
        <f>$B$6</f>
        <v/>
      </c>
      <c r="E72" s="12">
        <f>MAX(0,$D72-$F72-$G72)</f>
        <v/>
      </c>
      <c r="F72" s="12">
        <f>IF($B72&lt;&gt;"Standard",0,MIN(3,MAX($B$7,IF($C72&lt;=2,1,IF($C72&lt;=4,2,3)))))</f>
        <v/>
      </c>
      <c r="G72" s="7" t="n">
        <v>0</v>
      </c>
      <c r="H72" s="15">
        <f>IF($D72&lt;=0,0,($D72-$F72)/$D72)</f>
        <v/>
      </c>
      <c r="I72" s="15">
        <f>IF($D72-$F72&lt;=0,0,$E72/($D72-$F72))</f>
        <v/>
      </c>
      <c r="J72" s="7" t="n">
        <v>5</v>
      </c>
      <c r="K72" s="7" t="n">
        <v>12</v>
      </c>
      <c r="L72" s="7" t="n">
        <v>0</v>
      </c>
      <c r="M72" s="7" t="n">
        <v>0</v>
      </c>
      <c r="N72" s="7" t="n">
        <v>0</v>
      </c>
      <c r="O72" s="7" t="n">
        <v>1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</row>
    <row r="73">
      <c r="A73" s="11" t="n">
        <v>22</v>
      </c>
      <c r="B73" s="12">
        <f>IF(A73=1,"Safe (Start)",IF(OR(A73=$B$9,A73=$B$10),"Milestone",IF(AND($B$8&gt;0,MOD(A73,$B$8)=0),"Safe","Standard")))</f>
        <v/>
      </c>
      <c r="C73" s="12">
        <f>MIN(6,MAX(1,ROUNDUP(A73/$B$11,0)))</f>
        <v/>
      </c>
      <c r="D73" s="7">
        <f>$B$6</f>
        <v/>
      </c>
      <c r="E73" s="12">
        <f>MAX(0,$D73-$F73-$G73)</f>
        <v/>
      </c>
      <c r="F73" s="12">
        <f>IF($B73&lt;&gt;"Standard",0,MIN(3,MAX($B$7,IF($C73&lt;=2,1,IF($C73&lt;=4,2,3)))))</f>
        <v/>
      </c>
      <c r="G73" s="7" t="n">
        <v>0</v>
      </c>
      <c r="H73" s="15">
        <f>IF($D73&lt;=0,0,($D73-$F73)/$D73)</f>
        <v/>
      </c>
      <c r="I73" s="15">
        <f>IF($D73-$F73&lt;=0,0,$E73/($D73-$F73))</f>
        <v/>
      </c>
      <c r="J73" s="7" t="n">
        <v>5</v>
      </c>
      <c r="K73" s="7" t="n">
        <v>13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</row>
    <row r="74">
      <c r="A74" s="11" t="n">
        <v>23</v>
      </c>
      <c r="B74" s="12">
        <f>IF(A74=1,"Safe (Start)",IF(OR(A74=$B$9,A74=$B$10),"Milestone",IF(AND($B$8&gt;0,MOD(A74,$B$8)=0),"Safe","Standard")))</f>
        <v/>
      </c>
      <c r="C74" s="12">
        <f>MIN(6,MAX(1,ROUNDUP(A74/$B$11,0)))</f>
        <v/>
      </c>
      <c r="D74" s="7">
        <f>$B$6</f>
        <v/>
      </c>
      <c r="E74" s="12">
        <f>MAX(0,$D74-$F74-$G74)</f>
        <v/>
      </c>
      <c r="F74" s="12">
        <f>IF($B74&lt;&gt;"Standard",0,MIN(3,MAX($B$7,IF($C74&lt;=2,1,IF($C74&lt;=4,2,3)))))</f>
        <v/>
      </c>
      <c r="G74" s="7" t="n">
        <v>0</v>
      </c>
      <c r="H74" s="15">
        <f>IF($D74&lt;=0,0,($D74-$F74)/$D74)</f>
        <v/>
      </c>
      <c r="I74" s="15">
        <f>IF($D74-$F74&lt;=0,0,$E74/($D74-$F74))</f>
        <v/>
      </c>
      <c r="J74" s="7" t="n">
        <v>5</v>
      </c>
      <c r="K74" s="7" t="n">
        <v>14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</row>
    <row r="75">
      <c r="A75" s="11" t="n">
        <v>24</v>
      </c>
      <c r="B75" s="12">
        <f>IF(A75=1,"Safe (Start)",IF(OR(A75=$B$9,A75=$B$10),"Milestone",IF(AND($B$8&gt;0,MOD(A75,$B$8)=0),"Safe","Standard")))</f>
        <v/>
      </c>
      <c r="C75" s="12">
        <f>MIN(6,MAX(1,ROUNDUP(A75/$B$11,0)))</f>
        <v/>
      </c>
      <c r="D75" s="7">
        <f>$B$6</f>
        <v/>
      </c>
      <c r="E75" s="12">
        <f>MAX(0,$D75-$F75-$G75)</f>
        <v/>
      </c>
      <c r="F75" s="12">
        <f>IF($B75&lt;&gt;"Standard",0,MIN(3,MAX($B$7,IF($C75&lt;=2,1,IF($C75&lt;=4,2,3)))))</f>
        <v/>
      </c>
      <c r="G75" s="7" t="n">
        <v>0</v>
      </c>
      <c r="H75" s="15">
        <f>IF($D75&lt;=0,0,($D75-$F75)/$D75)</f>
        <v/>
      </c>
      <c r="I75" s="15">
        <f>IF($D75-$F75&lt;=0,0,$E75/($D75-$F75))</f>
        <v/>
      </c>
      <c r="J75" s="7" t="n">
        <v>0</v>
      </c>
      <c r="K75" s="7" t="n">
        <v>14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</row>
    <row r="76">
      <c r="A76" s="11" t="n">
        <v>25</v>
      </c>
      <c r="B76" s="12">
        <f>IF(A76=1,"Safe (Start)",IF(OR(A76=$B$9,A76=$B$10),"Milestone",IF(AND($B$8&gt;0,MOD(A76,$B$8)=0),"Safe","Standard")))</f>
        <v/>
      </c>
      <c r="C76" s="12">
        <f>MIN(6,MAX(1,ROUNDUP(A76/$B$11,0)))</f>
        <v/>
      </c>
      <c r="D76" s="7">
        <f>$B$6</f>
        <v/>
      </c>
      <c r="E76" s="12">
        <f>MAX(0,$D76-$F76-$G76)</f>
        <v/>
      </c>
      <c r="F76" s="12">
        <f>IF($B76&lt;&gt;"Standard",0,MIN(3,MAX($B$7,IF($C76&lt;=2,1,IF($C76&lt;=4,2,3)))))</f>
        <v/>
      </c>
      <c r="G76" s="7" t="n">
        <v>0</v>
      </c>
      <c r="H76" s="15">
        <f>IF($D76&lt;=0,0,($D76-$F76)/$D76)</f>
        <v/>
      </c>
      <c r="I76" s="15">
        <f>IF($D76-$F76&lt;=0,0,$E76/($D76-$F76))</f>
        <v/>
      </c>
      <c r="J76" s="7" t="n">
        <v>10</v>
      </c>
      <c r="K76" s="7" t="n">
        <v>15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1</v>
      </c>
      <c r="AD76" s="7" t="n">
        <v>0</v>
      </c>
    </row>
    <row r="77">
      <c r="A77" s="11" t="n">
        <v>26</v>
      </c>
      <c r="B77" s="12">
        <f>IF(A77=1,"Safe (Start)",IF(OR(A77=$B$9,A77=$B$10),"Milestone",IF(AND($B$8&gt;0,MOD(A77,$B$8)=0),"Safe","Standard")))</f>
        <v/>
      </c>
      <c r="C77" s="12">
        <f>MIN(6,MAX(1,ROUNDUP(A77/$B$11,0)))</f>
        <v/>
      </c>
      <c r="D77" s="7">
        <f>$B$6</f>
        <v/>
      </c>
      <c r="E77" s="12">
        <f>MAX(0,$D77-$F77-$G77)</f>
        <v/>
      </c>
      <c r="F77" s="12">
        <f>IF($B77&lt;&gt;"Standard",0,MIN(3,MAX($B$7,IF($C77&lt;=2,1,IF($C77&lt;=4,2,3)))))</f>
        <v/>
      </c>
      <c r="G77" s="7" t="n">
        <v>0</v>
      </c>
      <c r="H77" s="15">
        <f>IF($D77&lt;=0,0,($D77-$F77)/$D77)</f>
        <v/>
      </c>
      <c r="I77" s="15">
        <f>IF($D77-$F77&lt;=0,0,$E77/($D77-$F77))</f>
        <v/>
      </c>
      <c r="J77" s="7" t="n">
        <v>5</v>
      </c>
      <c r="K77" s="7" t="n">
        <v>16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</row>
    <row r="78">
      <c r="A78" s="11" t="n">
        <v>27</v>
      </c>
      <c r="B78" s="12">
        <f>IF(A78=1,"Safe (Start)",IF(OR(A78=$B$9,A78=$B$10),"Milestone",IF(AND($B$8&gt;0,MOD(A78,$B$8)=0),"Safe","Standard")))</f>
        <v/>
      </c>
      <c r="C78" s="12">
        <f>MIN(6,MAX(1,ROUNDUP(A78/$B$11,0)))</f>
        <v/>
      </c>
      <c r="D78" s="7">
        <f>$B$6</f>
        <v/>
      </c>
      <c r="E78" s="12">
        <f>MAX(0,$D78-$F78-$G78)</f>
        <v/>
      </c>
      <c r="F78" s="12">
        <f>IF($B78&lt;&gt;"Standard",0,MIN(3,MAX($B$7,IF($C78&lt;=2,1,IF($C78&lt;=4,2,3)))))</f>
        <v/>
      </c>
      <c r="G78" s="7" t="n">
        <v>0</v>
      </c>
      <c r="H78" s="15">
        <f>IF($D78&lt;=0,0,($D78-$F78)/$D78)</f>
        <v/>
      </c>
      <c r="I78" s="15">
        <f>IF($D78-$F78&lt;=0,0,$E78/($D78-$F78))</f>
        <v/>
      </c>
      <c r="J78" s="7" t="n">
        <v>5</v>
      </c>
      <c r="K78" s="7" t="n">
        <v>16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</row>
    <row r="79">
      <c r="A79" s="11" t="n">
        <v>28</v>
      </c>
      <c r="B79" s="12">
        <f>IF(A79=1,"Safe (Start)",IF(OR(A79=$B$9,A79=$B$10),"Milestone",IF(AND($B$8&gt;0,MOD(A79,$B$8)=0),"Safe","Standard")))</f>
        <v/>
      </c>
      <c r="C79" s="12">
        <f>MIN(6,MAX(1,ROUNDUP(A79/$B$11,0)))</f>
        <v/>
      </c>
      <c r="D79" s="7">
        <f>$B$6</f>
        <v/>
      </c>
      <c r="E79" s="12">
        <f>MAX(0,$D79-$F79-$G79)</f>
        <v/>
      </c>
      <c r="F79" s="12">
        <f>IF($B79&lt;&gt;"Standard",0,MIN(3,MAX($B$7,IF($C79&lt;=2,1,IF($C79&lt;=4,2,3)))))</f>
        <v/>
      </c>
      <c r="G79" s="7" t="n">
        <v>0</v>
      </c>
      <c r="H79" s="15">
        <f>IF($D79&lt;=0,0,($D79-$F79)/$D79)</f>
        <v/>
      </c>
      <c r="I79" s="15">
        <f>IF($D79-$F79&lt;=0,0,$E79/($D79-$F79))</f>
        <v/>
      </c>
      <c r="J79" s="7" t="n">
        <v>5</v>
      </c>
      <c r="K79" s="7" t="n">
        <v>18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1</v>
      </c>
      <c r="AC79" s="7" t="n">
        <v>0</v>
      </c>
      <c r="AD79" s="7" t="n">
        <v>0</v>
      </c>
    </row>
    <row r="80">
      <c r="A80" s="11" t="n">
        <v>29</v>
      </c>
      <c r="B80" s="12">
        <f>IF(A80=1,"Safe (Start)",IF(OR(A80=$B$9,A80=$B$10),"Milestone",IF(AND($B$8&gt;0,MOD(A80,$B$8)=0),"Safe","Standard")))</f>
        <v/>
      </c>
      <c r="C80" s="12">
        <f>MIN(6,MAX(1,ROUNDUP(A80/$B$11,0)))</f>
        <v/>
      </c>
      <c r="D80" s="7">
        <f>$B$6</f>
        <v/>
      </c>
      <c r="E80" s="12">
        <f>MAX(0,$D80-$F80-$G80)</f>
        <v/>
      </c>
      <c r="F80" s="12">
        <f>IF($B80&lt;&gt;"Standard",0,MIN(3,MAX($B$7,IF($C80&lt;=2,1,IF($C80&lt;=4,2,3)))))</f>
        <v/>
      </c>
      <c r="G80" s="7" t="n">
        <v>0</v>
      </c>
      <c r="H80" s="15">
        <f>IF($D80&lt;=0,0,($D80-$F80)/$D80)</f>
        <v/>
      </c>
      <c r="I80" s="15">
        <f>IF($D80-$F80&lt;=0,0,$E80/($D80-$F80))</f>
        <v/>
      </c>
      <c r="J80" s="7" t="n">
        <v>5</v>
      </c>
      <c r="K80" s="7" t="n">
        <v>17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</row>
    <row r="81">
      <c r="A81" s="11" t="n">
        <v>30</v>
      </c>
      <c r="B81" s="12">
        <f>IF(A81=1,"Safe (Start)",IF(OR(A81=$B$9,A81=$B$10),"Milestone",IF(AND($B$8&gt;0,MOD(A81,$B$8)=0),"Safe","Standard")))</f>
        <v/>
      </c>
      <c r="C81" s="12">
        <f>MIN(6,MAX(1,ROUNDUP(A81/$B$11,0)))</f>
        <v/>
      </c>
      <c r="D81" s="7">
        <f>$B$6</f>
        <v/>
      </c>
      <c r="E81" s="12">
        <f>MAX(0,$D81-$F81-$G81)</f>
        <v/>
      </c>
      <c r="F81" s="12">
        <f>IF($B81&lt;&gt;"Standard",0,MIN(3,MAX($B$7,IF($C81&lt;=2,1,IF($C81&lt;=4,2,3)))))</f>
        <v/>
      </c>
      <c r="G81" s="7" t="n">
        <v>0</v>
      </c>
      <c r="H81" s="15">
        <f>IF($D81&lt;=0,0,($D81-$F81)/$D81)</f>
        <v/>
      </c>
      <c r="I81" s="15">
        <f>IF($D81-$F81&lt;=0,0,$E81/($D81-$F81))</f>
        <v/>
      </c>
      <c r="J81" s="7" t="n">
        <v>5</v>
      </c>
      <c r="K81" s="7" t="n">
        <v>19</v>
      </c>
      <c r="L81" s="7" t="n">
        <v>0</v>
      </c>
      <c r="M81" s="7" t="n">
        <v>2</v>
      </c>
      <c r="N81" s="7" t="n">
        <v>2</v>
      </c>
      <c r="O81" s="7" t="n">
        <v>1</v>
      </c>
      <c r="P81" s="7" t="n">
        <v>2</v>
      </c>
      <c r="Q81" s="7" t="n">
        <v>2</v>
      </c>
      <c r="R81" s="7" t="n">
        <v>1</v>
      </c>
      <c r="S81" s="7" t="n">
        <v>0</v>
      </c>
      <c r="T81" s="7" t="n">
        <v>0</v>
      </c>
      <c r="U81" s="7" t="n">
        <v>30</v>
      </c>
      <c r="V81" s="7" t="n">
        <v>30</v>
      </c>
      <c r="W81" s="7" t="n">
        <v>0</v>
      </c>
      <c r="X81" s="7" t="n">
        <v>0</v>
      </c>
      <c r="Y81" s="7" t="n">
        <v>2</v>
      </c>
      <c r="Z81" s="7" t="n">
        <v>1</v>
      </c>
      <c r="AA81" s="7" t="n">
        <v>1</v>
      </c>
      <c r="AB81" s="7" t="n">
        <v>0</v>
      </c>
      <c r="AC81" s="7" t="n">
        <v>0</v>
      </c>
      <c r="AD81" s="7" t="n">
        <v>0</v>
      </c>
    </row>
    <row r="82">
      <c r="A82" s="11" t="n">
        <v>31</v>
      </c>
      <c r="B82" s="12">
        <f>IF(A82=1,"Safe (Start)",IF(OR(A82=$B$9,A82=$B$10),"Milestone",IF(AND($B$8&gt;0,MOD(A82,$B$8)=0),"Safe","Standard")))</f>
        <v/>
      </c>
      <c r="C82" s="12">
        <f>MIN(6,MAX(1,ROUNDUP(A82/$B$11,0)))</f>
        <v/>
      </c>
      <c r="D82" s="7">
        <f>$B$6</f>
        <v/>
      </c>
      <c r="E82" s="12">
        <f>MAX(0,$D82-$F82-$G82)</f>
        <v/>
      </c>
      <c r="F82" s="12">
        <f>IF($B82&lt;&gt;"Standard",0,MIN(3,MAX($B$7,IF($C82&lt;=2,1,IF($C82&lt;=4,2,3)))))</f>
        <v/>
      </c>
      <c r="G82" s="7" t="n">
        <v>0</v>
      </c>
      <c r="H82" s="15">
        <f>IF($D82&lt;=0,0,($D82-$F82)/$D82)</f>
        <v/>
      </c>
      <c r="I82" s="15">
        <f>IF($D82-$F82&lt;=0,0,$E82/($D82-$F82))</f>
        <v/>
      </c>
      <c r="J82" s="7" t="n">
        <v>10</v>
      </c>
      <c r="K82" s="7" t="n">
        <v>19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</row>
    <row r="83">
      <c r="A83" s="11" t="n">
        <v>32</v>
      </c>
      <c r="B83" s="12">
        <f>IF(A83=1,"Safe (Start)",IF(OR(A83=$B$9,A83=$B$10),"Milestone",IF(AND($B$8&gt;0,MOD(A83,$B$8)=0),"Safe","Standard")))</f>
        <v/>
      </c>
      <c r="C83" s="12">
        <f>MIN(6,MAX(1,ROUNDUP(A83/$B$11,0)))</f>
        <v/>
      </c>
      <c r="D83" s="7">
        <f>$B$6</f>
        <v/>
      </c>
      <c r="E83" s="12">
        <f>MAX(0,$D83-$F83-$G83)</f>
        <v/>
      </c>
      <c r="F83" s="12">
        <f>IF($B83&lt;&gt;"Standard",0,MIN(3,MAX($B$7,IF($C83&lt;=2,1,IF($C83&lt;=4,2,3)))))</f>
        <v/>
      </c>
      <c r="G83" s="7" t="n">
        <v>0</v>
      </c>
      <c r="H83" s="15">
        <f>IF($D83&lt;=0,0,($D83-$F83)/$D83)</f>
        <v/>
      </c>
      <c r="I83" s="15">
        <f>IF($D83-$F83&lt;=0,0,$E83/($D83-$F83))</f>
        <v/>
      </c>
      <c r="J83" s="7" t="n">
        <v>5</v>
      </c>
      <c r="K83" s="7" t="n">
        <v>20</v>
      </c>
      <c r="L83" s="7" t="n">
        <v>0</v>
      </c>
      <c r="M83" s="7" t="n">
        <v>0</v>
      </c>
      <c r="N83" s="7" t="n">
        <v>0</v>
      </c>
      <c r="O83" s="7" t="n">
        <v>1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</row>
    <row r="84">
      <c r="A84" s="11" t="n">
        <v>33</v>
      </c>
      <c r="B84" s="12">
        <f>IF(A84=1,"Safe (Start)",IF(OR(A84=$B$9,A84=$B$10),"Milestone",IF(AND($B$8&gt;0,MOD(A84,$B$8)=0),"Safe","Standard")))</f>
        <v/>
      </c>
      <c r="C84" s="12">
        <f>MIN(6,MAX(1,ROUNDUP(A84/$B$11,0)))</f>
        <v/>
      </c>
      <c r="D84" s="7">
        <f>$B$6</f>
        <v/>
      </c>
      <c r="E84" s="12">
        <f>MAX(0,$D84-$F84-$G84)</f>
        <v/>
      </c>
      <c r="F84" s="12">
        <f>IF($B84&lt;&gt;"Standard",0,MIN(3,MAX($B$7,IF($C84&lt;=2,1,IF($C84&lt;=4,2,3)))))</f>
        <v/>
      </c>
      <c r="G84" s="7" t="n">
        <v>0</v>
      </c>
      <c r="H84" s="15">
        <f>IF($D84&lt;=0,0,($D84-$F84)/$D84)</f>
        <v/>
      </c>
      <c r="I84" s="15">
        <f>IF($D84-$F84&lt;=0,0,$E84/($D84-$F84))</f>
        <v/>
      </c>
      <c r="J84" s="7" t="n">
        <v>5</v>
      </c>
      <c r="K84" s="7" t="n">
        <v>21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</row>
    <row r="85">
      <c r="A85" s="11" t="n">
        <v>34</v>
      </c>
      <c r="B85" s="12">
        <f>IF(A85=1,"Safe (Start)",IF(OR(A85=$B$9,A85=$B$10),"Milestone",IF(AND($B$8&gt;0,MOD(A85,$B$8)=0),"Safe","Standard")))</f>
        <v/>
      </c>
      <c r="C85" s="12">
        <f>MIN(6,MAX(1,ROUNDUP(A85/$B$11,0)))</f>
        <v/>
      </c>
      <c r="D85" s="7">
        <f>$B$6</f>
        <v/>
      </c>
      <c r="E85" s="12">
        <f>MAX(0,$D85-$F85-$G85)</f>
        <v/>
      </c>
      <c r="F85" s="12">
        <f>IF($B85&lt;&gt;"Standard",0,MIN(3,MAX($B$7,IF($C85&lt;=2,1,IF($C85&lt;=4,2,3)))))</f>
        <v/>
      </c>
      <c r="G85" s="7" t="n">
        <v>0</v>
      </c>
      <c r="H85" s="15">
        <f>IF($D85&lt;=0,0,($D85-$F85)/$D85)</f>
        <v/>
      </c>
      <c r="I85" s="15">
        <f>IF($D85-$F85&lt;=0,0,$E85/($D85-$F85))</f>
        <v/>
      </c>
      <c r="J85" s="7" t="n">
        <v>5</v>
      </c>
      <c r="K85" s="7" t="n">
        <v>21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</row>
    <row r="86">
      <c r="A86" s="11" t="n">
        <v>35</v>
      </c>
      <c r="B86" s="12">
        <f>IF(A86=1,"Safe (Start)",IF(OR(A86=$B$9,A86=$B$10),"Milestone",IF(AND($B$8&gt;0,MOD(A86,$B$8)=0),"Safe","Standard")))</f>
        <v/>
      </c>
      <c r="C86" s="12">
        <f>MIN(6,MAX(1,ROUNDUP(A86/$B$11,0)))</f>
        <v/>
      </c>
      <c r="D86" s="7">
        <f>$B$6</f>
        <v/>
      </c>
      <c r="E86" s="12">
        <f>MAX(0,$D86-$F86-$G86)</f>
        <v/>
      </c>
      <c r="F86" s="12">
        <f>IF($B86&lt;&gt;"Standard",0,MIN(3,MAX($B$7,IF($C86&lt;=2,1,IF($C86&lt;=4,2,3)))))</f>
        <v/>
      </c>
      <c r="G86" s="7" t="n">
        <v>0</v>
      </c>
      <c r="H86" s="15">
        <f>IF($D86&lt;=0,0,($D86-$F86)/$D86)</f>
        <v/>
      </c>
      <c r="I86" s="15">
        <f>IF($D86-$F86&lt;=0,0,$E86/($D86-$F86))</f>
        <v/>
      </c>
      <c r="J86" s="7" t="n">
        <v>10</v>
      </c>
      <c r="K86" s="7" t="n">
        <v>22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</row>
    <row r="87">
      <c r="A87" s="11" t="n">
        <v>36</v>
      </c>
      <c r="B87" s="12">
        <f>IF(A87=1,"Safe (Start)",IF(OR(A87=$B$9,A87=$B$10),"Milestone",IF(AND($B$8&gt;0,MOD(A87,$B$8)=0),"Safe","Standard")))</f>
        <v/>
      </c>
      <c r="C87" s="12">
        <f>MIN(6,MAX(1,ROUNDUP(A87/$B$11,0)))</f>
        <v/>
      </c>
      <c r="D87" s="7">
        <f>$B$6</f>
        <v/>
      </c>
      <c r="E87" s="12">
        <f>MAX(0,$D87-$F87-$G87)</f>
        <v/>
      </c>
      <c r="F87" s="12">
        <f>IF($B87&lt;&gt;"Standard",0,MIN(3,MAX($B$7,IF($C87&lt;=2,1,IF($C87&lt;=4,2,3)))))</f>
        <v/>
      </c>
      <c r="G87" s="7" t="n">
        <v>0</v>
      </c>
      <c r="H87" s="15">
        <f>IF($D87&lt;=0,0,($D87-$F87)/$D87)</f>
        <v/>
      </c>
      <c r="I87" s="15">
        <f>IF($D87-$F87&lt;=0,0,$E87/($D87-$F87))</f>
        <v/>
      </c>
      <c r="J87" s="7" t="n">
        <v>10</v>
      </c>
      <c r="K87" s="7" t="n">
        <v>23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1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</row>
    <row r="88">
      <c r="A88" s="11" t="n">
        <v>37</v>
      </c>
      <c r="B88" s="12">
        <f>IF(A88=1,"Safe (Start)",IF(OR(A88=$B$9,A88=$B$10),"Milestone",IF(AND($B$8&gt;0,MOD(A88,$B$8)=0),"Safe","Standard")))</f>
        <v/>
      </c>
      <c r="C88" s="12">
        <f>MIN(6,MAX(1,ROUNDUP(A88/$B$11,0)))</f>
        <v/>
      </c>
      <c r="D88" s="7">
        <f>$B$6</f>
        <v/>
      </c>
      <c r="E88" s="12">
        <f>MAX(0,$D88-$F88-$G88)</f>
        <v/>
      </c>
      <c r="F88" s="12">
        <f>IF($B88&lt;&gt;"Standard",0,MIN(3,MAX($B$7,IF($C88&lt;=2,1,IF($C88&lt;=4,2,3)))))</f>
        <v/>
      </c>
      <c r="G88" s="7" t="n">
        <v>0</v>
      </c>
      <c r="H88" s="15">
        <f>IF($D88&lt;=0,0,($D88-$F88)/$D88)</f>
        <v/>
      </c>
      <c r="I88" s="15">
        <f>IF($D88-$F88&lt;=0,0,$E88/($D88-$F88))</f>
        <v/>
      </c>
      <c r="J88" s="7" t="n">
        <v>5</v>
      </c>
      <c r="K88" s="7" t="n">
        <v>24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</row>
    <row r="89">
      <c r="A89" s="11" t="n">
        <v>38</v>
      </c>
      <c r="B89" s="12">
        <f>IF(A89=1,"Safe (Start)",IF(OR(A89=$B$9,A89=$B$10),"Milestone",IF(AND($B$8&gt;0,MOD(A89,$B$8)=0),"Safe","Standard")))</f>
        <v/>
      </c>
      <c r="C89" s="12">
        <f>MIN(6,MAX(1,ROUNDUP(A89/$B$11,0)))</f>
        <v/>
      </c>
      <c r="D89" s="7">
        <f>$B$6</f>
        <v/>
      </c>
      <c r="E89" s="12">
        <f>MAX(0,$D89-$F89-$G89)</f>
        <v/>
      </c>
      <c r="F89" s="12">
        <f>IF($B89&lt;&gt;"Standard",0,MIN(3,MAX($B$7,IF($C89&lt;=2,1,IF($C89&lt;=4,2,3)))))</f>
        <v/>
      </c>
      <c r="G89" s="7" t="n">
        <v>0</v>
      </c>
      <c r="H89" s="15">
        <f>IF($D89&lt;=0,0,($D89-$F89)/$D89)</f>
        <v/>
      </c>
      <c r="I89" s="15">
        <f>IF($D89-$F89&lt;=0,0,$E89/($D89-$F89))</f>
        <v/>
      </c>
      <c r="J89" s="7" t="n">
        <v>10</v>
      </c>
      <c r="K89" s="7" t="n">
        <v>24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1</v>
      </c>
      <c r="AD89" s="7" t="n">
        <v>0</v>
      </c>
    </row>
    <row r="90">
      <c r="A90" s="11" t="n">
        <v>39</v>
      </c>
      <c r="B90" s="12">
        <f>IF(A90=1,"Safe (Start)",IF(OR(A90=$B$9,A90=$B$10),"Milestone",IF(AND($B$8&gt;0,MOD(A90,$B$8)=0),"Safe","Standard")))</f>
        <v/>
      </c>
      <c r="C90" s="12">
        <f>MIN(6,MAX(1,ROUNDUP(A90/$B$11,0)))</f>
        <v/>
      </c>
      <c r="D90" s="7">
        <f>$B$6</f>
        <v/>
      </c>
      <c r="E90" s="12">
        <f>MAX(0,$D90-$F90-$G90)</f>
        <v/>
      </c>
      <c r="F90" s="12">
        <f>IF($B90&lt;&gt;"Standard",0,MIN(3,MAX($B$7,IF($C90&lt;=2,1,IF($C90&lt;=4,2,3)))))</f>
        <v/>
      </c>
      <c r="G90" s="7" t="n">
        <v>0</v>
      </c>
      <c r="H90" s="15">
        <f>IF($D90&lt;=0,0,($D90-$F90)/$D90)</f>
        <v/>
      </c>
      <c r="I90" s="15">
        <f>IF($D90-$F90&lt;=0,0,$E90/($D90-$F90))</f>
        <v/>
      </c>
      <c r="J90" s="7" t="n">
        <v>5</v>
      </c>
      <c r="K90" s="7" t="n">
        <v>24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</row>
    <row r="91">
      <c r="A91" s="11" t="n">
        <v>40</v>
      </c>
      <c r="B91" s="12">
        <f>IF(A91=1,"Safe (Start)",IF(OR(A91=$B$9,A91=$B$10),"Milestone",IF(AND($B$8&gt;0,MOD(A91,$B$8)=0),"Safe","Standard")))</f>
        <v/>
      </c>
      <c r="C91" s="12">
        <f>MIN(6,MAX(1,ROUNDUP(A91/$B$11,0)))</f>
        <v/>
      </c>
      <c r="D91" s="7">
        <f>$B$6</f>
        <v/>
      </c>
      <c r="E91" s="12">
        <f>MAX(0,$D91-$F91-$G91)</f>
        <v/>
      </c>
      <c r="F91" s="12">
        <f>IF($B91&lt;&gt;"Standard",0,MIN(3,MAX($B$7,IF($C91&lt;=2,1,IF($C91&lt;=4,2,3)))))</f>
        <v/>
      </c>
      <c r="G91" s="7" t="n">
        <v>0</v>
      </c>
      <c r="H91" s="15">
        <f>IF($D91&lt;=0,0,($D91-$F91)/$D91)</f>
        <v/>
      </c>
      <c r="I91" s="15">
        <f>IF($D91-$F91&lt;=0,0,$E91/($D91-$F91))</f>
        <v/>
      </c>
      <c r="J91" s="7" t="n">
        <v>10</v>
      </c>
      <c r="K91" s="7" t="n">
        <v>26</v>
      </c>
      <c r="L91" s="7" t="n">
        <v>0</v>
      </c>
      <c r="M91" s="7" t="n">
        <v>0</v>
      </c>
      <c r="N91" s="7" t="n">
        <v>0</v>
      </c>
      <c r="O91" s="7" t="n">
        <v>1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</row>
    <row r="92">
      <c r="A92" s="11" t="n">
        <v>41</v>
      </c>
      <c r="B92" s="12">
        <f>IF(A92=1,"Safe (Start)",IF(OR(A92=$B$9,A92=$B$10),"Milestone",IF(AND($B$8&gt;0,MOD(A92,$B$8)=0),"Safe","Standard")))</f>
        <v/>
      </c>
      <c r="C92" s="12">
        <f>MIN(6,MAX(1,ROUNDUP(A92/$B$11,0)))</f>
        <v/>
      </c>
      <c r="D92" s="7">
        <f>$B$6</f>
        <v/>
      </c>
      <c r="E92" s="12">
        <f>MAX(0,$D92-$F92-$G92)</f>
        <v/>
      </c>
      <c r="F92" s="12">
        <f>IF($B92&lt;&gt;"Standard",0,MIN(3,MAX($B$7,IF($C92&lt;=2,1,IF($C92&lt;=4,2,3)))))</f>
        <v/>
      </c>
      <c r="G92" s="7" t="n">
        <v>0</v>
      </c>
      <c r="H92" s="15">
        <f>IF($D92&lt;=0,0,($D92-$F92)/$D92)</f>
        <v/>
      </c>
      <c r="I92" s="15">
        <f>IF($D92-$F92&lt;=0,0,$E92/($D92-$F92))</f>
        <v/>
      </c>
      <c r="J92" s="7" t="n">
        <v>10</v>
      </c>
      <c r="K92" s="7" t="n">
        <v>26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</row>
    <row r="93">
      <c r="A93" s="11" t="n">
        <v>42</v>
      </c>
      <c r="B93" s="12">
        <f>IF(A93=1,"Safe (Start)",IF(OR(A93=$B$9,A93=$B$10),"Milestone",IF(AND($B$8&gt;0,MOD(A93,$B$8)=0),"Safe","Standard")))</f>
        <v/>
      </c>
      <c r="C93" s="12">
        <f>MIN(6,MAX(1,ROUNDUP(A93/$B$11,0)))</f>
        <v/>
      </c>
      <c r="D93" s="7">
        <f>$B$6</f>
        <v/>
      </c>
      <c r="E93" s="12">
        <f>MAX(0,$D93-$F93-$G93)</f>
        <v/>
      </c>
      <c r="F93" s="12">
        <f>IF($B93&lt;&gt;"Standard",0,MIN(3,MAX($B$7,IF($C93&lt;=2,1,IF($C93&lt;=4,2,3)))))</f>
        <v/>
      </c>
      <c r="G93" s="7" t="n">
        <v>0</v>
      </c>
      <c r="H93" s="15">
        <f>IF($D93&lt;=0,0,($D93-$F93)/$D93)</f>
        <v/>
      </c>
      <c r="I93" s="15">
        <f>IF($D93-$F93&lt;=0,0,$E93/($D93-$F93))</f>
        <v/>
      </c>
      <c r="J93" s="7" t="n">
        <v>5</v>
      </c>
      <c r="K93" s="7" t="n">
        <v>27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</row>
    <row r="94">
      <c r="A94" s="11" t="n">
        <v>43</v>
      </c>
      <c r="B94" s="12">
        <f>IF(A94=1,"Safe (Start)",IF(OR(A94=$B$9,A94=$B$10),"Milestone",IF(AND($B$8&gt;0,MOD(A94,$B$8)=0),"Safe","Standard")))</f>
        <v/>
      </c>
      <c r="C94" s="12">
        <f>MIN(6,MAX(1,ROUNDUP(A94/$B$11,0)))</f>
        <v/>
      </c>
      <c r="D94" s="7">
        <f>$B$6</f>
        <v/>
      </c>
      <c r="E94" s="12">
        <f>MAX(0,$D94-$F94-$G94)</f>
        <v/>
      </c>
      <c r="F94" s="12">
        <f>IF($B94&lt;&gt;"Standard",0,MIN(3,MAX($B$7,IF($C94&lt;=2,1,IF($C94&lt;=4,2,3)))))</f>
        <v/>
      </c>
      <c r="G94" s="7" t="n">
        <v>0</v>
      </c>
      <c r="H94" s="15">
        <f>IF($D94&lt;=0,0,($D94-$F94)/$D94)</f>
        <v/>
      </c>
      <c r="I94" s="15">
        <f>IF($D94-$F94&lt;=0,0,$E94/($D94-$F94))</f>
        <v/>
      </c>
      <c r="J94" s="7" t="n">
        <v>10</v>
      </c>
      <c r="K94" s="7" t="n">
        <v>28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</row>
    <row r="95">
      <c r="A95" s="11" t="n">
        <v>44</v>
      </c>
      <c r="B95" s="12">
        <f>IF(A95=1,"Safe (Start)",IF(OR(A95=$B$9,A95=$B$10),"Milestone",IF(AND($B$8&gt;0,MOD(A95,$B$8)=0),"Safe","Standard")))</f>
        <v/>
      </c>
      <c r="C95" s="12">
        <f>MIN(6,MAX(1,ROUNDUP(A95/$B$11,0)))</f>
        <v/>
      </c>
      <c r="D95" s="7">
        <f>$B$6</f>
        <v/>
      </c>
      <c r="E95" s="12">
        <f>MAX(0,$D95-$F95-$G95)</f>
        <v/>
      </c>
      <c r="F95" s="12">
        <f>IF($B95&lt;&gt;"Standard",0,MIN(3,MAX($B$7,IF($C95&lt;=2,1,IF($C95&lt;=4,2,3)))))</f>
        <v/>
      </c>
      <c r="G95" s="7" t="n">
        <v>0</v>
      </c>
      <c r="H95" s="15">
        <f>IF($D95&lt;=0,0,($D95-$F95)/$D95)</f>
        <v/>
      </c>
      <c r="I95" s="15">
        <f>IF($D95-$F95&lt;=0,0,$E95/($D95-$F95))</f>
        <v/>
      </c>
      <c r="J95" s="7" t="n">
        <v>10</v>
      </c>
      <c r="K95" s="7" t="n">
        <v>28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</row>
    <row r="96">
      <c r="A96" s="11" t="n">
        <v>45</v>
      </c>
      <c r="B96" s="12">
        <f>IF(A96=1,"Safe (Start)",IF(OR(A96=$B$9,A96=$B$10),"Milestone",IF(AND($B$8&gt;0,MOD(A96,$B$8)=0),"Safe","Standard")))</f>
        <v/>
      </c>
      <c r="C96" s="12">
        <f>MIN(6,MAX(1,ROUNDUP(A96/$B$11,0)))</f>
        <v/>
      </c>
      <c r="D96" s="7">
        <f>$B$6</f>
        <v/>
      </c>
      <c r="E96" s="12">
        <f>MAX(0,$D96-$F96-$G96)</f>
        <v/>
      </c>
      <c r="F96" s="12">
        <f>IF($B96&lt;&gt;"Standard",0,MIN(3,MAX($B$7,IF($C96&lt;=2,1,IF($C96&lt;=4,2,3)))))</f>
        <v/>
      </c>
      <c r="G96" s="7" t="n">
        <v>0</v>
      </c>
      <c r="H96" s="15">
        <f>IF($D96&lt;=0,0,($D96-$F96)/$D96)</f>
        <v/>
      </c>
      <c r="I96" s="15">
        <f>IF($D96-$F96&lt;=0,0,$E96/($D96-$F96))</f>
        <v/>
      </c>
      <c r="J96" s="7" t="n">
        <v>10</v>
      </c>
      <c r="K96" s="7" t="n">
        <v>29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1</v>
      </c>
      <c r="S96" s="7" t="n">
        <v>0</v>
      </c>
      <c r="T96" s="7" t="n">
        <v>0</v>
      </c>
      <c r="U96" s="7" t="n">
        <v>10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</row>
    <row r="97">
      <c r="A97" s="11" t="n">
        <v>46</v>
      </c>
      <c r="B97" s="12">
        <f>IF(A97=1,"Safe (Start)",IF(OR(A97=$B$9,A97=$B$10),"Milestone",IF(AND($B$8&gt;0,MOD(A97,$B$8)=0),"Safe","Standard")))</f>
        <v/>
      </c>
      <c r="C97" s="12">
        <f>MIN(6,MAX(1,ROUNDUP(A97/$B$11,0)))</f>
        <v/>
      </c>
      <c r="D97" s="7">
        <f>$B$6</f>
        <v/>
      </c>
      <c r="E97" s="12">
        <f>MAX(0,$D97-$F97-$G97)</f>
        <v/>
      </c>
      <c r="F97" s="12">
        <f>IF($B97&lt;&gt;"Standard",0,MIN(3,MAX($B$7,IF($C97&lt;=2,1,IF($C97&lt;=4,2,3)))))</f>
        <v/>
      </c>
      <c r="G97" s="7" t="n">
        <v>0</v>
      </c>
      <c r="H97" s="15">
        <f>IF($D97&lt;=0,0,($D97-$F97)/$D97)</f>
        <v/>
      </c>
      <c r="I97" s="15">
        <f>IF($D97-$F97&lt;=0,0,$E97/($D97-$F97))</f>
        <v/>
      </c>
      <c r="J97" s="7" t="n">
        <v>10</v>
      </c>
      <c r="K97" s="7" t="n">
        <v>30</v>
      </c>
      <c r="L97" s="7" t="n">
        <v>0</v>
      </c>
      <c r="M97" s="7" t="n">
        <v>0</v>
      </c>
      <c r="N97" s="7" t="n">
        <v>0</v>
      </c>
      <c r="O97" s="7" t="n">
        <v>1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</row>
    <row r="98">
      <c r="A98" s="11" t="n">
        <v>47</v>
      </c>
      <c r="B98" s="12">
        <f>IF(A98=1,"Safe (Start)",IF(OR(A98=$B$9,A98=$B$10),"Milestone",IF(AND($B$8&gt;0,MOD(A98,$B$8)=0),"Safe","Standard")))</f>
        <v/>
      </c>
      <c r="C98" s="12">
        <f>MIN(6,MAX(1,ROUNDUP(A98/$B$11,0)))</f>
        <v/>
      </c>
      <c r="D98" s="7">
        <f>$B$6</f>
        <v/>
      </c>
      <c r="E98" s="12">
        <f>MAX(0,$D98-$F98-$G98)</f>
        <v/>
      </c>
      <c r="F98" s="12">
        <f>IF($B98&lt;&gt;"Standard",0,MIN(3,MAX($B$7,IF($C98&lt;=2,1,IF($C98&lt;=4,2,3)))))</f>
        <v/>
      </c>
      <c r="G98" s="7" t="n">
        <v>0</v>
      </c>
      <c r="H98" s="15">
        <f>IF($D98&lt;=0,0,($D98-$F98)/$D98)</f>
        <v/>
      </c>
      <c r="I98" s="15">
        <f>IF($D98-$F98&lt;=0,0,$E98/($D98-$F98))</f>
        <v/>
      </c>
      <c r="J98" s="7" t="n">
        <v>10</v>
      </c>
      <c r="K98" s="7" t="n">
        <v>30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1</v>
      </c>
      <c r="AC98" s="7" t="n">
        <v>1</v>
      </c>
      <c r="AD98" s="7" t="n">
        <v>0</v>
      </c>
    </row>
    <row r="99">
      <c r="A99" s="11" t="n">
        <v>48</v>
      </c>
      <c r="B99" s="12">
        <f>IF(A99=1,"Safe (Start)",IF(OR(A99=$B$9,A99=$B$10),"Milestone",IF(AND($B$8&gt;0,MOD(A99,$B$8)=0),"Safe","Standard")))</f>
        <v/>
      </c>
      <c r="C99" s="12">
        <f>MIN(6,MAX(1,ROUNDUP(A99/$B$11,0)))</f>
        <v/>
      </c>
      <c r="D99" s="7">
        <f>$B$6</f>
        <v/>
      </c>
      <c r="E99" s="12">
        <f>MAX(0,$D99-$F99-$G99)</f>
        <v/>
      </c>
      <c r="F99" s="12">
        <f>IF($B99&lt;&gt;"Standard",0,MIN(3,MAX($B$7,IF($C99&lt;=2,1,IF($C99&lt;=4,2,3)))))</f>
        <v/>
      </c>
      <c r="G99" s="7" t="n">
        <v>0</v>
      </c>
      <c r="H99" s="15">
        <f>IF($D99&lt;=0,0,($D99-$F99)/$D99)</f>
        <v/>
      </c>
      <c r="I99" s="15">
        <f>IF($D99-$F99&lt;=0,0,$E99/($D99-$F99))</f>
        <v/>
      </c>
      <c r="J99" s="7" t="n">
        <v>10</v>
      </c>
      <c r="K99" s="7" t="n">
        <v>32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</row>
    <row r="100">
      <c r="A100" s="11" t="n">
        <v>49</v>
      </c>
      <c r="B100" s="12">
        <f>IF(A100=1,"Safe (Start)",IF(OR(A100=$B$9,A100=$B$10),"Milestone",IF(AND($B$8&gt;0,MOD(A100,$B$8)=0),"Safe","Standard")))</f>
        <v/>
      </c>
      <c r="C100" s="12">
        <f>MIN(6,MAX(1,ROUNDUP(A100/$B$11,0)))</f>
        <v/>
      </c>
      <c r="D100" s="7">
        <f>$B$6</f>
        <v/>
      </c>
      <c r="E100" s="12">
        <f>MAX(0,$D100-$F100-$G100)</f>
        <v/>
      </c>
      <c r="F100" s="12">
        <f>IF($B100&lt;&gt;"Standard",0,MIN(3,MAX($B$7,IF($C100&lt;=2,1,IF($C100&lt;=4,2,3)))))</f>
        <v/>
      </c>
      <c r="G100" s="7" t="n">
        <v>0</v>
      </c>
      <c r="H100" s="15">
        <f>IF($D100&lt;=0,0,($D100-$F100)/$D100)</f>
        <v/>
      </c>
      <c r="I100" s="15">
        <f>IF($D100-$F100&lt;=0,0,$E100/($D100-$F100))</f>
        <v/>
      </c>
      <c r="J100" s="7" t="n">
        <v>10</v>
      </c>
      <c r="K100" s="7" t="n">
        <v>31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</row>
    <row r="101">
      <c r="A101" s="11" t="n">
        <v>50</v>
      </c>
      <c r="B101" s="12">
        <f>IF(A101=1,"Safe (Start)",IF(OR(A101=$B$9,A101=$B$10),"Milestone",IF(AND($B$8&gt;0,MOD(A101,$B$8)=0),"Safe","Standard")))</f>
        <v/>
      </c>
      <c r="C101" s="12">
        <f>MIN(6,MAX(1,ROUNDUP(A101/$B$11,0)))</f>
        <v/>
      </c>
      <c r="D101" s="7">
        <f>$B$6</f>
        <v/>
      </c>
      <c r="E101" s="12">
        <f>MAX(0,$D101-$F101-$G101)</f>
        <v/>
      </c>
      <c r="F101" s="12">
        <f>IF($B101&lt;&gt;"Standard",0,MIN(3,MAX($B$7,IF($C101&lt;=2,1,IF($C101&lt;=4,2,3)))))</f>
        <v/>
      </c>
      <c r="G101" s="7" t="n">
        <v>0</v>
      </c>
      <c r="H101" s="15">
        <f>IF($D101&lt;=0,0,($D101-$F101)/$D101)</f>
        <v/>
      </c>
      <c r="I101" s="15">
        <f>IF($D101-$F101&lt;=0,0,$E101/($D101-$F101))</f>
        <v/>
      </c>
      <c r="J101" s="7" t="n">
        <v>10</v>
      </c>
      <c r="K101" s="7" t="n">
        <v>33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</row>
    <row r="102">
      <c r="A102" s="11" t="n">
        <v>51</v>
      </c>
      <c r="B102" s="12">
        <f>IF(A102=1,"Safe (Start)",IF(OR(A102=$B$9,A102=$B$10),"Milestone",IF(AND($B$8&gt;0,MOD(A102,$B$8)=0),"Safe","Standard")))</f>
        <v/>
      </c>
      <c r="C102" s="12">
        <f>MIN(6,MAX(1,ROUNDUP(A102/$B$11,0)))</f>
        <v/>
      </c>
      <c r="D102" s="7">
        <f>$B$6</f>
        <v/>
      </c>
      <c r="E102" s="12">
        <f>MAX(0,$D102-$F102-$G102)</f>
        <v/>
      </c>
      <c r="F102" s="12">
        <f>IF($B102&lt;&gt;"Standard",0,MIN(3,MAX($B$7,IF($C102&lt;=2,1,IF($C102&lt;=4,2,3)))))</f>
        <v/>
      </c>
      <c r="G102" s="7" t="n">
        <v>0</v>
      </c>
      <c r="H102" s="15">
        <f>IF($D102&lt;=0,0,($D102-$F102)/$D102)</f>
        <v/>
      </c>
      <c r="I102" s="15">
        <f>IF($D102-$F102&lt;=0,0,$E102/($D102-$F102))</f>
        <v/>
      </c>
      <c r="J102" s="7" t="n">
        <v>10</v>
      </c>
      <c r="K102" s="7" t="n">
        <v>33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</row>
    <row r="103">
      <c r="A103" s="11" t="n">
        <v>52</v>
      </c>
      <c r="B103" s="12">
        <f>IF(A103=1,"Safe (Start)",IF(OR(A103=$B$9,A103=$B$10),"Milestone",IF(AND($B$8&gt;0,MOD(A103,$B$8)=0),"Safe","Standard")))</f>
        <v/>
      </c>
      <c r="C103" s="12">
        <f>MIN(6,MAX(1,ROUNDUP(A103/$B$11,0)))</f>
        <v/>
      </c>
      <c r="D103" s="7">
        <f>$B$6</f>
        <v/>
      </c>
      <c r="E103" s="12">
        <f>MAX(0,$D103-$F103-$G103)</f>
        <v/>
      </c>
      <c r="F103" s="12">
        <f>IF($B103&lt;&gt;"Standard",0,MIN(3,MAX($B$7,IF($C103&lt;=2,1,IF($C103&lt;=4,2,3)))))</f>
        <v/>
      </c>
      <c r="G103" s="7" t="n">
        <v>0</v>
      </c>
      <c r="H103" s="15">
        <f>IF($D103&lt;=0,0,($D103-$F103)/$D103)</f>
        <v/>
      </c>
      <c r="I103" s="15">
        <f>IF($D103-$F103&lt;=0,0,$E103/($D103-$F103))</f>
        <v/>
      </c>
      <c r="J103" s="7" t="n">
        <v>15</v>
      </c>
      <c r="K103" s="7" t="n">
        <v>34</v>
      </c>
      <c r="L103" s="7" t="n">
        <v>0</v>
      </c>
      <c r="M103" s="7" t="n">
        <v>0</v>
      </c>
      <c r="N103" s="7" t="n">
        <v>0</v>
      </c>
      <c r="O103" s="7" t="n">
        <v>1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</row>
    <row r="104">
      <c r="A104" s="11" t="n">
        <v>53</v>
      </c>
      <c r="B104" s="12">
        <f>IF(A104=1,"Safe (Start)",IF(OR(A104=$B$9,A104=$B$10),"Milestone",IF(AND($B$8&gt;0,MOD(A104,$B$8)=0),"Safe","Standard")))</f>
        <v/>
      </c>
      <c r="C104" s="12">
        <f>MIN(6,MAX(1,ROUNDUP(A104/$B$11,0)))</f>
        <v/>
      </c>
      <c r="D104" s="7">
        <f>$B$6</f>
        <v/>
      </c>
      <c r="E104" s="12">
        <f>MAX(0,$D104-$F104-$G104)</f>
        <v/>
      </c>
      <c r="F104" s="12">
        <f>IF($B104&lt;&gt;"Standard",0,MIN(3,MAX($B$7,IF($C104&lt;=2,1,IF($C104&lt;=4,2,3)))))</f>
        <v/>
      </c>
      <c r="G104" s="7" t="n">
        <v>0</v>
      </c>
      <c r="H104" s="15">
        <f>IF($D104&lt;=0,0,($D104-$F104)/$D104)</f>
        <v/>
      </c>
      <c r="I104" s="15">
        <f>IF($D104-$F104&lt;=0,0,$E104/($D104-$F104))</f>
        <v/>
      </c>
      <c r="J104" s="7" t="n">
        <v>10</v>
      </c>
      <c r="K104" s="7" t="n">
        <v>35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</row>
    <row r="105">
      <c r="A105" s="11" t="n">
        <v>54</v>
      </c>
      <c r="B105" s="12">
        <f>IF(A105=1,"Safe (Start)",IF(OR(A105=$B$9,A105=$B$10),"Milestone",IF(AND($B$8&gt;0,MOD(A105,$B$8)=0),"Safe","Standard")))</f>
        <v/>
      </c>
      <c r="C105" s="12">
        <f>MIN(6,MAX(1,ROUNDUP(A105/$B$11,0)))</f>
        <v/>
      </c>
      <c r="D105" s="7">
        <f>$B$6</f>
        <v/>
      </c>
      <c r="E105" s="12">
        <f>MAX(0,$D105-$F105-$G105)</f>
        <v/>
      </c>
      <c r="F105" s="12">
        <f>IF($B105&lt;&gt;"Standard",0,MIN(3,MAX($B$7,IF($C105&lt;=2,1,IF($C105&lt;=4,2,3)))))</f>
        <v/>
      </c>
      <c r="G105" s="7" t="n">
        <v>0</v>
      </c>
      <c r="H105" s="15">
        <f>IF($D105&lt;=0,0,($D105-$F105)/$D105)</f>
        <v/>
      </c>
      <c r="I105" s="15">
        <f>IF($D105-$F105&lt;=0,0,$E105/($D105-$F105))</f>
        <v/>
      </c>
      <c r="J105" s="7" t="n">
        <v>10</v>
      </c>
      <c r="K105" s="7" t="n">
        <v>35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</row>
    <row r="106">
      <c r="A106" s="11" t="n">
        <v>55</v>
      </c>
      <c r="B106" s="12">
        <f>IF(A106=1,"Safe (Start)",IF(OR(A106=$B$9,A106=$B$10),"Milestone",IF(AND($B$8&gt;0,MOD(A106,$B$8)=0),"Safe","Standard")))</f>
        <v/>
      </c>
      <c r="C106" s="12">
        <f>MIN(6,MAX(1,ROUNDUP(A106/$B$11,0)))</f>
        <v/>
      </c>
      <c r="D106" s="7">
        <f>$B$6</f>
        <v/>
      </c>
      <c r="E106" s="12">
        <f>MAX(0,$D106-$F106-$G106)</f>
        <v/>
      </c>
      <c r="F106" s="12">
        <f>IF($B106&lt;&gt;"Standard",0,MIN(3,MAX($B$7,IF($C106&lt;=2,1,IF($C106&lt;=4,2,3)))))</f>
        <v/>
      </c>
      <c r="G106" s="7" t="n">
        <v>0</v>
      </c>
      <c r="H106" s="15">
        <f>IF($D106&lt;=0,0,($D106-$F106)/$D106)</f>
        <v/>
      </c>
      <c r="I106" s="15">
        <f>IF($D106-$F106&lt;=0,0,$E106/($D106-$F106))</f>
        <v/>
      </c>
      <c r="J106" s="7" t="n">
        <v>10</v>
      </c>
      <c r="K106" s="7" t="n">
        <v>36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1</v>
      </c>
      <c r="AD106" s="7" t="n">
        <v>0</v>
      </c>
    </row>
    <row r="107">
      <c r="A107" s="11" t="n">
        <v>56</v>
      </c>
      <c r="B107" s="12">
        <f>IF(A107=1,"Safe (Start)",IF(OR(A107=$B$9,A107=$B$10),"Milestone",IF(AND($B$8&gt;0,MOD(A107,$B$8)=0),"Safe","Standard")))</f>
        <v/>
      </c>
      <c r="C107" s="12">
        <f>MIN(6,MAX(1,ROUNDUP(A107/$B$11,0)))</f>
        <v/>
      </c>
      <c r="D107" s="7">
        <f>$B$6</f>
        <v/>
      </c>
      <c r="E107" s="12">
        <f>MAX(0,$D107-$F107-$G107)</f>
        <v/>
      </c>
      <c r="F107" s="12">
        <f>IF($B107&lt;&gt;"Standard",0,MIN(3,MAX($B$7,IF($C107&lt;=2,1,IF($C107&lt;=4,2,3)))))</f>
        <v/>
      </c>
      <c r="G107" s="7" t="n">
        <v>0</v>
      </c>
      <c r="H107" s="15">
        <f>IF($D107&lt;=0,0,($D107-$F107)/$D107)</f>
        <v/>
      </c>
      <c r="I107" s="15">
        <f>IF($D107-$F107&lt;=0,0,$E107/($D107-$F107))</f>
        <v/>
      </c>
      <c r="J107" s="7" t="n">
        <v>15</v>
      </c>
      <c r="K107" s="7" t="n">
        <v>37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</row>
    <row r="108">
      <c r="A108" s="11" t="n">
        <v>57</v>
      </c>
      <c r="B108" s="12">
        <f>IF(A108=1,"Safe (Start)",IF(OR(A108=$B$9,A108=$B$10),"Milestone",IF(AND($B$8&gt;0,MOD(A108,$B$8)=0),"Safe","Standard")))</f>
        <v/>
      </c>
      <c r="C108" s="12">
        <f>MIN(6,MAX(1,ROUNDUP(A108/$B$11,0)))</f>
        <v/>
      </c>
      <c r="D108" s="7">
        <f>$B$6</f>
        <v/>
      </c>
      <c r="E108" s="12">
        <f>MAX(0,$D108-$F108-$G108)</f>
        <v/>
      </c>
      <c r="F108" s="12">
        <f>IF($B108&lt;&gt;"Standard",0,MIN(3,MAX($B$7,IF($C108&lt;=2,1,IF($C108&lt;=4,2,3)))))</f>
        <v/>
      </c>
      <c r="G108" s="7" t="n">
        <v>0</v>
      </c>
      <c r="H108" s="15">
        <f>IF($D108&lt;=0,0,($D108-$F108)/$D108)</f>
        <v/>
      </c>
      <c r="I108" s="15">
        <f>IF($D108-$F108&lt;=0,0,$E108/($D108-$F108))</f>
        <v/>
      </c>
      <c r="J108" s="7" t="n">
        <v>10</v>
      </c>
      <c r="K108" s="7" t="n">
        <v>37</v>
      </c>
      <c r="L108" s="7" t="n">
        <v>0</v>
      </c>
      <c r="M108" s="7" t="n">
        <v>0</v>
      </c>
      <c r="N108" s="7" t="n">
        <v>0</v>
      </c>
      <c r="O108" s="7" t="n">
        <v>1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</row>
    <row r="109">
      <c r="A109" s="11" t="n">
        <v>58</v>
      </c>
      <c r="B109" s="12">
        <f>IF(A109=1,"Safe (Start)",IF(OR(A109=$B$9,A109=$B$10),"Milestone",IF(AND($B$8&gt;0,MOD(A109,$B$8)=0),"Safe","Standard")))</f>
        <v/>
      </c>
      <c r="C109" s="12">
        <f>MIN(6,MAX(1,ROUNDUP(A109/$B$11,0)))</f>
        <v/>
      </c>
      <c r="D109" s="7">
        <f>$B$6</f>
        <v/>
      </c>
      <c r="E109" s="12">
        <f>MAX(0,$D109-$F109-$G109)</f>
        <v/>
      </c>
      <c r="F109" s="12">
        <f>IF($B109&lt;&gt;"Standard",0,MIN(3,MAX($B$7,IF($C109&lt;=2,1,IF($C109&lt;=4,2,3)))))</f>
        <v/>
      </c>
      <c r="G109" s="7" t="n">
        <v>0</v>
      </c>
      <c r="H109" s="15">
        <f>IF($D109&lt;=0,0,($D109-$F109)/$D109)</f>
        <v/>
      </c>
      <c r="I109" s="15">
        <f>IF($D109-$F109&lt;=0,0,$E109/($D109-$F109))</f>
        <v/>
      </c>
      <c r="J109" s="7" t="n">
        <v>15</v>
      </c>
      <c r="K109" s="7" t="n">
        <v>38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</row>
    <row r="110">
      <c r="A110" s="11" t="n">
        <v>59</v>
      </c>
      <c r="B110" s="12">
        <f>IF(A110=1,"Safe (Start)",IF(OR(A110=$B$9,A110=$B$10),"Milestone",IF(AND($B$8&gt;0,MOD(A110,$B$8)=0),"Safe","Standard")))</f>
        <v/>
      </c>
      <c r="C110" s="12">
        <f>MIN(6,MAX(1,ROUNDUP(A110/$B$11,0)))</f>
        <v/>
      </c>
      <c r="D110" s="7">
        <f>$B$6</f>
        <v/>
      </c>
      <c r="E110" s="12">
        <f>MAX(0,$D110-$F110-$G110)</f>
        <v/>
      </c>
      <c r="F110" s="12">
        <f>IF($B110&lt;&gt;"Standard",0,MIN(3,MAX($B$7,IF($C110&lt;=2,1,IF($C110&lt;=4,2,3)))))</f>
        <v/>
      </c>
      <c r="G110" s="7" t="n">
        <v>0</v>
      </c>
      <c r="H110" s="15">
        <f>IF($D110&lt;=0,0,($D110-$F110)/$D110)</f>
        <v/>
      </c>
      <c r="I110" s="15">
        <f>IF($D110-$F110&lt;=0,0,$E110/($D110-$F110))</f>
        <v/>
      </c>
      <c r="J110" s="7" t="n">
        <v>10</v>
      </c>
      <c r="K110" s="7" t="n">
        <v>38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</row>
    <row r="111">
      <c r="A111" s="11" t="n">
        <v>60</v>
      </c>
      <c r="B111" s="12">
        <f>IF(A111=1,"Safe (Start)",IF(OR(A111=$B$9,A111=$B$10),"Milestone",IF(AND($B$8&gt;0,MOD(A111,$B$8)=0),"Safe","Standard")))</f>
        <v/>
      </c>
      <c r="C111" s="12">
        <f>MIN(6,MAX(1,ROUNDUP(A111/$B$11,0)))</f>
        <v/>
      </c>
      <c r="D111" s="7">
        <f>$B$6</f>
        <v/>
      </c>
      <c r="E111" s="12">
        <f>MAX(0,$D111-$F111-$G111)</f>
        <v/>
      </c>
      <c r="F111" s="12">
        <f>IF($B111&lt;&gt;"Standard",0,MIN(3,MAX($B$7,IF($C111&lt;=2,1,IF($C111&lt;=4,2,3)))))</f>
        <v/>
      </c>
      <c r="G111" s="7" t="n">
        <v>0</v>
      </c>
      <c r="H111" s="15">
        <f>IF($D111&lt;=0,0,($D111-$F111)/$D111)</f>
        <v/>
      </c>
      <c r="I111" s="15">
        <f>IF($D111-$F111&lt;=0,0,$E111/($D111-$F111))</f>
        <v/>
      </c>
      <c r="J111" s="7" t="n">
        <v>15</v>
      </c>
      <c r="K111" s="7" t="n">
        <v>40</v>
      </c>
      <c r="L111" s="7" t="n">
        <v>0</v>
      </c>
      <c r="M111" s="7" t="n">
        <v>5</v>
      </c>
      <c r="N111" s="7" t="n">
        <v>5</v>
      </c>
      <c r="O111" s="7" t="n">
        <v>5</v>
      </c>
      <c r="P111" s="7" t="n">
        <v>5</v>
      </c>
      <c r="Q111" s="7" t="n">
        <v>5</v>
      </c>
      <c r="R111" s="7" t="n">
        <v>5</v>
      </c>
      <c r="S111" s="7" t="n">
        <v>0</v>
      </c>
      <c r="T111" s="7" t="n">
        <v>60</v>
      </c>
      <c r="U111" s="7" t="n">
        <v>60</v>
      </c>
      <c r="V111" s="7" t="n">
        <v>60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2</v>
      </c>
      <c r="AB111" s="7" t="n">
        <v>3</v>
      </c>
      <c r="AC111" s="7" t="n">
        <v>1</v>
      </c>
      <c r="AD111" s="7" t="n">
        <v>0</v>
      </c>
    </row>
    <row r="113">
      <c r="A113" s="5" t="inlineStr">
        <is>
          <t>SIM PART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5" t="inlineStr">
        <is>
          <t>PER-SEGMENT PROGRESSION</t>
        </is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</row>
    <row r="115">
      <c r="A115" s="10" t="inlineStr">
        <is>
          <t>Survive (w/ cont.): chance this player gets past this node once you allow for them paying to revive. Higher than the raw odds, because a revive turns a Pig into a guaranteed reward.</t>
        </is>
      </c>
    </row>
    <row r="116">
      <c r="A116" s="10" t="inlineStr">
        <is>
          <t>Reach p: chance they ever arrive at this node at all, having survived every node before it and not banked early.</t>
        </is>
      </c>
    </row>
    <row r="117">
      <c r="A117" s="10" t="inlineStr">
        <is>
          <t>P(end here): chance their run finishes at this node, either because they banked or because a Pig got them and they refused to pay.</t>
        </is>
      </c>
    </row>
    <row r="118">
      <c r="A118" s="10" t="inlineStr">
        <is>
          <t>Cum P(ended): running total of the column to its left, so it climbs to 1.0 by the last node. The reach simulation reads this to find the typical stopping point.</t>
        </is>
      </c>
    </row>
    <row r="119">
      <c r="A119" s="8" t="inlineStr">
        <is>
          <t>Stage</t>
        </is>
      </c>
      <c r="B119" s="16" t="inlineStr">
        <is>
          <t>0-9 Survive (w/ cont.)</t>
        </is>
      </c>
      <c r="C119" s="16" t="inlineStr">
        <is>
          <t>0-9 Reach p</t>
        </is>
      </c>
      <c r="D119" s="16" t="inlineStr">
        <is>
          <t>0-9 P(end here)</t>
        </is>
      </c>
      <c r="E119" s="16" t="inlineStr">
        <is>
          <t>0-9 Cum P(ended)</t>
        </is>
      </c>
      <c r="F119" s="16" t="inlineStr">
        <is>
          <t>10-19 Survive (w/ cont.)</t>
        </is>
      </c>
      <c r="G119" s="16" t="inlineStr">
        <is>
          <t>10-19 Reach p</t>
        </is>
      </c>
      <c r="H119" s="16" t="inlineStr">
        <is>
          <t>10-19 P(end here)</t>
        </is>
      </c>
      <c r="I119" s="16" t="inlineStr">
        <is>
          <t>10-19 Cum P(ended)</t>
        </is>
      </c>
      <c r="J119" s="16" t="inlineStr">
        <is>
          <t>20-39 Survive (w/ cont.)</t>
        </is>
      </c>
      <c r="K119" s="16" t="inlineStr">
        <is>
          <t>20-39 Reach p</t>
        </is>
      </c>
      <c r="L119" s="16" t="inlineStr">
        <is>
          <t>20-39 P(end here)</t>
        </is>
      </c>
      <c r="M119" s="16" t="inlineStr">
        <is>
          <t>20-39 Cum P(ended)</t>
        </is>
      </c>
      <c r="N119" s="16" t="inlineStr">
        <is>
          <t>40-99 Survive (w/ cont.)</t>
        </is>
      </c>
      <c r="O119" s="16" t="inlineStr">
        <is>
          <t>40-99 Reach p</t>
        </is>
      </c>
      <c r="P119" s="16" t="inlineStr">
        <is>
          <t>40-99 P(end here)</t>
        </is>
      </c>
      <c r="Q119" s="16" t="inlineStr">
        <is>
          <t>40-99 Cum P(ended)</t>
        </is>
      </c>
      <c r="R119" s="16" t="inlineStr">
        <is>
          <t>100+ Survive (w/ cont.)</t>
        </is>
      </c>
      <c r="S119" s="16" t="inlineStr">
        <is>
          <t>100+ Reach p</t>
        </is>
      </c>
      <c r="T119" s="16" t="inlineStr">
        <is>
          <t>100+ P(end here)</t>
        </is>
      </c>
      <c r="U119" s="16" t="inlineStr">
        <is>
          <t>100+ Cum P(ended)</t>
        </is>
      </c>
    </row>
    <row r="120">
      <c r="A120" s="11">
        <f>$A52</f>
        <v/>
      </c>
      <c r="B120" s="15">
        <f>$H52+(1-$H52)*$B$22</f>
        <v/>
      </c>
      <c r="C120" s="17" t="n">
        <v>1</v>
      </c>
      <c r="D120" s="17">
        <f>C120*(IF(AND($C$22&gt;0,$A120&gt;=$C$22),B120,0)+(1-$H52)*(1-$B$22))</f>
        <v/>
      </c>
      <c r="E120" s="17">
        <f>SUM(D$120:D120)</f>
        <v/>
      </c>
      <c r="F120" s="15">
        <f>$H52+(1-$H52)*$B$23</f>
        <v/>
      </c>
      <c r="G120" s="17" t="n">
        <v>1</v>
      </c>
      <c r="H120" s="17">
        <f>G120*(IF(AND($C$23&gt;0,$A120&gt;=$C$23),F120,0)+(1-$H52)*(1-$B$23))</f>
        <v/>
      </c>
      <c r="I120" s="17">
        <f>SUM(H$120:H120)</f>
        <v/>
      </c>
      <c r="J120" s="15">
        <f>$H52+(1-$H52)*$B$24</f>
        <v/>
      </c>
      <c r="K120" s="17" t="n">
        <v>1</v>
      </c>
      <c r="L120" s="17">
        <f>K120*(IF(AND($C$24&gt;0,$A120&gt;=$C$24),J120,0)+(1-$H52)*(1-$B$24))</f>
        <v/>
      </c>
      <c r="M120" s="17">
        <f>SUM(L$120:L120)</f>
        <v/>
      </c>
      <c r="N120" s="15">
        <f>$H52+(1-$H52)*$B$25</f>
        <v/>
      </c>
      <c r="O120" s="17" t="n">
        <v>1</v>
      </c>
      <c r="P120" s="17">
        <f>O120*(IF(AND($C$25&gt;0,$A120&gt;=$C$25),N120,0)+(1-$H52)*(1-$B$25))</f>
        <v/>
      </c>
      <c r="Q120" s="17">
        <f>SUM(P$120:P120)</f>
        <v/>
      </c>
      <c r="R120" s="15">
        <f>$H52+(1-$H52)*$B$26</f>
        <v/>
      </c>
      <c r="S120" s="17" t="n">
        <v>1</v>
      </c>
      <c r="T120" s="17">
        <f>S120*(IF(AND($C$26&gt;0,$A120&gt;=$C$26),R120,0)+(1-$H52)*(1-$B$26))</f>
        <v/>
      </c>
      <c r="U120" s="17">
        <f>SUM(T$120:T120)</f>
        <v/>
      </c>
    </row>
    <row r="121">
      <c r="A121" s="11">
        <f>$A53</f>
        <v/>
      </c>
      <c r="B121" s="15">
        <f>$H53+(1-$H53)*$B$22</f>
        <v/>
      </c>
      <c r="C121" s="17">
        <f>C120*B120*IF(AND($C$22&gt;0,$A120&gt;=$C$22),0,1)</f>
        <v/>
      </c>
      <c r="D121" s="17">
        <f>C121*(IF(AND($C$22&gt;0,$A121&gt;=$C$22),B121,0)+(1-$H53)*(1-$B$22))</f>
        <v/>
      </c>
      <c r="E121" s="17">
        <f>SUM(D$120:D121)</f>
        <v/>
      </c>
      <c r="F121" s="15">
        <f>$H53+(1-$H53)*$B$23</f>
        <v/>
      </c>
      <c r="G121" s="17">
        <f>G120*F120*IF(AND($C$23&gt;0,$A120&gt;=$C$23),0,1)</f>
        <v/>
      </c>
      <c r="H121" s="17">
        <f>G121*(IF(AND($C$23&gt;0,$A121&gt;=$C$23),F121,0)+(1-$H53)*(1-$B$23))</f>
        <v/>
      </c>
      <c r="I121" s="17">
        <f>SUM(H$120:H121)</f>
        <v/>
      </c>
      <c r="J121" s="15">
        <f>$H53+(1-$H53)*$B$24</f>
        <v/>
      </c>
      <c r="K121" s="17">
        <f>K120*J120*IF(AND($C$24&gt;0,$A120&gt;=$C$24),0,1)</f>
        <v/>
      </c>
      <c r="L121" s="17">
        <f>K121*(IF(AND($C$24&gt;0,$A121&gt;=$C$24),J121,0)+(1-$H53)*(1-$B$24))</f>
        <v/>
      </c>
      <c r="M121" s="17">
        <f>SUM(L$120:L121)</f>
        <v/>
      </c>
      <c r="N121" s="15">
        <f>$H53+(1-$H53)*$B$25</f>
        <v/>
      </c>
      <c r="O121" s="17">
        <f>O120*N120*IF(AND($C$25&gt;0,$A120&gt;=$C$25),0,1)</f>
        <v/>
      </c>
      <c r="P121" s="17">
        <f>O121*(IF(AND($C$25&gt;0,$A121&gt;=$C$25),N121,0)+(1-$H53)*(1-$B$25))</f>
        <v/>
      </c>
      <c r="Q121" s="17">
        <f>SUM(P$120:P121)</f>
        <v/>
      </c>
      <c r="R121" s="15">
        <f>$H53+(1-$H53)*$B$26</f>
        <v/>
      </c>
      <c r="S121" s="17">
        <f>S120*R120*IF(AND($C$26&gt;0,$A120&gt;=$C$26),0,1)</f>
        <v/>
      </c>
      <c r="T121" s="17">
        <f>S121*(IF(AND($C$26&gt;0,$A121&gt;=$C$26),R121,0)+(1-$H53)*(1-$B$26))</f>
        <v/>
      </c>
      <c r="U121" s="17">
        <f>SUM(T$120:T121)</f>
        <v/>
      </c>
    </row>
    <row r="122">
      <c r="A122" s="11">
        <f>$A54</f>
        <v/>
      </c>
      <c r="B122" s="15">
        <f>$H54+(1-$H54)*$B$22</f>
        <v/>
      </c>
      <c r="C122" s="17">
        <f>C121*B121*IF(AND($C$22&gt;0,$A121&gt;=$C$22),0,1)</f>
        <v/>
      </c>
      <c r="D122" s="17">
        <f>C122*(IF(AND($C$22&gt;0,$A122&gt;=$C$22),B122,0)+(1-$H54)*(1-$B$22))</f>
        <v/>
      </c>
      <c r="E122" s="17">
        <f>SUM(D$120:D122)</f>
        <v/>
      </c>
      <c r="F122" s="15">
        <f>$H54+(1-$H54)*$B$23</f>
        <v/>
      </c>
      <c r="G122" s="17">
        <f>G121*F121*IF(AND($C$23&gt;0,$A121&gt;=$C$23),0,1)</f>
        <v/>
      </c>
      <c r="H122" s="17">
        <f>G122*(IF(AND($C$23&gt;0,$A122&gt;=$C$23),F122,0)+(1-$H54)*(1-$B$23))</f>
        <v/>
      </c>
      <c r="I122" s="17">
        <f>SUM(H$120:H122)</f>
        <v/>
      </c>
      <c r="J122" s="15">
        <f>$H54+(1-$H54)*$B$24</f>
        <v/>
      </c>
      <c r="K122" s="17">
        <f>K121*J121*IF(AND($C$24&gt;0,$A121&gt;=$C$24),0,1)</f>
        <v/>
      </c>
      <c r="L122" s="17">
        <f>K122*(IF(AND($C$24&gt;0,$A122&gt;=$C$24),J122,0)+(1-$H54)*(1-$B$24))</f>
        <v/>
      </c>
      <c r="M122" s="17">
        <f>SUM(L$120:L122)</f>
        <v/>
      </c>
      <c r="N122" s="15">
        <f>$H54+(1-$H54)*$B$25</f>
        <v/>
      </c>
      <c r="O122" s="17">
        <f>O121*N121*IF(AND($C$25&gt;0,$A121&gt;=$C$25),0,1)</f>
        <v/>
      </c>
      <c r="P122" s="17">
        <f>O122*(IF(AND($C$25&gt;0,$A122&gt;=$C$25),N122,0)+(1-$H54)*(1-$B$25))</f>
        <v/>
      </c>
      <c r="Q122" s="17">
        <f>SUM(P$120:P122)</f>
        <v/>
      </c>
      <c r="R122" s="15">
        <f>$H54+(1-$H54)*$B$26</f>
        <v/>
      </c>
      <c r="S122" s="17">
        <f>S121*R121*IF(AND($C$26&gt;0,$A121&gt;=$C$26),0,1)</f>
        <v/>
      </c>
      <c r="T122" s="17">
        <f>S122*(IF(AND($C$26&gt;0,$A122&gt;=$C$26),R122,0)+(1-$H54)*(1-$B$26))</f>
        <v/>
      </c>
      <c r="U122" s="17">
        <f>SUM(T$120:T122)</f>
        <v/>
      </c>
    </row>
    <row r="123">
      <c r="A123" s="11">
        <f>$A55</f>
        <v/>
      </c>
      <c r="B123" s="15">
        <f>$H55+(1-$H55)*$B$22</f>
        <v/>
      </c>
      <c r="C123" s="17">
        <f>C122*B122*IF(AND($C$22&gt;0,$A122&gt;=$C$22),0,1)</f>
        <v/>
      </c>
      <c r="D123" s="17">
        <f>C123*(IF(AND($C$22&gt;0,$A123&gt;=$C$22),B123,0)+(1-$H55)*(1-$B$22))</f>
        <v/>
      </c>
      <c r="E123" s="17">
        <f>SUM(D$120:D123)</f>
        <v/>
      </c>
      <c r="F123" s="15">
        <f>$H55+(1-$H55)*$B$23</f>
        <v/>
      </c>
      <c r="G123" s="17">
        <f>G122*F122*IF(AND($C$23&gt;0,$A122&gt;=$C$23),0,1)</f>
        <v/>
      </c>
      <c r="H123" s="17">
        <f>G123*(IF(AND($C$23&gt;0,$A123&gt;=$C$23),F123,0)+(1-$H55)*(1-$B$23))</f>
        <v/>
      </c>
      <c r="I123" s="17">
        <f>SUM(H$120:H123)</f>
        <v/>
      </c>
      <c r="J123" s="15">
        <f>$H55+(1-$H55)*$B$24</f>
        <v/>
      </c>
      <c r="K123" s="17">
        <f>K122*J122*IF(AND($C$24&gt;0,$A122&gt;=$C$24),0,1)</f>
        <v/>
      </c>
      <c r="L123" s="17">
        <f>K123*(IF(AND($C$24&gt;0,$A123&gt;=$C$24),J123,0)+(1-$H55)*(1-$B$24))</f>
        <v/>
      </c>
      <c r="M123" s="17">
        <f>SUM(L$120:L123)</f>
        <v/>
      </c>
      <c r="N123" s="15">
        <f>$H55+(1-$H55)*$B$25</f>
        <v/>
      </c>
      <c r="O123" s="17">
        <f>O122*N122*IF(AND($C$25&gt;0,$A122&gt;=$C$25),0,1)</f>
        <v/>
      </c>
      <c r="P123" s="17">
        <f>O123*(IF(AND($C$25&gt;0,$A123&gt;=$C$25),N123,0)+(1-$H55)*(1-$B$25))</f>
        <v/>
      </c>
      <c r="Q123" s="17">
        <f>SUM(P$120:P123)</f>
        <v/>
      </c>
      <c r="R123" s="15">
        <f>$H55+(1-$H55)*$B$26</f>
        <v/>
      </c>
      <c r="S123" s="17">
        <f>S122*R122*IF(AND($C$26&gt;0,$A122&gt;=$C$26),0,1)</f>
        <v/>
      </c>
      <c r="T123" s="17">
        <f>S123*(IF(AND($C$26&gt;0,$A123&gt;=$C$26),R123,0)+(1-$H55)*(1-$B$26))</f>
        <v/>
      </c>
      <c r="U123" s="17">
        <f>SUM(T$120:T123)</f>
        <v/>
      </c>
    </row>
    <row r="124">
      <c r="A124" s="11">
        <f>$A56</f>
        <v/>
      </c>
      <c r="B124" s="15">
        <f>$H56+(1-$H56)*$B$22</f>
        <v/>
      </c>
      <c r="C124" s="17">
        <f>C123*B123*IF(AND($C$22&gt;0,$A123&gt;=$C$22),0,1)</f>
        <v/>
      </c>
      <c r="D124" s="17">
        <f>C124*(IF(AND($C$22&gt;0,$A124&gt;=$C$22),B124,0)+(1-$H56)*(1-$B$22))</f>
        <v/>
      </c>
      <c r="E124" s="17">
        <f>SUM(D$120:D124)</f>
        <v/>
      </c>
      <c r="F124" s="15">
        <f>$H56+(1-$H56)*$B$23</f>
        <v/>
      </c>
      <c r="G124" s="17">
        <f>G123*F123*IF(AND($C$23&gt;0,$A123&gt;=$C$23),0,1)</f>
        <v/>
      </c>
      <c r="H124" s="17">
        <f>G124*(IF(AND($C$23&gt;0,$A124&gt;=$C$23),F124,0)+(1-$H56)*(1-$B$23))</f>
        <v/>
      </c>
      <c r="I124" s="17">
        <f>SUM(H$120:H124)</f>
        <v/>
      </c>
      <c r="J124" s="15">
        <f>$H56+(1-$H56)*$B$24</f>
        <v/>
      </c>
      <c r="K124" s="17">
        <f>K123*J123*IF(AND($C$24&gt;0,$A123&gt;=$C$24),0,1)</f>
        <v/>
      </c>
      <c r="L124" s="17">
        <f>K124*(IF(AND($C$24&gt;0,$A124&gt;=$C$24),J124,0)+(1-$H56)*(1-$B$24))</f>
        <v/>
      </c>
      <c r="M124" s="17">
        <f>SUM(L$120:L124)</f>
        <v/>
      </c>
      <c r="N124" s="15">
        <f>$H56+(1-$H56)*$B$25</f>
        <v/>
      </c>
      <c r="O124" s="17">
        <f>O123*N123*IF(AND($C$25&gt;0,$A123&gt;=$C$25),0,1)</f>
        <v/>
      </c>
      <c r="P124" s="17">
        <f>O124*(IF(AND($C$25&gt;0,$A124&gt;=$C$25),N124,0)+(1-$H56)*(1-$B$25))</f>
        <v/>
      </c>
      <c r="Q124" s="17">
        <f>SUM(P$120:P124)</f>
        <v/>
      </c>
      <c r="R124" s="15">
        <f>$H56+(1-$H56)*$B$26</f>
        <v/>
      </c>
      <c r="S124" s="17">
        <f>S123*R123*IF(AND($C$26&gt;0,$A123&gt;=$C$26),0,1)</f>
        <v/>
      </c>
      <c r="T124" s="17">
        <f>S124*(IF(AND($C$26&gt;0,$A124&gt;=$C$26),R124,0)+(1-$H56)*(1-$B$26))</f>
        <v/>
      </c>
      <c r="U124" s="17">
        <f>SUM(T$120:T124)</f>
        <v/>
      </c>
    </row>
    <row r="125">
      <c r="A125" s="11">
        <f>$A57</f>
        <v/>
      </c>
      <c r="B125" s="15">
        <f>$H57+(1-$H57)*$B$22</f>
        <v/>
      </c>
      <c r="C125" s="17">
        <f>C124*B124*IF(AND($C$22&gt;0,$A124&gt;=$C$22),0,1)</f>
        <v/>
      </c>
      <c r="D125" s="17">
        <f>C125*(IF(AND($C$22&gt;0,$A125&gt;=$C$22),B125,0)+(1-$H57)*(1-$B$22))</f>
        <v/>
      </c>
      <c r="E125" s="17">
        <f>SUM(D$120:D125)</f>
        <v/>
      </c>
      <c r="F125" s="15">
        <f>$H57+(1-$H57)*$B$23</f>
        <v/>
      </c>
      <c r="G125" s="17">
        <f>G124*F124*IF(AND($C$23&gt;0,$A124&gt;=$C$23),0,1)</f>
        <v/>
      </c>
      <c r="H125" s="17">
        <f>G125*(IF(AND($C$23&gt;0,$A125&gt;=$C$23),F125,0)+(1-$H57)*(1-$B$23))</f>
        <v/>
      </c>
      <c r="I125" s="17">
        <f>SUM(H$120:H125)</f>
        <v/>
      </c>
      <c r="J125" s="15">
        <f>$H57+(1-$H57)*$B$24</f>
        <v/>
      </c>
      <c r="K125" s="17">
        <f>K124*J124*IF(AND($C$24&gt;0,$A124&gt;=$C$24),0,1)</f>
        <v/>
      </c>
      <c r="L125" s="17">
        <f>K125*(IF(AND($C$24&gt;0,$A125&gt;=$C$24),J125,0)+(1-$H57)*(1-$B$24))</f>
        <v/>
      </c>
      <c r="M125" s="17">
        <f>SUM(L$120:L125)</f>
        <v/>
      </c>
      <c r="N125" s="15">
        <f>$H57+(1-$H57)*$B$25</f>
        <v/>
      </c>
      <c r="O125" s="17">
        <f>O124*N124*IF(AND($C$25&gt;0,$A124&gt;=$C$25),0,1)</f>
        <v/>
      </c>
      <c r="P125" s="17">
        <f>O125*(IF(AND($C$25&gt;0,$A125&gt;=$C$25),N125,0)+(1-$H57)*(1-$B$25))</f>
        <v/>
      </c>
      <c r="Q125" s="17">
        <f>SUM(P$120:P125)</f>
        <v/>
      </c>
      <c r="R125" s="15">
        <f>$H57+(1-$H57)*$B$26</f>
        <v/>
      </c>
      <c r="S125" s="17">
        <f>S124*R124*IF(AND($C$26&gt;0,$A124&gt;=$C$26),0,1)</f>
        <v/>
      </c>
      <c r="T125" s="17">
        <f>S125*(IF(AND($C$26&gt;0,$A125&gt;=$C$26),R125,0)+(1-$H57)*(1-$B$26))</f>
        <v/>
      </c>
      <c r="U125" s="17">
        <f>SUM(T$120:T125)</f>
        <v/>
      </c>
    </row>
    <row r="126">
      <c r="A126" s="11">
        <f>$A58</f>
        <v/>
      </c>
      <c r="B126" s="15">
        <f>$H58+(1-$H58)*$B$22</f>
        <v/>
      </c>
      <c r="C126" s="17">
        <f>C125*B125*IF(AND($C$22&gt;0,$A125&gt;=$C$22),0,1)</f>
        <v/>
      </c>
      <c r="D126" s="17">
        <f>C126*(IF(AND($C$22&gt;0,$A126&gt;=$C$22),B126,0)+(1-$H58)*(1-$B$22))</f>
        <v/>
      </c>
      <c r="E126" s="17">
        <f>SUM(D$120:D126)</f>
        <v/>
      </c>
      <c r="F126" s="15">
        <f>$H58+(1-$H58)*$B$23</f>
        <v/>
      </c>
      <c r="G126" s="17">
        <f>G125*F125*IF(AND($C$23&gt;0,$A125&gt;=$C$23),0,1)</f>
        <v/>
      </c>
      <c r="H126" s="17">
        <f>G126*(IF(AND($C$23&gt;0,$A126&gt;=$C$23),F126,0)+(1-$H58)*(1-$B$23))</f>
        <v/>
      </c>
      <c r="I126" s="17">
        <f>SUM(H$120:H126)</f>
        <v/>
      </c>
      <c r="J126" s="15">
        <f>$H58+(1-$H58)*$B$24</f>
        <v/>
      </c>
      <c r="K126" s="17">
        <f>K125*J125*IF(AND($C$24&gt;0,$A125&gt;=$C$24),0,1)</f>
        <v/>
      </c>
      <c r="L126" s="17">
        <f>K126*(IF(AND($C$24&gt;0,$A126&gt;=$C$24),J126,0)+(1-$H58)*(1-$B$24))</f>
        <v/>
      </c>
      <c r="M126" s="17">
        <f>SUM(L$120:L126)</f>
        <v/>
      </c>
      <c r="N126" s="15">
        <f>$H58+(1-$H58)*$B$25</f>
        <v/>
      </c>
      <c r="O126" s="17">
        <f>O125*N125*IF(AND($C$25&gt;0,$A125&gt;=$C$25),0,1)</f>
        <v/>
      </c>
      <c r="P126" s="17">
        <f>O126*(IF(AND($C$25&gt;0,$A126&gt;=$C$25),N126,0)+(1-$H58)*(1-$B$25))</f>
        <v/>
      </c>
      <c r="Q126" s="17">
        <f>SUM(P$120:P126)</f>
        <v/>
      </c>
      <c r="R126" s="15">
        <f>$H58+(1-$H58)*$B$26</f>
        <v/>
      </c>
      <c r="S126" s="17">
        <f>S125*R125*IF(AND($C$26&gt;0,$A125&gt;=$C$26),0,1)</f>
        <v/>
      </c>
      <c r="T126" s="17">
        <f>S126*(IF(AND($C$26&gt;0,$A126&gt;=$C$26),R126,0)+(1-$H58)*(1-$B$26))</f>
        <v/>
      </c>
      <c r="U126" s="17">
        <f>SUM(T$120:T126)</f>
        <v/>
      </c>
    </row>
    <row r="127">
      <c r="A127" s="11">
        <f>$A59</f>
        <v/>
      </c>
      <c r="B127" s="15">
        <f>$H59+(1-$H59)*$B$22</f>
        <v/>
      </c>
      <c r="C127" s="17">
        <f>C126*B126*IF(AND($C$22&gt;0,$A126&gt;=$C$22),0,1)</f>
        <v/>
      </c>
      <c r="D127" s="17">
        <f>C127*(IF(AND($C$22&gt;0,$A127&gt;=$C$22),B127,0)+(1-$H59)*(1-$B$22))</f>
        <v/>
      </c>
      <c r="E127" s="17">
        <f>SUM(D$120:D127)</f>
        <v/>
      </c>
      <c r="F127" s="15">
        <f>$H59+(1-$H59)*$B$23</f>
        <v/>
      </c>
      <c r="G127" s="17">
        <f>G126*F126*IF(AND($C$23&gt;0,$A126&gt;=$C$23),0,1)</f>
        <v/>
      </c>
      <c r="H127" s="17">
        <f>G127*(IF(AND($C$23&gt;0,$A127&gt;=$C$23),F127,0)+(1-$H59)*(1-$B$23))</f>
        <v/>
      </c>
      <c r="I127" s="17">
        <f>SUM(H$120:H127)</f>
        <v/>
      </c>
      <c r="J127" s="15">
        <f>$H59+(1-$H59)*$B$24</f>
        <v/>
      </c>
      <c r="K127" s="17">
        <f>K126*J126*IF(AND($C$24&gt;0,$A126&gt;=$C$24),0,1)</f>
        <v/>
      </c>
      <c r="L127" s="17">
        <f>K127*(IF(AND($C$24&gt;0,$A127&gt;=$C$24),J127,0)+(1-$H59)*(1-$B$24))</f>
        <v/>
      </c>
      <c r="M127" s="17">
        <f>SUM(L$120:L127)</f>
        <v/>
      </c>
      <c r="N127" s="15">
        <f>$H59+(1-$H59)*$B$25</f>
        <v/>
      </c>
      <c r="O127" s="17">
        <f>O126*N126*IF(AND($C$25&gt;0,$A126&gt;=$C$25),0,1)</f>
        <v/>
      </c>
      <c r="P127" s="17">
        <f>O127*(IF(AND($C$25&gt;0,$A127&gt;=$C$25),N127,0)+(1-$H59)*(1-$B$25))</f>
        <v/>
      </c>
      <c r="Q127" s="17">
        <f>SUM(P$120:P127)</f>
        <v/>
      </c>
      <c r="R127" s="15">
        <f>$H59+(1-$H59)*$B$26</f>
        <v/>
      </c>
      <c r="S127" s="17">
        <f>S126*R126*IF(AND($C$26&gt;0,$A126&gt;=$C$26),0,1)</f>
        <v/>
      </c>
      <c r="T127" s="17">
        <f>S127*(IF(AND($C$26&gt;0,$A127&gt;=$C$26),R127,0)+(1-$H59)*(1-$B$26))</f>
        <v/>
      </c>
      <c r="U127" s="17">
        <f>SUM(T$120:T127)</f>
        <v/>
      </c>
    </row>
    <row r="128">
      <c r="A128" s="11">
        <f>$A60</f>
        <v/>
      </c>
      <c r="B128" s="15">
        <f>$H60+(1-$H60)*$B$22</f>
        <v/>
      </c>
      <c r="C128" s="17">
        <f>C127*B127*IF(AND($C$22&gt;0,$A127&gt;=$C$22),0,1)</f>
        <v/>
      </c>
      <c r="D128" s="17">
        <f>C128*(IF(AND($C$22&gt;0,$A128&gt;=$C$22),B128,0)+(1-$H60)*(1-$B$22))</f>
        <v/>
      </c>
      <c r="E128" s="17">
        <f>SUM(D$120:D128)</f>
        <v/>
      </c>
      <c r="F128" s="15">
        <f>$H60+(1-$H60)*$B$23</f>
        <v/>
      </c>
      <c r="G128" s="17">
        <f>G127*F127*IF(AND($C$23&gt;0,$A127&gt;=$C$23),0,1)</f>
        <v/>
      </c>
      <c r="H128" s="17">
        <f>G128*(IF(AND($C$23&gt;0,$A128&gt;=$C$23),F128,0)+(1-$H60)*(1-$B$23))</f>
        <v/>
      </c>
      <c r="I128" s="17">
        <f>SUM(H$120:H128)</f>
        <v/>
      </c>
      <c r="J128" s="15">
        <f>$H60+(1-$H60)*$B$24</f>
        <v/>
      </c>
      <c r="K128" s="17">
        <f>K127*J127*IF(AND($C$24&gt;0,$A127&gt;=$C$24),0,1)</f>
        <v/>
      </c>
      <c r="L128" s="17">
        <f>K128*(IF(AND($C$24&gt;0,$A128&gt;=$C$24),J128,0)+(1-$H60)*(1-$B$24))</f>
        <v/>
      </c>
      <c r="M128" s="17">
        <f>SUM(L$120:L128)</f>
        <v/>
      </c>
      <c r="N128" s="15">
        <f>$H60+(1-$H60)*$B$25</f>
        <v/>
      </c>
      <c r="O128" s="17">
        <f>O127*N127*IF(AND($C$25&gt;0,$A127&gt;=$C$25),0,1)</f>
        <v/>
      </c>
      <c r="P128" s="17">
        <f>O128*(IF(AND($C$25&gt;0,$A128&gt;=$C$25),N128,0)+(1-$H60)*(1-$B$25))</f>
        <v/>
      </c>
      <c r="Q128" s="17">
        <f>SUM(P$120:P128)</f>
        <v/>
      </c>
      <c r="R128" s="15">
        <f>$H60+(1-$H60)*$B$26</f>
        <v/>
      </c>
      <c r="S128" s="17">
        <f>S127*R127*IF(AND($C$26&gt;0,$A127&gt;=$C$26),0,1)</f>
        <v/>
      </c>
      <c r="T128" s="17">
        <f>S128*(IF(AND($C$26&gt;0,$A128&gt;=$C$26),R128,0)+(1-$H60)*(1-$B$26))</f>
        <v/>
      </c>
      <c r="U128" s="17">
        <f>SUM(T$120:T128)</f>
        <v/>
      </c>
    </row>
    <row r="129">
      <c r="A129" s="11">
        <f>$A61</f>
        <v/>
      </c>
      <c r="B129" s="15">
        <f>$H61+(1-$H61)*$B$22</f>
        <v/>
      </c>
      <c r="C129" s="17">
        <f>C128*B128*IF(AND($C$22&gt;0,$A128&gt;=$C$22),0,1)</f>
        <v/>
      </c>
      <c r="D129" s="17">
        <f>C129*(IF(AND($C$22&gt;0,$A129&gt;=$C$22),B129,0)+(1-$H61)*(1-$B$22))</f>
        <v/>
      </c>
      <c r="E129" s="17">
        <f>SUM(D$120:D129)</f>
        <v/>
      </c>
      <c r="F129" s="15">
        <f>$H61+(1-$H61)*$B$23</f>
        <v/>
      </c>
      <c r="G129" s="17">
        <f>G128*F128*IF(AND($C$23&gt;0,$A128&gt;=$C$23),0,1)</f>
        <v/>
      </c>
      <c r="H129" s="17">
        <f>G129*(IF(AND($C$23&gt;0,$A129&gt;=$C$23),F129,0)+(1-$H61)*(1-$B$23))</f>
        <v/>
      </c>
      <c r="I129" s="17">
        <f>SUM(H$120:H129)</f>
        <v/>
      </c>
      <c r="J129" s="15">
        <f>$H61+(1-$H61)*$B$24</f>
        <v/>
      </c>
      <c r="K129" s="17">
        <f>K128*J128*IF(AND($C$24&gt;0,$A128&gt;=$C$24),0,1)</f>
        <v/>
      </c>
      <c r="L129" s="17">
        <f>K129*(IF(AND($C$24&gt;0,$A129&gt;=$C$24),J129,0)+(1-$H61)*(1-$B$24))</f>
        <v/>
      </c>
      <c r="M129" s="17">
        <f>SUM(L$120:L129)</f>
        <v/>
      </c>
      <c r="N129" s="15">
        <f>$H61+(1-$H61)*$B$25</f>
        <v/>
      </c>
      <c r="O129" s="17">
        <f>O128*N128*IF(AND($C$25&gt;0,$A128&gt;=$C$25),0,1)</f>
        <v/>
      </c>
      <c r="P129" s="17">
        <f>O129*(IF(AND($C$25&gt;0,$A129&gt;=$C$25),N129,0)+(1-$H61)*(1-$B$25))</f>
        <v/>
      </c>
      <c r="Q129" s="17">
        <f>SUM(P$120:P129)</f>
        <v/>
      </c>
      <c r="R129" s="15">
        <f>$H61+(1-$H61)*$B$26</f>
        <v/>
      </c>
      <c r="S129" s="17">
        <f>S128*R128*IF(AND($C$26&gt;0,$A128&gt;=$C$26),0,1)</f>
        <v/>
      </c>
      <c r="T129" s="17">
        <f>S129*(IF(AND($C$26&gt;0,$A129&gt;=$C$26),R129,0)+(1-$H61)*(1-$B$26))</f>
        <v/>
      </c>
      <c r="U129" s="17">
        <f>SUM(T$120:T129)</f>
        <v/>
      </c>
    </row>
    <row r="130">
      <c r="A130" s="11">
        <f>$A62</f>
        <v/>
      </c>
      <c r="B130" s="15">
        <f>$H62+(1-$H62)*$B$22</f>
        <v/>
      </c>
      <c r="C130" s="17">
        <f>C129*B129*IF(AND($C$22&gt;0,$A129&gt;=$C$22),0,1)</f>
        <v/>
      </c>
      <c r="D130" s="17">
        <f>C130*(IF(AND($C$22&gt;0,$A130&gt;=$C$22),B130,0)+(1-$H62)*(1-$B$22))</f>
        <v/>
      </c>
      <c r="E130" s="17">
        <f>SUM(D$120:D130)</f>
        <v/>
      </c>
      <c r="F130" s="15">
        <f>$H62+(1-$H62)*$B$23</f>
        <v/>
      </c>
      <c r="G130" s="17">
        <f>G129*F129*IF(AND($C$23&gt;0,$A129&gt;=$C$23),0,1)</f>
        <v/>
      </c>
      <c r="H130" s="17">
        <f>G130*(IF(AND($C$23&gt;0,$A130&gt;=$C$23),F130,0)+(1-$H62)*(1-$B$23))</f>
        <v/>
      </c>
      <c r="I130" s="17">
        <f>SUM(H$120:H130)</f>
        <v/>
      </c>
      <c r="J130" s="15">
        <f>$H62+(1-$H62)*$B$24</f>
        <v/>
      </c>
      <c r="K130" s="17">
        <f>K129*J129*IF(AND($C$24&gt;0,$A129&gt;=$C$24),0,1)</f>
        <v/>
      </c>
      <c r="L130" s="17">
        <f>K130*(IF(AND($C$24&gt;0,$A130&gt;=$C$24),J130,0)+(1-$H62)*(1-$B$24))</f>
        <v/>
      </c>
      <c r="M130" s="17">
        <f>SUM(L$120:L130)</f>
        <v/>
      </c>
      <c r="N130" s="15">
        <f>$H62+(1-$H62)*$B$25</f>
        <v/>
      </c>
      <c r="O130" s="17">
        <f>O129*N129*IF(AND($C$25&gt;0,$A129&gt;=$C$25),0,1)</f>
        <v/>
      </c>
      <c r="P130" s="17">
        <f>O130*(IF(AND($C$25&gt;0,$A130&gt;=$C$25),N130,0)+(1-$H62)*(1-$B$25))</f>
        <v/>
      </c>
      <c r="Q130" s="17">
        <f>SUM(P$120:P130)</f>
        <v/>
      </c>
      <c r="R130" s="15">
        <f>$H62+(1-$H62)*$B$26</f>
        <v/>
      </c>
      <c r="S130" s="17">
        <f>S129*R129*IF(AND($C$26&gt;0,$A129&gt;=$C$26),0,1)</f>
        <v/>
      </c>
      <c r="T130" s="17">
        <f>S130*(IF(AND($C$26&gt;0,$A130&gt;=$C$26),R130,0)+(1-$H62)*(1-$B$26))</f>
        <v/>
      </c>
      <c r="U130" s="17">
        <f>SUM(T$120:T130)</f>
        <v/>
      </c>
    </row>
    <row r="131">
      <c r="A131" s="11">
        <f>$A63</f>
        <v/>
      </c>
      <c r="B131" s="15">
        <f>$H63+(1-$H63)*$B$22</f>
        <v/>
      </c>
      <c r="C131" s="17">
        <f>C130*B130*IF(AND($C$22&gt;0,$A130&gt;=$C$22),0,1)</f>
        <v/>
      </c>
      <c r="D131" s="17">
        <f>C131*(IF(AND($C$22&gt;0,$A131&gt;=$C$22),B131,0)+(1-$H63)*(1-$B$22))</f>
        <v/>
      </c>
      <c r="E131" s="17">
        <f>SUM(D$120:D131)</f>
        <v/>
      </c>
      <c r="F131" s="15">
        <f>$H63+(1-$H63)*$B$23</f>
        <v/>
      </c>
      <c r="G131" s="17">
        <f>G130*F130*IF(AND($C$23&gt;0,$A130&gt;=$C$23),0,1)</f>
        <v/>
      </c>
      <c r="H131" s="17">
        <f>G131*(IF(AND($C$23&gt;0,$A131&gt;=$C$23),F131,0)+(1-$H63)*(1-$B$23))</f>
        <v/>
      </c>
      <c r="I131" s="17">
        <f>SUM(H$120:H131)</f>
        <v/>
      </c>
      <c r="J131" s="15">
        <f>$H63+(1-$H63)*$B$24</f>
        <v/>
      </c>
      <c r="K131" s="17">
        <f>K130*J130*IF(AND($C$24&gt;0,$A130&gt;=$C$24),0,1)</f>
        <v/>
      </c>
      <c r="L131" s="17">
        <f>K131*(IF(AND($C$24&gt;0,$A131&gt;=$C$24),J131,0)+(1-$H63)*(1-$B$24))</f>
        <v/>
      </c>
      <c r="M131" s="17">
        <f>SUM(L$120:L131)</f>
        <v/>
      </c>
      <c r="N131" s="15">
        <f>$H63+(1-$H63)*$B$25</f>
        <v/>
      </c>
      <c r="O131" s="17">
        <f>O130*N130*IF(AND($C$25&gt;0,$A130&gt;=$C$25),0,1)</f>
        <v/>
      </c>
      <c r="P131" s="17">
        <f>O131*(IF(AND($C$25&gt;0,$A131&gt;=$C$25),N131,0)+(1-$H63)*(1-$B$25))</f>
        <v/>
      </c>
      <c r="Q131" s="17">
        <f>SUM(P$120:P131)</f>
        <v/>
      </c>
      <c r="R131" s="15">
        <f>$H63+(1-$H63)*$B$26</f>
        <v/>
      </c>
      <c r="S131" s="17">
        <f>S130*R130*IF(AND($C$26&gt;0,$A130&gt;=$C$26),0,1)</f>
        <v/>
      </c>
      <c r="T131" s="17">
        <f>S131*(IF(AND($C$26&gt;0,$A131&gt;=$C$26),R131,0)+(1-$H63)*(1-$B$26))</f>
        <v/>
      </c>
      <c r="U131" s="17">
        <f>SUM(T$120:T131)</f>
        <v/>
      </c>
    </row>
    <row r="132">
      <c r="A132" s="11">
        <f>$A64</f>
        <v/>
      </c>
      <c r="B132" s="15">
        <f>$H64+(1-$H64)*$B$22</f>
        <v/>
      </c>
      <c r="C132" s="17">
        <f>C131*B131*IF(AND($C$22&gt;0,$A131&gt;=$C$22),0,1)</f>
        <v/>
      </c>
      <c r="D132" s="17">
        <f>C132*(IF(AND($C$22&gt;0,$A132&gt;=$C$22),B132,0)+(1-$H64)*(1-$B$22))</f>
        <v/>
      </c>
      <c r="E132" s="17">
        <f>SUM(D$120:D132)</f>
        <v/>
      </c>
      <c r="F132" s="15">
        <f>$H64+(1-$H64)*$B$23</f>
        <v/>
      </c>
      <c r="G132" s="17">
        <f>G131*F131*IF(AND($C$23&gt;0,$A131&gt;=$C$23),0,1)</f>
        <v/>
      </c>
      <c r="H132" s="17">
        <f>G132*(IF(AND($C$23&gt;0,$A132&gt;=$C$23),F132,0)+(1-$H64)*(1-$B$23))</f>
        <v/>
      </c>
      <c r="I132" s="17">
        <f>SUM(H$120:H132)</f>
        <v/>
      </c>
      <c r="J132" s="15">
        <f>$H64+(1-$H64)*$B$24</f>
        <v/>
      </c>
      <c r="K132" s="17">
        <f>K131*J131*IF(AND($C$24&gt;0,$A131&gt;=$C$24),0,1)</f>
        <v/>
      </c>
      <c r="L132" s="17">
        <f>K132*(IF(AND($C$24&gt;0,$A132&gt;=$C$24),J132,0)+(1-$H64)*(1-$B$24))</f>
        <v/>
      </c>
      <c r="M132" s="17">
        <f>SUM(L$120:L132)</f>
        <v/>
      </c>
      <c r="N132" s="15">
        <f>$H64+(1-$H64)*$B$25</f>
        <v/>
      </c>
      <c r="O132" s="17">
        <f>O131*N131*IF(AND($C$25&gt;0,$A131&gt;=$C$25),0,1)</f>
        <v/>
      </c>
      <c r="P132" s="17">
        <f>O132*(IF(AND($C$25&gt;0,$A132&gt;=$C$25),N132,0)+(1-$H64)*(1-$B$25))</f>
        <v/>
      </c>
      <c r="Q132" s="17">
        <f>SUM(P$120:P132)</f>
        <v/>
      </c>
      <c r="R132" s="15">
        <f>$H64+(1-$H64)*$B$26</f>
        <v/>
      </c>
      <c r="S132" s="17">
        <f>S131*R131*IF(AND($C$26&gt;0,$A131&gt;=$C$26),0,1)</f>
        <v/>
      </c>
      <c r="T132" s="17">
        <f>S132*(IF(AND($C$26&gt;0,$A132&gt;=$C$26),R132,0)+(1-$H64)*(1-$B$26))</f>
        <v/>
      </c>
      <c r="U132" s="17">
        <f>SUM(T$120:T132)</f>
        <v/>
      </c>
    </row>
    <row r="133">
      <c r="A133" s="11">
        <f>$A65</f>
        <v/>
      </c>
      <c r="B133" s="15">
        <f>$H65+(1-$H65)*$B$22</f>
        <v/>
      </c>
      <c r="C133" s="17">
        <f>C132*B132*IF(AND($C$22&gt;0,$A132&gt;=$C$22),0,1)</f>
        <v/>
      </c>
      <c r="D133" s="17">
        <f>C133*(IF(AND($C$22&gt;0,$A133&gt;=$C$22),B133,0)+(1-$H65)*(1-$B$22))</f>
        <v/>
      </c>
      <c r="E133" s="17">
        <f>SUM(D$120:D133)</f>
        <v/>
      </c>
      <c r="F133" s="15">
        <f>$H65+(1-$H65)*$B$23</f>
        <v/>
      </c>
      <c r="G133" s="17">
        <f>G132*F132*IF(AND($C$23&gt;0,$A132&gt;=$C$23),0,1)</f>
        <v/>
      </c>
      <c r="H133" s="17">
        <f>G133*(IF(AND($C$23&gt;0,$A133&gt;=$C$23),F133,0)+(1-$H65)*(1-$B$23))</f>
        <v/>
      </c>
      <c r="I133" s="17">
        <f>SUM(H$120:H133)</f>
        <v/>
      </c>
      <c r="J133" s="15">
        <f>$H65+(1-$H65)*$B$24</f>
        <v/>
      </c>
      <c r="K133" s="17">
        <f>K132*J132*IF(AND($C$24&gt;0,$A132&gt;=$C$24),0,1)</f>
        <v/>
      </c>
      <c r="L133" s="17">
        <f>K133*(IF(AND($C$24&gt;0,$A133&gt;=$C$24),J133,0)+(1-$H65)*(1-$B$24))</f>
        <v/>
      </c>
      <c r="M133" s="17">
        <f>SUM(L$120:L133)</f>
        <v/>
      </c>
      <c r="N133" s="15">
        <f>$H65+(1-$H65)*$B$25</f>
        <v/>
      </c>
      <c r="O133" s="17">
        <f>O132*N132*IF(AND($C$25&gt;0,$A132&gt;=$C$25),0,1)</f>
        <v/>
      </c>
      <c r="P133" s="17">
        <f>O133*(IF(AND($C$25&gt;0,$A133&gt;=$C$25),N133,0)+(1-$H65)*(1-$B$25))</f>
        <v/>
      </c>
      <c r="Q133" s="17">
        <f>SUM(P$120:P133)</f>
        <v/>
      </c>
      <c r="R133" s="15">
        <f>$H65+(1-$H65)*$B$26</f>
        <v/>
      </c>
      <c r="S133" s="17">
        <f>S132*R132*IF(AND($C$26&gt;0,$A132&gt;=$C$26),0,1)</f>
        <v/>
      </c>
      <c r="T133" s="17">
        <f>S133*(IF(AND($C$26&gt;0,$A133&gt;=$C$26),R133,0)+(1-$H65)*(1-$B$26))</f>
        <v/>
      </c>
      <c r="U133" s="17">
        <f>SUM(T$120:T133)</f>
        <v/>
      </c>
    </row>
    <row r="134">
      <c r="A134" s="11">
        <f>$A66</f>
        <v/>
      </c>
      <c r="B134" s="15">
        <f>$H66+(1-$H66)*$B$22</f>
        <v/>
      </c>
      <c r="C134" s="17">
        <f>C133*B133*IF(AND($C$22&gt;0,$A133&gt;=$C$22),0,1)</f>
        <v/>
      </c>
      <c r="D134" s="17">
        <f>C134*(IF(AND($C$22&gt;0,$A134&gt;=$C$22),B134,0)+(1-$H66)*(1-$B$22))</f>
        <v/>
      </c>
      <c r="E134" s="17">
        <f>SUM(D$120:D134)</f>
        <v/>
      </c>
      <c r="F134" s="15">
        <f>$H66+(1-$H66)*$B$23</f>
        <v/>
      </c>
      <c r="G134" s="17">
        <f>G133*F133*IF(AND($C$23&gt;0,$A133&gt;=$C$23),0,1)</f>
        <v/>
      </c>
      <c r="H134" s="17">
        <f>G134*(IF(AND($C$23&gt;0,$A134&gt;=$C$23),F134,0)+(1-$H66)*(1-$B$23))</f>
        <v/>
      </c>
      <c r="I134" s="17">
        <f>SUM(H$120:H134)</f>
        <v/>
      </c>
      <c r="J134" s="15">
        <f>$H66+(1-$H66)*$B$24</f>
        <v/>
      </c>
      <c r="K134" s="17">
        <f>K133*J133*IF(AND($C$24&gt;0,$A133&gt;=$C$24),0,1)</f>
        <v/>
      </c>
      <c r="L134" s="17">
        <f>K134*(IF(AND($C$24&gt;0,$A134&gt;=$C$24),J134,0)+(1-$H66)*(1-$B$24))</f>
        <v/>
      </c>
      <c r="M134" s="17">
        <f>SUM(L$120:L134)</f>
        <v/>
      </c>
      <c r="N134" s="15">
        <f>$H66+(1-$H66)*$B$25</f>
        <v/>
      </c>
      <c r="O134" s="17">
        <f>O133*N133*IF(AND($C$25&gt;0,$A133&gt;=$C$25),0,1)</f>
        <v/>
      </c>
      <c r="P134" s="17">
        <f>O134*(IF(AND($C$25&gt;0,$A134&gt;=$C$25),N134,0)+(1-$H66)*(1-$B$25))</f>
        <v/>
      </c>
      <c r="Q134" s="17">
        <f>SUM(P$120:P134)</f>
        <v/>
      </c>
      <c r="R134" s="15">
        <f>$H66+(1-$H66)*$B$26</f>
        <v/>
      </c>
      <c r="S134" s="17">
        <f>S133*R133*IF(AND($C$26&gt;0,$A133&gt;=$C$26),0,1)</f>
        <v/>
      </c>
      <c r="T134" s="17">
        <f>S134*(IF(AND($C$26&gt;0,$A134&gt;=$C$26),R134,0)+(1-$H66)*(1-$B$26))</f>
        <v/>
      </c>
      <c r="U134" s="17">
        <f>SUM(T$120:T134)</f>
        <v/>
      </c>
    </row>
    <row r="135">
      <c r="A135" s="11">
        <f>$A67</f>
        <v/>
      </c>
      <c r="B135" s="15">
        <f>$H67+(1-$H67)*$B$22</f>
        <v/>
      </c>
      <c r="C135" s="17">
        <f>C134*B134*IF(AND($C$22&gt;0,$A134&gt;=$C$22),0,1)</f>
        <v/>
      </c>
      <c r="D135" s="17">
        <f>C135*(IF(AND($C$22&gt;0,$A135&gt;=$C$22),B135,0)+(1-$H67)*(1-$B$22))</f>
        <v/>
      </c>
      <c r="E135" s="17">
        <f>SUM(D$120:D135)</f>
        <v/>
      </c>
      <c r="F135" s="15">
        <f>$H67+(1-$H67)*$B$23</f>
        <v/>
      </c>
      <c r="G135" s="17">
        <f>G134*F134*IF(AND($C$23&gt;0,$A134&gt;=$C$23),0,1)</f>
        <v/>
      </c>
      <c r="H135" s="17">
        <f>G135*(IF(AND($C$23&gt;0,$A135&gt;=$C$23),F135,0)+(1-$H67)*(1-$B$23))</f>
        <v/>
      </c>
      <c r="I135" s="17">
        <f>SUM(H$120:H135)</f>
        <v/>
      </c>
      <c r="J135" s="15">
        <f>$H67+(1-$H67)*$B$24</f>
        <v/>
      </c>
      <c r="K135" s="17">
        <f>K134*J134*IF(AND($C$24&gt;0,$A134&gt;=$C$24),0,1)</f>
        <v/>
      </c>
      <c r="L135" s="17">
        <f>K135*(IF(AND($C$24&gt;0,$A135&gt;=$C$24),J135,0)+(1-$H67)*(1-$B$24))</f>
        <v/>
      </c>
      <c r="M135" s="17">
        <f>SUM(L$120:L135)</f>
        <v/>
      </c>
      <c r="N135" s="15">
        <f>$H67+(1-$H67)*$B$25</f>
        <v/>
      </c>
      <c r="O135" s="17">
        <f>O134*N134*IF(AND($C$25&gt;0,$A134&gt;=$C$25),0,1)</f>
        <v/>
      </c>
      <c r="P135" s="17">
        <f>O135*(IF(AND($C$25&gt;0,$A135&gt;=$C$25),N135,0)+(1-$H67)*(1-$B$25))</f>
        <v/>
      </c>
      <c r="Q135" s="17">
        <f>SUM(P$120:P135)</f>
        <v/>
      </c>
      <c r="R135" s="15">
        <f>$H67+(1-$H67)*$B$26</f>
        <v/>
      </c>
      <c r="S135" s="17">
        <f>S134*R134*IF(AND($C$26&gt;0,$A134&gt;=$C$26),0,1)</f>
        <v/>
      </c>
      <c r="T135" s="17">
        <f>S135*(IF(AND($C$26&gt;0,$A135&gt;=$C$26),R135,0)+(1-$H67)*(1-$B$26))</f>
        <v/>
      </c>
      <c r="U135" s="17">
        <f>SUM(T$120:T135)</f>
        <v/>
      </c>
    </row>
    <row r="136">
      <c r="A136" s="11">
        <f>$A68</f>
        <v/>
      </c>
      <c r="B136" s="15">
        <f>$H68+(1-$H68)*$B$22</f>
        <v/>
      </c>
      <c r="C136" s="17">
        <f>C135*B135*IF(AND($C$22&gt;0,$A135&gt;=$C$22),0,1)</f>
        <v/>
      </c>
      <c r="D136" s="17">
        <f>C136*(IF(AND($C$22&gt;0,$A136&gt;=$C$22),B136,0)+(1-$H68)*(1-$B$22))</f>
        <v/>
      </c>
      <c r="E136" s="17">
        <f>SUM(D$120:D136)</f>
        <v/>
      </c>
      <c r="F136" s="15">
        <f>$H68+(1-$H68)*$B$23</f>
        <v/>
      </c>
      <c r="G136" s="17">
        <f>G135*F135*IF(AND($C$23&gt;0,$A135&gt;=$C$23),0,1)</f>
        <v/>
      </c>
      <c r="H136" s="17">
        <f>G136*(IF(AND($C$23&gt;0,$A136&gt;=$C$23),F136,0)+(1-$H68)*(1-$B$23))</f>
        <v/>
      </c>
      <c r="I136" s="17">
        <f>SUM(H$120:H136)</f>
        <v/>
      </c>
      <c r="J136" s="15">
        <f>$H68+(1-$H68)*$B$24</f>
        <v/>
      </c>
      <c r="K136" s="17">
        <f>K135*J135*IF(AND($C$24&gt;0,$A135&gt;=$C$24),0,1)</f>
        <v/>
      </c>
      <c r="L136" s="17">
        <f>K136*(IF(AND($C$24&gt;0,$A136&gt;=$C$24),J136,0)+(1-$H68)*(1-$B$24))</f>
        <v/>
      </c>
      <c r="M136" s="17">
        <f>SUM(L$120:L136)</f>
        <v/>
      </c>
      <c r="N136" s="15">
        <f>$H68+(1-$H68)*$B$25</f>
        <v/>
      </c>
      <c r="O136" s="17">
        <f>O135*N135*IF(AND($C$25&gt;0,$A135&gt;=$C$25),0,1)</f>
        <v/>
      </c>
      <c r="P136" s="17">
        <f>O136*(IF(AND($C$25&gt;0,$A136&gt;=$C$25),N136,0)+(1-$H68)*(1-$B$25))</f>
        <v/>
      </c>
      <c r="Q136" s="17">
        <f>SUM(P$120:P136)</f>
        <v/>
      </c>
      <c r="R136" s="15">
        <f>$H68+(1-$H68)*$B$26</f>
        <v/>
      </c>
      <c r="S136" s="17">
        <f>S135*R135*IF(AND($C$26&gt;0,$A135&gt;=$C$26),0,1)</f>
        <v/>
      </c>
      <c r="T136" s="17">
        <f>S136*(IF(AND($C$26&gt;0,$A136&gt;=$C$26),R136,0)+(1-$H68)*(1-$B$26))</f>
        <v/>
      </c>
      <c r="U136" s="17">
        <f>SUM(T$120:T136)</f>
        <v/>
      </c>
    </row>
    <row r="137">
      <c r="A137" s="11">
        <f>$A69</f>
        <v/>
      </c>
      <c r="B137" s="15">
        <f>$H69+(1-$H69)*$B$22</f>
        <v/>
      </c>
      <c r="C137" s="17">
        <f>C136*B136*IF(AND($C$22&gt;0,$A136&gt;=$C$22),0,1)</f>
        <v/>
      </c>
      <c r="D137" s="17">
        <f>C137*(IF(AND($C$22&gt;0,$A137&gt;=$C$22),B137,0)+(1-$H69)*(1-$B$22))</f>
        <v/>
      </c>
      <c r="E137" s="17">
        <f>SUM(D$120:D137)</f>
        <v/>
      </c>
      <c r="F137" s="15">
        <f>$H69+(1-$H69)*$B$23</f>
        <v/>
      </c>
      <c r="G137" s="17">
        <f>G136*F136*IF(AND($C$23&gt;0,$A136&gt;=$C$23),0,1)</f>
        <v/>
      </c>
      <c r="H137" s="17">
        <f>G137*(IF(AND($C$23&gt;0,$A137&gt;=$C$23),F137,0)+(1-$H69)*(1-$B$23))</f>
        <v/>
      </c>
      <c r="I137" s="17">
        <f>SUM(H$120:H137)</f>
        <v/>
      </c>
      <c r="J137" s="15">
        <f>$H69+(1-$H69)*$B$24</f>
        <v/>
      </c>
      <c r="K137" s="17">
        <f>K136*J136*IF(AND($C$24&gt;0,$A136&gt;=$C$24),0,1)</f>
        <v/>
      </c>
      <c r="L137" s="17">
        <f>K137*(IF(AND($C$24&gt;0,$A137&gt;=$C$24),J137,0)+(1-$H69)*(1-$B$24))</f>
        <v/>
      </c>
      <c r="M137" s="17">
        <f>SUM(L$120:L137)</f>
        <v/>
      </c>
      <c r="N137" s="15">
        <f>$H69+(1-$H69)*$B$25</f>
        <v/>
      </c>
      <c r="O137" s="17">
        <f>O136*N136*IF(AND($C$25&gt;0,$A136&gt;=$C$25),0,1)</f>
        <v/>
      </c>
      <c r="P137" s="17">
        <f>O137*(IF(AND($C$25&gt;0,$A137&gt;=$C$25),N137,0)+(1-$H69)*(1-$B$25))</f>
        <v/>
      </c>
      <c r="Q137" s="17">
        <f>SUM(P$120:P137)</f>
        <v/>
      </c>
      <c r="R137" s="15">
        <f>$H69+(1-$H69)*$B$26</f>
        <v/>
      </c>
      <c r="S137" s="17">
        <f>S136*R136*IF(AND($C$26&gt;0,$A136&gt;=$C$26),0,1)</f>
        <v/>
      </c>
      <c r="T137" s="17">
        <f>S137*(IF(AND($C$26&gt;0,$A137&gt;=$C$26),R137,0)+(1-$H69)*(1-$B$26))</f>
        <v/>
      </c>
      <c r="U137" s="17">
        <f>SUM(T$120:T137)</f>
        <v/>
      </c>
    </row>
    <row r="138">
      <c r="A138" s="11">
        <f>$A70</f>
        <v/>
      </c>
      <c r="B138" s="15">
        <f>$H70+(1-$H70)*$B$22</f>
        <v/>
      </c>
      <c r="C138" s="17">
        <f>C137*B137*IF(AND($C$22&gt;0,$A137&gt;=$C$22),0,1)</f>
        <v/>
      </c>
      <c r="D138" s="17">
        <f>C138*(IF(AND($C$22&gt;0,$A138&gt;=$C$22),B138,0)+(1-$H70)*(1-$B$22))</f>
        <v/>
      </c>
      <c r="E138" s="17">
        <f>SUM(D$120:D138)</f>
        <v/>
      </c>
      <c r="F138" s="15">
        <f>$H70+(1-$H70)*$B$23</f>
        <v/>
      </c>
      <c r="G138" s="17">
        <f>G137*F137*IF(AND($C$23&gt;0,$A137&gt;=$C$23),0,1)</f>
        <v/>
      </c>
      <c r="H138" s="17">
        <f>G138*(IF(AND($C$23&gt;0,$A138&gt;=$C$23),F138,0)+(1-$H70)*(1-$B$23))</f>
        <v/>
      </c>
      <c r="I138" s="17">
        <f>SUM(H$120:H138)</f>
        <v/>
      </c>
      <c r="J138" s="15">
        <f>$H70+(1-$H70)*$B$24</f>
        <v/>
      </c>
      <c r="K138" s="17">
        <f>K137*J137*IF(AND($C$24&gt;0,$A137&gt;=$C$24),0,1)</f>
        <v/>
      </c>
      <c r="L138" s="17">
        <f>K138*(IF(AND($C$24&gt;0,$A138&gt;=$C$24),J138,0)+(1-$H70)*(1-$B$24))</f>
        <v/>
      </c>
      <c r="M138" s="17">
        <f>SUM(L$120:L138)</f>
        <v/>
      </c>
      <c r="N138" s="15">
        <f>$H70+(1-$H70)*$B$25</f>
        <v/>
      </c>
      <c r="O138" s="17">
        <f>O137*N137*IF(AND($C$25&gt;0,$A137&gt;=$C$25),0,1)</f>
        <v/>
      </c>
      <c r="P138" s="17">
        <f>O138*(IF(AND($C$25&gt;0,$A138&gt;=$C$25),N138,0)+(1-$H70)*(1-$B$25))</f>
        <v/>
      </c>
      <c r="Q138" s="17">
        <f>SUM(P$120:P138)</f>
        <v/>
      </c>
      <c r="R138" s="15">
        <f>$H70+(1-$H70)*$B$26</f>
        <v/>
      </c>
      <c r="S138" s="17">
        <f>S137*R137*IF(AND($C$26&gt;0,$A137&gt;=$C$26),0,1)</f>
        <v/>
      </c>
      <c r="T138" s="17">
        <f>S138*(IF(AND($C$26&gt;0,$A138&gt;=$C$26),R138,0)+(1-$H70)*(1-$B$26))</f>
        <v/>
      </c>
      <c r="U138" s="17">
        <f>SUM(T$120:T138)</f>
        <v/>
      </c>
    </row>
    <row r="139">
      <c r="A139" s="11">
        <f>$A71</f>
        <v/>
      </c>
      <c r="B139" s="15">
        <f>$H71+(1-$H71)*$B$22</f>
        <v/>
      </c>
      <c r="C139" s="17">
        <f>C138*B138*IF(AND($C$22&gt;0,$A138&gt;=$C$22),0,1)</f>
        <v/>
      </c>
      <c r="D139" s="17">
        <f>C139*(IF(AND($C$22&gt;0,$A139&gt;=$C$22),B139,0)+(1-$H71)*(1-$B$22))</f>
        <v/>
      </c>
      <c r="E139" s="17">
        <f>SUM(D$120:D139)</f>
        <v/>
      </c>
      <c r="F139" s="15">
        <f>$H71+(1-$H71)*$B$23</f>
        <v/>
      </c>
      <c r="G139" s="17">
        <f>G138*F138*IF(AND($C$23&gt;0,$A138&gt;=$C$23),0,1)</f>
        <v/>
      </c>
      <c r="H139" s="17">
        <f>G139*(IF(AND($C$23&gt;0,$A139&gt;=$C$23),F139,0)+(1-$H71)*(1-$B$23))</f>
        <v/>
      </c>
      <c r="I139" s="17">
        <f>SUM(H$120:H139)</f>
        <v/>
      </c>
      <c r="J139" s="15">
        <f>$H71+(1-$H71)*$B$24</f>
        <v/>
      </c>
      <c r="K139" s="17">
        <f>K138*J138*IF(AND($C$24&gt;0,$A138&gt;=$C$24),0,1)</f>
        <v/>
      </c>
      <c r="L139" s="17">
        <f>K139*(IF(AND($C$24&gt;0,$A139&gt;=$C$24),J139,0)+(1-$H71)*(1-$B$24))</f>
        <v/>
      </c>
      <c r="M139" s="17">
        <f>SUM(L$120:L139)</f>
        <v/>
      </c>
      <c r="N139" s="15">
        <f>$H71+(1-$H71)*$B$25</f>
        <v/>
      </c>
      <c r="O139" s="17">
        <f>O138*N138*IF(AND($C$25&gt;0,$A138&gt;=$C$25),0,1)</f>
        <v/>
      </c>
      <c r="P139" s="17">
        <f>O139*(IF(AND($C$25&gt;0,$A139&gt;=$C$25),N139,0)+(1-$H71)*(1-$B$25))</f>
        <v/>
      </c>
      <c r="Q139" s="17">
        <f>SUM(P$120:P139)</f>
        <v/>
      </c>
      <c r="R139" s="15">
        <f>$H71+(1-$H71)*$B$26</f>
        <v/>
      </c>
      <c r="S139" s="17">
        <f>S138*R138*IF(AND($C$26&gt;0,$A138&gt;=$C$26),0,1)</f>
        <v/>
      </c>
      <c r="T139" s="17">
        <f>S139*(IF(AND($C$26&gt;0,$A139&gt;=$C$26),R139,0)+(1-$H71)*(1-$B$26))</f>
        <v/>
      </c>
      <c r="U139" s="17">
        <f>SUM(T$120:T139)</f>
        <v/>
      </c>
    </row>
    <row r="140">
      <c r="A140" s="11">
        <f>$A72</f>
        <v/>
      </c>
      <c r="B140" s="15">
        <f>$H72+(1-$H72)*$B$22</f>
        <v/>
      </c>
      <c r="C140" s="17">
        <f>C139*B139*IF(AND($C$22&gt;0,$A139&gt;=$C$22),0,1)</f>
        <v/>
      </c>
      <c r="D140" s="17">
        <f>C140*(IF(AND($C$22&gt;0,$A140&gt;=$C$22),B140,0)+(1-$H72)*(1-$B$22))</f>
        <v/>
      </c>
      <c r="E140" s="17">
        <f>SUM(D$120:D140)</f>
        <v/>
      </c>
      <c r="F140" s="15">
        <f>$H72+(1-$H72)*$B$23</f>
        <v/>
      </c>
      <c r="G140" s="17">
        <f>G139*F139*IF(AND($C$23&gt;0,$A139&gt;=$C$23),0,1)</f>
        <v/>
      </c>
      <c r="H140" s="17">
        <f>G140*(IF(AND($C$23&gt;0,$A140&gt;=$C$23),F140,0)+(1-$H72)*(1-$B$23))</f>
        <v/>
      </c>
      <c r="I140" s="17">
        <f>SUM(H$120:H140)</f>
        <v/>
      </c>
      <c r="J140" s="15">
        <f>$H72+(1-$H72)*$B$24</f>
        <v/>
      </c>
      <c r="K140" s="17">
        <f>K139*J139*IF(AND($C$24&gt;0,$A139&gt;=$C$24),0,1)</f>
        <v/>
      </c>
      <c r="L140" s="17">
        <f>K140*(IF(AND($C$24&gt;0,$A140&gt;=$C$24),J140,0)+(1-$H72)*(1-$B$24))</f>
        <v/>
      </c>
      <c r="M140" s="17">
        <f>SUM(L$120:L140)</f>
        <v/>
      </c>
      <c r="N140" s="15">
        <f>$H72+(1-$H72)*$B$25</f>
        <v/>
      </c>
      <c r="O140" s="17">
        <f>O139*N139*IF(AND($C$25&gt;0,$A139&gt;=$C$25),0,1)</f>
        <v/>
      </c>
      <c r="P140" s="17">
        <f>O140*(IF(AND($C$25&gt;0,$A140&gt;=$C$25),N140,0)+(1-$H72)*(1-$B$25))</f>
        <v/>
      </c>
      <c r="Q140" s="17">
        <f>SUM(P$120:P140)</f>
        <v/>
      </c>
      <c r="R140" s="15">
        <f>$H72+(1-$H72)*$B$26</f>
        <v/>
      </c>
      <c r="S140" s="17">
        <f>S139*R139*IF(AND($C$26&gt;0,$A139&gt;=$C$26),0,1)</f>
        <v/>
      </c>
      <c r="T140" s="17">
        <f>S140*(IF(AND($C$26&gt;0,$A140&gt;=$C$26),R140,0)+(1-$H72)*(1-$B$26))</f>
        <v/>
      </c>
      <c r="U140" s="17">
        <f>SUM(T$120:T140)</f>
        <v/>
      </c>
    </row>
    <row r="141">
      <c r="A141" s="11">
        <f>$A73</f>
        <v/>
      </c>
      <c r="B141" s="15">
        <f>$H73+(1-$H73)*$B$22</f>
        <v/>
      </c>
      <c r="C141" s="17">
        <f>C140*B140*IF(AND($C$22&gt;0,$A140&gt;=$C$22),0,1)</f>
        <v/>
      </c>
      <c r="D141" s="17">
        <f>C141*(IF(AND($C$22&gt;0,$A141&gt;=$C$22),B141,0)+(1-$H73)*(1-$B$22))</f>
        <v/>
      </c>
      <c r="E141" s="17">
        <f>SUM(D$120:D141)</f>
        <v/>
      </c>
      <c r="F141" s="15">
        <f>$H73+(1-$H73)*$B$23</f>
        <v/>
      </c>
      <c r="G141" s="17">
        <f>G140*F140*IF(AND($C$23&gt;0,$A140&gt;=$C$23),0,1)</f>
        <v/>
      </c>
      <c r="H141" s="17">
        <f>G141*(IF(AND($C$23&gt;0,$A141&gt;=$C$23),F141,0)+(1-$H73)*(1-$B$23))</f>
        <v/>
      </c>
      <c r="I141" s="17">
        <f>SUM(H$120:H141)</f>
        <v/>
      </c>
      <c r="J141" s="15">
        <f>$H73+(1-$H73)*$B$24</f>
        <v/>
      </c>
      <c r="K141" s="17">
        <f>K140*J140*IF(AND($C$24&gt;0,$A140&gt;=$C$24),0,1)</f>
        <v/>
      </c>
      <c r="L141" s="17">
        <f>K141*(IF(AND($C$24&gt;0,$A141&gt;=$C$24),J141,0)+(1-$H73)*(1-$B$24))</f>
        <v/>
      </c>
      <c r="M141" s="17">
        <f>SUM(L$120:L141)</f>
        <v/>
      </c>
      <c r="N141" s="15">
        <f>$H73+(1-$H73)*$B$25</f>
        <v/>
      </c>
      <c r="O141" s="17">
        <f>O140*N140*IF(AND($C$25&gt;0,$A140&gt;=$C$25),0,1)</f>
        <v/>
      </c>
      <c r="P141" s="17">
        <f>O141*(IF(AND($C$25&gt;0,$A141&gt;=$C$25),N141,0)+(1-$H73)*(1-$B$25))</f>
        <v/>
      </c>
      <c r="Q141" s="17">
        <f>SUM(P$120:P141)</f>
        <v/>
      </c>
      <c r="R141" s="15">
        <f>$H73+(1-$H73)*$B$26</f>
        <v/>
      </c>
      <c r="S141" s="17">
        <f>S140*R140*IF(AND($C$26&gt;0,$A140&gt;=$C$26),0,1)</f>
        <v/>
      </c>
      <c r="T141" s="17">
        <f>S141*(IF(AND($C$26&gt;0,$A141&gt;=$C$26),R141,0)+(1-$H73)*(1-$B$26))</f>
        <v/>
      </c>
      <c r="U141" s="17">
        <f>SUM(T$120:T141)</f>
        <v/>
      </c>
    </row>
    <row r="142">
      <c r="A142" s="11">
        <f>$A74</f>
        <v/>
      </c>
      <c r="B142" s="15">
        <f>$H74+(1-$H74)*$B$22</f>
        <v/>
      </c>
      <c r="C142" s="17">
        <f>C141*B141*IF(AND($C$22&gt;0,$A141&gt;=$C$22),0,1)</f>
        <v/>
      </c>
      <c r="D142" s="17">
        <f>C142*(IF(AND($C$22&gt;0,$A142&gt;=$C$22),B142,0)+(1-$H74)*(1-$B$22))</f>
        <v/>
      </c>
      <c r="E142" s="17">
        <f>SUM(D$120:D142)</f>
        <v/>
      </c>
      <c r="F142" s="15">
        <f>$H74+(1-$H74)*$B$23</f>
        <v/>
      </c>
      <c r="G142" s="17">
        <f>G141*F141*IF(AND($C$23&gt;0,$A141&gt;=$C$23),0,1)</f>
        <v/>
      </c>
      <c r="H142" s="17">
        <f>G142*(IF(AND($C$23&gt;0,$A142&gt;=$C$23),F142,0)+(1-$H74)*(1-$B$23))</f>
        <v/>
      </c>
      <c r="I142" s="17">
        <f>SUM(H$120:H142)</f>
        <v/>
      </c>
      <c r="J142" s="15">
        <f>$H74+(1-$H74)*$B$24</f>
        <v/>
      </c>
      <c r="K142" s="17">
        <f>K141*J141*IF(AND($C$24&gt;0,$A141&gt;=$C$24),0,1)</f>
        <v/>
      </c>
      <c r="L142" s="17">
        <f>K142*(IF(AND($C$24&gt;0,$A142&gt;=$C$24),J142,0)+(1-$H74)*(1-$B$24))</f>
        <v/>
      </c>
      <c r="M142" s="17">
        <f>SUM(L$120:L142)</f>
        <v/>
      </c>
      <c r="N142" s="15">
        <f>$H74+(1-$H74)*$B$25</f>
        <v/>
      </c>
      <c r="O142" s="17">
        <f>O141*N141*IF(AND($C$25&gt;0,$A141&gt;=$C$25),0,1)</f>
        <v/>
      </c>
      <c r="P142" s="17">
        <f>O142*(IF(AND($C$25&gt;0,$A142&gt;=$C$25),N142,0)+(1-$H74)*(1-$B$25))</f>
        <v/>
      </c>
      <c r="Q142" s="17">
        <f>SUM(P$120:P142)</f>
        <v/>
      </c>
      <c r="R142" s="15">
        <f>$H74+(1-$H74)*$B$26</f>
        <v/>
      </c>
      <c r="S142" s="17">
        <f>S141*R141*IF(AND($C$26&gt;0,$A141&gt;=$C$26),0,1)</f>
        <v/>
      </c>
      <c r="T142" s="17">
        <f>S142*(IF(AND($C$26&gt;0,$A142&gt;=$C$26),R142,0)+(1-$H74)*(1-$B$26))</f>
        <v/>
      </c>
      <c r="U142" s="17">
        <f>SUM(T$120:T142)</f>
        <v/>
      </c>
    </row>
    <row r="143">
      <c r="A143" s="11">
        <f>$A75</f>
        <v/>
      </c>
      <c r="B143" s="15">
        <f>$H75+(1-$H75)*$B$22</f>
        <v/>
      </c>
      <c r="C143" s="17">
        <f>C142*B142*IF(AND($C$22&gt;0,$A142&gt;=$C$22),0,1)</f>
        <v/>
      </c>
      <c r="D143" s="17">
        <f>C143*(IF(AND($C$22&gt;0,$A143&gt;=$C$22),B143,0)+(1-$H75)*(1-$B$22))</f>
        <v/>
      </c>
      <c r="E143" s="17">
        <f>SUM(D$120:D143)</f>
        <v/>
      </c>
      <c r="F143" s="15">
        <f>$H75+(1-$H75)*$B$23</f>
        <v/>
      </c>
      <c r="G143" s="17">
        <f>G142*F142*IF(AND($C$23&gt;0,$A142&gt;=$C$23),0,1)</f>
        <v/>
      </c>
      <c r="H143" s="17">
        <f>G143*(IF(AND($C$23&gt;0,$A143&gt;=$C$23),F143,0)+(1-$H75)*(1-$B$23))</f>
        <v/>
      </c>
      <c r="I143" s="17">
        <f>SUM(H$120:H143)</f>
        <v/>
      </c>
      <c r="J143" s="15">
        <f>$H75+(1-$H75)*$B$24</f>
        <v/>
      </c>
      <c r="K143" s="17">
        <f>K142*J142*IF(AND($C$24&gt;0,$A142&gt;=$C$24),0,1)</f>
        <v/>
      </c>
      <c r="L143" s="17">
        <f>K143*(IF(AND($C$24&gt;0,$A143&gt;=$C$24),J143,0)+(1-$H75)*(1-$B$24))</f>
        <v/>
      </c>
      <c r="M143" s="17">
        <f>SUM(L$120:L143)</f>
        <v/>
      </c>
      <c r="N143" s="15">
        <f>$H75+(1-$H75)*$B$25</f>
        <v/>
      </c>
      <c r="O143" s="17">
        <f>O142*N142*IF(AND($C$25&gt;0,$A142&gt;=$C$25),0,1)</f>
        <v/>
      </c>
      <c r="P143" s="17">
        <f>O143*(IF(AND($C$25&gt;0,$A143&gt;=$C$25),N143,0)+(1-$H75)*(1-$B$25))</f>
        <v/>
      </c>
      <c r="Q143" s="17">
        <f>SUM(P$120:P143)</f>
        <v/>
      </c>
      <c r="R143" s="15">
        <f>$H75+(1-$H75)*$B$26</f>
        <v/>
      </c>
      <c r="S143" s="17">
        <f>S142*R142*IF(AND($C$26&gt;0,$A142&gt;=$C$26),0,1)</f>
        <v/>
      </c>
      <c r="T143" s="17">
        <f>S143*(IF(AND($C$26&gt;0,$A143&gt;=$C$26),R143,0)+(1-$H75)*(1-$B$26))</f>
        <v/>
      </c>
      <c r="U143" s="17">
        <f>SUM(T$120:T143)</f>
        <v/>
      </c>
    </row>
    <row r="144">
      <c r="A144" s="11">
        <f>$A76</f>
        <v/>
      </c>
      <c r="B144" s="15">
        <f>$H76+(1-$H76)*$B$22</f>
        <v/>
      </c>
      <c r="C144" s="17">
        <f>C143*B143*IF(AND($C$22&gt;0,$A143&gt;=$C$22),0,1)</f>
        <v/>
      </c>
      <c r="D144" s="17">
        <f>C144*(IF(AND($C$22&gt;0,$A144&gt;=$C$22),B144,0)+(1-$H76)*(1-$B$22))</f>
        <v/>
      </c>
      <c r="E144" s="17">
        <f>SUM(D$120:D144)</f>
        <v/>
      </c>
      <c r="F144" s="15">
        <f>$H76+(1-$H76)*$B$23</f>
        <v/>
      </c>
      <c r="G144" s="17">
        <f>G143*F143*IF(AND($C$23&gt;0,$A143&gt;=$C$23),0,1)</f>
        <v/>
      </c>
      <c r="H144" s="17">
        <f>G144*(IF(AND($C$23&gt;0,$A144&gt;=$C$23),F144,0)+(1-$H76)*(1-$B$23))</f>
        <v/>
      </c>
      <c r="I144" s="17">
        <f>SUM(H$120:H144)</f>
        <v/>
      </c>
      <c r="J144" s="15">
        <f>$H76+(1-$H76)*$B$24</f>
        <v/>
      </c>
      <c r="K144" s="17">
        <f>K143*J143*IF(AND($C$24&gt;0,$A143&gt;=$C$24),0,1)</f>
        <v/>
      </c>
      <c r="L144" s="17">
        <f>K144*(IF(AND($C$24&gt;0,$A144&gt;=$C$24),J144,0)+(1-$H76)*(1-$B$24))</f>
        <v/>
      </c>
      <c r="M144" s="17">
        <f>SUM(L$120:L144)</f>
        <v/>
      </c>
      <c r="N144" s="15">
        <f>$H76+(1-$H76)*$B$25</f>
        <v/>
      </c>
      <c r="O144" s="17">
        <f>O143*N143*IF(AND($C$25&gt;0,$A143&gt;=$C$25),0,1)</f>
        <v/>
      </c>
      <c r="P144" s="17">
        <f>O144*(IF(AND($C$25&gt;0,$A144&gt;=$C$25),N144,0)+(1-$H76)*(1-$B$25))</f>
        <v/>
      </c>
      <c r="Q144" s="17">
        <f>SUM(P$120:P144)</f>
        <v/>
      </c>
      <c r="R144" s="15">
        <f>$H76+(1-$H76)*$B$26</f>
        <v/>
      </c>
      <c r="S144" s="17">
        <f>S143*R143*IF(AND($C$26&gt;0,$A143&gt;=$C$26),0,1)</f>
        <v/>
      </c>
      <c r="T144" s="17">
        <f>S144*(IF(AND($C$26&gt;0,$A144&gt;=$C$26),R144,0)+(1-$H76)*(1-$B$26))</f>
        <v/>
      </c>
      <c r="U144" s="17">
        <f>SUM(T$120:T144)</f>
        <v/>
      </c>
    </row>
    <row r="145">
      <c r="A145" s="11">
        <f>$A77</f>
        <v/>
      </c>
      <c r="B145" s="15">
        <f>$H77+(1-$H77)*$B$22</f>
        <v/>
      </c>
      <c r="C145" s="17">
        <f>C144*B144*IF(AND($C$22&gt;0,$A144&gt;=$C$22),0,1)</f>
        <v/>
      </c>
      <c r="D145" s="17">
        <f>C145*(IF(AND($C$22&gt;0,$A145&gt;=$C$22),B145,0)+(1-$H77)*(1-$B$22))</f>
        <v/>
      </c>
      <c r="E145" s="17">
        <f>SUM(D$120:D145)</f>
        <v/>
      </c>
      <c r="F145" s="15">
        <f>$H77+(1-$H77)*$B$23</f>
        <v/>
      </c>
      <c r="G145" s="17">
        <f>G144*F144*IF(AND($C$23&gt;0,$A144&gt;=$C$23),0,1)</f>
        <v/>
      </c>
      <c r="H145" s="17">
        <f>G145*(IF(AND($C$23&gt;0,$A145&gt;=$C$23),F145,0)+(1-$H77)*(1-$B$23))</f>
        <v/>
      </c>
      <c r="I145" s="17">
        <f>SUM(H$120:H145)</f>
        <v/>
      </c>
      <c r="J145" s="15">
        <f>$H77+(1-$H77)*$B$24</f>
        <v/>
      </c>
      <c r="K145" s="17">
        <f>K144*J144*IF(AND($C$24&gt;0,$A144&gt;=$C$24),0,1)</f>
        <v/>
      </c>
      <c r="L145" s="17">
        <f>K145*(IF(AND($C$24&gt;0,$A145&gt;=$C$24),J145,0)+(1-$H77)*(1-$B$24))</f>
        <v/>
      </c>
      <c r="M145" s="17">
        <f>SUM(L$120:L145)</f>
        <v/>
      </c>
      <c r="N145" s="15">
        <f>$H77+(1-$H77)*$B$25</f>
        <v/>
      </c>
      <c r="O145" s="17">
        <f>O144*N144*IF(AND($C$25&gt;0,$A144&gt;=$C$25),0,1)</f>
        <v/>
      </c>
      <c r="P145" s="17">
        <f>O145*(IF(AND($C$25&gt;0,$A145&gt;=$C$25),N145,0)+(1-$H77)*(1-$B$25))</f>
        <v/>
      </c>
      <c r="Q145" s="17">
        <f>SUM(P$120:P145)</f>
        <v/>
      </c>
      <c r="R145" s="15">
        <f>$H77+(1-$H77)*$B$26</f>
        <v/>
      </c>
      <c r="S145" s="17">
        <f>S144*R144*IF(AND($C$26&gt;0,$A144&gt;=$C$26),0,1)</f>
        <v/>
      </c>
      <c r="T145" s="17">
        <f>S145*(IF(AND($C$26&gt;0,$A145&gt;=$C$26),R145,0)+(1-$H77)*(1-$B$26))</f>
        <v/>
      </c>
      <c r="U145" s="17">
        <f>SUM(T$120:T145)</f>
        <v/>
      </c>
    </row>
    <row r="146">
      <c r="A146" s="11">
        <f>$A78</f>
        <v/>
      </c>
      <c r="B146" s="15">
        <f>$H78+(1-$H78)*$B$22</f>
        <v/>
      </c>
      <c r="C146" s="17">
        <f>C145*B145*IF(AND($C$22&gt;0,$A145&gt;=$C$22),0,1)</f>
        <v/>
      </c>
      <c r="D146" s="17">
        <f>C146*(IF(AND($C$22&gt;0,$A146&gt;=$C$22),B146,0)+(1-$H78)*(1-$B$22))</f>
        <v/>
      </c>
      <c r="E146" s="17">
        <f>SUM(D$120:D146)</f>
        <v/>
      </c>
      <c r="F146" s="15">
        <f>$H78+(1-$H78)*$B$23</f>
        <v/>
      </c>
      <c r="G146" s="17">
        <f>G145*F145*IF(AND($C$23&gt;0,$A145&gt;=$C$23),0,1)</f>
        <v/>
      </c>
      <c r="H146" s="17">
        <f>G146*(IF(AND($C$23&gt;0,$A146&gt;=$C$23),F146,0)+(1-$H78)*(1-$B$23))</f>
        <v/>
      </c>
      <c r="I146" s="17">
        <f>SUM(H$120:H146)</f>
        <v/>
      </c>
      <c r="J146" s="15">
        <f>$H78+(1-$H78)*$B$24</f>
        <v/>
      </c>
      <c r="K146" s="17">
        <f>K145*J145*IF(AND($C$24&gt;0,$A145&gt;=$C$24),0,1)</f>
        <v/>
      </c>
      <c r="L146" s="17">
        <f>K146*(IF(AND($C$24&gt;0,$A146&gt;=$C$24),J146,0)+(1-$H78)*(1-$B$24))</f>
        <v/>
      </c>
      <c r="M146" s="17">
        <f>SUM(L$120:L146)</f>
        <v/>
      </c>
      <c r="N146" s="15">
        <f>$H78+(1-$H78)*$B$25</f>
        <v/>
      </c>
      <c r="O146" s="17">
        <f>O145*N145*IF(AND($C$25&gt;0,$A145&gt;=$C$25),0,1)</f>
        <v/>
      </c>
      <c r="P146" s="17">
        <f>O146*(IF(AND($C$25&gt;0,$A146&gt;=$C$25),N146,0)+(1-$H78)*(1-$B$25))</f>
        <v/>
      </c>
      <c r="Q146" s="17">
        <f>SUM(P$120:P146)</f>
        <v/>
      </c>
      <c r="R146" s="15">
        <f>$H78+(1-$H78)*$B$26</f>
        <v/>
      </c>
      <c r="S146" s="17">
        <f>S145*R145*IF(AND($C$26&gt;0,$A145&gt;=$C$26),0,1)</f>
        <v/>
      </c>
      <c r="T146" s="17">
        <f>S146*(IF(AND($C$26&gt;0,$A146&gt;=$C$26),R146,0)+(1-$H78)*(1-$B$26))</f>
        <v/>
      </c>
      <c r="U146" s="17">
        <f>SUM(T$120:T146)</f>
        <v/>
      </c>
    </row>
    <row r="147">
      <c r="A147" s="11">
        <f>$A79</f>
        <v/>
      </c>
      <c r="B147" s="15">
        <f>$H79+(1-$H79)*$B$22</f>
        <v/>
      </c>
      <c r="C147" s="17">
        <f>C146*B146*IF(AND($C$22&gt;0,$A146&gt;=$C$22),0,1)</f>
        <v/>
      </c>
      <c r="D147" s="17">
        <f>C147*(IF(AND($C$22&gt;0,$A147&gt;=$C$22),B147,0)+(1-$H79)*(1-$B$22))</f>
        <v/>
      </c>
      <c r="E147" s="17">
        <f>SUM(D$120:D147)</f>
        <v/>
      </c>
      <c r="F147" s="15">
        <f>$H79+(1-$H79)*$B$23</f>
        <v/>
      </c>
      <c r="G147" s="17">
        <f>G146*F146*IF(AND($C$23&gt;0,$A146&gt;=$C$23),0,1)</f>
        <v/>
      </c>
      <c r="H147" s="17">
        <f>G147*(IF(AND($C$23&gt;0,$A147&gt;=$C$23),F147,0)+(1-$H79)*(1-$B$23))</f>
        <v/>
      </c>
      <c r="I147" s="17">
        <f>SUM(H$120:H147)</f>
        <v/>
      </c>
      <c r="J147" s="15">
        <f>$H79+(1-$H79)*$B$24</f>
        <v/>
      </c>
      <c r="K147" s="17">
        <f>K146*J146*IF(AND($C$24&gt;0,$A146&gt;=$C$24),0,1)</f>
        <v/>
      </c>
      <c r="L147" s="17">
        <f>K147*(IF(AND($C$24&gt;0,$A147&gt;=$C$24),J147,0)+(1-$H79)*(1-$B$24))</f>
        <v/>
      </c>
      <c r="M147" s="17">
        <f>SUM(L$120:L147)</f>
        <v/>
      </c>
      <c r="N147" s="15">
        <f>$H79+(1-$H79)*$B$25</f>
        <v/>
      </c>
      <c r="O147" s="17">
        <f>O146*N146*IF(AND($C$25&gt;0,$A146&gt;=$C$25),0,1)</f>
        <v/>
      </c>
      <c r="P147" s="17">
        <f>O147*(IF(AND($C$25&gt;0,$A147&gt;=$C$25),N147,0)+(1-$H79)*(1-$B$25))</f>
        <v/>
      </c>
      <c r="Q147" s="17">
        <f>SUM(P$120:P147)</f>
        <v/>
      </c>
      <c r="R147" s="15">
        <f>$H79+(1-$H79)*$B$26</f>
        <v/>
      </c>
      <c r="S147" s="17">
        <f>S146*R146*IF(AND($C$26&gt;0,$A146&gt;=$C$26),0,1)</f>
        <v/>
      </c>
      <c r="T147" s="17">
        <f>S147*(IF(AND($C$26&gt;0,$A147&gt;=$C$26),R147,0)+(1-$H79)*(1-$B$26))</f>
        <v/>
      </c>
      <c r="U147" s="17">
        <f>SUM(T$120:T147)</f>
        <v/>
      </c>
    </row>
    <row r="148">
      <c r="A148" s="11">
        <f>$A80</f>
        <v/>
      </c>
      <c r="B148" s="15">
        <f>$H80+(1-$H80)*$B$22</f>
        <v/>
      </c>
      <c r="C148" s="17">
        <f>C147*B147*IF(AND($C$22&gt;0,$A147&gt;=$C$22),0,1)</f>
        <v/>
      </c>
      <c r="D148" s="17">
        <f>C148*(IF(AND($C$22&gt;0,$A148&gt;=$C$22),B148,0)+(1-$H80)*(1-$B$22))</f>
        <v/>
      </c>
      <c r="E148" s="17">
        <f>SUM(D$120:D148)</f>
        <v/>
      </c>
      <c r="F148" s="15">
        <f>$H80+(1-$H80)*$B$23</f>
        <v/>
      </c>
      <c r="G148" s="17">
        <f>G147*F147*IF(AND($C$23&gt;0,$A147&gt;=$C$23),0,1)</f>
        <v/>
      </c>
      <c r="H148" s="17">
        <f>G148*(IF(AND($C$23&gt;0,$A148&gt;=$C$23),F148,0)+(1-$H80)*(1-$B$23))</f>
        <v/>
      </c>
      <c r="I148" s="17">
        <f>SUM(H$120:H148)</f>
        <v/>
      </c>
      <c r="J148" s="15">
        <f>$H80+(1-$H80)*$B$24</f>
        <v/>
      </c>
      <c r="K148" s="17">
        <f>K147*J147*IF(AND($C$24&gt;0,$A147&gt;=$C$24),0,1)</f>
        <v/>
      </c>
      <c r="L148" s="17">
        <f>K148*(IF(AND($C$24&gt;0,$A148&gt;=$C$24),J148,0)+(1-$H80)*(1-$B$24))</f>
        <v/>
      </c>
      <c r="M148" s="17">
        <f>SUM(L$120:L148)</f>
        <v/>
      </c>
      <c r="N148" s="15">
        <f>$H80+(1-$H80)*$B$25</f>
        <v/>
      </c>
      <c r="O148" s="17">
        <f>O147*N147*IF(AND($C$25&gt;0,$A147&gt;=$C$25),0,1)</f>
        <v/>
      </c>
      <c r="P148" s="17">
        <f>O148*(IF(AND($C$25&gt;0,$A148&gt;=$C$25),N148,0)+(1-$H80)*(1-$B$25))</f>
        <v/>
      </c>
      <c r="Q148" s="17">
        <f>SUM(P$120:P148)</f>
        <v/>
      </c>
      <c r="R148" s="15">
        <f>$H80+(1-$H80)*$B$26</f>
        <v/>
      </c>
      <c r="S148" s="17">
        <f>S147*R147*IF(AND($C$26&gt;0,$A147&gt;=$C$26),0,1)</f>
        <v/>
      </c>
      <c r="T148" s="17">
        <f>S148*(IF(AND($C$26&gt;0,$A148&gt;=$C$26),R148,0)+(1-$H80)*(1-$B$26))</f>
        <v/>
      </c>
      <c r="U148" s="17">
        <f>SUM(T$120:T148)</f>
        <v/>
      </c>
    </row>
    <row r="149">
      <c r="A149" s="11">
        <f>$A81</f>
        <v/>
      </c>
      <c r="B149" s="15">
        <f>$H81+(1-$H81)*$B$22</f>
        <v/>
      </c>
      <c r="C149" s="17">
        <f>C148*B148*IF(AND($C$22&gt;0,$A148&gt;=$C$22),0,1)</f>
        <v/>
      </c>
      <c r="D149" s="17">
        <f>C149*(IF(AND($C$22&gt;0,$A149&gt;=$C$22),B149,0)+(1-$H81)*(1-$B$22))</f>
        <v/>
      </c>
      <c r="E149" s="17">
        <f>SUM(D$120:D149)</f>
        <v/>
      </c>
      <c r="F149" s="15">
        <f>$H81+(1-$H81)*$B$23</f>
        <v/>
      </c>
      <c r="G149" s="17">
        <f>G148*F148*IF(AND($C$23&gt;0,$A148&gt;=$C$23),0,1)</f>
        <v/>
      </c>
      <c r="H149" s="17">
        <f>G149*(IF(AND($C$23&gt;0,$A149&gt;=$C$23),F149,0)+(1-$H81)*(1-$B$23))</f>
        <v/>
      </c>
      <c r="I149" s="17">
        <f>SUM(H$120:H149)</f>
        <v/>
      </c>
      <c r="J149" s="15">
        <f>$H81+(1-$H81)*$B$24</f>
        <v/>
      </c>
      <c r="K149" s="17">
        <f>K148*J148*IF(AND($C$24&gt;0,$A148&gt;=$C$24),0,1)</f>
        <v/>
      </c>
      <c r="L149" s="17">
        <f>K149*(IF(AND($C$24&gt;0,$A149&gt;=$C$24),J149,0)+(1-$H81)*(1-$B$24))</f>
        <v/>
      </c>
      <c r="M149" s="17">
        <f>SUM(L$120:L149)</f>
        <v/>
      </c>
      <c r="N149" s="15">
        <f>$H81+(1-$H81)*$B$25</f>
        <v/>
      </c>
      <c r="O149" s="17">
        <f>O148*N148*IF(AND($C$25&gt;0,$A148&gt;=$C$25),0,1)</f>
        <v/>
      </c>
      <c r="P149" s="17">
        <f>O149*(IF(AND($C$25&gt;0,$A149&gt;=$C$25),N149,0)+(1-$H81)*(1-$B$25))</f>
        <v/>
      </c>
      <c r="Q149" s="17">
        <f>SUM(P$120:P149)</f>
        <v/>
      </c>
      <c r="R149" s="15">
        <f>$H81+(1-$H81)*$B$26</f>
        <v/>
      </c>
      <c r="S149" s="17">
        <f>S148*R148*IF(AND($C$26&gt;0,$A148&gt;=$C$26),0,1)</f>
        <v/>
      </c>
      <c r="T149" s="17">
        <f>S149*(IF(AND($C$26&gt;0,$A149&gt;=$C$26),R149,0)+(1-$H81)*(1-$B$26))</f>
        <v/>
      </c>
      <c r="U149" s="17">
        <f>SUM(T$120:T149)</f>
        <v/>
      </c>
    </row>
    <row r="150">
      <c r="A150" s="11">
        <f>$A82</f>
        <v/>
      </c>
      <c r="B150" s="15">
        <f>$H82+(1-$H82)*$B$22</f>
        <v/>
      </c>
      <c r="C150" s="17">
        <f>C149*B149*IF(AND($C$22&gt;0,$A149&gt;=$C$22),0,1)</f>
        <v/>
      </c>
      <c r="D150" s="17">
        <f>C150*(IF(AND($C$22&gt;0,$A150&gt;=$C$22),B150,0)+(1-$H82)*(1-$B$22))</f>
        <v/>
      </c>
      <c r="E150" s="17">
        <f>SUM(D$120:D150)</f>
        <v/>
      </c>
      <c r="F150" s="15">
        <f>$H82+(1-$H82)*$B$23</f>
        <v/>
      </c>
      <c r="G150" s="17">
        <f>G149*F149*IF(AND($C$23&gt;0,$A149&gt;=$C$23),0,1)</f>
        <v/>
      </c>
      <c r="H150" s="17">
        <f>G150*(IF(AND($C$23&gt;0,$A150&gt;=$C$23),F150,0)+(1-$H82)*(1-$B$23))</f>
        <v/>
      </c>
      <c r="I150" s="17">
        <f>SUM(H$120:H150)</f>
        <v/>
      </c>
      <c r="J150" s="15">
        <f>$H82+(1-$H82)*$B$24</f>
        <v/>
      </c>
      <c r="K150" s="17">
        <f>K149*J149*IF(AND($C$24&gt;0,$A149&gt;=$C$24),0,1)</f>
        <v/>
      </c>
      <c r="L150" s="17">
        <f>K150*(IF(AND($C$24&gt;0,$A150&gt;=$C$24),J150,0)+(1-$H82)*(1-$B$24))</f>
        <v/>
      </c>
      <c r="M150" s="17">
        <f>SUM(L$120:L150)</f>
        <v/>
      </c>
      <c r="N150" s="15">
        <f>$H82+(1-$H82)*$B$25</f>
        <v/>
      </c>
      <c r="O150" s="17">
        <f>O149*N149*IF(AND($C$25&gt;0,$A149&gt;=$C$25),0,1)</f>
        <v/>
      </c>
      <c r="P150" s="17">
        <f>O150*(IF(AND($C$25&gt;0,$A150&gt;=$C$25),N150,0)+(1-$H82)*(1-$B$25))</f>
        <v/>
      </c>
      <c r="Q150" s="17">
        <f>SUM(P$120:P150)</f>
        <v/>
      </c>
      <c r="R150" s="15">
        <f>$H82+(1-$H82)*$B$26</f>
        <v/>
      </c>
      <c r="S150" s="17">
        <f>S149*R149*IF(AND($C$26&gt;0,$A149&gt;=$C$26),0,1)</f>
        <v/>
      </c>
      <c r="T150" s="17">
        <f>S150*(IF(AND($C$26&gt;0,$A150&gt;=$C$26),R150,0)+(1-$H82)*(1-$B$26))</f>
        <v/>
      </c>
      <c r="U150" s="17">
        <f>SUM(T$120:T150)</f>
        <v/>
      </c>
    </row>
    <row r="151">
      <c r="A151" s="11">
        <f>$A83</f>
        <v/>
      </c>
      <c r="B151" s="15">
        <f>$H83+(1-$H83)*$B$22</f>
        <v/>
      </c>
      <c r="C151" s="17">
        <f>C150*B150*IF(AND($C$22&gt;0,$A150&gt;=$C$22),0,1)</f>
        <v/>
      </c>
      <c r="D151" s="17">
        <f>C151*(IF(AND($C$22&gt;0,$A151&gt;=$C$22),B151,0)+(1-$H83)*(1-$B$22))</f>
        <v/>
      </c>
      <c r="E151" s="17">
        <f>SUM(D$120:D151)</f>
        <v/>
      </c>
      <c r="F151" s="15">
        <f>$H83+(1-$H83)*$B$23</f>
        <v/>
      </c>
      <c r="G151" s="17">
        <f>G150*F150*IF(AND($C$23&gt;0,$A150&gt;=$C$23),0,1)</f>
        <v/>
      </c>
      <c r="H151" s="17">
        <f>G151*(IF(AND($C$23&gt;0,$A151&gt;=$C$23),F151,0)+(1-$H83)*(1-$B$23))</f>
        <v/>
      </c>
      <c r="I151" s="17">
        <f>SUM(H$120:H151)</f>
        <v/>
      </c>
      <c r="J151" s="15">
        <f>$H83+(1-$H83)*$B$24</f>
        <v/>
      </c>
      <c r="K151" s="17">
        <f>K150*J150*IF(AND($C$24&gt;0,$A150&gt;=$C$24),0,1)</f>
        <v/>
      </c>
      <c r="L151" s="17">
        <f>K151*(IF(AND($C$24&gt;0,$A151&gt;=$C$24),J151,0)+(1-$H83)*(1-$B$24))</f>
        <v/>
      </c>
      <c r="M151" s="17">
        <f>SUM(L$120:L151)</f>
        <v/>
      </c>
      <c r="N151" s="15">
        <f>$H83+(1-$H83)*$B$25</f>
        <v/>
      </c>
      <c r="O151" s="17">
        <f>O150*N150*IF(AND($C$25&gt;0,$A150&gt;=$C$25),0,1)</f>
        <v/>
      </c>
      <c r="P151" s="17">
        <f>O151*(IF(AND($C$25&gt;0,$A151&gt;=$C$25),N151,0)+(1-$H83)*(1-$B$25))</f>
        <v/>
      </c>
      <c r="Q151" s="17">
        <f>SUM(P$120:P151)</f>
        <v/>
      </c>
      <c r="R151" s="15">
        <f>$H83+(1-$H83)*$B$26</f>
        <v/>
      </c>
      <c r="S151" s="17">
        <f>S150*R150*IF(AND($C$26&gt;0,$A150&gt;=$C$26),0,1)</f>
        <v/>
      </c>
      <c r="T151" s="17">
        <f>S151*(IF(AND($C$26&gt;0,$A151&gt;=$C$26),R151,0)+(1-$H83)*(1-$B$26))</f>
        <v/>
      </c>
      <c r="U151" s="17">
        <f>SUM(T$120:T151)</f>
        <v/>
      </c>
    </row>
    <row r="152">
      <c r="A152" s="11">
        <f>$A84</f>
        <v/>
      </c>
      <c r="B152" s="15">
        <f>$H84+(1-$H84)*$B$22</f>
        <v/>
      </c>
      <c r="C152" s="17">
        <f>C151*B151*IF(AND($C$22&gt;0,$A151&gt;=$C$22),0,1)</f>
        <v/>
      </c>
      <c r="D152" s="17">
        <f>C152*(IF(AND($C$22&gt;0,$A152&gt;=$C$22),B152,0)+(1-$H84)*(1-$B$22))</f>
        <v/>
      </c>
      <c r="E152" s="17">
        <f>SUM(D$120:D152)</f>
        <v/>
      </c>
      <c r="F152" s="15">
        <f>$H84+(1-$H84)*$B$23</f>
        <v/>
      </c>
      <c r="G152" s="17">
        <f>G151*F151*IF(AND($C$23&gt;0,$A151&gt;=$C$23),0,1)</f>
        <v/>
      </c>
      <c r="H152" s="17">
        <f>G152*(IF(AND($C$23&gt;0,$A152&gt;=$C$23),F152,0)+(1-$H84)*(1-$B$23))</f>
        <v/>
      </c>
      <c r="I152" s="17">
        <f>SUM(H$120:H152)</f>
        <v/>
      </c>
      <c r="J152" s="15">
        <f>$H84+(1-$H84)*$B$24</f>
        <v/>
      </c>
      <c r="K152" s="17">
        <f>K151*J151*IF(AND($C$24&gt;0,$A151&gt;=$C$24),0,1)</f>
        <v/>
      </c>
      <c r="L152" s="17">
        <f>K152*(IF(AND($C$24&gt;0,$A152&gt;=$C$24),J152,0)+(1-$H84)*(1-$B$24))</f>
        <v/>
      </c>
      <c r="M152" s="17">
        <f>SUM(L$120:L152)</f>
        <v/>
      </c>
      <c r="N152" s="15">
        <f>$H84+(1-$H84)*$B$25</f>
        <v/>
      </c>
      <c r="O152" s="17">
        <f>O151*N151*IF(AND($C$25&gt;0,$A151&gt;=$C$25),0,1)</f>
        <v/>
      </c>
      <c r="P152" s="17">
        <f>O152*(IF(AND($C$25&gt;0,$A152&gt;=$C$25),N152,0)+(1-$H84)*(1-$B$25))</f>
        <v/>
      </c>
      <c r="Q152" s="17">
        <f>SUM(P$120:P152)</f>
        <v/>
      </c>
      <c r="R152" s="15">
        <f>$H84+(1-$H84)*$B$26</f>
        <v/>
      </c>
      <c r="S152" s="17">
        <f>S151*R151*IF(AND($C$26&gt;0,$A151&gt;=$C$26),0,1)</f>
        <v/>
      </c>
      <c r="T152" s="17">
        <f>S152*(IF(AND($C$26&gt;0,$A152&gt;=$C$26),R152,0)+(1-$H84)*(1-$B$26))</f>
        <v/>
      </c>
      <c r="U152" s="17">
        <f>SUM(T$120:T152)</f>
        <v/>
      </c>
    </row>
    <row r="153">
      <c r="A153" s="11">
        <f>$A85</f>
        <v/>
      </c>
      <c r="B153" s="15">
        <f>$H85+(1-$H85)*$B$22</f>
        <v/>
      </c>
      <c r="C153" s="17">
        <f>C152*B152*IF(AND($C$22&gt;0,$A152&gt;=$C$22),0,1)</f>
        <v/>
      </c>
      <c r="D153" s="17">
        <f>C153*(IF(AND($C$22&gt;0,$A153&gt;=$C$22),B153,0)+(1-$H85)*(1-$B$22))</f>
        <v/>
      </c>
      <c r="E153" s="17">
        <f>SUM(D$120:D153)</f>
        <v/>
      </c>
      <c r="F153" s="15">
        <f>$H85+(1-$H85)*$B$23</f>
        <v/>
      </c>
      <c r="G153" s="17">
        <f>G152*F152*IF(AND($C$23&gt;0,$A152&gt;=$C$23),0,1)</f>
        <v/>
      </c>
      <c r="H153" s="17">
        <f>G153*(IF(AND($C$23&gt;0,$A153&gt;=$C$23),F153,0)+(1-$H85)*(1-$B$23))</f>
        <v/>
      </c>
      <c r="I153" s="17">
        <f>SUM(H$120:H153)</f>
        <v/>
      </c>
      <c r="J153" s="15">
        <f>$H85+(1-$H85)*$B$24</f>
        <v/>
      </c>
      <c r="K153" s="17">
        <f>K152*J152*IF(AND($C$24&gt;0,$A152&gt;=$C$24),0,1)</f>
        <v/>
      </c>
      <c r="L153" s="17">
        <f>K153*(IF(AND($C$24&gt;0,$A153&gt;=$C$24),J153,0)+(1-$H85)*(1-$B$24))</f>
        <v/>
      </c>
      <c r="M153" s="17">
        <f>SUM(L$120:L153)</f>
        <v/>
      </c>
      <c r="N153" s="15">
        <f>$H85+(1-$H85)*$B$25</f>
        <v/>
      </c>
      <c r="O153" s="17">
        <f>O152*N152*IF(AND($C$25&gt;0,$A152&gt;=$C$25),0,1)</f>
        <v/>
      </c>
      <c r="P153" s="17">
        <f>O153*(IF(AND($C$25&gt;0,$A153&gt;=$C$25),N153,0)+(1-$H85)*(1-$B$25))</f>
        <v/>
      </c>
      <c r="Q153" s="17">
        <f>SUM(P$120:P153)</f>
        <v/>
      </c>
      <c r="R153" s="15">
        <f>$H85+(1-$H85)*$B$26</f>
        <v/>
      </c>
      <c r="S153" s="17">
        <f>S152*R152*IF(AND($C$26&gt;0,$A152&gt;=$C$26),0,1)</f>
        <v/>
      </c>
      <c r="T153" s="17">
        <f>S153*(IF(AND($C$26&gt;0,$A153&gt;=$C$26),R153,0)+(1-$H85)*(1-$B$26))</f>
        <v/>
      </c>
      <c r="U153" s="17">
        <f>SUM(T$120:T153)</f>
        <v/>
      </c>
    </row>
    <row r="154">
      <c r="A154" s="11">
        <f>$A86</f>
        <v/>
      </c>
      <c r="B154" s="15">
        <f>$H86+(1-$H86)*$B$22</f>
        <v/>
      </c>
      <c r="C154" s="17">
        <f>C153*B153*IF(AND($C$22&gt;0,$A153&gt;=$C$22),0,1)</f>
        <v/>
      </c>
      <c r="D154" s="17">
        <f>C154*(IF(AND($C$22&gt;0,$A154&gt;=$C$22),B154,0)+(1-$H86)*(1-$B$22))</f>
        <v/>
      </c>
      <c r="E154" s="17">
        <f>SUM(D$120:D154)</f>
        <v/>
      </c>
      <c r="F154" s="15">
        <f>$H86+(1-$H86)*$B$23</f>
        <v/>
      </c>
      <c r="G154" s="17">
        <f>G153*F153*IF(AND($C$23&gt;0,$A153&gt;=$C$23),0,1)</f>
        <v/>
      </c>
      <c r="H154" s="17">
        <f>G154*(IF(AND($C$23&gt;0,$A154&gt;=$C$23),F154,0)+(1-$H86)*(1-$B$23))</f>
        <v/>
      </c>
      <c r="I154" s="17">
        <f>SUM(H$120:H154)</f>
        <v/>
      </c>
      <c r="J154" s="15">
        <f>$H86+(1-$H86)*$B$24</f>
        <v/>
      </c>
      <c r="K154" s="17">
        <f>K153*J153*IF(AND($C$24&gt;0,$A153&gt;=$C$24),0,1)</f>
        <v/>
      </c>
      <c r="L154" s="17">
        <f>K154*(IF(AND($C$24&gt;0,$A154&gt;=$C$24),J154,0)+(1-$H86)*(1-$B$24))</f>
        <v/>
      </c>
      <c r="M154" s="17">
        <f>SUM(L$120:L154)</f>
        <v/>
      </c>
      <c r="N154" s="15">
        <f>$H86+(1-$H86)*$B$25</f>
        <v/>
      </c>
      <c r="O154" s="17">
        <f>O153*N153*IF(AND($C$25&gt;0,$A153&gt;=$C$25),0,1)</f>
        <v/>
      </c>
      <c r="P154" s="17">
        <f>O154*(IF(AND($C$25&gt;0,$A154&gt;=$C$25),N154,0)+(1-$H86)*(1-$B$25))</f>
        <v/>
      </c>
      <c r="Q154" s="17">
        <f>SUM(P$120:P154)</f>
        <v/>
      </c>
      <c r="R154" s="15">
        <f>$H86+(1-$H86)*$B$26</f>
        <v/>
      </c>
      <c r="S154" s="17">
        <f>S153*R153*IF(AND($C$26&gt;0,$A153&gt;=$C$26),0,1)</f>
        <v/>
      </c>
      <c r="T154" s="17">
        <f>S154*(IF(AND($C$26&gt;0,$A154&gt;=$C$26),R154,0)+(1-$H86)*(1-$B$26))</f>
        <v/>
      </c>
      <c r="U154" s="17">
        <f>SUM(T$120:T154)</f>
        <v/>
      </c>
    </row>
    <row r="155">
      <c r="A155" s="11">
        <f>$A87</f>
        <v/>
      </c>
      <c r="B155" s="15">
        <f>$H87+(1-$H87)*$B$22</f>
        <v/>
      </c>
      <c r="C155" s="17">
        <f>C154*B154*IF(AND($C$22&gt;0,$A154&gt;=$C$22),0,1)</f>
        <v/>
      </c>
      <c r="D155" s="17">
        <f>C155*(IF(AND($C$22&gt;0,$A155&gt;=$C$22),B155,0)+(1-$H87)*(1-$B$22))</f>
        <v/>
      </c>
      <c r="E155" s="17">
        <f>SUM(D$120:D155)</f>
        <v/>
      </c>
      <c r="F155" s="15">
        <f>$H87+(1-$H87)*$B$23</f>
        <v/>
      </c>
      <c r="G155" s="17">
        <f>G154*F154*IF(AND($C$23&gt;0,$A154&gt;=$C$23),0,1)</f>
        <v/>
      </c>
      <c r="H155" s="17">
        <f>G155*(IF(AND($C$23&gt;0,$A155&gt;=$C$23),F155,0)+(1-$H87)*(1-$B$23))</f>
        <v/>
      </c>
      <c r="I155" s="17">
        <f>SUM(H$120:H155)</f>
        <v/>
      </c>
      <c r="J155" s="15">
        <f>$H87+(1-$H87)*$B$24</f>
        <v/>
      </c>
      <c r="K155" s="17">
        <f>K154*J154*IF(AND($C$24&gt;0,$A154&gt;=$C$24),0,1)</f>
        <v/>
      </c>
      <c r="L155" s="17">
        <f>K155*(IF(AND($C$24&gt;0,$A155&gt;=$C$24),J155,0)+(1-$H87)*(1-$B$24))</f>
        <v/>
      </c>
      <c r="M155" s="17">
        <f>SUM(L$120:L155)</f>
        <v/>
      </c>
      <c r="N155" s="15">
        <f>$H87+(1-$H87)*$B$25</f>
        <v/>
      </c>
      <c r="O155" s="17">
        <f>O154*N154*IF(AND($C$25&gt;0,$A154&gt;=$C$25),0,1)</f>
        <v/>
      </c>
      <c r="P155" s="17">
        <f>O155*(IF(AND($C$25&gt;0,$A155&gt;=$C$25),N155,0)+(1-$H87)*(1-$B$25))</f>
        <v/>
      </c>
      <c r="Q155" s="17">
        <f>SUM(P$120:P155)</f>
        <v/>
      </c>
      <c r="R155" s="15">
        <f>$H87+(1-$H87)*$B$26</f>
        <v/>
      </c>
      <c r="S155" s="17">
        <f>S154*R154*IF(AND($C$26&gt;0,$A154&gt;=$C$26),0,1)</f>
        <v/>
      </c>
      <c r="T155" s="17">
        <f>S155*(IF(AND($C$26&gt;0,$A155&gt;=$C$26),R155,0)+(1-$H87)*(1-$B$26))</f>
        <v/>
      </c>
      <c r="U155" s="17">
        <f>SUM(T$120:T155)</f>
        <v/>
      </c>
    </row>
    <row r="156">
      <c r="A156" s="11">
        <f>$A88</f>
        <v/>
      </c>
      <c r="B156" s="15">
        <f>$H88+(1-$H88)*$B$22</f>
        <v/>
      </c>
      <c r="C156" s="17">
        <f>C155*B155*IF(AND($C$22&gt;0,$A155&gt;=$C$22),0,1)</f>
        <v/>
      </c>
      <c r="D156" s="17">
        <f>C156*(IF(AND($C$22&gt;0,$A156&gt;=$C$22),B156,0)+(1-$H88)*(1-$B$22))</f>
        <v/>
      </c>
      <c r="E156" s="17">
        <f>SUM(D$120:D156)</f>
        <v/>
      </c>
      <c r="F156" s="15">
        <f>$H88+(1-$H88)*$B$23</f>
        <v/>
      </c>
      <c r="G156" s="17">
        <f>G155*F155*IF(AND($C$23&gt;0,$A155&gt;=$C$23),0,1)</f>
        <v/>
      </c>
      <c r="H156" s="17">
        <f>G156*(IF(AND($C$23&gt;0,$A156&gt;=$C$23),F156,0)+(1-$H88)*(1-$B$23))</f>
        <v/>
      </c>
      <c r="I156" s="17">
        <f>SUM(H$120:H156)</f>
        <v/>
      </c>
      <c r="J156" s="15">
        <f>$H88+(1-$H88)*$B$24</f>
        <v/>
      </c>
      <c r="K156" s="17">
        <f>K155*J155*IF(AND($C$24&gt;0,$A155&gt;=$C$24),0,1)</f>
        <v/>
      </c>
      <c r="L156" s="17">
        <f>K156*(IF(AND($C$24&gt;0,$A156&gt;=$C$24),J156,0)+(1-$H88)*(1-$B$24))</f>
        <v/>
      </c>
      <c r="M156" s="17">
        <f>SUM(L$120:L156)</f>
        <v/>
      </c>
      <c r="N156" s="15">
        <f>$H88+(1-$H88)*$B$25</f>
        <v/>
      </c>
      <c r="O156" s="17">
        <f>O155*N155*IF(AND($C$25&gt;0,$A155&gt;=$C$25),0,1)</f>
        <v/>
      </c>
      <c r="P156" s="17">
        <f>O156*(IF(AND($C$25&gt;0,$A156&gt;=$C$25),N156,0)+(1-$H88)*(1-$B$25))</f>
        <v/>
      </c>
      <c r="Q156" s="17">
        <f>SUM(P$120:P156)</f>
        <v/>
      </c>
      <c r="R156" s="15">
        <f>$H88+(1-$H88)*$B$26</f>
        <v/>
      </c>
      <c r="S156" s="17">
        <f>S155*R155*IF(AND($C$26&gt;0,$A155&gt;=$C$26),0,1)</f>
        <v/>
      </c>
      <c r="T156" s="17">
        <f>S156*(IF(AND($C$26&gt;0,$A156&gt;=$C$26),R156,0)+(1-$H88)*(1-$B$26))</f>
        <v/>
      </c>
      <c r="U156" s="17">
        <f>SUM(T$120:T156)</f>
        <v/>
      </c>
    </row>
    <row r="157">
      <c r="A157" s="11">
        <f>$A89</f>
        <v/>
      </c>
      <c r="B157" s="15">
        <f>$H89+(1-$H89)*$B$22</f>
        <v/>
      </c>
      <c r="C157" s="17">
        <f>C156*B156*IF(AND($C$22&gt;0,$A156&gt;=$C$22),0,1)</f>
        <v/>
      </c>
      <c r="D157" s="17">
        <f>C157*(IF(AND($C$22&gt;0,$A157&gt;=$C$22),B157,0)+(1-$H89)*(1-$B$22))</f>
        <v/>
      </c>
      <c r="E157" s="17">
        <f>SUM(D$120:D157)</f>
        <v/>
      </c>
      <c r="F157" s="15">
        <f>$H89+(1-$H89)*$B$23</f>
        <v/>
      </c>
      <c r="G157" s="17">
        <f>G156*F156*IF(AND($C$23&gt;0,$A156&gt;=$C$23),0,1)</f>
        <v/>
      </c>
      <c r="H157" s="17">
        <f>G157*(IF(AND($C$23&gt;0,$A157&gt;=$C$23),F157,0)+(1-$H89)*(1-$B$23))</f>
        <v/>
      </c>
      <c r="I157" s="17">
        <f>SUM(H$120:H157)</f>
        <v/>
      </c>
      <c r="J157" s="15">
        <f>$H89+(1-$H89)*$B$24</f>
        <v/>
      </c>
      <c r="K157" s="17">
        <f>K156*J156*IF(AND($C$24&gt;0,$A156&gt;=$C$24),0,1)</f>
        <v/>
      </c>
      <c r="L157" s="17">
        <f>K157*(IF(AND($C$24&gt;0,$A157&gt;=$C$24),J157,0)+(1-$H89)*(1-$B$24))</f>
        <v/>
      </c>
      <c r="M157" s="17">
        <f>SUM(L$120:L157)</f>
        <v/>
      </c>
      <c r="N157" s="15">
        <f>$H89+(1-$H89)*$B$25</f>
        <v/>
      </c>
      <c r="O157" s="17">
        <f>O156*N156*IF(AND($C$25&gt;0,$A156&gt;=$C$25),0,1)</f>
        <v/>
      </c>
      <c r="P157" s="17">
        <f>O157*(IF(AND($C$25&gt;0,$A157&gt;=$C$25),N157,0)+(1-$H89)*(1-$B$25))</f>
        <v/>
      </c>
      <c r="Q157" s="17">
        <f>SUM(P$120:P157)</f>
        <v/>
      </c>
      <c r="R157" s="15">
        <f>$H89+(1-$H89)*$B$26</f>
        <v/>
      </c>
      <c r="S157" s="17">
        <f>S156*R156*IF(AND($C$26&gt;0,$A156&gt;=$C$26),0,1)</f>
        <v/>
      </c>
      <c r="T157" s="17">
        <f>S157*(IF(AND($C$26&gt;0,$A157&gt;=$C$26),R157,0)+(1-$H89)*(1-$B$26))</f>
        <v/>
      </c>
      <c r="U157" s="17">
        <f>SUM(T$120:T157)</f>
        <v/>
      </c>
    </row>
    <row r="158">
      <c r="A158" s="11">
        <f>$A90</f>
        <v/>
      </c>
      <c r="B158" s="15">
        <f>$H90+(1-$H90)*$B$22</f>
        <v/>
      </c>
      <c r="C158" s="17">
        <f>C157*B157*IF(AND($C$22&gt;0,$A157&gt;=$C$22),0,1)</f>
        <v/>
      </c>
      <c r="D158" s="17">
        <f>C158*(IF(AND($C$22&gt;0,$A158&gt;=$C$22),B158,0)+(1-$H90)*(1-$B$22))</f>
        <v/>
      </c>
      <c r="E158" s="17">
        <f>SUM(D$120:D158)</f>
        <v/>
      </c>
      <c r="F158" s="15">
        <f>$H90+(1-$H90)*$B$23</f>
        <v/>
      </c>
      <c r="G158" s="17">
        <f>G157*F157*IF(AND($C$23&gt;0,$A157&gt;=$C$23),0,1)</f>
        <v/>
      </c>
      <c r="H158" s="17">
        <f>G158*(IF(AND($C$23&gt;0,$A158&gt;=$C$23),F158,0)+(1-$H90)*(1-$B$23))</f>
        <v/>
      </c>
      <c r="I158" s="17">
        <f>SUM(H$120:H158)</f>
        <v/>
      </c>
      <c r="J158" s="15">
        <f>$H90+(1-$H90)*$B$24</f>
        <v/>
      </c>
      <c r="K158" s="17">
        <f>K157*J157*IF(AND($C$24&gt;0,$A157&gt;=$C$24),0,1)</f>
        <v/>
      </c>
      <c r="L158" s="17">
        <f>K158*(IF(AND($C$24&gt;0,$A158&gt;=$C$24),J158,0)+(1-$H90)*(1-$B$24))</f>
        <v/>
      </c>
      <c r="M158" s="17">
        <f>SUM(L$120:L158)</f>
        <v/>
      </c>
      <c r="N158" s="15">
        <f>$H90+(1-$H90)*$B$25</f>
        <v/>
      </c>
      <c r="O158" s="17">
        <f>O157*N157*IF(AND($C$25&gt;0,$A157&gt;=$C$25),0,1)</f>
        <v/>
      </c>
      <c r="P158" s="17">
        <f>O158*(IF(AND($C$25&gt;0,$A158&gt;=$C$25),N158,0)+(1-$H90)*(1-$B$25))</f>
        <v/>
      </c>
      <c r="Q158" s="17">
        <f>SUM(P$120:P158)</f>
        <v/>
      </c>
      <c r="R158" s="15">
        <f>$H90+(1-$H90)*$B$26</f>
        <v/>
      </c>
      <c r="S158" s="17">
        <f>S157*R157*IF(AND($C$26&gt;0,$A157&gt;=$C$26),0,1)</f>
        <v/>
      </c>
      <c r="T158" s="17">
        <f>S158*(IF(AND($C$26&gt;0,$A158&gt;=$C$26),R158,0)+(1-$H90)*(1-$B$26))</f>
        <v/>
      </c>
      <c r="U158" s="17">
        <f>SUM(T$120:T158)</f>
        <v/>
      </c>
    </row>
    <row r="159">
      <c r="A159" s="11">
        <f>$A91</f>
        <v/>
      </c>
      <c r="B159" s="15">
        <f>$H91+(1-$H91)*$B$22</f>
        <v/>
      </c>
      <c r="C159" s="17">
        <f>C158*B158*IF(AND($C$22&gt;0,$A158&gt;=$C$22),0,1)</f>
        <v/>
      </c>
      <c r="D159" s="17">
        <f>C159*(IF(AND($C$22&gt;0,$A159&gt;=$C$22),B159,0)+(1-$H91)*(1-$B$22))</f>
        <v/>
      </c>
      <c r="E159" s="17">
        <f>SUM(D$120:D159)</f>
        <v/>
      </c>
      <c r="F159" s="15">
        <f>$H91+(1-$H91)*$B$23</f>
        <v/>
      </c>
      <c r="G159" s="17">
        <f>G158*F158*IF(AND($C$23&gt;0,$A158&gt;=$C$23),0,1)</f>
        <v/>
      </c>
      <c r="H159" s="17">
        <f>G159*(IF(AND($C$23&gt;0,$A159&gt;=$C$23),F159,0)+(1-$H91)*(1-$B$23))</f>
        <v/>
      </c>
      <c r="I159" s="17">
        <f>SUM(H$120:H159)</f>
        <v/>
      </c>
      <c r="J159" s="15">
        <f>$H91+(1-$H91)*$B$24</f>
        <v/>
      </c>
      <c r="K159" s="17">
        <f>K158*J158*IF(AND($C$24&gt;0,$A158&gt;=$C$24),0,1)</f>
        <v/>
      </c>
      <c r="L159" s="17">
        <f>K159*(IF(AND($C$24&gt;0,$A159&gt;=$C$24),J159,0)+(1-$H91)*(1-$B$24))</f>
        <v/>
      </c>
      <c r="M159" s="17">
        <f>SUM(L$120:L159)</f>
        <v/>
      </c>
      <c r="N159" s="15">
        <f>$H91+(1-$H91)*$B$25</f>
        <v/>
      </c>
      <c r="O159" s="17">
        <f>O158*N158*IF(AND($C$25&gt;0,$A158&gt;=$C$25),0,1)</f>
        <v/>
      </c>
      <c r="P159" s="17">
        <f>O159*(IF(AND($C$25&gt;0,$A159&gt;=$C$25),N159,0)+(1-$H91)*(1-$B$25))</f>
        <v/>
      </c>
      <c r="Q159" s="17">
        <f>SUM(P$120:P159)</f>
        <v/>
      </c>
      <c r="R159" s="15">
        <f>$H91+(1-$H91)*$B$26</f>
        <v/>
      </c>
      <c r="S159" s="17">
        <f>S158*R158*IF(AND($C$26&gt;0,$A158&gt;=$C$26),0,1)</f>
        <v/>
      </c>
      <c r="T159" s="17">
        <f>S159*(IF(AND($C$26&gt;0,$A159&gt;=$C$26),R159,0)+(1-$H91)*(1-$B$26))</f>
        <v/>
      </c>
      <c r="U159" s="17">
        <f>SUM(T$120:T159)</f>
        <v/>
      </c>
    </row>
    <row r="160">
      <c r="A160" s="11">
        <f>$A92</f>
        <v/>
      </c>
      <c r="B160" s="15">
        <f>$H92+(1-$H92)*$B$22</f>
        <v/>
      </c>
      <c r="C160" s="17">
        <f>C159*B159*IF(AND($C$22&gt;0,$A159&gt;=$C$22),0,1)</f>
        <v/>
      </c>
      <c r="D160" s="17">
        <f>C160*(IF(AND($C$22&gt;0,$A160&gt;=$C$22),B160,0)+(1-$H92)*(1-$B$22))</f>
        <v/>
      </c>
      <c r="E160" s="17">
        <f>SUM(D$120:D160)</f>
        <v/>
      </c>
      <c r="F160" s="15">
        <f>$H92+(1-$H92)*$B$23</f>
        <v/>
      </c>
      <c r="G160" s="17">
        <f>G159*F159*IF(AND($C$23&gt;0,$A159&gt;=$C$23),0,1)</f>
        <v/>
      </c>
      <c r="H160" s="17">
        <f>G160*(IF(AND($C$23&gt;0,$A160&gt;=$C$23),F160,0)+(1-$H92)*(1-$B$23))</f>
        <v/>
      </c>
      <c r="I160" s="17">
        <f>SUM(H$120:H160)</f>
        <v/>
      </c>
      <c r="J160" s="15">
        <f>$H92+(1-$H92)*$B$24</f>
        <v/>
      </c>
      <c r="K160" s="17">
        <f>K159*J159*IF(AND($C$24&gt;0,$A159&gt;=$C$24),0,1)</f>
        <v/>
      </c>
      <c r="L160" s="17">
        <f>K160*(IF(AND($C$24&gt;0,$A160&gt;=$C$24),J160,0)+(1-$H92)*(1-$B$24))</f>
        <v/>
      </c>
      <c r="M160" s="17">
        <f>SUM(L$120:L160)</f>
        <v/>
      </c>
      <c r="N160" s="15">
        <f>$H92+(1-$H92)*$B$25</f>
        <v/>
      </c>
      <c r="O160" s="17">
        <f>O159*N159*IF(AND($C$25&gt;0,$A159&gt;=$C$25),0,1)</f>
        <v/>
      </c>
      <c r="P160" s="17">
        <f>O160*(IF(AND($C$25&gt;0,$A160&gt;=$C$25),N160,0)+(1-$H92)*(1-$B$25))</f>
        <v/>
      </c>
      <c r="Q160" s="17">
        <f>SUM(P$120:P160)</f>
        <v/>
      </c>
      <c r="R160" s="15">
        <f>$H92+(1-$H92)*$B$26</f>
        <v/>
      </c>
      <c r="S160" s="17">
        <f>S159*R159*IF(AND($C$26&gt;0,$A159&gt;=$C$26),0,1)</f>
        <v/>
      </c>
      <c r="T160" s="17">
        <f>S160*(IF(AND($C$26&gt;0,$A160&gt;=$C$26),R160,0)+(1-$H92)*(1-$B$26))</f>
        <v/>
      </c>
      <c r="U160" s="17">
        <f>SUM(T$120:T160)</f>
        <v/>
      </c>
    </row>
    <row r="161">
      <c r="A161" s="11">
        <f>$A93</f>
        <v/>
      </c>
      <c r="B161" s="15">
        <f>$H93+(1-$H93)*$B$22</f>
        <v/>
      </c>
      <c r="C161" s="17">
        <f>C160*B160*IF(AND($C$22&gt;0,$A160&gt;=$C$22),0,1)</f>
        <v/>
      </c>
      <c r="D161" s="17">
        <f>C161*(IF(AND($C$22&gt;0,$A161&gt;=$C$22),B161,0)+(1-$H93)*(1-$B$22))</f>
        <v/>
      </c>
      <c r="E161" s="17">
        <f>SUM(D$120:D161)</f>
        <v/>
      </c>
      <c r="F161" s="15">
        <f>$H93+(1-$H93)*$B$23</f>
        <v/>
      </c>
      <c r="G161" s="17">
        <f>G160*F160*IF(AND($C$23&gt;0,$A160&gt;=$C$23),0,1)</f>
        <v/>
      </c>
      <c r="H161" s="17">
        <f>G161*(IF(AND($C$23&gt;0,$A161&gt;=$C$23),F161,0)+(1-$H93)*(1-$B$23))</f>
        <v/>
      </c>
      <c r="I161" s="17">
        <f>SUM(H$120:H161)</f>
        <v/>
      </c>
      <c r="J161" s="15">
        <f>$H93+(1-$H93)*$B$24</f>
        <v/>
      </c>
      <c r="K161" s="17">
        <f>K160*J160*IF(AND($C$24&gt;0,$A160&gt;=$C$24),0,1)</f>
        <v/>
      </c>
      <c r="L161" s="17">
        <f>K161*(IF(AND($C$24&gt;0,$A161&gt;=$C$24),J161,0)+(1-$H93)*(1-$B$24))</f>
        <v/>
      </c>
      <c r="M161" s="17">
        <f>SUM(L$120:L161)</f>
        <v/>
      </c>
      <c r="N161" s="15">
        <f>$H93+(1-$H93)*$B$25</f>
        <v/>
      </c>
      <c r="O161" s="17">
        <f>O160*N160*IF(AND($C$25&gt;0,$A160&gt;=$C$25),0,1)</f>
        <v/>
      </c>
      <c r="P161" s="17">
        <f>O161*(IF(AND($C$25&gt;0,$A161&gt;=$C$25),N161,0)+(1-$H93)*(1-$B$25))</f>
        <v/>
      </c>
      <c r="Q161" s="17">
        <f>SUM(P$120:P161)</f>
        <v/>
      </c>
      <c r="R161" s="15">
        <f>$H93+(1-$H93)*$B$26</f>
        <v/>
      </c>
      <c r="S161" s="17">
        <f>S160*R160*IF(AND($C$26&gt;0,$A160&gt;=$C$26),0,1)</f>
        <v/>
      </c>
      <c r="T161" s="17">
        <f>S161*(IF(AND($C$26&gt;0,$A161&gt;=$C$26),R161,0)+(1-$H93)*(1-$B$26))</f>
        <v/>
      </c>
      <c r="U161" s="17">
        <f>SUM(T$120:T161)</f>
        <v/>
      </c>
    </row>
    <row r="162">
      <c r="A162" s="11">
        <f>$A94</f>
        <v/>
      </c>
      <c r="B162" s="15">
        <f>$H94+(1-$H94)*$B$22</f>
        <v/>
      </c>
      <c r="C162" s="17">
        <f>C161*B161*IF(AND($C$22&gt;0,$A161&gt;=$C$22),0,1)</f>
        <v/>
      </c>
      <c r="D162" s="17">
        <f>C162*(IF(AND($C$22&gt;0,$A162&gt;=$C$22),B162,0)+(1-$H94)*(1-$B$22))</f>
        <v/>
      </c>
      <c r="E162" s="17">
        <f>SUM(D$120:D162)</f>
        <v/>
      </c>
      <c r="F162" s="15">
        <f>$H94+(1-$H94)*$B$23</f>
        <v/>
      </c>
      <c r="G162" s="17">
        <f>G161*F161*IF(AND($C$23&gt;0,$A161&gt;=$C$23),0,1)</f>
        <v/>
      </c>
      <c r="H162" s="17">
        <f>G162*(IF(AND($C$23&gt;0,$A162&gt;=$C$23),F162,0)+(1-$H94)*(1-$B$23))</f>
        <v/>
      </c>
      <c r="I162" s="17">
        <f>SUM(H$120:H162)</f>
        <v/>
      </c>
      <c r="J162" s="15">
        <f>$H94+(1-$H94)*$B$24</f>
        <v/>
      </c>
      <c r="K162" s="17">
        <f>K161*J161*IF(AND($C$24&gt;0,$A161&gt;=$C$24),0,1)</f>
        <v/>
      </c>
      <c r="L162" s="17">
        <f>K162*(IF(AND($C$24&gt;0,$A162&gt;=$C$24),J162,0)+(1-$H94)*(1-$B$24))</f>
        <v/>
      </c>
      <c r="M162" s="17">
        <f>SUM(L$120:L162)</f>
        <v/>
      </c>
      <c r="N162" s="15">
        <f>$H94+(1-$H94)*$B$25</f>
        <v/>
      </c>
      <c r="O162" s="17">
        <f>O161*N161*IF(AND($C$25&gt;0,$A161&gt;=$C$25),0,1)</f>
        <v/>
      </c>
      <c r="P162" s="17">
        <f>O162*(IF(AND($C$25&gt;0,$A162&gt;=$C$25),N162,0)+(1-$H94)*(1-$B$25))</f>
        <v/>
      </c>
      <c r="Q162" s="17">
        <f>SUM(P$120:P162)</f>
        <v/>
      </c>
      <c r="R162" s="15">
        <f>$H94+(1-$H94)*$B$26</f>
        <v/>
      </c>
      <c r="S162" s="17">
        <f>S161*R161*IF(AND($C$26&gt;0,$A161&gt;=$C$26),0,1)</f>
        <v/>
      </c>
      <c r="T162" s="17">
        <f>S162*(IF(AND($C$26&gt;0,$A162&gt;=$C$26),R162,0)+(1-$H94)*(1-$B$26))</f>
        <v/>
      </c>
      <c r="U162" s="17">
        <f>SUM(T$120:T162)</f>
        <v/>
      </c>
    </row>
    <row r="163">
      <c r="A163" s="11">
        <f>$A95</f>
        <v/>
      </c>
      <c r="B163" s="15">
        <f>$H95+(1-$H95)*$B$22</f>
        <v/>
      </c>
      <c r="C163" s="17">
        <f>C162*B162*IF(AND($C$22&gt;0,$A162&gt;=$C$22),0,1)</f>
        <v/>
      </c>
      <c r="D163" s="17">
        <f>C163*(IF(AND($C$22&gt;0,$A163&gt;=$C$22),B163,0)+(1-$H95)*(1-$B$22))</f>
        <v/>
      </c>
      <c r="E163" s="17">
        <f>SUM(D$120:D163)</f>
        <v/>
      </c>
      <c r="F163" s="15">
        <f>$H95+(1-$H95)*$B$23</f>
        <v/>
      </c>
      <c r="G163" s="17">
        <f>G162*F162*IF(AND($C$23&gt;0,$A162&gt;=$C$23),0,1)</f>
        <v/>
      </c>
      <c r="H163" s="17">
        <f>G163*(IF(AND($C$23&gt;0,$A163&gt;=$C$23),F163,0)+(1-$H95)*(1-$B$23))</f>
        <v/>
      </c>
      <c r="I163" s="17">
        <f>SUM(H$120:H163)</f>
        <v/>
      </c>
      <c r="J163" s="15">
        <f>$H95+(1-$H95)*$B$24</f>
        <v/>
      </c>
      <c r="K163" s="17">
        <f>K162*J162*IF(AND($C$24&gt;0,$A162&gt;=$C$24),0,1)</f>
        <v/>
      </c>
      <c r="L163" s="17">
        <f>K163*(IF(AND($C$24&gt;0,$A163&gt;=$C$24),J163,0)+(1-$H95)*(1-$B$24))</f>
        <v/>
      </c>
      <c r="M163" s="17">
        <f>SUM(L$120:L163)</f>
        <v/>
      </c>
      <c r="N163" s="15">
        <f>$H95+(1-$H95)*$B$25</f>
        <v/>
      </c>
      <c r="O163" s="17">
        <f>O162*N162*IF(AND($C$25&gt;0,$A162&gt;=$C$25),0,1)</f>
        <v/>
      </c>
      <c r="P163" s="17">
        <f>O163*(IF(AND($C$25&gt;0,$A163&gt;=$C$25),N163,0)+(1-$H95)*(1-$B$25))</f>
        <v/>
      </c>
      <c r="Q163" s="17">
        <f>SUM(P$120:P163)</f>
        <v/>
      </c>
      <c r="R163" s="15">
        <f>$H95+(1-$H95)*$B$26</f>
        <v/>
      </c>
      <c r="S163" s="17">
        <f>S162*R162*IF(AND($C$26&gt;0,$A162&gt;=$C$26),0,1)</f>
        <v/>
      </c>
      <c r="T163" s="17">
        <f>S163*(IF(AND($C$26&gt;0,$A163&gt;=$C$26),R163,0)+(1-$H95)*(1-$B$26))</f>
        <v/>
      </c>
      <c r="U163" s="17">
        <f>SUM(T$120:T163)</f>
        <v/>
      </c>
    </row>
    <row r="164">
      <c r="A164" s="11">
        <f>$A96</f>
        <v/>
      </c>
      <c r="B164" s="15">
        <f>$H96+(1-$H96)*$B$22</f>
        <v/>
      </c>
      <c r="C164" s="17">
        <f>C163*B163*IF(AND($C$22&gt;0,$A163&gt;=$C$22),0,1)</f>
        <v/>
      </c>
      <c r="D164" s="17">
        <f>C164*(IF(AND($C$22&gt;0,$A164&gt;=$C$22),B164,0)+(1-$H96)*(1-$B$22))</f>
        <v/>
      </c>
      <c r="E164" s="17">
        <f>SUM(D$120:D164)</f>
        <v/>
      </c>
      <c r="F164" s="15">
        <f>$H96+(1-$H96)*$B$23</f>
        <v/>
      </c>
      <c r="G164" s="17">
        <f>G163*F163*IF(AND($C$23&gt;0,$A163&gt;=$C$23),0,1)</f>
        <v/>
      </c>
      <c r="H164" s="17">
        <f>G164*(IF(AND($C$23&gt;0,$A164&gt;=$C$23),F164,0)+(1-$H96)*(1-$B$23))</f>
        <v/>
      </c>
      <c r="I164" s="17">
        <f>SUM(H$120:H164)</f>
        <v/>
      </c>
      <c r="J164" s="15">
        <f>$H96+(1-$H96)*$B$24</f>
        <v/>
      </c>
      <c r="K164" s="17">
        <f>K163*J163*IF(AND($C$24&gt;0,$A163&gt;=$C$24),0,1)</f>
        <v/>
      </c>
      <c r="L164" s="17">
        <f>K164*(IF(AND($C$24&gt;0,$A164&gt;=$C$24),J164,0)+(1-$H96)*(1-$B$24))</f>
        <v/>
      </c>
      <c r="M164" s="17">
        <f>SUM(L$120:L164)</f>
        <v/>
      </c>
      <c r="N164" s="15">
        <f>$H96+(1-$H96)*$B$25</f>
        <v/>
      </c>
      <c r="O164" s="17">
        <f>O163*N163*IF(AND($C$25&gt;0,$A163&gt;=$C$25),0,1)</f>
        <v/>
      </c>
      <c r="P164" s="17">
        <f>O164*(IF(AND($C$25&gt;0,$A164&gt;=$C$25),N164,0)+(1-$H96)*(1-$B$25))</f>
        <v/>
      </c>
      <c r="Q164" s="17">
        <f>SUM(P$120:P164)</f>
        <v/>
      </c>
      <c r="R164" s="15">
        <f>$H96+(1-$H96)*$B$26</f>
        <v/>
      </c>
      <c r="S164" s="17">
        <f>S163*R163*IF(AND($C$26&gt;0,$A163&gt;=$C$26),0,1)</f>
        <v/>
      </c>
      <c r="T164" s="17">
        <f>S164*(IF(AND($C$26&gt;0,$A164&gt;=$C$26),R164,0)+(1-$H96)*(1-$B$26))</f>
        <v/>
      </c>
      <c r="U164" s="17">
        <f>SUM(T$120:T164)</f>
        <v/>
      </c>
    </row>
    <row r="165">
      <c r="A165" s="11">
        <f>$A97</f>
        <v/>
      </c>
      <c r="B165" s="15">
        <f>$H97+(1-$H97)*$B$22</f>
        <v/>
      </c>
      <c r="C165" s="17">
        <f>C164*B164*IF(AND($C$22&gt;0,$A164&gt;=$C$22),0,1)</f>
        <v/>
      </c>
      <c r="D165" s="17">
        <f>C165*(IF(AND($C$22&gt;0,$A165&gt;=$C$22),B165,0)+(1-$H97)*(1-$B$22))</f>
        <v/>
      </c>
      <c r="E165" s="17">
        <f>SUM(D$120:D165)</f>
        <v/>
      </c>
      <c r="F165" s="15">
        <f>$H97+(1-$H97)*$B$23</f>
        <v/>
      </c>
      <c r="G165" s="17">
        <f>G164*F164*IF(AND($C$23&gt;0,$A164&gt;=$C$23),0,1)</f>
        <v/>
      </c>
      <c r="H165" s="17">
        <f>G165*(IF(AND($C$23&gt;0,$A165&gt;=$C$23),F165,0)+(1-$H97)*(1-$B$23))</f>
        <v/>
      </c>
      <c r="I165" s="17">
        <f>SUM(H$120:H165)</f>
        <v/>
      </c>
      <c r="J165" s="15">
        <f>$H97+(1-$H97)*$B$24</f>
        <v/>
      </c>
      <c r="K165" s="17">
        <f>K164*J164*IF(AND($C$24&gt;0,$A164&gt;=$C$24),0,1)</f>
        <v/>
      </c>
      <c r="L165" s="17">
        <f>K165*(IF(AND($C$24&gt;0,$A165&gt;=$C$24),J165,0)+(1-$H97)*(1-$B$24))</f>
        <v/>
      </c>
      <c r="M165" s="17">
        <f>SUM(L$120:L165)</f>
        <v/>
      </c>
      <c r="N165" s="15">
        <f>$H97+(1-$H97)*$B$25</f>
        <v/>
      </c>
      <c r="O165" s="17">
        <f>O164*N164*IF(AND($C$25&gt;0,$A164&gt;=$C$25),0,1)</f>
        <v/>
      </c>
      <c r="P165" s="17">
        <f>O165*(IF(AND($C$25&gt;0,$A165&gt;=$C$25),N165,0)+(1-$H97)*(1-$B$25))</f>
        <v/>
      </c>
      <c r="Q165" s="17">
        <f>SUM(P$120:P165)</f>
        <v/>
      </c>
      <c r="R165" s="15">
        <f>$H97+(1-$H97)*$B$26</f>
        <v/>
      </c>
      <c r="S165" s="17">
        <f>S164*R164*IF(AND($C$26&gt;0,$A164&gt;=$C$26),0,1)</f>
        <v/>
      </c>
      <c r="T165" s="17">
        <f>S165*(IF(AND($C$26&gt;0,$A165&gt;=$C$26),R165,0)+(1-$H97)*(1-$B$26))</f>
        <v/>
      </c>
      <c r="U165" s="17">
        <f>SUM(T$120:T165)</f>
        <v/>
      </c>
    </row>
    <row r="166">
      <c r="A166" s="11">
        <f>$A98</f>
        <v/>
      </c>
      <c r="B166" s="15">
        <f>$H98+(1-$H98)*$B$22</f>
        <v/>
      </c>
      <c r="C166" s="17">
        <f>C165*B165*IF(AND($C$22&gt;0,$A165&gt;=$C$22),0,1)</f>
        <v/>
      </c>
      <c r="D166" s="17">
        <f>C166*(IF(AND($C$22&gt;0,$A166&gt;=$C$22),B166,0)+(1-$H98)*(1-$B$22))</f>
        <v/>
      </c>
      <c r="E166" s="17">
        <f>SUM(D$120:D166)</f>
        <v/>
      </c>
      <c r="F166" s="15">
        <f>$H98+(1-$H98)*$B$23</f>
        <v/>
      </c>
      <c r="G166" s="17">
        <f>G165*F165*IF(AND($C$23&gt;0,$A165&gt;=$C$23),0,1)</f>
        <v/>
      </c>
      <c r="H166" s="17">
        <f>G166*(IF(AND($C$23&gt;0,$A166&gt;=$C$23),F166,0)+(1-$H98)*(1-$B$23))</f>
        <v/>
      </c>
      <c r="I166" s="17">
        <f>SUM(H$120:H166)</f>
        <v/>
      </c>
      <c r="J166" s="15">
        <f>$H98+(1-$H98)*$B$24</f>
        <v/>
      </c>
      <c r="K166" s="17">
        <f>K165*J165*IF(AND($C$24&gt;0,$A165&gt;=$C$24),0,1)</f>
        <v/>
      </c>
      <c r="L166" s="17">
        <f>K166*(IF(AND($C$24&gt;0,$A166&gt;=$C$24),J166,0)+(1-$H98)*(1-$B$24))</f>
        <v/>
      </c>
      <c r="M166" s="17">
        <f>SUM(L$120:L166)</f>
        <v/>
      </c>
      <c r="N166" s="15">
        <f>$H98+(1-$H98)*$B$25</f>
        <v/>
      </c>
      <c r="O166" s="17">
        <f>O165*N165*IF(AND($C$25&gt;0,$A165&gt;=$C$25),0,1)</f>
        <v/>
      </c>
      <c r="P166" s="17">
        <f>O166*(IF(AND($C$25&gt;0,$A166&gt;=$C$25),N166,0)+(1-$H98)*(1-$B$25))</f>
        <v/>
      </c>
      <c r="Q166" s="17">
        <f>SUM(P$120:P166)</f>
        <v/>
      </c>
      <c r="R166" s="15">
        <f>$H98+(1-$H98)*$B$26</f>
        <v/>
      </c>
      <c r="S166" s="17">
        <f>S165*R165*IF(AND($C$26&gt;0,$A165&gt;=$C$26),0,1)</f>
        <v/>
      </c>
      <c r="T166" s="17">
        <f>S166*(IF(AND($C$26&gt;0,$A166&gt;=$C$26),R166,0)+(1-$H98)*(1-$B$26))</f>
        <v/>
      </c>
      <c r="U166" s="17">
        <f>SUM(T$120:T166)</f>
        <v/>
      </c>
    </row>
    <row r="167">
      <c r="A167" s="11">
        <f>$A99</f>
        <v/>
      </c>
      <c r="B167" s="15">
        <f>$H99+(1-$H99)*$B$22</f>
        <v/>
      </c>
      <c r="C167" s="17">
        <f>C166*B166*IF(AND($C$22&gt;0,$A166&gt;=$C$22),0,1)</f>
        <v/>
      </c>
      <c r="D167" s="17">
        <f>C167*(IF(AND($C$22&gt;0,$A167&gt;=$C$22),B167,0)+(1-$H99)*(1-$B$22))</f>
        <v/>
      </c>
      <c r="E167" s="17">
        <f>SUM(D$120:D167)</f>
        <v/>
      </c>
      <c r="F167" s="15">
        <f>$H99+(1-$H99)*$B$23</f>
        <v/>
      </c>
      <c r="G167" s="17">
        <f>G166*F166*IF(AND($C$23&gt;0,$A166&gt;=$C$23),0,1)</f>
        <v/>
      </c>
      <c r="H167" s="17">
        <f>G167*(IF(AND($C$23&gt;0,$A167&gt;=$C$23),F167,0)+(1-$H99)*(1-$B$23))</f>
        <v/>
      </c>
      <c r="I167" s="17">
        <f>SUM(H$120:H167)</f>
        <v/>
      </c>
      <c r="J167" s="15">
        <f>$H99+(1-$H99)*$B$24</f>
        <v/>
      </c>
      <c r="K167" s="17">
        <f>K166*J166*IF(AND($C$24&gt;0,$A166&gt;=$C$24),0,1)</f>
        <v/>
      </c>
      <c r="L167" s="17">
        <f>K167*(IF(AND($C$24&gt;0,$A167&gt;=$C$24),J167,0)+(1-$H99)*(1-$B$24))</f>
        <v/>
      </c>
      <c r="M167" s="17">
        <f>SUM(L$120:L167)</f>
        <v/>
      </c>
      <c r="N167" s="15">
        <f>$H99+(1-$H99)*$B$25</f>
        <v/>
      </c>
      <c r="O167" s="17">
        <f>O166*N166*IF(AND($C$25&gt;0,$A166&gt;=$C$25),0,1)</f>
        <v/>
      </c>
      <c r="P167" s="17">
        <f>O167*(IF(AND($C$25&gt;0,$A167&gt;=$C$25),N167,0)+(1-$H99)*(1-$B$25))</f>
        <v/>
      </c>
      <c r="Q167" s="17">
        <f>SUM(P$120:P167)</f>
        <v/>
      </c>
      <c r="R167" s="15">
        <f>$H99+(1-$H99)*$B$26</f>
        <v/>
      </c>
      <c r="S167" s="17">
        <f>S166*R166*IF(AND($C$26&gt;0,$A166&gt;=$C$26),0,1)</f>
        <v/>
      </c>
      <c r="T167" s="17">
        <f>S167*(IF(AND($C$26&gt;0,$A167&gt;=$C$26),R167,0)+(1-$H99)*(1-$B$26))</f>
        <v/>
      </c>
      <c r="U167" s="17">
        <f>SUM(T$120:T167)</f>
        <v/>
      </c>
    </row>
    <row r="168">
      <c r="A168" s="11">
        <f>$A100</f>
        <v/>
      </c>
      <c r="B168" s="15">
        <f>$H100+(1-$H100)*$B$22</f>
        <v/>
      </c>
      <c r="C168" s="17">
        <f>C167*B167*IF(AND($C$22&gt;0,$A167&gt;=$C$22),0,1)</f>
        <v/>
      </c>
      <c r="D168" s="17">
        <f>C168*(IF(AND($C$22&gt;0,$A168&gt;=$C$22),B168,0)+(1-$H100)*(1-$B$22))</f>
        <v/>
      </c>
      <c r="E168" s="17">
        <f>SUM(D$120:D168)</f>
        <v/>
      </c>
      <c r="F168" s="15">
        <f>$H100+(1-$H100)*$B$23</f>
        <v/>
      </c>
      <c r="G168" s="17">
        <f>G167*F167*IF(AND($C$23&gt;0,$A167&gt;=$C$23),0,1)</f>
        <v/>
      </c>
      <c r="H168" s="17">
        <f>G168*(IF(AND($C$23&gt;0,$A168&gt;=$C$23),F168,0)+(1-$H100)*(1-$B$23))</f>
        <v/>
      </c>
      <c r="I168" s="17">
        <f>SUM(H$120:H168)</f>
        <v/>
      </c>
      <c r="J168" s="15">
        <f>$H100+(1-$H100)*$B$24</f>
        <v/>
      </c>
      <c r="K168" s="17">
        <f>K167*J167*IF(AND($C$24&gt;0,$A167&gt;=$C$24),0,1)</f>
        <v/>
      </c>
      <c r="L168" s="17">
        <f>K168*(IF(AND($C$24&gt;0,$A168&gt;=$C$24),J168,0)+(1-$H100)*(1-$B$24))</f>
        <v/>
      </c>
      <c r="M168" s="17">
        <f>SUM(L$120:L168)</f>
        <v/>
      </c>
      <c r="N168" s="15">
        <f>$H100+(1-$H100)*$B$25</f>
        <v/>
      </c>
      <c r="O168" s="17">
        <f>O167*N167*IF(AND($C$25&gt;0,$A167&gt;=$C$25),0,1)</f>
        <v/>
      </c>
      <c r="P168" s="17">
        <f>O168*(IF(AND($C$25&gt;0,$A168&gt;=$C$25),N168,0)+(1-$H100)*(1-$B$25))</f>
        <v/>
      </c>
      <c r="Q168" s="17">
        <f>SUM(P$120:P168)</f>
        <v/>
      </c>
      <c r="R168" s="15">
        <f>$H100+(1-$H100)*$B$26</f>
        <v/>
      </c>
      <c r="S168" s="17">
        <f>S167*R167*IF(AND($C$26&gt;0,$A167&gt;=$C$26),0,1)</f>
        <v/>
      </c>
      <c r="T168" s="17">
        <f>S168*(IF(AND($C$26&gt;0,$A168&gt;=$C$26),R168,0)+(1-$H100)*(1-$B$26))</f>
        <v/>
      </c>
      <c r="U168" s="17">
        <f>SUM(T$120:T168)</f>
        <v/>
      </c>
    </row>
    <row r="169">
      <c r="A169" s="11">
        <f>$A101</f>
        <v/>
      </c>
      <c r="B169" s="15">
        <f>$H101+(1-$H101)*$B$22</f>
        <v/>
      </c>
      <c r="C169" s="17">
        <f>C168*B168*IF(AND($C$22&gt;0,$A168&gt;=$C$22),0,1)</f>
        <v/>
      </c>
      <c r="D169" s="17">
        <f>C169*(IF(AND($C$22&gt;0,$A169&gt;=$C$22),B169,0)+(1-$H101)*(1-$B$22))</f>
        <v/>
      </c>
      <c r="E169" s="17">
        <f>SUM(D$120:D169)</f>
        <v/>
      </c>
      <c r="F169" s="15">
        <f>$H101+(1-$H101)*$B$23</f>
        <v/>
      </c>
      <c r="G169" s="17">
        <f>G168*F168*IF(AND($C$23&gt;0,$A168&gt;=$C$23),0,1)</f>
        <v/>
      </c>
      <c r="H169" s="17">
        <f>G169*(IF(AND($C$23&gt;0,$A169&gt;=$C$23),F169,0)+(1-$H101)*(1-$B$23))</f>
        <v/>
      </c>
      <c r="I169" s="17">
        <f>SUM(H$120:H169)</f>
        <v/>
      </c>
      <c r="J169" s="15">
        <f>$H101+(1-$H101)*$B$24</f>
        <v/>
      </c>
      <c r="K169" s="17">
        <f>K168*J168*IF(AND($C$24&gt;0,$A168&gt;=$C$24),0,1)</f>
        <v/>
      </c>
      <c r="L169" s="17">
        <f>K169*(IF(AND($C$24&gt;0,$A169&gt;=$C$24),J169,0)+(1-$H101)*(1-$B$24))</f>
        <v/>
      </c>
      <c r="M169" s="17">
        <f>SUM(L$120:L169)</f>
        <v/>
      </c>
      <c r="N169" s="15">
        <f>$H101+(1-$H101)*$B$25</f>
        <v/>
      </c>
      <c r="O169" s="17">
        <f>O168*N168*IF(AND($C$25&gt;0,$A168&gt;=$C$25),0,1)</f>
        <v/>
      </c>
      <c r="P169" s="17">
        <f>O169*(IF(AND($C$25&gt;0,$A169&gt;=$C$25),N169,0)+(1-$H101)*(1-$B$25))</f>
        <v/>
      </c>
      <c r="Q169" s="17">
        <f>SUM(P$120:P169)</f>
        <v/>
      </c>
      <c r="R169" s="15">
        <f>$H101+(1-$H101)*$B$26</f>
        <v/>
      </c>
      <c r="S169" s="17">
        <f>S168*R168*IF(AND($C$26&gt;0,$A168&gt;=$C$26),0,1)</f>
        <v/>
      </c>
      <c r="T169" s="17">
        <f>S169*(IF(AND($C$26&gt;0,$A169&gt;=$C$26),R169,0)+(1-$H101)*(1-$B$26))</f>
        <v/>
      </c>
      <c r="U169" s="17">
        <f>SUM(T$120:T169)</f>
        <v/>
      </c>
    </row>
    <row r="170">
      <c r="A170" s="11">
        <f>$A102</f>
        <v/>
      </c>
      <c r="B170" s="15">
        <f>$H102+(1-$H102)*$B$22</f>
        <v/>
      </c>
      <c r="C170" s="17">
        <f>C169*B169*IF(AND($C$22&gt;0,$A169&gt;=$C$22),0,1)</f>
        <v/>
      </c>
      <c r="D170" s="17">
        <f>C170*(IF(AND($C$22&gt;0,$A170&gt;=$C$22),B170,0)+(1-$H102)*(1-$B$22))</f>
        <v/>
      </c>
      <c r="E170" s="17">
        <f>SUM(D$120:D170)</f>
        <v/>
      </c>
      <c r="F170" s="15">
        <f>$H102+(1-$H102)*$B$23</f>
        <v/>
      </c>
      <c r="G170" s="17">
        <f>G169*F169*IF(AND($C$23&gt;0,$A169&gt;=$C$23),0,1)</f>
        <v/>
      </c>
      <c r="H170" s="17">
        <f>G170*(IF(AND($C$23&gt;0,$A170&gt;=$C$23),F170,0)+(1-$H102)*(1-$B$23))</f>
        <v/>
      </c>
      <c r="I170" s="17">
        <f>SUM(H$120:H170)</f>
        <v/>
      </c>
      <c r="J170" s="15">
        <f>$H102+(1-$H102)*$B$24</f>
        <v/>
      </c>
      <c r="K170" s="17">
        <f>K169*J169*IF(AND($C$24&gt;0,$A169&gt;=$C$24),0,1)</f>
        <v/>
      </c>
      <c r="L170" s="17">
        <f>K170*(IF(AND($C$24&gt;0,$A170&gt;=$C$24),J170,0)+(1-$H102)*(1-$B$24))</f>
        <v/>
      </c>
      <c r="M170" s="17">
        <f>SUM(L$120:L170)</f>
        <v/>
      </c>
      <c r="N170" s="15">
        <f>$H102+(1-$H102)*$B$25</f>
        <v/>
      </c>
      <c r="O170" s="17">
        <f>O169*N169*IF(AND($C$25&gt;0,$A169&gt;=$C$25),0,1)</f>
        <v/>
      </c>
      <c r="P170" s="17">
        <f>O170*(IF(AND($C$25&gt;0,$A170&gt;=$C$25),N170,0)+(1-$H102)*(1-$B$25))</f>
        <v/>
      </c>
      <c r="Q170" s="17">
        <f>SUM(P$120:P170)</f>
        <v/>
      </c>
      <c r="R170" s="15">
        <f>$H102+(1-$H102)*$B$26</f>
        <v/>
      </c>
      <c r="S170" s="17">
        <f>S169*R169*IF(AND($C$26&gt;0,$A169&gt;=$C$26),0,1)</f>
        <v/>
      </c>
      <c r="T170" s="17">
        <f>S170*(IF(AND($C$26&gt;0,$A170&gt;=$C$26),R170,0)+(1-$H102)*(1-$B$26))</f>
        <v/>
      </c>
      <c r="U170" s="17">
        <f>SUM(T$120:T170)</f>
        <v/>
      </c>
    </row>
    <row r="171">
      <c r="A171" s="11">
        <f>$A103</f>
        <v/>
      </c>
      <c r="B171" s="15">
        <f>$H103+(1-$H103)*$B$22</f>
        <v/>
      </c>
      <c r="C171" s="17">
        <f>C170*B170*IF(AND($C$22&gt;0,$A170&gt;=$C$22),0,1)</f>
        <v/>
      </c>
      <c r="D171" s="17">
        <f>C171*(IF(AND($C$22&gt;0,$A171&gt;=$C$22),B171,0)+(1-$H103)*(1-$B$22))</f>
        <v/>
      </c>
      <c r="E171" s="17">
        <f>SUM(D$120:D171)</f>
        <v/>
      </c>
      <c r="F171" s="15">
        <f>$H103+(1-$H103)*$B$23</f>
        <v/>
      </c>
      <c r="G171" s="17">
        <f>G170*F170*IF(AND($C$23&gt;0,$A170&gt;=$C$23),0,1)</f>
        <v/>
      </c>
      <c r="H171" s="17">
        <f>G171*(IF(AND($C$23&gt;0,$A171&gt;=$C$23),F171,0)+(1-$H103)*(1-$B$23))</f>
        <v/>
      </c>
      <c r="I171" s="17">
        <f>SUM(H$120:H171)</f>
        <v/>
      </c>
      <c r="J171" s="15">
        <f>$H103+(1-$H103)*$B$24</f>
        <v/>
      </c>
      <c r="K171" s="17">
        <f>K170*J170*IF(AND($C$24&gt;0,$A170&gt;=$C$24),0,1)</f>
        <v/>
      </c>
      <c r="L171" s="17">
        <f>K171*(IF(AND($C$24&gt;0,$A171&gt;=$C$24),J171,0)+(1-$H103)*(1-$B$24))</f>
        <v/>
      </c>
      <c r="M171" s="17">
        <f>SUM(L$120:L171)</f>
        <v/>
      </c>
      <c r="N171" s="15">
        <f>$H103+(1-$H103)*$B$25</f>
        <v/>
      </c>
      <c r="O171" s="17">
        <f>O170*N170*IF(AND($C$25&gt;0,$A170&gt;=$C$25),0,1)</f>
        <v/>
      </c>
      <c r="P171" s="17">
        <f>O171*(IF(AND($C$25&gt;0,$A171&gt;=$C$25),N171,0)+(1-$H103)*(1-$B$25))</f>
        <v/>
      </c>
      <c r="Q171" s="17">
        <f>SUM(P$120:P171)</f>
        <v/>
      </c>
      <c r="R171" s="15">
        <f>$H103+(1-$H103)*$B$26</f>
        <v/>
      </c>
      <c r="S171" s="17">
        <f>S170*R170*IF(AND($C$26&gt;0,$A170&gt;=$C$26),0,1)</f>
        <v/>
      </c>
      <c r="T171" s="17">
        <f>S171*(IF(AND($C$26&gt;0,$A171&gt;=$C$26),R171,0)+(1-$H103)*(1-$B$26))</f>
        <v/>
      </c>
      <c r="U171" s="17">
        <f>SUM(T$120:T171)</f>
        <v/>
      </c>
    </row>
    <row r="172">
      <c r="A172" s="11">
        <f>$A104</f>
        <v/>
      </c>
      <c r="B172" s="15">
        <f>$H104+(1-$H104)*$B$22</f>
        <v/>
      </c>
      <c r="C172" s="17">
        <f>C171*B171*IF(AND($C$22&gt;0,$A171&gt;=$C$22),0,1)</f>
        <v/>
      </c>
      <c r="D172" s="17">
        <f>C172*(IF(AND($C$22&gt;0,$A172&gt;=$C$22),B172,0)+(1-$H104)*(1-$B$22))</f>
        <v/>
      </c>
      <c r="E172" s="17">
        <f>SUM(D$120:D172)</f>
        <v/>
      </c>
      <c r="F172" s="15">
        <f>$H104+(1-$H104)*$B$23</f>
        <v/>
      </c>
      <c r="G172" s="17">
        <f>G171*F171*IF(AND($C$23&gt;0,$A171&gt;=$C$23),0,1)</f>
        <v/>
      </c>
      <c r="H172" s="17">
        <f>G172*(IF(AND($C$23&gt;0,$A172&gt;=$C$23),F172,0)+(1-$H104)*(1-$B$23))</f>
        <v/>
      </c>
      <c r="I172" s="17">
        <f>SUM(H$120:H172)</f>
        <v/>
      </c>
      <c r="J172" s="15">
        <f>$H104+(1-$H104)*$B$24</f>
        <v/>
      </c>
      <c r="K172" s="17">
        <f>K171*J171*IF(AND($C$24&gt;0,$A171&gt;=$C$24),0,1)</f>
        <v/>
      </c>
      <c r="L172" s="17">
        <f>K172*(IF(AND($C$24&gt;0,$A172&gt;=$C$24),J172,0)+(1-$H104)*(1-$B$24))</f>
        <v/>
      </c>
      <c r="M172" s="17">
        <f>SUM(L$120:L172)</f>
        <v/>
      </c>
      <c r="N172" s="15">
        <f>$H104+(1-$H104)*$B$25</f>
        <v/>
      </c>
      <c r="O172" s="17">
        <f>O171*N171*IF(AND($C$25&gt;0,$A171&gt;=$C$25),0,1)</f>
        <v/>
      </c>
      <c r="P172" s="17">
        <f>O172*(IF(AND($C$25&gt;0,$A172&gt;=$C$25),N172,0)+(1-$H104)*(1-$B$25))</f>
        <v/>
      </c>
      <c r="Q172" s="17">
        <f>SUM(P$120:P172)</f>
        <v/>
      </c>
      <c r="R172" s="15">
        <f>$H104+(1-$H104)*$B$26</f>
        <v/>
      </c>
      <c r="S172" s="17">
        <f>S171*R171*IF(AND($C$26&gt;0,$A171&gt;=$C$26),0,1)</f>
        <v/>
      </c>
      <c r="T172" s="17">
        <f>S172*(IF(AND($C$26&gt;0,$A172&gt;=$C$26),R172,0)+(1-$H104)*(1-$B$26))</f>
        <v/>
      </c>
      <c r="U172" s="17">
        <f>SUM(T$120:T172)</f>
        <v/>
      </c>
    </row>
    <row r="173">
      <c r="A173" s="11">
        <f>$A105</f>
        <v/>
      </c>
      <c r="B173" s="15">
        <f>$H105+(1-$H105)*$B$22</f>
        <v/>
      </c>
      <c r="C173" s="17">
        <f>C172*B172*IF(AND($C$22&gt;0,$A172&gt;=$C$22),0,1)</f>
        <v/>
      </c>
      <c r="D173" s="17">
        <f>C173*(IF(AND($C$22&gt;0,$A173&gt;=$C$22),B173,0)+(1-$H105)*(1-$B$22))</f>
        <v/>
      </c>
      <c r="E173" s="17">
        <f>SUM(D$120:D173)</f>
        <v/>
      </c>
      <c r="F173" s="15">
        <f>$H105+(1-$H105)*$B$23</f>
        <v/>
      </c>
      <c r="G173" s="17">
        <f>G172*F172*IF(AND($C$23&gt;0,$A172&gt;=$C$23),0,1)</f>
        <v/>
      </c>
      <c r="H173" s="17">
        <f>G173*(IF(AND($C$23&gt;0,$A173&gt;=$C$23),F173,0)+(1-$H105)*(1-$B$23))</f>
        <v/>
      </c>
      <c r="I173" s="17">
        <f>SUM(H$120:H173)</f>
        <v/>
      </c>
      <c r="J173" s="15">
        <f>$H105+(1-$H105)*$B$24</f>
        <v/>
      </c>
      <c r="K173" s="17">
        <f>K172*J172*IF(AND($C$24&gt;0,$A172&gt;=$C$24),0,1)</f>
        <v/>
      </c>
      <c r="L173" s="17">
        <f>K173*(IF(AND($C$24&gt;0,$A173&gt;=$C$24),J173,0)+(1-$H105)*(1-$B$24))</f>
        <v/>
      </c>
      <c r="M173" s="17">
        <f>SUM(L$120:L173)</f>
        <v/>
      </c>
      <c r="N173" s="15">
        <f>$H105+(1-$H105)*$B$25</f>
        <v/>
      </c>
      <c r="O173" s="17">
        <f>O172*N172*IF(AND($C$25&gt;0,$A172&gt;=$C$25),0,1)</f>
        <v/>
      </c>
      <c r="P173" s="17">
        <f>O173*(IF(AND($C$25&gt;0,$A173&gt;=$C$25),N173,0)+(1-$H105)*(1-$B$25))</f>
        <v/>
      </c>
      <c r="Q173" s="17">
        <f>SUM(P$120:P173)</f>
        <v/>
      </c>
      <c r="R173" s="15">
        <f>$H105+(1-$H105)*$B$26</f>
        <v/>
      </c>
      <c r="S173" s="17">
        <f>S172*R172*IF(AND($C$26&gt;0,$A172&gt;=$C$26),0,1)</f>
        <v/>
      </c>
      <c r="T173" s="17">
        <f>S173*(IF(AND($C$26&gt;0,$A173&gt;=$C$26),R173,0)+(1-$H105)*(1-$B$26))</f>
        <v/>
      </c>
      <c r="U173" s="17">
        <f>SUM(T$120:T173)</f>
        <v/>
      </c>
    </row>
    <row r="174">
      <c r="A174" s="11">
        <f>$A106</f>
        <v/>
      </c>
      <c r="B174" s="15">
        <f>$H106+(1-$H106)*$B$22</f>
        <v/>
      </c>
      <c r="C174" s="17">
        <f>C173*B173*IF(AND($C$22&gt;0,$A173&gt;=$C$22),0,1)</f>
        <v/>
      </c>
      <c r="D174" s="17">
        <f>C174*(IF(AND($C$22&gt;0,$A174&gt;=$C$22),B174,0)+(1-$H106)*(1-$B$22))</f>
        <v/>
      </c>
      <c r="E174" s="17">
        <f>SUM(D$120:D174)</f>
        <v/>
      </c>
      <c r="F174" s="15">
        <f>$H106+(1-$H106)*$B$23</f>
        <v/>
      </c>
      <c r="G174" s="17">
        <f>G173*F173*IF(AND($C$23&gt;0,$A173&gt;=$C$23),0,1)</f>
        <v/>
      </c>
      <c r="H174" s="17">
        <f>G174*(IF(AND($C$23&gt;0,$A174&gt;=$C$23),F174,0)+(1-$H106)*(1-$B$23))</f>
        <v/>
      </c>
      <c r="I174" s="17">
        <f>SUM(H$120:H174)</f>
        <v/>
      </c>
      <c r="J174" s="15">
        <f>$H106+(1-$H106)*$B$24</f>
        <v/>
      </c>
      <c r="K174" s="17">
        <f>K173*J173*IF(AND($C$24&gt;0,$A173&gt;=$C$24),0,1)</f>
        <v/>
      </c>
      <c r="L174" s="17">
        <f>K174*(IF(AND($C$24&gt;0,$A174&gt;=$C$24),J174,0)+(1-$H106)*(1-$B$24))</f>
        <v/>
      </c>
      <c r="M174" s="17">
        <f>SUM(L$120:L174)</f>
        <v/>
      </c>
      <c r="N174" s="15">
        <f>$H106+(1-$H106)*$B$25</f>
        <v/>
      </c>
      <c r="O174" s="17">
        <f>O173*N173*IF(AND($C$25&gt;0,$A173&gt;=$C$25),0,1)</f>
        <v/>
      </c>
      <c r="P174" s="17">
        <f>O174*(IF(AND($C$25&gt;0,$A174&gt;=$C$25),N174,0)+(1-$H106)*(1-$B$25))</f>
        <v/>
      </c>
      <c r="Q174" s="17">
        <f>SUM(P$120:P174)</f>
        <v/>
      </c>
      <c r="R174" s="15">
        <f>$H106+(1-$H106)*$B$26</f>
        <v/>
      </c>
      <c r="S174" s="17">
        <f>S173*R173*IF(AND($C$26&gt;0,$A173&gt;=$C$26),0,1)</f>
        <v/>
      </c>
      <c r="T174" s="17">
        <f>S174*(IF(AND($C$26&gt;0,$A174&gt;=$C$26),R174,0)+(1-$H106)*(1-$B$26))</f>
        <v/>
      </c>
      <c r="U174" s="17">
        <f>SUM(T$120:T174)</f>
        <v/>
      </c>
    </row>
    <row r="175">
      <c r="A175" s="11">
        <f>$A107</f>
        <v/>
      </c>
      <c r="B175" s="15">
        <f>$H107+(1-$H107)*$B$22</f>
        <v/>
      </c>
      <c r="C175" s="17">
        <f>C174*B174*IF(AND($C$22&gt;0,$A174&gt;=$C$22),0,1)</f>
        <v/>
      </c>
      <c r="D175" s="17">
        <f>C175*(IF(AND($C$22&gt;0,$A175&gt;=$C$22),B175,0)+(1-$H107)*(1-$B$22))</f>
        <v/>
      </c>
      <c r="E175" s="17">
        <f>SUM(D$120:D175)</f>
        <v/>
      </c>
      <c r="F175" s="15">
        <f>$H107+(1-$H107)*$B$23</f>
        <v/>
      </c>
      <c r="G175" s="17">
        <f>G174*F174*IF(AND($C$23&gt;0,$A174&gt;=$C$23),0,1)</f>
        <v/>
      </c>
      <c r="H175" s="17">
        <f>G175*(IF(AND($C$23&gt;0,$A175&gt;=$C$23),F175,0)+(1-$H107)*(1-$B$23))</f>
        <v/>
      </c>
      <c r="I175" s="17">
        <f>SUM(H$120:H175)</f>
        <v/>
      </c>
      <c r="J175" s="15">
        <f>$H107+(1-$H107)*$B$24</f>
        <v/>
      </c>
      <c r="K175" s="17">
        <f>K174*J174*IF(AND($C$24&gt;0,$A174&gt;=$C$24),0,1)</f>
        <v/>
      </c>
      <c r="L175" s="17">
        <f>K175*(IF(AND($C$24&gt;0,$A175&gt;=$C$24),J175,0)+(1-$H107)*(1-$B$24))</f>
        <v/>
      </c>
      <c r="M175" s="17">
        <f>SUM(L$120:L175)</f>
        <v/>
      </c>
      <c r="N175" s="15">
        <f>$H107+(1-$H107)*$B$25</f>
        <v/>
      </c>
      <c r="O175" s="17">
        <f>O174*N174*IF(AND($C$25&gt;0,$A174&gt;=$C$25),0,1)</f>
        <v/>
      </c>
      <c r="P175" s="17">
        <f>O175*(IF(AND($C$25&gt;0,$A175&gt;=$C$25),N175,0)+(1-$H107)*(1-$B$25))</f>
        <v/>
      </c>
      <c r="Q175" s="17">
        <f>SUM(P$120:P175)</f>
        <v/>
      </c>
      <c r="R175" s="15">
        <f>$H107+(1-$H107)*$B$26</f>
        <v/>
      </c>
      <c r="S175" s="17">
        <f>S174*R174*IF(AND($C$26&gt;0,$A174&gt;=$C$26),0,1)</f>
        <v/>
      </c>
      <c r="T175" s="17">
        <f>S175*(IF(AND($C$26&gt;0,$A175&gt;=$C$26),R175,0)+(1-$H107)*(1-$B$26))</f>
        <v/>
      </c>
      <c r="U175" s="17">
        <f>SUM(T$120:T175)</f>
        <v/>
      </c>
    </row>
    <row r="176">
      <c r="A176" s="11">
        <f>$A108</f>
        <v/>
      </c>
      <c r="B176" s="15">
        <f>$H108+(1-$H108)*$B$22</f>
        <v/>
      </c>
      <c r="C176" s="17">
        <f>C175*B175*IF(AND($C$22&gt;0,$A175&gt;=$C$22),0,1)</f>
        <v/>
      </c>
      <c r="D176" s="17">
        <f>C176*(IF(AND($C$22&gt;0,$A176&gt;=$C$22),B176,0)+(1-$H108)*(1-$B$22))</f>
        <v/>
      </c>
      <c r="E176" s="17">
        <f>SUM(D$120:D176)</f>
        <v/>
      </c>
      <c r="F176" s="15">
        <f>$H108+(1-$H108)*$B$23</f>
        <v/>
      </c>
      <c r="G176" s="17">
        <f>G175*F175*IF(AND($C$23&gt;0,$A175&gt;=$C$23),0,1)</f>
        <v/>
      </c>
      <c r="H176" s="17">
        <f>G176*(IF(AND($C$23&gt;0,$A176&gt;=$C$23),F176,0)+(1-$H108)*(1-$B$23))</f>
        <v/>
      </c>
      <c r="I176" s="17">
        <f>SUM(H$120:H176)</f>
        <v/>
      </c>
      <c r="J176" s="15">
        <f>$H108+(1-$H108)*$B$24</f>
        <v/>
      </c>
      <c r="K176" s="17">
        <f>K175*J175*IF(AND($C$24&gt;0,$A175&gt;=$C$24),0,1)</f>
        <v/>
      </c>
      <c r="L176" s="17">
        <f>K176*(IF(AND($C$24&gt;0,$A176&gt;=$C$24),J176,0)+(1-$H108)*(1-$B$24))</f>
        <v/>
      </c>
      <c r="M176" s="17">
        <f>SUM(L$120:L176)</f>
        <v/>
      </c>
      <c r="N176" s="15">
        <f>$H108+(1-$H108)*$B$25</f>
        <v/>
      </c>
      <c r="O176" s="17">
        <f>O175*N175*IF(AND($C$25&gt;0,$A175&gt;=$C$25),0,1)</f>
        <v/>
      </c>
      <c r="P176" s="17">
        <f>O176*(IF(AND($C$25&gt;0,$A176&gt;=$C$25),N176,0)+(1-$H108)*(1-$B$25))</f>
        <v/>
      </c>
      <c r="Q176" s="17">
        <f>SUM(P$120:P176)</f>
        <v/>
      </c>
      <c r="R176" s="15">
        <f>$H108+(1-$H108)*$B$26</f>
        <v/>
      </c>
      <c r="S176" s="17">
        <f>S175*R175*IF(AND($C$26&gt;0,$A175&gt;=$C$26),0,1)</f>
        <v/>
      </c>
      <c r="T176" s="17">
        <f>S176*(IF(AND($C$26&gt;0,$A176&gt;=$C$26),R176,0)+(1-$H108)*(1-$B$26))</f>
        <v/>
      </c>
      <c r="U176" s="17">
        <f>SUM(T$120:T176)</f>
        <v/>
      </c>
    </row>
    <row r="177">
      <c r="A177" s="11">
        <f>$A109</f>
        <v/>
      </c>
      <c r="B177" s="15">
        <f>$H109+(1-$H109)*$B$22</f>
        <v/>
      </c>
      <c r="C177" s="17">
        <f>C176*B176*IF(AND($C$22&gt;0,$A176&gt;=$C$22),0,1)</f>
        <v/>
      </c>
      <c r="D177" s="17">
        <f>C177*(IF(AND($C$22&gt;0,$A177&gt;=$C$22),B177,0)+(1-$H109)*(1-$B$22))</f>
        <v/>
      </c>
      <c r="E177" s="17">
        <f>SUM(D$120:D177)</f>
        <v/>
      </c>
      <c r="F177" s="15">
        <f>$H109+(1-$H109)*$B$23</f>
        <v/>
      </c>
      <c r="G177" s="17">
        <f>G176*F176*IF(AND($C$23&gt;0,$A176&gt;=$C$23),0,1)</f>
        <v/>
      </c>
      <c r="H177" s="17">
        <f>G177*(IF(AND($C$23&gt;0,$A177&gt;=$C$23),F177,0)+(1-$H109)*(1-$B$23))</f>
        <v/>
      </c>
      <c r="I177" s="17">
        <f>SUM(H$120:H177)</f>
        <v/>
      </c>
      <c r="J177" s="15">
        <f>$H109+(1-$H109)*$B$24</f>
        <v/>
      </c>
      <c r="K177" s="17">
        <f>K176*J176*IF(AND($C$24&gt;0,$A176&gt;=$C$24),0,1)</f>
        <v/>
      </c>
      <c r="L177" s="17">
        <f>K177*(IF(AND($C$24&gt;0,$A177&gt;=$C$24),J177,0)+(1-$H109)*(1-$B$24))</f>
        <v/>
      </c>
      <c r="M177" s="17">
        <f>SUM(L$120:L177)</f>
        <v/>
      </c>
      <c r="N177" s="15">
        <f>$H109+(1-$H109)*$B$25</f>
        <v/>
      </c>
      <c r="O177" s="17">
        <f>O176*N176*IF(AND($C$25&gt;0,$A176&gt;=$C$25),0,1)</f>
        <v/>
      </c>
      <c r="P177" s="17">
        <f>O177*(IF(AND($C$25&gt;0,$A177&gt;=$C$25),N177,0)+(1-$H109)*(1-$B$25))</f>
        <v/>
      </c>
      <c r="Q177" s="17">
        <f>SUM(P$120:P177)</f>
        <v/>
      </c>
      <c r="R177" s="15">
        <f>$H109+(1-$H109)*$B$26</f>
        <v/>
      </c>
      <c r="S177" s="17">
        <f>S176*R176*IF(AND($C$26&gt;0,$A176&gt;=$C$26),0,1)</f>
        <v/>
      </c>
      <c r="T177" s="17">
        <f>S177*(IF(AND($C$26&gt;0,$A177&gt;=$C$26),R177,0)+(1-$H109)*(1-$B$26))</f>
        <v/>
      </c>
      <c r="U177" s="17">
        <f>SUM(T$120:T177)</f>
        <v/>
      </c>
    </row>
    <row r="178">
      <c r="A178" s="11">
        <f>$A110</f>
        <v/>
      </c>
      <c r="B178" s="15">
        <f>$H110+(1-$H110)*$B$22</f>
        <v/>
      </c>
      <c r="C178" s="17">
        <f>C177*B177*IF(AND($C$22&gt;0,$A177&gt;=$C$22),0,1)</f>
        <v/>
      </c>
      <c r="D178" s="17">
        <f>C178*(IF(AND($C$22&gt;0,$A178&gt;=$C$22),B178,0)+(1-$H110)*(1-$B$22))</f>
        <v/>
      </c>
      <c r="E178" s="17">
        <f>SUM(D$120:D178)</f>
        <v/>
      </c>
      <c r="F178" s="15">
        <f>$H110+(1-$H110)*$B$23</f>
        <v/>
      </c>
      <c r="G178" s="17">
        <f>G177*F177*IF(AND($C$23&gt;0,$A177&gt;=$C$23),0,1)</f>
        <v/>
      </c>
      <c r="H178" s="17">
        <f>G178*(IF(AND($C$23&gt;0,$A178&gt;=$C$23),F178,0)+(1-$H110)*(1-$B$23))</f>
        <v/>
      </c>
      <c r="I178" s="17">
        <f>SUM(H$120:H178)</f>
        <v/>
      </c>
      <c r="J178" s="15">
        <f>$H110+(1-$H110)*$B$24</f>
        <v/>
      </c>
      <c r="K178" s="17">
        <f>K177*J177*IF(AND($C$24&gt;0,$A177&gt;=$C$24),0,1)</f>
        <v/>
      </c>
      <c r="L178" s="17">
        <f>K178*(IF(AND($C$24&gt;0,$A178&gt;=$C$24),J178,0)+(1-$H110)*(1-$B$24))</f>
        <v/>
      </c>
      <c r="M178" s="17">
        <f>SUM(L$120:L178)</f>
        <v/>
      </c>
      <c r="N178" s="15">
        <f>$H110+(1-$H110)*$B$25</f>
        <v/>
      </c>
      <c r="O178" s="17">
        <f>O177*N177*IF(AND($C$25&gt;0,$A177&gt;=$C$25),0,1)</f>
        <v/>
      </c>
      <c r="P178" s="17">
        <f>O178*(IF(AND($C$25&gt;0,$A178&gt;=$C$25),N178,0)+(1-$H110)*(1-$B$25))</f>
        <v/>
      </c>
      <c r="Q178" s="17">
        <f>SUM(P$120:P178)</f>
        <v/>
      </c>
      <c r="R178" s="15">
        <f>$H110+(1-$H110)*$B$26</f>
        <v/>
      </c>
      <c r="S178" s="17">
        <f>S177*R177*IF(AND($C$26&gt;0,$A177&gt;=$C$26),0,1)</f>
        <v/>
      </c>
      <c r="T178" s="17">
        <f>S178*(IF(AND($C$26&gt;0,$A178&gt;=$C$26),R178,0)+(1-$H110)*(1-$B$26))</f>
        <v/>
      </c>
      <c r="U178" s="17">
        <f>SUM(T$120:T178)</f>
        <v/>
      </c>
    </row>
    <row r="179">
      <c r="A179" s="11">
        <f>$A111</f>
        <v/>
      </c>
      <c r="B179" s="15">
        <f>$H111+(1-$H111)*$B$22</f>
        <v/>
      </c>
      <c r="C179" s="17">
        <f>C178*B178*IF(AND($C$22&gt;0,$A178&gt;=$C$22),0,1)</f>
        <v/>
      </c>
      <c r="D179" s="17">
        <f>C179*(IF(AND($C$22&gt;0,$A179&gt;=$C$22),B179,0)+(1-$H111)*(1-$B$22))</f>
        <v/>
      </c>
      <c r="E179" s="17">
        <f>SUM(D$120:D179)</f>
        <v/>
      </c>
      <c r="F179" s="15">
        <f>$H111+(1-$H111)*$B$23</f>
        <v/>
      </c>
      <c r="G179" s="17">
        <f>G178*F178*IF(AND($C$23&gt;0,$A178&gt;=$C$23),0,1)</f>
        <v/>
      </c>
      <c r="H179" s="17">
        <f>G179*(IF(AND($C$23&gt;0,$A179&gt;=$C$23),F179,0)+(1-$H111)*(1-$B$23))</f>
        <v/>
      </c>
      <c r="I179" s="17">
        <f>SUM(H$120:H179)</f>
        <v/>
      </c>
      <c r="J179" s="15">
        <f>$H111+(1-$H111)*$B$24</f>
        <v/>
      </c>
      <c r="K179" s="17">
        <f>K178*J178*IF(AND($C$24&gt;0,$A178&gt;=$C$24),0,1)</f>
        <v/>
      </c>
      <c r="L179" s="17">
        <f>K179*(IF(AND($C$24&gt;0,$A179&gt;=$C$24),J179,0)+(1-$H111)*(1-$B$24))</f>
        <v/>
      </c>
      <c r="M179" s="17">
        <f>SUM(L$120:L179)</f>
        <v/>
      </c>
      <c r="N179" s="15">
        <f>$H111+(1-$H111)*$B$25</f>
        <v/>
      </c>
      <c r="O179" s="17">
        <f>O178*N178*IF(AND($C$25&gt;0,$A178&gt;=$C$25),0,1)</f>
        <v/>
      </c>
      <c r="P179" s="17">
        <f>O179*(IF(AND($C$25&gt;0,$A179&gt;=$C$25),N179,0)+(1-$H111)*(1-$B$25))</f>
        <v/>
      </c>
      <c r="Q179" s="17">
        <f>SUM(P$120:P179)</f>
        <v/>
      </c>
      <c r="R179" s="15">
        <f>$H111+(1-$H111)*$B$26</f>
        <v/>
      </c>
      <c r="S179" s="17">
        <f>S178*R178*IF(AND($C$26&gt;0,$A178&gt;=$C$26),0,1)</f>
        <v/>
      </c>
      <c r="T179" s="17">
        <f>S179*(IF(AND($C$26&gt;0,$A179&gt;=$C$26),R179,0)+(1-$H111)*(1-$B$26))</f>
        <v/>
      </c>
      <c r="U179" s="17">
        <f>SUM(T$120:T179)</f>
        <v/>
      </c>
    </row>
    <row r="181">
      <c r="A181" s="5" t="inlineStr">
        <is>
          <t>RUN EXPECTATION BY PLAYER TYPE (derived)</t>
        </is>
      </c>
      <c r="B181" s="6" t="n"/>
      <c r="C181" s="6" t="n"/>
      <c r="D181" s="6" t="n"/>
      <c r="E181" s="6" t="n"/>
      <c r="F181" s="6" t="n"/>
    </row>
    <row r="182">
      <c r="A182" s="10" t="inlineStr">
        <is>
          <t>Rewards banked in a run are LOST if a Pig ends it and the player will not pay, so reaching a node is not the same as being paid for it.</t>
        </is>
      </c>
    </row>
    <row r="183">
      <c r="A183" s="8" t="inlineStr">
        <is>
          <t>Metric</t>
        </is>
      </c>
      <c r="B183" s="8" t="inlineStr">
        <is>
          <t>0-9</t>
        </is>
      </c>
      <c r="C183" s="8" t="inlineStr">
        <is>
          <t>10-19</t>
        </is>
      </c>
      <c r="D183" s="8" t="inlineStr">
        <is>
          <t>20-39</t>
        </is>
      </c>
      <c r="E183" s="8" t="inlineStr">
        <is>
          <t>40-99</t>
        </is>
      </c>
      <c r="F183" s="8" t="inlineStr">
        <is>
          <t>100+</t>
        </is>
      </c>
    </row>
    <row r="184">
      <c r="A184" s="3" t="inlineStr">
        <is>
          <t>P(reach Major Milestone)</t>
        </is>
      </c>
      <c r="B184" s="17">
        <f>IFERROR(INDEX(C120:C179,MATCH($B$9,$A120:$A179,0)),0)</f>
        <v/>
      </c>
      <c r="C184" s="17">
        <f>IFERROR(INDEX(G120:G179,MATCH($B$9,$A120:$A179,0)),0)</f>
        <v/>
      </c>
      <c r="D184" s="17">
        <f>IFERROR(INDEX(K120:K179,MATCH($B$9,$A120:$A179,0)),0)</f>
        <v/>
      </c>
      <c r="E184" s="17">
        <f>IFERROR(INDEX(O120:O179,MATCH($B$9,$A120:$A179,0)),0)</f>
        <v/>
      </c>
      <c r="F184" s="17">
        <f>IFERROR(INDEX(S120:S179,MATCH($B$9,$A120:$A179,0)),0)</f>
        <v/>
      </c>
    </row>
    <row r="185">
      <c r="A185" s="3" t="inlineStr">
        <is>
          <t>P(reach Final Stage)</t>
        </is>
      </c>
      <c r="B185" s="18">
        <f>IFERROR(INDEX(C120:C179,MATCH($B$10,$A120:$A179,0)),0)</f>
        <v/>
      </c>
      <c r="C185" s="18">
        <f>IFERROR(INDEX(G120:G179,MATCH($B$10,$A120:$A179,0)),0)</f>
        <v/>
      </c>
      <c r="D185" s="18">
        <f>IFERROR(INDEX(K120:K179,MATCH($B$10,$A120:$A179,0)),0)</f>
        <v/>
      </c>
      <c r="E185" s="18">
        <f>IFERROR(INDEX(O120:O179,MATCH($B$10,$A120:$A179,0)),0)</f>
        <v/>
      </c>
      <c r="F185" s="18">
        <f>IFERROR(INDEX(S120:S179,MATCH($B$10,$A120:$A179,0)),0)</f>
        <v/>
      </c>
    </row>
    <row r="186">
      <c r="A186" s="3" t="inlineStr">
        <is>
          <t>P(run pays NOTHING)</t>
        </is>
      </c>
      <c r="B186" s="15">
        <f>SUMPRODUCT(C120:C179,(1-$H$52:$H$111),(1-$B$22))</f>
        <v/>
      </c>
      <c r="C186" s="15">
        <f>SUMPRODUCT(G120:G179,(1-$H$52:$H$111),(1-$B$23))</f>
        <v/>
      </c>
      <c r="D186" s="15">
        <f>SUMPRODUCT(K120:K179,(1-$H$52:$H$111),(1-$B$24))</f>
        <v/>
      </c>
      <c r="E186" s="15">
        <f>SUMPRODUCT(O120:O179,(1-$H$52:$H$111),(1-$B$25))</f>
        <v/>
      </c>
      <c r="F186" s="15">
        <f>SUMPRODUCT(S120:S179,(1-$H$52:$H$111),(1-$B$26))</f>
        <v/>
      </c>
    </row>
    <row r="187">
      <c r="A187" s="3" t="inlineStr">
        <is>
          <t>P(run pays ANYTHING)</t>
        </is>
      </c>
      <c r="B187" s="15">
        <f>1-B186</f>
        <v/>
      </c>
      <c r="C187" s="15">
        <f>1-C186</f>
        <v/>
      </c>
      <c r="D187" s="15">
        <f>1-D186</f>
        <v/>
      </c>
      <c r="E187" s="15">
        <f>1-E186</f>
        <v/>
      </c>
      <c r="F187" s="15">
        <f>1-F186</f>
        <v/>
      </c>
    </row>
    <row r="188">
      <c r="A188" s="3" t="inlineStr">
        <is>
          <t>Expected stage reached</t>
        </is>
      </c>
      <c r="B188" s="19">
        <f>SUM(C120:C179)</f>
        <v/>
      </c>
      <c r="C188" s="19">
        <f>SUM(G120:G179)</f>
        <v/>
      </c>
      <c r="D188" s="19">
        <f>SUM(K120:K179)</f>
        <v/>
      </c>
      <c r="E188" s="19">
        <f>SUM(O120:O179)</f>
        <v/>
      </c>
      <c r="F188" s="19">
        <f>SUM(S120:S179)</f>
        <v/>
      </c>
    </row>
    <row r="189">
      <c r="A189" s="3" t="inlineStr">
        <is>
          <t>Expected continues per run</t>
        </is>
      </c>
      <c r="B189" s="20">
        <f>SUMPRODUCT(C120:C179,(1-$H$52:$H$111),$B$22)</f>
        <v/>
      </c>
      <c r="C189" s="20">
        <f>SUMPRODUCT(G120:G179,(1-$H$52:$H$111),$B$23)</f>
        <v/>
      </c>
      <c r="D189" s="20">
        <f>SUMPRODUCT(K120:K179,(1-$H$52:$H$111),$B$24)</f>
        <v/>
      </c>
      <c r="E189" s="20">
        <f>SUMPRODUCT(O120:O179,(1-$H$52:$H$111),$B$25)</f>
        <v/>
      </c>
      <c r="F189" s="20">
        <f>SUMPRODUCT(S120:S179,(1-$H$52:$H$111),$B$26)</f>
        <v/>
      </c>
    </row>
    <row r="190">
      <c r="A190" s="3" t="inlineStr">
        <is>
          <t>Coins spent on continues per run</t>
        </is>
      </c>
      <c r="B190" s="13">
        <f>IFERROR(INDEX($C$36:$C$45,MIN(10,MAX(1,ROUND(B189,0)))),0)*B189/MAX(B189,1)</f>
        <v/>
      </c>
      <c r="C190" s="13">
        <f>IFERROR(INDEX($C$36:$C$45,MIN(10,MAX(1,ROUND(C189,0)))),0)*C189/MAX(C189,1)</f>
        <v/>
      </c>
      <c r="D190" s="13">
        <f>IFERROR(INDEX($C$36:$C$45,MIN(10,MAX(1,ROUND(D189,0)))),0)*D189/MAX(D189,1)</f>
        <v/>
      </c>
      <c r="E190" s="13">
        <f>IFERROR(INDEX($C$36:$C$45,MIN(10,MAX(1,ROUND(E189,0)))),0)*E189/MAX(E189,1)</f>
        <v/>
      </c>
      <c r="F190" s="13">
        <f>IFERROR(INDEX($C$36:$C$45,MIN(10,MAX(1,ROUND(F189,0)))),0)*F189/MAX(F189,1)</f>
        <v/>
      </c>
    </row>
    <row r="191">
      <c r="A191" s="3" t="inlineStr">
        <is>
          <t>Stage reached at percentile</t>
        </is>
      </c>
      <c r="B191" s="21">
        <f>MIN(60,COUNTIF(E120:E179,"&lt;"&amp;$AI$2)+1)</f>
        <v/>
      </c>
      <c r="C191" s="21">
        <f>MIN(60,COUNTIF(I120:I179,"&lt;"&amp;$AI$2)+1)</f>
        <v/>
      </c>
      <c r="D191" s="21">
        <f>MIN(60,COUNTIF(M120:M179,"&lt;"&amp;$AI$2)+1)</f>
        <v/>
      </c>
      <c r="E191" s="21">
        <f>MIN(60,COUNTIF(Q120:Q179,"&lt;"&amp;$AI$2)+1)</f>
        <v/>
      </c>
      <c r="F191" s="21">
        <f>MIN(60,COUNTIF(U120:U179,"&lt;"&amp;$AI$2)+1)</f>
        <v/>
      </c>
    </row>
    <row r="193">
      <c r="A193" s="5" t="inlineStr">
        <is>
          <t>CUMULATIVE REWARD AT THE REACHED STAGE (derived)</t>
        </is>
      </c>
      <c r="B193" s="6" t="n"/>
      <c r="C193" s="6" t="n"/>
      <c r="D193" s="6" t="n"/>
      <c r="E193" s="6" t="n"/>
      <c r="F193" s="6" t="n"/>
    </row>
    <row r="194">
      <c r="A194" s="10" t="inlineStr">
        <is>
          <t>Everything this player type has banked by the node they stop at, counting every node up to it.</t>
        </is>
      </c>
    </row>
    <row r="195">
      <c r="A195" s="8" t="inlineStr">
        <is>
          <t>Resource</t>
        </is>
      </c>
      <c r="B195" s="8" t="inlineStr">
        <is>
          <t>0-9</t>
        </is>
      </c>
      <c r="C195" s="8" t="inlineStr">
        <is>
          <t>10-19</t>
        </is>
      </c>
      <c r="D195" s="8" t="inlineStr">
        <is>
          <t>20-39</t>
        </is>
      </c>
      <c r="E195" s="8" t="inlineStr">
        <is>
          <t>40-99</t>
        </is>
      </c>
      <c r="F195" s="8" t="inlineStr">
        <is>
          <t>100+</t>
        </is>
      </c>
    </row>
    <row r="196">
      <c r="A196" s="9" t="inlineStr">
        <is>
          <t>Coins</t>
        </is>
      </c>
      <c r="B196" s="19">
        <f>SUMPRODUCT(($A$52:$A$111&lt;=B$191)*$I$52:$I$111*J$52:J$111)</f>
        <v/>
      </c>
      <c r="C196" s="19">
        <f>SUMPRODUCT(($A$52:$A$111&lt;=C$191)*$I$52:$I$111*J$52:J$111)</f>
        <v/>
      </c>
      <c r="D196" s="19">
        <f>SUMPRODUCT(($A$52:$A$111&lt;=D$191)*$I$52:$I$111*J$52:J$111)</f>
        <v/>
      </c>
      <c r="E196" s="19">
        <f>SUMPRODUCT(($A$52:$A$111&lt;=E$191)*$I$52:$I$111*J$52:J$111)</f>
        <v/>
      </c>
      <c r="F196" s="19">
        <f>SUMPRODUCT(($A$52:$A$111&lt;=F$191)*$I$52:$I$111*J$52:J$111)</f>
        <v/>
      </c>
    </row>
    <row r="197">
      <c r="A197" s="9" t="inlineStr">
        <is>
          <t>SPT</t>
        </is>
      </c>
      <c r="B197" s="19">
        <f>SUMPRODUCT(($A$52:$A$111&lt;=B$191)*$I$52:$I$111*K$52:K$111)</f>
        <v/>
      </c>
      <c r="C197" s="19">
        <f>SUMPRODUCT(($A$52:$A$111&lt;=C$191)*$I$52:$I$111*K$52:K$111)</f>
        <v/>
      </c>
      <c r="D197" s="19">
        <f>SUMPRODUCT(($A$52:$A$111&lt;=D$191)*$I$52:$I$111*K$52:K$111)</f>
        <v/>
      </c>
      <c r="E197" s="19">
        <f>SUMPRODUCT(($A$52:$A$111&lt;=E$191)*$I$52:$I$111*K$52:K$111)</f>
        <v/>
      </c>
      <c r="F197" s="19">
        <f>SUMPRODUCT(($A$52:$A$111&lt;=F$191)*$I$52:$I$111*K$52:K$111)</f>
        <v/>
      </c>
    </row>
    <row r="198">
      <c r="A198" s="9" t="inlineStr">
        <is>
          <t>SPT x2</t>
        </is>
      </c>
      <c r="B198" s="19">
        <f>SUMPRODUCT(($A$52:$A$111&lt;=B$191)*$I$52:$I$111*L$52:L$111)</f>
        <v/>
      </c>
      <c r="C198" s="19">
        <f>SUMPRODUCT(($A$52:$A$111&lt;=C$191)*$I$52:$I$111*L$52:L$111)</f>
        <v/>
      </c>
      <c r="D198" s="19">
        <f>SUMPRODUCT(($A$52:$A$111&lt;=D$191)*$I$52:$I$111*L$52:L$111)</f>
        <v/>
      </c>
      <c r="E198" s="19">
        <f>SUMPRODUCT(($A$52:$A$111&lt;=E$191)*$I$52:$I$111*L$52:L$111)</f>
        <v/>
      </c>
      <c r="F198" s="19">
        <f>SUMPRODUCT(($A$52:$A$111&lt;=F$191)*$I$52:$I$111*L$52:L$111)</f>
        <v/>
      </c>
    </row>
    <row r="199">
      <c r="A199" s="9" t="inlineStr">
        <is>
          <t>Red</t>
        </is>
      </c>
      <c r="B199" s="19">
        <f>SUMPRODUCT(($A$52:$A$111&lt;=B$191)*$I$52:$I$111*M$52:M$111)</f>
        <v/>
      </c>
      <c r="C199" s="19">
        <f>SUMPRODUCT(($A$52:$A$111&lt;=C$191)*$I$52:$I$111*M$52:M$111)</f>
        <v/>
      </c>
      <c r="D199" s="19">
        <f>SUMPRODUCT(($A$52:$A$111&lt;=D$191)*$I$52:$I$111*M$52:M$111)</f>
        <v/>
      </c>
      <c r="E199" s="19">
        <f>SUMPRODUCT(($A$52:$A$111&lt;=E$191)*$I$52:$I$111*M$52:M$111)</f>
        <v/>
      </c>
      <c r="F199" s="19">
        <f>SUMPRODUCT(($A$52:$A$111&lt;=F$191)*$I$52:$I$111*M$52:M$111)</f>
        <v/>
      </c>
    </row>
    <row r="200">
      <c r="A200" s="9" t="inlineStr">
        <is>
          <t>Chuck</t>
        </is>
      </c>
      <c r="B200" s="19">
        <f>SUMPRODUCT(($A$52:$A$111&lt;=B$191)*$I$52:$I$111*N$52:N$111)</f>
        <v/>
      </c>
      <c r="C200" s="19">
        <f>SUMPRODUCT(($A$52:$A$111&lt;=C$191)*$I$52:$I$111*N$52:N$111)</f>
        <v/>
      </c>
      <c r="D200" s="19">
        <f>SUMPRODUCT(($A$52:$A$111&lt;=D$191)*$I$52:$I$111*N$52:N$111)</f>
        <v/>
      </c>
      <c r="E200" s="19">
        <f>SUMPRODUCT(($A$52:$A$111&lt;=E$191)*$I$52:$I$111*N$52:N$111)</f>
        <v/>
      </c>
      <c r="F200" s="19">
        <f>SUMPRODUCT(($A$52:$A$111&lt;=F$191)*$I$52:$I$111*N$52:N$111)</f>
        <v/>
      </c>
    </row>
    <row r="201">
      <c r="A201" s="9" t="inlineStr">
        <is>
          <t>Bomb</t>
        </is>
      </c>
      <c r="B201" s="19">
        <f>SUMPRODUCT(($A$52:$A$111&lt;=B$191)*$I$52:$I$111*O$52:O$111)</f>
        <v/>
      </c>
      <c r="C201" s="19">
        <f>SUMPRODUCT(($A$52:$A$111&lt;=C$191)*$I$52:$I$111*O$52:O$111)</f>
        <v/>
      </c>
      <c r="D201" s="19">
        <f>SUMPRODUCT(($A$52:$A$111&lt;=D$191)*$I$52:$I$111*O$52:O$111)</f>
        <v/>
      </c>
      <c r="E201" s="19">
        <f>SUMPRODUCT(($A$52:$A$111&lt;=E$191)*$I$52:$I$111*O$52:O$111)</f>
        <v/>
      </c>
      <c r="F201" s="19">
        <f>SUMPRODUCT(($A$52:$A$111&lt;=F$191)*$I$52:$I$111*O$52:O$111)</f>
        <v/>
      </c>
    </row>
    <row r="202">
      <c r="A202" s="9" t="inlineStr">
        <is>
          <t>Slingshot</t>
        </is>
      </c>
      <c r="B202" s="19">
        <f>SUMPRODUCT(($A$52:$A$111&lt;=B$191)*$I$52:$I$111*P$52:P$111)</f>
        <v/>
      </c>
      <c r="C202" s="19">
        <f>SUMPRODUCT(($A$52:$A$111&lt;=C$191)*$I$52:$I$111*P$52:P$111)</f>
        <v/>
      </c>
      <c r="D202" s="19">
        <f>SUMPRODUCT(($A$52:$A$111&lt;=D$191)*$I$52:$I$111*P$52:P$111)</f>
        <v/>
      </c>
      <c r="E202" s="19">
        <f>SUMPRODUCT(($A$52:$A$111&lt;=E$191)*$I$52:$I$111*P$52:P$111)</f>
        <v/>
      </c>
      <c r="F202" s="19">
        <f>SUMPRODUCT(($A$52:$A$111&lt;=F$191)*$I$52:$I$111*P$52:P$111)</f>
        <v/>
      </c>
    </row>
    <row r="203">
      <c r="A203" s="9" t="inlineStr">
        <is>
          <t>Shuffle</t>
        </is>
      </c>
      <c r="B203" s="19">
        <f>SUMPRODUCT(($A$52:$A$111&lt;=B$191)*$I$52:$I$111*Q$52:Q$111)</f>
        <v/>
      </c>
      <c r="C203" s="19">
        <f>SUMPRODUCT(($A$52:$A$111&lt;=C$191)*$I$52:$I$111*Q$52:Q$111)</f>
        <v/>
      </c>
      <c r="D203" s="19">
        <f>SUMPRODUCT(($A$52:$A$111&lt;=D$191)*$I$52:$I$111*Q$52:Q$111)</f>
        <v/>
      </c>
      <c r="E203" s="19">
        <f>SUMPRODUCT(($A$52:$A$111&lt;=E$191)*$I$52:$I$111*Q$52:Q$111)</f>
        <v/>
      </c>
      <c r="F203" s="19">
        <f>SUMPRODUCT(($A$52:$A$111&lt;=F$191)*$I$52:$I$111*Q$52:Q$111)</f>
        <v/>
      </c>
    </row>
    <row r="204">
      <c r="A204" s="9" t="inlineStr">
        <is>
          <t>Comet</t>
        </is>
      </c>
      <c r="B204" s="19">
        <f>SUMPRODUCT(($A$52:$A$111&lt;=B$191)*$I$52:$I$111*R$52:R$111)</f>
        <v/>
      </c>
      <c r="C204" s="19">
        <f>SUMPRODUCT(($A$52:$A$111&lt;=C$191)*$I$52:$I$111*R$52:R$111)</f>
        <v/>
      </c>
      <c r="D204" s="19">
        <f>SUMPRODUCT(($A$52:$A$111&lt;=D$191)*$I$52:$I$111*R$52:R$111)</f>
        <v/>
      </c>
      <c r="E204" s="19">
        <f>SUMPRODUCT(($A$52:$A$111&lt;=E$191)*$I$52:$I$111*R$52:R$111)</f>
        <v/>
      </c>
      <c r="F204" s="19">
        <f>SUMPRODUCT(($A$52:$A$111&lt;=F$191)*$I$52:$I$111*R$52:R$111)</f>
        <v/>
      </c>
    </row>
    <row r="205">
      <c r="A205" s="9" t="inlineStr">
        <is>
          <t>Unlimited Lives</t>
        </is>
      </c>
      <c r="B205" s="19">
        <f>SUMPRODUCT(($A$52:$A$111&lt;=B$191)*$I$52:$I$111*S$52:S$111)</f>
        <v/>
      </c>
      <c r="C205" s="19">
        <f>SUMPRODUCT(($A$52:$A$111&lt;=C$191)*$I$52:$I$111*S$52:S$111)</f>
        <v/>
      </c>
      <c r="D205" s="19">
        <f>SUMPRODUCT(($A$52:$A$111&lt;=D$191)*$I$52:$I$111*S$52:S$111)</f>
        <v/>
      </c>
      <c r="E205" s="19">
        <f>SUMPRODUCT(($A$52:$A$111&lt;=E$191)*$I$52:$I$111*S$52:S$111)</f>
        <v/>
      </c>
      <c r="F205" s="19">
        <f>SUMPRODUCT(($A$52:$A$111&lt;=F$191)*$I$52:$I$111*S$52:S$111)</f>
        <v/>
      </c>
    </row>
    <row r="206">
      <c r="A206" s="9" t="inlineStr">
        <is>
          <t>Unlimited Red</t>
        </is>
      </c>
      <c r="B206" s="19">
        <f>SUMPRODUCT(($A$52:$A$111&lt;=B$191)*$I$52:$I$111*T$52:T$111)</f>
        <v/>
      </c>
      <c r="C206" s="19">
        <f>SUMPRODUCT(($A$52:$A$111&lt;=C$191)*$I$52:$I$111*T$52:T$111)</f>
        <v/>
      </c>
      <c r="D206" s="19">
        <f>SUMPRODUCT(($A$52:$A$111&lt;=D$191)*$I$52:$I$111*T$52:T$111)</f>
        <v/>
      </c>
      <c r="E206" s="19">
        <f>SUMPRODUCT(($A$52:$A$111&lt;=E$191)*$I$52:$I$111*T$52:T$111)</f>
        <v/>
      </c>
      <c r="F206" s="19">
        <f>SUMPRODUCT(($A$52:$A$111&lt;=F$191)*$I$52:$I$111*T$52:T$111)</f>
        <v/>
      </c>
    </row>
    <row r="207">
      <c r="A207" s="9" t="inlineStr">
        <is>
          <t>Unlimited Chuck</t>
        </is>
      </c>
      <c r="B207" s="19">
        <f>SUMPRODUCT(($A$52:$A$111&lt;=B$191)*$I$52:$I$111*U$52:U$111)</f>
        <v/>
      </c>
      <c r="C207" s="19">
        <f>SUMPRODUCT(($A$52:$A$111&lt;=C$191)*$I$52:$I$111*U$52:U$111)</f>
        <v/>
      </c>
      <c r="D207" s="19">
        <f>SUMPRODUCT(($A$52:$A$111&lt;=D$191)*$I$52:$I$111*U$52:U$111)</f>
        <v/>
      </c>
      <c r="E207" s="19">
        <f>SUMPRODUCT(($A$52:$A$111&lt;=E$191)*$I$52:$I$111*U$52:U$111)</f>
        <v/>
      </c>
      <c r="F207" s="19">
        <f>SUMPRODUCT(($A$52:$A$111&lt;=F$191)*$I$52:$I$111*U$52:U$111)</f>
        <v/>
      </c>
    </row>
    <row r="208">
      <c r="A208" s="9" t="inlineStr">
        <is>
          <t>Unlimited Bomb</t>
        </is>
      </c>
      <c r="B208" s="19">
        <f>SUMPRODUCT(($A$52:$A$111&lt;=B$191)*$I$52:$I$111*V$52:V$111)</f>
        <v/>
      </c>
      <c r="C208" s="19">
        <f>SUMPRODUCT(($A$52:$A$111&lt;=C$191)*$I$52:$I$111*V$52:V$111)</f>
        <v/>
      </c>
      <c r="D208" s="19">
        <f>SUMPRODUCT(($A$52:$A$111&lt;=D$191)*$I$52:$I$111*V$52:V$111)</f>
        <v/>
      </c>
      <c r="E208" s="19">
        <f>SUMPRODUCT(($A$52:$A$111&lt;=E$191)*$I$52:$I$111*V$52:V$111)</f>
        <v/>
      </c>
      <c r="F208" s="19">
        <f>SUMPRODUCT(($A$52:$A$111&lt;=F$191)*$I$52:$I$111*V$52:V$111)</f>
        <v/>
      </c>
    </row>
    <row r="209">
      <c r="A209" s="9" t="inlineStr">
        <is>
          <t>COOP Token</t>
        </is>
      </c>
      <c r="B209" s="19">
        <f>SUMPRODUCT(($A$52:$A$111&lt;=B$191)*$I$52:$I$111*W$52:W$111)</f>
        <v/>
      </c>
      <c r="C209" s="19">
        <f>SUMPRODUCT(($A$52:$A$111&lt;=C$191)*$I$52:$I$111*W$52:W$111)</f>
        <v/>
      </c>
      <c r="D209" s="19">
        <f>SUMPRODUCT(($A$52:$A$111&lt;=D$191)*$I$52:$I$111*W$52:W$111)</f>
        <v/>
      </c>
      <c r="E209" s="19">
        <f>SUMPRODUCT(($A$52:$A$111&lt;=E$191)*$I$52:$I$111*W$52:W$111)</f>
        <v/>
      </c>
      <c r="F209" s="19">
        <f>SUMPRODUCT(($A$52:$A$111&lt;=F$191)*$I$52:$I$111*W$52:W$111)</f>
        <v/>
      </c>
    </row>
    <row r="210">
      <c r="A210" s="9" t="inlineStr">
        <is>
          <t>Avatar</t>
        </is>
      </c>
      <c r="B210" s="19">
        <f>SUMPRODUCT(($A$52:$A$111&lt;=B$191)*$I$52:$I$111*X$52:X$111)</f>
        <v/>
      </c>
      <c r="C210" s="19">
        <f>SUMPRODUCT(($A$52:$A$111&lt;=C$191)*$I$52:$I$111*X$52:X$111)</f>
        <v/>
      </c>
      <c r="D210" s="19">
        <f>SUMPRODUCT(($A$52:$A$111&lt;=D$191)*$I$52:$I$111*X$52:X$111)</f>
        <v/>
      </c>
      <c r="E210" s="19">
        <f>SUMPRODUCT(($A$52:$A$111&lt;=E$191)*$I$52:$I$111*X$52:X$111)</f>
        <v/>
      </c>
      <c r="F210" s="19">
        <f>SUMPRODUCT(($A$52:$A$111&lt;=F$191)*$I$52:$I$111*X$52:X$111)</f>
        <v/>
      </c>
    </row>
    <row r="211">
      <c r="A211" s="9" t="inlineStr">
        <is>
          <t>1-star Dly</t>
        </is>
      </c>
      <c r="B211" s="19">
        <f>SUMPRODUCT(($A$52:$A$111&lt;=B$191)*$I$52:$I$111*Y$52:Y$111)</f>
        <v/>
      </c>
      <c r="C211" s="19">
        <f>SUMPRODUCT(($A$52:$A$111&lt;=C$191)*$I$52:$I$111*Y$52:Y$111)</f>
        <v/>
      </c>
      <c r="D211" s="19">
        <f>SUMPRODUCT(($A$52:$A$111&lt;=D$191)*$I$52:$I$111*Y$52:Y$111)</f>
        <v/>
      </c>
      <c r="E211" s="19">
        <f>SUMPRODUCT(($A$52:$A$111&lt;=E$191)*$I$52:$I$111*Y$52:Y$111)</f>
        <v/>
      </c>
      <c r="F211" s="19">
        <f>SUMPRODUCT(($A$52:$A$111&lt;=F$191)*$I$52:$I$111*Y$52:Y$111)</f>
        <v/>
      </c>
    </row>
    <row r="212">
      <c r="A212" s="9" t="inlineStr">
        <is>
          <t>2-star Dly</t>
        </is>
      </c>
      <c r="B212" s="19">
        <f>SUMPRODUCT(($A$52:$A$111&lt;=B$191)*$I$52:$I$111*Z$52:Z$111)</f>
        <v/>
      </c>
      <c r="C212" s="19">
        <f>SUMPRODUCT(($A$52:$A$111&lt;=C$191)*$I$52:$I$111*Z$52:Z$111)</f>
        <v/>
      </c>
      <c r="D212" s="19">
        <f>SUMPRODUCT(($A$52:$A$111&lt;=D$191)*$I$52:$I$111*Z$52:Z$111)</f>
        <v/>
      </c>
      <c r="E212" s="19">
        <f>SUMPRODUCT(($A$52:$A$111&lt;=E$191)*$I$52:$I$111*Z$52:Z$111)</f>
        <v/>
      </c>
      <c r="F212" s="19">
        <f>SUMPRODUCT(($A$52:$A$111&lt;=F$191)*$I$52:$I$111*Z$52:Z$111)</f>
        <v/>
      </c>
    </row>
    <row r="213">
      <c r="A213" s="9" t="inlineStr">
        <is>
          <t>3-star Dly</t>
        </is>
      </c>
      <c r="B213" s="19">
        <f>SUMPRODUCT(($A$52:$A$111&lt;=B$191)*$I$52:$I$111*AA$52:AA$111)</f>
        <v/>
      </c>
      <c r="C213" s="19">
        <f>SUMPRODUCT(($A$52:$A$111&lt;=C$191)*$I$52:$I$111*AA$52:AA$111)</f>
        <v/>
      </c>
      <c r="D213" s="19">
        <f>SUMPRODUCT(($A$52:$A$111&lt;=D$191)*$I$52:$I$111*AA$52:AA$111)</f>
        <v/>
      </c>
      <c r="E213" s="19">
        <f>SUMPRODUCT(($A$52:$A$111&lt;=E$191)*$I$52:$I$111*AA$52:AA$111)</f>
        <v/>
      </c>
      <c r="F213" s="19">
        <f>SUMPRODUCT(($A$52:$A$111&lt;=F$191)*$I$52:$I$111*AA$52:AA$111)</f>
        <v/>
      </c>
    </row>
    <row r="214">
      <c r="A214" s="9" t="inlineStr">
        <is>
          <t>4-star Dly</t>
        </is>
      </c>
      <c r="B214" s="19">
        <f>SUMPRODUCT(($A$52:$A$111&lt;=B$191)*$I$52:$I$111*AB$52:AB$111)</f>
        <v/>
      </c>
      <c r="C214" s="19">
        <f>SUMPRODUCT(($A$52:$A$111&lt;=C$191)*$I$52:$I$111*AB$52:AB$111)</f>
        <v/>
      </c>
      <c r="D214" s="19">
        <f>SUMPRODUCT(($A$52:$A$111&lt;=D$191)*$I$52:$I$111*AB$52:AB$111)</f>
        <v/>
      </c>
      <c r="E214" s="19">
        <f>SUMPRODUCT(($A$52:$A$111&lt;=E$191)*$I$52:$I$111*AB$52:AB$111)</f>
        <v/>
      </c>
      <c r="F214" s="19">
        <f>SUMPRODUCT(($A$52:$A$111&lt;=F$191)*$I$52:$I$111*AB$52:AB$111)</f>
        <v/>
      </c>
    </row>
    <row r="215">
      <c r="A215" s="9" t="inlineStr">
        <is>
          <t>5-star Dly</t>
        </is>
      </c>
      <c r="B215" s="19">
        <f>SUMPRODUCT(($A$52:$A$111&lt;=B$191)*$I$52:$I$111*AC$52:AC$111)</f>
        <v/>
      </c>
      <c r="C215" s="19">
        <f>SUMPRODUCT(($A$52:$A$111&lt;=C$191)*$I$52:$I$111*AC$52:AC$111)</f>
        <v/>
      </c>
      <c r="D215" s="19">
        <f>SUMPRODUCT(($A$52:$A$111&lt;=D$191)*$I$52:$I$111*AC$52:AC$111)</f>
        <v/>
      </c>
      <c r="E215" s="19">
        <f>SUMPRODUCT(($A$52:$A$111&lt;=E$191)*$I$52:$I$111*AC$52:AC$111)</f>
        <v/>
      </c>
      <c r="F215" s="19">
        <f>SUMPRODUCT(($A$52:$A$111&lt;=F$191)*$I$52:$I$111*AC$52:AC$111)</f>
        <v/>
      </c>
    </row>
    <row r="216">
      <c r="A216" s="9" t="inlineStr">
        <is>
          <t>6-star Dly</t>
        </is>
      </c>
      <c r="B216" s="19">
        <f>SUMPRODUCT(($A$52:$A$111&lt;=B$191)*$I$52:$I$111*AD$52:AD$111)</f>
        <v/>
      </c>
      <c r="C216" s="19">
        <f>SUMPRODUCT(($A$52:$A$111&lt;=C$191)*$I$52:$I$111*AD$52:AD$111)</f>
        <v/>
      </c>
      <c r="D216" s="19">
        <f>SUMPRODUCT(($A$52:$A$111&lt;=D$191)*$I$52:$I$111*AD$52:AD$111)</f>
        <v/>
      </c>
      <c r="E216" s="19">
        <f>SUMPRODUCT(($A$52:$A$111&lt;=E$191)*$I$52:$I$111*AD$52:AD$111)</f>
        <v/>
      </c>
      <c r="F216" s="19">
        <f>SUMPRODUCT(($A$52:$A$111&lt;=F$191)*$I$52:$I$111*AD$52:AD$111)</f>
        <v/>
      </c>
    </row>
  </sheetData>
  <conditionalFormatting sqref="A52:AD111">
    <cfRule type="expression" priority="1" dxfId="0">
      <formula>$F52=0</formula>
    </cfRule>
  </conditionalFormatting>
  <conditionalFormatting sqref="F52:F111">
    <cfRule type="cellIs" priority="2" operator="greaterThanOrEqual" dxfId="1">
      <formula>2</formula>
    </cfRule>
  </conditionalFormatting>
  <conditionalFormatting sqref="J52:AD111">
    <cfRule type="cellIs" priority="3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2026-09-01T23:22:15Z</dcterms:created>
  <dcterms:modified xsi:type="dcterms:W3CDTF">2026-09-01T23:22:15Z</dcterms:modified>
</cp:coreProperties>
</file>