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Plyb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FF808080"/>
      <sz val="8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3" fillId="4" borderId="1" applyAlignment="1" pivotButton="0" quotePrefix="0" xfId="0">
      <alignment horizontal="center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" customWidth="1" min="3" max="3"/>
    <col width="8" customWidth="1" min="4" max="4"/>
    <col width="26" customWidth="1" min="5" max="5"/>
    <col width="8" customWidth="1" min="6" max="6"/>
    <col width="34" customWidth="1" min="7" max="7"/>
    <col width="64" customWidth="1" min="8" max="8"/>
    <col width="13" customWidth="1" min="9" max="9"/>
    <col width="13" customWidth="1" min="10" max="10"/>
    <col width="13" customWidth="1" min="11" max="11"/>
    <col width="13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B1" s="1" t="inlineStr">
        <is>
          <t>EcoGainsSim_PlybyPly — one player, one day, play by play</t>
        </is>
      </c>
    </row>
    <row r="2">
      <c r="B2" s="2" t="inlineStr">
        <is>
          <t>Live sheet — requires EcoGainsSim_v4.gs + EcoGainsSim_PBP.gs in the Apps Script project (formulas show #NAME? until installed). Model spec: SIMULATION_METHODOLOGY.md §14.</t>
        </is>
      </c>
    </row>
    <row r="4">
      <c r="B4" s="3" t="inlineStr">
        <is>
          <t>Config Panel (input)</t>
        </is>
      </c>
      <c r="E4" s="3" t="inlineStr">
        <is>
          <t>Player Profile (data — data_streaks + data_seg_beh; spills 9×3)</t>
        </is>
      </c>
    </row>
    <row r="5">
      <c r="B5" s="4" t="inlineStr">
        <is>
          <t>Calendar</t>
        </is>
      </c>
      <c r="C5" s="5" t="inlineStr">
        <is>
          <t>cal_new</t>
        </is>
      </c>
      <c r="E5" s="6">
        <f>ECOGAINS_PBP_PROFILE($C$7,$C$8)</f>
        <v/>
      </c>
    </row>
    <row r="6">
      <c r="B6" s="4" t="inlineStr">
        <is>
          <t>Day to Simulate (1-33)</t>
        </is>
      </c>
      <c r="C6" s="5" t="n">
        <v>5</v>
      </c>
    </row>
    <row r="7">
      <c r="B7" s="4" t="inlineStr">
        <is>
          <t>Player Segment</t>
        </is>
      </c>
      <c r="C7" s="5" t="inlineStr">
        <is>
          <t>10-19</t>
        </is>
      </c>
    </row>
    <row r="8">
      <c r="B8" s="4" t="inlineStr">
        <is>
          <t>Payer</t>
        </is>
      </c>
      <c r="C8" s="5" t="inlineStr">
        <is>
          <t>NONPAYER</t>
        </is>
      </c>
    </row>
    <row r="9">
      <c r="B9" s="4" t="inlineStr">
        <is>
          <t>Mode</t>
        </is>
      </c>
      <c r="C9" s="5" t="inlineStr">
        <is>
          <t>Sampled</t>
        </is>
      </c>
    </row>
    <row r="10">
      <c r="B10" s="4" t="inlineStr">
        <is>
          <t>Luck (progress + placement)</t>
        </is>
      </c>
      <c r="C10" s="5" t="inlineStr">
        <is>
          <t>p50</t>
        </is>
      </c>
    </row>
    <row r="11">
      <c r="B11" s="4" t="inlineStr">
        <is>
          <t>Seed (Sampled mode)</t>
        </is>
      </c>
      <c r="C11" s="5" t="n">
        <v>42</v>
      </c>
    </row>
    <row r="12">
      <c r="B12" s="4" t="inlineStr">
        <is>
          <t>Levels Played (blank = auto)</t>
        </is>
      </c>
      <c r="C12" s="5" t="n"/>
    </row>
    <row r="15">
      <c r="B15" s="3" t="inlineStr">
        <is>
          <t>Opening inventory (input — optional; resource order below)</t>
        </is>
      </c>
    </row>
    <row r="16">
      <c r="C16" s="7" t="inlineStr">
        <is>
          <t>HC</t>
        </is>
      </c>
      <c r="D16" s="7" t="inlineStr">
        <is>
          <t>Slingshot</t>
        </is>
      </c>
      <c r="E16" s="7" t="inlineStr">
        <is>
          <t>Shuffle</t>
        </is>
      </c>
      <c r="F16" s="7" t="inlineStr">
        <is>
          <t>Comet</t>
        </is>
      </c>
      <c r="G16" s="7" t="inlineStr">
        <is>
          <t>Red</t>
        </is>
      </c>
      <c r="H16" s="7" t="inlineStr">
        <is>
          <t>Chuck</t>
        </is>
      </c>
      <c r="I16" s="7" t="inlineStr">
        <is>
          <t>Bomb</t>
        </is>
      </c>
      <c r="J16" s="7" t="inlineStr">
        <is>
          <t>UL Bomb</t>
        </is>
      </c>
      <c r="K16" s="7" t="inlineStr">
        <is>
          <t>UL Chuck</t>
        </is>
      </c>
      <c r="L16" s="7" t="inlineStr">
        <is>
          <t>UL Red</t>
        </is>
      </c>
      <c r="M16" s="7" t="inlineStr">
        <is>
          <t>Unlimited Lives</t>
        </is>
      </c>
    </row>
    <row r="17"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</row>
    <row r="19">
      <c r="B19" s="3" t="inlineStr">
        <is>
          <t>Active Events on this day (sim — spills header + one row per running event and per session-start claim)</t>
        </is>
      </c>
    </row>
    <row r="20">
      <c r="B20" s="8">
        <f>ECOGAINS_PBP_EVENTS($C$5,$C$6,$C$7,$C$8,$C$10)</f>
        <v/>
      </c>
    </row>
    <row r="34">
      <c r="B34" s="3" t="inlineStr">
        <is>
          <t>ASSUMPTIONS &amp; FLAGS (model spec: SIMULATION_METHODOLOGY.md §14):</t>
        </is>
      </c>
    </row>
    <row r="35">
      <c r="B35" s="2" t="inlineStr">
        <is>
          <t>1. N plays / win rate / streak persistence from data_streaks; the sim CONDITIONS on the player being active and participating in every running event.</t>
        </is>
      </c>
    </row>
    <row r="36">
      <c r="B36" s="2" t="inlineStr">
        <is>
          <t>2. Progress @ session start = final_balance_p25/50/75 (Luck) × accrual-curve share(k−1); milestones banked on earlier days never appear in this ledger.</t>
        </is>
      </c>
    </row>
    <row r="37">
      <c r="B37" s="2" t="inlineStr">
        <is>
          <t>3. Score events are streak-driven off their config ladders (Ki_v2 steps / TaD_v2 multipliers), then scaled so the day total hits the measured target — model = shape, measurement = level.</t>
        </is>
      </c>
    </row>
    <row r="38">
      <c r="B38" s="2" t="inlineStr">
        <is>
          <t>4. LB payouts land on row E only for instances ending today, at the Luck percentile of position_pXX (Sampled: seeded ±0.25-quantile jitter; deterministic per Seed).</t>
        </is>
      </c>
    </row>
    <row r="39">
      <c r="B39" s="2" t="inlineStr">
        <is>
          <t>5. Daily Gift = login-streak-p50 cycle day, equal-weight average of config variant ladders; Night Sky pays only on the exact milestone night (daily_max_streak_p50).</t>
        </is>
      </c>
    </row>
    <row r="40">
      <c r="B40" s="2" t="inlineStr">
        <is>
          <t>6. Saga pays at NODE boundaries (config ladder: 10 levels per node, alternating 10/0 HC, node 10 = 25) walked from node 1 — the player's true cycle position is unknown. Core chapter chests NOT simulated. Flock Flurry opt-in = 60 min UL (design-PDF constant).</t>
        </is>
      </c>
    </row>
    <row r="41">
      <c r="B41" s="2" t="inlineStr">
        <is>
          <t>7. HH/Ph milestone requirements read from the EventReach helper columns on HH_v2 (AV5:AV9) / Ph_v2 (AU5:AU34) — do not remove them.</t>
        </is>
      </c>
    </row>
    <row r="42">
      <c r="B42" s="2" t="inlineStr">
        <is>
          <t>8. SPT / COOP / Avatar / Dly rewards are outside the 11-resource universe and are not tracked.</t>
        </is>
      </c>
    </row>
    <row r="45">
      <c r="B45" s="3" t="inlineStr">
        <is>
          <t>Play-by-play ledger (sim — spills its own header; S = session-start claims, E = day-end LB payouts, then Session Summary per source × 11 resources)</t>
        </is>
      </c>
    </row>
    <row r="46">
      <c r="B46" s="8">
        <f>ECOGAINS_PBP($C$5,$C$6,$C$7,$C$8,$C$9,$C$10,$C$11,$C$12,$C$17:$M$17)</f>
        <v/>
      </c>
    </row>
  </sheetData>
  <dataValidations count="5">
    <dataValidation sqref="C5" showDropDown="0" showInputMessage="0" showErrorMessage="0" allowBlank="1" type="list">
      <formula1>"cal_curr,cal_new"</formula1>
    </dataValidation>
    <dataValidation sqref="C7" showDropDown="0" showInputMessage="0" showErrorMessage="0" allowBlank="1" type="list">
      <formula1>"0-9,10-19,20-39,40-99,100+"</formula1>
    </dataValidation>
    <dataValidation sqref="C8" showDropDown="0" showInputMessage="0" showErrorMessage="0" allowBlank="1" type="list">
      <formula1>"NONPAYER,PAYER"</formula1>
    </dataValidation>
    <dataValidation sqref="C9" showDropDown="0" showInputMessage="0" showErrorMessage="0" allowBlank="1" type="list">
      <formula1>"Expected,Sampled"</formula1>
    </dataValidation>
    <dataValidation sqref="C10" showDropDown="0" showInputMessage="0" showErrorMessage="0" allowBlank="1" type="list">
      <formula1>"p25,p50,p75"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2026-07-03T22:11:02Z</dcterms:created>
  <dcterms:modified xsi:type="dcterms:W3CDTF">2026-07-03T22:11:02Z</dcterms:modified>
</cp:coreProperties>
</file>