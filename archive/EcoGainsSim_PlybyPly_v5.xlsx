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Plyby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color rgb="FF808080"/>
      <sz val="9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7CB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0" customWidth="1" min="5" max="5"/>
    <col width="14" customWidth="1" min="6" max="6"/>
    <col width="64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EcoGainsSim PlybyPly</t>
        </is>
      </c>
    </row>
    <row r="2">
      <c r="A2" s="2" t="inlineStr">
        <is>
          <t>Config Panel</t>
        </is>
      </c>
    </row>
    <row r="3">
      <c r="A3" s="3" t="inlineStr">
        <is>
          <t>Calendar</t>
        </is>
      </c>
      <c r="B3" s="4" t="inlineStr">
        <is>
          <t>cal_new</t>
        </is>
      </c>
    </row>
    <row r="4">
      <c r="A4" s="3" t="inlineStr">
        <is>
          <t>Day to Simulate (1-33)</t>
        </is>
      </c>
      <c r="B4" s="4" t="n">
        <v>5</v>
      </c>
    </row>
    <row r="5">
      <c r="A5" s="3" t="inlineStr">
        <is>
          <t>Player Segment</t>
        </is>
      </c>
      <c r="B5" s="4" t="inlineStr">
        <is>
          <t>10-19</t>
        </is>
      </c>
    </row>
    <row r="6">
      <c r="A6" s="3" t="inlineStr">
        <is>
          <t>Payer</t>
        </is>
      </c>
      <c r="B6" s="4" t="inlineStr">
        <is>
          <t>NONPAYER</t>
        </is>
      </c>
    </row>
    <row r="7">
      <c r="A7" s="3" t="inlineStr">
        <is>
          <t>Mode</t>
        </is>
      </c>
      <c r="B7" s="4" t="inlineStr">
        <is>
          <t>Sampled</t>
        </is>
      </c>
    </row>
    <row r="8">
      <c r="A8" s="3" t="inlineStr">
        <is>
          <t>Luck (progress + placement)</t>
        </is>
      </c>
      <c r="B8" s="4" t="inlineStr">
        <is>
          <t>p50</t>
        </is>
      </c>
    </row>
    <row r="9">
      <c r="A9" s="3" t="inlineStr">
        <is>
          <t>Seed (Sampled mode)</t>
        </is>
      </c>
      <c r="B9" s="4" t="n">
        <v>42</v>
      </c>
    </row>
    <row r="10">
      <c r="A10" s="3" t="inlineStr">
        <is>
          <t>Levels Played (blank = auto)</t>
        </is>
      </c>
      <c r="B10" s="4" t="n"/>
    </row>
    <row r="11">
      <c r="A11" s="3" t="inlineStr">
        <is>
          <t>Starting Saga Level (blank = rnd 100-400)</t>
        </is>
      </c>
      <c r="B11" s="4" t="n"/>
    </row>
    <row r="13">
      <c r="A13" s="2" t="inlineStr">
        <is>
          <t>Opening Inventory (optional — read by the ledger; 0 = start empty)</t>
        </is>
      </c>
    </row>
    <row r="14">
      <c r="A14" s="5" t="inlineStr">
        <is>
          <t>HC</t>
        </is>
      </c>
      <c r="B14" s="5" t="inlineStr">
        <is>
          <t>Slingshot</t>
        </is>
      </c>
      <c r="C14" s="5" t="inlineStr">
        <is>
          <t>Shuffle</t>
        </is>
      </c>
      <c r="D14" s="5" t="inlineStr">
        <is>
          <t>Comet</t>
        </is>
      </c>
      <c r="E14" s="5" t="inlineStr">
        <is>
          <t>Red</t>
        </is>
      </c>
      <c r="F14" s="5" t="inlineStr">
        <is>
          <t>Chuck</t>
        </is>
      </c>
      <c r="G14" s="5" t="inlineStr">
        <is>
          <t>Bomb</t>
        </is>
      </c>
      <c r="H14" s="5" t="inlineStr">
        <is>
          <t>UL Bomb</t>
        </is>
      </c>
      <c r="I14" s="5" t="inlineStr">
        <is>
          <t>UL Chuck</t>
        </is>
      </c>
      <c r="J14" s="5" t="inlineStr">
        <is>
          <t>UL Red</t>
        </is>
      </c>
      <c r="K14" s="5" t="inlineStr">
        <is>
          <t>Unlimited Lives</t>
        </is>
      </c>
    </row>
    <row r="15">
      <c r="A15" s="6" t="n">
        <v>0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7">
      <c r="A17" s="2" t="inlineStr">
        <is>
          <t>Player Profile (data — data_streaks + data_seg_beh; spills 9 rows × 3 cols)</t>
        </is>
      </c>
    </row>
    <row r="18">
      <c r="A18" s="7">
        <f>ECOGAINS_PBP_PROFILE($B$5,$B$6)</f>
        <v/>
      </c>
    </row>
    <row r="28">
      <c r="A28" s="2" t="inlineStr">
        <is>
          <t>Active Events on This Day (sim — spills one row per running event + per session-start claim)</t>
        </is>
      </c>
    </row>
    <row r="29">
      <c r="A29" s="7">
        <f>ECOGAINS_PBP_EVENTS($B$3,$B$4,$B$5,$B$6,$B$8)</f>
        <v/>
      </c>
    </row>
    <row r="43">
      <c r="A43" s="2" t="inlineStr">
        <is>
          <t>Assumptions &amp; Flags (model spec: SIMULATION_METHODOLOGY.md §14)</t>
        </is>
      </c>
    </row>
    <row r="44">
      <c r="A44" s="8" t="inlineStr">
        <is>
          <t>1. N plays / win rate / streak persistence from data_streaks; the sim CONDITIONS on the player being active and participating in every running event.</t>
        </is>
      </c>
    </row>
    <row r="45">
      <c r="A45" s="8" t="inlineStr">
        <is>
          <t>2. The player is NOT fresh: they walk in at Starting Saga Level (input, or seeded random 100-400); the Level column is the absolute saga level.</t>
        </is>
      </c>
    </row>
    <row r="46">
      <c r="A46" s="8" t="inlineStr">
        <is>
          <t>3. Event progress @ session start = final_balance_p25/50/75 (Luck) × accrual-curve share(k−1); milestones banked on earlier days never appear in this ledger.</t>
        </is>
      </c>
    </row>
    <row r="47">
      <c r="A47" s="8" t="inlineStr">
        <is>
          <t>4. Score events are streak-driven off their config ladders (Ki_v2 steps / TaD_v2 multipliers), scaled so the day total hits the measured target — model = shape, measurement = level.</t>
        </is>
      </c>
    </row>
    <row r="48">
      <c r="A48" s="8" t="inlineStr">
        <is>
          <t>5. LB payouts land on row E only for instances ending today, at the Luck percentile of position_pXX (Sampled: seeded ±0.25-quantile jitter; deterministic per Seed).</t>
        </is>
      </c>
    </row>
    <row r="49">
      <c r="A49" s="8" t="inlineStr">
        <is>
          <t>6. Saga pays at config node boundaries anchored to the ABSOLUTE level (10-level nodes cycling every 100: level 240 = node 4). Core chapter chests NOT simulated.</t>
        </is>
      </c>
    </row>
    <row r="50">
      <c r="A50" s="8" t="inlineStr">
        <is>
          <t>7. Daily Gift = login-streak-p50 cycle day, equal-weight average of config variant ladders; Night Sky pays only on the exact milestone night (daily_max_streak_p50).</t>
        </is>
      </c>
    </row>
    <row r="51">
      <c r="A51" s="8" t="inlineStr">
        <is>
          <t>8. Flock Flurry opt-in = 60 min UL (design-PDF constant). HH/Ph milestone reqs read from the EventReach helper columns on HH_v2 / Ph_v2 — do not remove them.</t>
        </is>
      </c>
    </row>
    <row r="52">
      <c r="A52" s="8" t="inlineStr">
        <is>
          <t>9. SPT / COOP / Avatar / Dly rewards are outside the 11-resource universe and are not tracked.</t>
        </is>
      </c>
    </row>
    <row r="54">
      <c r="A54" s="2" t="inlineStr">
        <is>
          <t>Play-by-Play Ledger (sim — spills its own header; S = session start &amp; claims, E = day-end LB payouts, then Session Summary per source × 11 resources)</t>
        </is>
      </c>
    </row>
    <row r="55">
      <c r="A55" s="7">
        <f>ECOGAINS_PBP($B$3,$B$4,$B$5,$B$6,$B$7,$B$8,$B$9,$B$10,$B$11,$A$15:$K$15)</f>
        <v/>
      </c>
    </row>
  </sheetData>
  <dataValidations count="5">
    <dataValidation sqref="B3" showDropDown="0" showInputMessage="0" showErrorMessage="0" allowBlank="1" type="list">
      <formula1>"cal_curr,cal_new"</formula1>
    </dataValidation>
    <dataValidation sqref="B5" showDropDown="0" showInputMessage="0" showErrorMessage="0" allowBlank="1" type="list">
      <formula1>"0-9,10-19,20-39,40-99,100+"</formula1>
    </dataValidation>
    <dataValidation sqref="B6" showDropDown="0" showInputMessage="0" showErrorMessage="0" allowBlank="1" type="list">
      <formula1>"NONPAYER,PAYER"</formula1>
    </dataValidation>
    <dataValidation sqref="B7" showDropDown="0" showInputMessage="0" showErrorMessage="0" allowBlank="1" type="list">
      <formula1>"Expected,Sampled"</formula1>
    </dataValidation>
    <dataValidation sqref="B8" showDropDown="0" showInputMessage="0" showErrorMessage="0" allowBlank="1" type="list">
      <formula1>"p25,p50,p75"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2026-07-04T11:17:44Z</dcterms:created>
  <dcterms:modified xsi:type="dcterms:W3CDTF">2026-07-04T11:17:44Z</dcterms:modified>
</cp:coreProperties>
</file>