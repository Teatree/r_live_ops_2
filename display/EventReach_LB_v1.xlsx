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D_v2" sheetId="1" state="visible" r:id="rId1"/>
    <sheet name="F_v2" sheetId="2" state="visible" r:id="rId2"/>
    <sheet name="Race_v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theme="1"/>
      <sz val="14"/>
    </font>
    <font>
      <name val="Arial"/>
      <b val="1"/>
      <color rgb="FFFFFFFF"/>
      <sz val="11"/>
    </font>
    <font>
      <name val="Arial"/>
      <b val="1"/>
      <color theme="1"/>
      <sz val="11"/>
    </font>
    <font>
      <name val="Arial"/>
      <color theme="1"/>
      <sz val="11"/>
    </font>
    <font>
      <name val="Arial"/>
      <b val="1"/>
      <sz val="11"/>
    </font>
    <font>
      <name val="Arial"/>
      <b val="1"/>
      <sz val="9"/>
    </font>
    <font>
      <name val="Arial"/>
      <sz val="9"/>
    </font>
    <font>
      <name val="Arial"/>
      <color rgb="FF808080"/>
      <sz val="8"/>
    </font>
  </fonts>
  <fills count="9">
    <fill>
      <patternFill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F7CB4D"/>
        <bgColor rgb="FFF7CB4D"/>
      </patternFill>
    </fill>
    <fill>
      <patternFill patternType="solid">
        <fgColor rgb="FFFFF2CC"/>
      </patternFill>
    </fill>
    <fill>
      <patternFill patternType="solid">
        <fgColor rgb="FFD9D9D9"/>
      </patternFill>
    </fill>
    <fill>
      <patternFill patternType="solid">
        <fgColor rgb="FFEFEFEF"/>
      </patternFill>
    </fill>
  </fills>
  <borders count="10">
    <border>
      <left/>
      <right/>
      <top/>
      <bottom/>
      <diagonal/>
    </border>
    <border/>
    <border>
      <left/>
      <right/>
      <top/>
      <bottom/>
    </border>
    <border>
      <left/>
      <right/>
      <top/>
    </border>
    <border>
      <left style="thin">
        <color rgb="FF000000"/>
      </left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left style="thin">
        <color rgb="FF000000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1" applyAlignment="1" pivotButton="0" quotePrefix="0" xfId="0">
      <alignment vertical="bottom"/>
    </xf>
    <xf numFmtId="0" fontId="5" fillId="0" borderId="0" pivotButton="0" quotePrefix="0" xfId="0"/>
    <xf numFmtId="0" fontId="2" fillId="2" borderId="2" applyAlignment="1" pivotButton="0" quotePrefix="0" xfId="0">
      <alignment horizontal="left" vertical="center"/>
    </xf>
    <xf numFmtId="0" fontId="6" fillId="0" borderId="0" pivotButton="0" quotePrefix="0" xfId="0"/>
    <xf numFmtId="0" fontId="6" fillId="6" borderId="9" applyAlignment="1" pivotButton="0" quotePrefix="0" xfId="0">
      <alignment horizontal="center"/>
    </xf>
    <xf numFmtId="0" fontId="3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/>
    </xf>
    <xf numFmtId="0" fontId="7" fillId="8" borderId="9" pivotButton="0" quotePrefix="0" xfId="0"/>
    <xf numFmtId="1" fontId="0" fillId="8" borderId="9" applyAlignment="1" pivotButton="0" quotePrefix="0" xfId="0">
      <alignment horizontal="center"/>
    </xf>
    <xf numFmtId="0" fontId="0" fillId="8" borderId="9" applyAlignment="1" pivotButton="0" quotePrefix="0" xfId="0">
      <alignment horizontal="left"/>
    </xf>
    <xf numFmtId="0" fontId="8" fillId="0" borderId="0" pivotButton="0" quotePrefix="0" xfId="0"/>
    <xf numFmtId="0" fontId="2" fillId="2" borderId="3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bottom" wrapText="1"/>
    </xf>
    <xf numFmtId="0" fontId="3" fillId="5" borderId="4" applyAlignment="1" pivotButton="0" quotePrefix="0" xfId="0">
      <alignment horizontal="center" vertical="bottom" textRotation="180"/>
    </xf>
    <xf numFmtId="0" fontId="3" fillId="5" borderId="1" applyAlignment="1" pivotButton="0" quotePrefix="0" xfId="0">
      <alignment horizontal="center" vertical="bottom" textRotation="180"/>
    </xf>
    <xf numFmtId="0" fontId="3" fillId="5" borderId="5" applyAlignment="1" pivotButton="0" quotePrefix="0" xfId="0">
      <alignment horizontal="center" vertical="bottom" textRotation="180"/>
    </xf>
    <xf numFmtId="0" fontId="3" fillId="5" borderId="6" applyAlignment="1" pivotButton="0" quotePrefix="0" xfId="0">
      <alignment horizontal="center" vertical="bottom" textRotation="180"/>
    </xf>
    <xf numFmtId="0" fontId="4" fillId="0" borderId="1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3" fillId="5" borderId="7" applyAlignment="1" pivotButton="0" quotePrefix="0" xfId="0">
      <alignment horizontal="center" vertical="bottom" wrapText="1"/>
    </xf>
    <xf numFmtId="0" fontId="3" fillId="5" borderId="8" applyAlignment="1" pivotButton="0" quotePrefix="0" xfId="0">
      <alignment horizontal="center" vertical="bottom" textRotation="180"/>
    </xf>
    <xf numFmtId="0" fontId="4" fillId="0" borderId="7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55"/>
  <sheetViews>
    <sheetView workbookViewId="0">
      <selection activeCell="A1" sqref="A1"/>
    </sheetView>
  </sheetViews>
  <sheetFormatPr baseColWidth="8" defaultRowHeight="15"/>
  <cols>
    <col width="13.5" customWidth="1" min="1" max="1"/>
    <col width="14.38" customWidth="1" min="2" max="2"/>
    <col width="4.88" customWidth="1" min="3" max="3"/>
    <col width="4.5" customWidth="1" min="22" max="22"/>
    <col width="2.88" customWidth="1" min="33" max="33"/>
    <col width="16" customWidth="1" min="34" max="34"/>
    <col width="7" customWidth="1" min="35" max="35"/>
    <col width="34" customWidth="1" min="36" max="36"/>
    <col width="7" customWidth="1" min="37" max="37"/>
    <col width="34" customWidth="1" min="38" max="38"/>
    <col width="7" customWidth="1" min="39" max="39"/>
    <col width="34" customWidth="1" min="40" max="40"/>
    <col width="7" customWidth="1" min="41" max="41"/>
    <col width="34" customWidth="1" min="42" max="42"/>
    <col width="7" customWidth="1" min="43" max="43"/>
    <col width="34" customWidth="1" min="44" max="44"/>
  </cols>
  <sheetData>
    <row r="1">
      <c r="A1" s="1" t="inlineStr">
        <is>
          <t>Target Day</t>
        </is>
      </c>
      <c r="AH1" s="2" t="inlineStr">
        <is>
          <t>Player Rank Simulation (measured rank percentile → ladder reward) — SIMULATED</t>
        </is>
      </c>
    </row>
    <row r="2">
      <c r="A2" s="3" t="inlineStr">
        <is>
          <t>Config Panel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AH2" s="4" t="inlineStr">
        <is>
          <t>Percentile</t>
        </is>
      </c>
      <c r="AI2" s="5" t="inlineStr">
        <is>
          <t>p50</t>
        </is>
      </c>
    </row>
    <row r="3">
      <c r="A3" s="6" t="inlineStr">
        <is>
          <t>winStreakMultipliers</t>
        </is>
      </c>
      <c r="B3" s="7" t="inlineStr">
        <is>
          <t>1, 5, 10, 20, 100</t>
        </is>
      </c>
      <c r="AH3" s="4" t="inlineStr">
        <is>
          <t>Payer</t>
        </is>
      </c>
      <c r="AI3" s="5" t="inlineStr">
        <is>
          <t>NONPAYER</t>
        </is>
      </c>
    </row>
    <row r="4">
      <c r="A4" s="6" t="inlineStr">
        <is>
          <t>levelDifficultyMultiplier</t>
        </is>
      </c>
      <c r="B4" s="7" t="inlineStr">
        <is>
          <t>"normal": 1, "hard": 1, "extreme": 1</t>
        </is>
      </c>
    </row>
    <row r="5">
      <c r="A5" s="6" t="inlineStr">
        <is>
          <t>desiredBotCounts</t>
        </is>
      </c>
      <c r="B5" s="7" t="inlineStr">
        <is>
          <t>"easy": 9, "medium": 6, "hard": 3, "extreme": 1</t>
        </is>
      </c>
      <c r="AH5" s="8" t="inlineStr">
        <is>
          <t>Event</t>
        </is>
      </c>
      <c r="AI5" s="8" t="inlineStr">
        <is>
          <t>0-9_pos</t>
        </is>
      </c>
      <c r="AJ5" s="8" t="inlineStr">
        <is>
          <t>0-9_reward</t>
        </is>
      </c>
      <c r="AK5" s="8" t="inlineStr">
        <is>
          <t>10-19_pos</t>
        </is>
      </c>
      <c r="AL5" s="8" t="inlineStr">
        <is>
          <t>10-19_reward</t>
        </is>
      </c>
      <c r="AM5" s="8" t="inlineStr">
        <is>
          <t>20-39_pos</t>
        </is>
      </c>
      <c r="AN5" s="8" t="inlineStr">
        <is>
          <t>20-39_reward</t>
        </is>
      </c>
      <c r="AO5" s="8" t="inlineStr">
        <is>
          <t>40-99_pos</t>
        </is>
      </c>
      <c r="AP5" s="8" t="inlineStr">
        <is>
          <t>40-99_reward</t>
        </is>
      </c>
      <c r="AQ5" s="8" t="inlineStr">
        <is>
          <t>100_pos</t>
        </is>
      </c>
      <c r="AR5" s="8" t="inlineStr">
        <is>
          <t>100_reward</t>
        </is>
      </c>
    </row>
    <row r="6">
      <c r="A6" s="6" t="inlineStr">
        <is>
          <t>requiredSagaLevel</t>
        </is>
      </c>
      <c r="B6" s="7" t="n">
        <v>25</v>
      </c>
      <c r="AH6" s="9" t="inlineStr">
        <is>
          <t>Target Day (LB)</t>
        </is>
      </c>
      <c r="AI6" s="10">
        <f>LET(pos,CHOOSE(MATCH($AI$2,{"p25","p50","p75"},0),SUMIFS(data_event_inst!$K:$K,data_event_inst!$A:$A,"Target Day",data_event_inst!$B:$B,$AI$3,data_event_inst!$C:$C,"0-9"),SUMIFS(data_event_inst!$L:$L,data_event_inst!$A:$A,"Target Day",data_event_inst!$B:$B,$AI$3,data_event_inst!$C:$C,"0-9"),SUMIFS(data_event_inst!$M:$M,data_event_inst!$A:$A,"Target Day",data_event_inst!$B:$B,$AI$3,data_event_inst!$C:$C,"0-9")),IF(pos=0,"n/a",pos))</f>
        <v/>
      </c>
      <c r="AJ6" s="11">
        <f>LET(p,AI6,IF(p="n/a","n/a",IF(p&gt;20,"— (below ladder)",LET(s,INDEX($C$36:$W$55,p,0),b,TEXTJOIN(", ",TRUE,ARRAYFORMULA(IF(s&gt;0,$C$35:$W$35&amp;": "&amp;ROUND(s,2),""))),IF(b="","{} (rank pays nothing)","{"&amp;b&amp;"}")))))</f>
        <v/>
      </c>
      <c r="AK6" s="10">
        <f>LET(pos,CHOOSE(MATCH($AI$2,{"p25","p50","p75"},0),SUMIFS(data_event_inst!$K:$K,data_event_inst!$A:$A,"Target Day",data_event_inst!$B:$B,$AI$3,data_event_inst!$C:$C,"10-19"),SUMIFS(data_event_inst!$L:$L,data_event_inst!$A:$A,"Target Day",data_event_inst!$B:$B,$AI$3,data_event_inst!$C:$C,"10-19"),SUMIFS(data_event_inst!$M:$M,data_event_inst!$A:$A,"Target Day",data_event_inst!$B:$B,$AI$3,data_event_inst!$C:$C,"10-19")),IF(pos=0,"n/a",pos))</f>
        <v/>
      </c>
      <c r="AL6" s="11">
        <f>LET(p,AK6,IF(p="n/a","n/a",IF(p&gt;20,"— (below ladder)",LET(s,INDEX($C$36:$W$55,p,0),b,TEXTJOIN(", ",TRUE,ARRAYFORMULA(IF(s&gt;0,$C$35:$W$35&amp;": "&amp;ROUND(s,2),""))),IF(b="","{} (rank pays nothing)","{"&amp;b&amp;"}")))))</f>
        <v/>
      </c>
      <c r="AM6" s="10">
        <f>LET(pos,CHOOSE(MATCH($AI$2,{"p25","p50","p75"},0),SUMIFS(data_event_inst!$K:$K,data_event_inst!$A:$A,"Target Day",data_event_inst!$B:$B,$AI$3,data_event_inst!$C:$C,"20-39"),SUMIFS(data_event_inst!$L:$L,data_event_inst!$A:$A,"Target Day",data_event_inst!$B:$B,$AI$3,data_event_inst!$C:$C,"20-39"),SUMIFS(data_event_inst!$M:$M,data_event_inst!$A:$A,"Target Day",data_event_inst!$B:$B,$AI$3,data_event_inst!$C:$C,"20-39")),IF(pos=0,"n/a",pos))</f>
        <v/>
      </c>
      <c r="AN6" s="11">
        <f>LET(p,AM6,IF(p="n/a","n/a",IF(p&gt;20,"— (below ladder)",LET(s,INDEX($C$36:$W$55,p,0),b,TEXTJOIN(", ",TRUE,ARRAYFORMULA(IF(s&gt;0,$C$35:$W$35&amp;": "&amp;ROUND(s,2),""))),IF(b="","{} (rank pays nothing)","{"&amp;b&amp;"}")))))</f>
        <v/>
      </c>
      <c r="AO6" s="10">
        <f>LET(pos,CHOOSE(MATCH($AI$2,{"p25","p50","p75"},0),SUMIFS(data_event_inst!$K:$K,data_event_inst!$A:$A,"Target Day",data_event_inst!$B:$B,$AI$3,data_event_inst!$C:$C,"40-99"),SUMIFS(data_event_inst!$L:$L,data_event_inst!$A:$A,"Target Day",data_event_inst!$B:$B,$AI$3,data_event_inst!$C:$C,"40-99"),SUMIFS(data_event_inst!$M:$M,data_event_inst!$A:$A,"Target Day",data_event_inst!$B:$B,$AI$3,data_event_inst!$C:$C,"40-99")),IF(pos=0,"n/a",pos))</f>
        <v/>
      </c>
      <c r="AP6" s="11">
        <f>LET(p,AO6,IF(p="n/a","n/a",IF(p&gt;20,"— (below ladder)",LET(s,INDEX($C$36:$W$55,p,0),b,TEXTJOIN(", ",TRUE,ARRAYFORMULA(IF(s&gt;0,$C$35:$W$35&amp;": "&amp;ROUND(s,2),""))),IF(b="","{} (rank pays nothing)","{"&amp;b&amp;"}")))))</f>
        <v/>
      </c>
      <c r="AQ6" s="10">
        <f>LET(pos,CHOOSE(MATCH($AI$2,{"p25","p50","p75"},0),SUMIFS(data_event_inst!$K:$K,data_event_inst!$A:$A,"Target Day",data_event_inst!$B:$B,$AI$3,data_event_inst!$C:$C,"100+"),SUMIFS(data_event_inst!$L:$L,data_event_inst!$A:$A,"Target Day",data_event_inst!$B:$B,$AI$3,data_event_inst!$C:$C,"100+"),SUMIFS(data_event_inst!$M:$M,data_event_inst!$A:$A,"Target Day",data_event_inst!$B:$B,$AI$3,data_event_inst!$C:$C,"100+")),IF(pos=0,"n/a",pos))</f>
        <v/>
      </c>
      <c r="AR6" s="11">
        <f>LET(p,AQ6,IF(p="n/a","n/a",IF(p&gt;20,"— (below ladder)",LET(s,INDEX($C$36:$W$55,p,0),b,TEXTJOIN(", ",TRUE,ARRAYFORMULA(IF(s&gt;0,$C$35:$W$35&amp;": "&amp;ROUND(s,2),""))),IF(b="","{} (rank pays nothing)","{"&amp;b&amp;"}")))))</f>
        <v/>
      </c>
    </row>
    <row r="7">
      <c r="A7" s="6" t="inlineStr">
        <is>
          <t>EventDuration</t>
        </is>
      </c>
      <c r="B7" s="7" t="n">
        <v>1</v>
      </c>
    </row>
    <row r="8">
      <c r="AH8" s="12" t="inlineStr">
        <is>
          <t>p25 = top-quartile finisher (lower position = better); source: data_event_inst position percentiles, measured on the CURRENT calendar</t>
        </is>
      </c>
    </row>
    <row r="9">
      <c r="A9" s="13" t="inlineStr">
        <is>
          <t>Milestone Goals and Rewards</t>
        </is>
      </c>
      <c r="B9" s="13" t="n"/>
      <c r="C9" s="13" t="n"/>
      <c r="D9" s="1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AH9" s="12" t="inlineStr">
        <is>
          <t>⚠ leaderboard track only — milestone ladder NOT simulated (all milestone reward cells are 0 in TaD/TaD_v2 config; deliberate scope cut)</t>
        </is>
      </c>
    </row>
    <row r="10">
      <c r="A10" s="14" t="inlineStr">
        <is>
          <t>Milestone</t>
        </is>
      </c>
      <c r="B10" s="14" t="inlineStr">
        <is>
          <t>Total score requirement</t>
        </is>
      </c>
      <c r="C10" s="15" t="inlineStr">
        <is>
          <t>Coins</t>
        </is>
      </c>
      <c r="D10" s="16" t="inlineStr">
        <is>
          <t>SPT</t>
        </is>
      </c>
      <c r="E10" s="17" t="inlineStr">
        <is>
          <t>SPT x2</t>
        </is>
      </c>
      <c r="F10" s="18" t="inlineStr">
        <is>
          <t>Red</t>
        </is>
      </c>
      <c r="G10" s="18" t="inlineStr">
        <is>
          <t>Chuck</t>
        </is>
      </c>
      <c r="H10" s="18" t="inlineStr">
        <is>
          <t>Bomb</t>
        </is>
      </c>
      <c r="I10" s="18" t="inlineStr">
        <is>
          <t>Slingshot</t>
        </is>
      </c>
      <c r="J10" s="18" t="inlineStr">
        <is>
          <t>Shuffle</t>
        </is>
      </c>
      <c r="K10" s="18" t="inlineStr">
        <is>
          <t>Comet</t>
        </is>
      </c>
      <c r="L10" s="18" t="inlineStr">
        <is>
          <t>Unlimited Lives</t>
        </is>
      </c>
      <c r="M10" s="18" t="inlineStr">
        <is>
          <t>Unlimited Red</t>
        </is>
      </c>
      <c r="N10" s="18" t="inlineStr">
        <is>
          <t>Unlimited Chuck</t>
        </is>
      </c>
      <c r="O10" s="18" t="inlineStr">
        <is>
          <t>Unlimited Bomb</t>
        </is>
      </c>
      <c r="P10" s="18" t="inlineStr">
        <is>
          <t>COOP Token</t>
        </is>
      </c>
      <c r="Q10" s="18" t="inlineStr">
        <is>
          <t>Avatar</t>
        </is>
      </c>
      <c r="R10" s="18" t="inlineStr">
        <is>
          <t>1-star Dly</t>
        </is>
      </c>
      <c r="S10" s="18" t="inlineStr">
        <is>
          <t>2-star Dly</t>
        </is>
      </c>
      <c r="T10" s="18" t="inlineStr">
        <is>
          <t>3-star Dly</t>
        </is>
      </c>
      <c r="U10" s="18" t="inlineStr">
        <is>
          <t>4-star Dly</t>
        </is>
      </c>
      <c r="V10" s="18" t="inlineStr">
        <is>
          <t>5-star Dly</t>
        </is>
      </c>
      <c r="W10" s="18" t="inlineStr">
        <is>
          <t>6-star Dly</t>
        </is>
      </c>
      <c r="AH10" s="12" t="inlineStr">
        <is>
          <t>⚠ LB size 50 per config; measured avg_bots ≈ 0–1; positions 11–20 configured but pay nothing</t>
        </is>
      </c>
    </row>
    <row r="11">
      <c r="A11" s="19" t="n">
        <v>1</v>
      </c>
      <c r="B11" s="19" t="n">
        <v>100</v>
      </c>
      <c r="C11" s="20" t="n">
        <v>0</v>
      </c>
      <c r="D11" s="19" t="n">
        <v>0</v>
      </c>
      <c r="E11" s="21" t="n">
        <v>0</v>
      </c>
      <c r="F11" s="22" t="n">
        <v>0</v>
      </c>
      <c r="G11" s="22" t="n">
        <v>0</v>
      </c>
      <c r="H11" s="22" t="n">
        <v>0</v>
      </c>
      <c r="I11" s="22" t="n">
        <v>0</v>
      </c>
      <c r="J11" s="22" t="n">
        <v>0</v>
      </c>
      <c r="K11" s="22" t="n">
        <v>0</v>
      </c>
      <c r="L11" s="22" t="n">
        <v>0</v>
      </c>
      <c r="M11" s="22" t="n">
        <v>0</v>
      </c>
      <c r="N11" s="22" t="n">
        <v>0</v>
      </c>
      <c r="O11" s="22" t="n">
        <v>0</v>
      </c>
      <c r="P11" s="22" t="n">
        <v>0</v>
      </c>
      <c r="Q11" s="22" t="n">
        <v>0</v>
      </c>
      <c r="R11" s="22" t="n">
        <v>0</v>
      </c>
      <c r="S11" s="22" t="n">
        <v>0</v>
      </c>
      <c r="T11" s="22" t="n">
        <v>0</v>
      </c>
      <c r="U11" s="22" t="n">
        <v>0</v>
      </c>
      <c r="V11" s="22" t="n">
        <v>0</v>
      </c>
      <c r="W11" s="22" t="n">
        <v>0</v>
      </c>
    </row>
    <row r="12">
      <c r="A12" s="19" t="n">
        <v>2</v>
      </c>
      <c r="B12" s="19" t="n">
        <v>300</v>
      </c>
      <c r="C12" s="20" t="n">
        <v>0</v>
      </c>
      <c r="D12" s="19" t="n">
        <v>0</v>
      </c>
      <c r="E12" s="21" t="n">
        <v>0</v>
      </c>
      <c r="F12" s="22" t="n">
        <v>0</v>
      </c>
      <c r="G12" s="22" t="n">
        <v>0</v>
      </c>
      <c r="H12" s="22" t="n">
        <v>0</v>
      </c>
      <c r="I12" s="22" t="n">
        <v>0</v>
      </c>
      <c r="J12" s="22" t="n">
        <v>0</v>
      </c>
      <c r="K12" s="22" t="n">
        <v>0</v>
      </c>
      <c r="L12" s="22" t="n">
        <v>0</v>
      </c>
      <c r="M12" s="22" t="n">
        <v>0</v>
      </c>
      <c r="N12" s="22" t="n">
        <v>0</v>
      </c>
      <c r="O12" s="22" t="n">
        <v>0</v>
      </c>
      <c r="P12" s="22" t="n">
        <v>0</v>
      </c>
      <c r="Q12" s="22" t="n">
        <v>0</v>
      </c>
      <c r="R12" s="22" t="n">
        <v>0</v>
      </c>
      <c r="S12" s="22" t="n">
        <v>0</v>
      </c>
      <c r="T12" s="22" t="n">
        <v>0</v>
      </c>
      <c r="U12" s="22" t="n">
        <v>0</v>
      </c>
      <c r="V12" s="22" t="n">
        <v>0</v>
      </c>
      <c r="W12" s="22" t="n">
        <v>0</v>
      </c>
    </row>
    <row r="13">
      <c r="A13" s="19" t="n">
        <v>3</v>
      </c>
      <c r="B13" s="19" t="n">
        <v>500</v>
      </c>
      <c r="C13" s="20" t="n">
        <v>0</v>
      </c>
      <c r="D13" s="19" t="n">
        <v>0</v>
      </c>
      <c r="E13" s="21" t="n">
        <v>0</v>
      </c>
      <c r="F13" s="22" t="n">
        <v>0</v>
      </c>
      <c r="G13" s="22" t="n">
        <v>0</v>
      </c>
      <c r="H13" s="22" t="n">
        <v>0</v>
      </c>
      <c r="I13" s="22" t="n">
        <v>0</v>
      </c>
      <c r="J13" s="22" t="n">
        <v>0</v>
      </c>
      <c r="K13" s="22" t="n">
        <v>0</v>
      </c>
      <c r="L13" s="22" t="n">
        <v>0</v>
      </c>
      <c r="M13" s="22" t="n">
        <v>0</v>
      </c>
      <c r="N13" s="22" t="n">
        <v>0</v>
      </c>
      <c r="O13" s="22" t="n">
        <v>0</v>
      </c>
      <c r="P13" s="22" t="n">
        <v>0</v>
      </c>
      <c r="Q13" s="22" t="n">
        <v>0</v>
      </c>
      <c r="R13" s="22" t="n">
        <v>0</v>
      </c>
      <c r="S13" s="22" t="n">
        <v>0</v>
      </c>
      <c r="T13" s="22" t="n">
        <v>0</v>
      </c>
      <c r="U13" s="22" t="n">
        <v>0</v>
      </c>
      <c r="V13" s="22" t="n">
        <v>0</v>
      </c>
      <c r="W13" s="22" t="n">
        <v>0</v>
      </c>
    </row>
    <row r="14">
      <c r="A14" s="19" t="n">
        <v>4</v>
      </c>
      <c r="B14" s="19" t="n">
        <v>700</v>
      </c>
      <c r="C14" s="20" t="n">
        <v>0</v>
      </c>
      <c r="D14" s="19" t="n">
        <v>0</v>
      </c>
      <c r="E14" s="21" t="n">
        <v>0</v>
      </c>
      <c r="F14" s="22" t="n">
        <v>0</v>
      </c>
      <c r="G14" s="22" t="n">
        <v>0</v>
      </c>
      <c r="H14" s="22" t="n">
        <v>0</v>
      </c>
      <c r="I14" s="22" t="n">
        <v>0</v>
      </c>
      <c r="J14" s="22" t="n">
        <v>0</v>
      </c>
      <c r="K14" s="22" t="n">
        <v>0</v>
      </c>
      <c r="L14" s="22" t="n">
        <v>0</v>
      </c>
      <c r="M14" s="22" t="n">
        <v>0</v>
      </c>
      <c r="N14" s="22" t="n">
        <v>0</v>
      </c>
      <c r="O14" s="22" t="n">
        <v>0</v>
      </c>
      <c r="P14" s="22" t="n">
        <v>0</v>
      </c>
      <c r="Q14" s="22" t="n">
        <v>0</v>
      </c>
      <c r="R14" s="22" t="n">
        <v>0</v>
      </c>
      <c r="S14" s="22" t="n">
        <v>0</v>
      </c>
      <c r="T14" s="22" t="n">
        <v>0</v>
      </c>
      <c r="U14" s="22" t="n">
        <v>0</v>
      </c>
      <c r="V14" s="22" t="n">
        <v>0</v>
      </c>
      <c r="W14" s="22" t="n">
        <v>0</v>
      </c>
    </row>
    <row r="15">
      <c r="A15" s="19" t="n">
        <v>5</v>
      </c>
      <c r="B15" s="19" t="n">
        <v>2000</v>
      </c>
      <c r="C15" s="20" t="n">
        <v>0</v>
      </c>
      <c r="D15" s="19" t="n">
        <v>0</v>
      </c>
      <c r="E15" s="21" t="n">
        <v>0</v>
      </c>
      <c r="F15" s="22" t="n">
        <v>0</v>
      </c>
      <c r="G15" s="22" t="n">
        <v>0</v>
      </c>
      <c r="H15" s="22" t="n">
        <v>0</v>
      </c>
      <c r="I15" s="22" t="n">
        <v>0</v>
      </c>
      <c r="J15" s="22" t="n">
        <v>0</v>
      </c>
      <c r="K15" s="22" t="n">
        <v>0</v>
      </c>
      <c r="L15" s="22" t="n">
        <v>0</v>
      </c>
      <c r="M15" s="22" t="n">
        <v>0</v>
      </c>
      <c r="N15" s="22" t="n">
        <v>0</v>
      </c>
      <c r="O15" s="22" t="n">
        <v>0</v>
      </c>
      <c r="P15" s="22" t="n">
        <v>0</v>
      </c>
      <c r="Q15" s="22" t="n">
        <v>0</v>
      </c>
      <c r="R15" s="22" t="n">
        <v>0</v>
      </c>
      <c r="S15" s="22" t="n">
        <v>0</v>
      </c>
      <c r="T15" s="22" t="n">
        <v>0</v>
      </c>
      <c r="U15" s="22" t="n">
        <v>0</v>
      </c>
      <c r="V15" s="22" t="n">
        <v>0</v>
      </c>
      <c r="W15" s="22" t="n">
        <v>0</v>
      </c>
    </row>
    <row r="16">
      <c r="A16" s="19" t="n">
        <v>6</v>
      </c>
      <c r="B16" s="19" t="n">
        <v>3000</v>
      </c>
      <c r="C16" s="20" t="n">
        <v>0</v>
      </c>
      <c r="D16" s="19" t="n">
        <v>0</v>
      </c>
      <c r="E16" s="21" t="n">
        <v>0</v>
      </c>
      <c r="F16" s="22" t="n">
        <v>0</v>
      </c>
      <c r="G16" s="22" t="n">
        <v>0</v>
      </c>
      <c r="H16" s="22" t="n">
        <v>0</v>
      </c>
      <c r="I16" s="22" t="n">
        <v>0</v>
      </c>
      <c r="J16" s="22" t="n">
        <v>0</v>
      </c>
      <c r="K16" s="22" t="n">
        <v>0</v>
      </c>
      <c r="L16" s="22" t="n">
        <v>0</v>
      </c>
      <c r="M16" s="22" t="n">
        <v>0</v>
      </c>
      <c r="N16" s="22" t="n">
        <v>0</v>
      </c>
      <c r="O16" s="22" t="n">
        <v>0</v>
      </c>
      <c r="P16" s="22" t="n">
        <v>0</v>
      </c>
      <c r="Q16" s="22" t="n">
        <v>0</v>
      </c>
      <c r="R16" s="22" t="n">
        <v>0</v>
      </c>
      <c r="S16" s="22" t="n">
        <v>0</v>
      </c>
      <c r="T16" s="22" t="n">
        <v>0</v>
      </c>
      <c r="U16" s="22" t="n">
        <v>0</v>
      </c>
      <c r="V16" s="22" t="n">
        <v>0</v>
      </c>
      <c r="W16" s="22" t="n">
        <v>0</v>
      </c>
    </row>
    <row r="17">
      <c r="A17" s="19" t="n">
        <v>7</v>
      </c>
      <c r="B17" s="19" t="n">
        <v>4000</v>
      </c>
      <c r="C17" s="20" t="n">
        <v>0</v>
      </c>
      <c r="D17" s="19" t="n">
        <v>0</v>
      </c>
      <c r="E17" s="21" t="n">
        <v>0</v>
      </c>
      <c r="F17" s="22" t="n">
        <v>0</v>
      </c>
      <c r="G17" s="22" t="n">
        <v>0</v>
      </c>
      <c r="H17" s="22" t="n">
        <v>0</v>
      </c>
      <c r="I17" s="22" t="n">
        <v>0</v>
      </c>
      <c r="J17" s="22" t="n">
        <v>0</v>
      </c>
      <c r="K17" s="22" t="n">
        <v>0</v>
      </c>
      <c r="L17" s="22" t="n">
        <v>0</v>
      </c>
      <c r="M17" s="22" t="n">
        <v>0</v>
      </c>
      <c r="N17" s="22" t="n">
        <v>0</v>
      </c>
      <c r="O17" s="22" t="n">
        <v>0</v>
      </c>
      <c r="P17" s="22" t="n">
        <v>0</v>
      </c>
      <c r="Q17" s="22" t="n">
        <v>0</v>
      </c>
      <c r="R17" s="22" t="n">
        <v>0</v>
      </c>
      <c r="S17" s="22" t="n">
        <v>0</v>
      </c>
      <c r="T17" s="22" t="n">
        <v>0</v>
      </c>
      <c r="U17" s="22" t="n">
        <v>0</v>
      </c>
      <c r="V17" s="22" t="n">
        <v>0</v>
      </c>
      <c r="W17" s="22" t="n">
        <v>0</v>
      </c>
    </row>
    <row r="18">
      <c r="A18" s="19" t="n">
        <v>8</v>
      </c>
      <c r="B18" s="19" t="n">
        <v>5500</v>
      </c>
      <c r="C18" s="20" t="n">
        <v>0</v>
      </c>
      <c r="D18" s="19" t="n">
        <v>0</v>
      </c>
      <c r="E18" s="21" t="n">
        <v>0</v>
      </c>
      <c r="F18" s="22" t="n">
        <v>0</v>
      </c>
      <c r="G18" s="22" t="n">
        <v>0</v>
      </c>
      <c r="H18" s="22" t="n">
        <v>0</v>
      </c>
      <c r="I18" s="22" t="n">
        <v>0</v>
      </c>
      <c r="J18" s="22" t="n">
        <v>0</v>
      </c>
      <c r="K18" s="22" t="n">
        <v>0</v>
      </c>
      <c r="L18" s="22" t="n">
        <v>0</v>
      </c>
      <c r="M18" s="22" t="n">
        <v>0</v>
      </c>
      <c r="N18" s="22" t="n">
        <v>0</v>
      </c>
      <c r="O18" s="22" t="n">
        <v>0</v>
      </c>
      <c r="P18" s="22" t="n">
        <v>0</v>
      </c>
      <c r="Q18" s="22" t="n">
        <v>0</v>
      </c>
      <c r="R18" s="22" t="n">
        <v>0</v>
      </c>
      <c r="S18" s="22" t="n">
        <v>0</v>
      </c>
      <c r="T18" s="22" t="n">
        <v>0</v>
      </c>
      <c r="U18" s="22" t="n">
        <v>0</v>
      </c>
      <c r="V18" s="22" t="n">
        <v>0</v>
      </c>
      <c r="W18" s="22" t="n">
        <v>0</v>
      </c>
    </row>
    <row r="19">
      <c r="A19" s="19" t="n">
        <v>9</v>
      </c>
      <c r="B19" s="19" t="n">
        <v>7000</v>
      </c>
      <c r="C19" s="20" t="n">
        <v>0</v>
      </c>
      <c r="D19" s="19" t="n">
        <v>0</v>
      </c>
      <c r="E19" s="21" t="n">
        <v>0</v>
      </c>
      <c r="F19" s="22" t="n">
        <v>0</v>
      </c>
      <c r="G19" s="22" t="n">
        <v>0</v>
      </c>
      <c r="H19" s="22" t="n">
        <v>0</v>
      </c>
      <c r="I19" s="22" t="n">
        <v>0</v>
      </c>
      <c r="J19" s="22" t="n">
        <v>0</v>
      </c>
      <c r="K19" s="22" t="n">
        <v>0</v>
      </c>
      <c r="L19" s="22" t="n">
        <v>0</v>
      </c>
      <c r="M19" s="22" t="n">
        <v>0</v>
      </c>
      <c r="N19" s="22" t="n">
        <v>0</v>
      </c>
      <c r="O19" s="22" t="n">
        <v>0</v>
      </c>
      <c r="P19" s="22" t="n">
        <v>0</v>
      </c>
      <c r="Q19" s="22" t="n">
        <v>0</v>
      </c>
      <c r="R19" s="22" t="n">
        <v>0</v>
      </c>
      <c r="S19" s="22" t="n">
        <v>0</v>
      </c>
      <c r="T19" s="22" t="n">
        <v>0</v>
      </c>
      <c r="U19" s="22" t="n">
        <v>0</v>
      </c>
      <c r="V19" s="22" t="n">
        <v>0</v>
      </c>
      <c r="W19" s="22" t="n">
        <v>0</v>
      </c>
    </row>
    <row r="20">
      <c r="A20" s="19" t="n">
        <v>10</v>
      </c>
      <c r="B20" s="19" t="n">
        <v>8500</v>
      </c>
      <c r="C20" s="20" t="n">
        <v>0</v>
      </c>
      <c r="D20" s="19" t="n">
        <v>0</v>
      </c>
      <c r="E20" s="21" t="n">
        <v>0</v>
      </c>
      <c r="F20" s="22" t="n">
        <v>0</v>
      </c>
      <c r="G20" s="22" t="n">
        <v>0</v>
      </c>
      <c r="H20" s="22" t="n">
        <v>0</v>
      </c>
      <c r="I20" s="22" t="n">
        <v>0</v>
      </c>
      <c r="J20" s="22" t="n">
        <v>0</v>
      </c>
      <c r="K20" s="22" t="n">
        <v>0</v>
      </c>
      <c r="L20" s="22" t="n">
        <v>0</v>
      </c>
      <c r="M20" s="22" t="n">
        <v>0</v>
      </c>
      <c r="N20" s="22" t="n">
        <v>0</v>
      </c>
      <c r="O20" s="22" t="n">
        <v>0</v>
      </c>
      <c r="P20" s="22" t="n">
        <v>0</v>
      </c>
      <c r="Q20" s="22" t="n">
        <v>0</v>
      </c>
      <c r="R20" s="22" t="n">
        <v>0</v>
      </c>
      <c r="S20" s="22" t="n">
        <v>0</v>
      </c>
      <c r="T20" s="22" t="n">
        <v>0</v>
      </c>
      <c r="U20" s="22" t="n">
        <v>0</v>
      </c>
      <c r="V20" s="22" t="n">
        <v>0</v>
      </c>
      <c r="W20" s="22" t="n">
        <v>0</v>
      </c>
    </row>
    <row r="21">
      <c r="A21" s="19" t="n">
        <v>11</v>
      </c>
      <c r="B21" s="19" t="n">
        <v>10000</v>
      </c>
      <c r="C21" s="20" t="n">
        <v>0</v>
      </c>
      <c r="D21" s="19" t="n">
        <v>0</v>
      </c>
      <c r="E21" s="21" t="n">
        <v>0</v>
      </c>
      <c r="F21" s="22" t="n">
        <v>0</v>
      </c>
      <c r="G21" s="22" t="n">
        <v>0</v>
      </c>
      <c r="H21" s="22" t="n">
        <v>0</v>
      </c>
      <c r="I21" s="22" t="n">
        <v>0</v>
      </c>
      <c r="J21" s="22" t="n">
        <v>0</v>
      </c>
      <c r="K21" s="22" t="n">
        <v>0</v>
      </c>
      <c r="L21" s="22" t="n">
        <v>0</v>
      </c>
      <c r="M21" s="22" t="n">
        <v>0</v>
      </c>
      <c r="N21" s="22" t="n">
        <v>0</v>
      </c>
      <c r="O21" s="22" t="n">
        <v>0</v>
      </c>
      <c r="P21" s="22" t="n">
        <v>0</v>
      </c>
      <c r="Q21" s="22" t="n">
        <v>0</v>
      </c>
      <c r="R21" s="22" t="n">
        <v>0</v>
      </c>
      <c r="S21" s="22" t="n">
        <v>0</v>
      </c>
      <c r="T21" s="22" t="n">
        <v>0</v>
      </c>
      <c r="U21" s="22" t="n">
        <v>0</v>
      </c>
      <c r="V21" s="22" t="n">
        <v>0</v>
      </c>
      <c r="W21" s="22" t="n">
        <v>0</v>
      </c>
    </row>
    <row r="22">
      <c r="A22" s="19" t="n">
        <v>12</v>
      </c>
      <c r="B22" s="19" t="n">
        <v>11500</v>
      </c>
      <c r="C22" s="20" t="n">
        <v>0</v>
      </c>
      <c r="D22" s="19" t="n">
        <v>0</v>
      </c>
      <c r="E22" s="21" t="n">
        <v>0</v>
      </c>
      <c r="F22" s="22" t="n">
        <v>0</v>
      </c>
      <c r="G22" s="22" t="n">
        <v>0</v>
      </c>
      <c r="H22" s="22" t="n">
        <v>0</v>
      </c>
      <c r="I22" s="22" t="n">
        <v>0</v>
      </c>
      <c r="J22" s="22" t="n">
        <v>0</v>
      </c>
      <c r="K22" s="22" t="n">
        <v>0</v>
      </c>
      <c r="L22" s="22" t="n">
        <v>0</v>
      </c>
      <c r="M22" s="22" t="n">
        <v>0</v>
      </c>
      <c r="N22" s="22" t="n">
        <v>0</v>
      </c>
      <c r="O22" s="22" t="n">
        <v>0</v>
      </c>
      <c r="P22" s="22" t="n">
        <v>0</v>
      </c>
      <c r="Q22" s="22" t="n">
        <v>0</v>
      </c>
      <c r="R22" s="22" t="n">
        <v>0</v>
      </c>
      <c r="S22" s="22" t="n">
        <v>0</v>
      </c>
      <c r="T22" s="22" t="n">
        <v>0</v>
      </c>
      <c r="U22" s="22" t="n">
        <v>0</v>
      </c>
      <c r="V22" s="22" t="n">
        <v>0</v>
      </c>
      <c r="W22" s="22" t="n">
        <v>0</v>
      </c>
    </row>
    <row r="23">
      <c r="A23" s="19" t="n">
        <v>13</v>
      </c>
      <c r="B23" s="19" t="n">
        <v>13000</v>
      </c>
      <c r="C23" s="20" t="n">
        <v>0</v>
      </c>
      <c r="D23" s="19" t="n">
        <v>0</v>
      </c>
      <c r="E23" s="21" t="n">
        <v>0</v>
      </c>
      <c r="F23" s="22" t="n">
        <v>0</v>
      </c>
      <c r="G23" s="22" t="n">
        <v>0</v>
      </c>
      <c r="H23" s="22" t="n">
        <v>0</v>
      </c>
      <c r="I23" s="22" t="n">
        <v>0</v>
      </c>
      <c r="J23" s="22" t="n">
        <v>0</v>
      </c>
      <c r="K23" s="22" t="n">
        <v>0</v>
      </c>
      <c r="L23" s="22" t="n">
        <v>0</v>
      </c>
      <c r="M23" s="22" t="n">
        <v>0</v>
      </c>
      <c r="N23" s="22" t="n">
        <v>0</v>
      </c>
      <c r="O23" s="22" t="n">
        <v>0</v>
      </c>
      <c r="P23" s="22" t="n">
        <v>0</v>
      </c>
      <c r="Q23" s="22" t="n">
        <v>0</v>
      </c>
      <c r="R23" s="22" t="n">
        <v>0</v>
      </c>
      <c r="S23" s="22" t="n">
        <v>0</v>
      </c>
      <c r="T23" s="22" t="n">
        <v>0</v>
      </c>
      <c r="U23" s="22" t="n">
        <v>0</v>
      </c>
      <c r="V23" s="22" t="n">
        <v>0</v>
      </c>
      <c r="W23" s="22" t="n">
        <v>0</v>
      </c>
    </row>
    <row r="24">
      <c r="A24" s="19" t="n">
        <v>14</v>
      </c>
      <c r="B24" s="19" t="n">
        <v>14500</v>
      </c>
      <c r="C24" s="20" t="n">
        <v>0</v>
      </c>
      <c r="D24" s="19" t="n">
        <v>0</v>
      </c>
      <c r="E24" s="21" t="n">
        <v>0</v>
      </c>
      <c r="F24" s="22" t="n">
        <v>0</v>
      </c>
      <c r="G24" s="22" t="n">
        <v>0</v>
      </c>
      <c r="H24" s="22" t="n">
        <v>0</v>
      </c>
      <c r="I24" s="22" t="n">
        <v>0</v>
      </c>
      <c r="J24" s="22" t="n">
        <v>0</v>
      </c>
      <c r="K24" s="22" t="n">
        <v>0</v>
      </c>
      <c r="L24" s="22" t="n">
        <v>0</v>
      </c>
      <c r="M24" s="22" t="n">
        <v>0</v>
      </c>
      <c r="N24" s="22" t="n">
        <v>0</v>
      </c>
      <c r="O24" s="22" t="n">
        <v>0</v>
      </c>
      <c r="P24" s="22" t="n">
        <v>0</v>
      </c>
      <c r="Q24" s="22" t="n">
        <v>0</v>
      </c>
      <c r="R24" s="22" t="n">
        <v>0</v>
      </c>
      <c r="S24" s="22" t="n">
        <v>0</v>
      </c>
      <c r="T24" s="22" t="n">
        <v>0</v>
      </c>
      <c r="U24" s="22" t="n">
        <v>0</v>
      </c>
      <c r="V24" s="22" t="n">
        <v>0</v>
      </c>
      <c r="W24" s="22" t="n">
        <v>0</v>
      </c>
    </row>
    <row r="25">
      <c r="A25" s="19" t="n">
        <v>15</v>
      </c>
      <c r="B25" s="19" t="n">
        <v>16000</v>
      </c>
      <c r="C25" s="20" t="n">
        <v>0</v>
      </c>
      <c r="D25" s="19" t="n">
        <v>0</v>
      </c>
      <c r="E25" s="21" t="n">
        <v>0</v>
      </c>
      <c r="F25" s="22" t="n">
        <v>0</v>
      </c>
      <c r="G25" s="22" t="n">
        <v>0</v>
      </c>
      <c r="H25" s="22" t="n">
        <v>0</v>
      </c>
      <c r="I25" s="22" t="n">
        <v>0</v>
      </c>
      <c r="J25" s="22" t="n">
        <v>0</v>
      </c>
      <c r="K25" s="22" t="n">
        <v>0</v>
      </c>
      <c r="L25" s="22" t="n">
        <v>0</v>
      </c>
      <c r="M25" s="22" t="n">
        <v>0</v>
      </c>
      <c r="N25" s="22" t="n">
        <v>0</v>
      </c>
      <c r="O25" s="22" t="n">
        <v>0</v>
      </c>
      <c r="P25" s="22" t="n">
        <v>0</v>
      </c>
      <c r="Q25" s="22" t="n">
        <v>0</v>
      </c>
      <c r="R25" s="22" t="n">
        <v>0</v>
      </c>
      <c r="S25" s="22" t="n">
        <v>0</v>
      </c>
      <c r="T25" s="22" t="n">
        <v>0</v>
      </c>
      <c r="U25" s="22" t="n">
        <v>0</v>
      </c>
      <c r="V25" s="22" t="n">
        <v>0</v>
      </c>
      <c r="W25" s="22" t="n">
        <v>0</v>
      </c>
    </row>
    <row r="26">
      <c r="A26" s="19" t="n">
        <v>16</v>
      </c>
      <c r="B26" s="19" t="n">
        <v>17500</v>
      </c>
      <c r="C26" s="20" t="n">
        <v>0</v>
      </c>
      <c r="D26" s="19" t="n">
        <v>0</v>
      </c>
      <c r="E26" s="21" t="n">
        <v>0</v>
      </c>
      <c r="F26" s="22" t="n">
        <v>0</v>
      </c>
      <c r="G26" s="22" t="n">
        <v>0</v>
      </c>
      <c r="H26" s="22" t="n">
        <v>0</v>
      </c>
      <c r="I26" s="22" t="n">
        <v>0</v>
      </c>
      <c r="J26" s="22" t="n">
        <v>0</v>
      </c>
      <c r="K26" s="22" t="n">
        <v>0</v>
      </c>
      <c r="L26" s="22" t="n">
        <v>0</v>
      </c>
      <c r="M26" s="22" t="n">
        <v>0</v>
      </c>
      <c r="N26" s="22" t="n">
        <v>0</v>
      </c>
      <c r="O26" s="22" t="n">
        <v>0</v>
      </c>
      <c r="P26" s="22" t="n">
        <v>0</v>
      </c>
      <c r="Q26" s="22" t="n">
        <v>0</v>
      </c>
      <c r="R26" s="22" t="n">
        <v>0</v>
      </c>
      <c r="S26" s="22" t="n">
        <v>0</v>
      </c>
      <c r="T26" s="22" t="n">
        <v>0</v>
      </c>
      <c r="U26" s="22" t="n">
        <v>0</v>
      </c>
      <c r="V26" s="22" t="n">
        <v>0</v>
      </c>
      <c r="W26" s="22" t="n">
        <v>0</v>
      </c>
    </row>
    <row r="27">
      <c r="A27" s="19" t="n">
        <v>17</v>
      </c>
      <c r="B27" s="19" t="n">
        <v>19000</v>
      </c>
      <c r="C27" s="20" t="n">
        <v>0</v>
      </c>
      <c r="D27" s="19" t="n">
        <v>0</v>
      </c>
      <c r="E27" s="21" t="n">
        <v>0</v>
      </c>
      <c r="F27" s="22" t="n">
        <v>0</v>
      </c>
      <c r="G27" s="22" t="n">
        <v>0</v>
      </c>
      <c r="H27" s="22" t="n">
        <v>0</v>
      </c>
      <c r="I27" s="22" t="n">
        <v>0</v>
      </c>
      <c r="J27" s="22" t="n">
        <v>0</v>
      </c>
      <c r="K27" s="22" t="n">
        <v>0</v>
      </c>
      <c r="L27" s="22" t="n">
        <v>0</v>
      </c>
      <c r="M27" s="22" t="n">
        <v>0</v>
      </c>
      <c r="N27" s="22" t="n">
        <v>0</v>
      </c>
      <c r="O27" s="22" t="n">
        <v>0</v>
      </c>
      <c r="P27" s="22" t="n">
        <v>0</v>
      </c>
      <c r="Q27" s="22" t="n">
        <v>0</v>
      </c>
      <c r="R27" s="22" t="n">
        <v>0</v>
      </c>
      <c r="S27" s="22" t="n">
        <v>0</v>
      </c>
      <c r="T27" s="22" t="n">
        <v>0</v>
      </c>
      <c r="U27" s="22" t="n">
        <v>0</v>
      </c>
      <c r="V27" s="22" t="n">
        <v>0</v>
      </c>
      <c r="W27" s="22" t="n">
        <v>0</v>
      </c>
    </row>
    <row r="28">
      <c r="A28" s="19" t="n">
        <v>18</v>
      </c>
      <c r="B28" s="19" t="n">
        <v>20500</v>
      </c>
      <c r="C28" s="20" t="n">
        <v>0</v>
      </c>
      <c r="D28" s="19" t="n">
        <v>0</v>
      </c>
      <c r="E28" s="21" t="n">
        <v>0</v>
      </c>
      <c r="F28" s="22" t="n">
        <v>0</v>
      </c>
      <c r="G28" s="22" t="n">
        <v>0</v>
      </c>
      <c r="H28" s="22" t="n">
        <v>0</v>
      </c>
      <c r="I28" s="22" t="n">
        <v>0</v>
      </c>
      <c r="J28" s="22" t="n">
        <v>0</v>
      </c>
      <c r="K28" s="22" t="n">
        <v>0</v>
      </c>
      <c r="L28" s="22" t="n">
        <v>0</v>
      </c>
      <c r="M28" s="22" t="n">
        <v>0</v>
      </c>
      <c r="N28" s="22" t="n">
        <v>0</v>
      </c>
      <c r="O28" s="22" t="n">
        <v>0</v>
      </c>
      <c r="P28" s="22" t="n">
        <v>0</v>
      </c>
      <c r="Q28" s="22" t="n">
        <v>0</v>
      </c>
      <c r="R28" s="22" t="n">
        <v>0</v>
      </c>
      <c r="S28" s="22" t="n">
        <v>0</v>
      </c>
      <c r="T28" s="22" t="n">
        <v>0</v>
      </c>
      <c r="U28" s="22" t="n">
        <v>0</v>
      </c>
      <c r="V28" s="22" t="n">
        <v>0</v>
      </c>
      <c r="W28" s="22" t="n">
        <v>0</v>
      </c>
    </row>
    <row r="29">
      <c r="A29" s="19" t="n">
        <v>19</v>
      </c>
      <c r="B29" s="19" t="n">
        <v>22000</v>
      </c>
      <c r="C29" s="20" t="n">
        <v>0</v>
      </c>
      <c r="D29" s="19" t="n">
        <v>0</v>
      </c>
      <c r="E29" s="21" t="n">
        <v>0</v>
      </c>
      <c r="F29" s="22" t="n">
        <v>0</v>
      </c>
      <c r="G29" s="22" t="n">
        <v>0</v>
      </c>
      <c r="H29" s="22" t="n">
        <v>0</v>
      </c>
      <c r="I29" s="22" t="n">
        <v>0</v>
      </c>
      <c r="J29" s="22" t="n">
        <v>0</v>
      </c>
      <c r="K29" s="22" t="n">
        <v>0</v>
      </c>
      <c r="L29" s="22" t="n">
        <v>0</v>
      </c>
      <c r="M29" s="22" t="n">
        <v>0</v>
      </c>
      <c r="N29" s="22" t="n">
        <v>0</v>
      </c>
      <c r="O29" s="22" t="n">
        <v>0</v>
      </c>
      <c r="P29" s="22" t="n">
        <v>0</v>
      </c>
      <c r="Q29" s="22" t="n">
        <v>0</v>
      </c>
      <c r="R29" s="22" t="n">
        <v>0</v>
      </c>
      <c r="S29" s="22" t="n">
        <v>0</v>
      </c>
      <c r="T29" s="22" t="n">
        <v>0</v>
      </c>
      <c r="U29" s="22" t="n">
        <v>0</v>
      </c>
      <c r="V29" s="22" t="n">
        <v>0</v>
      </c>
      <c r="W29" s="22" t="n">
        <v>0</v>
      </c>
    </row>
    <row r="30">
      <c r="A30" s="19" t="n">
        <v>20</v>
      </c>
      <c r="B30" s="19" t="n">
        <v>23500</v>
      </c>
      <c r="C30" s="20" t="n">
        <v>0</v>
      </c>
      <c r="D30" s="19" t="n">
        <v>0</v>
      </c>
      <c r="E30" s="21" t="n">
        <v>0</v>
      </c>
      <c r="F30" s="22" t="n">
        <v>0</v>
      </c>
      <c r="G30" s="22" t="n">
        <v>0</v>
      </c>
      <c r="H30" s="22" t="n">
        <v>0</v>
      </c>
      <c r="I30" s="22" t="n">
        <v>0</v>
      </c>
      <c r="J30" s="22" t="n">
        <v>0</v>
      </c>
      <c r="K30" s="22" t="n">
        <v>0</v>
      </c>
      <c r="L30" s="22" t="n">
        <v>0</v>
      </c>
      <c r="M30" s="22" t="n">
        <v>0</v>
      </c>
      <c r="N30" s="22" t="n">
        <v>0</v>
      </c>
      <c r="O30" s="22" t="n">
        <v>0</v>
      </c>
      <c r="P30" s="22" t="n">
        <v>0</v>
      </c>
      <c r="Q30" s="22" t="n">
        <v>0</v>
      </c>
      <c r="R30" s="22" t="n">
        <v>0</v>
      </c>
      <c r="S30" s="22" t="n">
        <v>0</v>
      </c>
      <c r="T30" s="22" t="n">
        <v>0</v>
      </c>
      <c r="U30" s="22" t="n">
        <v>0</v>
      </c>
      <c r="V30" s="22" t="n">
        <v>0</v>
      </c>
      <c r="W30" s="22" t="n">
        <v>0</v>
      </c>
    </row>
    <row r="34">
      <c r="A34" s="3" t="inlineStr">
        <is>
          <t>Leaderboard Goals and Rewards</t>
        </is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</row>
    <row r="35">
      <c r="A35" s="23" t="inlineStr">
        <is>
          <t>LB#</t>
        </is>
      </c>
      <c r="C35" s="24" t="inlineStr">
        <is>
          <t>Coins</t>
        </is>
      </c>
      <c r="D35" s="18" t="inlineStr">
        <is>
          <t>SPT</t>
        </is>
      </c>
      <c r="E35" s="18" t="inlineStr">
        <is>
          <t>SPT x2</t>
        </is>
      </c>
      <c r="F35" s="18" t="inlineStr">
        <is>
          <t>Red</t>
        </is>
      </c>
      <c r="G35" s="18" t="inlineStr">
        <is>
          <t>Chuck</t>
        </is>
      </c>
      <c r="H35" s="18" t="inlineStr">
        <is>
          <t>Bomb</t>
        </is>
      </c>
      <c r="I35" s="18" t="inlineStr">
        <is>
          <t>Slingshot</t>
        </is>
      </c>
      <c r="J35" s="18" t="inlineStr">
        <is>
          <t>Shuffle</t>
        </is>
      </c>
      <c r="K35" s="18" t="inlineStr">
        <is>
          <t>Comet</t>
        </is>
      </c>
      <c r="L35" s="18" t="inlineStr">
        <is>
          <t>Unlimited Lives</t>
        </is>
      </c>
      <c r="M35" s="18" t="inlineStr">
        <is>
          <t>Unlimited Red</t>
        </is>
      </c>
      <c r="N35" s="18" t="inlineStr">
        <is>
          <t>Unlimited Chuck</t>
        </is>
      </c>
      <c r="O35" s="18" t="inlineStr">
        <is>
          <t>Unlimited Bomb</t>
        </is>
      </c>
      <c r="P35" s="18" t="inlineStr">
        <is>
          <t>COOP Token</t>
        </is>
      </c>
      <c r="Q35" s="18" t="inlineStr">
        <is>
          <t>Avatar</t>
        </is>
      </c>
      <c r="R35" s="18" t="inlineStr">
        <is>
          <t>1-star Dly</t>
        </is>
      </c>
      <c r="S35" s="18" t="inlineStr">
        <is>
          <t>2-star Dly</t>
        </is>
      </c>
      <c r="T35" s="18" t="inlineStr">
        <is>
          <t>3-star Dly</t>
        </is>
      </c>
      <c r="U35" s="18" t="inlineStr">
        <is>
          <t>4-star Dly</t>
        </is>
      </c>
      <c r="V35" s="18" t="inlineStr">
        <is>
          <t>5-star Dly</t>
        </is>
      </c>
      <c r="W35" s="18" t="inlineStr">
        <is>
          <t>6-star Dly</t>
        </is>
      </c>
    </row>
    <row r="36">
      <c r="A36" s="25" t="n">
        <v>1</v>
      </c>
      <c r="C36" s="26" t="n">
        <v>200</v>
      </c>
      <c r="D36" s="22" t="n">
        <v>0</v>
      </c>
      <c r="E36" s="22" t="n">
        <v>0</v>
      </c>
      <c r="F36" s="22" t="n">
        <v>0</v>
      </c>
      <c r="G36" s="22" t="n">
        <v>0</v>
      </c>
      <c r="H36" s="22" t="n">
        <v>0</v>
      </c>
      <c r="I36" s="22" t="n">
        <v>0</v>
      </c>
      <c r="J36" s="22" t="n">
        <v>0</v>
      </c>
      <c r="K36" s="22" t="n">
        <v>1</v>
      </c>
      <c r="L36" s="22" t="n">
        <v>0</v>
      </c>
      <c r="M36" s="22" t="n">
        <v>0</v>
      </c>
      <c r="N36" s="22" t="n">
        <v>0</v>
      </c>
      <c r="O36" s="22" t="n">
        <v>0</v>
      </c>
      <c r="P36" s="22" t="n">
        <v>0</v>
      </c>
      <c r="Q36" s="22" t="n">
        <v>0</v>
      </c>
      <c r="R36" s="22" t="n">
        <v>0</v>
      </c>
      <c r="S36" s="22" t="n">
        <v>0</v>
      </c>
      <c r="T36" s="22" t="n">
        <v>0</v>
      </c>
      <c r="U36" s="22" t="n">
        <v>0</v>
      </c>
      <c r="V36" s="22" t="n">
        <v>0</v>
      </c>
      <c r="W36" s="22" t="n">
        <v>0</v>
      </c>
    </row>
    <row r="37">
      <c r="A37" s="25" t="n">
        <v>2</v>
      </c>
      <c r="C37" s="26" t="n">
        <v>100</v>
      </c>
      <c r="D37" s="22" t="n">
        <v>0</v>
      </c>
      <c r="E37" s="22" t="n">
        <v>0</v>
      </c>
      <c r="F37" s="22" t="n">
        <v>0</v>
      </c>
      <c r="G37" s="22" t="n">
        <v>0</v>
      </c>
      <c r="H37" s="22" t="n">
        <v>0</v>
      </c>
      <c r="I37" s="22" t="n">
        <v>0</v>
      </c>
      <c r="J37" s="22" t="n">
        <v>1</v>
      </c>
      <c r="K37" s="22" t="n">
        <v>0</v>
      </c>
      <c r="L37" s="22" t="n">
        <v>0</v>
      </c>
      <c r="M37" s="22" t="n">
        <v>0</v>
      </c>
      <c r="N37" s="22" t="n">
        <v>0</v>
      </c>
      <c r="O37" s="22" t="n">
        <v>0</v>
      </c>
      <c r="P37" s="22" t="n">
        <v>0</v>
      </c>
      <c r="Q37" s="22" t="n">
        <v>0</v>
      </c>
      <c r="R37" s="22" t="n">
        <v>0</v>
      </c>
      <c r="S37" s="22" t="n">
        <v>0</v>
      </c>
      <c r="T37" s="22" t="n">
        <v>0</v>
      </c>
      <c r="U37" s="22" t="n">
        <v>0</v>
      </c>
      <c r="V37" s="22" t="n">
        <v>0</v>
      </c>
      <c r="W37" s="22" t="n">
        <v>0</v>
      </c>
    </row>
    <row r="38">
      <c r="A38" s="25" t="n">
        <v>3</v>
      </c>
      <c r="C38" s="26" t="n">
        <v>50</v>
      </c>
      <c r="D38" s="22" t="n">
        <v>0</v>
      </c>
      <c r="E38" s="22" t="n">
        <v>0</v>
      </c>
      <c r="F38" s="22" t="n">
        <v>0</v>
      </c>
      <c r="G38" s="22" t="n">
        <v>0</v>
      </c>
      <c r="H38" s="22" t="n">
        <v>0</v>
      </c>
      <c r="I38" s="22" t="n">
        <v>1</v>
      </c>
      <c r="J38" s="22" t="n">
        <v>0</v>
      </c>
      <c r="K38" s="22" t="n">
        <v>0</v>
      </c>
      <c r="L38" s="22" t="n">
        <v>0</v>
      </c>
      <c r="M38" s="22" t="n">
        <v>0</v>
      </c>
      <c r="N38" s="22" t="n">
        <v>0</v>
      </c>
      <c r="O38" s="22" t="n">
        <v>0</v>
      </c>
      <c r="P38" s="22" t="n">
        <v>0</v>
      </c>
      <c r="Q38" s="22" t="n">
        <v>0</v>
      </c>
      <c r="R38" s="22" t="n">
        <v>0</v>
      </c>
      <c r="S38" s="22" t="n">
        <v>0</v>
      </c>
      <c r="T38" s="22" t="n">
        <v>0</v>
      </c>
      <c r="U38" s="22" t="n">
        <v>0</v>
      </c>
      <c r="V38" s="22" t="n">
        <v>0</v>
      </c>
      <c r="W38" s="22" t="n">
        <v>0</v>
      </c>
    </row>
    <row r="39">
      <c r="A39" s="25" t="n">
        <v>4</v>
      </c>
      <c r="C39" s="26" t="n">
        <v>0</v>
      </c>
      <c r="D39" s="22" t="n">
        <v>0</v>
      </c>
      <c r="E39" s="22" t="n">
        <v>0</v>
      </c>
      <c r="F39" s="22" t="n">
        <v>0</v>
      </c>
      <c r="G39" s="22" t="n">
        <v>0</v>
      </c>
      <c r="H39" s="22" t="n">
        <v>0</v>
      </c>
      <c r="I39" s="22" t="n">
        <v>0</v>
      </c>
      <c r="J39" s="22" t="n">
        <v>1</v>
      </c>
      <c r="K39" s="22" t="n">
        <v>0</v>
      </c>
      <c r="L39" s="22" t="n">
        <v>0</v>
      </c>
      <c r="M39" s="22" t="n">
        <v>0</v>
      </c>
      <c r="N39" s="22" t="n">
        <v>0</v>
      </c>
      <c r="O39" s="22" t="n">
        <v>0</v>
      </c>
      <c r="P39" s="22" t="n">
        <v>0</v>
      </c>
      <c r="Q39" s="22" t="n">
        <v>0</v>
      </c>
      <c r="R39" s="22" t="n">
        <v>0</v>
      </c>
      <c r="S39" s="22" t="n">
        <v>0</v>
      </c>
      <c r="T39" s="22" t="n">
        <v>0</v>
      </c>
      <c r="U39" s="22" t="n">
        <v>0</v>
      </c>
      <c r="V39" s="22" t="n">
        <v>0</v>
      </c>
      <c r="W39" s="22" t="n">
        <v>0</v>
      </c>
    </row>
    <row r="40">
      <c r="A40" s="25" t="n">
        <v>5</v>
      </c>
      <c r="C40" s="26" t="n">
        <v>0</v>
      </c>
      <c r="D40" s="22" t="n">
        <v>0</v>
      </c>
      <c r="E40" s="22" t="n">
        <v>0</v>
      </c>
      <c r="F40" s="22" t="n">
        <v>0</v>
      </c>
      <c r="G40" s="22" t="n">
        <v>0</v>
      </c>
      <c r="H40" s="22" t="n">
        <v>0</v>
      </c>
      <c r="I40" s="22" t="n">
        <v>0</v>
      </c>
      <c r="J40" s="22" t="n">
        <v>1</v>
      </c>
      <c r="K40" s="22" t="n">
        <v>0</v>
      </c>
      <c r="L40" s="22" t="n">
        <v>0</v>
      </c>
      <c r="M40" s="22" t="n">
        <v>0</v>
      </c>
      <c r="N40" s="22" t="n">
        <v>0</v>
      </c>
      <c r="O40" s="22" t="n">
        <v>0</v>
      </c>
      <c r="P40" s="22" t="n">
        <v>0</v>
      </c>
      <c r="Q40" s="22" t="n">
        <v>0</v>
      </c>
      <c r="R40" s="22" t="n">
        <v>0</v>
      </c>
      <c r="S40" s="22" t="n">
        <v>0</v>
      </c>
      <c r="T40" s="22" t="n">
        <v>0</v>
      </c>
      <c r="U40" s="22" t="n">
        <v>0</v>
      </c>
      <c r="V40" s="22" t="n">
        <v>0</v>
      </c>
      <c r="W40" s="22" t="n">
        <v>0</v>
      </c>
    </row>
    <row r="41">
      <c r="A41" s="25" t="n">
        <v>6</v>
      </c>
      <c r="C41" s="26" t="n">
        <v>0</v>
      </c>
      <c r="D41" s="22" t="n">
        <v>0</v>
      </c>
      <c r="E41" s="22" t="n">
        <v>0</v>
      </c>
      <c r="F41" s="22" t="n">
        <v>0</v>
      </c>
      <c r="G41" s="22" t="n">
        <v>0</v>
      </c>
      <c r="H41" s="22" t="n">
        <v>0</v>
      </c>
      <c r="I41" s="22" t="n">
        <v>1</v>
      </c>
      <c r="J41" s="22" t="n">
        <v>0</v>
      </c>
      <c r="K41" s="22" t="n">
        <v>0</v>
      </c>
      <c r="L41" s="22" t="n">
        <v>0</v>
      </c>
      <c r="M41" s="22" t="n">
        <v>0</v>
      </c>
      <c r="N41" s="22" t="n">
        <v>0</v>
      </c>
      <c r="O41" s="22" t="n">
        <v>0</v>
      </c>
      <c r="P41" s="22" t="n">
        <v>0</v>
      </c>
      <c r="Q41" s="22" t="n">
        <v>0</v>
      </c>
      <c r="R41" s="22" t="n">
        <v>0</v>
      </c>
      <c r="S41" s="22" t="n">
        <v>0</v>
      </c>
      <c r="T41" s="22" t="n">
        <v>0</v>
      </c>
      <c r="U41" s="22" t="n">
        <v>0</v>
      </c>
      <c r="V41" s="22" t="n">
        <v>0</v>
      </c>
      <c r="W41" s="22" t="n">
        <v>0</v>
      </c>
    </row>
    <row r="42">
      <c r="A42" s="25" t="n">
        <v>7</v>
      </c>
      <c r="C42" s="26" t="n">
        <v>0</v>
      </c>
      <c r="D42" s="22" t="n">
        <v>0</v>
      </c>
      <c r="E42" s="22" t="n">
        <v>0</v>
      </c>
      <c r="F42" s="22" t="n">
        <v>0</v>
      </c>
      <c r="G42" s="22" t="n">
        <v>0</v>
      </c>
      <c r="H42" s="22" t="n">
        <v>0</v>
      </c>
      <c r="I42" s="22" t="n">
        <v>1</v>
      </c>
      <c r="J42" s="22" t="n">
        <v>0</v>
      </c>
      <c r="K42" s="22" t="n">
        <v>0</v>
      </c>
      <c r="L42" s="22" t="n">
        <v>0</v>
      </c>
      <c r="M42" s="22" t="n">
        <v>0</v>
      </c>
      <c r="N42" s="22" t="n">
        <v>0</v>
      </c>
      <c r="O42" s="22" t="n">
        <v>0</v>
      </c>
      <c r="P42" s="22" t="n">
        <v>0</v>
      </c>
      <c r="Q42" s="22" t="n">
        <v>0</v>
      </c>
      <c r="R42" s="22" t="n">
        <v>0</v>
      </c>
      <c r="S42" s="22" t="n">
        <v>0</v>
      </c>
      <c r="T42" s="22" t="n">
        <v>0</v>
      </c>
      <c r="U42" s="22" t="n">
        <v>0</v>
      </c>
      <c r="V42" s="22" t="n">
        <v>0</v>
      </c>
      <c r="W42" s="22" t="n">
        <v>0</v>
      </c>
    </row>
    <row r="43">
      <c r="A43" s="25" t="n">
        <v>8</v>
      </c>
      <c r="C43" s="26" t="n">
        <v>0</v>
      </c>
      <c r="D43" s="22" t="n">
        <v>0</v>
      </c>
      <c r="E43" s="22" t="n">
        <v>0</v>
      </c>
      <c r="F43" s="22" t="n">
        <v>0</v>
      </c>
      <c r="G43" s="22" t="n">
        <v>0</v>
      </c>
      <c r="H43" s="22" t="n">
        <v>0</v>
      </c>
      <c r="I43" s="22" t="n">
        <v>1</v>
      </c>
      <c r="J43" s="22" t="n">
        <v>0</v>
      </c>
      <c r="K43" s="22" t="n">
        <v>0</v>
      </c>
      <c r="L43" s="22" t="n">
        <v>0</v>
      </c>
      <c r="M43" s="22" t="n">
        <v>0</v>
      </c>
      <c r="N43" s="22" t="n">
        <v>0</v>
      </c>
      <c r="O43" s="22" t="n">
        <v>0</v>
      </c>
      <c r="P43" s="22" t="n">
        <v>0</v>
      </c>
      <c r="Q43" s="22" t="n">
        <v>0</v>
      </c>
      <c r="R43" s="22" t="n">
        <v>0</v>
      </c>
      <c r="S43" s="22" t="n">
        <v>0</v>
      </c>
      <c r="T43" s="22" t="n">
        <v>0</v>
      </c>
      <c r="U43" s="22" t="n">
        <v>0</v>
      </c>
      <c r="V43" s="22" t="n">
        <v>0</v>
      </c>
      <c r="W43" s="22" t="n">
        <v>0</v>
      </c>
    </row>
    <row r="44">
      <c r="A44" s="25" t="n">
        <v>9</v>
      </c>
      <c r="C44" s="26" t="n">
        <v>0</v>
      </c>
      <c r="D44" s="22" t="n">
        <v>0</v>
      </c>
      <c r="E44" s="22" t="n">
        <v>0</v>
      </c>
      <c r="F44" s="22" t="n">
        <v>0</v>
      </c>
      <c r="G44" s="22" t="n">
        <v>0</v>
      </c>
      <c r="H44" s="22" t="n">
        <v>0</v>
      </c>
      <c r="I44" s="22" t="n">
        <v>1</v>
      </c>
      <c r="J44" s="22" t="n">
        <v>0</v>
      </c>
      <c r="K44" s="22" t="n">
        <v>0</v>
      </c>
      <c r="L44" s="22" t="n">
        <v>0</v>
      </c>
      <c r="M44" s="22" t="n">
        <v>0</v>
      </c>
      <c r="N44" s="22" t="n">
        <v>0</v>
      </c>
      <c r="O44" s="22" t="n">
        <v>0</v>
      </c>
      <c r="P44" s="22" t="n">
        <v>0</v>
      </c>
      <c r="Q44" s="22" t="n">
        <v>0</v>
      </c>
      <c r="R44" s="22" t="n">
        <v>0</v>
      </c>
      <c r="S44" s="22" t="n">
        <v>0</v>
      </c>
      <c r="T44" s="22" t="n">
        <v>0</v>
      </c>
      <c r="U44" s="22" t="n">
        <v>0</v>
      </c>
      <c r="V44" s="22" t="n">
        <v>0</v>
      </c>
      <c r="W44" s="22" t="n">
        <v>0</v>
      </c>
    </row>
    <row r="45">
      <c r="A45" s="25" t="n">
        <v>10</v>
      </c>
      <c r="C45" s="26" t="n">
        <v>0</v>
      </c>
      <c r="D45" s="22" t="n">
        <v>0</v>
      </c>
      <c r="E45" s="22" t="n">
        <v>0</v>
      </c>
      <c r="F45" s="22" t="n">
        <v>0</v>
      </c>
      <c r="G45" s="22" t="n">
        <v>0</v>
      </c>
      <c r="H45" s="22" t="n">
        <v>0</v>
      </c>
      <c r="I45" s="22" t="n">
        <v>1</v>
      </c>
      <c r="J45" s="22" t="n">
        <v>0</v>
      </c>
      <c r="K45" s="22" t="n">
        <v>0</v>
      </c>
      <c r="L45" s="22" t="n">
        <v>0</v>
      </c>
      <c r="M45" s="22" t="n">
        <v>0</v>
      </c>
      <c r="N45" s="22" t="n">
        <v>0</v>
      </c>
      <c r="O45" s="22" t="n">
        <v>0</v>
      </c>
      <c r="P45" s="22" t="n">
        <v>0</v>
      </c>
      <c r="Q45" s="22" t="n">
        <v>0</v>
      </c>
      <c r="R45" s="22" t="n">
        <v>0</v>
      </c>
      <c r="S45" s="22" t="n">
        <v>0</v>
      </c>
      <c r="T45" s="22" t="n">
        <v>0</v>
      </c>
      <c r="U45" s="22" t="n">
        <v>0</v>
      </c>
      <c r="V45" s="22" t="n">
        <v>0</v>
      </c>
      <c r="W45" s="22" t="n">
        <v>0</v>
      </c>
    </row>
    <row r="46">
      <c r="A46" s="25" t="n">
        <v>11</v>
      </c>
      <c r="C46" s="26" t="n">
        <v>0</v>
      </c>
      <c r="D46" s="22" t="n">
        <v>0</v>
      </c>
      <c r="E46" s="22" t="n">
        <v>0</v>
      </c>
      <c r="F46" s="22" t="n">
        <v>0</v>
      </c>
      <c r="G46" s="22" t="n">
        <v>0</v>
      </c>
      <c r="H46" s="22" t="n">
        <v>0</v>
      </c>
      <c r="I46" s="22" t="n">
        <v>0</v>
      </c>
      <c r="J46" s="22" t="n">
        <v>0</v>
      </c>
      <c r="K46" s="22" t="n">
        <v>0</v>
      </c>
      <c r="L46" s="22" t="n">
        <v>0</v>
      </c>
      <c r="M46" s="22" t="n">
        <v>0</v>
      </c>
      <c r="N46" s="22" t="n">
        <v>0</v>
      </c>
      <c r="O46" s="22" t="n">
        <v>0</v>
      </c>
      <c r="P46" s="22" t="n">
        <v>0</v>
      </c>
      <c r="Q46" s="22" t="n">
        <v>0</v>
      </c>
      <c r="R46" s="22" t="n">
        <v>0</v>
      </c>
      <c r="S46" s="22" t="n">
        <v>0</v>
      </c>
      <c r="T46" s="22" t="n">
        <v>0</v>
      </c>
      <c r="U46" s="22" t="n">
        <v>0</v>
      </c>
      <c r="V46" s="22" t="n">
        <v>0</v>
      </c>
      <c r="W46" s="22" t="n">
        <v>0</v>
      </c>
    </row>
    <row r="47">
      <c r="A47" s="25" t="n">
        <v>12</v>
      </c>
      <c r="C47" s="26" t="n">
        <v>0</v>
      </c>
      <c r="D47" s="22" t="n">
        <v>0</v>
      </c>
      <c r="E47" s="22" t="n">
        <v>0</v>
      </c>
      <c r="F47" s="22" t="n">
        <v>0</v>
      </c>
      <c r="G47" s="22" t="n">
        <v>0</v>
      </c>
      <c r="H47" s="22" t="n">
        <v>0</v>
      </c>
      <c r="I47" s="22" t="n">
        <v>0</v>
      </c>
      <c r="J47" s="22" t="n">
        <v>0</v>
      </c>
      <c r="K47" s="22" t="n">
        <v>0</v>
      </c>
      <c r="L47" s="22" t="n">
        <v>0</v>
      </c>
      <c r="M47" s="22" t="n">
        <v>0</v>
      </c>
      <c r="N47" s="22" t="n">
        <v>0</v>
      </c>
      <c r="O47" s="22" t="n">
        <v>0</v>
      </c>
      <c r="P47" s="22" t="n">
        <v>0</v>
      </c>
      <c r="Q47" s="22" t="n">
        <v>0</v>
      </c>
      <c r="R47" s="22" t="n">
        <v>0</v>
      </c>
      <c r="S47" s="22" t="n">
        <v>0</v>
      </c>
      <c r="T47" s="22" t="n">
        <v>0</v>
      </c>
      <c r="U47" s="22" t="n">
        <v>0</v>
      </c>
      <c r="V47" s="22" t="n">
        <v>0</v>
      </c>
      <c r="W47" s="22" t="n">
        <v>0</v>
      </c>
    </row>
    <row r="48">
      <c r="A48" s="25" t="n">
        <v>13</v>
      </c>
      <c r="C48" s="26" t="n">
        <v>0</v>
      </c>
      <c r="D48" s="22" t="n">
        <v>0</v>
      </c>
      <c r="E48" s="22" t="n">
        <v>0</v>
      </c>
      <c r="F48" s="22" t="n">
        <v>0</v>
      </c>
      <c r="G48" s="22" t="n">
        <v>0</v>
      </c>
      <c r="H48" s="22" t="n">
        <v>0</v>
      </c>
      <c r="I48" s="22" t="n">
        <v>0</v>
      </c>
      <c r="J48" s="22" t="n">
        <v>0</v>
      </c>
      <c r="K48" s="22" t="n">
        <v>0</v>
      </c>
      <c r="L48" s="22" t="n">
        <v>0</v>
      </c>
      <c r="M48" s="22" t="n">
        <v>0</v>
      </c>
      <c r="N48" s="22" t="n">
        <v>0</v>
      </c>
      <c r="O48" s="22" t="n">
        <v>0</v>
      </c>
      <c r="P48" s="22" t="n">
        <v>0</v>
      </c>
      <c r="Q48" s="22" t="n">
        <v>0</v>
      </c>
      <c r="R48" s="22" t="n">
        <v>0</v>
      </c>
      <c r="S48" s="22" t="n">
        <v>0</v>
      </c>
      <c r="T48" s="22" t="n">
        <v>0</v>
      </c>
      <c r="U48" s="22" t="n">
        <v>0</v>
      </c>
      <c r="V48" s="22" t="n">
        <v>0</v>
      </c>
      <c r="W48" s="22" t="n">
        <v>0</v>
      </c>
    </row>
    <row r="49">
      <c r="A49" s="25" t="n">
        <v>14</v>
      </c>
      <c r="C49" s="26" t="n">
        <v>0</v>
      </c>
      <c r="D49" s="22" t="n">
        <v>0</v>
      </c>
      <c r="E49" s="22" t="n">
        <v>0</v>
      </c>
      <c r="F49" s="22" t="n">
        <v>0</v>
      </c>
      <c r="G49" s="22" t="n">
        <v>0</v>
      </c>
      <c r="H49" s="22" t="n">
        <v>0</v>
      </c>
      <c r="I49" s="22" t="n">
        <v>0</v>
      </c>
      <c r="J49" s="22" t="n">
        <v>0</v>
      </c>
      <c r="K49" s="22" t="n">
        <v>0</v>
      </c>
      <c r="L49" s="22" t="n">
        <v>0</v>
      </c>
      <c r="M49" s="22" t="n">
        <v>0</v>
      </c>
      <c r="N49" s="22" t="n">
        <v>0</v>
      </c>
      <c r="O49" s="22" t="n">
        <v>0</v>
      </c>
      <c r="P49" s="22" t="n">
        <v>0</v>
      </c>
      <c r="Q49" s="22" t="n">
        <v>0</v>
      </c>
      <c r="R49" s="22" t="n">
        <v>0</v>
      </c>
      <c r="S49" s="22" t="n">
        <v>0</v>
      </c>
      <c r="T49" s="22" t="n">
        <v>0</v>
      </c>
      <c r="U49" s="22" t="n">
        <v>0</v>
      </c>
      <c r="V49" s="22" t="n">
        <v>0</v>
      </c>
      <c r="W49" s="22" t="n">
        <v>0</v>
      </c>
    </row>
    <row r="50">
      <c r="A50" s="25" t="n">
        <v>15</v>
      </c>
      <c r="C50" s="26" t="n">
        <v>0</v>
      </c>
      <c r="D50" s="22" t="n">
        <v>0</v>
      </c>
      <c r="E50" s="22" t="n">
        <v>0</v>
      </c>
      <c r="F50" s="22" t="n">
        <v>0</v>
      </c>
      <c r="G50" s="22" t="n">
        <v>0</v>
      </c>
      <c r="H50" s="22" t="n">
        <v>0</v>
      </c>
      <c r="I50" s="22" t="n">
        <v>0</v>
      </c>
      <c r="J50" s="22" t="n">
        <v>0</v>
      </c>
      <c r="K50" s="22" t="n">
        <v>0</v>
      </c>
      <c r="L50" s="22" t="n">
        <v>0</v>
      </c>
      <c r="M50" s="22" t="n">
        <v>0</v>
      </c>
      <c r="N50" s="22" t="n">
        <v>0</v>
      </c>
      <c r="O50" s="22" t="n">
        <v>0</v>
      </c>
      <c r="P50" s="22" t="n">
        <v>0</v>
      </c>
      <c r="Q50" s="22" t="n">
        <v>0</v>
      </c>
      <c r="R50" s="22" t="n">
        <v>0</v>
      </c>
      <c r="S50" s="22" t="n">
        <v>0</v>
      </c>
      <c r="T50" s="22" t="n">
        <v>0</v>
      </c>
      <c r="U50" s="22" t="n">
        <v>0</v>
      </c>
      <c r="V50" s="22" t="n">
        <v>0</v>
      </c>
      <c r="W50" s="22" t="n">
        <v>0</v>
      </c>
    </row>
    <row r="51">
      <c r="A51" s="25" t="n">
        <v>16</v>
      </c>
      <c r="C51" s="26" t="n">
        <v>0</v>
      </c>
      <c r="D51" s="22" t="n">
        <v>0</v>
      </c>
      <c r="E51" s="22" t="n">
        <v>0</v>
      </c>
      <c r="F51" s="22" t="n">
        <v>0</v>
      </c>
      <c r="G51" s="22" t="n">
        <v>0</v>
      </c>
      <c r="H51" s="22" t="n">
        <v>0</v>
      </c>
      <c r="I51" s="22" t="n">
        <v>0</v>
      </c>
      <c r="J51" s="22" t="n">
        <v>0</v>
      </c>
      <c r="K51" s="22" t="n">
        <v>0</v>
      </c>
      <c r="L51" s="22" t="n">
        <v>0</v>
      </c>
      <c r="M51" s="22" t="n">
        <v>0</v>
      </c>
      <c r="N51" s="22" t="n">
        <v>0</v>
      </c>
      <c r="O51" s="22" t="n">
        <v>0</v>
      </c>
      <c r="P51" s="22" t="n">
        <v>0</v>
      </c>
      <c r="Q51" s="22" t="n">
        <v>0</v>
      </c>
      <c r="R51" s="22" t="n">
        <v>0</v>
      </c>
      <c r="S51" s="22" t="n">
        <v>0</v>
      </c>
      <c r="T51" s="22" t="n">
        <v>0</v>
      </c>
      <c r="U51" s="22" t="n">
        <v>0</v>
      </c>
      <c r="V51" s="22" t="n">
        <v>0</v>
      </c>
      <c r="W51" s="22" t="n">
        <v>0</v>
      </c>
    </row>
    <row r="52">
      <c r="A52" s="25" t="n">
        <v>17</v>
      </c>
      <c r="C52" s="26" t="n">
        <v>0</v>
      </c>
      <c r="D52" s="22" t="n">
        <v>0</v>
      </c>
      <c r="E52" s="22" t="n">
        <v>0</v>
      </c>
      <c r="F52" s="22" t="n">
        <v>0</v>
      </c>
      <c r="G52" s="22" t="n">
        <v>0</v>
      </c>
      <c r="H52" s="22" t="n">
        <v>0</v>
      </c>
      <c r="I52" s="22" t="n">
        <v>0</v>
      </c>
      <c r="J52" s="22" t="n">
        <v>0</v>
      </c>
      <c r="K52" s="22" t="n">
        <v>0</v>
      </c>
      <c r="L52" s="22" t="n">
        <v>0</v>
      </c>
      <c r="M52" s="22" t="n">
        <v>0</v>
      </c>
      <c r="N52" s="22" t="n">
        <v>0</v>
      </c>
      <c r="O52" s="22" t="n">
        <v>0</v>
      </c>
      <c r="P52" s="22" t="n">
        <v>0</v>
      </c>
      <c r="Q52" s="22" t="n">
        <v>0</v>
      </c>
      <c r="R52" s="22" t="n">
        <v>0</v>
      </c>
      <c r="S52" s="22" t="n">
        <v>0</v>
      </c>
      <c r="T52" s="22" t="n">
        <v>0</v>
      </c>
      <c r="U52" s="22" t="n">
        <v>0</v>
      </c>
      <c r="V52" s="22" t="n">
        <v>0</v>
      </c>
      <c r="W52" s="22" t="n">
        <v>0</v>
      </c>
    </row>
    <row r="53">
      <c r="A53" s="25" t="n">
        <v>18</v>
      </c>
      <c r="C53" s="26" t="n">
        <v>0</v>
      </c>
      <c r="D53" s="22" t="n">
        <v>0</v>
      </c>
      <c r="E53" s="22" t="n">
        <v>0</v>
      </c>
      <c r="F53" s="22" t="n">
        <v>0</v>
      </c>
      <c r="G53" s="22" t="n">
        <v>0</v>
      </c>
      <c r="H53" s="22" t="n">
        <v>0</v>
      </c>
      <c r="I53" s="22" t="n">
        <v>0</v>
      </c>
      <c r="J53" s="22" t="n">
        <v>0</v>
      </c>
      <c r="K53" s="22" t="n">
        <v>0</v>
      </c>
      <c r="L53" s="22" t="n">
        <v>0</v>
      </c>
      <c r="M53" s="22" t="n">
        <v>0</v>
      </c>
      <c r="N53" s="22" t="n">
        <v>0</v>
      </c>
      <c r="O53" s="22" t="n">
        <v>0</v>
      </c>
      <c r="P53" s="22" t="n">
        <v>0</v>
      </c>
      <c r="Q53" s="22" t="n">
        <v>0</v>
      </c>
      <c r="R53" s="22" t="n">
        <v>0</v>
      </c>
      <c r="S53" s="22" t="n">
        <v>0</v>
      </c>
      <c r="T53" s="22" t="n">
        <v>0</v>
      </c>
      <c r="U53" s="22" t="n">
        <v>0</v>
      </c>
      <c r="V53" s="22" t="n">
        <v>0</v>
      </c>
      <c r="W53" s="22" t="n">
        <v>0</v>
      </c>
    </row>
    <row r="54">
      <c r="A54" s="25" t="n">
        <v>19</v>
      </c>
      <c r="C54" s="26" t="n">
        <v>0</v>
      </c>
      <c r="D54" s="22" t="n">
        <v>0</v>
      </c>
      <c r="E54" s="22" t="n">
        <v>0</v>
      </c>
      <c r="F54" s="22" t="n">
        <v>0</v>
      </c>
      <c r="G54" s="22" t="n">
        <v>0</v>
      </c>
      <c r="H54" s="22" t="n">
        <v>0</v>
      </c>
      <c r="I54" s="22" t="n">
        <v>0</v>
      </c>
      <c r="J54" s="22" t="n">
        <v>0</v>
      </c>
      <c r="K54" s="22" t="n">
        <v>0</v>
      </c>
      <c r="L54" s="22" t="n">
        <v>0</v>
      </c>
      <c r="M54" s="22" t="n">
        <v>0</v>
      </c>
      <c r="N54" s="22" t="n">
        <v>0</v>
      </c>
      <c r="O54" s="22" t="n">
        <v>0</v>
      </c>
      <c r="P54" s="22" t="n">
        <v>0</v>
      </c>
      <c r="Q54" s="22" t="n">
        <v>0</v>
      </c>
      <c r="R54" s="22" t="n">
        <v>0</v>
      </c>
      <c r="S54" s="22" t="n">
        <v>0</v>
      </c>
      <c r="T54" s="22" t="n">
        <v>0</v>
      </c>
      <c r="U54" s="22" t="n">
        <v>0</v>
      </c>
      <c r="V54" s="22" t="n">
        <v>0</v>
      </c>
      <c r="W54" s="22" t="n">
        <v>0</v>
      </c>
    </row>
    <row r="55">
      <c r="A55" s="25" t="n">
        <v>20</v>
      </c>
      <c r="C55" s="26" t="n">
        <v>0</v>
      </c>
      <c r="D55" s="22" t="n">
        <v>0</v>
      </c>
      <c r="E55" s="22" t="n">
        <v>0</v>
      </c>
      <c r="F55" s="22" t="n">
        <v>0</v>
      </c>
      <c r="G55" s="22" t="n">
        <v>0</v>
      </c>
      <c r="H55" s="22" t="n">
        <v>0</v>
      </c>
      <c r="I55" s="22" t="n">
        <v>0</v>
      </c>
      <c r="J55" s="22" t="n">
        <v>0</v>
      </c>
      <c r="K55" s="22" t="n">
        <v>0</v>
      </c>
      <c r="L55" s="22" t="n">
        <v>0</v>
      </c>
      <c r="M55" s="22" t="n">
        <v>0</v>
      </c>
      <c r="N55" s="22" t="n">
        <v>0</v>
      </c>
      <c r="O55" s="22" t="n">
        <v>0</v>
      </c>
      <c r="P55" s="22" t="n">
        <v>0</v>
      </c>
      <c r="Q55" s="22" t="n">
        <v>0</v>
      </c>
      <c r="R55" s="22" t="n">
        <v>0</v>
      </c>
      <c r="S55" s="22" t="n">
        <v>0</v>
      </c>
      <c r="T55" s="22" t="n">
        <v>0</v>
      </c>
      <c r="U55" s="22" t="n">
        <v>0</v>
      </c>
      <c r="V55" s="22" t="n">
        <v>0</v>
      </c>
      <c r="W55" s="22" t="n">
        <v>0</v>
      </c>
    </row>
  </sheetData>
  <dataValidations count="2">
    <dataValidation sqref="AI2" showDropDown="0" showInputMessage="0" showErrorMessage="0" allowBlank="0" type="list">
      <formula1>"p25,p50,p75"</formula1>
    </dataValidation>
    <dataValidation sqref="AI3" showDropDown="0" showInputMessage="0" showErrorMessage="0" allowBlank="0" type="list">
      <formula1>"NONPAYER,PAYER"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15"/>
  <sheetViews>
    <sheetView workbookViewId="0">
      <selection activeCell="A1" sqref="A1"/>
    </sheetView>
  </sheetViews>
  <sheetFormatPr baseColWidth="8" defaultRowHeight="15"/>
  <cols>
    <col width="19.38" customWidth="1" min="1" max="1"/>
    <col width="4.5" customWidth="1" min="2" max="2"/>
    <col width="8.630000000000001" customWidth="1" min="23" max="23"/>
    <col width="2.88" customWidth="1" min="33" max="33"/>
    <col width="16" customWidth="1" min="34" max="34"/>
    <col width="7" customWidth="1" min="35" max="35"/>
    <col width="34" customWidth="1" min="36" max="36"/>
    <col width="7" customWidth="1" min="37" max="37"/>
    <col width="34" customWidth="1" min="38" max="38"/>
    <col width="7" customWidth="1" min="39" max="39"/>
    <col width="34" customWidth="1" min="40" max="40"/>
    <col width="7" customWidth="1" min="41" max="41"/>
    <col width="34" customWidth="1" min="42" max="42"/>
    <col width="7" customWidth="1" min="43" max="43"/>
    <col width="34" customWidth="1" min="44" max="44"/>
  </cols>
  <sheetData>
    <row r="1" ht="21.75" customHeight="1">
      <c r="A1" s="1" t="inlineStr">
        <is>
          <t>Flock Flurry</t>
        </is>
      </c>
      <c r="AH1" s="2" t="inlineStr">
        <is>
          <t>Player Rank Simulation (measured rank percentile → ladder reward) — SIMULATED</t>
        </is>
      </c>
    </row>
    <row r="2" ht="19.5" customHeight="1">
      <c r="A2" s="3" t="inlineStr">
        <is>
          <t>Config Panel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AH2" s="4" t="inlineStr">
        <is>
          <t>Percentile</t>
        </is>
      </c>
      <c r="AI2" s="5" t="inlineStr">
        <is>
          <t>p50</t>
        </is>
      </c>
    </row>
    <row r="3">
      <c r="A3" s="6" t="inlineStr">
        <is>
          <t>Total Players</t>
        </is>
      </c>
      <c r="B3" s="7" t="n">
        <v>5</v>
      </c>
      <c r="AH3" s="4" t="inlineStr">
        <is>
          <t>Payer</t>
        </is>
      </c>
      <c r="AI3" s="5" t="inlineStr">
        <is>
          <t>NONPAYER</t>
        </is>
      </c>
    </row>
    <row r="4">
      <c r="A4" s="6" t="inlineStr">
        <is>
          <t>Days</t>
        </is>
      </c>
      <c r="B4" s="7" t="n">
        <v>1</v>
      </c>
    </row>
    <row r="5">
      <c r="A5" s="6" t="inlineStr">
        <is>
          <t>Player level</t>
        </is>
      </c>
      <c r="B5" s="7" t="n">
        <v>1</v>
      </c>
      <c r="AH5" s="8" t="inlineStr">
        <is>
          <t>Event</t>
        </is>
      </c>
      <c r="AI5" s="8" t="inlineStr">
        <is>
          <t>0-9_pos</t>
        </is>
      </c>
      <c r="AJ5" s="8" t="inlineStr">
        <is>
          <t>0-9_reward</t>
        </is>
      </c>
      <c r="AK5" s="8" t="inlineStr">
        <is>
          <t>10-19_pos</t>
        </is>
      </c>
      <c r="AL5" s="8" t="inlineStr">
        <is>
          <t>10-19_reward</t>
        </is>
      </c>
      <c r="AM5" s="8" t="inlineStr">
        <is>
          <t>20-39_pos</t>
        </is>
      </c>
      <c r="AN5" s="8" t="inlineStr">
        <is>
          <t>20-39_reward</t>
        </is>
      </c>
      <c r="AO5" s="8" t="inlineStr">
        <is>
          <t>40-99_pos</t>
        </is>
      </c>
      <c r="AP5" s="8" t="inlineStr">
        <is>
          <t>40-99_reward</t>
        </is>
      </c>
      <c r="AQ5" s="8" t="inlineStr">
        <is>
          <t>100_pos</t>
        </is>
      </c>
      <c r="AR5" s="8" t="inlineStr">
        <is>
          <t>100_reward</t>
        </is>
      </c>
    </row>
    <row r="6">
      <c r="A6" s="6" t="inlineStr">
        <is>
          <t>Level unlock</t>
        </is>
      </c>
      <c r="B6" s="7" t="n">
        <v>27</v>
      </c>
      <c r="AH6" s="9" t="inlineStr">
        <is>
          <t>Flock Flurry</t>
        </is>
      </c>
      <c r="AI6" s="10">
        <f>LET(pos,CHOOSE(MATCH($AI$2,{"p25","p50","p75"},0),SUMIFS(data_event_inst!$K:$K,data_event_inst!$A:$A,"Flock Flurry",data_event_inst!$B:$B,$AI$3,data_event_inst!$C:$C,"0-9"),SUMIFS(data_event_inst!$L:$L,data_event_inst!$A:$A,"Flock Flurry",data_event_inst!$B:$B,$AI$3,data_event_inst!$C:$C,"0-9"),SUMIFS(data_event_inst!$M:$M,data_event_inst!$A:$A,"Flock Flurry",data_event_inst!$B:$B,$AI$3,data_event_inst!$C:$C,"0-9")),IF(pos=0,"n/a",pos))</f>
        <v/>
      </c>
      <c r="AJ6" s="11">
        <f>LET(p,AI6,IF(p="n/a","n/a",IF(p&gt;5,"— (below ladder)",LET(s,INDEX($B$11:$V$15,p,0),b,TEXTJOIN(", ",TRUE,ARRAYFORMULA(IF(s&gt;0,$B$10:$V$10&amp;": "&amp;ROUND(s,2),""))),IF(b="","{} (rank pays nothing)","{"&amp;b&amp;"}")))))</f>
        <v/>
      </c>
      <c r="AK6" s="10">
        <f>LET(pos,CHOOSE(MATCH($AI$2,{"p25","p50","p75"},0),SUMIFS(data_event_inst!$K:$K,data_event_inst!$A:$A,"Flock Flurry",data_event_inst!$B:$B,$AI$3,data_event_inst!$C:$C,"10-19"),SUMIFS(data_event_inst!$L:$L,data_event_inst!$A:$A,"Flock Flurry",data_event_inst!$B:$B,$AI$3,data_event_inst!$C:$C,"10-19"),SUMIFS(data_event_inst!$M:$M,data_event_inst!$A:$A,"Flock Flurry",data_event_inst!$B:$B,$AI$3,data_event_inst!$C:$C,"10-19")),IF(pos=0,"n/a",pos))</f>
        <v/>
      </c>
      <c r="AL6" s="11">
        <f>LET(p,AK6,IF(p="n/a","n/a",IF(p&gt;5,"— (below ladder)",LET(s,INDEX($B$11:$V$15,p,0),b,TEXTJOIN(", ",TRUE,ARRAYFORMULA(IF(s&gt;0,$B$10:$V$10&amp;": "&amp;ROUND(s,2),""))),IF(b="","{} (rank pays nothing)","{"&amp;b&amp;"}")))))</f>
        <v/>
      </c>
      <c r="AM6" s="10">
        <f>LET(pos,CHOOSE(MATCH($AI$2,{"p25","p50","p75"},0),SUMIFS(data_event_inst!$K:$K,data_event_inst!$A:$A,"Flock Flurry",data_event_inst!$B:$B,$AI$3,data_event_inst!$C:$C,"20-39"),SUMIFS(data_event_inst!$L:$L,data_event_inst!$A:$A,"Flock Flurry",data_event_inst!$B:$B,$AI$3,data_event_inst!$C:$C,"20-39"),SUMIFS(data_event_inst!$M:$M,data_event_inst!$A:$A,"Flock Flurry",data_event_inst!$B:$B,$AI$3,data_event_inst!$C:$C,"20-39")),IF(pos=0,"n/a",pos))</f>
        <v/>
      </c>
      <c r="AN6" s="11">
        <f>LET(p,AM6,IF(p="n/a","n/a",IF(p&gt;5,"— (below ladder)",LET(s,INDEX($B$11:$V$15,p,0),b,TEXTJOIN(", ",TRUE,ARRAYFORMULA(IF(s&gt;0,$B$10:$V$10&amp;": "&amp;ROUND(s,2),""))),IF(b="","{} (rank pays nothing)","{"&amp;b&amp;"}")))))</f>
        <v/>
      </c>
      <c r="AO6" s="10">
        <f>LET(pos,CHOOSE(MATCH($AI$2,{"p25","p50","p75"},0),SUMIFS(data_event_inst!$K:$K,data_event_inst!$A:$A,"Flock Flurry",data_event_inst!$B:$B,$AI$3,data_event_inst!$C:$C,"40-99"),SUMIFS(data_event_inst!$L:$L,data_event_inst!$A:$A,"Flock Flurry",data_event_inst!$B:$B,$AI$3,data_event_inst!$C:$C,"40-99"),SUMIFS(data_event_inst!$M:$M,data_event_inst!$A:$A,"Flock Flurry",data_event_inst!$B:$B,$AI$3,data_event_inst!$C:$C,"40-99")),IF(pos=0,"n/a",pos))</f>
        <v/>
      </c>
      <c r="AP6" s="11">
        <f>LET(p,AO6,IF(p="n/a","n/a",IF(p&gt;5,"— (below ladder)",LET(s,INDEX($B$11:$V$15,p,0),b,TEXTJOIN(", ",TRUE,ARRAYFORMULA(IF(s&gt;0,$B$10:$V$10&amp;": "&amp;ROUND(s,2),""))),IF(b="","{} (rank pays nothing)","{"&amp;b&amp;"}")))))</f>
        <v/>
      </c>
      <c r="AQ6" s="10">
        <f>LET(pos,CHOOSE(MATCH($AI$2,{"p25","p50","p75"},0),SUMIFS(data_event_inst!$K:$K,data_event_inst!$A:$A,"Flock Flurry",data_event_inst!$B:$B,$AI$3,data_event_inst!$C:$C,"100+"),SUMIFS(data_event_inst!$L:$L,data_event_inst!$A:$A,"Flock Flurry",data_event_inst!$B:$B,$AI$3,data_event_inst!$C:$C,"100+"),SUMIFS(data_event_inst!$M:$M,data_event_inst!$A:$A,"Flock Flurry",data_event_inst!$B:$B,$AI$3,data_event_inst!$C:$C,"100+")),IF(pos=0,"n/a",pos))</f>
        <v/>
      </c>
      <c r="AR6" s="11">
        <f>LET(p,AQ6,IF(p="n/a","n/a",IF(p&gt;5,"— (below ladder)",LET(s,INDEX($B$11:$V$15,p,0),b,TEXTJOIN(", ",TRUE,ARRAYFORMULA(IF(s&gt;0,$B$10:$V$10&amp;": "&amp;ROUND(s,2),""))),IF(b="","{} (rank pays nothing)","{"&amp;b&amp;"}")))))</f>
        <v/>
      </c>
    </row>
    <row r="7">
      <c r="A7" s="6" t="inlineStr">
        <is>
          <t>EventDuration (days)</t>
        </is>
      </c>
      <c r="B7" s="7" t="n">
        <v>1</v>
      </c>
    </row>
    <row r="8">
      <c r="AH8" s="12" t="inlineStr">
        <is>
          <t>p25 = top-quartile finisher (lower position = better); source: data_event_inst position percentiles, measured on the CURRENT calendar</t>
        </is>
      </c>
    </row>
    <row r="9" ht="19.5" customHeight="1">
      <c r="A9" s="3" t="inlineStr">
        <is>
          <t>Goals and Rewards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AH9" s="12" t="inlineStr">
        <is>
          <t>⚠ winner-take-all: only position 1 pays (20 SPT + 4 boosters); SPT is outside the 11-resource universe</t>
        </is>
      </c>
    </row>
    <row r="10" ht="90" customHeight="1">
      <c r="A10" s="23" t="inlineStr">
        <is>
          <t>Position</t>
        </is>
      </c>
      <c r="B10" s="24" t="inlineStr">
        <is>
          <t>Coins</t>
        </is>
      </c>
      <c r="C10" s="18" t="inlineStr">
        <is>
          <t>SPT</t>
        </is>
      </c>
      <c r="D10" s="18" t="inlineStr">
        <is>
          <t>SPT x2</t>
        </is>
      </c>
      <c r="E10" s="18" t="inlineStr">
        <is>
          <t>Red</t>
        </is>
      </c>
      <c r="F10" s="18" t="inlineStr">
        <is>
          <t>Chuck</t>
        </is>
      </c>
      <c r="G10" s="18" t="inlineStr">
        <is>
          <t>Bomb</t>
        </is>
      </c>
      <c r="H10" s="18" t="inlineStr">
        <is>
          <t>Slingshot</t>
        </is>
      </c>
      <c r="I10" s="18" t="inlineStr">
        <is>
          <t>Shuffle</t>
        </is>
      </c>
      <c r="J10" s="18" t="inlineStr">
        <is>
          <t>Comet</t>
        </is>
      </c>
      <c r="K10" s="18" t="inlineStr">
        <is>
          <t>Unlimited Lives</t>
        </is>
      </c>
      <c r="L10" s="18" t="inlineStr">
        <is>
          <t>Unlimited Red</t>
        </is>
      </c>
      <c r="M10" s="18" t="inlineStr">
        <is>
          <t>Unlimited Chuck</t>
        </is>
      </c>
      <c r="N10" s="18" t="inlineStr">
        <is>
          <t>Unlimited Bomb</t>
        </is>
      </c>
      <c r="O10" s="18" t="inlineStr">
        <is>
          <t>COOP Token</t>
        </is>
      </c>
      <c r="P10" s="18" t="inlineStr">
        <is>
          <t>Avatar</t>
        </is>
      </c>
      <c r="Q10" s="18" t="inlineStr">
        <is>
          <t>1-star Dly</t>
        </is>
      </c>
      <c r="R10" s="18" t="inlineStr">
        <is>
          <t>2-star Dly</t>
        </is>
      </c>
      <c r="S10" s="18" t="inlineStr">
        <is>
          <t>3-star Dly</t>
        </is>
      </c>
      <c r="T10" s="18" t="inlineStr">
        <is>
          <t>4-star Dly</t>
        </is>
      </c>
      <c r="U10" s="18" t="inlineStr">
        <is>
          <t>5-star Dly</t>
        </is>
      </c>
      <c r="V10" s="18" t="inlineStr">
        <is>
          <t>6-star Dly</t>
        </is>
      </c>
      <c r="AH10" s="12" t="inlineStr">
        <is>
          <t>⚠ the 1h Unlimited Lives on opt-in is a JOIN grant, not a rank reward — not shown here (see flock-flurry.md)</t>
        </is>
      </c>
    </row>
    <row r="11">
      <c r="A11" s="25" t="n">
        <v>1</v>
      </c>
      <c r="B11" s="26" t="n">
        <v>0</v>
      </c>
      <c r="C11" s="22" t="n">
        <v>20</v>
      </c>
      <c r="D11" s="22" t="n">
        <v>0</v>
      </c>
      <c r="E11" s="22" t="n">
        <v>1</v>
      </c>
      <c r="F11" s="22" t="n">
        <v>1</v>
      </c>
      <c r="G11" s="22" t="n">
        <v>1</v>
      </c>
      <c r="H11" s="22" t="n">
        <v>1</v>
      </c>
      <c r="I11" s="22" t="n">
        <v>0</v>
      </c>
      <c r="J11" s="22" t="n">
        <v>0</v>
      </c>
      <c r="K11" s="22" t="n">
        <v>0</v>
      </c>
      <c r="L11" s="22" t="n">
        <v>0</v>
      </c>
      <c r="M11" s="22" t="n">
        <v>0</v>
      </c>
      <c r="N11" s="22" t="n">
        <v>0</v>
      </c>
      <c r="O11" s="22" t="n">
        <v>0</v>
      </c>
      <c r="P11" s="22" t="n">
        <v>0</v>
      </c>
      <c r="Q11" s="22" t="n">
        <v>0</v>
      </c>
      <c r="R11" s="22" t="n">
        <v>0</v>
      </c>
      <c r="S11" s="22" t="n">
        <v>0</v>
      </c>
      <c r="T11" s="22" t="n">
        <v>0</v>
      </c>
      <c r="U11" s="22" t="n">
        <v>0</v>
      </c>
      <c r="V11" s="22" t="n">
        <v>0</v>
      </c>
    </row>
    <row r="12">
      <c r="A12" s="25" t="n">
        <v>2</v>
      </c>
      <c r="B12" s="26" t="n">
        <v>0</v>
      </c>
      <c r="C12" s="22" t="n">
        <v>0</v>
      </c>
      <c r="D12" s="22" t="n">
        <v>0</v>
      </c>
      <c r="E12" s="22" t="n">
        <v>0</v>
      </c>
      <c r="F12" s="22" t="n">
        <v>0</v>
      </c>
      <c r="G12" s="22" t="n">
        <v>0</v>
      </c>
      <c r="H12" s="22" t="n">
        <v>0</v>
      </c>
      <c r="I12" s="22" t="n">
        <v>0</v>
      </c>
      <c r="J12" s="22" t="n">
        <v>0</v>
      </c>
      <c r="K12" s="22" t="n">
        <v>0</v>
      </c>
      <c r="L12" s="22" t="n">
        <v>0</v>
      </c>
      <c r="M12" s="22" t="n">
        <v>0</v>
      </c>
      <c r="N12" s="22" t="n">
        <v>0</v>
      </c>
      <c r="O12" s="22" t="n">
        <v>0</v>
      </c>
      <c r="P12" s="22" t="n">
        <v>0</v>
      </c>
      <c r="Q12" s="22" t="n">
        <v>0</v>
      </c>
      <c r="R12" s="22" t="n">
        <v>0</v>
      </c>
      <c r="S12" s="22" t="n">
        <v>0</v>
      </c>
      <c r="T12" s="22" t="n">
        <v>0</v>
      </c>
      <c r="U12" s="22" t="n">
        <v>0</v>
      </c>
      <c r="V12" s="22" t="n">
        <v>0</v>
      </c>
    </row>
    <row r="13">
      <c r="A13" s="25" t="n">
        <v>3</v>
      </c>
      <c r="B13" s="26" t="n">
        <v>0</v>
      </c>
      <c r="C13" s="22" t="n">
        <v>0</v>
      </c>
      <c r="D13" s="22" t="n">
        <v>0</v>
      </c>
      <c r="E13" s="22" t="n">
        <v>0</v>
      </c>
      <c r="F13" s="22" t="n">
        <v>0</v>
      </c>
      <c r="G13" s="22" t="n">
        <v>0</v>
      </c>
      <c r="H13" s="22" t="n">
        <v>0</v>
      </c>
      <c r="I13" s="22" t="n">
        <v>0</v>
      </c>
      <c r="J13" s="22" t="n">
        <v>0</v>
      </c>
      <c r="K13" s="22" t="n">
        <v>0</v>
      </c>
      <c r="L13" s="22" t="n">
        <v>0</v>
      </c>
      <c r="M13" s="22" t="n">
        <v>0</v>
      </c>
      <c r="N13" s="22" t="n">
        <v>0</v>
      </c>
      <c r="O13" s="22" t="n">
        <v>0</v>
      </c>
      <c r="P13" s="22" t="n">
        <v>0</v>
      </c>
      <c r="Q13" s="22" t="n">
        <v>0</v>
      </c>
      <c r="R13" s="22" t="n">
        <v>0</v>
      </c>
      <c r="S13" s="22" t="n">
        <v>0</v>
      </c>
      <c r="T13" s="22" t="n">
        <v>0</v>
      </c>
      <c r="U13" s="22" t="n">
        <v>0</v>
      </c>
      <c r="V13" s="22" t="n">
        <v>0</v>
      </c>
    </row>
    <row r="14">
      <c r="A14" s="25" t="n">
        <v>4</v>
      </c>
      <c r="B14" s="26" t="n">
        <v>0</v>
      </c>
      <c r="C14" s="22" t="n">
        <v>0</v>
      </c>
      <c r="D14" s="22" t="n">
        <v>0</v>
      </c>
      <c r="E14" s="22" t="n">
        <v>0</v>
      </c>
      <c r="F14" s="22" t="n">
        <v>0</v>
      </c>
      <c r="G14" s="22" t="n">
        <v>0</v>
      </c>
      <c r="H14" s="22" t="n">
        <v>0</v>
      </c>
      <c r="I14" s="22" t="n">
        <v>0</v>
      </c>
      <c r="J14" s="22" t="n">
        <v>0</v>
      </c>
      <c r="K14" s="22" t="n">
        <v>0</v>
      </c>
      <c r="L14" s="22" t="n">
        <v>0</v>
      </c>
      <c r="M14" s="22" t="n">
        <v>0</v>
      </c>
      <c r="N14" s="22" t="n">
        <v>0</v>
      </c>
      <c r="O14" s="22" t="n">
        <v>0</v>
      </c>
      <c r="P14" s="22" t="n">
        <v>0</v>
      </c>
      <c r="Q14" s="22" t="n">
        <v>0</v>
      </c>
      <c r="R14" s="22" t="n">
        <v>0</v>
      </c>
      <c r="S14" s="22" t="n">
        <v>0</v>
      </c>
      <c r="T14" s="22" t="n">
        <v>0</v>
      </c>
      <c r="U14" s="22" t="n">
        <v>0</v>
      </c>
      <c r="V14" s="22" t="n">
        <v>0</v>
      </c>
    </row>
    <row r="15">
      <c r="A15" s="25" t="n">
        <v>5</v>
      </c>
      <c r="B15" s="26" t="n">
        <v>0</v>
      </c>
      <c r="C15" s="22" t="n">
        <v>0</v>
      </c>
      <c r="D15" s="22" t="n">
        <v>0</v>
      </c>
      <c r="E15" s="22" t="n">
        <v>0</v>
      </c>
      <c r="F15" s="22" t="n">
        <v>0</v>
      </c>
      <c r="G15" s="22" t="n">
        <v>0</v>
      </c>
      <c r="H15" s="22" t="n">
        <v>0</v>
      </c>
      <c r="I15" s="22" t="n">
        <v>0</v>
      </c>
      <c r="J15" s="22" t="n">
        <v>0</v>
      </c>
      <c r="K15" s="22" t="n">
        <v>0</v>
      </c>
      <c r="L15" s="22" t="n">
        <v>0</v>
      </c>
      <c r="M15" s="22" t="n">
        <v>0</v>
      </c>
      <c r="N15" s="22" t="n">
        <v>0</v>
      </c>
      <c r="O15" s="22" t="n">
        <v>0</v>
      </c>
      <c r="P15" s="22" t="n">
        <v>0</v>
      </c>
      <c r="Q15" s="22" t="n">
        <v>0</v>
      </c>
      <c r="R15" s="22" t="n">
        <v>0</v>
      </c>
      <c r="S15" s="22" t="n">
        <v>0</v>
      </c>
      <c r="T15" s="22" t="n">
        <v>0</v>
      </c>
      <c r="U15" s="22" t="n">
        <v>0</v>
      </c>
      <c r="V15" s="22" t="n">
        <v>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dataValidations count="2">
    <dataValidation sqref="AI2" showDropDown="0" showInputMessage="0" showErrorMessage="0" allowBlank="0" type="list">
      <formula1>"p25,p50,p75"</formula1>
    </dataValidation>
    <dataValidation sqref="AI3" showDropDown="0" showInputMessage="0" showErrorMessage="0" allowBlank="0" type="list">
      <formula1>"NONPAYER,PAYER"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91"/>
  <sheetViews>
    <sheetView workbookViewId="0">
      <selection activeCell="A1" sqref="A1"/>
    </sheetView>
  </sheetViews>
  <sheetFormatPr baseColWidth="8" defaultRowHeight="15"/>
  <cols>
    <col width="21" customWidth="1" min="1" max="1"/>
    <col width="4.5" customWidth="1" min="2" max="2"/>
    <col width="8.630000000000001" customWidth="1" min="23" max="23"/>
    <col width="2.88" customWidth="1" min="33" max="33"/>
    <col width="16" customWidth="1" min="34" max="34"/>
    <col width="7" customWidth="1" min="35" max="35"/>
    <col width="34" customWidth="1" min="36" max="36"/>
    <col width="7" customWidth="1" min="37" max="37"/>
    <col width="34" customWidth="1" min="38" max="38"/>
    <col width="7" customWidth="1" min="39" max="39"/>
    <col width="34" customWidth="1" min="40" max="40"/>
    <col width="7" customWidth="1" min="41" max="41"/>
    <col width="34" customWidth="1" min="42" max="42"/>
    <col width="7" customWidth="1" min="43" max="43"/>
    <col width="34" customWidth="1" min="44" max="44"/>
  </cols>
  <sheetData>
    <row r="1" ht="21.75" customHeight="1">
      <c r="A1" s="1" t="inlineStr">
        <is>
          <t>All LB Challenges</t>
        </is>
      </c>
      <c r="AH1" s="2" t="inlineStr">
        <is>
          <t>Player Rank Simulation (measured rank percentile → ladder reward) — SIMULATED</t>
        </is>
      </c>
    </row>
    <row r="2">
      <c r="AH2" s="4" t="inlineStr">
        <is>
          <t>Percentile</t>
        </is>
      </c>
      <c r="AI2" s="5" t="inlineStr">
        <is>
          <t>p50</t>
        </is>
      </c>
    </row>
    <row r="3" ht="19.5" customHeight="1">
      <c r="A3" s="3" t="inlineStr">
        <is>
          <t>Red's Challenge - Config Panel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AH3" s="4" t="inlineStr">
        <is>
          <t>Payer</t>
        </is>
      </c>
      <c r="AI3" s="5" t="inlineStr">
        <is>
          <t>NONPAYER</t>
        </is>
      </c>
    </row>
    <row r="4">
      <c r="A4" s="6" t="inlineStr">
        <is>
          <t>numberOfPositions</t>
        </is>
      </c>
      <c r="B4" s="7" t="n">
        <v>10</v>
      </c>
    </row>
    <row r="5">
      <c r="A5" s="6" t="inlineStr">
        <is>
          <t>LBSize</t>
        </is>
      </c>
      <c r="B5" s="7" t="n">
        <v>10</v>
      </c>
      <c r="AH5" s="8" t="inlineStr">
        <is>
          <t>Event</t>
        </is>
      </c>
      <c r="AI5" s="8" t="inlineStr">
        <is>
          <t>0-9_pos</t>
        </is>
      </c>
      <c r="AJ5" s="8" t="inlineStr">
        <is>
          <t>0-9_reward</t>
        </is>
      </c>
      <c r="AK5" s="8" t="inlineStr">
        <is>
          <t>10-19_pos</t>
        </is>
      </c>
      <c r="AL5" s="8" t="inlineStr">
        <is>
          <t>10-19_reward</t>
        </is>
      </c>
      <c r="AM5" s="8" t="inlineStr">
        <is>
          <t>20-39_pos</t>
        </is>
      </c>
      <c r="AN5" s="8" t="inlineStr">
        <is>
          <t>20-39_reward</t>
        </is>
      </c>
      <c r="AO5" s="8" t="inlineStr">
        <is>
          <t>40-99_pos</t>
        </is>
      </c>
      <c r="AP5" s="8" t="inlineStr">
        <is>
          <t>40-99_reward</t>
        </is>
      </c>
      <c r="AQ5" s="8" t="inlineStr">
        <is>
          <t>100_pos</t>
        </is>
      </c>
      <c r="AR5" s="8" t="inlineStr">
        <is>
          <t>100_reward</t>
        </is>
      </c>
    </row>
    <row r="6">
      <c r="A6" s="6" t="inlineStr">
        <is>
          <t>EventDuration</t>
        </is>
      </c>
      <c r="B6" s="7" t="n">
        <v>2</v>
      </c>
      <c r="AH6" s="9" t="inlineStr">
        <is>
          <t>Red Challenge</t>
        </is>
      </c>
      <c r="AI6" s="10">
        <f>LET(pos,CHOOSE(MATCH($AI$2,{"p25","p50","p75"},0),SUMIFS(data_event_inst!$K:$K,data_event_inst!$A:$A,"Red",data_event_inst!$B:$B,$AI$3,data_event_inst!$C:$C,"0-9"),SUMIFS(data_event_inst!$L:$L,data_event_inst!$A:$A,"Red",data_event_inst!$B:$B,$AI$3,data_event_inst!$C:$C,"0-9"),SUMIFS(data_event_inst!$M:$M,data_event_inst!$A:$A,"Red",data_event_inst!$B:$B,$AI$3,data_event_inst!$C:$C,"0-9")),IF(pos=0,"n/a",pos))</f>
        <v/>
      </c>
      <c r="AJ6" s="11">
        <f>LET(p,AI6,IF(p="n/a","n/a",IF(p&gt;10,"— (below ladder)",LET(s,INDEX($B$10:$V$19,p,0),b,TEXTJOIN(", ",TRUE,ARRAYFORMULA(IF(s&gt;0,$B$9:$V$9&amp;": "&amp;ROUND(s,2),""))),IF(b="","{} (rank pays nothing)","{"&amp;b&amp;"}")))))</f>
        <v/>
      </c>
      <c r="AK6" s="10">
        <f>LET(pos,CHOOSE(MATCH($AI$2,{"p25","p50","p75"},0),SUMIFS(data_event_inst!$K:$K,data_event_inst!$A:$A,"Red",data_event_inst!$B:$B,$AI$3,data_event_inst!$C:$C,"10-19"),SUMIFS(data_event_inst!$L:$L,data_event_inst!$A:$A,"Red",data_event_inst!$B:$B,$AI$3,data_event_inst!$C:$C,"10-19"),SUMIFS(data_event_inst!$M:$M,data_event_inst!$A:$A,"Red",data_event_inst!$B:$B,$AI$3,data_event_inst!$C:$C,"10-19")),IF(pos=0,"n/a",pos))</f>
        <v/>
      </c>
      <c r="AL6" s="11">
        <f>LET(p,AK6,IF(p="n/a","n/a",IF(p&gt;10,"— (below ladder)",LET(s,INDEX($B$10:$V$19,p,0),b,TEXTJOIN(", ",TRUE,ARRAYFORMULA(IF(s&gt;0,$B$9:$V$9&amp;": "&amp;ROUND(s,2),""))),IF(b="","{} (rank pays nothing)","{"&amp;b&amp;"}")))))</f>
        <v/>
      </c>
      <c r="AM6" s="10">
        <f>LET(pos,CHOOSE(MATCH($AI$2,{"p25","p50","p75"},0),SUMIFS(data_event_inst!$K:$K,data_event_inst!$A:$A,"Red",data_event_inst!$B:$B,$AI$3,data_event_inst!$C:$C,"20-39"),SUMIFS(data_event_inst!$L:$L,data_event_inst!$A:$A,"Red",data_event_inst!$B:$B,$AI$3,data_event_inst!$C:$C,"20-39"),SUMIFS(data_event_inst!$M:$M,data_event_inst!$A:$A,"Red",data_event_inst!$B:$B,$AI$3,data_event_inst!$C:$C,"20-39")),IF(pos=0,"n/a",pos))</f>
        <v/>
      </c>
      <c r="AN6" s="11">
        <f>LET(p,AM6,IF(p="n/a","n/a",IF(p&gt;10,"— (below ladder)",LET(s,INDEX($B$10:$V$19,p,0),b,TEXTJOIN(", ",TRUE,ARRAYFORMULA(IF(s&gt;0,$B$9:$V$9&amp;": "&amp;ROUND(s,2),""))),IF(b="","{} (rank pays nothing)","{"&amp;b&amp;"}")))))</f>
        <v/>
      </c>
      <c r="AO6" s="10">
        <f>LET(pos,CHOOSE(MATCH($AI$2,{"p25","p50","p75"},0),SUMIFS(data_event_inst!$K:$K,data_event_inst!$A:$A,"Red",data_event_inst!$B:$B,$AI$3,data_event_inst!$C:$C,"40-99"),SUMIFS(data_event_inst!$L:$L,data_event_inst!$A:$A,"Red",data_event_inst!$B:$B,$AI$3,data_event_inst!$C:$C,"40-99"),SUMIFS(data_event_inst!$M:$M,data_event_inst!$A:$A,"Red",data_event_inst!$B:$B,$AI$3,data_event_inst!$C:$C,"40-99")),IF(pos=0,"n/a",pos))</f>
        <v/>
      </c>
      <c r="AP6" s="11">
        <f>LET(p,AO6,IF(p="n/a","n/a",IF(p&gt;10,"— (below ladder)",LET(s,INDEX($B$10:$V$19,p,0),b,TEXTJOIN(", ",TRUE,ARRAYFORMULA(IF(s&gt;0,$B$9:$V$9&amp;": "&amp;ROUND(s,2),""))),IF(b="","{} (rank pays nothing)","{"&amp;b&amp;"}")))))</f>
        <v/>
      </c>
      <c r="AQ6" s="10">
        <f>LET(pos,CHOOSE(MATCH($AI$2,{"p25","p50","p75"},0),SUMIFS(data_event_inst!$K:$K,data_event_inst!$A:$A,"Red",data_event_inst!$B:$B,$AI$3,data_event_inst!$C:$C,"100+"),SUMIFS(data_event_inst!$L:$L,data_event_inst!$A:$A,"Red",data_event_inst!$B:$B,$AI$3,data_event_inst!$C:$C,"100+"),SUMIFS(data_event_inst!$M:$M,data_event_inst!$A:$A,"Red",data_event_inst!$B:$B,$AI$3,data_event_inst!$C:$C,"100+")),IF(pos=0,"n/a",pos))</f>
        <v/>
      </c>
      <c r="AR6" s="11">
        <f>LET(p,AQ6,IF(p="n/a","n/a",IF(p&gt;10,"— (below ladder)",LET(s,INDEX($B$10:$V$19,p,0),b,TEXTJOIN(", ",TRUE,ARRAYFORMULA(IF(s&gt;0,$B$9:$V$9&amp;": "&amp;ROUND(s,2),""))),IF(b="","{} (rank pays nothing)","{"&amp;b&amp;"}")))))</f>
        <v/>
      </c>
    </row>
    <row r="7">
      <c r="AH7" s="9" t="inlineStr">
        <is>
          <t>Chuck Challenge</t>
        </is>
      </c>
      <c r="AI7" s="10">
        <f>LET(pos,CHOOSE(MATCH($AI$2,{"p25","p50","p75"},0),SUMIFS(data_event_inst!$K:$K,data_event_inst!$A:$A,"Chuck",data_event_inst!$B:$B,$AI$3,data_event_inst!$C:$C,"0-9"),SUMIFS(data_event_inst!$L:$L,data_event_inst!$A:$A,"Chuck",data_event_inst!$B:$B,$AI$3,data_event_inst!$C:$C,"0-9"),SUMIFS(data_event_inst!$M:$M,data_event_inst!$A:$A,"Chuck",data_event_inst!$B:$B,$AI$3,data_event_inst!$C:$C,"0-9")),IF(pos=0,"n/a",pos))</f>
        <v/>
      </c>
      <c r="AJ7" s="11">
        <f>LET(p,AI7,IF(p="n/a","n/a",IF(p&gt;10,"— (below ladder)",LET(s,INDEX($B$28:$V$37,p,0),b,TEXTJOIN(", ",TRUE,ARRAYFORMULA(IF(s&gt;0,$B$27:$V$27&amp;": "&amp;ROUND(s,2),""))),IF(b="","{} (rank pays nothing)","{"&amp;b&amp;"}")))))</f>
        <v/>
      </c>
      <c r="AK7" s="10">
        <f>LET(pos,CHOOSE(MATCH($AI$2,{"p25","p50","p75"},0),SUMIFS(data_event_inst!$K:$K,data_event_inst!$A:$A,"Chuck",data_event_inst!$B:$B,$AI$3,data_event_inst!$C:$C,"10-19"),SUMIFS(data_event_inst!$L:$L,data_event_inst!$A:$A,"Chuck",data_event_inst!$B:$B,$AI$3,data_event_inst!$C:$C,"10-19"),SUMIFS(data_event_inst!$M:$M,data_event_inst!$A:$A,"Chuck",data_event_inst!$B:$B,$AI$3,data_event_inst!$C:$C,"10-19")),IF(pos=0,"n/a",pos))</f>
        <v/>
      </c>
      <c r="AL7" s="11">
        <f>LET(p,AK7,IF(p="n/a","n/a",IF(p&gt;10,"— (below ladder)",LET(s,INDEX($B$28:$V$37,p,0),b,TEXTJOIN(", ",TRUE,ARRAYFORMULA(IF(s&gt;0,$B$27:$V$27&amp;": "&amp;ROUND(s,2),""))),IF(b="","{} (rank pays nothing)","{"&amp;b&amp;"}")))))</f>
        <v/>
      </c>
      <c r="AM7" s="10">
        <f>LET(pos,CHOOSE(MATCH($AI$2,{"p25","p50","p75"},0),SUMIFS(data_event_inst!$K:$K,data_event_inst!$A:$A,"Chuck",data_event_inst!$B:$B,$AI$3,data_event_inst!$C:$C,"20-39"),SUMIFS(data_event_inst!$L:$L,data_event_inst!$A:$A,"Chuck",data_event_inst!$B:$B,$AI$3,data_event_inst!$C:$C,"20-39"),SUMIFS(data_event_inst!$M:$M,data_event_inst!$A:$A,"Chuck",data_event_inst!$B:$B,$AI$3,data_event_inst!$C:$C,"20-39")),IF(pos=0,"n/a",pos))</f>
        <v/>
      </c>
      <c r="AN7" s="11">
        <f>LET(p,AM7,IF(p="n/a","n/a",IF(p&gt;10,"— (below ladder)",LET(s,INDEX($B$28:$V$37,p,0),b,TEXTJOIN(", ",TRUE,ARRAYFORMULA(IF(s&gt;0,$B$27:$V$27&amp;": "&amp;ROUND(s,2),""))),IF(b="","{} (rank pays nothing)","{"&amp;b&amp;"}")))))</f>
        <v/>
      </c>
      <c r="AO7" s="10">
        <f>LET(pos,CHOOSE(MATCH($AI$2,{"p25","p50","p75"},0),SUMIFS(data_event_inst!$K:$K,data_event_inst!$A:$A,"Chuck",data_event_inst!$B:$B,$AI$3,data_event_inst!$C:$C,"40-99"),SUMIFS(data_event_inst!$L:$L,data_event_inst!$A:$A,"Chuck",data_event_inst!$B:$B,$AI$3,data_event_inst!$C:$C,"40-99"),SUMIFS(data_event_inst!$M:$M,data_event_inst!$A:$A,"Chuck",data_event_inst!$B:$B,$AI$3,data_event_inst!$C:$C,"40-99")),IF(pos=0,"n/a",pos))</f>
        <v/>
      </c>
      <c r="AP7" s="11">
        <f>LET(p,AO7,IF(p="n/a","n/a",IF(p&gt;10,"— (below ladder)",LET(s,INDEX($B$28:$V$37,p,0),b,TEXTJOIN(", ",TRUE,ARRAYFORMULA(IF(s&gt;0,$B$27:$V$27&amp;": "&amp;ROUND(s,2),""))),IF(b="","{} (rank pays nothing)","{"&amp;b&amp;"}")))))</f>
        <v/>
      </c>
      <c r="AQ7" s="10">
        <f>LET(pos,CHOOSE(MATCH($AI$2,{"p25","p50","p75"},0),SUMIFS(data_event_inst!$K:$K,data_event_inst!$A:$A,"Chuck",data_event_inst!$B:$B,$AI$3,data_event_inst!$C:$C,"100+"),SUMIFS(data_event_inst!$L:$L,data_event_inst!$A:$A,"Chuck",data_event_inst!$B:$B,$AI$3,data_event_inst!$C:$C,"100+"),SUMIFS(data_event_inst!$M:$M,data_event_inst!$A:$A,"Chuck",data_event_inst!$B:$B,$AI$3,data_event_inst!$C:$C,"100+")),IF(pos=0,"n/a",pos))</f>
        <v/>
      </c>
      <c r="AR7" s="11">
        <f>LET(p,AQ7,IF(p="n/a","n/a",IF(p&gt;10,"— (below ladder)",LET(s,INDEX($B$28:$V$37,p,0),b,TEXTJOIN(", ",TRUE,ARRAYFORMULA(IF(s&gt;0,$B$27:$V$27&amp;": "&amp;ROUND(s,2),""))),IF(b="","{} (rank pays nothing)","{"&amp;b&amp;"}")))))</f>
        <v/>
      </c>
    </row>
    <row r="8" ht="19.5" customHeight="1">
      <c r="A8" s="3" t="inlineStr">
        <is>
          <t>Red's Challenge - Goals and Rewards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AH8" s="9" t="inlineStr">
        <is>
          <t>Bomb Challenge</t>
        </is>
      </c>
      <c r="AI8" s="10">
        <f>LET(pos,CHOOSE(MATCH($AI$2,{"p25","p50","p75"},0),SUMIFS(data_event_inst!$K:$K,data_event_inst!$A:$A,"Bomb",data_event_inst!$B:$B,$AI$3,data_event_inst!$C:$C,"0-9"),SUMIFS(data_event_inst!$L:$L,data_event_inst!$A:$A,"Bomb",data_event_inst!$B:$B,$AI$3,data_event_inst!$C:$C,"0-9"),SUMIFS(data_event_inst!$M:$M,data_event_inst!$A:$A,"Bomb",data_event_inst!$B:$B,$AI$3,data_event_inst!$C:$C,"0-9")),IF(pos=0,"n/a",pos))</f>
        <v/>
      </c>
      <c r="AJ8" s="11">
        <f>LET(p,AI8,IF(p="n/a","n/a",IF(p&gt;10,"— (below ladder)",LET(s,INDEX($B$46:$V$55,p,0),b,TEXTJOIN(", ",TRUE,ARRAYFORMULA(IF(s&gt;0,$B$45:$V$45&amp;": "&amp;ROUND(s,2),""))),IF(b="","{} (rank pays nothing)","{"&amp;b&amp;"}")))))</f>
        <v/>
      </c>
      <c r="AK8" s="10">
        <f>LET(pos,CHOOSE(MATCH($AI$2,{"p25","p50","p75"},0),SUMIFS(data_event_inst!$K:$K,data_event_inst!$A:$A,"Bomb",data_event_inst!$B:$B,$AI$3,data_event_inst!$C:$C,"10-19"),SUMIFS(data_event_inst!$L:$L,data_event_inst!$A:$A,"Bomb",data_event_inst!$B:$B,$AI$3,data_event_inst!$C:$C,"10-19"),SUMIFS(data_event_inst!$M:$M,data_event_inst!$A:$A,"Bomb",data_event_inst!$B:$B,$AI$3,data_event_inst!$C:$C,"10-19")),IF(pos=0,"n/a",pos))</f>
        <v/>
      </c>
      <c r="AL8" s="11">
        <f>LET(p,AK8,IF(p="n/a","n/a",IF(p&gt;10,"— (below ladder)",LET(s,INDEX($B$46:$V$55,p,0),b,TEXTJOIN(", ",TRUE,ARRAYFORMULA(IF(s&gt;0,$B$45:$V$45&amp;": "&amp;ROUND(s,2),""))),IF(b="","{} (rank pays nothing)","{"&amp;b&amp;"}")))))</f>
        <v/>
      </c>
      <c r="AM8" s="10">
        <f>LET(pos,CHOOSE(MATCH($AI$2,{"p25","p50","p75"},0),SUMIFS(data_event_inst!$K:$K,data_event_inst!$A:$A,"Bomb",data_event_inst!$B:$B,$AI$3,data_event_inst!$C:$C,"20-39"),SUMIFS(data_event_inst!$L:$L,data_event_inst!$A:$A,"Bomb",data_event_inst!$B:$B,$AI$3,data_event_inst!$C:$C,"20-39"),SUMIFS(data_event_inst!$M:$M,data_event_inst!$A:$A,"Bomb",data_event_inst!$B:$B,$AI$3,data_event_inst!$C:$C,"20-39")),IF(pos=0,"n/a",pos))</f>
        <v/>
      </c>
      <c r="AN8" s="11">
        <f>LET(p,AM8,IF(p="n/a","n/a",IF(p&gt;10,"— (below ladder)",LET(s,INDEX($B$46:$V$55,p,0),b,TEXTJOIN(", ",TRUE,ARRAYFORMULA(IF(s&gt;0,$B$45:$V$45&amp;": "&amp;ROUND(s,2),""))),IF(b="","{} (rank pays nothing)","{"&amp;b&amp;"}")))))</f>
        <v/>
      </c>
      <c r="AO8" s="10">
        <f>LET(pos,CHOOSE(MATCH($AI$2,{"p25","p50","p75"},0),SUMIFS(data_event_inst!$K:$K,data_event_inst!$A:$A,"Bomb",data_event_inst!$B:$B,$AI$3,data_event_inst!$C:$C,"40-99"),SUMIFS(data_event_inst!$L:$L,data_event_inst!$A:$A,"Bomb",data_event_inst!$B:$B,$AI$3,data_event_inst!$C:$C,"40-99"),SUMIFS(data_event_inst!$M:$M,data_event_inst!$A:$A,"Bomb",data_event_inst!$B:$B,$AI$3,data_event_inst!$C:$C,"40-99")),IF(pos=0,"n/a",pos))</f>
        <v/>
      </c>
      <c r="AP8" s="11">
        <f>LET(p,AO8,IF(p="n/a","n/a",IF(p&gt;10,"— (below ladder)",LET(s,INDEX($B$46:$V$55,p,0),b,TEXTJOIN(", ",TRUE,ARRAYFORMULA(IF(s&gt;0,$B$45:$V$45&amp;": "&amp;ROUND(s,2),""))),IF(b="","{} (rank pays nothing)","{"&amp;b&amp;"}")))))</f>
        <v/>
      </c>
      <c r="AQ8" s="10">
        <f>LET(pos,CHOOSE(MATCH($AI$2,{"p25","p50","p75"},0),SUMIFS(data_event_inst!$K:$K,data_event_inst!$A:$A,"Bomb",data_event_inst!$B:$B,$AI$3,data_event_inst!$C:$C,"100+"),SUMIFS(data_event_inst!$L:$L,data_event_inst!$A:$A,"Bomb",data_event_inst!$B:$B,$AI$3,data_event_inst!$C:$C,"100+"),SUMIFS(data_event_inst!$M:$M,data_event_inst!$A:$A,"Bomb",data_event_inst!$B:$B,$AI$3,data_event_inst!$C:$C,"100+")),IF(pos=0,"n/a",pos))</f>
        <v/>
      </c>
      <c r="AR8" s="11">
        <f>LET(p,AQ8,IF(p="n/a","n/a",IF(p&gt;10,"— (below ladder)",LET(s,INDEX($B$46:$V$55,p,0),b,TEXTJOIN(", ",TRUE,ARRAYFORMULA(IF(s&gt;0,$B$45:$V$45&amp;": "&amp;ROUND(s,2),""))),IF(b="","{} (rank pays nothing)","{"&amp;b&amp;"}")))))</f>
        <v/>
      </c>
    </row>
    <row r="9" ht="90" customHeight="1">
      <c r="A9" s="23" t="inlineStr">
        <is>
          <t>Position</t>
        </is>
      </c>
      <c r="B9" s="24" t="inlineStr">
        <is>
          <t>Coins</t>
        </is>
      </c>
      <c r="C9" s="18" t="inlineStr">
        <is>
          <t>SPT</t>
        </is>
      </c>
      <c r="D9" s="18" t="inlineStr">
        <is>
          <t>SPT x2</t>
        </is>
      </c>
      <c r="E9" s="18" t="inlineStr">
        <is>
          <t>Red</t>
        </is>
      </c>
      <c r="F9" s="18" t="inlineStr">
        <is>
          <t>Chuck</t>
        </is>
      </c>
      <c r="G9" s="18" t="inlineStr">
        <is>
          <t>Bomb</t>
        </is>
      </c>
      <c r="H9" s="18" t="inlineStr">
        <is>
          <t>Slingshot</t>
        </is>
      </c>
      <c r="I9" s="18" t="inlineStr">
        <is>
          <t>Shuffle</t>
        </is>
      </c>
      <c r="J9" s="18" t="inlineStr">
        <is>
          <t>Comet</t>
        </is>
      </c>
      <c r="K9" s="18" t="inlineStr">
        <is>
          <t>Unlimited Lives</t>
        </is>
      </c>
      <c r="L9" s="18" t="inlineStr">
        <is>
          <t>Unlimited Red</t>
        </is>
      </c>
      <c r="M9" s="18" t="inlineStr">
        <is>
          <t>Unlimited Chuck</t>
        </is>
      </c>
      <c r="N9" s="18" t="inlineStr">
        <is>
          <t>Unlimited Bomb</t>
        </is>
      </c>
      <c r="O9" s="18" t="inlineStr">
        <is>
          <t>COOP Token</t>
        </is>
      </c>
      <c r="P9" s="18" t="inlineStr">
        <is>
          <t>Avatar</t>
        </is>
      </c>
      <c r="Q9" s="18" t="inlineStr">
        <is>
          <t>1-star Dly</t>
        </is>
      </c>
      <c r="R9" s="18" t="inlineStr">
        <is>
          <t>2-star Dly</t>
        </is>
      </c>
      <c r="S9" s="18" t="inlineStr">
        <is>
          <t>3-star Dly</t>
        </is>
      </c>
      <c r="T9" s="18" t="inlineStr">
        <is>
          <t>4-star Dly</t>
        </is>
      </c>
      <c r="U9" s="18" t="inlineStr">
        <is>
          <t>5-star Dly</t>
        </is>
      </c>
      <c r="V9" s="18" t="inlineStr">
        <is>
          <t>6-star Dly</t>
        </is>
      </c>
      <c r="AH9" s="9" t="inlineStr">
        <is>
          <t>Level Race</t>
        </is>
      </c>
      <c r="AI9" s="10">
        <f>LET(pos,CHOOSE(MATCH($AI$2,{"p25","p50","p75"},0),SUMIFS(data_event_inst!$K:$K,data_event_inst!$A:$A,"Level Race",data_event_inst!$B:$B,$AI$3,data_event_inst!$C:$C,"0-9"),SUMIFS(data_event_inst!$L:$L,data_event_inst!$A:$A,"Level Race",data_event_inst!$B:$B,$AI$3,data_event_inst!$C:$C,"0-9"),SUMIFS(data_event_inst!$M:$M,data_event_inst!$A:$A,"Level Race",data_event_inst!$B:$B,$AI$3,data_event_inst!$C:$C,"0-9")),IF(pos=0,"n/a",pos))</f>
        <v/>
      </c>
      <c r="AJ9" s="11">
        <f>LET(p,AI9,IF(p="n/a","n/a",IF(p&gt;10,"— (below ladder)",LET(s,INDEX($B$64:$V$73,p,0),b,TEXTJOIN(", ",TRUE,ARRAYFORMULA(IF(s&gt;0,$B$63:$V$63&amp;": "&amp;ROUND(s,2),""))),IF(b="","{} (rank pays nothing)","{"&amp;b&amp;"}")))))</f>
        <v/>
      </c>
      <c r="AK9" s="10">
        <f>LET(pos,CHOOSE(MATCH($AI$2,{"p25","p50","p75"},0),SUMIFS(data_event_inst!$K:$K,data_event_inst!$A:$A,"Level Race",data_event_inst!$B:$B,$AI$3,data_event_inst!$C:$C,"10-19"),SUMIFS(data_event_inst!$L:$L,data_event_inst!$A:$A,"Level Race",data_event_inst!$B:$B,$AI$3,data_event_inst!$C:$C,"10-19"),SUMIFS(data_event_inst!$M:$M,data_event_inst!$A:$A,"Level Race",data_event_inst!$B:$B,$AI$3,data_event_inst!$C:$C,"10-19")),IF(pos=0,"n/a",pos))</f>
        <v/>
      </c>
      <c r="AL9" s="11">
        <f>LET(p,AK9,IF(p="n/a","n/a",IF(p&gt;10,"— (below ladder)",LET(s,INDEX($B$64:$V$73,p,0),b,TEXTJOIN(", ",TRUE,ARRAYFORMULA(IF(s&gt;0,$B$63:$V$63&amp;": "&amp;ROUND(s,2),""))),IF(b="","{} (rank pays nothing)","{"&amp;b&amp;"}")))))</f>
        <v/>
      </c>
      <c r="AM9" s="10">
        <f>LET(pos,CHOOSE(MATCH($AI$2,{"p25","p50","p75"},0),SUMIFS(data_event_inst!$K:$K,data_event_inst!$A:$A,"Level Race",data_event_inst!$B:$B,$AI$3,data_event_inst!$C:$C,"20-39"),SUMIFS(data_event_inst!$L:$L,data_event_inst!$A:$A,"Level Race",data_event_inst!$B:$B,$AI$3,data_event_inst!$C:$C,"20-39"),SUMIFS(data_event_inst!$M:$M,data_event_inst!$A:$A,"Level Race",data_event_inst!$B:$B,$AI$3,data_event_inst!$C:$C,"20-39")),IF(pos=0,"n/a",pos))</f>
        <v/>
      </c>
      <c r="AN9" s="11">
        <f>LET(p,AM9,IF(p="n/a","n/a",IF(p&gt;10,"— (below ladder)",LET(s,INDEX($B$64:$V$73,p,0),b,TEXTJOIN(", ",TRUE,ARRAYFORMULA(IF(s&gt;0,$B$63:$V$63&amp;": "&amp;ROUND(s,2),""))),IF(b="","{} (rank pays nothing)","{"&amp;b&amp;"}")))))</f>
        <v/>
      </c>
      <c r="AO9" s="10">
        <f>LET(pos,CHOOSE(MATCH($AI$2,{"p25","p50","p75"},0),SUMIFS(data_event_inst!$K:$K,data_event_inst!$A:$A,"Level Race",data_event_inst!$B:$B,$AI$3,data_event_inst!$C:$C,"40-99"),SUMIFS(data_event_inst!$L:$L,data_event_inst!$A:$A,"Level Race",data_event_inst!$B:$B,$AI$3,data_event_inst!$C:$C,"40-99"),SUMIFS(data_event_inst!$M:$M,data_event_inst!$A:$A,"Level Race",data_event_inst!$B:$B,$AI$3,data_event_inst!$C:$C,"40-99")),IF(pos=0,"n/a",pos))</f>
        <v/>
      </c>
      <c r="AP9" s="11">
        <f>LET(p,AO9,IF(p="n/a","n/a",IF(p&gt;10,"— (below ladder)",LET(s,INDEX($B$64:$V$73,p,0),b,TEXTJOIN(", ",TRUE,ARRAYFORMULA(IF(s&gt;0,$B$63:$V$63&amp;": "&amp;ROUND(s,2),""))),IF(b="","{} (rank pays nothing)","{"&amp;b&amp;"}")))))</f>
        <v/>
      </c>
      <c r="AQ9" s="10">
        <f>LET(pos,CHOOSE(MATCH($AI$2,{"p25","p50","p75"},0),SUMIFS(data_event_inst!$K:$K,data_event_inst!$A:$A,"Level Race",data_event_inst!$B:$B,$AI$3,data_event_inst!$C:$C,"100+"),SUMIFS(data_event_inst!$L:$L,data_event_inst!$A:$A,"Level Race",data_event_inst!$B:$B,$AI$3,data_event_inst!$C:$C,"100+"),SUMIFS(data_event_inst!$M:$M,data_event_inst!$A:$A,"Level Race",data_event_inst!$B:$B,$AI$3,data_event_inst!$C:$C,"100+")),IF(pos=0,"n/a",pos))</f>
        <v/>
      </c>
      <c r="AR9" s="11">
        <f>LET(p,AQ9,IF(p="n/a","n/a",IF(p&gt;10,"— (below ladder)",LET(s,INDEX($B$64:$V$73,p,0),b,TEXTJOIN(", ",TRUE,ARRAYFORMULA(IF(s&gt;0,$B$63:$V$63&amp;": "&amp;ROUND(s,2),""))),IF(b="","{} (rank pays nothing)","{"&amp;b&amp;"}")))))</f>
        <v/>
      </c>
    </row>
    <row r="10">
      <c r="A10" s="25" t="n">
        <v>1</v>
      </c>
      <c r="B10" s="26" t="n">
        <v>200</v>
      </c>
      <c r="C10" s="22" t="n">
        <v>0</v>
      </c>
      <c r="D10" s="22" t="n">
        <v>0</v>
      </c>
      <c r="E10" s="22" t="n">
        <v>0</v>
      </c>
      <c r="F10" s="22" t="n">
        <v>0</v>
      </c>
      <c r="G10" s="22" t="n">
        <v>0</v>
      </c>
      <c r="H10" s="22" t="n">
        <v>0</v>
      </c>
      <c r="I10" s="22" t="n">
        <v>0</v>
      </c>
      <c r="J10" s="22" t="n">
        <v>1</v>
      </c>
      <c r="K10" s="22" t="n">
        <v>0</v>
      </c>
      <c r="L10" s="22" t="n">
        <v>0</v>
      </c>
      <c r="M10" s="22" t="n">
        <v>0</v>
      </c>
      <c r="N10" s="22" t="n">
        <v>0</v>
      </c>
      <c r="O10" s="22" t="n">
        <v>0</v>
      </c>
      <c r="P10" s="22" t="n">
        <v>0</v>
      </c>
      <c r="Q10" s="22" t="n">
        <v>0</v>
      </c>
      <c r="R10" s="22" t="n">
        <v>0</v>
      </c>
      <c r="S10" s="22" t="n">
        <v>0</v>
      </c>
      <c r="T10" s="22" t="n">
        <v>0</v>
      </c>
      <c r="U10" s="22" t="n">
        <v>0</v>
      </c>
      <c r="V10" s="22" t="n">
        <v>0</v>
      </c>
      <c r="AH10" s="9" t="inlineStr">
        <is>
          <t>Flash Race</t>
        </is>
      </c>
      <c r="AI10" s="10">
        <f>LET(pos,CHOOSE(MATCH($AI$2,{"p25","p50","p75"},0),SUMIFS(data_event_inst!$K:$K,data_event_inst!$A:$A,"Flash Race",data_event_inst!$B:$B,$AI$3,data_event_inst!$C:$C,"0-9"),SUMIFS(data_event_inst!$L:$L,data_event_inst!$A:$A,"Flash Race",data_event_inst!$B:$B,$AI$3,data_event_inst!$C:$C,"0-9"),SUMIFS(data_event_inst!$M:$M,data_event_inst!$A:$A,"Flash Race",data_event_inst!$B:$B,$AI$3,data_event_inst!$C:$C,"0-9")),IF(pos=0,"n/a",pos))</f>
        <v/>
      </c>
      <c r="AJ10" s="11">
        <f>LET(p,AI10,IF(p="n/a","n/a",IF(p&gt;10,"— (below ladder)",LET(s,INDEX($B$82:$V$91,p,0),b,TEXTJOIN(", ",TRUE,ARRAYFORMULA(IF(s&gt;0,$B$81:$V$81&amp;": "&amp;ROUND(s,2),""))),IF(b="","{} (rank pays nothing)","{"&amp;b&amp;"}")))))</f>
        <v/>
      </c>
      <c r="AK10" s="10">
        <f>LET(pos,CHOOSE(MATCH($AI$2,{"p25","p50","p75"},0),SUMIFS(data_event_inst!$K:$K,data_event_inst!$A:$A,"Flash Race",data_event_inst!$B:$B,$AI$3,data_event_inst!$C:$C,"10-19"),SUMIFS(data_event_inst!$L:$L,data_event_inst!$A:$A,"Flash Race",data_event_inst!$B:$B,$AI$3,data_event_inst!$C:$C,"10-19"),SUMIFS(data_event_inst!$M:$M,data_event_inst!$A:$A,"Flash Race",data_event_inst!$B:$B,$AI$3,data_event_inst!$C:$C,"10-19")),IF(pos=0,"n/a",pos))</f>
        <v/>
      </c>
      <c r="AL10" s="11">
        <f>LET(p,AK10,IF(p="n/a","n/a",IF(p&gt;10,"— (below ladder)",LET(s,INDEX($B$82:$V$91,p,0),b,TEXTJOIN(", ",TRUE,ARRAYFORMULA(IF(s&gt;0,$B$81:$V$81&amp;": "&amp;ROUND(s,2),""))),IF(b="","{} (rank pays nothing)","{"&amp;b&amp;"}")))))</f>
        <v/>
      </c>
      <c r="AM10" s="10">
        <f>LET(pos,CHOOSE(MATCH($AI$2,{"p25","p50","p75"},0),SUMIFS(data_event_inst!$K:$K,data_event_inst!$A:$A,"Flash Race",data_event_inst!$B:$B,$AI$3,data_event_inst!$C:$C,"20-39"),SUMIFS(data_event_inst!$L:$L,data_event_inst!$A:$A,"Flash Race",data_event_inst!$B:$B,$AI$3,data_event_inst!$C:$C,"20-39"),SUMIFS(data_event_inst!$M:$M,data_event_inst!$A:$A,"Flash Race",data_event_inst!$B:$B,$AI$3,data_event_inst!$C:$C,"20-39")),IF(pos=0,"n/a",pos))</f>
        <v/>
      </c>
      <c r="AN10" s="11">
        <f>LET(p,AM10,IF(p="n/a","n/a",IF(p&gt;10,"— (below ladder)",LET(s,INDEX($B$82:$V$91,p,0),b,TEXTJOIN(", ",TRUE,ARRAYFORMULA(IF(s&gt;0,$B$81:$V$81&amp;": "&amp;ROUND(s,2),""))),IF(b="","{} (rank pays nothing)","{"&amp;b&amp;"}")))))</f>
        <v/>
      </c>
      <c r="AO10" s="10">
        <f>LET(pos,CHOOSE(MATCH($AI$2,{"p25","p50","p75"},0),SUMIFS(data_event_inst!$K:$K,data_event_inst!$A:$A,"Flash Race",data_event_inst!$B:$B,$AI$3,data_event_inst!$C:$C,"40-99"),SUMIFS(data_event_inst!$L:$L,data_event_inst!$A:$A,"Flash Race",data_event_inst!$B:$B,$AI$3,data_event_inst!$C:$C,"40-99"),SUMIFS(data_event_inst!$M:$M,data_event_inst!$A:$A,"Flash Race",data_event_inst!$B:$B,$AI$3,data_event_inst!$C:$C,"40-99")),IF(pos=0,"n/a",pos))</f>
        <v/>
      </c>
      <c r="AP10" s="11">
        <f>LET(p,AO10,IF(p="n/a","n/a",IF(p&gt;10,"— (below ladder)",LET(s,INDEX($B$82:$V$91,p,0),b,TEXTJOIN(", ",TRUE,ARRAYFORMULA(IF(s&gt;0,$B$81:$V$81&amp;": "&amp;ROUND(s,2),""))),IF(b="","{} (rank pays nothing)","{"&amp;b&amp;"}")))))</f>
        <v/>
      </c>
      <c r="AQ10" s="10">
        <f>LET(pos,CHOOSE(MATCH($AI$2,{"p25","p50","p75"},0),SUMIFS(data_event_inst!$K:$K,data_event_inst!$A:$A,"Flash Race",data_event_inst!$B:$B,$AI$3,data_event_inst!$C:$C,"100+"),SUMIFS(data_event_inst!$L:$L,data_event_inst!$A:$A,"Flash Race",data_event_inst!$B:$B,$AI$3,data_event_inst!$C:$C,"100+"),SUMIFS(data_event_inst!$M:$M,data_event_inst!$A:$A,"Flash Race",data_event_inst!$B:$B,$AI$3,data_event_inst!$C:$C,"100+")),IF(pos=0,"n/a",pos))</f>
        <v/>
      </c>
      <c r="AR10" s="11">
        <f>LET(p,AQ10,IF(p="n/a","n/a",IF(p&gt;10,"— (below ladder)",LET(s,INDEX($B$82:$V$91,p,0),b,TEXTJOIN(", ",TRUE,ARRAYFORMULA(IF(s&gt;0,$B$81:$V$81&amp;": "&amp;ROUND(s,2),""))),IF(b="","{} (rank pays nothing)","{"&amp;b&amp;"}")))))</f>
        <v/>
      </c>
    </row>
    <row r="11">
      <c r="A11" s="25" t="n">
        <v>2</v>
      </c>
      <c r="B11" s="26" t="n">
        <v>100</v>
      </c>
      <c r="C11" s="22" t="n">
        <v>0</v>
      </c>
      <c r="D11" s="22" t="n">
        <v>0</v>
      </c>
      <c r="E11" s="22" t="n">
        <v>0</v>
      </c>
      <c r="F11" s="22" t="n">
        <v>0</v>
      </c>
      <c r="G11" s="22" t="n">
        <v>0</v>
      </c>
      <c r="H11" s="22" t="n">
        <v>0</v>
      </c>
      <c r="I11" s="22" t="n">
        <v>1</v>
      </c>
      <c r="J11" s="22" t="n">
        <v>0</v>
      </c>
      <c r="K11" s="22" t="n">
        <v>0</v>
      </c>
      <c r="L11" s="22" t="n">
        <v>0</v>
      </c>
      <c r="M11" s="22" t="n">
        <v>0</v>
      </c>
      <c r="N11" s="22" t="n">
        <v>0</v>
      </c>
      <c r="O11" s="22" t="n">
        <v>0</v>
      </c>
      <c r="P11" s="22" t="n">
        <v>0</v>
      </c>
      <c r="Q11" s="22" t="n">
        <v>0</v>
      </c>
      <c r="R11" s="22" t="n">
        <v>0</v>
      </c>
      <c r="S11" s="22" t="n">
        <v>0</v>
      </c>
      <c r="T11" s="22" t="n">
        <v>0</v>
      </c>
      <c r="U11" s="22" t="n">
        <v>0</v>
      </c>
      <c r="V11" s="22" t="n">
        <v>0</v>
      </c>
    </row>
    <row r="12">
      <c r="A12" s="25" t="n">
        <v>3</v>
      </c>
      <c r="B12" s="26" t="n">
        <v>50</v>
      </c>
      <c r="C12" s="22" t="n">
        <v>0</v>
      </c>
      <c r="D12" s="22" t="n">
        <v>0</v>
      </c>
      <c r="E12" s="22" t="n">
        <v>0</v>
      </c>
      <c r="F12" s="22" t="n">
        <v>0</v>
      </c>
      <c r="G12" s="22" t="n">
        <v>0</v>
      </c>
      <c r="H12" s="22" t="n">
        <v>0</v>
      </c>
      <c r="I12" s="22" t="n">
        <v>1</v>
      </c>
      <c r="J12" s="22" t="n">
        <v>0</v>
      </c>
      <c r="K12" s="22" t="n">
        <v>0</v>
      </c>
      <c r="L12" s="22" t="n">
        <v>0</v>
      </c>
      <c r="M12" s="22" t="n">
        <v>0</v>
      </c>
      <c r="N12" s="22" t="n">
        <v>0</v>
      </c>
      <c r="O12" s="22" t="n">
        <v>0</v>
      </c>
      <c r="P12" s="22" t="n">
        <v>0</v>
      </c>
      <c r="Q12" s="22" t="n">
        <v>0</v>
      </c>
      <c r="R12" s="22" t="n">
        <v>0</v>
      </c>
      <c r="S12" s="22" t="n">
        <v>0</v>
      </c>
      <c r="T12" s="22" t="n">
        <v>0</v>
      </c>
      <c r="U12" s="22" t="n">
        <v>0</v>
      </c>
      <c r="V12" s="22" t="n">
        <v>0</v>
      </c>
      <c r="AH12" s="12" t="inlineStr">
        <is>
          <t>p25 = top-quartile finisher (lower position = better); source: data_event_inst position percentiles, measured on the CURRENT calendar</t>
        </is>
      </c>
    </row>
    <row r="13">
      <c r="A13" s="25" t="n">
        <v>4</v>
      </c>
      <c r="B13" s="26" t="n">
        <v>0</v>
      </c>
      <c r="C13" s="22" t="n">
        <v>0</v>
      </c>
      <c r="D13" s="22" t="n">
        <v>0</v>
      </c>
      <c r="E13" s="22" t="n">
        <v>0</v>
      </c>
      <c r="F13" s="22" t="n">
        <v>0</v>
      </c>
      <c r="G13" s="22" t="n">
        <v>0</v>
      </c>
      <c r="H13" s="22" t="n">
        <v>0</v>
      </c>
      <c r="I13" s="22" t="n">
        <v>1</v>
      </c>
      <c r="J13" s="22" t="n">
        <v>0</v>
      </c>
      <c r="K13" s="22" t="n">
        <v>0</v>
      </c>
      <c r="L13" s="22" t="n">
        <v>0</v>
      </c>
      <c r="M13" s="22" t="n">
        <v>0</v>
      </c>
      <c r="N13" s="22" t="n">
        <v>0</v>
      </c>
      <c r="O13" s="22" t="n">
        <v>0</v>
      </c>
      <c r="P13" s="22" t="n">
        <v>0</v>
      </c>
      <c r="Q13" s="22" t="n">
        <v>0</v>
      </c>
      <c r="R13" s="22" t="n">
        <v>0</v>
      </c>
      <c r="S13" s="22" t="n">
        <v>0</v>
      </c>
      <c r="T13" s="22" t="n">
        <v>0</v>
      </c>
      <c r="U13" s="22" t="n">
        <v>0</v>
      </c>
      <c r="V13" s="22" t="n">
        <v>0</v>
      </c>
      <c r="AH13" s="12" t="inlineStr">
        <is>
          <t>⚠ Level Race: observed positions exceed configured LBSize=10 (p75 up to 15) — live board size understated; ranks 11+ shown as below ladder</t>
        </is>
      </c>
    </row>
    <row r="14">
      <c r="A14" s="25" t="n">
        <v>5</v>
      </c>
      <c r="B14" s="26" t="n">
        <v>0</v>
      </c>
      <c r="C14" s="22" t="n">
        <v>0</v>
      </c>
      <c r="D14" s="22" t="n">
        <v>0</v>
      </c>
      <c r="E14" s="22" t="n">
        <v>0</v>
      </c>
      <c r="F14" s="22" t="n">
        <v>0</v>
      </c>
      <c r="G14" s="22" t="n">
        <v>0</v>
      </c>
      <c r="H14" s="22" t="n">
        <v>0</v>
      </c>
      <c r="I14" s="22" t="n">
        <v>1</v>
      </c>
      <c r="J14" s="22" t="n">
        <v>0</v>
      </c>
      <c r="K14" s="22" t="n">
        <v>0</v>
      </c>
      <c r="L14" s="22" t="n">
        <v>0</v>
      </c>
      <c r="M14" s="22" t="n">
        <v>0</v>
      </c>
      <c r="N14" s="22" t="n">
        <v>0</v>
      </c>
      <c r="O14" s="22" t="n">
        <v>0</v>
      </c>
      <c r="P14" s="22" t="n">
        <v>0</v>
      </c>
      <c r="Q14" s="22" t="n">
        <v>0</v>
      </c>
      <c r="R14" s="22" t="n">
        <v>0</v>
      </c>
      <c r="S14" s="22" t="n">
        <v>0</v>
      </c>
      <c r="T14" s="22" t="n">
        <v>0</v>
      </c>
      <c r="U14" s="22" t="n">
        <v>0</v>
      </c>
      <c r="V14" s="22" t="n">
        <v>0</v>
      </c>
      <c r="AH14" s="12" t="inlineStr">
        <is>
          <t>⚠ Flash Race: telemetry shows ≈0 of the 11 tracked resources (event pays SPT) — ladder HC here is config-nominal, uncorroborated</t>
        </is>
      </c>
    </row>
    <row r="15">
      <c r="A15" s="25" t="n">
        <v>6</v>
      </c>
      <c r="B15" s="26" t="n">
        <v>0</v>
      </c>
      <c r="C15" s="22" t="n">
        <v>0</v>
      </c>
      <c r="D15" s="22" t="n">
        <v>0</v>
      </c>
      <c r="E15" s="22" t="n">
        <v>0</v>
      </c>
      <c r="F15" s="22" t="n">
        <v>0</v>
      </c>
      <c r="G15" s="22" t="n">
        <v>0</v>
      </c>
      <c r="H15" s="22" t="n">
        <v>1</v>
      </c>
      <c r="I15" s="22" t="n">
        <v>0</v>
      </c>
      <c r="J15" s="22" t="n">
        <v>0</v>
      </c>
      <c r="K15" s="22" t="n">
        <v>0</v>
      </c>
      <c r="L15" s="22" t="n">
        <v>0</v>
      </c>
      <c r="M15" s="22" t="n">
        <v>0</v>
      </c>
      <c r="N15" s="22" t="n">
        <v>0</v>
      </c>
      <c r="O15" s="22" t="n">
        <v>0</v>
      </c>
      <c r="P15" s="22" t="n">
        <v>0</v>
      </c>
      <c r="Q15" s="22" t="n">
        <v>0</v>
      </c>
      <c r="R15" s="22" t="n">
        <v>0</v>
      </c>
      <c r="S15" s="22" t="n">
        <v>0</v>
      </c>
      <c r="T15" s="22" t="n">
        <v>0</v>
      </c>
      <c r="U15" s="22" t="n">
        <v>0</v>
      </c>
      <c r="V15" s="22" t="n">
        <v>0</v>
      </c>
      <c r="AH15" s="12" t="inlineStr">
        <is>
          <t>⚠ all five ladders are identical (family template) — authenticity vs live config unverified</t>
        </is>
      </c>
    </row>
    <row r="16">
      <c r="A16" s="25" t="n">
        <v>7</v>
      </c>
      <c r="B16" s="26" t="n">
        <v>0</v>
      </c>
      <c r="C16" s="22" t="n">
        <v>0</v>
      </c>
      <c r="D16" s="22" t="n">
        <v>0</v>
      </c>
      <c r="E16" s="22" t="n">
        <v>0</v>
      </c>
      <c r="F16" s="22" t="n">
        <v>0</v>
      </c>
      <c r="G16" s="22" t="n">
        <v>0</v>
      </c>
      <c r="H16" s="22" t="n">
        <v>1</v>
      </c>
      <c r="I16" s="22" t="n">
        <v>0</v>
      </c>
      <c r="J16" s="22" t="n">
        <v>0</v>
      </c>
      <c r="K16" s="22" t="n">
        <v>0</v>
      </c>
      <c r="L16" s="22" t="n">
        <v>0</v>
      </c>
      <c r="M16" s="22" t="n">
        <v>0</v>
      </c>
      <c r="N16" s="22" t="n">
        <v>0</v>
      </c>
      <c r="O16" s="22" t="n">
        <v>0</v>
      </c>
      <c r="P16" s="22" t="n">
        <v>0</v>
      </c>
      <c r="Q16" s="22" t="n">
        <v>0</v>
      </c>
      <c r="R16" s="22" t="n">
        <v>0</v>
      </c>
      <c r="S16" s="22" t="n">
        <v>0</v>
      </c>
      <c r="T16" s="22" t="n">
        <v>0</v>
      </c>
      <c r="U16" s="22" t="n">
        <v>0</v>
      </c>
      <c r="V16" s="22" t="n">
        <v>0</v>
      </c>
    </row>
    <row r="17">
      <c r="A17" s="25" t="n">
        <v>8</v>
      </c>
      <c r="B17" s="26" t="n">
        <v>0</v>
      </c>
      <c r="C17" s="22" t="n">
        <v>0</v>
      </c>
      <c r="D17" s="22" t="n">
        <v>0</v>
      </c>
      <c r="E17" s="22" t="n">
        <v>0</v>
      </c>
      <c r="F17" s="22" t="n">
        <v>0</v>
      </c>
      <c r="G17" s="22" t="n">
        <v>0</v>
      </c>
      <c r="H17" s="22" t="n">
        <v>1</v>
      </c>
      <c r="I17" s="22" t="n">
        <v>0</v>
      </c>
      <c r="J17" s="22" t="n">
        <v>0</v>
      </c>
      <c r="K17" s="22" t="n">
        <v>0</v>
      </c>
      <c r="L17" s="22" t="n">
        <v>0</v>
      </c>
      <c r="M17" s="22" t="n">
        <v>0</v>
      </c>
      <c r="N17" s="22" t="n">
        <v>0</v>
      </c>
      <c r="O17" s="22" t="n">
        <v>0</v>
      </c>
      <c r="P17" s="22" t="n">
        <v>0</v>
      </c>
      <c r="Q17" s="22" t="n">
        <v>0</v>
      </c>
      <c r="R17" s="22" t="n">
        <v>0</v>
      </c>
      <c r="S17" s="22" t="n">
        <v>0</v>
      </c>
      <c r="T17" s="22" t="n">
        <v>0</v>
      </c>
      <c r="U17" s="22" t="n">
        <v>0</v>
      </c>
      <c r="V17" s="22" t="n">
        <v>0</v>
      </c>
    </row>
    <row r="18">
      <c r="A18" s="25" t="n">
        <v>9</v>
      </c>
      <c r="B18" s="26" t="n">
        <v>0</v>
      </c>
      <c r="C18" s="22" t="n">
        <v>0</v>
      </c>
      <c r="D18" s="22" t="n">
        <v>0</v>
      </c>
      <c r="E18" s="22" t="n">
        <v>0</v>
      </c>
      <c r="F18" s="22" t="n">
        <v>0</v>
      </c>
      <c r="G18" s="22" t="n">
        <v>0</v>
      </c>
      <c r="H18" s="22" t="n">
        <v>1</v>
      </c>
      <c r="I18" s="22" t="n">
        <v>0</v>
      </c>
      <c r="J18" s="22" t="n">
        <v>0</v>
      </c>
      <c r="K18" s="22" t="n">
        <v>0</v>
      </c>
      <c r="L18" s="22" t="n">
        <v>0</v>
      </c>
      <c r="M18" s="22" t="n">
        <v>0</v>
      </c>
      <c r="N18" s="22" t="n">
        <v>0</v>
      </c>
      <c r="O18" s="22" t="n">
        <v>0</v>
      </c>
      <c r="P18" s="22" t="n">
        <v>0</v>
      </c>
      <c r="Q18" s="22" t="n">
        <v>0</v>
      </c>
      <c r="R18" s="22" t="n">
        <v>0</v>
      </c>
      <c r="S18" s="22" t="n">
        <v>0</v>
      </c>
      <c r="T18" s="22" t="n">
        <v>0</v>
      </c>
      <c r="U18" s="22" t="n">
        <v>0</v>
      </c>
      <c r="V18" s="22" t="n">
        <v>0</v>
      </c>
    </row>
    <row r="19">
      <c r="A19" s="25" t="n">
        <v>10</v>
      </c>
      <c r="B19" s="26" t="n">
        <v>0</v>
      </c>
      <c r="C19" s="22" t="n">
        <v>0</v>
      </c>
      <c r="D19" s="22" t="n">
        <v>0</v>
      </c>
      <c r="E19" s="22" t="n">
        <v>0</v>
      </c>
      <c r="F19" s="22" t="n">
        <v>0</v>
      </c>
      <c r="G19" s="22" t="n">
        <v>0</v>
      </c>
      <c r="H19" s="22" t="n">
        <v>1</v>
      </c>
      <c r="I19" s="22" t="n">
        <v>0</v>
      </c>
      <c r="J19" s="22" t="n">
        <v>0</v>
      </c>
      <c r="K19" s="22" t="n">
        <v>0</v>
      </c>
      <c r="L19" s="22" t="n">
        <v>0</v>
      </c>
      <c r="M19" s="22" t="n">
        <v>0</v>
      </c>
      <c r="N19" s="22" t="n">
        <v>0</v>
      </c>
      <c r="O19" s="22" t="n">
        <v>0</v>
      </c>
      <c r="P19" s="22" t="n">
        <v>0</v>
      </c>
      <c r="Q19" s="22" t="n">
        <v>0</v>
      </c>
      <c r="R19" s="22" t="n">
        <v>0</v>
      </c>
      <c r="S19" s="22" t="n">
        <v>0</v>
      </c>
      <c r="T19" s="22" t="n">
        <v>0</v>
      </c>
      <c r="U19" s="22" t="n">
        <v>0</v>
      </c>
      <c r="V19" s="22" t="n">
        <v>0</v>
      </c>
    </row>
    <row r="21" ht="19.5" customHeight="1">
      <c r="A21" s="3" t="inlineStr">
        <is>
          <t>Chunk's Challenge - Config Panel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</row>
    <row r="22" ht="15.75" customHeight="1">
      <c r="A22" s="6" t="inlineStr">
        <is>
          <t>numberOfPositions</t>
        </is>
      </c>
      <c r="B22" s="7" t="n">
        <v>10</v>
      </c>
    </row>
    <row r="23" ht="15.75" customHeight="1">
      <c r="A23" s="6" t="inlineStr">
        <is>
          <t>LBSize</t>
        </is>
      </c>
      <c r="B23" s="7" t="n">
        <v>10</v>
      </c>
    </row>
    <row r="24" ht="15.75" customHeight="1">
      <c r="A24" s="6" t="inlineStr">
        <is>
          <t>EventDuration</t>
        </is>
      </c>
      <c r="B24" s="7" t="n">
        <v>2</v>
      </c>
    </row>
    <row r="25" ht="15.75" customHeight="1"/>
    <row r="26" ht="19.5" customHeight="1">
      <c r="A26" s="3" t="inlineStr">
        <is>
          <t>Chunk's Challenge - Goals and Rewards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</row>
    <row r="27" ht="90" customHeight="1">
      <c r="A27" s="23" t="inlineStr">
        <is>
          <t>Position</t>
        </is>
      </c>
      <c r="B27" s="24" t="inlineStr">
        <is>
          <t>Coins</t>
        </is>
      </c>
      <c r="C27" s="18" t="inlineStr">
        <is>
          <t>SPT</t>
        </is>
      </c>
      <c r="D27" s="18" t="inlineStr">
        <is>
          <t>SPT x2</t>
        </is>
      </c>
      <c r="E27" s="18" t="inlineStr">
        <is>
          <t>Red</t>
        </is>
      </c>
      <c r="F27" s="18" t="inlineStr">
        <is>
          <t>Chuck</t>
        </is>
      </c>
      <c r="G27" s="18" t="inlineStr">
        <is>
          <t>Bomb</t>
        </is>
      </c>
      <c r="H27" s="18" t="inlineStr">
        <is>
          <t>Slingshot</t>
        </is>
      </c>
      <c r="I27" s="18" t="inlineStr">
        <is>
          <t>Shuffle</t>
        </is>
      </c>
      <c r="J27" s="18" t="inlineStr">
        <is>
          <t>Comet</t>
        </is>
      </c>
      <c r="K27" s="18" t="inlineStr">
        <is>
          <t>Unlimited Lives</t>
        </is>
      </c>
      <c r="L27" s="18" t="inlineStr">
        <is>
          <t>Unlimited Red</t>
        </is>
      </c>
      <c r="M27" s="18" t="inlineStr">
        <is>
          <t>Unlimited Chuck</t>
        </is>
      </c>
      <c r="N27" s="18" t="inlineStr">
        <is>
          <t>Unlimited Bomb</t>
        </is>
      </c>
      <c r="O27" s="18" t="inlineStr">
        <is>
          <t>COOP Token</t>
        </is>
      </c>
      <c r="P27" s="18" t="inlineStr">
        <is>
          <t>Avatar</t>
        </is>
      </c>
      <c r="Q27" s="18" t="inlineStr">
        <is>
          <t>1-star Dly</t>
        </is>
      </c>
      <c r="R27" s="18" t="inlineStr">
        <is>
          <t>2-star Dly</t>
        </is>
      </c>
      <c r="S27" s="18" t="inlineStr">
        <is>
          <t>3-star Dly</t>
        </is>
      </c>
      <c r="T27" s="18" t="inlineStr">
        <is>
          <t>4-star Dly</t>
        </is>
      </c>
      <c r="U27" s="18" t="inlineStr">
        <is>
          <t>5-star Dly</t>
        </is>
      </c>
      <c r="V27" s="18" t="inlineStr">
        <is>
          <t>6-star Dly</t>
        </is>
      </c>
    </row>
    <row r="28" ht="15.75" customHeight="1">
      <c r="A28" s="25" t="n">
        <v>1</v>
      </c>
      <c r="B28" s="26" t="n">
        <v>200</v>
      </c>
      <c r="C28" s="22" t="n">
        <v>0</v>
      </c>
      <c r="D28" s="22" t="n">
        <v>0</v>
      </c>
      <c r="E28" s="22" t="n">
        <v>0</v>
      </c>
      <c r="F28" s="22" t="n">
        <v>0</v>
      </c>
      <c r="G28" s="22" t="n">
        <v>0</v>
      </c>
      <c r="H28" s="22" t="n">
        <v>0</v>
      </c>
      <c r="I28" s="22" t="n">
        <v>0</v>
      </c>
      <c r="J28" s="22" t="n">
        <v>1</v>
      </c>
      <c r="K28" s="22" t="n">
        <v>0</v>
      </c>
      <c r="L28" s="22" t="n">
        <v>0</v>
      </c>
      <c r="M28" s="22" t="n">
        <v>0</v>
      </c>
      <c r="N28" s="22" t="n">
        <v>0</v>
      </c>
      <c r="O28" s="22" t="n">
        <v>0</v>
      </c>
      <c r="P28" s="22" t="n">
        <v>0</v>
      </c>
      <c r="Q28" s="22" t="n">
        <v>0</v>
      </c>
      <c r="R28" s="22" t="n">
        <v>0</v>
      </c>
      <c r="S28" s="22" t="n">
        <v>0</v>
      </c>
      <c r="T28" s="22" t="n">
        <v>0</v>
      </c>
      <c r="U28" s="22" t="n">
        <v>0</v>
      </c>
      <c r="V28" s="22" t="n">
        <v>0</v>
      </c>
    </row>
    <row r="29" ht="15.75" customHeight="1">
      <c r="A29" s="25" t="n">
        <v>2</v>
      </c>
      <c r="B29" s="26" t="n">
        <v>100</v>
      </c>
      <c r="C29" s="22" t="n">
        <v>0</v>
      </c>
      <c r="D29" s="22" t="n">
        <v>0</v>
      </c>
      <c r="E29" s="22" t="n">
        <v>0</v>
      </c>
      <c r="F29" s="22" t="n">
        <v>0</v>
      </c>
      <c r="G29" s="22" t="n">
        <v>0</v>
      </c>
      <c r="H29" s="22" t="n">
        <v>0</v>
      </c>
      <c r="I29" s="22" t="n">
        <v>1</v>
      </c>
      <c r="J29" s="22" t="n">
        <v>0</v>
      </c>
      <c r="K29" s="22" t="n">
        <v>0</v>
      </c>
      <c r="L29" s="22" t="n">
        <v>0</v>
      </c>
      <c r="M29" s="22" t="n">
        <v>0</v>
      </c>
      <c r="N29" s="22" t="n">
        <v>0</v>
      </c>
      <c r="O29" s="22" t="n">
        <v>0</v>
      </c>
      <c r="P29" s="22" t="n">
        <v>0</v>
      </c>
      <c r="Q29" s="22" t="n">
        <v>0</v>
      </c>
      <c r="R29" s="22" t="n">
        <v>0</v>
      </c>
      <c r="S29" s="22" t="n">
        <v>0</v>
      </c>
      <c r="T29" s="22" t="n">
        <v>0</v>
      </c>
      <c r="U29" s="22" t="n">
        <v>0</v>
      </c>
      <c r="V29" s="22" t="n">
        <v>0</v>
      </c>
    </row>
    <row r="30" ht="15.75" customHeight="1">
      <c r="A30" s="25" t="n">
        <v>3</v>
      </c>
      <c r="B30" s="26" t="n">
        <v>50</v>
      </c>
      <c r="C30" s="22" t="n">
        <v>0</v>
      </c>
      <c r="D30" s="22" t="n">
        <v>0</v>
      </c>
      <c r="E30" s="22" t="n">
        <v>0</v>
      </c>
      <c r="F30" s="22" t="n">
        <v>0</v>
      </c>
      <c r="G30" s="22" t="n">
        <v>0</v>
      </c>
      <c r="H30" s="22" t="n">
        <v>0</v>
      </c>
      <c r="I30" s="22" t="n">
        <v>1</v>
      </c>
      <c r="J30" s="22" t="n">
        <v>0</v>
      </c>
      <c r="K30" s="22" t="n">
        <v>0</v>
      </c>
      <c r="L30" s="22" t="n">
        <v>0</v>
      </c>
      <c r="M30" s="22" t="n">
        <v>0</v>
      </c>
      <c r="N30" s="22" t="n">
        <v>0</v>
      </c>
      <c r="O30" s="22" t="n">
        <v>0</v>
      </c>
      <c r="P30" s="22" t="n">
        <v>0</v>
      </c>
      <c r="Q30" s="22" t="n">
        <v>0</v>
      </c>
      <c r="R30" s="22" t="n">
        <v>0</v>
      </c>
      <c r="S30" s="22" t="n">
        <v>0</v>
      </c>
      <c r="T30" s="22" t="n">
        <v>0</v>
      </c>
      <c r="U30" s="22" t="n">
        <v>0</v>
      </c>
      <c r="V30" s="22" t="n">
        <v>0</v>
      </c>
    </row>
    <row r="31" ht="15.75" customHeight="1">
      <c r="A31" s="25" t="n">
        <v>4</v>
      </c>
      <c r="B31" s="26" t="n">
        <v>0</v>
      </c>
      <c r="C31" s="22" t="n">
        <v>0</v>
      </c>
      <c r="D31" s="22" t="n">
        <v>0</v>
      </c>
      <c r="E31" s="22" t="n">
        <v>0</v>
      </c>
      <c r="F31" s="22" t="n">
        <v>0</v>
      </c>
      <c r="G31" s="22" t="n">
        <v>0</v>
      </c>
      <c r="H31" s="22" t="n">
        <v>0</v>
      </c>
      <c r="I31" s="22" t="n">
        <v>1</v>
      </c>
      <c r="J31" s="22" t="n">
        <v>0</v>
      </c>
      <c r="K31" s="22" t="n">
        <v>0</v>
      </c>
      <c r="L31" s="22" t="n">
        <v>0</v>
      </c>
      <c r="M31" s="22" t="n">
        <v>0</v>
      </c>
      <c r="N31" s="22" t="n">
        <v>0</v>
      </c>
      <c r="O31" s="22" t="n">
        <v>0</v>
      </c>
      <c r="P31" s="22" t="n">
        <v>0</v>
      </c>
      <c r="Q31" s="22" t="n">
        <v>0</v>
      </c>
      <c r="R31" s="22" t="n">
        <v>0</v>
      </c>
      <c r="S31" s="22" t="n">
        <v>0</v>
      </c>
      <c r="T31" s="22" t="n">
        <v>0</v>
      </c>
      <c r="U31" s="22" t="n">
        <v>0</v>
      </c>
      <c r="V31" s="22" t="n">
        <v>0</v>
      </c>
    </row>
    <row r="32" ht="15.75" customHeight="1">
      <c r="A32" s="25" t="n">
        <v>5</v>
      </c>
      <c r="B32" s="26" t="n">
        <v>0</v>
      </c>
      <c r="C32" s="22" t="n">
        <v>0</v>
      </c>
      <c r="D32" s="22" t="n">
        <v>0</v>
      </c>
      <c r="E32" s="22" t="n">
        <v>0</v>
      </c>
      <c r="F32" s="22" t="n">
        <v>0</v>
      </c>
      <c r="G32" s="22" t="n">
        <v>0</v>
      </c>
      <c r="H32" s="22" t="n">
        <v>0</v>
      </c>
      <c r="I32" s="22" t="n">
        <v>1</v>
      </c>
      <c r="J32" s="22" t="n">
        <v>0</v>
      </c>
      <c r="K32" s="22" t="n">
        <v>0</v>
      </c>
      <c r="L32" s="22" t="n">
        <v>0</v>
      </c>
      <c r="M32" s="22" t="n">
        <v>0</v>
      </c>
      <c r="N32" s="22" t="n">
        <v>0</v>
      </c>
      <c r="O32" s="22" t="n">
        <v>0</v>
      </c>
      <c r="P32" s="22" t="n">
        <v>0</v>
      </c>
      <c r="Q32" s="22" t="n">
        <v>0</v>
      </c>
      <c r="R32" s="22" t="n">
        <v>0</v>
      </c>
      <c r="S32" s="22" t="n">
        <v>0</v>
      </c>
      <c r="T32" s="22" t="n">
        <v>0</v>
      </c>
      <c r="U32" s="22" t="n">
        <v>0</v>
      </c>
      <c r="V32" s="22" t="n">
        <v>0</v>
      </c>
    </row>
    <row r="33" ht="15.75" customHeight="1">
      <c r="A33" s="25" t="n">
        <v>6</v>
      </c>
      <c r="B33" s="26" t="n">
        <v>0</v>
      </c>
      <c r="C33" s="22" t="n">
        <v>0</v>
      </c>
      <c r="D33" s="22" t="n">
        <v>0</v>
      </c>
      <c r="E33" s="22" t="n">
        <v>0</v>
      </c>
      <c r="F33" s="22" t="n">
        <v>0</v>
      </c>
      <c r="G33" s="22" t="n">
        <v>0</v>
      </c>
      <c r="H33" s="22" t="n">
        <v>1</v>
      </c>
      <c r="I33" s="22" t="n">
        <v>0</v>
      </c>
      <c r="J33" s="22" t="n">
        <v>0</v>
      </c>
      <c r="K33" s="22" t="n">
        <v>0</v>
      </c>
      <c r="L33" s="22" t="n">
        <v>0</v>
      </c>
      <c r="M33" s="22" t="n">
        <v>0</v>
      </c>
      <c r="N33" s="22" t="n">
        <v>0</v>
      </c>
      <c r="O33" s="22" t="n">
        <v>0</v>
      </c>
      <c r="P33" s="22" t="n">
        <v>0</v>
      </c>
      <c r="Q33" s="22" t="n">
        <v>0</v>
      </c>
      <c r="R33" s="22" t="n">
        <v>0</v>
      </c>
      <c r="S33" s="22" t="n">
        <v>0</v>
      </c>
      <c r="T33" s="22" t="n">
        <v>0</v>
      </c>
      <c r="U33" s="22" t="n">
        <v>0</v>
      </c>
      <c r="V33" s="22" t="n">
        <v>0</v>
      </c>
    </row>
    <row r="34" ht="15.75" customHeight="1">
      <c r="A34" s="25" t="n">
        <v>7</v>
      </c>
      <c r="B34" s="26" t="n">
        <v>0</v>
      </c>
      <c r="C34" s="22" t="n">
        <v>0</v>
      </c>
      <c r="D34" s="22" t="n">
        <v>0</v>
      </c>
      <c r="E34" s="22" t="n">
        <v>0</v>
      </c>
      <c r="F34" s="22" t="n">
        <v>0</v>
      </c>
      <c r="G34" s="22" t="n">
        <v>0</v>
      </c>
      <c r="H34" s="22" t="n">
        <v>1</v>
      </c>
      <c r="I34" s="22" t="n">
        <v>0</v>
      </c>
      <c r="J34" s="22" t="n">
        <v>0</v>
      </c>
      <c r="K34" s="22" t="n">
        <v>0</v>
      </c>
      <c r="L34" s="22" t="n">
        <v>0</v>
      </c>
      <c r="M34" s="22" t="n">
        <v>0</v>
      </c>
      <c r="N34" s="22" t="n">
        <v>0</v>
      </c>
      <c r="O34" s="22" t="n">
        <v>0</v>
      </c>
      <c r="P34" s="22" t="n">
        <v>0</v>
      </c>
      <c r="Q34" s="22" t="n">
        <v>0</v>
      </c>
      <c r="R34" s="22" t="n">
        <v>0</v>
      </c>
      <c r="S34" s="22" t="n">
        <v>0</v>
      </c>
      <c r="T34" s="22" t="n">
        <v>0</v>
      </c>
      <c r="U34" s="22" t="n">
        <v>0</v>
      </c>
      <c r="V34" s="22" t="n">
        <v>0</v>
      </c>
    </row>
    <row r="35" ht="15.75" customHeight="1">
      <c r="A35" s="25" t="n">
        <v>8</v>
      </c>
      <c r="B35" s="26" t="n">
        <v>0</v>
      </c>
      <c r="C35" s="22" t="n">
        <v>0</v>
      </c>
      <c r="D35" s="22" t="n">
        <v>0</v>
      </c>
      <c r="E35" s="22" t="n">
        <v>0</v>
      </c>
      <c r="F35" s="22" t="n">
        <v>0</v>
      </c>
      <c r="G35" s="22" t="n">
        <v>0</v>
      </c>
      <c r="H35" s="22" t="n">
        <v>1</v>
      </c>
      <c r="I35" s="22" t="n">
        <v>0</v>
      </c>
      <c r="J35" s="22" t="n">
        <v>0</v>
      </c>
      <c r="K35" s="22" t="n">
        <v>0</v>
      </c>
      <c r="L35" s="22" t="n">
        <v>0</v>
      </c>
      <c r="M35" s="22" t="n">
        <v>0</v>
      </c>
      <c r="N35" s="22" t="n">
        <v>0</v>
      </c>
      <c r="O35" s="22" t="n">
        <v>0</v>
      </c>
      <c r="P35" s="22" t="n">
        <v>0</v>
      </c>
      <c r="Q35" s="22" t="n">
        <v>0</v>
      </c>
      <c r="R35" s="22" t="n">
        <v>0</v>
      </c>
      <c r="S35" s="22" t="n">
        <v>0</v>
      </c>
      <c r="T35" s="22" t="n">
        <v>0</v>
      </c>
      <c r="U35" s="22" t="n">
        <v>0</v>
      </c>
      <c r="V35" s="22" t="n">
        <v>0</v>
      </c>
    </row>
    <row r="36" ht="15.75" customHeight="1">
      <c r="A36" s="25" t="n">
        <v>9</v>
      </c>
      <c r="B36" s="26" t="n">
        <v>0</v>
      </c>
      <c r="C36" s="22" t="n">
        <v>0</v>
      </c>
      <c r="D36" s="22" t="n">
        <v>0</v>
      </c>
      <c r="E36" s="22" t="n">
        <v>0</v>
      </c>
      <c r="F36" s="22" t="n">
        <v>0</v>
      </c>
      <c r="G36" s="22" t="n">
        <v>0</v>
      </c>
      <c r="H36" s="22" t="n">
        <v>1</v>
      </c>
      <c r="I36" s="22" t="n">
        <v>0</v>
      </c>
      <c r="J36" s="22" t="n">
        <v>0</v>
      </c>
      <c r="K36" s="22" t="n">
        <v>0</v>
      </c>
      <c r="L36" s="22" t="n">
        <v>0</v>
      </c>
      <c r="M36" s="22" t="n">
        <v>0</v>
      </c>
      <c r="N36" s="22" t="n">
        <v>0</v>
      </c>
      <c r="O36" s="22" t="n">
        <v>0</v>
      </c>
      <c r="P36" s="22" t="n">
        <v>0</v>
      </c>
      <c r="Q36" s="22" t="n">
        <v>0</v>
      </c>
      <c r="R36" s="22" t="n">
        <v>0</v>
      </c>
      <c r="S36" s="22" t="n">
        <v>0</v>
      </c>
      <c r="T36" s="22" t="n">
        <v>0</v>
      </c>
      <c r="U36" s="22" t="n">
        <v>0</v>
      </c>
      <c r="V36" s="22" t="n">
        <v>0</v>
      </c>
    </row>
    <row r="37" ht="15.75" customHeight="1">
      <c r="A37" s="25" t="n">
        <v>10</v>
      </c>
      <c r="B37" s="26" t="n">
        <v>0</v>
      </c>
      <c r="C37" s="22" t="n">
        <v>0</v>
      </c>
      <c r="D37" s="22" t="n">
        <v>0</v>
      </c>
      <c r="E37" s="22" t="n">
        <v>0</v>
      </c>
      <c r="F37" s="22" t="n">
        <v>0</v>
      </c>
      <c r="G37" s="22" t="n">
        <v>0</v>
      </c>
      <c r="H37" s="22" t="n">
        <v>1</v>
      </c>
      <c r="I37" s="22" t="n">
        <v>0</v>
      </c>
      <c r="J37" s="22" t="n">
        <v>0</v>
      </c>
      <c r="K37" s="22" t="n">
        <v>0</v>
      </c>
      <c r="L37" s="22" t="n">
        <v>0</v>
      </c>
      <c r="M37" s="22" t="n">
        <v>0</v>
      </c>
      <c r="N37" s="22" t="n">
        <v>0</v>
      </c>
      <c r="O37" s="22" t="n">
        <v>0</v>
      </c>
      <c r="P37" s="22" t="n">
        <v>0</v>
      </c>
      <c r="Q37" s="22" t="n">
        <v>0</v>
      </c>
      <c r="R37" s="22" t="n">
        <v>0</v>
      </c>
      <c r="S37" s="22" t="n">
        <v>0</v>
      </c>
      <c r="T37" s="22" t="n">
        <v>0</v>
      </c>
      <c r="U37" s="22" t="n">
        <v>0</v>
      </c>
      <c r="V37" s="22" t="n">
        <v>0</v>
      </c>
    </row>
    <row r="38" ht="15.75" customHeight="1"/>
    <row r="39" ht="19.5" customHeight="1">
      <c r="A39" s="3" t="inlineStr">
        <is>
          <t>Bomb's Challenge - Config Panel</t>
        </is>
      </c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</row>
    <row r="40" ht="15.75" customHeight="1">
      <c r="A40" s="6" t="inlineStr">
        <is>
          <t>numberOfPositions</t>
        </is>
      </c>
      <c r="B40" s="7" t="n">
        <v>10</v>
      </c>
    </row>
    <row r="41" ht="15.75" customHeight="1">
      <c r="A41" s="6" t="inlineStr">
        <is>
          <t>LBSize</t>
        </is>
      </c>
      <c r="B41" s="7" t="n">
        <v>10</v>
      </c>
    </row>
    <row r="42" ht="15.75" customHeight="1">
      <c r="A42" s="6" t="inlineStr">
        <is>
          <t>EventDuration</t>
        </is>
      </c>
      <c r="B42" s="7" t="n">
        <v>2</v>
      </c>
    </row>
    <row r="43" ht="15.75" customHeight="1"/>
    <row r="44" ht="19.5" customHeight="1">
      <c r="A44" s="3" t="inlineStr">
        <is>
          <t>Bomb's Challenge - Goals and Rewards</t>
        </is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</row>
    <row r="45" ht="90" customHeight="1">
      <c r="A45" s="23" t="inlineStr">
        <is>
          <t>Position</t>
        </is>
      </c>
      <c r="B45" s="24" t="inlineStr">
        <is>
          <t>Coins</t>
        </is>
      </c>
      <c r="C45" s="18" t="inlineStr">
        <is>
          <t>SPT</t>
        </is>
      </c>
      <c r="D45" s="18" t="inlineStr">
        <is>
          <t>SPT x2</t>
        </is>
      </c>
      <c r="E45" s="18" t="inlineStr">
        <is>
          <t>Red</t>
        </is>
      </c>
      <c r="F45" s="18" t="inlineStr">
        <is>
          <t>Chuck</t>
        </is>
      </c>
      <c r="G45" s="18" t="inlineStr">
        <is>
          <t>Bomb</t>
        </is>
      </c>
      <c r="H45" s="18" t="inlineStr">
        <is>
          <t>Slingshot</t>
        </is>
      </c>
      <c r="I45" s="18" t="inlineStr">
        <is>
          <t>Shuffle</t>
        </is>
      </c>
      <c r="J45" s="18" t="inlineStr">
        <is>
          <t>Comet</t>
        </is>
      </c>
      <c r="K45" s="18" t="inlineStr">
        <is>
          <t>Unlimited Lives</t>
        </is>
      </c>
      <c r="L45" s="18" t="inlineStr">
        <is>
          <t>Unlimited Red</t>
        </is>
      </c>
      <c r="M45" s="18" t="inlineStr">
        <is>
          <t>Unlimited Chuck</t>
        </is>
      </c>
      <c r="N45" s="18" t="inlineStr">
        <is>
          <t>Unlimited Bomb</t>
        </is>
      </c>
      <c r="O45" s="18" t="inlineStr">
        <is>
          <t>COOP Token</t>
        </is>
      </c>
      <c r="P45" s="18" t="inlineStr">
        <is>
          <t>Avatar</t>
        </is>
      </c>
      <c r="Q45" s="18" t="inlineStr">
        <is>
          <t>1-star Dly</t>
        </is>
      </c>
      <c r="R45" s="18" t="inlineStr">
        <is>
          <t>2-star Dly</t>
        </is>
      </c>
      <c r="S45" s="18" t="inlineStr">
        <is>
          <t>3-star Dly</t>
        </is>
      </c>
      <c r="T45" s="18" t="inlineStr">
        <is>
          <t>4-star Dly</t>
        </is>
      </c>
      <c r="U45" s="18" t="inlineStr">
        <is>
          <t>5-star Dly</t>
        </is>
      </c>
      <c r="V45" s="18" t="inlineStr">
        <is>
          <t>6-star Dly</t>
        </is>
      </c>
    </row>
    <row r="46" ht="15.75" customHeight="1">
      <c r="A46" s="25" t="n">
        <v>1</v>
      </c>
      <c r="B46" s="26" t="n">
        <v>200</v>
      </c>
      <c r="C46" s="22" t="n">
        <v>0</v>
      </c>
      <c r="D46" s="22" t="n">
        <v>0</v>
      </c>
      <c r="E46" s="22" t="n">
        <v>0</v>
      </c>
      <c r="F46" s="22" t="n">
        <v>0</v>
      </c>
      <c r="G46" s="22" t="n">
        <v>0</v>
      </c>
      <c r="H46" s="22" t="n">
        <v>0</v>
      </c>
      <c r="I46" s="22" t="n">
        <v>0</v>
      </c>
      <c r="J46" s="22" t="n">
        <v>1</v>
      </c>
      <c r="K46" s="22" t="n">
        <v>0</v>
      </c>
      <c r="L46" s="22" t="n">
        <v>0</v>
      </c>
      <c r="M46" s="22" t="n">
        <v>0</v>
      </c>
      <c r="N46" s="22" t="n">
        <v>0</v>
      </c>
      <c r="O46" s="22" t="n">
        <v>0</v>
      </c>
      <c r="P46" s="22" t="n">
        <v>0</v>
      </c>
      <c r="Q46" s="22" t="n">
        <v>0</v>
      </c>
      <c r="R46" s="22" t="n">
        <v>0</v>
      </c>
      <c r="S46" s="22" t="n">
        <v>0</v>
      </c>
      <c r="T46" s="22" t="n">
        <v>0</v>
      </c>
      <c r="U46" s="22" t="n">
        <v>0</v>
      </c>
      <c r="V46" s="22" t="n">
        <v>0</v>
      </c>
    </row>
    <row r="47" ht="15.75" customHeight="1">
      <c r="A47" s="25" t="n">
        <v>2</v>
      </c>
      <c r="B47" s="26" t="n">
        <v>100</v>
      </c>
      <c r="C47" s="22" t="n">
        <v>0</v>
      </c>
      <c r="D47" s="22" t="n">
        <v>0</v>
      </c>
      <c r="E47" s="22" t="n">
        <v>0</v>
      </c>
      <c r="F47" s="22" t="n">
        <v>0</v>
      </c>
      <c r="G47" s="22" t="n">
        <v>0</v>
      </c>
      <c r="H47" s="22" t="n">
        <v>0</v>
      </c>
      <c r="I47" s="22" t="n">
        <v>1</v>
      </c>
      <c r="J47" s="22" t="n">
        <v>0</v>
      </c>
      <c r="K47" s="22" t="n">
        <v>0</v>
      </c>
      <c r="L47" s="22" t="n">
        <v>0</v>
      </c>
      <c r="M47" s="22" t="n">
        <v>0</v>
      </c>
      <c r="N47" s="22" t="n">
        <v>0</v>
      </c>
      <c r="O47" s="22" t="n">
        <v>0</v>
      </c>
      <c r="P47" s="22" t="n">
        <v>0</v>
      </c>
      <c r="Q47" s="22" t="n">
        <v>0</v>
      </c>
      <c r="R47" s="22" t="n">
        <v>0</v>
      </c>
      <c r="S47" s="22" t="n">
        <v>0</v>
      </c>
      <c r="T47" s="22" t="n">
        <v>0</v>
      </c>
      <c r="U47" s="22" t="n">
        <v>0</v>
      </c>
      <c r="V47" s="22" t="n">
        <v>0</v>
      </c>
    </row>
    <row r="48" ht="15.75" customHeight="1">
      <c r="A48" s="25" t="n">
        <v>3</v>
      </c>
      <c r="B48" s="26" t="n">
        <v>50</v>
      </c>
      <c r="C48" s="22" t="n">
        <v>0</v>
      </c>
      <c r="D48" s="22" t="n">
        <v>0</v>
      </c>
      <c r="E48" s="22" t="n">
        <v>0</v>
      </c>
      <c r="F48" s="22" t="n">
        <v>0</v>
      </c>
      <c r="G48" s="22" t="n">
        <v>0</v>
      </c>
      <c r="H48" s="22" t="n">
        <v>0</v>
      </c>
      <c r="I48" s="22" t="n">
        <v>1</v>
      </c>
      <c r="J48" s="22" t="n">
        <v>0</v>
      </c>
      <c r="K48" s="22" t="n">
        <v>0</v>
      </c>
      <c r="L48" s="22" t="n">
        <v>0</v>
      </c>
      <c r="M48" s="22" t="n">
        <v>0</v>
      </c>
      <c r="N48" s="22" t="n">
        <v>0</v>
      </c>
      <c r="O48" s="22" t="n">
        <v>0</v>
      </c>
      <c r="P48" s="22" t="n">
        <v>0</v>
      </c>
      <c r="Q48" s="22" t="n">
        <v>0</v>
      </c>
      <c r="R48" s="22" t="n">
        <v>0</v>
      </c>
      <c r="S48" s="22" t="n">
        <v>0</v>
      </c>
      <c r="T48" s="22" t="n">
        <v>0</v>
      </c>
      <c r="U48" s="22" t="n">
        <v>0</v>
      </c>
      <c r="V48" s="22" t="n">
        <v>0</v>
      </c>
    </row>
    <row r="49" ht="15.75" customHeight="1">
      <c r="A49" s="25" t="n">
        <v>4</v>
      </c>
      <c r="B49" s="26" t="n">
        <v>0</v>
      </c>
      <c r="C49" s="22" t="n">
        <v>0</v>
      </c>
      <c r="D49" s="22" t="n">
        <v>0</v>
      </c>
      <c r="E49" s="22" t="n">
        <v>0</v>
      </c>
      <c r="F49" s="22" t="n">
        <v>0</v>
      </c>
      <c r="G49" s="22" t="n">
        <v>0</v>
      </c>
      <c r="H49" s="22" t="n">
        <v>0</v>
      </c>
      <c r="I49" s="22" t="n">
        <v>1</v>
      </c>
      <c r="J49" s="22" t="n">
        <v>0</v>
      </c>
      <c r="K49" s="22" t="n">
        <v>0</v>
      </c>
      <c r="L49" s="22" t="n">
        <v>0</v>
      </c>
      <c r="M49" s="22" t="n">
        <v>0</v>
      </c>
      <c r="N49" s="22" t="n">
        <v>0</v>
      </c>
      <c r="O49" s="22" t="n">
        <v>0</v>
      </c>
      <c r="P49" s="22" t="n">
        <v>0</v>
      </c>
      <c r="Q49" s="22" t="n">
        <v>0</v>
      </c>
      <c r="R49" s="22" t="n">
        <v>0</v>
      </c>
      <c r="S49" s="22" t="n">
        <v>0</v>
      </c>
      <c r="T49" s="22" t="n">
        <v>0</v>
      </c>
      <c r="U49" s="22" t="n">
        <v>0</v>
      </c>
      <c r="V49" s="22" t="n">
        <v>0</v>
      </c>
    </row>
    <row r="50" ht="15.75" customHeight="1">
      <c r="A50" s="25" t="n">
        <v>5</v>
      </c>
      <c r="B50" s="26" t="n">
        <v>0</v>
      </c>
      <c r="C50" s="22" t="n">
        <v>0</v>
      </c>
      <c r="D50" s="22" t="n">
        <v>0</v>
      </c>
      <c r="E50" s="22" t="n">
        <v>0</v>
      </c>
      <c r="F50" s="22" t="n">
        <v>0</v>
      </c>
      <c r="G50" s="22" t="n">
        <v>0</v>
      </c>
      <c r="H50" s="22" t="n">
        <v>0</v>
      </c>
      <c r="I50" s="22" t="n">
        <v>1</v>
      </c>
      <c r="J50" s="22" t="n">
        <v>0</v>
      </c>
      <c r="K50" s="22" t="n">
        <v>0</v>
      </c>
      <c r="L50" s="22" t="n">
        <v>0</v>
      </c>
      <c r="M50" s="22" t="n">
        <v>0</v>
      </c>
      <c r="N50" s="22" t="n">
        <v>0</v>
      </c>
      <c r="O50" s="22" t="n">
        <v>0</v>
      </c>
      <c r="P50" s="22" t="n">
        <v>0</v>
      </c>
      <c r="Q50" s="22" t="n">
        <v>0</v>
      </c>
      <c r="R50" s="22" t="n">
        <v>0</v>
      </c>
      <c r="S50" s="22" t="n">
        <v>0</v>
      </c>
      <c r="T50" s="22" t="n">
        <v>0</v>
      </c>
      <c r="U50" s="22" t="n">
        <v>0</v>
      </c>
      <c r="V50" s="22" t="n">
        <v>0</v>
      </c>
    </row>
    <row r="51" ht="15.75" customHeight="1">
      <c r="A51" s="25" t="n">
        <v>6</v>
      </c>
      <c r="B51" s="26" t="n">
        <v>0</v>
      </c>
      <c r="C51" s="22" t="n">
        <v>0</v>
      </c>
      <c r="D51" s="22" t="n">
        <v>0</v>
      </c>
      <c r="E51" s="22" t="n">
        <v>0</v>
      </c>
      <c r="F51" s="22" t="n">
        <v>0</v>
      </c>
      <c r="G51" s="22" t="n">
        <v>0</v>
      </c>
      <c r="H51" s="22" t="n">
        <v>1</v>
      </c>
      <c r="I51" s="22" t="n">
        <v>0</v>
      </c>
      <c r="J51" s="22" t="n">
        <v>0</v>
      </c>
      <c r="K51" s="22" t="n">
        <v>0</v>
      </c>
      <c r="L51" s="22" t="n">
        <v>0</v>
      </c>
      <c r="M51" s="22" t="n">
        <v>0</v>
      </c>
      <c r="N51" s="22" t="n">
        <v>0</v>
      </c>
      <c r="O51" s="22" t="n">
        <v>0</v>
      </c>
      <c r="P51" s="22" t="n">
        <v>0</v>
      </c>
      <c r="Q51" s="22" t="n">
        <v>0</v>
      </c>
      <c r="R51" s="22" t="n">
        <v>0</v>
      </c>
      <c r="S51" s="22" t="n">
        <v>0</v>
      </c>
      <c r="T51" s="22" t="n">
        <v>0</v>
      </c>
      <c r="U51" s="22" t="n">
        <v>0</v>
      </c>
      <c r="V51" s="22" t="n">
        <v>0</v>
      </c>
    </row>
    <row r="52" ht="15.75" customHeight="1">
      <c r="A52" s="25" t="n">
        <v>7</v>
      </c>
      <c r="B52" s="26" t="n">
        <v>0</v>
      </c>
      <c r="C52" s="22" t="n">
        <v>0</v>
      </c>
      <c r="D52" s="22" t="n">
        <v>0</v>
      </c>
      <c r="E52" s="22" t="n">
        <v>0</v>
      </c>
      <c r="F52" s="22" t="n">
        <v>0</v>
      </c>
      <c r="G52" s="22" t="n">
        <v>0</v>
      </c>
      <c r="H52" s="22" t="n">
        <v>1</v>
      </c>
      <c r="I52" s="22" t="n">
        <v>0</v>
      </c>
      <c r="J52" s="22" t="n">
        <v>0</v>
      </c>
      <c r="K52" s="22" t="n">
        <v>0</v>
      </c>
      <c r="L52" s="22" t="n">
        <v>0</v>
      </c>
      <c r="M52" s="22" t="n">
        <v>0</v>
      </c>
      <c r="N52" s="22" t="n">
        <v>0</v>
      </c>
      <c r="O52" s="22" t="n">
        <v>0</v>
      </c>
      <c r="P52" s="22" t="n">
        <v>0</v>
      </c>
      <c r="Q52" s="22" t="n">
        <v>0</v>
      </c>
      <c r="R52" s="22" t="n">
        <v>0</v>
      </c>
      <c r="S52" s="22" t="n">
        <v>0</v>
      </c>
      <c r="T52" s="22" t="n">
        <v>0</v>
      </c>
      <c r="U52" s="22" t="n">
        <v>0</v>
      </c>
      <c r="V52" s="22" t="n">
        <v>0</v>
      </c>
    </row>
    <row r="53" ht="15.75" customHeight="1">
      <c r="A53" s="25" t="n">
        <v>8</v>
      </c>
      <c r="B53" s="26" t="n">
        <v>0</v>
      </c>
      <c r="C53" s="22" t="n">
        <v>0</v>
      </c>
      <c r="D53" s="22" t="n">
        <v>0</v>
      </c>
      <c r="E53" s="22" t="n">
        <v>0</v>
      </c>
      <c r="F53" s="22" t="n">
        <v>0</v>
      </c>
      <c r="G53" s="22" t="n">
        <v>0</v>
      </c>
      <c r="H53" s="22" t="n">
        <v>1</v>
      </c>
      <c r="I53" s="22" t="n">
        <v>0</v>
      </c>
      <c r="J53" s="22" t="n">
        <v>0</v>
      </c>
      <c r="K53" s="22" t="n">
        <v>0</v>
      </c>
      <c r="L53" s="22" t="n">
        <v>0</v>
      </c>
      <c r="M53" s="22" t="n">
        <v>0</v>
      </c>
      <c r="N53" s="22" t="n">
        <v>0</v>
      </c>
      <c r="O53" s="22" t="n">
        <v>0</v>
      </c>
      <c r="P53" s="22" t="n">
        <v>0</v>
      </c>
      <c r="Q53" s="22" t="n">
        <v>0</v>
      </c>
      <c r="R53" s="22" t="n">
        <v>0</v>
      </c>
      <c r="S53" s="22" t="n">
        <v>0</v>
      </c>
      <c r="T53" s="22" t="n">
        <v>0</v>
      </c>
      <c r="U53" s="22" t="n">
        <v>0</v>
      </c>
      <c r="V53" s="22" t="n">
        <v>0</v>
      </c>
    </row>
    <row r="54" ht="15.75" customHeight="1">
      <c r="A54" s="25" t="n">
        <v>9</v>
      </c>
      <c r="B54" s="26" t="n">
        <v>0</v>
      </c>
      <c r="C54" s="22" t="n">
        <v>0</v>
      </c>
      <c r="D54" s="22" t="n">
        <v>0</v>
      </c>
      <c r="E54" s="22" t="n">
        <v>0</v>
      </c>
      <c r="F54" s="22" t="n">
        <v>0</v>
      </c>
      <c r="G54" s="22" t="n">
        <v>0</v>
      </c>
      <c r="H54" s="22" t="n">
        <v>1</v>
      </c>
      <c r="I54" s="22" t="n">
        <v>0</v>
      </c>
      <c r="J54" s="22" t="n">
        <v>0</v>
      </c>
      <c r="K54" s="22" t="n">
        <v>0</v>
      </c>
      <c r="L54" s="22" t="n">
        <v>0</v>
      </c>
      <c r="M54" s="22" t="n">
        <v>0</v>
      </c>
      <c r="N54" s="22" t="n">
        <v>0</v>
      </c>
      <c r="O54" s="22" t="n">
        <v>0</v>
      </c>
      <c r="P54" s="22" t="n">
        <v>0</v>
      </c>
      <c r="Q54" s="22" t="n">
        <v>0</v>
      </c>
      <c r="R54" s="22" t="n">
        <v>0</v>
      </c>
      <c r="S54" s="22" t="n">
        <v>0</v>
      </c>
      <c r="T54" s="22" t="n">
        <v>0</v>
      </c>
      <c r="U54" s="22" t="n">
        <v>0</v>
      </c>
      <c r="V54" s="22" t="n">
        <v>0</v>
      </c>
    </row>
    <row r="55" ht="15.75" customHeight="1">
      <c r="A55" s="25" t="n">
        <v>10</v>
      </c>
      <c r="B55" s="26" t="n">
        <v>0</v>
      </c>
      <c r="C55" s="22" t="n">
        <v>0</v>
      </c>
      <c r="D55" s="22" t="n">
        <v>0</v>
      </c>
      <c r="E55" s="22" t="n">
        <v>0</v>
      </c>
      <c r="F55" s="22" t="n">
        <v>0</v>
      </c>
      <c r="G55" s="22" t="n">
        <v>0</v>
      </c>
      <c r="H55" s="22" t="n">
        <v>1</v>
      </c>
      <c r="I55" s="22" t="n">
        <v>0</v>
      </c>
      <c r="J55" s="22" t="n">
        <v>0</v>
      </c>
      <c r="K55" s="22" t="n">
        <v>0</v>
      </c>
      <c r="L55" s="22" t="n">
        <v>0</v>
      </c>
      <c r="M55" s="22" t="n">
        <v>0</v>
      </c>
      <c r="N55" s="22" t="n">
        <v>0</v>
      </c>
      <c r="O55" s="22" t="n">
        <v>0</v>
      </c>
      <c r="P55" s="22" t="n">
        <v>0</v>
      </c>
      <c r="Q55" s="22" t="n">
        <v>0</v>
      </c>
      <c r="R55" s="22" t="n">
        <v>0</v>
      </c>
      <c r="S55" s="22" t="n">
        <v>0</v>
      </c>
      <c r="T55" s="22" t="n">
        <v>0</v>
      </c>
      <c r="U55" s="22" t="n">
        <v>0</v>
      </c>
      <c r="V55" s="22" t="n">
        <v>0</v>
      </c>
    </row>
    <row r="56" ht="15.75" customHeight="1"/>
    <row r="57" ht="19.5" customHeight="1">
      <c r="A57" s="3" t="inlineStr">
        <is>
          <t>Level Challenge - Config Panel</t>
        </is>
      </c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</row>
    <row r="58" ht="15.75" customHeight="1">
      <c r="A58" s="6" t="inlineStr">
        <is>
          <t>numberOfPositions</t>
        </is>
      </c>
      <c r="B58" s="7" t="n">
        <v>10</v>
      </c>
    </row>
    <row r="59" ht="15.75" customHeight="1">
      <c r="A59" s="6" t="inlineStr">
        <is>
          <t>LBSize</t>
        </is>
      </c>
      <c r="B59" s="7" t="n">
        <v>10</v>
      </c>
    </row>
    <row r="60" ht="15.75" customHeight="1">
      <c r="A60" s="6" t="inlineStr">
        <is>
          <t>EventDuration</t>
        </is>
      </c>
      <c r="B60" s="7" t="n">
        <v>2</v>
      </c>
    </row>
    <row r="61" ht="15.75" customHeight="1"/>
    <row r="62" ht="19.5" customHeight="1">
      <c r="A62" s="3" t="inlineStr">
        <is>
          <t>Level Challenge - Goals and Rewards</t>
        </is>
      </c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</row>
    <row r="63" ht="90" customHeight="1">
      <c r="A63" s="23" t="inlineStr">
        <is>
          <t>Position</t>
        </is>
      </c>
      <c r="B63" s="24" t="inlineStr">
        <is>
          <t>Coins</t>
        </is>
      </c>
      <c r="C63" s="18" t="inlineStr">
        <is>
          <t>SPT</t>
        </is>
      </c>
      <c r="D63" s="18" t="inlineStr">
        <is>
          <t>SPT x2</t>
        </is>
      </c>
      <c r="E63" s="18" t="inlineStr">
        <is>
          <t>Red</t>
        </is>
      </c>
      <c r="F63" s="18" t="inlineStr">
        <is>
          <t>Chuck</t>
        </is>
      </c>
      <c r="G63" s="18" t="inlineStr">
        <is>
          <t>Bomb</t>
        </is>
      </c>
      <c r="H63" s="18" t="inlineStr">
        <is>
          <t>Slingshot</t>
        </is>
      </c>
      <c r="I63" s="18" t="inlineStr">
        <is>
          <t>Shuffle</t>
        </is>
      </c>
      <c r="J63" s="18" t="inlineStr">
        <is>
          <t>Comet</t>
        </is>
      </c>
      <c r="K63" s="18" t="inlineStr">
        <is>
          <t>Unlimited Lives</t>
        </is>
      </c>
      <c r="L63" s="18" t="inlineStr">
        <is>
          <t>Unlimited Red</t>
        </is>
      </c>
      <c r="M63" s="18" t="inlineStr">
        <is>
          <t>Unlimited Chuck</t>
        </is>
      </c>
      <c r="N63" s="18" t="inlineStr">
        <is>
          <t>Unlimited Bomb</t>
        </is>
      </c>
      <c r="O63" s="18" t="inlineStr">
        <is>
          <t>COOP Token</t>
        </is>
      </c>
      <c r="P63" s="18" t="inlineStr">
        <is>
          <t>Avatar</t>
        </is>
      </c>
      <c r="Q63" s="18" t="inlineStr">
        <is>
          <t>1-star Dly</t>
        </is>
      </c>
      <c r="R63" s="18" t="inlineStr">
        <is>
          <t>2-star Dly</t>
        </is>
      </c>
      <c r="S63" s="18" t="inlineStr">
        <is>
          <t>3-star Dly</t>
        </is>
      </c>
      <c r="T63" s="18" t="inlineStr">
        <is>
          <t>4-star Dly</t>
        </is>
      </c>
      <c r="U63" s="18" t="inlineStr">
        <is>
          <t>5-star Dly</t>
        </is>
      </c>
      <c r="V63" s="18" t="inlineStr">
        <is>
          <t>6-star Dly</t>
        </is>
      </c>
    </row>
    <row r="64" ht="15.75" customHeight="1">
      <c r="A64" s="25" t="n">
        <v>1</v>
      </c>
      <c r="B64" s="26" t="n">
        <v>200</v>
      </c>
      <c r="C64" s="22" t="n">
        <v>0</v>
      </c>
      <c r="D64" s="22" t="n">
        <v>0</v>
      </c>
      <c r="E64" s="22" t="n">
        <v>0</v>
      </c>
      <c r="F64" s="22" t="n">
        <v>0</v>
      </c>
      <c r="G64" s="22" t="n">
        <v>0</v>
      </c>
      <c r="H64" s="22" t="n">
        <v>0</v>
      </c>
      <c r="I64" s="22" t="n">
        <v>0</v>
      </c>
      <c r="J64" s="22" t="n">
        <v>1</v>
      </c>
      <c r="K64" s="22" t="n">
        <v>0</v>
      </c>
      <c r="L64" s="22" t="n">
        <v>0</v>
      </c>
      <c r="M64" s="22" t="n">
        <v>0</v>
      </c>
      <c r="N64" s="22" t="n">
        <v>0</v>
      </c>
      <c r="O64" s="22" t="n">
        <v>0</v>
      </c>
      <c r="P64" s="22" t="n">
        <v>0</v>
      </c>
      <c r="Q64" s="22" t="n">
        <v>0</v>
      </c>
      <c r="R64" s="22" t="n">
        <v>0</v>
      </c>
      <c r="S64" s="22" t="n">
        <v>0</v>
      </c>
      <c r="T64" s="22" t="n">
        <v>0</v>
      </c>
      <c r="U64" s="22" t="n">
        <v>0</v>
      </c>
      <c r="V64" s="22" t="n">
        <v>0</v>
      </c>
    </row>
    <row r="65" ht="15.75" customHeight="1">
      <c r="A65" s="25" t="n">
        <v>2</v>
      </c>
      <c r="B65" s="26" t="n">
        <v>100</v>
      </c>
      <c r="C65" s="22" t="n">
        <v>0</v>
      </c>
      <c r="D65" s="22" t="n">
        <v>0</v>
      </c>
      <c r="E65" s="22" t="n">
        <v>0</v>
      </c>
      <c r="F65" s="22" t="n">
        <v>0</v>
      </c>
      <c r="G65" s="22" t="n">
        <v>0</v>
      </c>
      <c r="H65" s="22" t="n">
        <v>0</v>
      </c>
      <c r="I65" s="22" t="n">
        <v>1</v>
      </c>
      <c r="J65" s="22" t="n">
        <v>0</v>
      </c>
      <c r="K65" s="22" t="n">
        <v>0</v>
      </c>
      <c r="L65" s="22" t="n">
        <v>0</v>
      </c>
      <c r="M65" s="22" t="n">
        <v>0</v>
      </c>
      <c r="N65" s="22" t="n">
        <v>0</v>
      </c>
      <c r="O65" s="22" t="n">
        <v>0</v>
      </c>
      <c r="P65" s="22" t="n">
        <v>0</v>
      </c>
      <c r="Q65" s="22" t="n">
        <v>0</v>
      </c>
      <c r="R65" s="22" t="n">
        <v>0</v>
      </c>
      <c r="S65" s="22" t="n">
        <v>0</v>
      </c>
      <c r="T65" s="22" t="n">
        <v>0</v>
      </c>
      <c r="U65" s="22" t="n">
        <v>0</v>
      </c>
      <c r="V65" s="22" t="n">
        <v>0</v>
      </c>
    </row>
    <row r="66" ht="15.75" customHeight="1">
      <c r="A66" s="25" t="n">
        <v>3</v>
      </c>
      <c r="B66" s="26" t="n">
        <v>50</v>
      </c>
      <c r="C66" s="22" t="n">
        <v>0</v>
      </c>
      <c r="D66" s="22" t="n">
        <v>0</v>
      </c>
      <c r="E66" s="22" t="n">
        <v>0</v>
      </c>
      <c r="F66" s="22" t="n">
        <v>0</v>
      </c>
      <c r="G66" s="22" t="n">
        <v>0</v>
      </c>
      <c r="H66" s="22" t="n">
        <v>0</v>
      </c>
      <c r="I66" s="22" t="n">
        <v>1</v>
      </c>
      <c r="J66" s="22" t="n">
        <v>0</v>
      </c>
      <c r="K66" s="22" t="n">
        <v>0</v>
      </c>
      <c r="L66" s="22" t="n">
        <v>0</v>
      </c>
      <c r="M66" s="22" t="n">
        <v>0</v>
      </c>
      <c r="N66" s="22" t="n">
        <v>0</v>
      </c>
      <c r="O66" s="22" t="n">
        <v>0</v>
      </c>
      <c r="P66" s="22" t="n">
        <v>0</v>
      </c>
      <c r="Q66" s="22" t="n">
        <v>0</v>
      </c>
      <c r="R66" s="22" t="n">
        <v>0</v>
      </c>
      <c r="S66" s="22" t="n">
        <v>0</v>
      </c>
      <c r="T66" s="22" t="n">
        <v>0</v>
      </c>
      <c r="U66" s="22" t="n">
        <v>0</v>
      </c>
      <c r="V66" s="22" t="n">
        <v>0</v>
      </c>
    </row>
    <row r="67" ht="15.75" customHeight="1">
      <c r="A67" s="25" t="n">
        <v>4</v>
      </c>
      <c r="B67" s="26" t="n">
        <v>0</v>
      </c>
      <c r="C67" s="22" t="n">
        <v>0</v>
      </c>
      <c r="D67" s="22" t="n">
        <v>0</v>
      </c>
      <c r="E67" s="22" t="n">
        <v>0</v>
      </c>
      <c r="F67" s="22" t="n">
        <v>0</v>
      </c>
      <c r="G67" s="22" t="n">
        <v>0</v>
      </c>
      <c r="H67" s="22" t="n">
        <v>0</v>
      </c>
      <c r="I67" s="22" t="n">
        <v>1</v>
      </c>
      <c r="J67" s="22" t="n">
        <v>0</v>
      </c>
      <c r="K67" s="22" t="n">
        <v>0</v>
      </c>
      <c r="L67" s="22" t="n">
        <v>0</v>
      </c>
      <c r="M67" s="22" t="n">
        <v>0</v>
      </c>
      <c r="N67" s="22" t="n">
        <v>0</v>
      </c>
      <c r="O67" s="22" t="n">
        <v>0</v>
      </c>
      <c r="P67" s="22" t="n">
        <v>0</v>
      </c>
      <c r="Q67" s="22" t="n">
        <v>0</v>
      </c>
      <c r="R67" s="22" t="n">
        <v>0</v>
      </c>
      <c r="S67" s="22" t="n">
        <v>0</v>
      </c>
      <c r="T67" s="22" t="n">
        <v>0</v>
      </c>
      <c r="U67" s="22" t="n">
        <v>0</v>
      </c>
      <c r="V67" s="22" t="n">
        <v>0</v>
      </c>
    </row>
    <row r="68" ht="15.75" customHeight="1">
      <c r="A68" s="25" t="n">
        <v>5</v>
      </c>
      <c r="B68" s="26" t="n">
        <v>0</v>
      </c>
      <c r="C68" s="22" t="n">
        <v>0</v>
      </c>
      <c r="D68" s="22" t="n">
        <v>0</v>
      </c>
      <c r="E68" s="22" t="n">
        <v>0</v>
      </c>
      <c r="F68" s="22" t="n">
        <v>0</v>
      </c>
      <c r="G68" s="22" t="n">
        <v>0</v>
      </c>
      <c r="H68" s="22" t="n">
        <v>0</v>
      </c>
      <c r="I68" s="22" t="n">
        <v>1</v>
      </c>
      <c r="J68" s="22" t="n">
        <v>0</v>
      </c>
      <c r="K68" s="22" t="n">
        <v>0</v>
      </c>
      <c r="L68" s="22" t="n">
        <v>0</v>
      </c>
      <c r="M68" s="22" t="n">
        <v>0</v>
      </c>
      <c r="N68" s="22" t="n">
        <v>0</v>
      </c>
      <c r="O68" s="22" t="n">
        <v>0</v>
      </c>
      <c r="P68" s="22" t="n">
        <v>0</v>
      </c>
      <c r="Q68" s="22" t="n">
        <v>0</v>
      </c>
      <c r="R68" s="22" t="n">
        <v>0</v>
      </c>
      <c r="S68" s="22" t="n">
        <v>0</v>
      </c>
      <c r="T68" s="22" t="n">
        <v>0</v>
      </c>
      <c r="U68" s="22" t="n">
        <v>0</v>
      </c>
      <c r="V68" s="22" t="n">
        <v>0</v>
      </c>
    </row>
    <row r="69" ht="15.75" customHeight="1">
      <c r="A69" s="25" t="n">
        <v>6</v>
      </c>
      <c r="B69" s="26" t="n">
        <v>0</v>
      </c>
      <c r="C69" s="22" t="n">
        <v>0</v>
      </c>
      <c r="D69" s="22" t="n">
        <v>0</v>
      </c>
      <c r="E69" s="22" t="n">
        <v>0</v>
      </c>
      <c r="F69" s="22" t="n">
        <v>0</v>
      </c>
      <c r="G69" s="22" t="n">
        <v>0</v>
      </c>
      <c r="H69" s="22" t="n">
        <v>1</v>
      </c>
      <c r="I69" s="22" t="n">
        <v>0</v>
      </c>
      <c r="J69" s="22" t="n">
        <v>0</v>
      </c>
      <c r="K69" s="22" t="n">
        <v>0</v>
      </c>
      <c r="L69" s="22" t="n">
        <v>0</v>
      </c>
      <c r="M69" s="22" t="n">
        <v>0</v>
      </c>
      <c r="N69" s="22" t="n">
        <v>0</v>
      </c>
      <c r="O69" s="22" t="n">
        <v>0</v>
      </c>
      <c r="P69" s="22" t="n">
        <v>0</v>
      </c>
      <c r="Q69" s="22" t="n">
        <v>0</v>
      </c>
      <c r="R69" s="22" t="n">
        <v>0</v>
      </c>
      <c r="S69" s="22" t="n">
        <v>0</v>
      </c>
      <c r="T69" s="22" t="n">
        <v>0</v>
      </c>
      <c r="U69" s="22" t="n">
        <v>0</v>
      </c>
      <c r="V69" s="22" t="n">
        <v>0</v>
      </c>
    </row>
    <row r="70" ht="15.75" customHeight="1">
      <c r="A70" s="25" t="n">
        <v>7</v>
      </c>
      <c r="B70" s="26" t="n">
        <v>0</v>
      </c>
      <c r="C70" s="22" t="n">
        <v>0</v>
      </c>
      <c r="D70" s="22" t="n">
        <v>0</v>
      </c>
      <c r="E70" s="22" t="n">
        <v>0</v>
      </c>
      <c r="F70" s="22" t="n">
        <v>0</v>
      </c>
      <c r="G70" s="22" t="n">
        <v>0</v>
      </c>
      <c r="H70" s="22" t="n">
        <v>1</v>
      </c>
      <c r="I70" s="22" t="n">
        <v>0</v>
      </c>
      <c r="J70" s="22" t="n">
        <v>0</v>
      </c>
      <c r="K70" s="22" t="n">
        <v>0</v>
      </c>
      <c r="L70" s="22" t="n">
        <v>0</v>
      </c>
      <c r="M70" s="22" t="n">
        <v>0</v>
      </c>
      <c r="N70" s="22" t="n">
        <v>0</v>
      </c>
      <c r="O70" s="22" t="n">
        <v>0</v>
      </c>
      <c r="P70" s="22" t="n">
        <v>0</v>
      </c>
      <c r="Q70" s="22" t="n">
        <v>0</v>
      </c>
      <c r="R70" s="22" t="n">
        <v>0</v>
      </c>
      <c r="S70" s="22" t="n">
        <v>0</v>
      </c>
      <c r="T70" s="22" t="n">
        <v>0</v>
      </c>
      <c r="U70" s="22" t="n">
        <v>0</v>
      </c>
      <c r="V70" s="22" t="n">
        <v>0</v>
      </c>
    </row>
    <row r="71" ht="15.75" customHeight="1">
      <c r="A71" s="25" t="n">
        <v>8</v>
      </c>
      <c r="B71" s="26" t="n">
        <v>0</v>
      </c>
      <c r="C71" s="22" t="n">
        <v>0</v>
      </c>
      <c r="D71" s="22" t="n">
        <v>0</v>
      </c>
      <c r="E71" s="22" t="n">
        <v>0</v>
      </c>
      <c r="F71" s="22" t="n">
        <v>0</v>
      </c>
      <c r="G71" s="22" t="n">
        <v>0</v>
      </c>
      <c r="H71" s="22" t="n">
        <v>1</v>
      </c>
      <c r="I71" s="22" t="n">
        <v>0</v>
      </c>
      <c r="J71" s="22" t="n">
        <v>0</v>
      </c>
      <c r="K71" s="22" t="n">
        <v>0</v>
      </c>
      <c r="L71" s="22" t="n">
        <v>0</v>
      </c>
      <c r="M71" s="22" t="n">
        <v>0</v>
      </c>
      <c r="N71" s="22" t="n">
        <v>0</v>
      </c>
      <c r="O71" s="22" t="n">
        <v>0</v>
      </c>
      <c r="P71" s="22" t="n">
        <v>0</v>
      </c>
      <c r="Q71" s="22" t="n">
        <v>0</v>
      </c>
      <c r="R71" s="22" t="n">
        <v>0</v>
      </c>
      <c r="S71" s="22" t="n">
        <v>0</v>
      </c>
      <c r="T71" s="22" t="n">
        <v>0</v>
      </c>
      <c r="U71" s="22" t="n">
        <v>0</v>
      </c>
      <c r="V71" s="22" t="n">
        <v>0</v>
      </c>
    </row>
    <row r="72" ht="15.75" customHeight="1">
      <c r="A72" s="25" t="n">
        <v>9</v>
      </c>
      <c r="B72" s="26" t="n">
        <v>0</v>
      </c>
      <c r="C72" s="22" t="n">
        <v>0</v>
      </c>
      <c r="D72" s="22" t="n">
        <v>0</v>
      </c>
      <c r="E72" s="22" t="n">
        <v>0</v>
      </c>
      <c r="F72" s="22" t="n">
        <v>0</v>
      </c>
      <c r="G72" s="22" t="n">
        <v>0</v>
      </c>
      <c r="H72" s="22" t="n">
        <v>1</v>
      </c>
      <c r="I72" s="22" t="n">
        <v>0</v>
      </c>
      <c r="J72" s="22" t="n">
        <v>0</v>
      </c>
      <c r="K72" s="22" t="n">
        <v>0</v>
      </c>
      <c r="L72" s="22" t="n">
        <v>0</v>
      </c>
      <c r="M72" s="22" t="n">
        <v>0</v>
      </c>
      <c r="N72" s="22" t="n">
        <v>0</v>
      </c>
      <c r="O72" s="22" t="n">
        <v>0</v>
      </c>
      <c r="P72" s="22" t="n">
        <v>0</v>
      </c>
      <c r="Q72" s="22" t="n">
        <v>0</v>
      </c>
      <c r="R72" s="22" t="n">
        <v>0</v>
      </c>
      <c r="S72" s="22" t="n">
        <v>0</v>
      </c>
      <c r="T72" s="22" t="n">
        <v>0</v>
      </c>
      <c r="U72" s="22" t="n">
        <v>0</v>
      </c>
      <c r="V72" s="22" t="n">
        <v>0</v>
      </c>
    </row>
    <row r="73" ht="15.75" customHeight="1">
      <c r="A73" s="25" t="n">
        <v>10</v>
      </c>
      <c r="B73" s="26" t="n">
        <v>0</v>
      </c>
      <c r="C73" s="22" t="n">
        <v>0</v>
      </c>
      <c r="D73" s="22" t="n">
        <v>0</v>
      </c>
      <c r="E73" s="22" t="n">
        <v>0</v>
      </c>
      <c r="F73" s="22" t="n">
        <v>0</v>
      </c>
      <c r="G73" s="22" t="n">
        <v>0</v>
      </c>
      <c r="H73" s="22" t="n">
        <v>1</v>
      </c>
      <c r="I73" s="22" t="n">
        <v>0</v>
      </c>
      <c r="J73" s="22" t="n">
        <v>0</v>
      </c>
      <c r="K73" s="22" t="n">
        <v>0</v>
      </c>
      <c r="L73" s="22" t="n">
        <v>0</v>
      </c>
      <c r="M73" s="22" t="n">
        <v>0</v>
      </c>
      <c r="N73" s="22" t="n">
        <v>0</v>
      </c>
      <c r="O73" s="22" t="n">
        <v>0</v>
      </c>
      <c r="P73" s="22" t="n">
        <v>0</v>
      </c>
      <c r="Q73" s="22" t="n">
        <v>0</v>
      </c>
      <c r="R73" s="22" t="n">
        <v>0</v>
      </c>
      <c r="S73" s="22" t="n">
        <v>0</v>
      </c>
      <c r="T73" s="22" t="n">
        <v>0</v>
      </c>
      <c r="U73" s="22" t="n">
        <v>0</v>
      </c>
      <c r="V73" s="22" t="n">
        <v>0</v>
      </c>
    </row>
    <row r="74" ht="15.75" customHeight="1"/>
    <row r="75" ht="19.5" customHeight="1">
      <c r="A75" s="3" t="inlineStr">
        <is>
          <t>Flash Race - Config Panel</t>
        </is>
      </c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</row>
    <row r="76" ht="15.75" customHeight="1">
      <c r="A76" s="6" t="inlineStr">
        <is>
          <t>numberOfPositions</t>
        </is>
      </c>
      <c r="B76" s="7" t="n">
        <v>10</v>
      </c>
    </row>
    <row r="77" ht="15.75" customHeight="1">
      <c r="A77" s="6" t="inlineStr">
        <is>
          <t>LBSize</t>
        </is>
      </c>
      <c r="B77" s="7" t="n">
        <v>10</v>
      </c>
    </row>
    <row r="78" ht="15.75" customHeight="1">
      <c r="A78" s="6" t="inlineStr">
        <is>
          <t>EventDuration</t>
        </is>
      </c>
      <c r="B78" s="7" t="n">
        <v>1</v>
      </c>
    </row>
    <row r="79" ht="15.75" customHeight="1"/>
    <row r="80" ht="19.5" customHeight="1">
      <c r="A80" s="3" t="inlineStr">
        <is>
          <t>Flash Race - Goals and Rewards</t>
        </is>
      </c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</row>
    <row r="81" ht="90" customHeight="1">
      <c r="A81" s="23" t="inlineStr">
        <is>
          <t>Position</t>
        </is>
      </c>
      <c r="B81" s="24" t="inlineStr">
        <is>
          <t>Coins</t>
        </is>
      </c>
      <c r="C81" s="18" t="inlineStr">
        <is>
          <t>SPT</t>
        </is>
      </c>
      <c r="D81" s="18" t="inlineStr">
        <is>
          <t>SPT x2</t>
        </is>
      </c>
      <c r="E81" s="18" t="inlineStr">
        <is>
          <t>Red</t>
        </is>
      </c>
      <c r="F81" s="18" t="inlineStr">
        <is>
          <t>Chuck</t>
        </is>
      </c>
      <c r="G81" s="18" t="inlineStr">
        <is>
          <t>Bomb</t>
        </is>
      </c>
      <c r="H81" s="18" t="inlineStr">
        <is>
          <t>Slingshot</t>
        </is>
      </c>
      <c r="I81" s="18" t="inlineStr">
        <is>
          <t>Shuffle</t>
        </is>
      </c>
      <c r="J81" s="18" t="inlineStr">
        <is>
          <t>Comet</t>
        </is>
      </c>
      <c r="K81" s="18" t="inlineStr">
        <is>
          <t>Unlimited Lives</t>
        </is>
      </c>
      <c r="L81" s="18" t="inlineStr">
        <is>
          <t>Unlimited Red</t>
        </is>
      </c>
      <c r="M81" s="18" t="inlineStr">
        <is>
          <t>Unlimited Chuck</t>
        </is>
      </c>
      <c r="N81" s="18" t="inlineStr">
        <is>
          <t>Unlimited Bomb</t>
        </is>
      </c>
      <c r="O81" s="18" t="inlineStr">
        <is>
          <t>COOP Token</t>
        </is>
      </c>
      <c r="P81" s="18" t="inlineStr">
        <is>
          <t>Avatar</t>
        </is>
      </c>
      <c r="Q81" s="18" t="inlineStr">
        <is>
          <t>1-star Dly</t>
        </is>
      </c>
      <c r="R81" s="18" t="inlineStr">
        <is>
          <t>2-star Dly</t>
        </is>
      </c>
      <c r="S81" s="18" t="inlineStr">
        <is>
          <t>3-star Dly</t>
        </is>
      </c>
      <c r="T81" s="18" t="inlineStr">
        <is>
          <t>4-star Dly</t>
        </is>
      </c>
      <c r="U81" s="18" t="inlineStr">
        <is>
          <t>5-star Dly</t>
        </is>
      </c>
      <c r="V81" s="18" t="inlineStr">
        <is>
          <t>6-star Dly</t>
        </is>
      </c>
    </row>
    <row r="82" ht="15.75" customHeight="1">
      <c r="A82" s="25" t="n">
        <v>1</v>
      </c>
      <c r="B82" s="26" t="n">
        <v>200</v>
      </c>
      <c r="C82" s="22" t="n">
        <v>0</v>
      </c>
      <c r="D82" s="22" t="n">
        <v>0</v>
      </c>
      <c r="E82" s="22" t="n">
        <v>0</v>
      </c>
      <c r="F82" s="22" t="n">
        <v>0</v>
      </c>
      <c r="G82" s="22" t="n">
        <v>0</v>
      </c>
      <c r="H82" s="22" t="n">
        <v>0</v>
      </c>
      <c r="I82" s="22" t="n">
        <v>0</v>
      </c>
      <c r="J82" s="22" t="n">
        <v>1</v>
      </c>
      <c r="K82" s="22" t="n">
        <v>0</v>
      </c>
      <c r="L82" s="22" t="n">
        <v>0</v>
      </c>
      <c r="M82" s="22" t="n">
        <v>0</v>
      </c>
      <c r="N82" s="22" t="n">
        <v>0</v>
      </c>
      <c r="O82" s="22" t="n">
        <v>0</v>
      </c>
      <c r="P82" s="22" t="n">
        <v>0</v>
      </c>
      <c r="Q82" s="22" t="n">
        <v>0</v>
      </c>
      <c r="R82" s="22" t="n">
        <v>0</v>
      </c>
      <c r="S82" s="22" t="n">
        <v>0</v>
      </c>
      <c r="T82" s="22" t="n">
        <v>0</v>
      </c>
      <c r="U82" s="22" t="n">
        <v>0</v>
      </c>
      <c r="V82" s="22" t="n">
        <v>0</v>
      </c>
    </row>
    <row r="83" ht="15.75" customHeight="1">
      <c r="A83" s="25" t="n">
        <v>2</v>
      </c>
      <c r="B83" s="26" t="n">
        <v>100</v>
      </c>
      <c r="C83" s="22" t="n">
        <v>0</v>
      </c>
      <c r="D83" s="22" t="n">
        <v>0</v>
      </c>
      <c r="E83" s="22" t="n">
        <v>0</v>
      </c>
      <c r="F83" s="22" t="n">
        <v>0</v>
      </c>
      <c r="G83" s="22" t="n">
        <v>0</v>
      </c>
      <c r="H83" s="22" t="n">
        <v>0</v>
      </c>
      <c r="I83" s="22" t="n">
        <v>1</v>
      </c>
      <c r="J83" s="22" t="n">
        <v>0</v>
      </c>
      <c r="K83" s="22" t="n">
        <v>0</v>
      </c>
      <c r="L83" s="22" t="n">
        <v>0</v>
      </c>
      <c r="M83" s="22" t="n">
        <v>0</v>
      </c>
      <c r="N83" s="22" t="n">
        <v>0</v>
      </c>
      <c r="O83" s="22" t="n">
        <v>0</v>
      </c>
      <c r="P83" s="22" t="n">
        <v>0</v>
      </c>
      <c r="Q83" s="22" t="n">
        <v>0</v>
      </c>
      <c r="R83" s="22" t="n">
        <v>0</v>
      </c>
      <c r="S83" s="22" t="n">
        <v>0</v>
      </c>
      <c r="T83" s="22" t="n">
        <v>0</v>
      </c>
      <c r="U83" s="22" t="n">
        <v>0</v>
      </c>
      <c r="V83" s="22" t="n">
        <v>0</v>
      </c>
    </row>
    <row r="84" ht="15.75" customHeight="1">
      <c r="A84" s="25" t="n">
        <v>3</v>
      </c>
      <c r="B84" s="26" t="n">
        <v>50</v>
      </c>
      <c r="C84" s="22" t="n">
        <v>0</v>
      </c>
      <c r="D84" s="22" t="n">
        <v>0</v>
      </c>
      <c r="E84" s="22" t="n">
        <v>0</v>
      </c>
      <c r="F84" s="22" t="n">
        <v>0</v>
      </c>
      <c r="G84" s="22" t="n">
        <v>0</v>
      </c>
      <c r="H84" s="22" t="n">
        <v>0</v>
      </c>
      <c r="I84" s="22" t="n">
        <v>1</v>
      </c>
      <c r="J84" s="22" t="n">
        <v>0</v>
      </c>
      <c r="K84" s="22" t="n">
        <v>0</v>
      </c>
      <c r="L84" s="22" t="n">
        <v>0</v>
      </c>
      <c r="M84" s="22" t="n">
        <v>0</v>
      </c>
      <c r="N84" s="22" t="n">
        <v>0</v>
      </c>
      <c r="O84" s="22" t="n">
        <v>0</v>
      </c>
      <c r="P84" s="22" t="n">
        <v>0</v>
      </c>
      <c r="Q84" s="22" t="n">
        <v>0</v>
      </c>
      <c r="R84" s="22" t="n">
        <v>0</v>
      </c>
      <c r="S84" s="22" t="n">
        <v>0</v>
      </c>
      <c r="T84" s="22" t="n">
        <v>0</v>
      </c>
      <c r="U84" s="22" t="n">
        <v>0</v>
      </c>
      <c r="V84" s="22" t="n">
        <v>0</v>
      </c>
    </row>
    <row r="85" ht="15.75" customHeight="1">
      <c r="A85" s="25" t="n">
        <v>4</v>
      </c>
      <c r="B85" s="26" t="n">
        <v>0</v>
      </c>
      <c r="C85" s="22" t="n">
        <v>0</v>
      </c>
      <c r="D85" s="22" t="n">
        <v>0</v>
      </c>
      <c r="E85" s="22" t="n">
        <v>0</v>
      </c>
      <c r="F85" s="22" t="n">
        <v>0</v>
      </c>
      <c r="G85" s="22" t="n">
        <v>0</v>
      </c>
      <c r="H85" s="22" t="n">
        <v>0</v>
      </c>
      <c r="I85" s="22" t="n">
        <v>1</v>
      </c>
      <c r="J85" s="22" t="n">
        <v>0</v>
      </c>
      <c r="K85" s="22" t="n">
        <v>0</v>
      </c>
      <c r="L85" s="22" t="n">
        <v>0</v>
      </c>
      <c r="M85" s="22" t="n">
        <v>0</v>
      </c>
      <c r="N85" s="22" t="n">
        <v>0</v>
      </c>
      <c r="O85" s="22" t="n">
        <v>0</v>
      </c>
      <c r="P85" s="22" t="n">
        <v>0</v>
      </c>
      <c r="Q85" s="22" t="n">
        <v>0</v>
      </c>
      <c r="R85" s="22" t="n">
        <v>0</v>
      </c>
      <c r="S85" s="22" t="n">
        <v>0</v>
      </c>
      <c r="T85" s="22" t="n">
        <v>0</v>
      </c>
      <c r="U85" s="22" t="n">
        <v>0</v>
      </c>
      <c r="V85" s="22" t="n">
        <v>0</v>
      </c>
    </row>
    <row r="86" ht="15.75" customHeight="1">
      <c r="A86" s="25" t="n">
        <v>5</v>
      </c>
      <c r="B86" s="26" t="n">
        <v>0</v>
      </c>
      <c r="C86" s="22" t="n">
        <v>0</v>
      </c>
      <c r="D86" s="22" t="n">
        <v>0</v>
      </c>
      <c r="E86" s="22" t="n">
        <v>0</v>
      </c>
      <c r="F86" s="22" t="n">
        <v>0</v>
      </c>
      <c r="G86" s="22" t="n">
        <v>0</v>
      </c>
      <c r="H86" s="22" t="n">
        <v>0</v>
      </c>
      <c r="I86" s="22" t="n">
        <v>1</v>
      </c>
      <c r="J86" s="22" t="n">
        <v>0</v>
      </c>
      <c r="K86" s="22" t="n">
        <v>0</v>
      </c>
      <c r="L86" s="22" t="n">
        <v>0</v>
      </c>
      <c r="M86" s="22" t="n">
        <v>0</v>
      </c>
      <c r="N86" s="22" t="n">
        <v>0</v>
      </c>
      <c r="O86" s="22" t="n">
        <v>0</v>
      </c>
      <c r="P86" s="22" t="n">
        <v>0</v>
      </c>
      <c r="Q86" s="22" t="n">
        <v>0</v>
      </c>
      <c r="R86" s="22" t="n">
        <v>0</v>
      </c>
      <c r="S86" s="22" t="n">
        <v>0</v>
      </c>
      <c r="T86" s="22" t="n">
        <v>0</v>
      </c>
      <c r="U86" s="22" t="n">
        <v>0</v>
      </c>
      <c r="V86" s="22" t="n">
        <v>0</v>
      </c>
    </row>
    <row r="87" ht="15.75" customHeight="1">
      <c r="A87" s="25" t="n">
        <v>6</v>
      </c>
      <c r="B87" s="26" t="n">
        <v>0</v>
      </c>
      <c r="C87" s="22" t="n">
        <v>0</v>
      </c>
      <c r="D87" s="22" t="n">
        <v>0</v>
      </c>
      <c r="E87" s="22" t="n">
        <v>0</v>
      </c>
      <c r="F87" s="22" t="n">
        <v>0</v>
      </c>
      <c r="G87" s="22" t="n">
        <v>0</v>
      </c>
      <c r="H87" s="22" t="n">
        <v>1</v>
      </c>
      <c r="I87" s="22" t="n">
        <v>0</v>
      </c>
      <c r="J87" s="22" t="n">
        <v>0</v>
      </c>
      <c r="K87" s="22" t="n">
        <v>0</v>
      </c>
      <c r="L87" s="22" t="n">
        <v>0</v>
      </c>
      <c r="M87" s="22" t="n">
        <v>0</v>
      </c>
      <c r="N87" s="22" t="n">
        <v>0</v>
      </c>
      <c r="O87" s="22" t="n">
        <v>0</v>
      </c>
      <c r="P87" s="22" t="n">
        <v>0</v>
      </c>
      <c r="Q87" s="22" t="n">
        <v>0</v>
      </c>
      <c r="R87" s="22" t="n">
        <v>0</v>
      </c>
      <c r="S87" s="22" t="n">
        <v>0</v>
      </c>
      <c r="T87" s="22" t="n">
        <v>0</v>
      </c>
      <c r="U87" s="22" t="n">
        <v>0</v>
      </c>
      <c r="V87" s="22" t="n">
        <v>0</v>
      </c>
    </row>
    <row r="88" ht="15.75" customHeight="1">
      <c r="A88" s="25" t="n">
        <v>7</v>
      </c>
      <c r="B88" s="26" t="n">
        <v>0</v>
      </c>
      <c r="C88" s="22" t="n">
        <v>0</v>
      </c>
      <c r="D88" s="22" t="n">
        <v>0</v>
      </c>
      <c r="E88" s="22" t="n">
        <v>0</v>
      </c>
      <c r="F88" s="22" t="n">
        <v>0</v>
      </c>
      <c r="G88" s="22" t="n">
        <v>0</v>
      </c>
      <c r="H88" s="22" t="n">
        <v>1</v>
      </c>
      <c r="I88" s="22" t="n">
        <v>0</v>
      </c>
      <c r="J88" s="22" t="n">
        <v>0</v>
      </c>
      <c r="K88" s="22" t="n">
        <v>0</v>
      </c>
      <c r="L88" s="22" t="n">
        <v>0</v>
      </c>
      <c r="M88" s="22" t="n">
        <v>0</v>
      </c>
      <c r="N88" s="22" t="n">
        <v>0</v>
      </c>
      <c r="O88" s="22" t="n">
        <v>0</v>
      </c>
      <c r="P88" s="22" t="n">
        <v>0</v>
      </c>
      <c r="Q88" s="22" t="n">
        <v>0</v>
      </c>
      <c r="R88" s="22" t="n">
        <v>0</v>
      </c>
      <c r="S88" s="22" t="n">
        <v>0</v>
      </c>
      <c r="T88" s="22" t="n">
        <v>0</v>
      </c>
      <c r="U88" s="22" t="n">
        <v>0</v>
      </c>
      <c r="V88" s="22" t="n">
        <v>0</v>
      </c>
    </row>
    <row r="89" ht="15.75" customHeight="1">
      <c r="A89" s="25" t="n">
        <v>8</v>
      </c>
      <c r="B89" s="26" t="n">
        <v>0</v>
      </c>
      <c r="C89" s="22" t="n">
        <v>0</v>
      </c>
      <c r="D89" s="22" t="n">
        <v>0</v>
      </c>
      <c r="E89" s="22" t="n">
        <v>0</v>
      </c>
      <c r="F89" s="22" t="n">
        <v>0</v>
      </c>
      <c r="G89" s="22" t="n">
        <v>0</v>
      </c>
      <c r="H89" s="22" t="n">
        <v>1</v>
      </c>
      <c r="I89" s="22" t="n">
        <v>0</v>
      </c>
      <c r="J89" s="22" t="n">
        <v>0</v>
      </c>
      <c r="K89" s="22" t="n">
        <v>0</v>
      </c>
      <c r="L89" s="22" t="n">
        <v>0</v>
      </c>
      <c r="M89" s="22" t="n">
        <v>0</v>
      </c>
      <c r="N89" s="22" t="n">
        <v>0</v>
      </c>
      <c r="O89" s="22" t="n">
        <v>0</v>
      </c>
      <c r="P89" s="22" t="n">
        <v>0</v>
      </c>
      <c r="Q89" s="22" t="n">
        <v>0</v>
      </c>
      <c r="R89" s="22" t="n">
        <v>0</v>
      </c>
      <c r="S89" s="22" t="n">
        <v>0</v>
      </c>
      <c r="T89" s="22" t="n">
        <v>0</v>
      </c>
      <c r="U89" s="22" t="n">
        <v>0</v>
      </c>
      <c r="V89" s="22" t="n">
        <v>0</v>
      </c>
    </row>
    <row r="90" ht="15.75" customHeight="1">
      <c r="A90" s="25" t="n">
        <v>9</v>
      </c>
      <c r="B90" s="26" t="n">
        <v>0</v>
      </c>
      <c r="C90" s="22" t="n">
        <v>0</v>
      </c>
      <c r="D90" s="22" t="n">
        <v>0</v>
      </c>
      <c r="E90" s="22" t="n">
        <v>0</v>
      </c>
      <c r="F90" s="22" t="n">
        <v>0</v>
      </c>
      <c r="G90" s="22" t="n">
        <v>0</v>
      </c>
      <c r="H90" s="22" t="n">
        <v>1</v>
      </c>
      <c r="I90" s="22" t="n">
        <v>0</v>
      </c>
      <c r="J90" s="22" t="n">
        <v>0</v>
      </c>
      <c r="K90" s="22" t="n">
        <v>0</v>
      </c>
      <c r="L90" s="22" t="n">
        <v>0</v>
      </c>
      <c r="M90" s="22" t="n">
        <v>0</v>
      </c>
      <c r="N90" s="22" t="n">
        <v>0</v>
      </c>
      <c r="O90" s="22" t="n">
        <v>0</v>
      </c>
      <c r="P90" s="22" t="n">
        <v>0</v>
      </c>
      <c r="Q90" s="22" t="n">
        <v>0</v>
      </c>
      <c r="R90" s="22" t="n">
        <v>0</v>
      </c>
      <c r="S90" s="22" t="n">
        <v>0</v>
      </c>
      <c r="T90" s="22" t="n">
        <v>0</v>
      </c>
      <c r="U90" s="22" t="n">
        <v>0</v>
      </c>
      <c r="V90" s="22" t="n">
        <v>0</v>
      </c>
    </row>
    <row r="91" ht="15.75" customHeight="1">
      <c r="A91" s="25" t="n">
        <v>10</v>
      </c>
      <c r="B91" s="26" t="n">
        <v>0</v>
      </c>
      <c r="C91" s="22" t="n">
        <v>0</v>
      </c>
      <c r="D91" s="22" t="n">
        <v>0</v>
      </c>
      <c r="E91" s="22" t="n">
        <v>0</v>
      </c>
      <c r="F91" s="22" t="n">
        <v>0</v>
      </c>
      <c r="G91" s="22" t="n">
        <v>0</v>
      </c>
      <c r="H91" s="22" t="n">
        <v>1</v>
      </c>
      <c r="I91" s="22" t="n">
        <v>0</v>
      </c>
      <c r="J91" s="22" t="n">
        <v>0</v>
      </c>
      <c r="K91" s="22" t="n">
        <v>0</v>
      </c>
      <c r="L91" s="22" t="n">
        <v>0</v>
      </c>
      <c r="M91" s="22" t="n">
        <v>0</v>
      </c>
      <c r="N91" s="22" t="n">
        <v>0</v>
      </c>
      <c r="O91" s="22" t="n">
        <v>0</v>
      </c>
      <c r="P91" s="22" t="n">
        <v>0</v>
      </c>
      <c r="Q91" s="22" t="n">
        <v>0</v>
      </c>
      <c r="R91" s="22" t="n">
        <v>0</v>
      </c>
      <c r="S91" s="22" t="n">
        <v>0</v>
      </c>
      <c r="T91" s="22" t="n">
        <v>0</v>
      </c>
      <c r="U91" s="22" t="n">
        <v>0</v>
      </c>
      <c r="V91" s="22" t="n">
        <v>0</v>
      </c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dataValidations count="2">
    <dataValidation sqref="AI2" showDropDown="0" showInputMessage="0" showErrorMessage="0" allowBlank="0" type="list">
      <formula1>"p25,p50,p75"</formula1>
    </dataValidation>
    <dataValidation sqref="AI3" showDropDown="0" showInputMessage="0" showErrorMessage="0" allowBlank="0" type="list">
      <formula1>"NONPAYER,PAYER"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2026-07-04T11:17:51Z</dcterms:created>
  <dcterms:modified xsi:type="dcterms:W3CDTF">2026-07-04T11:17:51Z</dcterms:modified>
</cp:coreProperties>
</file>