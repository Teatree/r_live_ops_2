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color rgb="FF666666"/>
      <sz val="9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4" borderId="1" pivotButton="0" quotePrefix="0" xfId="0"/>
    <xf numFmtId="0" fontId="6" fillId="0" borderId="0" pivotButton="0" quotePrefix="0" xfId="0"/>
    <xf numFmtId="0" fontId="5" fillId="5" borderId="1" pivotButton="0" quotePrefix="0" xfId="0"/>
    <xf numFmtId="10" fontId="5" fillId="5" borderId="1" pivotButton="0" quotePrefix="0" xfId="0"/>
    <xf numFmtId="0" fontId="5" fillId="6" borderId="1" pivotButton="0" quotePrefix="0" xfId="0"/>
    <xf numFmtId="164" fontId="5" fillId="6" borderId="1" pivotButton="0" quotePrefix="0" xfId="0"/>
    <xf numFmtId="164" fontId="5" fillId="5" borderId="1" pivotButton="0" quotePrefix="0" xfId="0"/>
    <xf numFmtId="165" fontId="5" fillId="6" borderId="1" pivotButton="0" quotePrefix="0" xfId="0"/>
    <xf numFmtId="166" fontId="5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E8F5E9"/>
        </patternFill>
      </fill>
    </dxf>
    <dxf>
      <font>
        <name val="Arial"/>
        <b val="1"/>
        <sz val="10"/>
      </font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MIGHTY DOORS (Tower of Fortune) — event configuration</t>
        </is>
      </c>
    </row>
    <row r="2">
      <c r="A2" s="2" t="inlineStr">
        <is>
          <t>Yellow = input you author. Green = derived by formula, do not type over. Blue = fixed by the design deck. Every reward VALUE ships at 0: the deck specifies structure only.</t>
        </is>
      </c>
    </row>
    <row r="4">
      <c r="A4" s="3" t="inlineStr">
        <is>
          <t>RUN CONFIG</t>
        </is>
      </c>
      <c r="B4" s="4" t="n"/>
      <c r="C4" s="4" t="n"/>
      <c r="D4" s="4" t="n"/>
    </row>
    <row r="5">
      <c r="A5" s="5" t="inlineStr">
        <is>
          <t>Parameter</t>
        </is>
      </c>
      <c r="B5" s="5" t="inlineStr">
        <is>
          <t>Value</t>
        </is>
      </c>
      <c r="C5" s="5" t="inlineStr">
        <is>
          <t>Source</t>
        </is>
      </c>
      <c r="D5" s="5" t="inlineStr">
        <is>
          <t>Note</t>
        </is>
      </c>
    </row>
    <row r="6">
      <c r="A6" s="6" t="inlineStr">
        <is>
          <t>Total Stages</t>
        </is>
      </c>
      <c r="B6" s="7" t="n">
        <v>60</v>
      </c>
      <c r="C6" s="8" t="inlineStr">
        <is>
          <t>deck p5</t>
        </is>
      </c>
      <c r="D6" s="2" t="inlineStr">
        <is>
          <t>configurable; 60 default</t>
        </is>
      </c>
    </row>
    <row r="7">
      <c r="A7" s="6" t="inlineStr">
        <is>
          <t>Choices per Stage (default)</t>
        </is>
      </c>
      <c r="B7" s="9" t="n">
        <v>4</v>
      </c>
      <c r="C7" s="8" t="inlineStr">
        <is>
          <t>deck p5</t>
        </is>
      </c>
      <c r="D7" s="2" t="inlineStr">
        <is>
          <t>min 2, max 4 — the primary difficulty dial</t>
        </is>
      </c>
    </row>
    <row r="8">
      <c r="A8" s="6" t="inlineStr">
        <is>
          <t>Failure Outcomes per Stage</t>
        </is>
      </c>
      <c r="B8" s="7" t="n">
        <v>1</v>
      </c>
      <c r="C8" s="8" t="inlineStr">
        <is>
          <t>deck p5</t>
        </is>
      </c>
      <c r="D8" s="2" t="inlineStr">
        <is>
          <t>HARD RULE: only one Pig can ever appear per stage</t>
        </is>
      </c>
    </row>
    <row r="9">
      <c r="A9" s="6" t="inlineStr">
        <is>
          <t>Safe Stage Every N Stages</t>
        </is>
      </c>
      <c r="B9" s="9" t="n">
        <v>5</v>
      </c>
      <c r="C9" s="8" t="inlineStr">
        <is>
          <t>deck p6</t>
        </is>
      </c>
      <c r="D9" s="2" t="inlineStr">
        <is>
          <t>stages 5,10,15,... carry no Pig</t>
        </is>
      </c>
    </row>
    <row r="10">
      <c r="A10" s="6" t="inlineStr">
        <is>
          <t>Major Milestone Stage</t>
        </is>
      </c>
      <c r="B10" s="9" t="n">
        <v>30</v>
      </c>
      <c r="C10" s="8" t="inlineStr">
        <is>
          <t>deck p6</t>
        </is>
      </c>
      <c r="D10" s="2" t="inlineStr">
        <is>
          <t>safe, Special rewards</t>
        </is>
      </c>
    </row>
    <row r="11">
      <c r="A11" s="6" t="inlineStr">
        <is>
          <t>Aspirational Milestone Stage</t>
        </is>
      </c>
      <c r="B11" s="9" t="n">
        <v>60</v>
      </c>
      <c r="C11" s="8" t="inlineStr">
        <is>
          <t>deck p6</t>
        </is>
      </c>
      <c r="D11" s="2" t="inlineStr">
        <is>
          <t>safe, Higher rewards; completing it auto-claims</t>
        </is>
      </c>
    </row>
    <row r="12">
      <c r="A12" s="6" t="inlineStr">
        <is>
          <t>Reward Tier Size (stages)</t>
        </is>
      </c>
      <c r="B12" s="9" t="n">
        <v>10</v>
      </c>
      <c r="C12" s="8" t="inlineStr">
        <is>
          <t>deck p6</t>
        </is>
      </c>
      <c r="D12" s="2" t="inlineStr">
        <is>
          <t>six tiers: 1-10, 11-20, ... 51-60</t>
        </is>
      </c>
    </row>
    <row r="13">
      <c r="A13" s="6" t="inlineStr">
        <is>
          <t>Tickets per Run</t>
        </is>
      </c>
      <c r="B13" s="9" t="n">
        <v>1</v>
      </c>
      <c r="C13" s="8" t="inlineStr">
        <is>
          <t>deck p9</t>
        </is>
      </c>
      <c r="D13" s="2" t="inlineStr">
        <is>
          <t>no storage cap exists for tickets</t>
        </is>
      </c>
    </row>
    <row r="14">
      <c r="A14" s="6" t="inlineStr">
        <is>
          <t>Empty Outcomes Enabled</t>
        </is>
      </c>
      <c r="B14" s="9" t="inlineStr">
        <is>
          <t>FALSE</t>
        </is>
      </c>
      <c r="C14" s="8" t="inlineStr">
        <is>
          <t>deck p22</t>
        </is>
      </c>
      <c r="D14" s="2" t="inlineStr">
        <is>
          <t>supported but off by default; changes the EV maths if on</t>
        </is>
      </c>
    </row>
    <row r="15">
      <c r="A15" s="6" t="inlineStr">
        <is>
          <t>Cash-Out Variant</t>
        </is>
      </c>
      <c r="B15" s="9" t="inlineStr">
        <is>
          <t>A</t>
        </is>
      </c>
      <c r="C15" s="8" t="inlineStr">
        <is>
          <t>deck p23</t>
        </is>
      </c>
      <c r="D15" s="2" t="inlineStr">
        <is>
          <t>A = cash out after any successful stage · B = safe stages only (A/B pending)</t>
        </is>
      </c>
    </row>
    <row r="16">
      <c r="A16" s="6" t="inlineStr">
        <is>
          <t>Event Duration (days)</t>
        </is>
      </c>
      <c r="B16" s="9" t="n">
        <v>0</v>
      </c>
      <c r="C16" s="8" t="inlineStr">
        <is>
          <t>UNKNOWN</t>
        </is>
      </c>
      <c r="D16" s="2" t="inlineStr">
        <is>
          <t>⚠ deck gives no default — blocks the calendar lane and T</t>
        </is>
      </c>
    </row>
    <row r="17">
      <c r="A17" s="6" t="inlineStr">
        <is>
          <t>Runs per Player per Instance</t>
        </is>
      </c>
      <c r="B17" s="9" t="n">
        <v>0</v>
      </c>
      <c r="C17" s="8" t="inlineStr">
        <is>
          <t>UNKNOWN</t>
        </is>
      </c>
      <c r="D17" s="2" t="inlineStr">
        <is>
          <t>⚠ set by ticket supply, which is unconfigured — the faucet scales linearly with this</t>
        </is>
      </c>
    </row>
    <row r="19">
      <c r="A19" s="3" t="inlineStr">
        <is>
          <t>BEHAVIOUR ASSUMPTIONS (no telemetry exists — these are the answer, not a detail)</t>
        </is>
      </c>
      <c r="B19" s="4" t="n"/>
      <c r="C19" s="4" t="n"/>
      <c r="D19" s="4" t="n"/>
    </row>
    <row r="20">
      <c r="A20" s="2" t="inlineStr">
        <is>
          <t>These two numbers move the result more than every reward value combined. They are printed on every harness run for the same reason PACK_PARTICIPATION is (D25).</t>
        </is>
      </c>
    </row>
    <row r="21">
      <c r="A21" s="5" t="inlineStr">
        <is>
          <t>Parameter</t>
        </is>
      </c>
      <c r="B21" s="5" t="inlineStr">
        <is>
          <t>Value</t>
        </is>
      </c>
      <c r="C21" s="5" t="inlineStr">
        <is>
          <t>Source</t>
        </is>
      </c>
      <c r="D21" s="5" t="inlineStr">
        <is>
          <t>Note</t>
        </is>
      </c>
    </row>
    <row r="22">
      <c r="A22" s="6" t="inlineStr">
        <is>
          <t>Continue Take-Up Rate</t>
        </is>
      </c>
      <c r="B22" s="10" t="n">
        <v>0</v>
      </c>
      <c r="C22" s="8" t="inlineStr">
        <is>
          <t>ASSUMPTION</t>
        </is>
      </c>
      <c r="D22" s="2" t="inlineStr">
        <is>
          <t>P(player pays to continue when a Pig appears). At 1.0 the Pig stops mattering and every run reaches the final stage.</t>
        </is>
      </c>
    </row>
    <row r="23">
      <c r="A23" s="6" t="inlineStr">
        <is>
          <t>Max Continues per Run</t>
        </is>
      </c>
      <c r="B23" s="9" t="n">
        <v>0</v>
      </c>
      <c r="C23" s="8" t="inlineStr">
        <is>
          <t>user 2026-09-02</t>
        </is>
      </c>
      <c r="D23" s="2" t="inlineStr">
        <is>
          <t>0 = UNLIMITED (current decision). Deck p24 leaves the cap "Decision Pending".</t>
        </is>
      </c>
    </row>
    <row r="25">
      <c r="A25" s="3" t="inlineStr">
        <is>
          <t>STAGE CONFIG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2" t="inlineStr">
        <is>
          <t>Type / Pigs / Tier / Survive / Reach are FORMULAS off the RUN CONFIG panel — change the panel and all 60 rows follow. Cash-Out % is the one input: it is the stop distribution, and rewards are LOST on an un-continued Pig, so with no cash-out a run pays ~nothing.</t>
        </is>
      </c>
    </row>
    <row r="27">
      <c r="A27" s="5" t="inlineStr">
        <is>
          <t>Stage</t>
        </is>
      </c>
      <c r="B27" s="5" t="inlineStr">
        <is>
          <t>Type</t>
        </is>
      </c>
      <c r="C27" s="5" t="inlineStr">
        <is>
          <t>Choices</t>
        </is>
      </c>
      <c r="D27" s="5" t="inlineStr">
        <is>
          <t>Pigs</t>
        </is>
      </c>
      <c r="E27" s="5" t="inlineStr">
        <is>
          <t>Tier</t>
        </is>
      </c>
      <c r="F27" s="5" t="inlineStr">
        <is>
          <t>Survive p</t>
        </is>
      </c>
      <c r="G27" s="5" t="inlineStr">
        <is>
          <t>Survive p (w/ cont.)</t>
        </is>
      </c>
      <c r="H27" s="5" t="inlineStr">
        <is>
          <t>Cash-Out %</t>
        </is>
      </c>
      <c r="I27" s="5" t="inlineStr">
        <is>
          <t>Reach p</t>
        </is>
      </c>
      <c r="J27" s="5" t="inlineStr">
        <is>
          <t>P(cash out here)</t>
        </is>
      </c>
      <c r="K27" s="5" t="inlineStr">
        <is>
          <t>P(lose it all here)</t>
        </is>
      </c>
      <c r="L27" s="5" t="inlineStr">
        <is>
          <t>E[continues]</t>
        </is>
      </c>
    </row>
    <row r="28">
      <c r="A28" s="7" t="n">
        <v>1</v>
      </c>
      <c r="B28" s="11">
        <f>IF(A28=1,"Safe (Start)",IF(OR(A28=$B$10,A28=$B$11),"Milestone",IF(AND($B$9&gt;0,MOD(A28,$B$9)=0),"Safe","Standard")))</f>
        <v/>
      </c>
      <c r="C28" s="9">
        <f>$B$7</f>
        <v/>
      </c>
      <c r="D28" s="11">
        <f>IF($B28="Standard",$B$8,0)</f>
        <v/>
      </c>
      <c r="E28" s="11">
        <f>MIN(6,MAX(1,ROUNDUP(A28/$B$12,0)))</f>
        <v/>
      </c>
      <c r="F28" s="12">
        <f>IF($C28&lt;=0,0,($C28-$D28)/$C28)</f>
        <v/>
      </c>
      <c r="G28" s="12">
        <f>$F28+(1-$F28)*$B$22</f>
        <v/>
      </c>
      <c r="H28" s="13" t="n">
        <v>0</v>
      </c>
      <c r="I28" s="14" t="n">
        <v>1</v>
      </c>
      <c r="J28" s="14">
        <f>$I28*$G28*$H28</f>
        <v/>
      </c>
      <c r="K28" s="14">
        <f>$I28*(1-$F28)*(1-$B$22)</f>
        <v/>
      </c>
      <c r="L28" s="15">
        <f>$I28*(1-$F28)*$B$22</f>
        <v/>
      </c>
    </row>
    <row r="29">
      <c r="A29" s="7" t="n">
        <v>2</v>
      </c>
      <c r="B29" s="11">
        <f>IF(A29=1,"Safe (Start)",IF(OR(A29=$B$10,A29=$B$11),"Milestone",IF(AND($B$9&gt;0,MOD(A29,$B$9)=0),"Safe","Standard")))</f>
        <v/>
      </c>
      <c r="C29" s="9">
        <f>$B$7</f>
        <v/>
      </c>
      <c r="D29" s="11">
        <f>IF($B29="Standard",$B$8,0)</f>
        <v/>
      </c>
      <c r="E29" s="11">
        <f>MIN(6,MAX(1,ROUNDUP(A29/$B$12,0)))</f>
        <v/>
      </c>
      <c r="F29" s="12">
        <f>IF($C29&lt;=0,0,($C29-$D29)/$C29)</f>
        <v/>
      </c>
      <c r="G29" s="12">
        <f>$F29+(1-$F29)*$B$22</f>
        <v/>
      </c>
      <c r="H29" s="13" t="n">
        <v>0</v>
      </c>
      <c r="I29" s="14">
        <f>$I28*$G28*(1-$H28)</f>
        <v/>
      </c>
      <c r="J29" s="14">
        <f>$I29*$G29*$H29</f>
        <v/>
      </c>
      <c r="K29" s="14">
        <f>$I29*(1-$F29)*(1-$B$22)</f>
        <v/>
      </c>
      <c r="L29" s="15">
        <f>$I29*(1-$F29)*$B$22</f>
        <v/>
      </c>
    </row>
    <row r="30">
      <c r="A30" s="7" t="n">
        <v>3</v>
      </c>
      <c r="B30" s="11">
        <f>IF(A30=1,"Safe (Start)",IF(OR(A30=$B$10,A30=$B$11),"Milestone",IF(AND($B$9&gt;0,MOD(A30,$B$9)=0),"Safe","Standard")))</f>
        <v/>
      </c>
      <c r="C30" s="9">
        <f>$B$7</f>
        <v/>
      </c>
      <c r="D30" s="11">
        <f>IF($B30="Standard",$B$8,0)</f>
        <v/>
      </c>
      <c r="E30" s="11">
        <f>MIN(6,MAX(1,ROUNDUP(A30/$B$12,0)))</f>
        <v/>
      </c>
      <c r="F30" s="12">
        <f>IF($C30&lt;=0,0,($C30-$D30)/$C30)</f>
        <v/>
      </c>
      <c r="G30" s="12">
        <f>$F30+(1-$F30)*$B$22</f>
        <v/>
      </c>
      <c r="H30" s="13" t="n">
        <v>0</v>
      </c>
      <c r="I30" s="14">
        <f>$I29*$G29*(1-$H29)</f>
        <v/>
      </c>
      <c r="J30" s="14">
        <f>$I30*$G30*$H30</f>
        <v/>
      </c>
      <c r="K30" s="14">
        <f>$I30*(1-$F30)*(1-$B$22)</f>
        <v/>
      </c>
      <c r="L30" s="15">
        <f>$I30*(1-$F30)*$B$22</f>
        <v/>
      </c>
    </row>
    <row r="31">
      <c r="A31" s="7" t="n">
        <v>4</v>
      </c>
      <c r="B31" s="11">
        <f>IF(A31=1,"Safe (Start)",IF(OR(A31=$B$10,A31=$B$11),"Milestone",IF(AND($B$9&gt;0,MOD(A31,$B$9)=0),"Safe","Standard")))</f>
        <v/>
      </c>
      <c r="C31" s="9">
        <f>$B$7</f>
        <v/>
      </c>
      <c r="D31" s="11">
        <f>IF($B31="Standard",$B$8,0)</f>
        <v/>
      </c>
      <c r="E31" s="11">
        <f>MIN(6,MAX(1,ROUNDUP(A31/$B$12,0)))</f>
        <v/>
      </c>
      <c r="F31" s="12">
        <f>IF($C31&lt;=0,0,($C31-$D31)/$C31)</f>
        <v/>
      </c>
      <c r="G31" s="12">
        <f>$F31+(1-$F31)*$B$22</f>
        <v/>
      </c>
      <c r="H31" s="13" t="n">
        <v>0</v>
      </c>
      <c r="I31" s="14">
        <f>$I30*$G30*(1-$H30)</f>
        <v/>
      </c>
      <c r="J31" s="14">
        <f>$I31*$G31*$H31</f>
        <v/>
      </c>
      <c r="K31" s="14">
        <f>$I31*(1-$F31)*(1-$B$22)</f>
        <v/>
      </c>
      <c r="L31" s="15">
        <f>$I31*(1-$F31)*$B$22</f>
        <v/>
      </c>
    </row>
    <row r="32">
      <c r="A32" s="7" t="n">
        <v>5</v>
      </c>
      <c r="B32" s="11">
        <f>IF(A32=1,"Safe (Start)",IF(OR(A32=$B$10,A32=$B$11),"Milestone",IF(AND($B$9&gt;0,MOD(A32,$B$9)=0),"Safe","Standard")))</f>
        <v/>
      </c>
      <c r="C32" s="9">
        <f>$B$7</f>
        <v/>
      </c>
      <c r="D32" s="11">
        <f>IF($B32="Standard",$B$8,0)</f>
        <v/>
      </c>
      <c r="E32" s="11">
        <f>MIN(6,MAX(1,ROUNDUP(A32/$B$12,0)))</f>
        <v/>
      </c>
      <c r="F32" s="12">
        <f>IF($C32&lt;=0,0,($C32-$D32)/$C32)</f>
        <v/>
      </c>
      <c r="G32" s="12">
        <f>$F32+(1-$F32)*$B$22</f>
        <v/>
      </c>
      <c r="H32" s="13" t="n">
        <v>0</v>
      </c>
      <c r="I32" s="14">
        <f>$I31*$G31*(1-$H31)</f>
        <v/>
      </c>
      <c r="J32" s="14">
        <f>$I32*$G32*$H32</f>
        <v/>
      </c>
      <c r="K32" s="14">
        <f>$I32*(1-$F32)*(1-$B$22)</f>
        <v/>
      </c>
      <c r="L32" s="15">
        <f>$I32*(1-$F32)*$B$22</f>
        <v/>
      </c>
    </row>
    <row r="33">
      <c r="A33" s="7" t="n">
        <v>6</v>
      </c>
      <c r="B33" s="11">
        <f>IF(A33=1,"Safe (Start)",IF(OR(A33=$B$10,A33=$B$11),"Milestone",IF(AND($B$9&gt;0,MOD(A33,$B$9)=0),"Safe","Standard")))</f>
        <v/>
      </c>
      <c r="C33" s="9">
        <f>$B$7</f>
        <v/>
      </c>
      <c r="D33" s="11">
        <f>IF($B33="Standard",$B$8,0)</f>
        <v/>
      </c>
      <c r="E33" s="11">
        <f>MIN(6,MAX(1,ROUNDUP(A33/$B$12,0)))</f>
        <v/>
      </c>
      <c r="F33" s="12">
        <f>IF($C33&lt;=0,0,($C33-$D33)/$C33)</f>
        <v/>
      </c>
      <c r="G33" s="12">
        <f>$F33+(1-$F33)*$B$22</f>
        <v/>
      </c>
      <c r="H33" s="13" t="n">
        <v>0</v>
      </c>
      <c r="I33" s="14">
        <f>$I32*$G32*(1-$H32)</f>
        <v/>
      </c>
      <c r="J33" s="14">
        <f>$I33*$G33*$H33</f>
        <v/>
      </c>
      <c r="K33" s="14">
        <f>$I33*(1-$F33)*(1-$B$22)</f>
        <v/>
      </c>
      <c r="L33" s="15">
        <f>$I33*(1-$F33)*$B$22</f>
        <v/>
      </c>
    </row>
    <row r="34">
      <c r="A34" s="7" t="n">
        <v>7</v>
      </c>
      <c r="B34" s="11">
        <f>IF(A34=1,"Safe (Start)",IF(OR(A34=$B$10,A34=$B$11),"Milestone",IF(AND($B$9&gt;0,MOD(A34,$B$9)=0),"Safe","Standard")))</f>
        <v/>
      </c>
      <c r="C34" s="9">
        <f>$B$7</f>
        <v/>
      </c>
      <c r="D34" s="11">
        <f>IF($B34="Standard",$B$8,0)</f>
        <v/>
      </c>
      <c r="E34" s="11">
        <f>MIN(6,MAX(1,ROUNDUP(A34/$B$12,0)))</f>
        <v/>
      </c>
      <c r="F34" s="12">
        <f>IF($C34&lt;=0,0,($C34-$D34)/$C34)</f>
        <v/>
      </c>
      <c r="G34" s="12">
        <f>$F34+(1-$F34)*$B$22</f>
        <v/>
      </c>
      <c r="H34" s="13" t="n">
        <v>0</v>
      </c>
      <c r="I34" s="14">
        <f>$I33*$G33*(1-$H33)</f>
        <v/>
      </c>
      <c r="J34" s="14">
        <f>$I34*$G34*$H34</f>
        <v/>
      </c>
      <c r="K34" s="14">
        <f>$I34*(1-$F34)*(1-$B$22)</f>
        <v/>
      </c>
      <c r="L34" s="15">
        <f>$I34*(1-$F34)*$B$22</f>
        <v/>
      </c>
    </row>
    <row r="35">
      <c r="A35" s="7" t="n">
        <v>8</v>
      </c>
      <c r="B35" s="11">
        <f>IF(A35=1,"Safe (Start)",IF(OR(A35=$B$10,A35=$B$11),"Milestone",IF(AND($B$9&gt;0,MOD(A35,$B$9)=0),"Safe","Standard")))</f>
        <v/>
      </c>
      <c r="C35" s="9">
        <f>$B$7</f>
        <v/>
      </c>
      <c r="D35" s="11">
        <f>IF($B35="Standard",$B$8,0)</f>
        <v/>
      </c>
      <c r="E35" s="11">
        <f>MIN(6,MAX(1,ROUNDUP(A35/$B$12,0)))</f>
        <v/>
      </c>
      <c r="F35" s="12">
        <f>IF($C35&lt;=0,0,($C35-$D35)/$C35)</f>
        <v/>
      </c>
      <c r="G35" s="12">
        <f>$F35+(1-$F35)*$B$22</f>
        <v/>
      </c>
      <c r="H35" s="13" t="n">
        <v>0</v>
      </c>
      <c r="I35" s="14">
        <f>$I34*$G34*(1-$H34)</f>
        <v/>
      </c>
      <c r="J35" s="14">
        <f>$I35*$G35*$H35</f>
        <v/>
      </c>
      <c r="K35" s="14">
        <f>$I35*(1-$F35)*(1-$B$22)</f>
        <v/>
      </c>
      <c r="L35" s="15">
        <f>$I35*(1-$F35)*$B$22</f>
        <v/>
      </c>
    </row>
    <row r="36">
      <c r="A36" s="7" t="n">
        <v>9</v>
      </c>
      <c r="B36" s="11">
        <f>IF(A36=1,"Safe (Start)",IF(OR(A36=$B$10,A36=$B$11),"Milestone",IF(AND($B$9&gt;0,MOD(A36,$B$9)=0),"Safe","Standard")))</f>
        <v/>
      </c>
      <c r="C36" s="9">
        <f>$B$7</f>
        <v/>
      </c>
      <c r="D36" s="11">
        <f>IF($B36="Standard",$B$8,0)</f>
        <v/>
      </c>
      <c r="E36" s="11">
        <f>MIN(6,MAX(1,ROUNDUP(A36/$B$12,0)))</f>
        <v/>
      </c>
      <c r="F36" s="12">
        <f>IF($C36&lt;=0,0,($C36-$D36)/$C36)</f>
        <v/>
      </c>
      <c r="G36" s="12">
        <f>$F36+(1-$F36)*$B$22</f>
        <v/>
      </c>
      <c r="H36" s="13" t="n">
        <v>0</v>
      </c>
      <c r="I36" s="14">
        <f>$I35*$G35*(1-$H35)</f>
        <v/>
      </c>
      <c r="J36" s="14">
        <f>$I36*$G36*$H36</f>
        <v/>
      </c>
      <c r="K36" s="14">
        <f>$I36*(1-$F36)*(1-$B$22)</f>
        <v/>
      </c>
      <c r="L36" s="15">
        <f>$I36*(1-$F36)*$B$22</f>
        <v/>
      </c>
    </row>
    <row r="37">
      <c r="A37" s="7" t="n">
        <v>10</v>
      </c>
      <c r="B37" s="11">
        <f>IF(A37=1,"Safe (Start)",IF(OR(A37=$B$10,A37=$B$11),"Milestone",IF(AND($B$9&gt;0,MOD(A37,$B$9)=0),"Safe","Standard")))</f>
        <v/>
      </c>
      <c r="C37" s="9">
        <f>$B$7</f>
        <v/>
      </c>
      <c r="D37" s="11">
        <f>IF($B37="Standard",$B$8,0)</f>
        <v/>
      </c>
      <c r="E37" s="11">
        <f>MIN(6,MAX(1,ROUNDUP(A37/$B$12,0)))</f>
        <v/>
      </c>
      <c r="F37" s="12">
        <f>IF($C37&lt;=0,0,($C37-$D37)/$C37)</f>
        <v/>
      </c>
      <c r="G37" s="12">
        <f>$F37+(1-$F37)*$B$22</f>
        <v/>
      </c>
      <c r="H37" s="13" t="n">
        <v>0</v>
      </c>
      <c r="I37" s="14">
        <f>$I36*$G36*(1-$H36)</f>
        <v/>
      </c>
      <c r="J37" s="14">
        <f>$I37*$G37*$H37</f>
        <v/>
      </c>
      <c r="K37" s="14">
        <f>$I37*(1-$F37)*(1-$B$22)</f>
        <v/>
      </c>
      <c r="L37" s="15">
        <f>$I37*(1-$F37)*$B$22</f>
        <v/>
      </c>
    </row>
    <row r="38">
      <c r="A38" s="7" t="n">
        <v>11</v>
      </c>
      <c r="B38" s="11">
        <f>IF(A38=1,"Safe (Start)",IF(OR(A38=$B$10,A38=$B$11),"Milestone",IF(AND($B$9&gt;0,MOD(A38,$B$9)=0),"Safe","Standard")))</f>
        <v/>
      </c>
      <c r="C38" s="9">
        <f>$B$7</f>
        <v/>
      </c>
      <c r="D38" s="11">
        <f>IF($B38="Standard",$B$8,0)</f>
        <v/>
      </c>
      <c r="E38" s="11">
        <f>MIN(6,MAX(1,ROUNDUP(A38/$B$12,0)))</f>
        <v/>
      </c>
      <c r="F38" s="12">
        <f>IF($C38&lt;=0,0,($C38-$D38)/$C38)</f>
        <v/>
      </c>
      <c r="G38" s="12">
        <f>$F38+(1-$F38)*$B$22</f>
        <v/>
      </c>
      <c r="H38" s="13" t="n">
        <v>0</v>
      </c>
      <c r="I38" s="14">
        <f>$I37*$G37*(1-$H37)</f>
        <v/>
      </c>
      <c r="J38" s="14">
        <f>$I38*$G38*$H38</f>
        <v/>
      </c>
      <c r="K38" s="14">
        <f>$I38*(1-$F38)*(1-$B$22)</f>
        <v/>
      </c>
      <c r="L38" s="15">
        <f>$I38*(1-$F38)*$B$22</f>
        <v/>
      </c>
    </row>
    <row r="39">
      <c r="A39" s="7" t="n">
        <v>12</v>
      </c>
      <c r="B39" s="11">
        <f>IF(A39=1,"Safe (Start)",IF(OR(A39=$B$10,A39=$B$11),"Milestone",IF(AND($B$9&gt;0,MOD(A39,$B$9)=0),"Safe","Standard")))</f>
        <v/>
      </c>
      <c r="C39" s="9">
        <f>$B$7</f>
        <v/>
      </c>
      <c r="D39" s="11">
        <f>IF($B39="Standard",$B$8,0)</f>
        <v/>
      </c>
      <c r="E39" s="11">
        <f>MIN(6,MAX(1,ROUNDUP(A39/$B$12,0)))</f>
        <v/>
      </c>
      <c r="F39" s="12">
        <f>IF($C39&lt;=0,0,($C39-$D39)/$C39)</f>
        <v/>
      </c>
      <c r="G39" s="12">
        <f>$F39+(1-$F39)*$B$22</f>
        <v/>
      </c>
      <c r="H39" s="13" t="n">
        <v>0</v>
      </c>
      <c r="I39" s="14">
        <f>$I38*$G38*(1-$H38)</f>
        <v/>
      </c>
      <c r="J39" s="14">
        <f>$I39*$G39*$H39</f>
        <v/>
      </c>
      <c r="K39" s="14">
        <f>$I39*(1-$F39)*(1-$B$22)</f>
        <v/>
      </c>
      <c r="L39" s="15">
        <f>$I39*(1-$F39)*$B$22</f>
        <v/>
      </c>
    </row>
    <row r="40">
      <c r="A40" s="7" t="n">
        <v>13</v>
      </c>
      <c r="B40" s="11">
        <f>IF(A40=1,"Safe (Start)",IF(OR(A40=$B$10,A40=$B$11),"Milestone",IF(AND($B$9&gt;0,MOD(A40,$B$9)=0),"Safe","Standard")))</f>
        <v/>
      </c>
      <c r="C40" s="9">
        <f>$B$7</f>
        <v/>
      </c>
      <c r="D40" s="11">
        <f>IF($B40="Standard",$B$8,0)</f>
        <v/>
      </c>
      <c r="E40" s="11">
        <f>MIN(6,MAX(1,ROUNDUP(A40/$B$12,0)))</f>
        <v/>
      </c>
      <c r="F40" s="12">
        <f>IF($C40&lt;=0,0,($C40-$D40)/$C40)</f>
        <v/>
      </c>
      <c r="G40" s="12">
        <f>$F40+(1-$F40)*$B$22</f>
        <v/>
      </c>
      <c r="H40" s="13" t="n">
        <v>0</v>
      </c>
      <c r="I40" s="14">
        <f>$I39*$G39*(1-$H39)</f>
        <v/>
      </c>
      <c r="J40" s="14">
        <f>$I40*$G40*$H40</f>
        <v/>
      </c>
      <c r="K40" s="14">
        <f>$I40*(1-$F40)*(1-$B$22)</f>
        <v/>
      </c>
      <c r="L40" s="15">
        <f>$I40*(1-$F40)*$B$22</f>
        <v/>
      </c>
    </row>
    <row r="41">
      <c r="A41" s="7" t="n">
        <v>14</v>
      </c>
      <c r="B41" s="11">
        <f>IF(A41=1,"Safe (Start)",IF(OR(A41=$B$10,A41=$B$11),"Milestone",IF(AND($B$9&gt;0,MOD(A41,$B$9)=0),"Safe","Standard")))</f>
        <v/>
      </c>
      <c r="C41" s="9">
        <f>$B$7</f>
        <v/>
      </c>
      <c r="D41" s="11">
        <f>IF($B41="Standard",$B$8,0)</f>
        <v/>
      </c>
      <c r="E41" s="11">
        <f>MIN(6,MAX(1,ROUNDUP(A41/$B$12,0)))</f>
        <v/>
      </c>
      <c r="F41" s="12">
        <f>IF($C41&lt;=0,0,($C41-$D41)/$C41)</f>
        <v/>
      </c>
      <c r="G41" s="12">
        <f>$F41+(1-$F41)*$B$22</f>
        <v/>
      </c>
      <c r="H41" s="13" t="n">
        <v>0</v>
      </c>
      <c r="I41" s="14">
        <f>$I40*$G40*(1-$H40)</f>
        <v/>
      </c>
      <c r="J41" s="14">
        <f>$I41*$G41*$H41</f>
        <v/>
      </c>
      <c r="K41" s="14">
        <f>$I41*(1-$F41)*(1-$B$22)</f>
        <v/>
      </c>
      <c r="L41" s="15">
        <f>$I41*(1-$F41)*$B$22</f>
        <v/>
      </c>
    </row>
    <row r="42">
      <c r="A42" s="7" t="n">
        <v>15</v>
      </c>
      <c r="B42" s="11">
        <f>IF(A42=1,"Safe (Start)",IF(OR(A42=$B$10,A42=$B$11),"Milestone",IF(AND($B$9&gt;0,MOD(A42,$B$9)=0),"Safe","Standard")))</f>
        <v/>
      </c>
      <c r="C42" s="9">
        <f>$B$7</f>
        <v/>
      </c>
      <c r="D42" s="11">
        <f>IF($B42="Standard",$B$8,0)</f>
        <v/>
      </c>
      <c r="E42" s="11">
        <f>MIN(6,MAX(1,ROUNDUP(A42/$B$12,0)))</f>
        <v/>
      </c>
      <c r="F42" s="12">
        <f>IF($C42&lt;=0,0,($C42-$D42)/$C42)</f>
        <v/>
      </c>
      <c r="G42" s="12">
        <f>$F42+(1-$F42)*$B$22</f>
        <v/>
      </c>
      <c r="H42" s="13" t="n">
        <v>0</v>
      </c>
      <c r="I42" s="14">
        <f>$I41*$G41*(1-$H41)</f>
        <v/>
      </c>
      <c r="J42" s="14">
        <f>$I42*$G42*$H42</f>
        <v/>
      </c>
      <c r="K42" s="14">
        <f>$I42*(1-$F42)*(1-$B$22)</f>
        <v/>
      </c>
      <c r="L42" s="15">
        <f>$I42*(1-$F42)*$B$22</f>
        <v/>
      </c>
    </row>
    <row r="43">
      <c r="A43" s="7" t="n">
        <v>16</v>
      </c>
      <c r="B43" s="11">
        <f>IF(A43=1,"Safe (Start)",IF(OR(A43=$B$10,A43=$B$11),"Milestone",IF(AND($B$9&gt;0,MOD(A43,$B$9)=0),"Safe","Standard")))</f>
        <v/>
      </c>
      <c r="C43" s="9">
        <f>$B$7</f>
        <v/>
      </c>
      <c r="D43" s="11">
        <f>IF($B43="Standard",$B$8,0)</f>
        <v/>
      </c>
      <c r="E43" s="11">
        <f>MIN(6,MAX(1,ROUNDUP(A43/$B$12,0)))</f>
        <v/>
      </c>
      <c r="F43" s="12">
        <f>IF($C43&lt;=0,0,($C43-$D43)/$C43)</f>
        <v/>
      </c>
      <c r="G43" s="12">
        <f>$F43+(1-$F43)*$B$22</f>
        <v/>
      </c>
      <c r="H43" s="13" t="n">
        <v>0</v>
      </c>
      <c r="I43" s="14">
        <f>$I42*$G42*(1-$H42)</f>
        <v/>
      </c>
      <c r="J43" s="14">
        <f>$I43*$G43*$H43</f>
        <v/>
      </c>
      <c r="K43" s="14">
        <f>$I43*(1-$F43)*(1-$B$22)</f>
        <v/>
      </c>
      <c r="L43" s="15">
        <f>$I43*(1-$F43)*$B$22</f>
        <v/>
      </c>
    </row>
    <row r="44">
      <c r="A44" s="7" t="n">
        <v>17</v>
      </c>
      <c r="B44" s="11">
        <f>IF(A44=1,"Safe (Start)",IF(OR(A44=$B$10,A44=$B$11),"Milestone",IF(AND($B$9&gt;0,MOD(A44,$B$9)=0),"Safe","Standard")))</f>
        <v/>
      </c>
      <c r="C44" s="9">
        <f>$B$7</f>
        <v/>
      </c>
      <c r="D44" s="11">
        <f>IF($B44="Standard",$B$8,0)</f>
        <v/>
      </c>
      <c r="E44" s="11">
        <f>MIN(6,MAX(1,ROUNDUP(A44/$B$12,0)))</f>
        <v/>
      </c>
      <c r="F44" s="12">
        <f>IF($C44&lt;=0,0,($C44-$D44)/$C44)</f>
        <v/>
      </c>
      <c r="G44" s="12">
        <f>$F44+(1-$F44)*$B$22</f>
        <v/>
      </c>
      <c r="H44" s="13" t="n">
        <v>0</v>
      </c>
      <c r="I44" s="14">
        <f>$I43*$G43*(1-$H43)</f>
        <v/>
      </c>
      <c r="J44" s="14">
        <f>$I44*$G44*$H44</f>
        <v/>
      </c>
      <c r="K44" s="14">
        <f>$I44*(1-$F44)*(1-$B$22)</f>
        <v/>
      </c>
      <c r="L44" s="15">
        <f>$I44*(1-$F44)*$B$22</f>
        <v/>
      </c>
    </row>
    <row r="45">
      <c r="A45" s="7" t="n">
        <v>18</v>
      </c>
      <c r="B45" s="11">
        <f>IF(A45=1,"Safe (Start)",IF(OR(A45=$B$10,A45=$B$11),"Milestone",IF(AND($B$9&gt;0,MOD(A45,$B$9)=0),"Safe","Standard")))</f>
        <v/>
      </c>
      <c r="C45" s="9">
        <f>$B$7</f>
        <v/>
      </c>
      <c r="D45" s="11">
        <f>IF($B45="Standard",$B$8,0)</f>
        <v/>
      </c>
      <c r="E45" s="11">
        <f>MIN(6,MAX(1,ROUNDUP(A45/$B$12,0)))</f>
        <v/>
      </c>
      <c r="F45" s="12">
        <f>IF($C45&lt;=0,0,($C45-$D45)/$C45)</f>
        <v/>
      </c>
      <c r="G45" s="12">
        <f>$F45+(1-$F45)*$B$22</f>
        <v/>
      </c>
      <c r="H45" s="13" t="n">
        <v>0</v>
      </c>
      <c r="I45" s="14">
        <f>$I44*$G44*(1-$H44)</f>
        <v/>
      </c>
      <c r="J45" s="14">
        <f>$I45*$G45*$H45</f>
        <v/>
      </c>
      <c r="K45" s="14">
        <f>$I45*(1-$F45)*(1-$B$22)</f>
        <v/>
      </c>
      <c r="L45" s="15">
        <f>$I45*(1-$F45)*$B$22</f>
        <v/>
      </c>
    </row>
    <row r="46">
      <c r="A46" s="7" t="n">
        <v>19</v>
      </c>
      <c r="B46" s="11">
        <f>IF(A46=1,"Safe (Start)",IF(OR(A46=$B$10,A46=$B$11),"Milestone",IF(AND($B$9&gt;0,MOD(A46,$B$9)=0),"Safe","Standard")))</f>
        <v/>
      </c>
      <c r="C46" s="9">
        <f>$B$7</f>
        <v/>
      </c>
      <c r="D46" s="11">
        <f>IF($B46="Standard",$B$8,0)</f>
        <v/>
      </c>
      <c r="E46" s="11">
        <f>MIN(6,MAX(1,ROUNDUP(A46/$B$12,0)))</f>
        <v/>
      </c>
      <c r="F46" s="12">
        <f>IF($C46&lt;=0,0,($C46-$D46)/$C46)</f>
        <v/>
      </c>
      <c r="G46" s="12">
        <f>$F46+(1-$F46)*$B$22</f>
        <v/>
      </c>
      <c r="H46" s="13" t="n">
        <v>0</v>
      </c>
      <c r="I46" s="14">
        <f>$I45*$G45*(1-$H45)</f>
        <v/>
      </c>
      <c r="J46" s="14">
        <f>$I46*$G46*$H46</f>
        <v/>
      </c>
      <c r="K46" s="14">
        <f>$I46*(1-$F46)*(1-$B$22)</f>
        <v/>
      </c>
      <c r="L46" s="15">
        <f>$I46*(1-$F46)*$B$22</f>
        <v/>
      </c>
    </row>
    <row r="47">
      <c r="A47" s="7" t="n">
        <v>20</v>
      </c>
      <c r="B47" s="11">
        <f>IF(A47=1,"Safe (Start)",IF(OR(A47=$B$10,A47=$B$11),"Milestone",IF(AND($B$9&gt;0,MOD(A47,$B$9)=0),"Safe","Standard")))</f>
        <v/>
      </c>
      <c r="C47" s="9">
        <f>$B$7</f>
        <v/>
      </c>
      <c r="D47" s="11">
        <f>IF($B47="Standard",$B$8,0)</f>
        <v/>
      </c>
      <c r="E47" s="11">
        <f>MIN(6,MAX(1,ROUNDUP(A47/$B$12,0)))</f>
        <v/>
      </c>
      <c r="F47" s="12">
        <f>IF($C47&lt;=0,0,($C47-$D47)/$C47)</f>
        <v/>
      </c>
      <c r="G47" s="12">
        <f>$F47+(1-$F47)*$B$22</f>
        <v/>
      </c>
      <c r="H47" s="13" t="n">
        <v>0</v>
      </c>
      <c r="I47" s="14">
        <f>$I46*$G46*(1-$H46)</f>
        <v/>
      </c>
      <c r="J47" s="14">
        <f>$I47*$G47*$H47</f>
        <v/>
      </c>
      <c r="K47" s="14">
        <f>$I47*(1-$F47)*(1-$B$22)</f>
        <v/>
      </c>
      <c r="L47" s="15">
        <f>$I47*(1-$F47)*$B$22</f>
        <v/>
      </c>
    </row>
    <row r="48">
      <c r="A48" s="7" t="n">
        <v>21</v>
      </c>
      <c r="B48" s="11">
        <f>IF(A48=1,"Safe (Start)",IF(OR(A48=$B$10,A48=$B$11),"Milestone",IF(AND($B$9&gt;0,MOD(A48,$B$9)=0),"Safe","Standard")))</f>
        <v/>
      </c>
      <c r="C48" s="9">
        <f>$B$7</f>
        <v/>
      </c>
      <c r="D48" s="11">
        <f>IF($B48="Standard",$B$8,0)</f>
        <v/>
      </c>
      <c r="E48" s="11">
        <f>MIN(6,MAX(1,ROUNDUP(A48/$B$12,0)))</f>
        <v/>
      </c>
      <c r="F48" s="12">
        <f>IF($C48&lt;=0,0,($C48-$D48)/$C48)</f>
        <v/>
      </c>
      <c r="G48" s="12">
        <f>$F48+(1-$F48)*$B$22</f>
        <v/>
      </c>
      <c r="H48" s="13" t="n">
        <v>0</v>
      </c>
      <c r="I48" s="14">
        <f>$I47*$G47*(1-$H47)</f>
        <v/>
      </c>
      <c r="J48" s="14">
        <f>$I48*$G48*$H48</f>
        <v/>
      </c>
      <c r="K48" s="14">
        <f>$I48*(1-$F48)*(1-$B$22)</f>
        <v/>
      </c>
      <c r="L48" s="15">
        <f>$I48*(1-$F48)*$B$22</f>
        <v/>
      </c>
    </row>
    <row r="49">
      <c r="A49" s="7" t="n">
        <v>22</v>
      </c>
      <c r="B49" s="11">
        <f>IF(A49=1,"Safe (Start)",IF(OR(A49=$B$10,A49=$B$11),"Milestone",IF(AND($B$9&gt;0,MOD(A49,$B$9)=0),"Safe","Standard")))</f>
        <v/>
      </c>
      <c r="C49" s="9">
        <f>$B$7</f>
        <v/>
      </c>
      <c r="D49" s="11">
        <f>IF($B49="Standard",$B$8,0)</f>
        <v/>
      </c>
      <c r="E49" s="11">
        <f>MIN(6,MAX(1,ROUNDUP(A49/$B$12,0)))</f>
        <v/>
      </c>
      <c r="F49" s="12">
        <f>IF($C49&lt;=0,0,($C49-$D49)/$C49)</f>
        <v/>
      </c>
      <c r="G49" s="12">
        <f>$F49+(1-$F49)*$B$22</f>
        <v/>
      </c>
      <c r="H49" s="13" t="n">
        <v>0</v>
      </c>
      <c r="I49" s="14">
        <f>$I48*$G48*(1-$H48)</f>
        <v/>
      </c>
      <c r="J49" s="14">
        <f>$I49*$G49*$H49</f>
        <v/>
      </c>
      <c r="K49" s="14">
        <f>$I49*(1-$F49)*(1-$B$22)</f>
        <v/>
      </c>
      <c r="L49" s="15">
        <f>$I49*(1-$F49)*$B$22</f>
        <v/>
      </c>
    </row>
    <row r="50">
      <c r="A50" s="7" t="n">
        <v>23</v>
      </c>
      <c r="B50" s="11">
        <f>IF(A50=1,"Safe (Start)",IF(OR(A50=$B$10,A50=$B$11),"Milestone",IF(AND($B$9&gt;0,MOD(A50,$B$9)=0),"Safe","Standard")))</f>
        <v/>
      </c>
      <c r="C50" s="9">
        <f>$B$7</f>
        <v/>
      </c>
      <c r="D50" s="11">
        <f>IF($B50="Standard",$B$8,0)</f>
        <v/>
      </c>
      <c r="E50" s="11">
        <f>MIN(6,MAX(1,ROUNDUP(A50/$B$12,0)))</f>
        <v/>
      </c>
      <c r="F50" s="12">
        <f>IF($C50&lt;=0,0,($C50-$D50)/$C50)</f>
        <v/>
      </c>
      <c r="G50" s="12">
        <f>$F50+(1-$F50)*$B$22</f>
        <v/>
      </c>
      <c r="H50" s="13" t="n">
        <v>0</v>
      </c>
      <c r="I50" s="14">
        <f>$I49*$G49*(1-$H49)</f>
        <v/>
      </c>
      <c r="J50" s="14">
        <f>$I50*$G50*$H50</f>
        <v/>
      </c>
      <c r="K50" s="14">
        <f>$I50*(1-$F50)*(1-$B$22)</f>
        <v/>
      </c>
      <c r="L50" s="15">
        <f>$I50*(1-$F50)*$B$22</f>
        <v/>
      </c>
    </row>
    <row r="51">
      <c r="A51" s="7" t="n">
        <v>24</v>
      </c>
      <c r="B51" s="11">
        <f>IF(A51=1,"Safe (Start)",IF(OR(A51=$B$10,A51=$B$11),"Milestone",IF(AND($B$9&gt;0,MOD(A51,$B$9)=0),"Safe","Standard")))</f>
        <v/>
      </c>
      <c r="C51" s="9">
        <f>$B$7</f>
        <v/>
      </c>
      <c r="D51" s="11">
        <f>IF($B51="Standard",$B$8,0)</f>
        <v/>
      </c>
      <c r="E51" s="11">
        <f>MIN(6,MAX(1,ROUNDUP(A51/$B$12,0)))</f>
        <v/>
      </c>
      <c r="F51" s="12">
        <f>IF($C51&lt;=0,0,($C51-$D51)/$C51)</f>
        <v/>
      </c>
      <c r="G51" s="12">
        <f>$F51+(1-$F51)*$B$22</f>
        <v/>
      </c>
      <c r="H51" s="13" t="n">
        <v>0</v>
      </c>
      <c r="I51" s="14">
        <f>$I50*$G50*(1-$H50)</f>
        <v/>
      </c>
      <c r="J51" s="14">
        <f>$I51*$G51*$H51</f>
        <v/>
      </c>
      <c r="K51" s="14">
        <f>$I51*(1-$F51)*(1-$B$22)</f>
        <v/>
      </c>
      <c r="L51" s="15">
        <f>$I51*(1-$F51)*$B$22</f>
        <v/>
      </c>
    </row>
    <row r="52">
      <c r="A52" s="7" t="n">
        <v>25</v>
      </c>
      <c r="B52" s="11">
        <f>IF(A52=1,"Safe (Start)",IF(OR(A52=$B$10,A52=$B$11),"Milestone",IF(AND($B$9&gt;0,MOD(A52,$B$9)=0),"Safe","Standard")))</f>
        <v/>
      </c>
      <c r="C52" s="9">
        <f>$B$7</f>
        <v/>
      </c>
      <c r="D52" s="11">
        <f>IF($B52="Standard",$B$8,0)</f>
        <v/>
      </c>
      <c r="E52" s="11">
        <f>MIN(6,MAX(1,ROUNDUP(A52/$B$12,0)))</f>
        <v/>
      </c>
      <c r="F52" s="12">
        <f>IF($C52&lt;=0,0,($C52-$D52)/$C52)</f>
        <v/>
      </c>
      <c r="G52" s="12">
        <f>$F52+(1-$F52)*$B$22</f>
        <v/>
      </c>
      <c r="H52" s="13" t="n">
        <v>0</v>
      </c>
      <c r="I52" s="14">
        <f>$I51*$G51*(1-$H51)</f>
        <v/>
      </c>
      <c r="J52" s="14">
        <f>$I52*$G52*$H52</f>
        <v/>
      </c>
      <c r="K52" s="14">
        <f>$I52*(1-$F52)*(1-$B$22)</f>
        <v/>
      </c>
      <c r="L52" s="15">
        <f>$I52*(1-$F52)*$B$22</f>
        <v/>
      </c>
    </row>
    <row r="53">
      <c r="A53" s="7" t="n">
        <v>26</v>
      </c>
      <c r="B53" s="11">
        <f>IF(A53=1,"Safe (Start)",IF(OR(A53=$B$10,A53=$B$11),"Milestone",IF(AND($B$9&gt;0,MOD(A53,$B$9)=0),"Safe","Standard")))</f>
        <v/>
      </c>
      <c r="C53" s="9">
        <f>$B$7</f>
        <v/>
      </c>
      <c r="D53" s="11">
        <f>IF($B53="Standard",$B$8,0)</f>
        <v/>
      </c>
      <c r="E53" s="11">
        <f>MIN(6,MAX(1,ROUNDUP(A53/$B$12,0)))</f>
        <v/>
      </c>
      <c r="F53" s="12">
        <f>IF($C53&lt;=0,0,($C53-$D53)/$C53)</f>
        <v/>
      </c>
      <c r="G53" s="12">
        <f>$F53+(1-$F53)*$B$22</f>
        <v/>
      </c>
      <c r="H53" s="13" t="n">
        <v>0</v>
      </c>
      <c r="I53" s="14">
        <f>$I52*$G52*(1-$H52)</f>
        <v/>
      </c>
      <c r="J53" s="14">
        <f>$I53*$G53*$H53</f>
        <v/>
      </c>
      <c r="K53" s="14">
        <f>$I53*(1-$F53)*(1-$B$22)</f>
        <v/>
      </c>
      <c r="L53" s="15">
        <f>$I53*(1-$F53)*$B$22</f>
        <v/>
      </c>
    </row>
    <row r="54">
      <c r="A54" s="7" t="n">
        <v>27</v>
      </c>
      <c r="B54" s="11">
        <f>IF(A54=1,"Safe (Start)",IF(OR(A54=$B$10,A54=$B$11),"Milestone",IF(AND($B$9&gt;0,MOD(A54,$B$9)=0),"Safe","Standard")))</f>
        <v/>
      </c>
      <c r="C54" s="9">
        <f>$B$7</f>
        <v/>
      </c>
      <c r="D54" s="11">
        <f>IF($B54="Standard",$B$8,0)</f>
        <v/>
      </c>
      <c r="E54" s="11">
        <f>MIN(6,MAX(1,ROUNDUP(A54/$B$12,0)))</f>
        <v/>
      </c>
      <c r="F54" s="12">
        <f>IF($C54&lt;=0,0,($C54-$D54)/$C54)</f>
        <v/>
      </c>
      <c r="G54" s="12">
        <f>$F54+(1-$F54)*$B$22</f>
        <v/>
      </c>
      <c r="H54" s="13" t="n">
        <v>0</v>
      </c>
      <c r="I54" s="14">
        <f>$I53*$G53*(1-$H53)</f>
        <v/>
      </c>
      <c r="J54" s="14">
        <f>$I54*$G54*$H54</f>
        <v/>
      </c>
      <c r="K54" s="14">
        <f>$I54*(1-$F54)*(1-$B$22)</f>
        <v/>
      </c>
      <c r="L54" s="15">
        <f>$I54*(1-$F54)*$B$22</f>
        <v/>
      </c>
    </row>
    <row r="55">
      <c r="A55" s="7" t="n">
        <v>28</v>
      </c>
      <c r="B55" s="11">
        <f>IF(A55=1,"Safe (Start)",IF(OR(A55=$B$10,A55=$B$11),"Milestone",IF(AND($B$9&gt;0,MOD(A55,$B$9)=0),"Safe","Standard")))</f>
        <v/>
      </c>
      <c r="C55" s="9">
        <f>$B$7</f>
        <v/>
      </c>
      <c r="D55" s="11">
        <f>IF($B55="Standard",$B$8,0)</f>
        <v/>
      </c>
      <c r="E55" s="11">
        <f>MIN(6,MAX(1,ROUNDUP(A55/$B$12,0)))</f>
        <v/>
      </c>
      <c r="F55" s="12">
        <f>IF($C55&lt;=0,0,($C55-$D55)/$C55)</f>
        <v/>
      </c>
      <c r="G55" s="12">
        <f>$F55+(1-$F55)*$B$22</f>
        <v/>
      </c>
      <c r="H55" s="13" t="n">
        <v>0</v>
      </c>
      <c r="I55" s="14">
        <f>$I54*$G54*(1-$H54)</f>
        <v/>
      </c>
      <c r="J55" s="14">
        <f>$I55*$G55*$H55</f>
        <v/>
      </c>
      <c r="K55" s="14">
        <f>$I55*(1-$F55)*(1-$B$22)</f>
        <v/>
      </c>
      <c r="L55" s="15">
        <f>$I55*(1-$F55)*$B$22</f>
        <v/>
      </c>
    </row>
    <row r="56">
      <c r="A56" s="7" t="n">
        <v>29</v>
      </c>
      <c r="B56" s="11">
        <f>IF(A56=1,"Safe (Start)",IF(OR(A56=$B$10,A56=$B$11),"Milestone",IF(AND($B$9&gt;0,MOD(A56,$B$9)=0),"Safe","Standard")))</f>
        <v/>
      </c>
      <c r="C56" s="9">
        <f>$B$7</f>
        <v/>
      </c>
      <c r="D56" s="11">
        <f>IF($B56="Standard",$B$8,0)</f>
        <v/>
      </c>
      <c r="E56" s="11">
        <f>MIN(6,MAX(1,ROUNDUP(A56/$B$12,0)))</f>
        <v/>
      </c>
      <c r="F56" s="12">
        <f>IF($C56&lt;=0,0,($C56-$D56)/$C56)</f>
        <v/>
      </c>
      <c r="G56" s="12">
        <f>$F56+(1-$F56)*$B$22</f>
        <v/>
      </c>
      <c r="H56" s="13" t="n">
        <v>0</v>
      </c>
      <c r="I56" s="14">
        <f>$I55*$G55*(1-$H55)</f>
        <v/>
      </c>
      <c r="J56" s="14">
        <f>$I56*$G56*$H56</f>
        <v/>
      </c>
      <c r="K56" s="14">
        <f>$I56*(1-$F56)*(1-$B$22)</f>
        <v/>
      </c>
      <c r="L56" s="15">
        <f>$I56*(1-$F56)*$B$22</f>
        <v/>
      </c>
    </row>
    <row r="57">
      <c r="A57" s="7" t="n">
        <v>30</v>
      </c>
      <c r="B57" s="11">
        <f>IF(A57=1,"Safe (Start)",IF(OR(A57=$B$10,A57=$B$11),"Milestone",IF(AND($B$9&gt;0,MOD(A57,$B$9)=0),"Safe","Standard")))</f>
        <v/>
      </c>
      <c r="C57" s="9">
        <f>$B$7</f>
        <v/>
      </c>
      <c r="D57" s="11">
        <f>IF($B57="Standard",$B$8,0)</f>
        <v/>
      </c>
      <c r="E57" s="11">
        <f>MIN(6,MAX(1,ROUNDUP(A57/$B$12,0)))</f>
        <v/>
      </c>
      <c r="F57" s="12">
        <f>IF($C57&lt;=0,0,($C57-$D57)/$C57)</f>
        <v/>
      </c>
      <c r="G57" s="12">
        <f>$F57+(1-$F57)*$B$22</f>
        <v/>
      </c>
      <c r="H57" s="13" t="n">
        <v>0</v>
      </c>
      <c r="I57" s="14">
        <f>$I56*$G56*(1-$H56)</f>
        <v/>
      </c>
      <c r="J57" s="14">
        <f>$I57*$G57*$H57</f>
        <v/>
      </c>
      <c r="K57" s="14">
        <f>$I57*(1-$F57)*(1-$B$22)</f>
        <v/>
      </c>
      <c r="L57" s="15">
        <f>$I57*(1-$F57)*$B$22</f>
        <v/>
      </c>
    </row>
    <row r="58">
      <c r="A58" s="7" t="n">
        <v>31</v>
      </c>
      <c r="B58" s="11">
        <f>IF(A58=1,"Safe (Start)",IF(OR(A58=$B$10,A58=$B$11),"Milestone",IF(AND($B$9&gt;0,MOD(A58,$B$9)=0),"Safe","Standard")))</f>
        <v/>
      </c>
      <c r="C58" s="9">
        <f>$B$7</f>
        <v/>
      </c>
      <c r="D58" s="11">
        <f>IF($B58="Standard",$B$8,0)</f>
        <v/>
      </c>
      <c r="E58" s="11">
        <f>MIN(6,MAX(1,ROUNDUP(A58/$B$12,0)))</f>
        <v/>
      </c>
      <c r="F58" s="12">
        <f>IF($C58&lt;=0,0,($C58-$D58)/$C58)</f>
        <v/>
      </c>
      <c r="G58" s="12">
        <f>$F58+(1-$F58)*$B$22</f>
        <v/>
      </c>
      <c r="H58" s="13" t="n">
        <v>0</v>
      </c>
      <c r="I58" s="14">
        <f>$I57*$G57*(1-$H57)</f>
        <v/>
      </c>
      <c r="J58" s="14">
        <f>$I58*$G58*$H58</f>
        <v/>
      </c>
      <c r="K58" s="14">
        <f>$I58*(1-$F58)*(1-$B$22)</f>
        <v/>
      </c>
      <c r="L58" s="15">
        <f>$I58*(1-$F58)*$B$22</f>
        <v/>
      </c>
    </row>
    <row r="59">
      <c r="A59" s="7" t="n">
        <v>32</v>
      </c>
      <c r="B59" s="11">
        <f>IF(A59=1,"Safe (Start)",IF(OR(A59=$B$10,A59=$B$11),"Milestone",IF(AND($B$9&gt;0,MOD(A59,$B$9)=0),"Safe","Standard")))</f>
        <v/>
      </c>
      <c r="C59" s="9">
        <f>$B$7</f>
        <v/>
      </c>
      <c r="D59" s="11">
        <f>IF($B59="Standard",$B$8,0)</f>
        <v/>
      </c>
      <c r="E59" s="11">
        <f>MIN(6,MAX(1,ROUNDUP(A59/$B$12,0)))</f>
        <v/>
      </c>
      <c r="F59" s="12">
        <f>IF($C59&lt;=0,0,($C59-$D59)/$C59)</f>
        <v/>
      </c>
      <c r="G59" s="12">
        <f>$F59+(1-$F59)*$B$22</f>
        <v/>
      </c>
      <c r="H59" s="13" t="n">
        <v>0</v>
      </c>
      <c r="I59" s="14">
        <f>$I58*$G58*(1-$H58)</f>
        <v/>
      </c>
      <c r="J59" s="14">
        <f>$I59*$G59*$H59</f>
        <v/>
      </c>
      <c r="K59" s="14">
        <f>$I59*(1-$F59)*(1-$B$22)</f>
        <v/>
      </c>
      <c r="L59" s="15">
        <f>$I59*(1-$F59)*$B$22</f>
        <v/>
      </c>
    </row>
    <row r="60">
      <c r="A60" s="7" t="n">
        <v>33</v>
      </c>
      <c r="B60" s="11">
        <f>IF(A60=1,"Safe (Start)",IF(OR(A60=$B$10,A60=$B$11),"Milestone",IF(AND($B$9&gt;0,MOD(A60,$B$9)=0),"Safe","Standard")))</f>
        <v/>
      </c>
      <c r="C60" s="9">
        <f>$B$7</f>
        <v/>
      </c>
      <c r="D60" s="11">
        <f>IF($B60="Standard",$B$8,0)</f>
        <v/>
      </c>
      <c r="E60" s="11">
        <f>MIN(6,MAX(1,ROUNDUP(A60/$B$12,0)))</f>
        <v/>
      </c>
      <c r="F60" s="12">
        <f>IF($C60&lt;=0,0,($C60-$D60)/$C60)</f>
        <v/>
      </c>
      <c r="G60" s="12">
        <f>$F60+(1-$F60)*$B$22</f>
        <v/>
      </c>
      <c r="H60" s="13" t="n">
        <v>0</v>
      </c>
      <c r="I60" s="14">
        <f>$I59*$G59*(1-$H59)</f>
        <v/>
      </c>
      <c r="J60" s="14">
        <f>$I60*$G60*$H60</f>
        <v/>
      </c>
      <c r="K60" s="14">
        <f>$I60*(1-$F60)*(1-$B$22)</f>
        <v/>
      </c>
      <c r="L60" s="15">
        <f>$I60*(1-$F60)*$B$22</f>
        <v/>
      </c>
    </row>
    <row r="61">
      <c r="A61" s="7" t="n">
        <v>34</v>
      </c>
      <c r="B61" s="11">
        <f>IF(A61=1,"Safe (Start)",IF(OR(A61=$B$10,A61=$B$11),"Milestone",IF(AND($B$9&gt;0,MOD(A61,$B$9)=0),"Safe","Standard")))</f>
        <v/>
      </c>
      <c r="C61" s="9">
        <f>$B$7</f>
        <v/>
      </c>
      <c r="D61" s="11">
        <f>IF($B61="Standard",$B$8,0)</f>
        <v/>
      </c>
      <c r="E61" s="11">
        <f>MIN(6,MAX(1,ROUNDUP(A61/$B$12,0)))</f>
        <v/>
      </c>
      <c r="F61" s="12">
        <f>IF($C61&lt;=0,0,($C61-$D61)/$C61)</f>
        <v/>
      </c>
      <c r="G61" s="12">
        <f>$F61+(1-$F61)*$B$22</f>
        <v/>
      </c>
      <c r="H61" s="13" t="n">
        <v>0</v>
      </c>
      <c r="I61" s="14">
        <f>$I60*$G60*(1-$H60)</f>
        <v/>
      </c>
      <c r="J61" s="14">
        <f>$I61*$G61*$H61</f>
        <v/>
      </c>
      <c r="K61" s="14">
        <f>$I61*(1-$F61)*(1-$B$22)</f>
        <v/>
      </c>
      <c r="L61" s="15">
        <f>$I61*(1-$F61)*$B$22</f>
        <v/>
      </c>
    </row>
    <row r="62">
      <c r="A62" s="7" t="n">
        <v>35</v>
      </c>
      <c r="B62" s="11">
        <f>IF(A62=1,"Safe (Start)",IF(OR(A62=$B$10,A62=$B$11),"Milestone",IF(AND($B$9&gt;0,MOD(A62,$B$9)=0),"Safe","Standard")))</f>
        <v/>
      </c>
      <c r="C62" s="9">
        <f>$B$7</f>
        <v/>
      </c>
      <c r="D62" s="11">
        <f>IF($B62="Standard",$B$8,0)</f>
        <v/>
      </c>
      <c r="E62" s="11">
        <f>MIN(6,MAX(1,ROUNDUP(A62/$B$12,0)))</f>
        <v/>
      </c>
      <c r="F62" s="12">
        <f>IF($C62&lt;=0,0,($C62-$D62)/$C62)</f>
        <v/>
      </c>
      <c r="G62" s="12">
        <f>$F62+(1-$F62)*$B$22</f>
        <v/>
      </c>
      <c r="H62" s="13" t="n">
        <v>0</v>
      </c>
      <c r="I62" s="14">
        <f>$I61*$G61*(1-$H61)</f>
        <v/>
      </c>
      <c r="J62" s="14">
        <f>$I62*$G62*$H62</f>
        <v/>
      </c>
      <c r="K62" s="14">
        <f>$I62*(1-$F62)*(1-$B$22)</f>
        <v/>
      </c>
      <c r="L62" s="15">
        <f>$I62*(1-$F62)*$B$22</f>
        <v/>
      </c>
    </row>
    <row r="63">
      <c r="A63" s="7" t="n">
        <v>36</v>
      </c>
      <c r="B63" s="11">
        <f>IF(A63=1,"Safe (Start)",IF(OR(A63=$B$10,A63=$B$11),"Milestone",IF(AND($B$9&gt;0,MOD(A63,$B$9)=0),"Safe","Standard")))</f>
        <v/>
      </c>
      <c r="C63" s="9">
        <f>$B$7</f>
        <v/>
      </c>
      <c r="D63" s="11">
        <f>IF($B63="Standard",$B$8,0)</f>
        <v/>
      </c>
      <c r="E63" s="11">
        <f>MIN(6,MAX(1,ROUNDUP(A63/$B$12,0)))</f>
        <v/>
      </c>
      <c r="F63" s="12">
        <f>IF($C63&lt;=0,0,($C63-$D63)/$C63)</f>
        <v/>
      </c>
      <c r="G63" s="12">
        <f>$F63+(1-$F63)*$B$22</f>
        <v/>
      </c>
      <c r="H63" s="13" t="n">
        <v>0</v>
      </c>
      <c r="I63" s="14">
        <f>$I62*$G62*(1-$H62)</f>
        <v/>
      </c>
      <c r="J63" s="14">
        <f>$I63*$G63*$H63</f>
        <v/>
      </c>
      <c r="K63" s="14">
        <f>$I63*(1-$F63)*(1-$B$22)</f>
        <v/>
      </c>
      <c r="L63" s="15">
        <f>$I63*(1-$F63)*$B$22</f>
        <v/>
      </c>
    </row>
    <row r="64">
      <c r="A64" s="7" t="n">
        <v>37</v>
      </c>
      <c r="B64" s="11">
        <f>IF(A64=1,"Safe (Start)",IF(OR(A64=$B$10,A64=$B$11),"Milestone",IF(AND($B$9&gt;0,MOD(A64,$B$9)=0),"Safe","Standard")))</f>
        <v/>
      </c>
      <c r="C64" s="9">
        <f>$B$7</f>
        <v/>
      </c>
      <c r="D64" s="11">
        <f>IF($B64="Standard",$B$8,0)</f>
        <v/>
      </c>
      <c r="E64" s="11">
        <f>MIN(6,MAX(1,ROUNDUP(A64/$B$12,0)))</f>
        <v/>
      </c>
      <c r="F64" s="12">
        <f>IF($C64&lt;=0,0,($C64-$D64)/$C64)</f>
        <v/>
      </c>
      <c r="G64" s="12">
        <f>$F64+(1-$F64)*$B$22</f>
        <v/>
      </c>
      <c r="H64" s="13" t="n">
        <v>0</v>
      </c>
      <c r="I64" s="14">
        <f>$I63*$G63*(1-$H63)</f>
        <v/>
      </c>
      <c r="J64" s="14">
        <f>$I64*$G64*$H64</f>
        <v/>
      </c>
      <c r="K64" s="14">
        <f>$I64*(1-$F64)*(1-$B$22)</f>
        <v/>
      </c>
      <c r="L64" s="15">
        <f>$I64*(1-$F64)*$B$22</f>
        <v/>
      </c>
    </row>
    <row r="65">
      <c r="A65" s="7" t="n">
        <v>38</v>
      </c>
      <c r="B65" s="11">
        <f>IF(A65=1,"Safe (Start)",IF(OR(A65=$B$10,A65=$B$11),"Milestone",IF(AND($B$9&gt;0,MOD(A65,$B$9)=0),"Safe","Standard")))</f>
        <v/>
      </c>
      <c r="C65" s="9">
        <f>$B$7</f>
        <v/>
      </c>
      <c r="D65" s="11">
        <f>IF($B65="Standard",$B$8,0)</f>
        <v/>
      </c>
      <c r="E65" s="11">
        <f>MIN(6,MAX(1,ROUNDUP(A65/$B$12,0)))</f>
        <v/>
      </c>
      <c r="F65" s="12">
        <f>IF($C65&lt;=0,0,($C65-$D65)/$C65)</f>
        <v/>
      </c>
      <c r="G65" s="12">
        <f>$F65+(1-$F65)*$B$22</f>
        <v/>
      </c>
      <c r="H65" s="13" t="n">
        <v>0</v>
      </c>
      <c r="I65" s="14">
        <f>$I64*$G64*(1-$H64)</f>
        <v/>
      </c>
      <c r="J65" s="14">
        <f>$I65*$G65*$H65</f>
        <v/>
      </c>
      <c r="K65" s="14">
        <f>$I65*(1-$F65)*(1-$B$22)</f>
        <v/>
      </c>
      <c r="L65" s="15">
        <f>$I65*(1-$F65)*$B$22</f>
        <v/>
      </c>
    </row>
    <row r="66">
      <c r="A66" s="7" t="n">
        <v>39</v>
      </c>
      <c r="B66" s="11">
        <f>IF(A66=1,"Safe (Start)",IF(OR(A66=$B$10,A66=$B$11),"Milestone",IF(AND($B$9&gt;0,MOD(A66,$B$9)=0),"Safe","Standard")))</f>
        <v/>
      </c>
      <c r="C66" s="9">
        <f>$B$7</f>
        <v/>
      </c>
      <c r="D66" s="11">
        <f>IF($B66="Standard",$B$8,0)</f>
        <v/>
      </c>
      <c r="E66" s="11">
        <f>MIN(6,MAX(1,ROUNDUP(A66/$B$12,0)))</f>
        <v/>
      </c>
      <c r="F66" s="12">
        <f>IF($C66&lt;=0,0,($C66-$D66)/$C66)</f>
        <v/>
      </c>
      <c r="G66" s="12">
        <f>$F66+(1-$F66)*$B$22</f>
        <v/>
      </c>
      <c r="H66" s="13" t="n">
        <v>0</v>
      </c>
      <c r="I66" s="14">
        <f>$I65*$G65*(1-$H65)</f>
        <v/>
      </c>
      <c r="J66" s="14">
        <f>$I66*$G66*$H66</f>
        <v/>
      </c>
      <c r="K66" s="14">
        <f>$I66*(1-$F66)*(1-$B$22)</f>
        <v/>
      </c>
      <c r="L66" s="15">
        <f>$I66*(1-$F66)*$B$22</f>
        <v/>
      </c>
    </row>
    <row r="67">
      <c r="A67" s="7" t="n">
        <v>40</v>
      </c>
      <c r="B67" s="11">
        <f>IF(A67=1,"Safe (Start)",IF(OR(A67=$B$10,A67=$B$11),"Milestone",IF(AND($B$9&gt;0,MOD(A67,$B$9)=0),"Safe","Standard")))</f>
        <v/>
      </c>
      <c r="C67" s="9">
        <f>$B$7</f>
        <v/>
      </c>
      <c r="D67" s="11">
        <f>IF($B67="Standard",$B$8,0)</f>
        <v/>
      </c>
      <c r="E67" s="11">
        <f>MIN(6,MAX(1,ROUNDUP(A67/$B$12,0)))</f>
        <v/>
      </c>
      <c r="F67" s="12">
        <f>IF($C67&lt;=0,0,($C67-$D67)/$C67)</f>
        <v/>
      </c>
      <c r="G67" s="12">
        <f>$F67+(1-$F67)*$B$22</f>
        <v/>
      </c>
      <c r="H67" s="13" t="n">
        <v>0</v>
      </c>
      <c r="I67" s="14">
        <f>$I66*$G66*(1-$H66)</f>
        <v/>
      </c>
      <c r="J67" s="14">
        <f>$I67*$G67*$H67</f>
        <v/>
      </c>
      <c r="K67" s="14">
        <f>$I67*(1-$F67)*(1-$B$22)</f>
        <v/>
      </c>
      <c r="L67" s="15">
        <f>$I67*(1-$F67)*$B$22</f>
        <v/>
      </c>
    </row>
    <row r="68">
      <c r="A68" s="7" t="n">
        <v>41</v>
      </c>
      <c r="B68" s="11">
        <f>IF(A68=1,"Safe (Start)",IF(OR(A68=$B$10,A68=$B$11),"Milestone",IF(AND($B$9&gt;0,MOD(A68,$B$9)=0),"Safe","Standard")))</f>
        <v/>
      </c>
      <c r="C68" s="9">
        <f>$B$7</f>
        <v/>
      </c>
      <c r="D68" s="11">
        <f>IF($B68="Standard",$B$8,0)</f>
        <v/>
      </c>
      <c r="E68" s="11">
        <f>MIN(6,MAX(1,ROUNDUP(A68/$B$12,0)))</f>
        <v/>
      </c>
      <c r="F68" s="12">
        <f>IF($C68&lt;=0,0,($C68-$D68)/$C68)</f>
        <v/>
      </c>
      <c r="G68" s="12">
        <f>$F68+(1-$F68)*$B$22</f>
        <v/>
      </c>
      <c r="H68" s="13" t="n">
        <v>0</v>
      </c>
      <c r="I68" s="14">
        <f>$I67*$G67*(1-$H67)</f>
        <v/>
      </c>
      <c r="J68" s="14">
        <f>$I68*$G68*$H68</f>
        <v/>
      </c>
      <c r="K68" s="14">
        <f>$I68*(1-$F68)*(1-$B$22)</f>
        <v/>
      </c>
      <c r="L68" s="15">
        <f>$I68*(1-$F68)*$B$22</f>
        <v/>
      </c>
    </row>
    <row r="69">
      <c r="A69" s="7" t="n">
        <v>42</v>
      </c>
      <c r="B69" s="11">
        <f>IF(A69=1,"Safe (Start)",IF(OR(A69=$B$10,A69=$B$11),"Milestone",IF(AND($B$9&gt;0,MOD(A69,$B$9)=0),"Safe","Standard")))</f>
        <v/>
      </c>
      <c r="C69" s="9">
        <f>$B$7</f>
        <v/>
      </c>
      <c r="D69" s="11">
        <f>IF($B69="Standard",$B$8,0)</f>
        <v/>
      </c>
      <c r="E69" s="11">
        <f>MIN(6,MAX(1,ROUNDUP(A69/$B$12,0)))</f>
        <v/>
      </c>
      <c r="F69" s="12">
        <f>IF($C69&lt;=0,0,($C69-$D69)/$C69)</f>
        <v/>
      </c>
      <c r="G69" s="12">
        <f>$F69+(1-$F69)*$B$22</f>
        <v/>
      </c>
      <c r="H69" s="13" t="n">
        <v>0</v>
      </c>
      <c r="I69" s="14">
        <f>$I68*$G68*(1-$H68)</f>
        <v/>
      </c>
      <c r="J69" s="14">
        <f>$I69*$G69*$H69</f>
        <v/>
      </c>
      <c r="K69" s="14">
        <f>$I69*(1-$F69)*(1-$B$22)</f>
        <v/>
      </c>
      <c r="L69" s="15">
        <f>$I69*(1-$F69)*$B$22</f>
        <v/>
      </c>
    </row>
    <row r="70">
      <c r="A70" s="7" t="n">
        <v>43</v>
      </c>
      <c r="B70" s="11">
        <f>IF(A70=1,"Safe (Start)",IF(OR(A70=$B$10,A70=$B$11),"Milestone",IF(AND($B$9&gt;0,MOD(A70,$B$9)=0),"Safe","Standard")))</f>
        <v/>
      </c>
      <c r="C70" s="9">
        <f>$B$7</f>
        <v/>
      </c>
      <c r="D70" s="11">
        <f>IF($B70="Standard",$B$8,0)</f>
        <v/>
      </c>
      <c r="E70" s="11">
        <f>MIN(6,MAX(1,ROUNDUP(A70/$B$12,0)))</f>
        <v/>
      </c>
      <c r="F70" s="12">
        <f>IF($C70&lt;=0,0,($C70-$D70)/$C70)</f>
        <v/>
      </c>
      <c r="G70" s="12">
        <f>$F70+(1-$F70)*$B$22</f>
        <v/>
      </c>
      <c r="H70" s="13" t="n">
        <v>0</v>
      </c>
      <c r="I70" s="14">
        <f>$I69*$G69*(1-$H69)</f>
        <v/>
      </c>
      <c r="J70" s="14">
        <f>$I70*$G70*$H70</f>
        <v/>
      </c>
      <c r="K70" s="14">
        <f>$I70*(1-$F70)*(1-$B$22)</f>
        <v/>
      </c>
      <c r="L70" s="15">
        <f>$I70*(1-$F70)*$B$22</f>
        <v/>
      </c>
    </row>
    <row r="71">
      <c r="A71" s="7" t="n">
        <v>44</v>
      </c>
      <c r="B71" s="11">
        <f>IF(A71=1,"Safe (Start)",IF(OR(A71=$B$10,A71=$B$11),"Milestone",IF(AND($B$9&gt;0,MOD(A71,$B$9)=0),"Safe","Standard")))</f>
        <v/>
      </c>
      <c r="C71" s="9">
        <f>$B$7</f>
        <v/>
      </c>
      <c r="D71" s="11">
        <f>IF($B71="Standard",$B$8,0)</f>
        <v/>
      </c>
      <c r="E71" s="11">
        <f>MIN(6,MAX(1,ROUNDUP(A71/$B$12,0)))</f>
        <v/>
      </c>
      <c r="F71" s="12">
        <f>IF($C71&lt;=0,0,($C71-$D71)/$C71)</f>
        <v/>
      </c>
      <c r="G71" s="12">
        <f>$F71+(1-$F71)*$B$22</f>
        <v/>
      </c>
      <c r="H71" s="13" t="n">
        <v>0</v>
      </c>
      <c r="I71" s="14">
        <f>$I70*$G70*(1-$H70)</f>
        <v/>
      </c>
      <c r="J71" s="14">
        <f>$I71*$G71*$H71</f>
        <v/>
      </c>
      <c r="K71" s="14">
        <f>$I71*(1-$F71)*(1-$B$22)</f>
        <v/>
      </c>
      <c r="L71" s="15">
        <f>$I71*(1-$F71)*$B$22</f>
        <v/>
      </c>
    </row>
    <row r="72">
      <c r="A72" s="7" t="n">
        <v>45</v>
      </c>
      <c r="B72" s="11">
        <f>IF(A72=1,"Safe (Start)",IF(OR(A72=$B$10,A72=$B$11),"Milestone",IF(AND($B$9&gt;0,MOD(A72,$B$9)=0),"Safe","Standard")))</f>
        <v/>
      </c>
      <c r="C72" s="9">
        <f>$B$7</f>
        <v/>
      </c>
      <c r="D72" s="11">
        <f>IF($B72="Standard",$B$8,0)</f>
        <v/>
      </c>
      <c r="E72" s="11">
        <f>MIN(6,MAX(1,ROUNDUP(A72/$B$12,0)))</f>
        <v/>
      </c>
      <c r="F72" s="12">
        <f>IF($C72&lt;=0,0,($C72-$D72)/$C72)</f>
        <v/>
      </c>
      <c r="G72" s="12">
        <f>$F72+(1-$F72)*$B$22</f>
        <v/>
      </c>
      <c r="H72" s="13" t="n">
        <v>0</v>
      </c>
      <c r="I72" s="14">
        <f>$I71*$G71*(1-$H71)</f>
        <v/>
      </c>
      <c r="J72" s="14">
        <f>$I72*$G72*$H72</f>
        <v/>
      </c>
      <c r="K72" s="14">
        <f>$I72*(1-$F72)*(1-$B$22)</f>
        <v/>
      </c>
      <c r="L72" s="15">
        <f>$I72*(1-$F72)*$B$22</f>
        <v/>
      </c>
    </row>
    <row r="73">
      <c r="A73" s="7" t="n">
        <v>46</v>
      </c>
      <c r="B73" s="11">
        <f>IF(A73=1,"Safe (Start)",IF(OR(A73=$B$10,A73=$B$11),"Milestone",IF(AND($B$9&gt;0,MOD(A73,$B$9)=0),"Safe","Standard")))</f>
        <v/>
      </c>
      <c r="C73" s="9">
        <f>$B$7</f>
        <v/>
      </c>
      <c r="D73" s="11">
        <f>IF($B73="Standard",$B$8,0)</f>
        <v/>
      </c>
      <c r="E73" s="11">
        <f>MIN(6,MAX(1,ROUNDUP(A73/$B$12,0)))</f>
        <v/>
      </c>
      <c r="F73" s="12">
        <f>IF($C73&lt;=0,0,($C73-$D73)/$C73)</f>
        <v/>
      </c>
      <c r="G73" s="12">
        <f>$F73+(1-$F73)*$B$22</f>
        <v/>
      </c>
      <c r="H73" s="13" t="n">
        <v>0</v>
      </c>
      <c r="I73" s="14">
        <f>$I72*$G72*(1-$H72)</f>
        <v/>
      </c>
      <c r="J73" s="14">
        <f>$I73*$G73*$H73</f>
        <v/>
      </c>
      <c r="K73" s="14">
        <f>$I73*(1-$F73)*(1-$B$22)</f>
        <v/>
      </c>
      <c r="L73" s="15">
        <f>$I73*(1-$F73)*$B$22</f>
        <v/>
      </c>
    </row>
    <row r="74">
      <c r="A74" s="7" t="n">
        <v>47</v>
      </c>
      <c r="B74" s="11">
        <f>IF(A74=1,"Safe (Start)",IF(OR(A74=$B$10,A74=$B$11),"Milestone",IF(AND($B$9&gt;0,MOD(A74,$B$9)=0),"Safe","Standard")))</f>
        <v/>
      </c>
      <c r="C74" s="9">
        <f>$B$7</f>
        <v/>
      </c>
      <c r="D74" s="11">
        <f>IF($B74="Standard",$B$8,0)</f>
        <v/>
      </c>
      <c r="E74" s="11">
        <f>MIN(6,MAX(1,ROUNDUP(A74/$B$12,0)))</f>
        <v/>
      </c>
      <c r="F74" s="12">
        <f>IF($C74&lt;=0,0,($C74-$D74)/$C74)</f>
        <v/>
      </c>
      <c r="G74" s="12">
        <f>$F74+(1-$F74)*$B$22</f>
        <v/>
      </c>
      <c r="H74" s="13" t="n">
        <v>0</v>
      </c>
      <c r="I74" s="14">
        <f>$I73*$G73*(1-$H73)</f>
        <v/>
      </c>
      <c r="J74" s="14">
        <f>$I74*$G74*$H74</f>
        <v/>
      </c>
      <c r="K74" s="14">
        <f>$I74*(1-$F74)*(1-$B$22)</f>
        <v/>
      </c>
      <c r="L74" s="15">
        <f>$I74*(1-$F74)*$B$22</f>
        <v/>
      </c>
    </row>
    <row r="75">
      <c r="A75" s="7" t="n">
        <v>48</v>
      </c>
      <c r="B75" s="11">
        <f>IF(A75=1,"Safe (Start)",IF(OR(A75=$B$10,A75=$B$11),"Milestone",IF(AND($B$9&gt;0,MOD(A75,$B$9)=0),"Safe","Standard")))</f>
        <v/>
      </c>
      <c r="C75" s="9">
        <f>$B$7</f>
        <v/>
      </c>
      <c r="D75" s="11">
        <f>IF($B75="Standard",$B$8,0)</f>
        <v/>
      </c>
      <c r="E75" s="11">
        <f>MIN(6,MAX(1,ROUNDUP(A75/$B$12,0)))</f>
        <v/>
      </c>
      <c r="F75" s="12">
        <f>IF($C75&lt;=0,0,($C75-$D75)/$C75)</f>
        <v/>
      </c>
      <c r="G75" s="12">
        <f>$F75+(1-$F75)*$B$22</f>
        <v/>
      </c>
      <c r="H75" s="13" t="n">
        <v>0</v>
      </c>
      <c r="I75" s="14">
        <f>$I74*$G74*(1-$H74)</f>
        <v/>
      </c>
      <c r="J75" s="14">
        <f>$I75*$G75*$H75</f>
        <v/>
      </c>
      <c r="K75" s="14">
        <f>$I75*(1-$F75)*(1-$B$22)</f>
        <v/>
      </c>
      <c r="L75" s="15">
        <f>$I75*(1-$F75)*$B$22</f>
        <v/>
      </c>
    </row>
    <row r="76">
      <c r="A76" s="7" t="n">
        <v>49</v>
      </c>
      <c r="B76" s="11">
        <f>IF(A76=1,"Safe (Start)",IF(OR(A76=$B$10,A76=$B$11),"Milestone",IF(AND($B$9&gt;0,MOD(A76,$B$9)=0),"Safe","Standard")))</f>
        <v/>
      </c>
      <c r="C76" s="9">
        <f>$B$7</f>
        <v/>
      </c>
      <c r="D76" s="11">
        <f>IF($B76="Standard",$B$8,0)</f>
        <v/>
      </c>
      <c r="E76" s="11">
        <f>MIN(6,MAX(1,ROUNDUP(A76/$B$12,0)))</f>
        <v/>
      </c>
      <c r="F76" s="12">
        <f>IF($C76&lt;=0,0,($C76-$D76)/$C76)</f>
        <v/>
      </c>
      <c r="G76" s="12">
        <f>$F76+(1-$F76)*$B$22</f>
        <v/>
      </c>
      <c r="H76" s="13" t="n">
        <v>0</v>
      </c>
      <c r="I76" s="14">
        <f>$I75*$G75*(1-$H75)</f>
        <v/>
      </c>
      <c r="J76" s="14">
        <f>$I76*$G76*$H76</f>
        <v/>
      </c>
      <c r="K76" s="14">
        <f>$I76*(1-$F76)*(1-$B$22)</f>
        <v/>
      </c>
      <c r="L76" s="15">
        <f>$I76*(1-$F76)*$B$22</f>
        <v/>
      </c>
    </row>
    <row r="77">
      <c r="A77" s="7" t="n">
        <v>50</v>
      </c>
      <c r="B77" s="11">
        <f>IF(A77=1,"Safe (Start)",IF(OR(A77=$B$10,A77=$B$11),"Milestone",IF(AND($B$9&gt;0,MOD(A77,$B$9)=0),"Safe","Standard")))</f>
        <v/>
      </c>
      <c r="C77" s="9">
        <f>$B$7</f>
        <v/>
      </c>
      <c r="D77" s="11">
        <f>IF($B77="Standard",$B$8,0)</f>
        <v/>
      </c>
      <c r="E77" s="11">
        <f>MIN(6,MAX(1,ROUNDUP(A77/$B$12,0)))</f>
        <v/>
      </c>
      <c r="F77" s="12">
        <f>IF($C77&lt;=0,0,($C77-$D77)/$C77)</f>
        <v/>
      </c>
      <c r="G77" s="12">
        <f>$F77+(1-$F77)*$B$22</f>
        <v/>
      </c>
      <c r="H77" s="13" t="n">
        <v>0</v>
      </c>
      <c r="I77" s="14">
        <f>$I76*$G76*(1-$H76)</f>
        <v/>
      </c>
      <c r="J77" s="14">
        <f>$I77*$G77*$H77</f>
        <v/>
      </c>
      <c r="K77" s="14">
        <f>$I77*(1-$F77)*(1-$B$22)</f>
        <v/>
      </c>
      <c r="L77" s="15">
        <f>$I77*(1-$F77)*$B$22</f>
        <v/>
      </c>
    </row>
    <row r="78">
      <c r="A78" s="7" t="n">
        <v>51</v>
      </c>
      <c r="B78" s="11">
        <f>IF(A78=1,"Safe (Start)",IF(OR(A78=$B$10,A78=$B$11),"Milestone",IF(AND($B$9&gt;0,MOD(A78,$B$9)=0),"Safe","Standard")))</f>
        <v/>
      </c>
      <c r="C78" s="9">
        <f>$B$7</f>
        <v/>
      </c>
      <c r="D78" s="11">
        <f>IF($B78="Standard",$B$8,0)</f>
        <v/>
      </c>
      <c r="E78" s="11">
        <f>MIN(6,MAX(1,ROUNDUP(A78/$B$12,0)))</f>
        <v/>
      </c>
      <c r="F78" s="12">
        <f>IF($C78&lt;=0,0,($C78-$D78)/$C78)</f>
        <v/>
      </c>
      <c r="G78" s="12">
        <f>$F78+(1-$F78)*$B$22</f>
        <v/>
      </c>
      <c r="H78" s="13" t="n">
        <v>0</v>
      </c>
      <c r="I78" s="14">
        <f>$I77*$G77*(1-$H77)</f>
        <v/>
      </c>
      <c r="J78" s="14">
        <f>$I78*$G78*$H78</f>
        <v/>
      </c>
      <c r="K78" s="14">
        <f>$I78*(1-$F78)*(1-$B$22)</f>
        <v/>
      </c>
      <c r="L78" s="15">
        <f>$I78*(1-$F78)*$B$22</f>
        <v/>
      </c>
    </row>
    <row r="79">
      <c r="A79" s="7" t="n">
        <v>52</v>
      </c>
      <c r="B79" s="11">
        <f>IF(A79=1,"Safe (Start)",IF(OR(A79=$B$10,A79=$B$11),"Milestone",IF(AND($B$9&gt;0,MOD(A79,$B$9)=0),"Safe","Standard")))</f>
        <v/>
      </c>
      <c r="C79" s="9">
        <f>$B$7</f>
        <v/>
      </c>
      <c r="D79" s="11">
        <f>IF($B79="Standard",$B$8,0)</f>
        <v/>
      </c>
      <c r="E79" s="11">
        <f>MIN(6,MAX(1,ROUNDUP(A79/$B$12,0)))</f>
        <v/>
      </c>
      <c r="F79" s="12">
        <f>IF($C79&lt;=0,0,($C79-$D79)/$C79)</f>
        <v/>
      </c>
      <c r="G79" s="12">
        <f>$F79+(1-$F79)*$B$22</f>
        <v/>
      </c>
      <c r="H79" s="13" t="n">
        <v>0</v>
      </c>
      <c r="I79" s="14">
        <f>$I78*$G78*(1-$H78)</f>
        <v/>
      </c>
      <c r="J79" s="14">
        <f>$I79*$G79*$H79</f>
        <v/>
      </c>
      <c r="K79" s="14">
        <f>$I79*(1-$F79)*(1-$B$22)</f>
        <v/>
      </c>
      <c r="L79" s="15">
        <f>$I79*(1-$F79)*$B$22</f>
        <v/>
      </c>
    </row>
    <row r="80">
      <c r="A80" s="7" t="n">
        <v>53</v>
      </c>
      <c r="B80" s="11">
        <f>IF(A80=1,"Safe (Start)",IF(OR(A80=$B$10,A80=$B$11),"Milestone",IF(AND($B$9&gt;0,MOD(A80,$B$9)=0),"Safe","Standard")))</f>
        <v/>
      </c>
      <c r="C80" s="9">
        <f>$B$7</f>
        <v/>
      </c>
      <c r="D80" s="11">
        <f>IF($B80="Standard",$B$8,0)</f>
        <v/>
      </c>
      <c r="E80" s="11">
        <f>MIN(6,MAX(1,ROUNDUP(A80/$B$12,0)))</f>
        <v/>
      </c>
      <c r="F80" s="12">
        <f>IF($C80&lt;=0,0,($C80-$D80)/$C80)</f>
        <v/>
      </c>
      <c r="G80" s="12">
        <f>$F80+(1-$F80)*$B$22</f>
        <v/>
      </c>
      <c r="H80" s="13" t="n">
        <v>0</v>
      </c>
      <c r="I80" s="14">
        <f>$I79*$G79*(1-$H79)</f>
        <v/>
      </c>
      <c r="J80" s="14">
        <f>$I80*$G80*$H80</f>
        <v/>
      </c>
      <c r="K80" s="14">
        <f>$I80*(1-$F80)*(1-$B$22)</f>
        <v/>
      </c>
      <c r="L80" s="15">
        <f>$I80*(1-$F80)*$B$22</f>
        <v/>
      </c>
    </row>
    <row r="81">
      <c r="A81" s="7" t="n">
        <v>54</v>
      </c>
      <c r="B81" s="11">
        <f>IF(A81=1,"Safe (Start)",IF(OR(A81=$B$10,A81=$B$11),"Milestone",IF(AND($B$9&gt;0,MOD(A81,$B$9)=0),"Safe","Standard")))</f>
        <v/>
      </c>
      <c r="C81" s="9">
        <f>$B$7</f>
        <v/>
      </c>
      <c r="D81" s="11">
        <f>IF($B81="Standard",$B$8,0)</f>
        <v/>
      </c>
      <c r="E81" s="11">
        <f>MIN(6,MAX(1,ROUNDUP(A81/$B$12,0)))</f>
        <v/>
      </c>
      <c r="F81" s="12">
        <f>IF($C81&lt;=0,0,($C81-$D81)/$C81)</f>
        <v/>
      </c>
      <c r="G81" s="12">
        <f>$F81+(1-$F81)*$B$22</f>
        <v/>
      </c>
      <c r="H81" s="13" t="n">
        <v>0</v>
      </c>
      <c r="I81" s="14">
        <f>$I80*$G80*(1-$H80)</f>
        <v/>
      </c>
      <c r="J81" s="14">
        <f>$I81*$G81*$H81</f>
        <v/>
      </c>
      <c r="K81" s="14">
        <f>$I81*(1-$F81)*(1-$B$22)</f>
        <v/>
      </c>
      <c r="L81" s="15">
        <f>$I81*(1-$F81)*$B$22</f>
        <v/>
      </c>
    </row>
    <row r="82">
      <c r="A82" s="7" t="n">
        <v>55</v>
      </c>
      <c r="B82" s="11">
        <f>IF(A82=1,"Safe (Start)",IF(OR(A82=$B$10,A82=$B$11),"Milestone",IF(AND($B$9&gt;0,MOD(A82,$B$9)=0),"Safe","Standard")))</f>
        <v/>
      </c>
      <c r="C82" s="9">
        <f>$B$7</f>
        <v/>
      </c>
      <c r="D82" s="11">
        <f>IF($B82="Standard",$B$8,0)</f>
        <v/>
      </c>
      <c r="E82" s="11">
        <f>MIN(6,MAX(1,ROUNDUP(A82/$B$12,0)))</f>
        <v/>
      </c>
      <c r="F82" s="12">
        <f>IF($C82&lt;=0,0,($C82-$D82)/$C82)</f>
        <v/>
      </c>
      <c r="G82" s="12">
        <f>$F82+(1-$F82)*$B$22</f>
        <v/>
      </c>
      <c r="H82" s="13" t="n">
        <v>0</v>
      </c>
      <c r="I82" s="14">
        <f>$I81*$G81*(1-$H81)</f>
        <v/>
      </c>
      <c r="J82" s="14">
        <f>$I82*$G82*$H82</f>
        <v/>
      </c>
      <c r="K82" s="14">
        <f>$I82*(1-$F82)*(1-$B$22)</f>
        <v/>
      </c>
      <c r="L82" s="15">
        <f>$I82*(1-$F82)*$B$22</f>
        <v/>
      </c>
    </row>
    <row r="83">
      <c r="A83" s="7" t="n">
        <v>56</v>
      </c>
      <c r="B83" s="11">
        <f>IF(A83=1,"Safe (Start)",IF(OR(A83=$B$10,A83=$B$11),"Milestone",IF(AND($B$9&gt;0,MOD(A83,$B$9)=0),"Safe","Standard")))</f>
        <v/>
      </c>
      <c r="C83" s="9">
        <f>$B$7</f>
        <v/>
      </c>
      <c r="D83" s="11">
        <f>IF($B83="Standard",$B$8,0)</f>
        <v/>
      </c>
      <c r="E83" s="11">
        <f>MIN(6,MAX(1,ROUNDUP(A83/$B$12,0)))</f>
        <v/>
      </c>
      <c r="F83" s="12">
        <f>IF($C83&lt;=0,0,($C83-$D83)/$C83)</f>
        <v/>
      </c>
      <c r="G83" s="12">
        <f>$F83+(1-$F83)*$B$22</f>
        <v/>
      </c>
      <c r="H83" s="13" t="n">
        <v>0</v>
      </c>
      <c r="I83" s="14">
        <f>$I82*$G82*(1-$H82)</f>
        <v/>
      </c>
      <c r="J83" s="14">
        <f>$I83*$G83*$H83</f>
        <v/>
      </c>
      <c r="K83" s="14">
        <f>$I83*(1-$F83)*(1-$B$22)</f>
        <v/>
      </c>
      <c r="L83" s="15">
        <f>$I83*(1-$F83)*$B$22</f>
        <v/>
      </c>
    </row>
    <row r="84">
      <c r="A84" s="7" t="n">
        <v>57</v>
      </c>
      <c r="B84" s="11">
        <f>IF(A84=1,"Safe (Start)",IF(OR(A84=$B$10,A84=$B$11),"Milestone",IF(AND($B$9&gt;0,MOD(A84,$B$9)=0),"Safe","Standard")))</f>
        <v/>
      </c>
      <c r="C84" s="9">
        <f>$B$7</f>
        <v/>
      </c>
      <c r="D84" s="11">
        <f>IF($B84="Standard",$B$8,0)</f>
        <v/>
      </c>
      <c r="E84" s="11">
        <f>MIN(6,MAX(1,ROUNDUP(A84/$B$12,0)))</f>
        <v/>
      </c>
      <c r="F84" s="12">
        <f>IF($C84&lt;=0,0,($C84-$D84)/$C84)</f>
        <v/>
      </c>
      <c r="G84" s="12">
        <f>$F84+(1-$F84)*$B$22</f>
        <v/>
      </c>
      <c r="H84" s="13" t="n">
        <v>0</v>
      </c>
      <c r="I84" s="14">
        <f>$I83*$G83*(1-$H83)</f>
        <v/>
      </c>
      <c r="J84" s="14">
        <f>$I84*$G84*$H84</f>
        <v/>
      </c>
      <c r="K84" s="14">
        <f>$I84*(1-$F84)*(1-$B$22)</f>
        <v/>
      </c>
      <c r="L84" s="15">
        <f>$I84*(1-$F84)*$B$22</f>
        <v/>
      </c>
    </row>
    <row r="85">
      <c r="A85" s="7" t="n">
        <v>58</v>
      </c>
      <c r="B85" s="11">
        <f>IF(A85=1,"Safe (Start)",IF(OR(A85=$B$10,A85=$B$11),"Milestone",IF(AND($B$9&gt;0,MOD(A85,$B$9)=0),"Safe","Standard")))</f>
        <v/>
      </c>
      <c r="C85" s="9">
        <f>$B$7</f>
        <v/>
      </c>
      <c r="D85" s="11">
        <f>IF($B85="Standard",$B$8,0)</f>
        <v/>
      </c>
      <c r="E85" s="11">
        <f>MIN(6,MAX(1,ROUNDUP(A85/$B$12,0)))</f>
        <v/>
      </c>
      <c r="F85" s="12">
        <f>IF($C85&lt;=0,0,($C85-$D85)/$C85)</f>
        <v/>
      </c>
      <c r="G85" s="12">
        <f>$F85+(1-$F85)*$B$22</f>
        <v/>
      </c>
      <c r="H85" s="13" t="n">
        <v>0</v>
      </c>
      <c r="I85" s="14">
        <f>$I84*$G84*(1-$H84)</f>
        <v/>
      </c>
      <c r="J85" s="14">
        <f>$I85*$G85*$H85</f>
        <v/>
      </c>
      <c r="K85" s="14">
        <f>$I85*(1-$F85)*(1-$B$22)</f>
        <v/>
      </c>
      <c r="L85" s="15">
        <f>$I85*(1-$F85)*$B$22</f>
        <v/>
      </c>
    </row>
    <row r="86">
      <c r="A86" s="7" t="n">
        <v>59</v>
      </c>
      <c r="B86" s="11">
        <f>IF(A86=1,"Safe (Start)",IF(OR(A86=$B$10,A86=$B$11),"Milestone",IF(AND($B$9&gt;0,MOD(A86,$B$9)=0),"Safe","Standard")))</f>
        <v/>
      </c>
      <c r="C86" s="9">
        <f>$B$7</f>
        <v/>
      </c>
      <c r="D86" s="11">
        <f>IF($B86="Standard",$B$8,0)</f>
        <v/>
      </c>
      <c r="E86" s="11">
        <f>MIN(6,MAX(1,ROUNDUP(A86/$B$12,0)))</f>
        <v/>
      </c>
      <c r="F86" s="12">
        <f>IF($C86&lt;=0,0,($C86-$D86)/$C86)</f>
        <v/>
      </c>
      <c r="G86" s="12">
        <f>$F86+(1-$F86)*$B$22</f>
        <v/>
      </c>
      <c r="H86" s="13" t="n">
        <v>0</v>
      </c>
      <c r="I86" s="14">
        <f>$I85*$G85*(1-$H85)</f>
        <v/>
      </c>
      <c r="J86" s="14">
        <f>$I86*$G86*$H86</f>
        <v/>
      </c>
      <c r="K86" s="14">
        <f>$I86*(1-$F86)*(1-$B$22)</f>
        <v/>
      </c>
      <c r="L86" s="15">
        <f>$I86*(1-$F86)*$B$22</f>
        <v/>
      </c>
    </row>
    <row r="87">
      <c r="A87" s="7" t="n">
        <v>60</v>
      </c>
      <c r="B87" s="11">
        <f>IF(A87=1,"Safe (Start)",IF(OR(A87=$B$10,A87=$B$11),"Milestone",IF(AND($B$9&gt;0,MOD(A87,$B$9)=0),"Safe","Standard")))</f>
        <v/>
      </c>
      <c r="C87" s="9">
        <f>$B$7</f>
        <v/>
      </c>
      <c r="D87" s="11">
        <f>IF($B87="Standard",$B$8,0)</f>
        <v/>
      </c>
      <c r="E87" s="11">
        <f>MIN(6,MAX(1,ROUNDUP(A87/$B$12,0)))</f>
        <v/>
      </c>
      <c r="F87" s="12">
        <f>IF($C87&lt;=0,0,($C87-$D87)/$C87)</f>
        <v/>
      </c>
      <c r="G87" s="12">
        <f>$F87+(1-$F87)*$B$22</f>
        <v/>
      </c>
      <c r="H87" s="13" t="n">
        <v>0</v>
      </c>
      <c r="I87" s="14">
        <f>$I86*$G86*(1-$H86)</f>
        <v/>
      </c>
      <c r="J87" s="14">
        <f>$I87*$G87*$H87</f>
        <v/>
      </c>
      <c r="K87" s="14">
        <f>$I87*(1-$F87)*(1-$B$22)</f>
        <v/>
      </c>
      <c r="L87" s="15">
        <f>$I87*(1-$F87)*$B$22</f>
        <v/>
      </c>
    </row>
    <row r="89">
      <c r="A89" s="3" t="inlineStr">
        <is>
          <t>RUN EXPECTATION (derived — the numbers that make the design legible)</t>
        </is>
      </c>
      <c r="B89" s="4" t="n"/>
      <c r="C89" s="4" t="n"/>
      <c r="D89" s="4" t="n"/>
    </row>
    <row r="90">
      <c r="A90" s="5" t="inlineStr">
        <is>
          <t>Metric</t>
        </is>
      </c>
      <c r="B90" s="5" t="inlineStr">
        <is>
          <t>Value</t>
        </is>
      </c>
      <c r="C90" s="5" t="inlineStr">
        <is>
          <t>Formula reads</t>
        </is>
      </c>
      <c r="D90" s="5" t="inlineStr">
        <is>
          <t>Why it matters</t>
        </is>
      </c>
    </row>
    <row r="91">
      <c r="A91" s="16" t="inlineStr">
        <is>
          <t>Standard stages in the run</t>
        </is>
      </c>
      <c r="B91" s="15">
        <f>COUNTIF($B28:$B87,"Standard")</f>
        <v/>
      </c>
      <c r="C91" s="8" t="inlineStr">
        <is>
          <t>STAGE CONFIG</t>
        </is>
      </c>
      <c r="D91" s="2" t="inlineStr">
        <is>
          <t>Each is a 1-in-4 chance of losing everything banked so far.</t>
        </is>
      </c>
    </row>
    <row r="92">
      <c r="A92" s="16" t="inlineStr">
        <is>
          <t>P(reach Major Milestone)</t>
        </is>
      </c>
      <c r="B92" s="15">
        <f>IFERROR(INDEX($I28:$I87,MATCH($B$10,$A28:$A87,0)),0)</f>
        <v/>
      </c>
      <c r="C92" s="8" t="inlineStr">
        <is>
          <t>Reach p at stage 30</t>
        </is>
      </c>
      <c r="D92" s="2" t="inlineStr">
        <is>
          <t>The first genuinely aspirational target.</t>
        </is>
      </c>
    </row>
    <row r="93">
      <c r="A93" s="16" t="inlineStr">
        <is>
          <t>P(reach Final Stage)</t>
        </is>
      </c>
      <c r="B93" s="15">
        <f>IFERROR(INDEX($I28:$I87,MATCH($B$11,$A28:$A87,0)),0)</f>
        <v/>
      </c>
      <c r="C93" s="8" t="inlineStr">
        <is>
          <t>Reach p at stage 60</t>
        </is>
      </c>
      <c r="D93" s="2" t="inlineStr">
        <is>
          <t>Unaided this is ~0.0001% — deep runs are advertising, not income.</t>
        </is>
      </c>
    </row>
    <row r="94">
      <c r="A94" s="16" t="inlineStr">
        <is>
          <t>P(run pays ANYTHING)</t>
        </is>
      </c>
      <c r="B94" s="15">
        <f>SUM($J28:$J87)+IFERROR(INDEX($I28:$I87,MATCH($B$11,$A28:$A87,0)),0)</f>
        <v/>
      </c>
      <c r="C94" s="8" t="inlineStr">
        <is>
          <t>cash-outs + completion</t>
        </is>
      </c>
      <c r="D94" s="2" t="inlineStr">
        <is>
          <t>THE diagnostic. With no cash-out and no continues this is ~0: rewards are lost on a Pig.</t>
        </is>
      </c>
    </row>
    <row r="95">
      <c r="A95" s="16" t="inlineStr">
        <is>
          <t>P(run pays NOTHING)</t>
        </is>
      </c>
      <c r="B95" s="15">
        <f>SUM($K28:$K87)</f>
        <v/>
      </c>
      <c r="C95" s="8" t="inlineStr">
        <is>
          <t>sum of lose-it-all</t>
        </is>
      </c>
      <c r="D95" s="2" t="inlineStr">
        <is>
          <t>Complement of the above. Should alarm you if it is near 1.</t>
        </is>
      </c>
    </row>
    <row r="96">
      <c r="A96" s="16" t="inlineStr">
        <is>
          <t>Expected stages reached</t>
        </is>
      </c>
      <c r="B96" s="15">
        <f>SUM($I28:$I87)</f>
        <v/>
      </c>
      <c r="C96" s="8" t="inlineStr">
        <is>
          <t>sum of Reach p</t>
        </is>
      </c>
      <c r="D96" s="2" t="inlineStr">
        <is>
          <t>How deep a typical run actually goes.</t>
        </is>
      </c>
    </row>
    <row r="97">
      <c r="A97" s="16" t="inlineStr">
        <is>
          <t>Expected continues per run</t>
        </is>
      </c>
      <c r="B97" s="15">
        <f>SUM($L28:$L87)</f>
        <v/>
      </c>
      <c r="C97" s="8" t="inlineStr">
        <is>
          <t>sum of E[continues]</t>
        </is>
      </c>
      <c r="D97" s="2" t="inlineStr">
        <is>
          <t>Multiply by the cost ladder below for the COIN SINK this feature creates.</t>
        </is>
      </c>
    </row>
    <row r="99">
      <c r="A99" s="3" t="inlineStr">
        <is>
          <t>STANDARD STAGE REWARDS BY TIER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2" t="inlineStr">
        <is>
          <t>Expected payout of ONE reward door at this tier. Deck p6: values rise with tier; p7/p25: no reward type is restricted to any tier. All 0 until authored — a zero here is "not set yet".</t>
        </is>
      </c>
    </row>
    <row r="101">
      <c r="A101" s="5" t="inlineStr">
        <is>
          <t>Tier</t>
        </is>
      </c>
      <c r="B101" s="5" t="inlineStr">
        <is>
          <t>Stage From</t>
        </is>
      </c>
      <c r="C101" s="5" t="inlineStr">
        <is>
          <t>Stage To</t>
        </is>
      </c>
      <c r="D101" s="5" t="inlineStr">
        <is>
          <t>Coins</t>
        </is>
      </c>
      <c r="E101" s="5" t="inlineStr">
        <is>
          <t>SPT</t>
        </is>
      </c>
      <c r="F101" s="5" t="inlineStr">
        <is>
          <t>SPT x2</t>
        </is>
      </c>
      <c r="G101" s="5" t="inlineStr">
        <is>
          <t>Red</t>
        </is>
      </c>
      <c r="H101" s="5" t="inlineStr">
        <is>
          <t>Chuck</t>
        </is>
      </c>
      <c r="I101" s="5" t="inlineStr">
        <is>
          <t>Bomb</t>
        </is>
      </c>
      <c r="J101" s="5" t="inlineStr">
        <is>
          <t>Slingshot</t>
        </is>
      </c>
      <c r="K101" s="5" t="inlineStr">
        <is>
          <t>Shuffle</t>
        </is>
      </c>
      <c r="L101" s="5" t="inlineStr">
        <is>
          <t>Comet</t>
        </is>
      </c>
      <c r="M101" s="5" t="inlineStr">
        <is>
          <t>Unlimited Lives</t>
        </is>
      </c>
      <c r="N101" s="5" t="inlineStr">
        <is>
          <t>Unlimited Red</t>
        </is>
      </c>
      <c r="O101" s="5" t="inlineStr">
        <is>
          <t>Unlimited Chuck</t>
        </is>
      </c>
      <c r="P101" s="5" t="inlineStr">
        <is>
          <t>Unlimited Bomb</t>
        </is>
      </c>
      <c r="Q101" s="5" t="inlineStr">
        <is>
          <t>COOP Token</t>
        </is>
      </c>
      <c r="R101" s="5" t="inlineStr">
        <is>
          <t>Avatar</t>
        </is>
      </c>
      <c r="S101" s="5" t="inlineStr">
        <is>
          <t>1-star Dly</t>
        </is>
      </c>
      <c r="T101" s="5" t="inlineStr">
        <is>
          <t>2-star Dly</t>
        </is>
      </c>
      <c r="U101" s="5" t="inlineStr">
        <is>
          <t>3-star Dly</t>
        </is>
      </c>
      <c r="V101" s="5" t="inlineStr">
        <is>
          <t>4-star Dly</t>
        </is>
      </c>
      <c r="W101" s="5" t="inlineStr">
        <is>
          <t>5-star Dly</t>
        </is>
      </c>
      <c r="X101" s="5" t="inlineStr">
        <is>
          <t>6-star Dly</t>
        </is>
      </c>
    </row>
    <row r="102">
      <c r="A102" s="7" t="n">
        <v>1</v>
      </c>
      <c r="B102" s="7" t="n">
        <v>1</v>
      </c>
      <c r="C102" s="7" t="n">
        <v>10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</row>
    <row r="103">
      <c r="A103" s="7" t="n">
        <v>2</v>
      </c>
      <c r="B103" s="7" t="n">
        <v>11</v>
      </c>
      <c r="C103" s="7" t="n">
        <v>20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</row>
    <row r="104">
      <c r="A104" s="7" t="n">
        <v>3</v>
      </c>
      <c r="B104" s="7" t="n">
        <v>21</v>
      </c>
      <c r="C104" s="7" t="n">
        <v>30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</row>
    <row r="105">
      <c r="A105" s="7" t="n">
        <v>4</v>
      </c>
      <c r="B105" s="7" t="n">
        <v>31</v>
      </c>
      <c r="C105" s="7" t="n">
        <v>40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</row>
    <row r="106">
      <c r="A106" s="7" t="n">
        <v>5</v>
      </c>
      <c r="B106" s="7" t="n">
        <v>41</v>
      </c>
      <c r="C106" s="7" t="n">
        <v>50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</row>
    <row r="107">
      <c r="A107" s="7" t="n">
        <v>6</v>
      </c>
      <c r="B107" s="7" t="n">
        <v>51</v>
      </c>
      <c r="C107" s="7" t="n">
        <v>60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</row>
    <row r="109">
      <c r="A109" s="3" t="inlineStr">
        <is>
          <t>SAFE STAGE REWARDS BY TIER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2" t="inlineStr">
        <is>
          <t>Safe stages carry no Pig and pay "typically more valuable" rewards than standard stages (deck p6). Separate block because the uplift is a design choice, not a multiplier we can derive.</t>
        </is>
      </c>
    </row>
    <row r="111">
      <c r="A111" s="5" t="inlineStr">
        <is>
          <t>Tier</t>
        </is>
      </c>
      <c r="B111" s="5" t="inlineStr">
        <is>
          <t>Stage From</t>
        </is>
      </c>
      <c r="C111" s="5" t="inlineStr">
        <is>
          <t>Stage To</t>
        </is>
      </c>
      <c r="D111" s="5" t="inlineStr">
        <is>
          <t>Coins</t>
        </is>
      </c>
      <c r="E111" s="5" t="inlineStr">
        <is>
          <t>SPT</t>
        </is>
      </c>
      <c r="F111" s="5" t="inlineStr">
        <is>
          <t>SPT x2</t>
        </is>
      </c>
      <c r="G111" s="5" t="inlineStr">
        <is>
          <t>Red</t>
        </is>
      </c>
      <c r="H111" s="5" t="inlineStr">
        <is>
          <t>Chuck</t>
        </is>
      </c>
      <c r="I111" s="5" t="inlineStr">
        <is>
          <t>Bomb</t>
        </is>
      </c>
      <c r="J111" s="5" t="inlineStr">
        <is>
          <t>Slingshot</t>
        </is>
      </c>
      <c r="K111" s="5" t="inlineStr">
        <is>
          <t>Shuffle</t>
        </is>
      </c>
      <c r="L111" s="5" t="inlineStr">
        <is>
          <t>Comet</t>
        </is>
      </c>
      <c r="M111" s="5" t="inlineStr">
        <is>
          <t>Unlimited Lives</t>
        </is>
      </c>
      <c r="N111" s="5" t="inlineStr">
        <is>
          <t>Unlimited Red</t>
        </is>
      </c>
      <c r="O111" s="5" t="inlineStr">
        <is>
          <t>Unlimited Chuck</t>
        </is>
      </c>
      <c r="P111" s="5" t="inlineStr">
        <is>
          <t>Unlimited Bomb</t>
        </is>
      </c>
      <c r="Q111" s="5" t="inlineStr">
        <is>
          <t>COOP Token</t>
        </is>
      </c>
      <c r="R111" s="5" t="inlineStr">
        <is>
          <t>Avatar</t>
        </is>
      </c>
      <c r="S111" s="5" t="inlineStr">
        <is>
          <t>1-star Dly</t>
        </is>
      </c>
      <c r="T111" s="5" t="inlineStr">
        <is>
          <t>2-star Dly</t>
        </is>
      </c>
      <c r="U111" s="5" t="inlineStr">
        <is>
          <t>3-star Dly</t>
        </is>
      </c>
      <c r="V111" s="5" t="inlineStr">
        <is>
          <t>4-star Dly</t>
        </is>
      </c>
      <c r="W111" s="5" t="inlineStr">
        <is>
          <t>5-star Dly</t>
        </is>
      </c>
      <c r="X111" s="5" t="inlineStr">
        <is>
          <t>6-star Dly</t>
        </is>
      </c>
    </row>
    <row r="112">
      <c r="A112" s="7" t="n">
        <v>1</v>
      </c>
      <c r="B112" s="7" t="n">
        <v>1</v>
      </c>
      <c r="C112" s="7" t="n">
        <v>10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</row>
    <row r="113">
      <c r="A113" s="7" t="n">
        <v>2</v>
      </c>
      <c r="B113" s="7" t="n">
        <v>11</v>
      </c>
      <c r="C113" s="7" t="n">
        <v>20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</row>
    <row r="114">
      <c r="A114" s="7" t="n">
        <v>3</v>
      </c>
      <c r="B114" s="7" t="n">
        <v>21</v>
      </c>
      <c r="C114" s="7" t="n">
        <v>30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</row>
    <row r="115">
      <c r="A115" s="7" t="n">
        <v>4</v>
      </c>
      <c r="B115" s="7" t="n">
        <v>31</v>
      </c>
      <c r="C115" s="7" t="n">
        <v>40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</row>
    <row r="116">
      <c r="A116" s="7" t="n">
        <v>5</v>
      </c>
      <c r="B116" s="7" t="n">
        <v>41</v>
      </c>
      <c r="C116" s="7" t="n">
        <v>50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</row>
    <row r="117">
      <c r="A117" s="7" t="n">
        <v>6</v>
      </c>
      <c r="B117" s="7" t="n">
        <v>51</v>
      </c>
      <c r="C117" s="7" t="n">
        <v>60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</row>
    <row r="119">
      <c r="A119" s="3" t="inlineStr">
        <is>
          <t>MILESTONE REWARDS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>
      <c r="A120" s="2" t="inlineStr">
        <is>
          <t>The two named milestones (deck p6). These are the aspirational hooks; note from RUN EXPECTATION above how rarely they are actually reached without continues.</t>
        </is>
      </c>
    </row>
    <row r="121">
      <c r="A121" s="5" t="inlineStr">
        <is>
          <t>Stage</t>
        </is>
      </c>
      <c r="B121" s="5" t="inlineStr">
        <is>
          <t>Milestone</t>
        </is>
      </c>
      <c r="C121" s="5" t="inlineStr">
        <is>
          <t>Coins</t>
        </is>
      </c>
      <c r="D121" s="5" t="inlineStr">
        <is>
          <t>SPT</t>
        </is>
      </c>
      <c r="E121" s="5" t="inlineStr">
        <is>
          <t>SPT x2</t>
        </is>
      </c>
      <c r="F121" s="5" t="inlineStr">
        <is>
          <t>Red</t>
        </is>
      </c>
      <c r="G121" s="5" t="inlineStr">
        <is>
          <t>Chuck</t>
        </is>
      </c>
      <c r="H121" s="5" t="inlineStr">
        <is>
          <t>Bomb</t>
        </is>
      </c>
      <c r="I121" s="5" t="inlineStr">
        <is>
          <t>Slingshot</t>
        </is>
      </c>
      <c r="J121" s="5" t="inlineStr">
        <is>
          <t>Shuffle</t>
        </is>
      </c>
      <c r="K121" s="5" t="inlineStr">
        <is>
          <t>Comet</t>
        </is>
      </c>
      <c r="L121" s="5" t="inlineStr">
        <is>
          <t>Unlimited Lives</t>
        </is>
      </c>
      <c r="M121" s="5" t="inlineStr">
        <is>
          <t>Unlimited Red</t>
        </is>
      </c>
      <c r="N121" s="5" t="inlineStr">
        <is>
          <t>Unlimited Chuck</t>
        </is>
      </c>
      <c r="O121" s="5" t="inlineStr">
        <is>
          <t>Unlimited Bomb</t>
        </is>
      </c>
      <c r="P121" s="5" t="inlineStr">
        <is>
          <t>COOP Token</t>
        </is>
      </c>
      <c r="Q121" s="5" t="inlineStr">
        <is>
          <t>Avatar</t>
        </is>
      </c>
      <c r="R121" s="5" t="inlineStr">
        <is>
          <t>1-star Dly</t>
        </is>
      </c>
      <c r="S121" s="5" t="inlineStr">
        <is>
          <t>2-star Dly</t>
        </is>
      </c>
      <c r="T121" s="5" t="inlineStr">
        <is>
          <t>3-star Dly</t>
        </is>
      </c>
      <c r="U121" s="5" t="inlineStr">
        <is>
          <t>4-star Dly</t>
        </is>
      </c>
      <c r="V121" s="5" t="inlineStr">
        <is>
          <t>5-star Dly</t>
        </is>
      </c>
      <c r="W121" s="5" t="inlineStr">
        <is>
          <t>6-star Dly</t>
        </is>
      </c>
    </row>
    <row r="122">
      <c r="A122" s="7" t="n">
        <v>30</v>
      </c>
      <c r="B122" s="7" t="inlineStr">
        <is>
          <t>Major</t>
        </is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</row>
    <row r="123">
      <c r="A123" s="7" t="n">
        <v>60</v>
      </c>
      <c r="B123" s="7" t="inlineStr">
        <is>
          <t>Aspirational</t>
        </is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</row>
    <row r="125">
      <c r="A125" s="3" t="inlineStr">
        <is>
          <t>CONTINUE COST LADDER (this is a COIN SINK, not a faucet)</t>
        </is>
      </c>
      <c r="B125" s="4" t="n"/>
      <c r="C125" s="4" t="n"/>
      <c r="D125" s="4" t="n"/>
    </row>
    <row r="126">
      <c r="A126" s="2" t="inlineStr">
        <is>
          <t>Deck p8/p24: costs MUST escalate after each consecutive continue within the same run; the curve is configurable and undefined. Unlimited continues (user, 2026-09-02), so the ladder runs past any realistic depth — the last authored row repeats for continues beyond it.</t>
        </is>
      </c>
    </row>
    <row r="127">
      <c r="A127" s="5" t="inlineStr">
        <is>
          <t>Continue #</t>
        </is>
      </c>
      <c r="B127" s="5" t="inlineStr">
        <is>
          <t>Cost (Coins)</t>
        </is>
      </c>
      <c r="C127" s="5" t="inlineStr">
        <is>
          <t>Cumulative</t>
        </is>
      </c>
      <c r="D127" s="5" t="inlineStr">
        <is>
          <t>Note</t>
        </is>
      </c>
    </row>
    <row r="128">
      <c r="A128" s="7" t="n">
        <v>1</v>
      </c>
      <c r="B128" s="9" t="n">
        <v>0</v>
      </c>
      <c r="C128" s="11">
        <f>SUM($B$128:$B128)</f>
        <v/>
      </c>
      <c r="D128" s="2" t="inlineStr">
        <is>
          <t>first continue in a run</t>
        </is>
      </c>
    </row>
    <row r="129">
      <c r="A129" s="7" t="n">
        <v>2</v>
      </c>
      <c r="B129" s="9" t="n">
        <v>0</v>
      </c>
      <c r="C129" s="11">
        <f>SUM($B$128:$B129)</f>
        <v/>
      </c>
    </row>
    <row r="130">
      <c r="A130" s="7" t="n">
        <v>3</v>
      </c>
      <c r="B130" s="9" t="n">
        <v>0</v>
      </c>
      <c r="C130" s="11">
        <f>SUM($B$128:$B130)</f>
        <v/>
      </c>
    </row>
    <row r="131">
      <c r="A131" s="7" t="n">
        <v>4</v>
      </c>
      <c r="B131" s="9" t="n">
        <v>0</v>
      </c>
      <c r="C131" s="11">
        <f>SUM($B$128:$B131)</f>
        <v/>
      </c>
    </row>
    <row r="132">
      <c r="A132" s="7" t="n">
        <v>5</v>
      </c>
      <c r="B132" s="9" t="n">
        <v>0</v>
      </c>
      <c r="C132" s="11">
        <f>SUM($B$128:$B132)</f>
        <v/>
      </c>
    </row>
    <row r="133">
      <c r="A133" s="7" t="n">
        <v>6</v>
      </c>
      <c r="B133" s="9" t="n">
        <v>0</v>
      </c>
      <c r="C133" s="11">
        <f>SUM($B$128:$B133)</f>
        <v/>
      </c>
    </row>
    <row r="134">
      <c r="A134" s="7" t="n">
        <v>7</v>
      </c>
      <c r="B134" s="9" t="n">
        <v>0</v>
      </c>
      <c r="C134" s="11">
        <f>SUM($B$128:$B134)</f>
        <v/>
      </c>
    </row>
    <row r="135">
      <c r="A135" s="7" t="n">
        <v>8</v>
      </c>
      <c r="B135" s="9" t="n">
        <v>0</v>
      </c>
      <c r="C135" s="11">
        <f>SUM($B$128:$B135)</f>
        <v/>
      </c>
    </row>
    <row r="136">
      <c r="A136" s="7" t="n">
        <v>9</v>
      </c>
      <c r="B136" s="9" t="n">
        <v>0</v>
      </c>
      <c r="C136" s="11">
        <f>SUM($B$128:$B136)</f>
        <v/>
      </c>
    </row>
    <row r="137">
      <c r="A137" s="7" t="n">
        <v>10</v>
      </c>
      <c r="B137" s="9" t="n">
        <v>0</v>
      </c>
      <c r="C137" s="11">
        <f>SUM($B$128:$B137)</f>
        <v/>
      </c>
    </row>
    <row r="139">
      <c r="A139" s="3" t="inlineStr">
        <is>
          <t>REWARD POOL MAP (deck p7 -&gt; the 19-resource sim universe)</t>
        </is>
      </c>
      <c r="B139" s="4" t="n"/>
      <c r="C139" s="4" t="n"/>
    </row>
    <row r="140">
      <c r="A140" s="2" t="inlineStr">
        <is>
          <t>Why some deck rewards have no column above: they are outside the resource universe. Recorded so the omission reads as a decision, not an oversight.</t>
        </is>
      </c>
    </row>
    <row r="141">
      <c r="A141" s="5" t="inlineStr">
        <is>
          <t>Deck reward</t>
        </is>
      </c>
      <c r="B141" s="5" t="inlineStr">
        <is>
          <t>Sim resource</t>
        </is>
      </c>
      <c r="C141" s="5" t="inlineStr">
        <is>
          <t>Modelled?</t>
        </is>
      </c>
    </row>
    <row r="142">
      <c r="A142" s="7" t="inlineStr">
        <is>
          <t>Coins</t>
        </is>
      </c>
      <c r="B142" s="7" t="inlineStr">
        <is>
          <t>Coins</t>
        </is>
      </c>
      <c r="C142" s="2" t="inlineStr">
        <is>
          <t>yes</t>
        </is>
      </c>
    </row>
    <row r="143">
      <c r="A143" s="7" t="inlineStr">
        <is>
          <t>Boosters</t>
        </is>
      </c>
      <c r="B143" s="7" t="inlineStr">
        <is>
          <t>Red / Chuck / Bomb</t>
        </is>
      </c>
      <c r="C143" s="2" t="inlineStr">
        <is>
          <t>yes</t>
        </is>
      </c>
    </row>
    <row r="144">
      <c r="A144" s="7" t="inlineStr">
        <is>
          <t>Power-ups</t>
        </is>
      </c>
      <c r="B144" s="7" t="inlineStr">
        <is>
          <t>Slingshot / Shuffle / Comet</t>
        </is>
      </c>
      <c r="C144" s="2" t="inlineStr">
        <is>
          <t>yes</t>
        </is>
      </c>
    </row>
    <row r="145">
      <c r="A145" s="7" t="inlineStr">
        <is>
          <t>Unlimited Lives</t>
        </is>
      </c>
      <c r="B145" s="7" t="inlineStr">
        <is>
          <t>Unlimited Lives</t>
        </is>
      </c>
      <c r="C145" s="2" t="inlineStr">
        <is>
          <t>yes</t>
        </is>
      </c>
    </row>
    <row r="146">
      <c r="A146" s="7" t="inlineStr">
        <is>
          <t>Event Tokens</t>
        </is>
      </c>
      <c r="B146" s="7" t="inlineStr">
        <is>
          <t>SPT / SPT x2</t>
        </is>
      </c>
      <c r="C146" s="2" t="inlineStr">
        <is>
          <t>yes — feeds the Season Pass tier coupling (D16)</t>
        </is>
      </c>
    </row>
    <row r="147">
      <c r="A147" s="7" t="inlineStr">
        <is>
          <t>Dream Album Envelopes</t>
        </is>
      </c>
      <c r="B147" s="7" t="inlineStr">
        <is>
          <t>1-star Dly .. 6-star Dly</t>
        </is>
      </c>
      <c r="C147" s="2" t="inlineStr">
        <is>
          <t>yes — routes through packLane_, inherits the D26 cutoff</t>
        </is>
      </c>
    </row>
    <row r="148">
      <c r="A148" s="7" t="inlineStr">
        <is>
          <t>Avatars</t>
        </is>
      </c>
      <c r="B148" s="7" t="inlineStr">
        <is>
          <t>Avatar</t>
        </is>
      </c>
      <c r="C148" s="2" t="inlineStr">
        <is>
          <t>column exists; no economy value in the model</t>
        </is>
      </c>
    </row>
    <row r="149">
      <c r="A149" s="7" t="inlineStr">
        <is>
          <t>Album Badges</t>
        </is>
      </c>
      <c r="B149" s="7" t="inlineStr">
        <is>
          <t>—</t>
        </is>
      </c>
      <c r="C149" s="2" t="inlineStr">
        <is>
          <t>NO — no sim resource</t>
        </is>
      </c>
    </row>
    <row r="150">
      <c r="A150" s="7" t="inlineStr">
        <is>
          <t>Event Tickets</t>
        </is>
      </c>
      <c r="B150" s="7" t="inlineStr">
        <is>
          <t>—</t>
        </is>
      </c>
      <c r="C150" s="2" t="inlineStr">
        <is>
          <t>NO — tickets are this feature's own entry currency, outside the 19</t>
        </is>
      </c>
    </row>
    <row r="151">
      <c r="A151" s="7" t="inlineStr">
        <is>
          <t>Skins</t>
        </is>
      </c>
      <c r="B151" s="7" t="inlineStr">
        <is>
          <t>—</t>
        </is>
      </c>
      <c r="C151" s="2" t="inlineStr">
        <is>
          <t>NO — deck lists as FUTURE</t>
        </is>
      </c>
    </row>
    <row r="152">
      <c r="A152" s="7" t="inlineStr">
        <is>
          <t>Frames</t>
        </is>
      </c>
      <c r="B152" s="7" t="inlineStr">
        <is>
          <t>—</t>
        </is>
      </c>
      <c r="C152" s="2" t="inlineStr">
        <is>
          <t>NO — deck lists as FUTURE</t>
        </is>
      </c>
    </row>
  </sheetData>
  <conditionalFormatting sqref="A28:L87">
    <cfRule type="expression" priority="1" dxfId="0">
      <formula>$D28=0</formula>
    </cfRule>
  </conditionalFormatting>
  <conditionalFormatting sqref="D102:X107">
    <cfRule type="cellIs" priority="2" operator="greaterThan" dxfId="1">
      <formula>0</formula>
    </cfRule>
  </conditionalFormatting>
  <conditionalFormatting sqref="D112:X117">
    <cfRule type="cellIs" priority="3" operator="greaterThan" dxfId="1">
      <formula>0</formula>
    </cfRule>
  </conditionalFormatting>
  <conditionalFormatting sqref="C122:W123">
    <cfRule type="cellIs" priority="4" operator="greaterThan" dxfId="1">
      <formula>0</formula>
    </cfRule>
  </conditionalFormatting>
  <conditionalFormatting sqref="B128:B137">
    <cfRule type="cellIs" priority="5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2026-09-01T22:03:06Z</dcterms:created>
  <dcterms:modified xsi:type="dcterms:W3CDTF">2026-09-01T22:03:06Z</dcterms:modified>
</cp:coreProperties>
</file>