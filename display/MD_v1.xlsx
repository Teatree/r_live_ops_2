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%"/>
    <numFmt numFmtId="166" formatCode="0.00000%"/>
    <numFmt numFmtId="167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color rgb="FF666666"/>
      <sz val="9"/>
    </font>
    <font>
      <name val="Arial"/>
      <b val="1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CFE2F3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5" fillId="5" borderId="1" pivotButton="0" quotePrefix="0" xfId="0"/>
    <xf numFmtId="0" fontId="5" fillId="5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4" borderId="1" pivotButton="0" quotePrefix="0" xfId="0"/>
    <xf numFmtId="0" fontId="6" fillId="0" borderId="0" pivotButton="0" quotePrefix="0" xfId="0"/>
    <xf numFmtId="0" fontId="5" fillId="6" borderId="1" pivotButton="0" quotePrefix="0" xfId="0"/>
    <xf numFmtId="164" fontId="5" fillId="5" borderId="1" pivotButton="0" quotePrefix="0" xfId="0"/>
    <xf numFmtId="0" fontId="7" fillId="3" borderId="1" applyAlignment="1" pivotButton="0" quotePrefix="0" xfId="0">
      <alignment horizontal="center" vertical="center" wrapText="1"/>
    </xf>
    <xf numFmtId="164" fontId="5" fillId="6" borderId="1" pivotButton="0" quotePrefix="0" xfId="0"/>
    <xf numFmtId="165" fontId="5" fillId="6" borderId="1" pivotButton="0" quotePrefix="0" xfId="0"/>
    <xf numFmtId="166" fontId="5" fillId="6" borderId="1" pivotButton="0" quotePrefix="0" xfId="0"/>
    <xf numFmtId="2" fontId="5" fillId="6" borderId="1" pivotButton="0" quotePrefix="0" xfId="0"/>
    <xf numFmtId="167" fontId="5" fillId="6" borderId="1" pivotButton="0" quotePrefix="0" xfId="0"/>
    <xf numFmtId="1" fontId="5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FFE8F5E9"/>
        </patternFill>
      </fill>
    </dxf>
    <dxf>
      <font>
        <name val="Arial"/>
        <b val="1"/>
        <sz val="10"/>
      </font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3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MIGHTY DOORS (Tower of Fortune) — event configuration</t>
        </is>
      </c>
      <c r="AH1" s="2" t="inlineStr">
        <is>
          <t>Player Reach Simulation (per event day) - SIMULATED</t>
        </is>
      </c>
    </row>
    <row r="2">
      <c r="A2" s="3" t="inlineStr">
        <is>
          <t>Yellow = input you author. Green = derived by formula, do not type over. Blue = fixed by the design deck. Every reward VALUE ships at 0: the deck specifies structure only.</t>
        </is>
      </c>
      <c r="AH2" s="4" t="inlineStr">
        <is>
          <t>Percentile</t>
        </is>
      </c>
      <c r="AI2" s="5" t="n">
        <v>0.5</v>
      </c>
    </row>
    <row r="3">
      <c r="AH3" s="4" t="inlineStr">
        <is>
          <t>Payer</t>
        </is>
      </c>
      <c r="AI3" s="6" t="inlineStr">
        <is>
          <t>NONPAYER</t>
        </is>
      </c>
    </row>
    <row r="4">
      <c r="A4" s="7" t="inlineStr">
        <is>
          <t>RUN CONFIG</t>
        </is>
      </c>
      <c r="B4" s="8" t="n"/>
      <c r="C4" s="8" t="n"/>
      <c r="D4" s="8" t="n"/>
      <c r="AH4" s="3" t="inlineStr">
        <is>
          <t>stage reached at that percentile of the run-outcome distribution; reward = what is banked there</t>
        </is>
      </c>
    </row>
    <row r="5">
      <c r="A5" s="9" t="inlineStr">
        <is>
          <t>Parameter</t>
        </is>
      </c>
      <c r="B5" s="9" t="inlineStr">
        <is>
          <t>Value</t>
        </is>
      </c>
      <c r="C5" s="9" t="inlineStr">
        <is>
          <t>Source</t>
        </is>
      </c>
      <c r="D5" s="9" t="inlineStr">
        <is>
          <t>Note</t>
        </is>
      </c>
      <c r="AH5" s="9" t="inlineStr">
        <is>
          <t>Day_of_event</t>
        </is>
      </c>
      <c r="AI5" s="9" t="inlineStr">
        <is>
          <t>0-9_ms</t>
        </is>
      </c>
      <c r="AJ5" s="9" t="inlineStr">
        <is>
          <t>0-9_reward</t>
        </is>
      </c>
      <c r="AK5" s="9" t="inlineStr">
        <is>
          <t>10-19_ms</t>
        </is>
      </c>
      <c r="AL5" s="9" t="inlineStr">
        <is>
          <t>10-19_reward</t>
        </is>
      </c>
      <c r="AM5" s="9" t="inlineStr">
        <is>
          <t>20-39_ms</t>
        </is>
      </c>
      <c r="AN5" s="9" t="inlineStr">
        <is>
          <t>20-39_reward</t>
        </is>
      </c>
      <c r="AO5" s="9" t="inlineStr">
        <is>
          <t>40-99_ms</t>
        </is>
      </c>
      <c r="AP5" s="9" t="inlineStr">
        <is>
          <t>40-99_reward</t>
        </is>
      </c>
      <c r="AQ5" s="9" t="inlineStr">
        <is>
          <t>100_ms</t>
        </is>
      </c>
      <c r="AR5" s="9" t="inlineStr">
        <is>
          <t>100_reward</t>
        </is>
      </c>
    </row>
    <row r="6">
      <c r="A6" s="10" t="inlineStr">
        <is>
          <t>Total Stages</t>
        </is>
      </c>
      <c r="B6" s="11" t="n">
        <v>60</v>
      </c>
      <c r="C6" s="12" t="inlineStr">
        <is>
          <t>deck p5</t>
        </is>
      </c>
      <c r="D6" s="3" t="inlineStr">
        <is>
          <t>configurable; 60 default</t>
        </is>
      </c>
      <c r="AH6" s="11" t="n">
        <v>1</v>
      </c>
      <c r="AI6" s="13">
        <f>IF(AND($B$16&gt;0,$AH6&gt;$B$16),"",B$101)</f>
        <v/>
      </c>
      <c r="AJ6" s="13">
        <f>IF(AI6="","","{"&amp;TEXTJOIN(", ",TRUE,IF(B$160:B$180&gt;0,$A$160:$A$180&amp;": "&amp;B$160:B$180,""))&amp;"}")</f>
        <v/>
      </c>
      <c r="AK6" s="13">
        <f>IF(AND($B$16&gt;0,$AH6&gt;$B$16),"",C$101)</f>
        <v/>
      </c>
      <c r="AL6" s="13">
        <f>IF(AK6="","","{"&amp;TEXTJOIN(", ",TRUE,IF(C$160:C$180&gt;0,$A$160:$A$180&amp;": "&amp;C$160:C$180,""))&amp;"}")</f>
        <v/>
      </c>
      <c r="AM6" s="13">
        <f>IF(AND($B$16&gt;0,$AH6&gt;$B$16),"",D$101)</f>
        <v/>
      </c>
      <c r="AN6" s="13">
        <f>IF(AM6="","","{"&amp;TEXTJOIN(", ",TRUE,IF(D$160:D$180&gt;0,$A$160:$A$180&amp;": "&amp;D$160:D$180,""))&amp;"}")</f>
        <v/>
      </c>
      <c r="AO6" s="13">
        <f>IF(AND($B$16&gt;0,$AH6&gt;$B$16),"",E$101)</f>
        <v/>
      </c>
      <c r="AP6" s="13">
        <f>IF(AO6="","","{"&amp;TEXTJOIN(", ",TRUE,IF(E$160:E$180&gt;0,$A$160:$A$180&amp;": "&amp;E$160:E$180,""))&amp;"}")</f>
        <v/>
      </c>
      <c r="AQ6" s="13">
        <f>IF(AND($B$16&gt;0,$AH6&gt;$B$16),"",F$101)</f>
        <v/>
      </c>
      <c r="AR6" s="13">
        <f>IF(AQ6="","","{"&amp;TEXTJOIN(", ",TRUE,IF(F$160:F$180&gt;0,$A$160:$A$180&amp;": "&amp;F$160:F$180,""))&amp;"}")</f>
        <v/>
      </c>
    </row>
    <row r="7">
      <c r="A7" s="10" t="inlineStr">
        <is>
          <t>Choices per Stage (default)</t>
        </is>
      </c>
      <c r="B7" s="6" t="n">
        <v>4</v>
      </c>
      <c r="C7" s="12" t="inlineStr">
        <is>
          <t>deck p5</t>
        </is>
      </c>
      <c r="D7" s="3" t="inlineStr">
        <is>
          <t>min 2, max 4 — the primary difficulty dial</t>
        </is>
      </c>
      <c r="AH7" s="11" t="n">
        <v>2</v>
      </c>
      <c r="AI7" s="13">
        <f>IF(AND($B$16&gt;0,$AH7&gt;$B$16),"",B$101)</f>
        <v/>
      </c>
      <c r="AJ7" s="13">
        <f>IF(AI7="","","{"&amp;TEXTJOIN(", ",TRUE,IF(B$160:B$180&gt;0,$A$160:$A$180&amp;": "&amp;B$160:B$180,""))&amp;"}")</f>
        <v/>
      </c>
      <c r="AK7" s="13">
        <f>IF(AND($B$16&gt;0,$AH7&gt;$B$16),"",C$101)</f>
        <v/>
      </c>
      <c r="AL7" s="13">
        <f>IF(AK7="","","{"&amp;TEXTJOIN(", ",TRUE,IF(C$160:C$180&gt;0,$A$160:$A$180&amp;": "&amp;C$160:C$180,""))&amp;"}")</f>
        <v/>
      </c>
      <c r="AM7" s="13">
        <f>IF(AND($B$16&gt;0,$AH7&gt;$B$16),"",D$101)</f>
        <v/>
      </c>
      <c r="AN7" s="13">
        <f>IF(AM7="","","{"&amp;TEXTJOIN(", ",TRUE,IF(D$160:D$180&gt;0,$A$160:$A$180&amp;": "&amp;D$160:D$180,""))&amp;"}")</f>
        <v/>
      </c>
      <c r="AO7" s="13">
        <f>IF(AND($B$16&gt;0,$AH7&gt;$B$16),"",E$101)</f>
        <v/>
      </c>
      <c r="AP7" s="13">
        <f>IF(AO7="","","{"&amp;TEXTJOIN(", ",TRUE,IF(E$160:E$180&gt;0,$A$160:$A$180&amp;": "&amp;E$160:E$180,""))&amp;"}")</f>
        <v/>
      </c>
      <c r="AQ7" s="13">
        <f>IF(AND($B$16&gt;0,$AH7&gt;$B$16),"",F$101)</f>
        <v/>
      </c>
      <c r="AR7" s="13">
        <f>IF(AQ7="","","{"&amp;TEXTJOIN(", ",TRUE,IF(F$160:F$180&gt;0,$A$160:$A$180&amp;": "&amp;F$160:F$180,""))&amp;"}")</f>
        <v/>
      </c>
    </row>
    <row r="8">
      <c r="A8" s="10" t="inlineStr">
        <is>
          <t>Failure Outcomes per Stage</t>
        </is>
      </c>
      <c r="B8" s="11" t="n">
        <v>1</v>
      </c>
      <c r="C8" s="12" t="inlineStr">
        <is>
          <t>deck p5</t>
        </is>
      </c>
      <c r="D8" s="3" t="inlineStr">
        <is>
          <t>HARD RULE: only one Pig can ever appear per stage</t>
        </is>
      </c>
      <c r="AH8" s="11" t="n">
        <v>3</v>
      </c>
      <c r="AI8" s="13">
        <f>IF(AND($B$16&gt;0,$AH8&gt;$B$16),"",B$101)</f>
        <v/>
      </c>
      <c r="AJ8" s="13">
        <f>IF(AI8="","","{"&amp;TEXTJOIN(", ",TRUE,IF(B$160:B$180&gt;0,$A$160:$A$180&amp;": "&amp;B$160:B$180,""))&amp;"}")</f>
        <v/>
      </c>
      <c r="AK8" s="13">
        <f>IF(AND($B$16&gt;0,$AH8&gt;$B$16),"",C$101)</f>
        <v/>
      </c>
      <c r="AL8" s="13">
        <f>IF(AK8="","","{"&amp;TEXTJOIN(", ",TRUE,IF(C$160:C$180&gt;0,$A$160:$A$180&amp;": "&amp;C$160:C$180,""))&amp;"}")</f>
        <v/>
      </c>
      <c r="AM8" s="13">
        <f>IF(AND($B$16&gt;0,$AH8&gt;$B$16),"",D$101)</f>
        <v/>
      </c>
      <c r="AN8" s="13">
        <f>IF(AM8="","","{"&amp;TEXTJOIN(", ",TRUE,IF(D$160:D$180&gt;0,$A$160:$A$180&amp;": "&amp;D$160:D$180,""))&amp;"}")</f>
        <v/>
      </c>
      <c r="AO8" s="13">
        <f>IF(AND($B$16&gt;0,$AH8&gt;$B$16),"",E$101)</f>
        <v/>
      </c>
      <c r="AP8" s="13">
        <f>IF(AO8="","","{"&amp;TEXTJOIN(", ",TRUE,IF(E$160:E$180&gt;0,$A$160:$A$180&amp;": "&amp;E$160:E$180,""))&amp;"}")</f>
        <v/>
      </c>
      <c r="AQ8" s="13">
        <f>IF(AND($B$16&gt;0,$AH8&gt;$B$16),"",F$101)</f>
        <v/>
      </c>
      <c r="AR8" s="13">
        <f>IF(AQ8="","","{"&amp;TEXTJOIN(", ",TRUE,IF(F$160:F$180&gt;0,$A$160:$A$180&amp;": "&amp;F$160:F$180,""))&amp;"}")</f>
        <v/>
      </c>
    </row>
    <row r="9">
      <c r="A9" s="10" t="inlineStr">
        <is>
          <t>Safe Stage Every N Stages</t>
        </is>
      </c>
      <c r="B9" s="6" t="n">
        <v>5</v>
      </c>
      <c r="C9" s="12" t="inlineStr">
        <is>
          <t>deck p6</t>
        </is>
      </c>
      <c r="D9" s="3" t="inlineStr">
        <is>
          <t>stages 5,10,15,... carry no Pig</t>
        </is>
      </c>
      <c r="AH9" s="11" t="n">
        <v>4</v>
      </c>
      <c r="AI9" s="13">
        <f>IF(AND($B$16&gt;0,$AH9&gt;$B$16),"",B$101)</f>
        <v/>
      </c>
      <c r="AJ9" s="13">
        <f>IF(AI9="","","{"&amp;TEXTJOIN(", ",TRUE,IF(B$160:B$180&gt;0,$A$160:$A$180&amp;": "&amp;B$160:B$180,""))&amp;"}")</f>
        <v/>
      </c>
      <c r="AK9" s="13">
        <f>IF(AND($B$16&gt;0,$AH9&gt;$B$16),"",C$101)</f>
        <v/>
      </c>
      <c r="AL9" s="13">
        <f>IF(AK9="","","{"&amp;TEXTJOIN(", ",TRUE,IF(C$160:C$180&gt;0,$A$160:$A$180&amp;": "&amp;C$160:C$180,""))&amp;"}")</f>
        <v/>
      </c>
      <c r="AM9" s="13">
        <f>IF(AND($B$16&gt;0,$AH9&gt;$B$16),"",D$101)</f>
        <v/>
      </c>
      <c r="AN9" s="13">
        <f>IF(AM9="","","{"&amp;TEXTJOIN(", ",TRUE,IF(D$160:D$180&gt;0,$A$160:$A$180&amp;": "&amp;D$160:D$180,""))&amp;"}")</f>
        <v/>
      </c>
      <c r="AO9" s="13">
        <f>IF(AND($B$16&gt;0,$AH9&gt;$B$16),"",E$101)</f>
        <v/>
      </c>
      <c r="AP9" s="13">
        <f>IF(AO9="","","{"&amp;TEXTJOIN(", ",TRUE,IF(E$160:E$180&gt;0,$A$160:$A$180&amp;": "&amp;E$160:E$180,""))&amp;"}")</f>
        <v/>
      </c>
      <c r="AQ9" s="13">
        <f>IF(AND($B$16&gt;0,$AH9&gt;$B$16),"",F$101)</f>
        <v/>
      </c>
      <c r="AR9" s="13">
        <f>IF(AQ9="","","{"&amp;TEXTJOIN(", ",TRUE,IF(F$160:F$180&gt;0,$A$160:$A$180&amp;": "&amp;F$160:F$180,""))&amp;"}")</f>
        <v/>
      </c>
    </row>
    <row r="10">
      <c r="A10" s="10" t="inlineStr">
        <is>
          <t>Major Milestone Stage</t>
        </is>
      </c>
      <c r="B10" s="6" t="n">
        <v>30</v>
      </c>
      <c r="C10" s="12" t="inlineStr">
        <is>
          <t>deck p6</t>
        </is>
      </c>
      <c r="D10" s="3" t="inlineStr">
        <is>
          <t>safe, Special rewards</t>
        </is>
      </c>
      <c r="AH10" s="11" t="n">
        <v>5</v>
      </c>
      <c r="AI10" s="13">
        <f>IF(AND($B$16&gt;0,$AH10&gt;$B$16),"",B$101)</f>
        <v/>
      </c>
      <c r="AJ10" s="13">
        <f>IF(AI10="","","{"&amp;TEXTJOIN(", ",TRUE,IF(B$160:B$180&gt;0,$A$160:$A$180&amp;": "&amp;B$160:B$180,""))&amp;"}")</f>
        <v/>
      </c>
      <c r="AK10" s="13">
        <f>IF(AND($B$16&gt;0,$AH10&gt;$B$16),"",C$101)</f>
        <v/>
      </c>
      <c r="AL10" s="13">
        <f>IF(AK10="","","{"&amp;TEXTJOIN(", ",TRUE,IF(C$160:C$180&gt;0,$A$160:$A$180&amp;": "&amp;C$160:C$180,""))&amp;"}")</f>
        <v/>
      </c>
      <c r="AM10" s="13">
        <f>IF(AND($B$16&gt;0,$AH10&gt;$B$16),"",D$101)</f>
        <v/>
      </c>
      <c r="AN10" s="13">
        <f>IF(AM10="","","{"&amp;TEXTJOIN(", ",TRUE,IF(D$160:D$180&gt;0,$A$160:$A$180&amp;": "&amp;D$160:D$180,""))&amp;"}")</f>
        <v/>
      </c>
      <c r="AO10" s="13">
        <f>IF(AND($B$16&gt;0,$AH10&gt;$B$16),"",E$101)</f>
        <v/>
      </c>
      <c r="AP10" s="13">
        <f>IF(AO10="","","{"&amp;TEXTJOIN(", ",TRUE,IF(E$160:E$180&gt;0,$A$160:$A$180&amp;": "&amp;E$160:E$180,""))&amp;"}")</f>
        <v/>
      </c>
      <c r="AQ10" s="13">
        <f>IF(AND($B$16&gt;0,$AH10&gt;$B$16),"",F$101)</f>
        <v/>
      </c>
      <c r="AR10" s="13">
        <f>IF(AQ10="","","{"&amp;TEXTJOIN(", ",TRUE,IF(F$160:F$180&gt;0,$A$160:$A$180&amp;": "&amp;F$160:F$180,""))&amp;"}")</f>
        <v/>
      </c>
    </row>
    <row r="11">
      <c r="A11" s="10" t="inlineStr">
        <is>
          <t>Aspirational Milestone Stage</t>
        </is>
      </c>
      <c r="B11" s="6" t="n">
        <v>60</v>
      </c>
      <c r="C11" s="12" t="inlineStr">
        <is>
          <t>deck p6</t>
        </is>
      </c>
      <c r="D11" s="3" t="inlineStr">
        <is>
          <t>safe, Higher rewards; completing it auto-claims</t>
        </is>
      </c>
      <c r="AH11" s="11" t="n">
        <v>6</v>
      </c>
      <c r="AI11" s="13">
        <f>IF(AND($B$16&gt;0,$AH11&gt;$B$16),"",B$101)</f>
        <v/>
      </c>
      <c r="AJ11" s="13">
        <f>IF(AI11="","","{"&amp;TEXTJOIN(", ",TRUE,IF(B$160:B$180&gt;0,$A$160:$A$180&amp;": "&amp;B$160:B$180,""))&amp;"}")</f>
        <v/>
      </c>
      <c r="AK11" s="13">
        <f>IF(AND($B$16&gt;0,$AH11&gt;$B$16),"",C$101)</f>
        <v/>
      </c>
      <c r="AL11" s="13">
        <f>IF(AK11="","","{"&amp;TEXTJOIN(", ",TRUE,IF(C$160:C$180&gt;0,$A$160:$A$180&amp;": "&amp;C$160:C$180,""))&amp;"}")</f>
        <v/>
      </c>
      <c r="AM11" s="13">
        <f>IF(AND($B$16&gt;0,$AH11&gt;$B$16),"",D$101)</f>
        <v/>
      </c>
      <c r="AN11" s="13">
        <f>IF(AM11="","","{"&amp;TEXTJOIN(", ",TRUE,IF(D$160:D$180&gt;0,$A$160:$A$180&amp;": "&amp;D$160:D$180,""))&amp;"}")</f>
        <v/>
      </c>
      <c r="AO11" s="13">
        <f>IF(AND($B$16&gt;0,$AH11&gt;$B$16),"",E$101)</f>
        <v/>
      </c>
      <c r="AP11" s="13">
        <f>IF(AO11="","","{"&amp;TEXTJOIN(", ",TRUE,IF(E$160:E$180&gt;0,$A$160:$A$180&amp;": "&amp;E$160:E$180,""))&amp;"}")</f>
        <v/>
      </c>
      <c r="AQ11" s="13">
        <f>IF(AND($B$16&gt;0,$AH11&gt;$B$16),"",F$101)</f>
        <v/>
      </c>
      <c r="AR11" s="13">
        <f>IF(AQ11="","","{"&amp;TEXTJOIN(", ",TRUE,IF(F$160:F$180&gt;0,$A$160:$A$180&amp;": "&amp;F$160:F$180,""))&amp;"}")</f>
        <v/>
      </c>
    </row>
    <row r="12">
      <c r="A12" s="10" t="inlineStr">
        <is>
          <t>Reward Tier Size (stages)</t>
        </is>
      </c>
      <c r="B12" s="6" t="n">
        <v>10</v>
      </c>
      <c r="C12" s="12" t="inlineStr">
        <is>
          <t>deck p6</t>
        </is>
      </c>
      <c r="D12" s="3" t="inlineStr">
        <is>
          <t>six tiers: 1-10, 11-20, ... 51-60</t>
        </is>
      </c>
      <c r="AH12" s="11" t="n">
        <v>7</v>
      </c>
      <c r="AI12" s="13">
        <f>IF(AND($B$16&gt;0,$AH12&gt;$B$16),"",B$101)</f>
        <v/>
      </c>
      <c r="AJ12" s="13">
        <f>IF(AI12="","","{"&amp;TEXTJOIN(", ",TRUE,IF(B$160:B$180&gt;0,$A$160:$A$180&amp;": "&amp;B$160:B$180,""))&amp;"}")</f>
        <v/>
      </c>
      <c r="AK12" s="13">
        <f>IF(AND($B$16&gt;0,$AH12&gt;$B$16),"",C$101)</f>
        <v/>
      </c>
      <c r="AL12" s="13">
        <f>IF(AK12="","","{"&amp;TEXTJOIN(", ",TRUE,IF(C$160:C$180&gt;0,$A$160:$A$180&amp;": "&amp;C$160:C$180,""))&amp;"}")</f>
        <v/>
      </c>
      <c r="AM12" s="13">
        <f>IF(AND($B$16&gt;0,$AH12&gt;$B$16),"",D$101)</f>
        <v/>
      </c>
      <c r="AN12" s="13">
        <f>IF(AM12="","","{"&amp;TEXTJOIN(", ",TRUE,IF(D$160:D$180&gt;0,$A$160:$A$180&amp;": "&amp;D$160:D$180,""))&amp;"}")</f>
        <v/>
      </c>
      <c r="AO12" s="13">
        <f>IF(AND($B$16&gt;0,$AH12&gt;$B$16),"",E$101)</f>
        <v/>
      </c>
      <c r="AP12" s="13">
        <f>IF(AO12="","","{"&amp;TEXTJOIN(", ",TRUE,IF(E$160:E$180&gt;0,$A$160:$A$180&amp;": "&amp;E$160:E$180,""))&amp;"}")</f>
        <v/>
      </c>
      <c r="AQ12" s="13">
        <f>IF(AND($B$16&gt;0,$AH12&gt;$B$16),"",F$101)</f>
        <v/>
      </c>
      <c r="AR12" s="13">
        <f>IF(AQ12="","","{"&amp;TEXTJOIN(", ",TRUE,IF(F$160:F$180&gt;0,$A$160:$A$180&amp;": "&amp;F$160:F$180,""))&amp;"}")</f>
        <v/>
      </c>
    </row>
    <row r="13">
      <c r="A13" s="10" t="inlineStr">
        <is>
          <t>Tickets per Run</t>
        </is>
      </c>
      <c r="B13" s="6" t="n">
        <v>1</v>
      </c>
      <c r="C13" s="12" t="inlineStr">
        <is>
          <t>deck p9</t>
        </is>
      </c>
      <c r="D13" s="3" t="inlineStr">
        <is>
          <t>no storage cap exists for tickets</t>
        </is>
      </c>
      <c r="AH13" s="11" t="n">
        <v>8</v>
      </c>
      <c r="AI13" s="13">
        <f>IF(AND($B$16&gt;0,$AH13&gt;$B$16),"",B$101)</f>
        <v/>
      </c>
      <c r="AJ13" s="13">
        <f>IF(AI13="","","{"&amp;TEXTJOIN(", ",TRUE,IF(B$160:B$180&gt;0,$A$160:$A$180&amp;": "&amp;B$160:B$180,""))&amp;"}")</f>
        <v/>
      </c>
      <c r="AK13" s="13">
        <f>IF(AND($B$16&gt;0,$AH13&gt;$B$16),"",C$101)</f>
        <v/>
      </c>
      <c r="AL13" s="13">
        <f>IF(AK13="","","{"&amp;TEXTJOIN(", ",TRUE,IF(C$160:C$180&gt;0,$A$160:$A$180&amp;": "&amp;C$160:C$180,""))&amp;"}")</f>
        <v/>
      </c>
      <c r="AM13" s="13">
        <f>IF(AND($B$16&gt;0,$AH13&gt;$B$16),"",D$101)</f>
        <v/>
      </c>
      <c r="AN13" s="13">
        <f>IF(AM13="","","{"&amp;TEXTJOIN(", ",TRUE,IF(D$160:D$180&gt;0,$A$160:$A$180&amp;": "&amp;D$160:D$180,""))&amp;"}")</f>
        <v/>
      </c>
      <c r="AO13" s="13">
        <f>IF(AND($B$16&gt;0,$AH13&gt;$B$16),"",E$101)</f>
        <v/>
      </c>
      <c r="AP13" s="13">
        <f>IF(AO13="","","{"&amp;TEXTJOIN(", ",TRUE,IF(E$160:E$180&gt;0,$A$160:$A$180&amp;": "&amp;E$160:E$180,""))&amp;"}")</f>
        <v/>
      </c>
      <c r="AQ13" s="13">
        <f>IF(AND($B$16&gt;0,$AH13&gt;$B$16),"",F$101)</f>
        <v/>
      </c>
      <c r="AR13" s="13">
        <f>IF(AQ13="","","{"&amp;TEXTJOIN(", ",TRUE,IF(F$160:F$180&gt;0,$A$160:$A$180&amp;": "&amp;F$160:F$180,""))&amp;"}")</f>
        <v/>
      </c>
    </row>
    <row r="14">
      <c r="A14" s="10" t="inlineStr">
        <is>
          <t>Empty Outcomes Enabled</t>
        </is>
      </c>
      <c r="B14" s="6" t="inlineStr">
        <is>
          <t>FALSE</t>
        </is>
      </c>
      <c r="C14" s="12" t="inlineStr">
        <is>
          <t>deck p22</t>
        </is>
      </c>
      <c r="D14" s="3" t="inlineStr">
        <is>
          <t>supported but off by default; changes the EV maths if on</t>
        </is>
      </c>
      <c r="AH14" s="11" t="n">
        <v>9</v>
      </c>
      <c r="AI14" s="13">
        <f>IF(AND($B$16&gt;0,$AH14&gt;$B$16),"",B$101)</f>
        <v/>
      </c>
      <c r="AJ14" s="13">
        <f>IF(AI14="","","{"&amp;TEXTJOIN(", ",TRUE,IF(B$160:B$180&gt;0,$A$160:$A$180&amp;": "&amp;B$160:B$180,""))&amp;"}")</f>
        <v/>
      </c>
      <c r="AK14" s="13">
        <f>IF(AND($B$16&gt;0,$AH14&gt;$B$16),"",C$101)</f>
        <v/>
      </c>
      <c r="AL14" s="13">
        <f>IF(AK14="","","{"&amp;TEXTJOIN(", ",TRUE,IF(C$160:C$180&gt;0,$A$160:$A$180&amp;": "&amp;C$160:C$180,""))&amp;"}")</f>
        <v/>
      </c>
      <c r="AM14" s="13">
        <f>IF(AND($B$16&gt;0,$AH14&gt;$B$16),"",D$101)</f>
        <v/>
      </c>
      <c r="AN14" s="13">
        <f>IF(AM14="","","{"&amp;TEXTJOIN(", ",TRUE,IF(D$160:D$180&gt;0,$A$160:$A$180&amp;": "&amp;D$160:D$180,""))&amp;"}")</f>
        <v/>
      </c>
      <c r="AO14" s="13">
        <f>IF(AND($B$16&gt;0,$AH14&gt;$B$16),"",E$101)</f>
        <v/>
      </c>
      <c r="AP14" s="13">
        <f>IF(AO14="","","{"&amp;TEXTJOIN(", ",TRUE,IF(E$160:E$180&gt;0,$A$160:$A$180&amp;": "&amp;E$160:E$180,""))&amp;"}")</f>
        <v/>
      </c>
      <c r="AQ14" s="13">
        <f>IF(AND($B$16&gt;0,$AH14&gt;$B$16),"",F$101)</f>
        <v/>
      </c>
      <c r="AR14" s="13">
        <f>IF(AQ14="","","{"&amp;TEXTJOIN(", ",TRUE,IF(F$160:F$180&gt;0,$A$160:$A$180&amp;": "&amp;F$160:F$180,""))&amp;"}")</f>
        <v/>
      </c>
    </row>
    <row r="15">
      <c r="A15" s="10" t="inlineStr">
        <is>
          <t>Cash-Out Variant</t>
        </is>
      </c>
      <c r="B15" s="6" t="inlineStr">
        <is>
          <t>A</t>
        </is>
      </c>
      <c r="C15" s="12" t="inlineStr">
        <is>
          <t>deck p23</t>
        </is>
      </c>
      <c r="D15" s="3" t="inlineStr">
        <is>
          <t>A = cash out after any successful stage · B = safe stages only (A/B pending)</t>
        </is>
      </c>
      <c r="AH15" s="11" t="n">
        <v>10</v>
      </c>
      <c r="AI15" s="13">
        <f>IF(AND($B$16&gt;0,$AH15&gt;$B$16),"",B$101)</f>
        <v/>
      </c>
      <c r="AJ15" s="13">
        <f>IF(AI15="","","{"&amp;TEXTJOIN(", ",TRUE,IF(B$160:B$180&gt;0,$A$160:$A$180&amp;": "&amp;B$160:B$180,""))&amp;"}")</f>
        <v/>
      </c>
      <c r="AK15" s="13">
        <f>IF(AND($B$16&gt;0,$AH15&gt;$B$16),"",C$101)</f>
        <v/>
      </c>
      <c r="AL15" s="13">
        <f>IF(AK15="","","{"&amp;TEXTJOIN(", ",TRUE,IF(C$160:C$180&gt;0,$A$160:$A$180&amp;": "&amp;C$160:C$180,""))&amp;"}")</f>
        <v/>
      </c>
      <c r="AM15" s="13">
        <f>IF(AND($B$16&gt;0,$AH15&gt;$B$16),"",D$101)</f>
        <v/>
      </c>
      <c r="AN15" s="13">
        <f>IF(AM15="","","{"&amp;TEXTJOIN(", ",TRUE,IF(D$160:D$180&gt;0,$A$160:$A$180&amp;": "&amp;D$160:D$180,""))&amp;"}")</f>
        <v/>
      </c>
      <c r="AO15" s="13">
        <f>IF(AND($B$16&gt;0,$AH15&gt;$B$16),"",E$101)</f>
        <v/>
      </c>
      <c r="AP15" s="13">
        <f>IF(AO15="","","{"&amp;TEXTJOIN(", ",TRUE,IF(E$160:E$180&gt;0,$A$160:$A$180&amp;": "&amp;E$160:E$180,""))&amp;"}")</f>
        <v/>
      </c>
      <c r="AQ15" s="13">
        <f>IF(AND($B$16&gt;0,$AH15&gt;$B$16),"",F$101)</f>
        <v/>
      </c>
      <c r="AR15" s="13">
        <f>IF(AQ15="","","{"&amp;TEXTJOIN(", ",TRUE,IF(F$160:F$180&gt;0,$A$160:$A$180&amp;": "&amp;F$160:F$180,""))&amp;"}")</f>
        <v/>
      </c>
    </row>
    <row r="16">
      <c r="A16" s="10" t="inlineStr">
        <is>
          <t>Event Duration (days)</t>
        </is>
      </c>
      <c r="B16" s="6" t="n">
        <v>0</v>
      </c>
      <c r="C16" s="12" t="inlineStr">
        <is>
          <t>UNKNOWN</t>
        </is>
      </c>
      <c r="D16" s="3" t="inlineStr">
        <is>
          <t>⚠ deck gives no default — blocks the calendar lane and T</t>
        </is>
      </c>
      <c r="AH16" s="11" t="n">
        <v>11</v>
      </c>
      <c r="AI16" s="13">
        <f>IF(AND($B$16&gt;0,$AH16&gt;$B$16),"",B$101)</f>
        <v/>
      </c>
      <c r="AJ16" s="13">
        <f>IF(AI16="","","{"&amp;TEXTJOIN(", ",TRUE,IF(B$160:B$180&gt;0,$A$160:$A$180&amp;": "&amp;B$160:B$180,""))&amp;"}")</f>
        <v/>
      </c>
      <c r="AK16" s="13">
        <f>IF(AND($B$16&gt;0,$AH16&gt;$B$16),"",C$101)</f>
        <v/>
      </c>
      <c r="AL16" s="13">
        <f>IF(AK16="","","{"&amp;TEXTJOIN(", ",TRUE,IF(C$160:C$180&gt;0,$A$160:$A$180&amp;": "&amp;C$160:C$180,""))&amp;"}")</f>
        <v/>
      </c>
      <c r="AM16" s="13">
        <f>IF(AND($B$16&gt;0,$AH16&gt;$B$16),"",D$101)</f>
        <v/>
      </c>
      <c r="AN16" s="13">
        <f>IF(AM16="","","{"&amp;TEXTJOIN(", ",TRUE,IF(D$160:D$180&gt;0,$A$160:$A$180&amp;": "&amp;D$160:D$180,""))&amp;"}")</f>
        <v/>
      </c>
      <c r="AO16" s="13">
        <f>IF(AND($B$16&gt;0,$AH16&gt;$B$16),"",E$101)</f>
        <v/>
      </c>
      <c r="AP16" s="13">
        <f>IF(AO16="","","{"&amp;TEXTJOIN(", ",TRUE,IF(E$160:E$180&gt;0,$A$160:$A$180&amp;": "&amp;E$160:E$180,""))&amp;"}")</f>
        <v/>
      </c>
      <c r="AQ16" s="13">
        <f>IF(AND($B$16&gt;0,$AH16&gt;$B$16),"",F$101)</f>
        <v/>
      </c>
      <c r="AR16" s="13">
        <f>IF(AQ16="","","{"&amp;TEXTJOIN(", ",TRUE,IF(F$160:F$180&gt;0,$A$160:$A$180&amp;": "&amp;F$160:F$180,""))&amp;"}")</f>
        <v/>
      </c>
    </row>
    <row r="17">
      <c r="A17" s="10" t="inlineStr">
        <is>
          <t>Runs per Player per Instance</t>
        </is>
      </c>
      <c r="B17" s="6" t="n">
        <v>0</v>
      </c>
      <c r="C17" s="12" t="inlineStr">
        <is>
          <t>UNKNOWN</t>
        </is>
      </c>
      <c r="D17" s="3" t="inlineStr">
        <is>
          <t>⚠ set by ticket supply, which is unconfigured — the faucet scales linearly with this</t>
        </is>
      </c>
      <c r="AH17" s="11" t="n">
        <v>12</v>
      </c>
      <c r="AI17" s="13">
        <f>IF(AND($B$16&gt;0,$AH17&gt;$B$16),"",B$101)</f>
        <v/>
      </c>
      <c r="AJ17" s="13">
        <f>IF(AI17="","","{"&amp;TEXTJOIN(", ",TRUE,IF(B$160:B$180&gt;0,$A$160:$A$180&amp;": "&amp;B$160:B$180,""))&amp;"}")</f>
        <v/>
      </c>
      <c r="AK17" s="13">
        <f>IF(AND($B$16&gt;0,$AH17&gt;$B$16),"",C$101)</f>
        <v/>
      </c>
      <c r="AL17" s="13">
        <f>IF(AK17="","","{"&amp;TEXTJOIN(", ",TRUE,IF(C$160:C$180&gt;0,$A$160:$A$180&amp;": "&amp;C$160:C$180,""))&amp;"}")</f>
        <v/>
      </c>
      <c r="AM17" s="13">
        <f>IF(AND($B$16&gt;0,$AH17&gt;$B$16),"",D$101)</f>
        <v/>
      </c>
      <c r="AN17" s="13">
        <f>IF(AM17="","","{"&amp;TEXTJOIN(", ",TRUE,IF(D$160:D$180&gt;0,$A$160:$A$180&amp;": "&amp;D$160:D$180,""))&amp;"}")</f>
        <v/>
      </c>
      <c r="AO17" s="13">
        <f>IF(AND($B$16&gt;0,$AH17&gt;$B$16),"",E$101)</f>
        <v/>
      </c>
      <c r="AP17" s="13">
        <f>IF(AO17="","","{"&amp;TEXTJOIN(", ",TRUE,IF(E$160:E$180&gt;0,$A$160:$A$180&amp;": "&amp;E$160:E$180,""))&amp;"}")</f>
        <v/>
      </c>
      <c r="AQ17" s="13">
        <f>IF(AND($B$16&gt;0,$AH17&gt;$B$16),"",F$101)</f>
        <v/>
      </c>
      <c r="AR17" s="13">
        <f>IF(AQ17="","","{"&amp;TEXTJOIN(", ",TRUE,IF(F$160:F$180&gt;0,$A$160:$A$180&amp;": "&amp;F$160:F$180,""))&amp;"}")</f>
        <v/>
      </c>
    </row>
    <row r="18">
      <c r="AH18" s="11" t="n">
        <v>13</v>
      </c>
      <c r="AI18" s="13">
        <f>IF(AND($B$16&gt;0,$AH18&gt;$B$16),"",B$101)</f>
        <v/>
      </c>
      <c r="AJ18" s="13">
        <f>IF(AI18="","","{"&amp;TEXTJOIN(", ",TRUE,IF(B$160:B$180&gt;0,$A$160:$A$180&amp;": "&amp;B$160:B$180,""))&amp;"}")</f>
        <v/>
      </c>
      <c r="AK18" s="13">
        <f>IF(AND($B$16&gt;0,$AH18&gt;$B$16),"",C$101)</f>
        <v/>
      </c>
      <c r="AL18" s="13">
        <f>IF(AK18="","","{"&amp;TEXTJOIN(", ",TRUE,IF(C$160:C$180&gt;0,$A$160:$A$180&amp;": "&amp;C$160:C$180,""))&amp;"}")</f>
        <v/>
      </c>
      <c r="AM18" s="13">
        <f>IF(AND($B$16&gt;0,$AH18&gt;$B$16),"",D$101)</f>
        <v/>
      </c>
      <c r="AN18" s="13">
        <f>IF(AM18="","","{"&amp;TEXTJOIN(", ",TRUE,IF(D$160:D$180&gt;0,$A$160:$A$180&amp;": "&amp;D$160:D$180,""))&amp;"}")</f>
        <v/>
      </c>
      <c r="AO18" s="13">
        <f>IF(AND($B$16&gt;0,$AH18&gt;$B$16),"",E$101)</f>
        <v/>
      </c>
      <c r="AP18" s="13">
        <f>IF(AO18="","","{"&amp;TEXTJOIN(", ",TRUE,IF(E$160:E$180&gt;0,$A$160:$A$180&amp;": "&amp;E$160:E$180,""))&amp;"}")</f>
        <v/>
      </c>
      <c r="AQ18" s="13">
        <f>IF(AND($B$16&gt;0,$AH18&gt;$B$16),"",F$101)</f>
        <v/>
      </c>
      <c r="AR18" s="13">
        <f>IF(AQ18="","","{"&amp;TEXTJOIN(", ",TRUE,IF(F$160:F$180&gt;0,$A$160:$A$180&amp;": "&amp;F$160:F$180,""))&amp;"}")</f>
        <v/>
      </c>
    </row>
    <row r="19">
      <c r="A19" s="7" t="inlineStr">
        <is>
          <t>SEGMENT BEHAVIOUR (no telemetry exists — these are the answer, not a detail)</t>
        </is>
      </c>
      <c r="B19" s="8" t="n"/>
      <c r="C19" s="8" t="n"/>
      <c r="D19" s="8" t="n"/>
      <c r="E19" s="8" t="n"/>
      <c r="F19" s="8" t="n"/>
      <c r="AH19" s="11" t="n">
        <v>14</v>
      </c>
      <c r="AI19" s="13">
        <f>IF(AND($B$16&gt;0,$AH19&gt;$B$16),"",B$101)</f>
        <v/>
      </c>
      <c r="AJ19" s="13">
        <f>IF(AI19="","","{"&amp;TEXTJOIN(", ",TRUE,IF(B$160:B$180&gt;0,$A$160:$A$180&amp;": "&amp;B$160:B$180,""))&amp;"}")</f>
        <v/>
      </c>
      <c r="AK19" s="13">
        <f>IF(AND($B$16&gt;0,$AH19&gt;$B$16),"",C$101)</f>
        <v/>
      </c>
      <c r="AL19" s="13">
        <f>IF(AK19="","","{"&amp;TEXTJOIN(", ",TRUE,IF(C$160:C$180&gt;0,$A$160:$A$180&amp;": "&amp;C$160:C$180,""))&amp;"}")</f>
        <v/>
      </c>
      <c r="AM19" s="13">
        <f>IF(AND($B$16&gt;0,$AH19&gt;$B$16),"",D$101)</f>
        <v/>
      </c>
      <c r="AN19" s="13">
        <f>IF(AM19="","","{"&amp;TEXTJOIN(", ",TRUE,IF(D$160:D$180&gt;0,$A$160:$A$180&amp;": "&amp;D$160:D$180,""))&amp;"}")</f>
        <v/>
      </c>
      <c r="AO19" s="13">
        <f>IF(AND($B$16&gt;0,$AH19&gt;$B$16),"",E$101)</f>
        <v/>
      </c>
      <c r="AP19" s="13">
        <f>IF(AO19="","","{"&amp;TEXTJOIN(", ",TRUE,IF(E$160:E$180&gt;0,$A$160:$A$180&amp;": "&amp;E$160:E$180,""))&amp;"}")</f>
        <v/>
      </c>
      <c r="AQ19" s="13">
        <f>IF(AND($B$16&gt;0,$AH19&gt;$B$16),"",F$101)</f>
        <v/>
      </c>
      <c r="AR19" s="13">
        <f>IF(AQ19="","","{"&amp;TEXTJOIN(", ",TRUE,IF(F$160:F$180&gt;0,$A$160:$A$180&amp;": "&amp;F$160:F$180,""))&amp;"}")</f>
        <v/>
      </c>
    </row>
    <row r="20">
      <c r="A20" s="3" t="inlineStr">
        <is>
          <t>These move the result more than every reward value combined, and they are what makes the five player types differ: Mighty Doors has no accrual, so a whale and a new player are separated only by how often they pay to continue and how deep they push before cashing out. Printed on every harness run for the same reason PACK_PARTICIPATION is (D25).</t>
        </is>
      </c>
    </row>
    <row r="21">
      <c r="A21" s="9" t="inlineStr">
        <is>
          <t>Segment</t>
        </is>
      </c>
      <c r="B21" s="9" t="inlineStr">
        <is>
          <t>Continue Take-Up</t>
        </is>
      </c>
      <c r="C21" s="9" t="inlineStr">
        <is>
          <t>Cash-Out Stage</t>
        </is>
      </c>
      <c r="D21" s="9" t="inlineStr">
        <is>
          <t>Runs per Active Day</t>
        </is>
      </c>
      <c r="E21" s="9" t="inlineStr">
        <is>
          <t>Max Continues per Run</t>
        </is>
      </c>
      <c r="F21" s="9" t="inlineStr">
        <is>
          <t>Note</t>
        </is>
      </c>
    </row>
    <row r="22">
      <c r="A22" s="11" t="inlineStr">
        <is>
          <t>0-9</t>
        </is>
      </c>
      <c r="B22" s="14" t="n">
        <v>0</v>
      </c>
      <c r="C22" s="6" t="n">
        <v>0</v>
      </c>
      <c r="D22" s="5" t="n">
        <v>0</v>
      </c>
      <c r="E22" s="6" t="n">
        <v>0</v>
      </c>
      <c r="F22" s="3" t="inlineStr"/>
    </row>
    <row r="23">
      <c r="A23" s="11" t="inlineStr">
        <is>
          <t>10-19</t>
        </is>
      </c>
      <c r="B23" s="14" t="n">
        <v>0</v>
      </c>
      <c r="C23" s="6" t="n">
        <v>0</v>
      </c>
      <c r="D23" s="5" t="n">
        <v>0</v>
      </c>
      <c r="E23" s="6" t="n">
        <v>0</v>
      </c>
      <c r="F23" s="3" t="inlineStr"/>
    </row>
    <row r="24">
      <c r="A24" s="11" t="inlineStr">
        <is>
          <t>20-39</t>
        </is>
      </c>
      <c r="B24" s="14" t="n">
        <v>0</v>
      </c>
      <c r="C24" s="6" t="n">
        <v>0</v>
      </c>
      <c r="D24" s="5" t="n">
        <v>0</v>
      </c>
      <c r="E24" s="6" t="n">
        <v>0</v>
      </c>
      <c r="F24" s="3" t="inlineStr"/>
    </row>
    <row r="25">
      <c r="A25" s="11" t="inlineStr">
        <is>
          <t>40-99</t>
        </is>
      </c>
      <c r="B25" s="14" t="n">
        <v>0</v>
      </c>
      <c r="C25" s="6" t="n">
        <v>0</v>
      </c>
      <c r="D25" s="5" t="n">
        <v>0</v>
      </c>
      <c r="E25" s="6" t="n">
        <v>0</v>
      </c>
      <c r="F25" s="3" t="inlineStr"/>
    </row>
    <row r="26">
      <c r="A26" s="11" t="inlineStr">
        <is>
          <t>100+</t>
        </is>
      </c>
      <c r="B26" s="14" t="n">
        <v>0</v>
      </c>
      <c r="C26" s="6" t="n">
        <v>0</v>
      </c>
      <c r="D26" s="5" t="n">
        <v>0</v>
      </c>
      <c r="E26" s="6" t="n">
        <v>0</v>
      </c>
      <c r="F26" s="3" t="inlineStr">
        <is>
          <t>continue take-up 1.0 removes the Pig entirely for this segment</t>
        </is>
      </c>
    </row>
    <row r="28">
      <c r="A28" s="7" t="inlineStr">
        <is>
          <t>STAGE CONFIG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</row>
    <row r="29">
      <c r="A29" s="3" t="inlineStr">
        <is>
          <t>Columns A-F are structural and shared. Each segment then gets its own survival and reach, because continue take-up differs by player type; a segment that always continues never meets the Pig at all. Cum P(ended) is what the reach simulation reads for its percentile.</t>
        </is>
      </c>
    </row>
    <row r="30">
      <c r="A30" s="9" t="inlineStr">
        <is>
          <t>Stage</t>
        </is>
      </c>
      <c r="B30" s="9" t="inlineStr">
        <is>
          <t>Type</t>
        </is>
      </c>
      <c r="C30" s="9" t="inlineStr">
        <is>
          <t>Choices</t>
        </is>
      </c>
      <c r="D30" s="9" t="inlineStr">
        <is>
          <t>Pigs</t>
        </is>
      </c>
      <c r="E30" s="9" t="inlineStr">
        <is>
          <t>Tier</t>
        </is>
      </c>
      <c r="F30" s="9" t="inlineStr">
        <is>
          <t>Survive p</t>
        </is>
      </c>
      <c r="H30" s="15" t="inlineStr">
        <is>
          <t>0-9 Survive (w/ cont.)</t>
        </is>
      </c>
      <c r="I30" s="15" t="inlineStr">
        <is>
          <t>0-9 Reach p</t>
        </is>
      </c>
      <c r="J30" s="15" t="inlineStr">
        <is>
          <t>0-9 P(end here)</t>
        </is>
      </c>
      <c r="K30" s="15" t="inlineStr">
        <is>
          <t>0-9 Cum P(ended)</t>
        </is>
      </c>
      <c r="L30" s="15" t="inlineStr">
        <is>
          <t>10-19 Survive (w/ cont.)</t>
        </is>
      </c>
      <c r="M30" s="15" t="inlineStr">
        <is>
          <t>10-19 Reach p</t>
        </is>
      </c>
      <c r="N30" s="15" t="inlineStr">
        <is>
          <t>10-19 P(end here)</t>
        </is>
      </c>
      <c r="O30" s="15" t="inlineStr">
        <is>
          <t>10-19 Cum P(ended)</t>
        </is>
      </c>
      <c r="P30" s="15" t="inlineStr">
        <is>
          <t>20-39 Survive (w/ cont.)</t>
        </is>
      </c>
      <c r="Q30" s="15" t="inlineStr">
        <is>
          <t>20-39 Reach p</t>
        </is>
      </c>
      <c r="R30" s="15" t="inlineStr">
        <is>
          <t>20-39 P(end here)</t>
        </is>
      </c>
      <c r="S30" s="15" t="inlineStr">
        <is>
          <t>20-39 Cum P(ended)</t>
        </is>
      </c>
      <c r="T30" s="15" t="inlineStr">
        <is>
          <t>40-99 Survive (w/ cont.)</t>
        </is>
      </c>
      <c r="U30" s="15" t="inlineStr">
        <is>
          <t>40-99 Reach p</t>
        </is>
      </c>
      <c r="V30" s="15" t="inlineStr">
        <is>
          <t>40-99 P(end here)</t>
        </is>
      </c>
      <c r="W30" s="15" t="inlineStr">
        <is>
          <t>40-99 Cum P(ended)</t>
        </is>
      </c>
      <c r="X30" s="15" t="inlineStr">
        <is>
          <t>100+ Survive (w/ cont.)</t>
        </is>
      </c>
      <c r="Y30" s="15" t="inlineStr">
        <is>
          <t>100+ Reach p</t>
        </is>
      </c>
      <c r="Z30" s="15" t="inlineStr">
        <is>
          <t>100+ P(end here)</t>
        </is>
      </c>
      <c r="AA30" s="15" t="inlineStr">
        <is>
          <t>100+ Cum P(ended)</t>
        </is>
      </c>
    </row>
    <row r="31">
      <c r="A31" s="11" t="n">
        <v>1</v>
      </c>
      <c r="B31" s="13">
        <f>IF(A31=1,"Safe (Start)",IF(OR(A31=$B$10,A31=$B$11),"Milestone",IF(AND($B$9&gt;0,MOD(A31,$B$9)=0),"Safe","Standard")))</f>
        <v/>
      </c>
      <c r="C31" s="6">
        <f>$B$7</f>
        <v/>
      </c>
      <c r="D31" s="13">
        <f>IF($B31="Standard",$B$8,0)</f>
        <v/>
      </c>
      <c r="E31" s="13">
        <f>MIN(6,MAX(1,ROUNDUP(A31/$B$12,0)))</f>
        <v/>
      </c>
      <c r="F31" s="16">
        <f>IF($C31&lt;=0,0,($C31-$D31)/$C31)</f>
        <v/>
      </c>
      <c r="H31" s="16">
        <f>$F31+(1-$F31)*$B$22</f>
        <v/>
      </c>
      <c r="I31" s="17" t="n">
        <v>1</v>
      </c>
      <c r="J31" s="17">
        <f>I31*(IF(AND($C$22&gt;0,$A31&gt;=$C$22),H31,0)+(1-$F31)*(1-$B$22))</f>
        <v/>
      </c>
      <c r="K31" s="17">
        <f>SUM(J$31:J31)</f>
        <v/>
      </c>
      <c r="L31" s="16">
        <f>$F31+(1-$F31)*$B$23</f>
        <v/>
      </c>
      <c r="M31" s="17" t="n">
        <v>1</v>
      </c>
      <c r="N31" s="17">
        <f>M31*(IF(AND($C$23&gt;0,$A31&gt;=$C$23),L31,0)+(1-$F31)*(1-$B$23))</f>
        <v/>
      </c>
      <c r="O31" s="17">
        <f>SUM(N$31:N31)</f>
        <v/>
      </c>
      <c r="P31" s="16">
        <f>$F31+(1-$F31)*$B$24</f>
        <v/>
      </c>
      <c r="Q31" s="17" t="n">
        <v>1</v>
      </c>
      <c r="R31" s="17">
        <f>Q31*(IF(AND($C$24&gt;0,$A31&gt;=$C$24),P31,0)+(1-$F31)*(1-$B$24))</f>
        <v/>
      </c>
      <c r="S31" s="17">
        <f>SUM(R$31:R31)</f>
        <v/>
      </c>
      <c r="T31" s="16">
        <f>$F31+(1-$F31)*$B$25</f>
        <v/>
      </c>
      <c r="U31" s="17" t="n">
        <v>1</v>
      </c>
      <c r="V31" s="17">
        <f>U31*(IF(AND($C$25&gt;0,$A31&gt;=$C$25),T31,0)+(1-$F31)*(1-$B$25))</f>
        <v/>
      </c>
      <c r="W31" s="17">
        <f>SUM(V$31:V31)</f>
        <v/>
      </c>
      <c r="X31" s="16">
        <f>$F31+(1-$F31)*$B$26</f>
        <v/>
      </c>
      <c r="Y31" s="17" t="n">
        <v>1</v>
      </c>
      <c r="Z31" s="17">
        <f>Y31*(IF(AND($C$26&gt;0,$A31&gt;=$C$26),X31,0)+(1-$F31)*(1-$B$26))</f>
        <v/>
      </c>
      <c r="AA31" s="17">
        <f>SUM(Z$31:Z31)</f>
        <v/>
      </c>
    </row>
    <row r="32">
      <c r="A32" s="11" t="n">
        <v>2</v>
      </c>
      <c r="B32" s="13">
        <f>IF(A32=1,"Safe (Start)",IF(OR(A32=$B$10,A32=$B$11),"Milestone",IF(AND($B$9&gt;0,MOD(A32,$B$9)=0),"Safe","Standard")))</f>
        <v/>
      </c>
      <c r="C32" s="6">
        <f>$B$7</f>
        <v/>
      </c>
      <c r="D32" s="13">
        <f>IF($B32="Standard",$B$8,0)</f>
        <v/>
      </c>
      <c r="E32" s="13">
        <f>MIN(6,MAX(1,ROUNDUP(A32/$B$12,0)))</f>
        <v/>
      </c>
      <c r="F32" s="16">
        <f>IF($C32&lt;=0,0,($C32-$D32)/$C32)</f>
        <v/>
      </c>
      <c r="H32" s="16">
        <f>$F32+(1-$F32)*$B$22</f>
        <v/>
      </c>
      <c r="I32" s="17">
        <f>I31*H31*IF(AND($C$22&gt;0,$A31&gt;=$C$22),0,1)</f>
        <v/>
      </c>
      <c r="J32" s="17">
        <f>I32*(IF(AND($C$22&gt;0,$A32&gt;=$C$22),H32,0)+(1-$F32)*(1-$B$22))</f>
        <v/>
      </c>
      <c r="K32" s="17">
        <f>SUM(J$31:J32)</f>
        <v/>
      </c>
      <c r="L32" s="16">
        <f>$F32+(1-$F32)*$B$23</f>
        <v/>
      </c>
      <c r="M32" s="17">
        <f>M31*L31*IF(AND($C$23&gt;0,$A31&gt;=$C$23),0,1)</f>
        <v/>
      </c>
      <c r="N32" s="17">
        <f>M32*(IF(AND($C$23&gt;0,$A32&gt;=$C$23),L32,0)+(1-$F32)*(1-$B$23))</f>
        <v/>
      </c>
      <c r="O32" s="17">
        <f>SUM(N$31:N32)</f>
        <v/>
      </c>
      <c r="P32" s="16">
        <f>$F32+(1-$F32)*$B$24</f>
        <v/>
      </c>
      <c r="Q32" s="17">
        <f>Q31*P31*IF(AND($C$24&gt;0,$A31&gt;=$C$24),0,1)</f>
        <v/>
      </c>
      <c r="R32" s="17">
        <f>Q32*(IF(AND($C$24&gt;0,$A32&gt;=$C$24),P32,0)+(1-$F32)*(1-$B$24))</f>
        <v/>
      </c>
      <c r="S32" s="17">
        <f>SUM(R$31:R32)</f>
        <v/>
      </c>
      <c r="T32" s="16">
        <f>$F32+(1-$F32)*$B$25</f>
        <v/>
      </c>
      <c r="U32" s="17">
        <f>U31*T31*IF(AND($C$25&gt;0,$A31&gt;=$C$25),0,1)</f>
        <v/>
      </c>
      <c r="V32" s="17">
        <f>U32*(IF(AND($C$25&gt;0,$A32&gt;=$C$25),T32,0)+(1-$F32)*(1-$B$25))</f>
        <v/>
      </c>
      <c r="W32" s="17">
        <f>SUM(V$31:V32)</f>
        <v/>
      </c>
      <c r="X32" s="16">
        <f>$F32+(1-$F32)*$B$26</f>
        <v/>
      </c>
      <c r="Y32" s="17">
        <f>Y31*X31*IF(AND($C$26&gt;0,$A31&gt;=$C$26),0,1)</f>
        <v/>
      </c>
      <c r="Z32" s="17">
        <f>Y32*(IF(AND($C$26&gt;0,$A32&gt;=$C$26),X32,0)+(1-$F32)*(1-$B$26))</f>
        <v/>
      </c>
      <c r="AA32" s="17">
        <f>SUM(Z$31:Z32)</f>
        <v/>
      </c>
    </row>
    <row r="33">
      <c r="A33" s="11" t="n">
        <v>3</v>
      </c>
      <c r="B33" s="13">
        <f>IF(A33=1,"Safe (Start)",IF(OR(A33=$B$10,A33=$B$11),"Milestone",IF(AND($B$9&gt;0,MOD(A33,$B$9)=0),"Safe","Standard")))</f>
        <v/>
      </c>
      <c r="C33" s="6">
        <f>$B$7</f>
        <v/>
      </c>
      <c r="D33" s="13">
        <f>IF($B33="Standard",$B$8,0)</f>
        <v/>
      </c>
      <c r="E33" s="13">
        <f>MIN(6,MAX(1,ROUNDUP(A33/$B$12,0)))</f>
        <v/>
      </c>
      <c r="F33" s="16">
        <f>IF($C33&lt;=0,0,($C33-$D33)/$C33)</f>
        <v/>
      </c>
      <c r="H33" s="16">
        <f>$F33+(1-$F33)*$B$22</f>
        <v/>
      </c>
      <c r="I33" s="17">
        <f>I32*H32*IF(AND($C$22&gt;0,$A32&gt;=$C$22),0,1)</f>
        <v/>
      </c>
      <c r="J33" s="17">
        <f>I33*(IF(AND($C$22&gt;0,$A33&gt;=$C$22),H33,0)+(1-$F33)*(1-$B$22))</f>
        <v/>
      </c>
      <c r="K33" s="17">
        <f>SUM(J$31:J33)</f>
        <v/>
      </c>
      <c r="L33" s="16">
        <f>$F33+(1-$F33)*$B$23</f>
        <v/>
      </c>
      <c r="M33" s="17">
        <f>M32*L32*IF(AND($C$23&gt;0,$A32&gt;=$C$23),0,1)</f>
        <v/>
      </c>
      <c r="N33" s="17">
        <f>M33*(IF(AND($C$23&gt;0,$A33&gt;=$C$23),L33,0)+(1-$F33)*(1-$B$23))</f>
        <v/>
      </c>
      <c r="O33" s="17">
        <f>SUM(N$31:N33)</f>
        <v/>
      </c>
      <c r="P33" s="16">
        <f>$F33+(1-$F33)*$B$24</f>
        <v/>
      </c>
      <c r="Q33" s="17">
        <f>Q32*P32*IF(AND($C$24&gt;0,$A32&gt;=$C$24),0,1)</f>
        <v/>
      </c>
      <c r="R33" s="17">
        <f>Q33*(IF(AND($C$24&gt;0,$A33&gt;=$C$24),P33,0)+(1-$F33)*(1-$B$24))</f>
        <v/>
      </c>
      <c r="S33" s="17">
        <f>SUM(R$31:R33)</f>
        <v/>
      </c>
      <c r="T33" s="16">
        <f>$F33+(1-$F33)*$B$25</f>
        <v/>
      </c>
      <c r="U33" s="17">
        <f>U32*T32*IF(AND($C$25&gt;0,$A32&gt;=$C$25),0,1)</f>
        <v/>
      </c>
      <c r="V33" s="17">
        <f>U33*(IF(AND($C$25&gt;0,$A33&gt;=$C$25),T33,0)+(1-$F33)*(1-$B$25))</f>
        <v/>
      </c>
      <c r="W33" s="17">
        <f>SUM(V$31:V33)</f>
        <v/>
      </c>
      <c r="X33" s="16">
        <f>$F33+(1-$F33)*$B$26</f>
        <v/>
      </c>
      <c r="Y33" s="17">
        <f>Y32*X32*IF(AND($C$26&gt;0,$A32&gt;=$C$26),0,1)</f>
        <v/>
      </c>
      <c r="Z33" s="17">
        <f>Y33*(IF(AND($C$26&gt;0,$A33&gt;=$C$26),X33,0)+(1-$F33)*(1-$B$26))</f>
        <v/>
      </c>
      <c r="AA33" s="17">
        <f>SUM(Z$31:Z33)</f>
        <v/>
      </c>
    </row>
    <row r="34">
      <c r="A34" s="11" t="n">
        <v>4</v>
      </c>
      <c r="B34" s="13">
        <f>IF(A34=1,"Safe (Start)",IF(OR(A34=$B$10,A34=$B$11),"Milestone",IF(AND($B$9&gt;0,MOD(A34,$B$9)=0),"Safe","Standard")))</f>
        <v/>
      </c>
      <c r="C34" s="6">
        <f>$B$7</f>
        <v/>
      </c>
      <c r="D34" s="13">
        <f>IF($B34="Standard",$B$8,0)</f>
        <v/>
      </c>
      <c r="E34" s="13">
        <f>MIN(6,MAX(1,ROUNDUP(A34/$B$12,0)))</f>
        <v/>
      </c>
      <c r="F34" s="16">
        <f>IF($C34&lt;=0,0,($C34-$D34)/$C34)</f>
        <v/>
      </c>
      <c r="H34" s="16">
        <f>$F34+(1-$F34)*$B$22</f>
        <v/>
      </c>
      <c r="I34" s="17">
        <f>I33*H33*IF(AND($C$22&gt;0,$A33&gt;=$C$22),0,1)</f>
        <v/>
      </c>
      <c r="J34" s="17">
        <f>I34*(IF(AND($C$22&gt;0,$A34&gt;=$C$22),H34,0)+(1-$F34)*(1-$B$22))</f>
        <v/>
      </c>
      <c r="K34" s="17">
        <f>SUM(J$31:J34)</f>
        <v/>
      </c>
      <c r="L34" s="16">
        <f>$F34+(1-$F34)*$B$23</f>
        <v/>
      </c>
      <c r="M34" s="17">
        <f>M33*L33*IF(AND($C$23&gt;0,$A33&gt;=$C$23),0,1)</f>
        <v/>
      </c>
      <c r="N34" s="17">
        <f>M34*(IF(AND($C$23&gt;0,$A34&gt;=$C$23),L34,0)+(1-$F34)*(1-$B$23))</f>
        <v/>
      </c>
      <c r="O34" s="17">
        <f>SUM(N$31:N34)</f>
        <v/>
      </c>
      <c r="P34" s="16">
        <f>$F34+(1-$F34)*$B$24</f>
        <v/>
      </c>
      <c r="Q34" s="17">
        <f>Q33*P33*IF(AND($C$24&gt;0,$A33&gt;=$C$24),0,1)</f>
        <v/>
      </c>
      <c r="R34" s="17">
        <f>Q34*(IF(AND($C$24&gt;0,$A34&gt;=$C$24),P34,0)+(1-$F34)*(1-$B$24))</f>
        <v/>
      </c>
      <c r="S34" s="17">
        <f>SUM(R$31:R34)</f>
        <v/>
      </c>
      <c r="T34" s="16">
        <f>$F34+(1-$F34)*$B$25</f>
        <v/>
      </c>
      <c r="U34" s="17">
        <f>U33*T33*IF(AND($C$25&gt;0,$A33&gt;=$C$25),0,1)</f>
        <v/>
      </c>
      <c r="V34" s="17">
        <f>U34*(IF(AND($C$25&gt;0,$A34&gt;=$C$25),T34,0)+(1-$F34)*(1-$B$25))</f>
        <v/>
      </c>
      <c r="W34" s="17">
        <f>SUM(V$31:V34)</f>
        <v/>
      </c>
      <c r="X34" s="16">
        <f>$F34+(1-$F34)*$B$26</f>
        <v/>
      </c>
      <c r="Y34" s="17">
        <f>Y33*X33*IF(AND($C$26&gt;0,$A33&gt;=$C$26),0,1)</f>
        <v/>
      </c>
      <c r="Z34" s="17">
        <f>Y34*(IF(AND($C$26&gt;0,$A34&gt;=$C$26),X34,0)+(1-$F34)*(1-$B$26))</f>
        <v/>
      </c>
      <c r="AA34" s="17">
        <f>SUM(Z$31:Z34)</f>
        <v/>
      </c>
    </row>
    <row r="35">
      <c r="A35" s="11" t="n">
        <v>5</v>
      </c>
      <c r="B35" s="13">
        <f>IF(A35=1,"Safe (Start)",IF(OR(A35=$B$10,A35=$B$11),"Milestone",IF(AND($B$9&gt;0,MOD(A35,$B$9)=0),"Safe","Standard")))</f>
        <v/>
      </c>
      <c r="C35" s="6">
        <f>$B$7</f>
        <v/>
      </c>
      <c r="D35" s="13">
        <f>IF($B35="Standard",$B$8,0)</f>
        <v/>
      </c>
      <c r="E35" s="13">
        <f>MIN(6,MAX(1,ROUNDUP(A35/$B$12,0)))</f>
        <v/>
      </c>
      <c r="F35" s="16">
        <f>IF($C35&lt;=0,0,($C35-$D35)/$C35)</f>
        <v/>
      </c>
      <c r="H35" s="16">
        <f>$F35+(1-$F35)*$B$22</f>
        <v/>
      </c>
      <c r="I35" s="17">
        <f>I34*H34*IF(AND($C$22&gt;0,$A34&gt;=$C$22),0,1)</f>
        <v/>
      </c>
      <c r="J35" s="17">
        <f>I35*(IF(AND($C$22&gt;0,$A35&gt;=$C$22),H35,0)+(1-$F35)*(1-$B$22))</f>
        <v/>
      </c>
      <c r="K35" s="17">
        <f>SUM(J$31:J35)</f>
        <v/>
      </c>
      <c r="L35" s="16">
        <f>$F35+(1-$F35)*$B$23</f>
        <v/>
      </c>
      <c r="M35" s="17">
        <f>M34*L34*IF(AND($C$23&gt;0,$A34&gt;=$C$23),0,1)</f>
        <v/>
      </c>
      <c r="N35" s="17">
        <f>M35*(IF(AND($C$23&gt;0,$A35&gt;=$C$23),L35,0)+(1-$F35)*(1-$B$23))</f>
        <v/>
      </c>
      <c r="O35" s="17">
        <f>SUM(N$31:N35)</f>
        <v/>
      </c>
      <c r="P35" s="16">
        <f>$F35+(1-$F35)*$B$24</f>
        <v/>
      </c>
      <c r="Q35" s="17">
        <f>Q34*P34*IF(AND($C$24&gt;0,$A34&gt;=$C$24),0,1)</f>
        <v/>
      </c>
      <c r="R35" s="17">
        <f>Q35*(IF(AND($C$24&gt;0,$A35&gt;=$C$24),P35,0)+(1-$F35)*(1-$B$24))</f>
        <v/>
      </c>
      <c r="S35" s="17">
        <f>SUM(R$31:R35)</f>
        <v/>
      </c>
      <c r="T35" s="16">
        <f>$F35+(1-$F35)*$B$25</f>
        <v/>
      </c>
      <c r="U35" s="17">
        <f>U34*T34*IF(AND($C$25&gt;0,$A34&gt;=$C$25),0,1)</f>
        <v/>
      </c>
      <c r="V35" s="17">
        <f>U35*(IF(AND($C$25&gt;0,$A35&gt;=$C$25),T35,0)+(1-$F35)*(1-$B$25))</f>
        <v/>
      </c>
      <c r="W35" s="17">
        <f>SUM(V$31:V35)</f>
        <v/>
      </c>
      <c r="X35" s="16">
        <f>$F35+(1-$F35)*$B$26</f>
        <v/>
      </c>
      <c r="Y35" s="17">
        <f>Y34*X34*IF(AND($C$26&gt;0,$A34&gt;=$C$26),0,1)</f>
        <v/>
      </c>
      <c r="Z35" s="17">
        <f>Y35*(IF(AND($C$26&gt;0,$A35&gt;=$C$26),X35,0)+(1-$F35)*(1-$B$26))</f>
        <v/>
      </c>
      <c r="AA35" s="17">
        <f>SUM(Z$31:Z35)</f>
        <v/>
      </c>
    </row>
    <row r="36">
      <c r="A36" s="11" t="n">
        <v>6</v>
      </c>
      <c r="B36" s="13">
        <f>IF(A36=1,"Safe (Start)",IF(OR(A36=$B$10,A36=$B$11),"Milestone",IF(AND($B$9&gt;0,MOD(A36,$B$9)=0),"Safe","Standard")))</f>
        <v/>
      </c>
      <c r="C36" s="6">
        <f>$B$7</f>
        <v/>
      </c>
      <c r="D36" s="13">
        <f>IF($B36="Standard",$B$8,0)</f>
        <v/>
      </c>
      <c r="E36" s="13">
        <f>MIN(6,MAX(1,ROUNDUP(A36/$B$12,0)))</f>
        <v/>
      </c>
      <c r="F36" s="16">
        <f>IF($C36&lt;=0,0,($C36-$D36)/$C36)</f>
        <v/>
      </c>
      <c r="H36" s="16">
        <f>$F36+(1-$F36)*$B$22</f>
        <v/>
      </c>
      <c r="I36" s="17">
        <f>I35*H35*IF(AND($C$22&gt;0,$A35&gt;=$C$22),0,1)</f>
        <v/>
      </c>
      <c r="J36" s="17">
        <f>I36*(IF(AND($C$22&gt;0,$A36&gt;=$C$22),H36,0)+(1-$F36)*(1-$B$22))</f>
        <v/>
      </c>
      <c r="K36" s="17">
        <f>SUM(J$31:J36)</f>
        <v/>
      </c>
      <c r="L36" s="16">
        <f>$F36+(1-$F36)*$B$23</f>
        <v/>
      </c>
      <c r="M36" s="17">
        <f>M35*L35*IF(AND($C$23&gt;0,$A35&gt;=$C$23),0,1)</f>
        <v/>
      </c>
      <c r="N36" s="17">
        <f>M36*(IF(AND($C$23&gt;0,$A36&gt;=$C$23),L36,0)+(1-$F36)*(1-$B$23))</f>
        <v/>
      </c>
      <c r="O36" s="17">
        <f>SUM(N$31:N36)</f>
        <v/>
      </c>
      <c r="P36" s="16">
        <f>$F36+(1-$F36)*$B$24</f>
        <v/>
      </c>
      <c r="Q36" s="17">
        <f>Q35*P35*IF(AND($C$24&gt;0,$A35&gt;=$C$24),0,1)</f>
        <v/>
      </c>
      <c r="R36" s="17">
        <f>Q36*(IF(AND($C$24&gt;0,$A36&gt;=$C$24),P36,0)+(1-$F36)*(1-$B$24))</f>
        <v/>
      </c>
      <c r="S36" s="17">
        <f>SUM(R$31:R36)</f>
        <v/>
      </c>
      <c r="T36" s="16">
        <f>$F36+(1-$F36)*$B$25</f>
        <v/>
      </c>
      <c r="U36" s="17">
        <f>U35*T35*IF(AND($C$25&gt;0,$A35&gt;=$C$25),0,1)</f>
        <v/>
      </c>
      <c r="V36" s="17">
        <f>U36*(IF(AND($C$25&gt;0,$A36&gt;=$C$25),T36,0)+(1-$F36)*(1-$B$25))</f>
        <v/>
      </c>
      <c r="W36" s="17">
        <f>SUM(V$31:V36)</f>
        <v/>
      </c>
      <c r="X36" s="16">
        <f>$F36+(1-$F36)*$B$26</f>
        <v/>
      </c>
      <c r="Y36" s="17">
        <f>Y35*X35*IF(AND($C$26&gt;0,$A35&gt;=$C$26),0,1)</f>
        <v/>
      </c>
      <c r="Z36" s="17">
        <f>Y36*(IF(AND($C$26&gt;0,$A36&gt;=$C$26),X36,0)+(1-$F36)*(1-$B$26))</f>
        <v/>
      </c>
      <c r="AA36" s="17">
        <f>SUM(Z$31:Z36)</f>
        <v/>
      </c>
    </row>
    <row r="37">
      <c r="A37" s="11" t="n">
        <v>7</v>
      </c>
      <c r="B37" s="13">
        <f>IF(A37=1,"Safe (Start)",IF(OR(A37=$B$10,A37=$B$11),"Milestone",IF(AND($B$9&gt;0,MOD(A37,$B$9)=0),"Safe","Standard")))</f>
        <v/>
      </c>
      <c r="C37" s="6">
        <f>$B$7</f>
        <v/>
      </c>
      <c r="D37" s="13">
        <f>IF($B37="Standard",$B$8,0)</f>
        <v/>
      </c>
      <c r="E37" s="13">
        <f>MIN(6,MAX(1,ROUNDUP(A37/$B$12,0)))</f>
        <v/>
      </c>
      <c r="F37" s="16">
        <f>IF($C37&lt;=0,0,($C37-$D37)/$C37)</f>
        <v/>
      </c>
      <c r="H37" s="16">
        <f>$F37+(1-$F37)*$B$22</f>
        <v/>
      </c>
      <c r="I37" s="17">
        <f>I36*H36*IF(AND($C$22&gt;0,$A36&gt;=$C$22),0,1)</f>
        <v/>
      </c>
      <c r="J37" s="17">
        <f>I37*(IF(AND($C$22&gt;0,$A37&gt;=$C$22),H37,0)+(1-$F37)*(1-$B$22))</f>
        <v/>
      </c>
      <c r="K37" s="17">
        <f>SUM(J$31:J37)</f>
        <v/>
      </c>
      <c r="L37" s="16">
        <f>$F37+(1-$F37)*$B$23</f>
        <v/>
      </c>
      <c r="M37" s="17">
        <f>M36*L36*IF(AND($C$23&gt;0,$A36&gt;=$C$23),0,1)</f>
        <v/>
      </c>
      <c r="N37" s="17">
        <f>M37*(IF(AND($C$23&gt;0,$A37&gt;=$C$23),L37,0)+(1-$F37)*(1-$B$23))</f>
        <v/>
      </c>
      <c r="O37" s="17">
        <f>SUM(N$31:N37)</f>
        <v/>
      </c>
      <c r="P37" s="16">
        <f>$F37+(1-$F37)*$B$24</f>
        <v/>
      </c>
      <c r="Q37" s="17">
        <f>Q36*P36*IF(AND($C$24&gt;0,$A36&gt;=$C$24),0,1)</f>
        <v/>
      </c>
      <c r="R37" s="17">
        <f>Q37*(IF(AND($C$24&gt;0,$A37&gt;=$C$24),P37,0)+(1-$F37)*(1-$B$24))</f>
        <v/>
      </c>
      <c r="S37" s="17">
        <f>SUM(R$31:R37)</f>
        <v/>
      </c>
      <c r="T37" s="16">
        <f>$F37+(1-$F37)*$B$25</f>
        <v/>
      </c>
      <c r="U37" s="17">
        <f>U36*T36*IF(AND($C$25&gt;0,$A36&gt;=$C$25),0,1)</f>
        <v/>
      </c>
      <c r="V37" s="17">
        <f>U37*(IF(AND($C$25&gt;0,$A37&gt;=$C$25),T37,0)+(1-$F37)*(1-$B$25))</f>
        <v/>
      </c>
      <c r="W37" s="17">
        <f>SUM(V$31:V37)</f>
        <v/>
      </c>
      <c r="X37" s="16">
        <f>$F37+(1-$F37)*$B$26</f>
        <v/>
      </c>
      <c r="Y37" s="17">
        <f>Y36*X36*IF(AND($C$26&gt;0,$A36&gt;=$C$26),0,1)</f>
        <v/>
      </c>
      <c r="Z37" s="17">
        <f>Y37*(IF(AND($C$26&gt;0,$A37&gt;=$C$26),X37,0)+(1-$F37)*(1-$B$26))</f>
        <v/>
      </c>
      <c r="AA37" s="17">
        <f>SUM(Z$31:Z37)</f>
        <v/>
      </c>
    </row>
    <row r="38">
      <c r="A38" s="11" t="n">
        <v>8</v>
      </c>
      <c r="B38" s="13">
        <f>IF(A38=1,"Safe (Start)",IF(OR(A38=$B$10,A38=$B$11),"Milestone",IF(AND($B$9&gt;0,MOD(A38,$B$9)=0),"Safe","Standard")))</f>
        <v/>
      </c>
      <c r="C38" s="6">
        <f>$B$7</f>
        <v/>
      </c>
      <c r="D38" s="13">
        <f>IF($B38="Standard",$B$8,0)</f>
        <v/>
      </c>
      <c r="E38" s="13">
        <f>MIN(6,MAX(1,ROUNDUP(A38/$B$12,0)))</f>
        <v/>
      </c>
      <c r="F38" s="16">
        <f>IF($C38&lt;=0,0,($C38-$D38)/$C38)</f>
        <v/>
      </c>
      <c r="H38" s="16">
        <f>$F38+(1-$F38)*$B$22</f>
        <v/>
      </c>
      <c r="I38" s="17">
        <f>I37*H37*IF(AND($C$22&gt;0,$A37&gt;=$C$22),0,1)</f>
        <v/>
      </c>
      <c r="J38" s="17">
        <f>I38*(IF(AND($C$22&gt;0,$A38&gt;=$C$22),H38,0)+(1-$F38)*(1-$B$22))</f>
        <v/>
      </c>
      <c r="K38" s="17">
        <f>SUM(J$31:J38)</f>
        <v/>
      </c>
      <c r="L38" s="16">
        <f>$F38+(1-$F38)*$B$23</f>
        <v/>
      </c>
      <c r="M38" s="17">
        <f>M37*L37*IF(AND($C$23&gt;0,$A37&gt;=$C$23),0,1)</f>
        <v/>
      </c>
      <c r="N38" s="17">
        <f>M38*(IF(AND($C$23&gt;0,$A38&gt;=$C$23),L38,0)+(1-$F38)*(1-$B$23))</f>
        <v/>
      </c>
      <c r="O38" s="17">
        <f>SUM(N$31:N38)</f>
        <v/>
      </c>
      <c r="P38" s="16">
        <f>$F38+(1-$F38)*$B$24</f>
        <v/>
      </c>
      <c r="Q38" s="17">
        <f>Q37*P37*IF(AND($C$24&gt;0,$A37&gt;=$C$24),0,1)</f>
        <v/>
      </c>
      <c r="R38" s="17">
        <f>Q38*(IF(AND($C$24&gt;0,$A38&gt;=$C$24),P38,0)+(1-$F38)*(1-$B$24))</f>
        <v/>
      </c>
      <c r="S38" s="17">
        <f>SUM(R$31:R38)</f>
        <v/>
      </c>
      <c r="T38" s="16">
        <f>$F38+(1-$F38)*$B$25</f>
        <v/>
      </c>
      <c r="U38" s="17">
        <f>U37*T37*IF(AND($C$25&gt;0,$A37&gt;=$C$25),0,1)</f>
        <v/>
      </c>
      <c r="V38" s="17">
        <f>U38*(IF(AND($C$25&gt;0,$A38&gt;=$C$25),T38,0)+(1-$F38)*(1-$B$25))</f>
        <v/>
      </c>
      <c r="W38" s="17">
        <f>SUM(V$31:V38)</f>
        <v/>
      </c>
      <c r="X38" s="16">
        <f>$F38+(1-$F38)*$B$26</f>
        <v/>
      </c>
      <c r="Y38" s="17">
        <f>Y37*X37*IF(AND($C$26&gt;0,$A37&gt;=$C$26),0,1)</f>
        <v/>
      </c>
      <c r="Z38" s="17">
        <f>Y38*(IF(AND($C$26&gt;0,$A38&gt;=$C$26),X38,0)+(1-$F38)*(1-$B$26))</f>
        <v/>
      </c>
      <c r="AA38" s="17">
        <f>SUM(Z$31:Z38)</f>
        <v/>
      </c>
    </row>
    <row r="39">
      <c r="A39" s="11" t="n">
        <v>9</v>
      </c>
      <c r="B39" s="13">
        <f>IF(A39=1,"Safe (Start)",IF(OR(A39=$B$10,A39=$B$11),"Milestone",IF(AND($B$9&gt;0,MOD(A39,$B$9)=0),"Safe","Standard")))</f>
        <v/>
      </c>
      <c r="C39" s="6">
        <f>$B$7</f>
        <v/>
      </c>
      <c r="D39" s="13">
        <f>IF($B39="Standard",$B$8,0)</f>
        <v/>
      </c>
      <c r="E39" s="13">
        <f>MIN(6,MAX(1,ROUNDUP(A39/$B$12,0)))</f>
        <v/>
      </c>
      <c r="F39" s="16">
        <f>IF($C39&lt;=0,0,($C39-$D39)/$C39)</f>
        <v/>
      </c>
      <c r="H39" s="16">
        <f>$F39+(1-$F39)*$B$22</f>
        <v/>
      </c>
      <c r="I39" s="17">
        <f>I38*H38*IF(AND($C$22&gt;0,$A38&gt;=$C$22),0,1)</f>
        <v/>
      </c>
      <c r="J39" s="17">
        <f>I39*(IF(AND($C$22&gt;0,$A39&gt;=$C$22),H39,0)+(1-$F39)*(1-$B$22))</f>
        <v/>
      </c>
      <c r="K39" s="17">
        <f>SUM(J$31:J39)</f>
        <v/>
      </c>
      <c r="L39" s="16">
        <f>$F39+(1-$F39)*$B$23</f>
        <v/>
      </c>
      <c r="M39" s="17">
        <f>M38*L38*IF(AND($C$23&gt;0,$A38&gt;=$C$23),0,1)</f>
        <v/>
      </c>
      <c r="N39" s="17">
        <f>M39*(IF(AND($C$23&gt;0,$A39&gt;=$C$23),L39,0)+(1-$F39)*(1-$B$23))</f>
        <v/>
      </c>
      <c r="O39" s="17">
        <f>SUM(N$31:N39)</f>
        <v/>
      </c>
      <c r="P39" s="16">
        <f>$F39+(1-$F39)*$B$24</f>
        <v/>
      </c>
      <c r="Q39" s="17">
        <f>Q38*P38*IF(AND($C$24&gt;0,$A38&gt;=$C$24),0,1)</f>
        <v/>
      </c>
      <c r="R39" s="17">
        <f>Q39*(IF(AND($C$24&gt;0,$A39&gt;=$C$24),P39,0)+(1-$F39)*(1-$B$24))</f>
        <v/>
      </c>
      <c r="S39" s="17">
        <f>SUM(R$31:R39)</f>
        <v/>
      </c>
      <c r="T39" s="16">
        <f>$F39+(1-$F39)*$B$25</f>
        <v/>
      </c>
      <c r="U39" s="17">
        <f>U38*T38*IF(AND($C$25&gt;0,$A38&gt;=$C$25),0,1)</f>
        <v/>
      </c>
      <c r="V39" s="17">
        <f>U39*(IF(AND($C$25&gt;0,$A39&gt;=$C$25),T39,0)+(1-$F39)*(1-$B$25))</f>
        <v/>
      </c>
      <c r="W39" s="17">
        <f>SUM(V$31:V39)</f>
        <v/>
      </c>
      <c r="X39" s="16">
        <f>$F39+(1-$F39)*$B$26</f>
        <v/>
      </c>
      <c r="Y39" s="17">
        <f>Y38*X38*IF(AND($C$26&gt;0,$A38&gt;=$C$26),0,1)</f>
        <v/>
      </c>
      <c r="Z39" s="17">
        <f>Y39*(IF(AND($C$26&gt;0,$A39&gt;=$C$26),X39,0)+(1-$F39)*(1-$B$26))</f>
        <v/>
      </c>
      <c r="AA39" s="17">
        <f>SUM(Z$31:Z39)</f>
        <v/>
      </c>
    </row>
    <row r="40">
      <c r="A40" s="11" t="n">
        <v>10</v>
      </c>
      <c r="B40" s="13">
        <f>IF(A40=1,"Safe (Start)",IF(OR(A40=$B$10,A40=$B$11),"Milestone",IF(AND($B$9&gt;0,MOD(A40,$B$9)=0),"Safe","Standard")))</f>
        <v/>
      </c>
      <c r="C40" s="6">
        <f>$B$7</f>
        <v/>
      </c>
      <c r="D40" s="13">
        <f>IF($B40="Standard",$B$8,0)</f>
        <v/>
      </c>
      <c r="E40" s="13">
        <f>MIN(6,MAX(1,ROUNDUP(A40/$B$12,0)))</f>
        <v/>
      </c>
      <c r="F40" s="16">
        <f>IF($C40&lt;=0,0,($C40-$D40)/$C40)</f>
        <v/>
      </c>
      <c r="H40" s="16">
        <f>$F40+(1-$F40)*$B$22</f>
        <v/>
      </c>
      <c r="I40" s="17">
        <f>I39*H39*IF(AND($C$22&gt;0,$A39&gt;=$C$22),0,1)</f>
        <v/>
      </c>
      <c r="J40" s="17">
        <f>I40*(IF(AND($C$22&gt;0,$A40&gt;=$C$22),H40,0)+(1-$F40)*(1-$B$22))</f>
        <v/>
      </c>
      <c r="K40" s="17">
        <f>SUM(J$31:J40)</f>
        <v/>
      </c>
      <c r="L40" s="16">
        <f>$F40+(1-$F40)*$B$23</f>
        <v/>
      </c>
      <c r="M40" s="17">
        <f>M39*L39*IF(AND($C$23&gt;0,$A39&gt;=$C$23),0,1)</f>
        <v/>
      </c>
      <c r="N40" s="17">
        <f>M40*(IF(AND($C$23&gt;0,$A40&gt;=$C$23),L40,0)+(1-$F40)*(1-$B$23))</f>
        <v/>
      </c>
      <c r="O40" s="17">
        <f>SUM(N$31:N40)</f>
        <v/>
      </c>
      <c r="P40" s="16">
        <f>$F40+(1-$F40)*$B$24</f>
        <v/>
      </c>
      <c r="Q40" s="17">
        <f>Q39*P39*IF(AND($C$24&gt;0,$A39&gt;=$C$24),0,1)</f>
        <v/>
      </c>
      <c r="R40" s="17">
        <f>Q40*(IF(AND($C$24&gt;0,$A40&gt;=$C$24),P40,0)+(1-$F40)*(1-$B$24))</f>
        <v/>
      </c>
      <c r="S40" s="17">
        <f>SUM(R$31:R40)</f>
        <v/>
      </c>
      <c r="T40" s="16">
        <f>$F40+(1-$F40)*$B$25</f>
        <v/>
      </c>
      <c r="U40" s="17">
        <f>U39*T39*IF(AND($C$25&gt;0,$A39&gt;=$C$25),0,1)</f>
        <v/>
      </c>
      <c r="V40" s="17">
        <f>U40*(IF(AND($C$25&gt;0,$A40&gt;=$C$25),T40,0)+(1-$F40)*(1-$B$25))</f>
        <v/>
      </c>
      <c r="W40" s="17">
        <f>SUM(V$31:V40)</f>
        <v/>
      </c>
      <c r="X40" s="16">
        <f>$F40+(1-$F40)*$B$26</f>
        <v/>
      </c>
      <c r="Y40" s="17">
        <f>Y39*X39*IF(AND($C$26&gt;0,$A39&gt;=$C$26),0,1)</f>
        <v/>
      </c>
      <c r="Z40" s="17">
        <f>Y40*(IF(AND($C$26&gt;0,$A40&gt;=$C$26),X40,0)+(1-$F40)*(1-$B$26))</f>
        <v/>
      </c>
      <c r="AA40" s="17">
        <f>SUM(Z$31:Z40)</f>
        <v/>
      </c>
    </row>
    <row r="41">
      <c r="A41" s="11" t="n">
        <v>11</v>
      </c>
      <c r="B41" s="13">
        <f>IF(A41=1,"Safe (Start)",IF(OR(A41=$B$10,A41=$B$11),"Milestone",IF(AND($B$9&gt;0,MOD(A41,$B$9)=0),"Safe","Standard")))</f>
        <v/>
      </c>
      <c r="C41" s="6">
        <f>$B$7</f>
        <v/>
      </c>
      <c r="D41" s="13">
        <f>IF($B41="Standard",$B$8,0)</f>
        <v/>
      </c>
      <c r="E41" s="13">
        <f>MIN(6,MAX(1,ROUNDUP(A41/$B$12,0)))</f>
        <v/>
      </c>
      <c r="F41" s="16">
        <f>IF($C41&lt;=0,0,($C41-$D41)/$C41)</f>
        <v/>
      </c>
      <c r="H41" s="16">
        <f>$F41+(1-$F41)*$B$22</f>
        <v/>
      </c>
      <c r="I41" s="17">
        <f>I40*H40*IF(AND($C$22&gt;0,$A40&gt;=$C$22),0,1)</f>
        <v/>
      </c>
      <c r="J41" s="17">
        <f>I41*(IF(AND($C$22&gt;0,$A41&gt;=$C$22),H41,0)+(1-$F41)*(1-$B$22))</f>
        <v/>
      </c>
      <c r="K41" s="17">
        <f>SUM(J$31:J41)</f>
        <v/>
      </c>
      <c r="L41" s="16">
        <f>$F41+(1-$F41)*$B$23</f>
        <v/>
      </c>
      <c r="M41" s="17">
        <f>M40*L40*IF(AND($C$23&gt;0,$A40&gt;=$C$23),0,1)</f>
        <v/>
      </c>
      <c r="N41" s="17">
        <f>M41*(IF(AND($C$23&gt;0,$A41&gt;=$C$23),L41,0)+(1-$F41)*(1-$B$23))</f>
        <v/>
      </c>
      <c r="O41" s="17">
        <f>SUM(N$31:N41)</f>
        <v/>
      </c>
      <c r="P41" s="16">
        <f>$F41+(1-$F41)*$B$24</f>
        <v/>
      </c>
      <c r="Q41" s="17">
        <f>Q40*P40*IF(AND($C$24&gt;0,$A40&gt;=$C$24),0,1)</f>
        <v/>
      </c>
      <c r="R41" s="17">
        <f>Q41*(IF(AND($C$24&gt;0,$A41&gt;=$C$24),P41,0)+(1-$F41)*(1-$B$24))</f>
        <v/>
      </c>
      <c r="S41" s="17">
        <f>SUM(R$31:R41)</f>
        <v/>
      </c>
      <c r="T41" s="16">
        <f>$F41+(1-$F41)*$B$25</f>
        <v/>
      </c>
      <c r="U41" s="17">
        <f>U40*T40*IF(AND($C$25&gt;0,$A40&gt;=$C$25),0,1)</f>
        <v/>
      </c>
      <c r="V41" s="17">
        <f>U41*(IF(AND($C$25&gt;0,$A41&gt;=$C$25),T41,0)+(1-$F41)*(1-$B$25))</f>
        <v/>
      </c>
      <c r="W41" s="17">
        <f>SUM(V$31:V41)</f>
        <v/>
      </c>
      <c r="X41" s="16">
        <f>$F41+(1-$F41)*$B$26</f>
        <v/>
      </c>
      <c r="Y41" s="17">
        <f>Y40*X40*IF(AND($C$26&gt;0,$A40&gt;=$C$26),0,1)</f>
        <v/>
      </c>
      <c r="Z41" s="17">
        <f>Y41*(IF(AND($C$26&gt;0,$A41&gt;=$C$26),X41,0)+(1-$F41)*(1-$B$26))</f>
        <v/>
      </c>
      <c r="AA41" s="17">
        <f>SUM(Z$31:Z41)</f>
        <v/>
      </c>
    </row>
    <row r="42">
      <c r="A42" s="11" t="n">
        <v>12</v>
      </c>
      <c r="B42" s="13">
        <f>IF(A42=1,"Safe (Start)",IF(OR(A42=$B$10,A42=$B$11),"Milestone",IF(AND($B$9&gt;0,MOD(A42,$B$9)=0),"Safe","Standard")))</f>
        <v/>
      </c>
      <c r="C42" s="6">
        <f>$B$7</f>
        <v/>
      </c>
      <c r="D42" s="13">
        <f>IF($B42="Standard",$B$8,0)</f>
        <v/>
      </c>
      <c r="E42" s="13">
        <f>MIN(6,MAX(1,ROUNDUP(A42/$B$12,0)))</f>
        <v/>
      </c>
      <c r="F42" s="16">
        <f>IF($C42&lt;=0,0,($C42-$D42)/$C42)</f>
        <v/>
      </c>
      <c r="H42" s="16">
        <f>$F42+(1-$F42)*$B$22</f>
        <v/>
      </c>
      <c r="I42" s="17">
        <f>I41*H41*IF(AND($C$22&gt;0,$A41&gt;=$C$22),0,1)</f>
        <v/>
      </c>
      <c r="J42" s="17">
        <f>I42*(IF(AND($C$22&gt;0,$A42&gt;=$C$22),H42,0)+(1-$F42)*(1-$B$22))</f>
        <v/>
      </c>
      <c r="K42" s="17">
        <f>SUM(J$31:J42)</f>
        <v/>
      </c>
      <c r="L42" s="16">
        <f>$F42+(1-$F42)*$B$23</f>
        <v/>
      </c>
      <c r="M42" s="17">
        <f>M41*L41*IF(AND($C$23&gt;0,$A41&gt;=$C$23),0,1)</f>
        <v/>
      </c>
      <c r="N42" s="17">
        <f>M42*(IF(AND($C$23&gt;0,$A42&gt;=$C$23),L42,0)+(1-$F42)*(1-$B$23))</f>
        <v/>
      </c>
      <c r="O42" s="17">
        <f>SUM(N$31:N42)</f>
        <v/>
      </c>
      <c r="P42" s="16">
        <f>$F42+(1-$F42)*$B$24</f>
        <v/>
      </c>
      <c r="Q42" s="17">
        <f>Q41*P41*IF(AND($C$24&gt;0,$A41&gt;=$C$24),0,1)</f>
        <v/>
      </c>
      <c r="R42" s="17">
        <f>Q42*(IF(AND($C$24&gt;0,$A42&gt;=$C$24),P42,0)+(1-$F42)*(1-$B$24))</f>
        <v/>
      </c>
      <c r="S42" s="17">
        <f>SUM(R$31:R42)</f>
        <v/>
      </c>
      <c r="T42" s="16">
        <f>$F42+(1-$F42)*$B$25</f>
        <v/>
      </c>
      <c r="U42" s="17">
        <f>U41*T41*IF(AND($C$25&gt;0,$A41&gt;=$C$25),0,1)</f>
        <v/>
      </c>
      <c r="V42" s="17">
        <f>U42*(IF(AND($C$25&gt;0,$A42&gt;=$C$25),T42,0)+(1-$F42)*(1-$B$25))</f>
        <v/>
      </c>
      <c r="W42" s="17">
        <f>SUM(V$31:V42)</f>
        <v/>
      </c>
      <c r="X42" s="16">
        <f>$F42+(1-$F42)*$B$26</f>
        <v/>
      </c>
      <c r="Y42" s="17">
        <f>Y41*X41*IF(AND($C$26&gt;0,$A41&gt;=$C$26),0,1)</f>
        <v/>
      </c>
      <c r="Z42" s="17">
        <f>Y42*(IF(AND($C$26&gt;0,$A42&gt;=$C$26),X42,0)+(1-$F42)*(1-$B$26))</f>
        <v/>
      </c>
      <c r="AA42" s="17">
        <f>SUM(Z$31:Z42)</f>
        <v/>
      </c>
    </row>
    <row r="43">
      <c r="A43" s="11" t="n">
        <v>13</v>
      </c>
      <c r="B43" s="13">
        <f>IF(A43=1,"Safe (Start)",IF(OR(A43=$B$10,A43=$B$11),"Milestone",IF(AND($B$9&gt;0,MOD(A43,$B$9)=0),"Safe","Standard")))</f>
        <v/>
      </c>
      <c r="C43" s="6">
        <f>$B$7</f>
        <v/>
      </c>
      <c r="D43" s="13">
        <f>IF($B43="Standard",$B$8,0)</f>
        <v/>
      </c>
      <c r="E43" s="13">
        <f>MIN(6,MAX(1,ROUNDUP(A43/$B$12,0)))</f>
        <v/>
      </c>
      <c r="F43" s="16">
        <f>IF($C43&lt;=0,0,($C43-$D43)/$C43)</f>
        <v/>
      </c>
      <c r="H43" s="16">
        <f>$F43+(1-$F43)*$B$22</f>
        <v/>
      </c>
      <c r="I43" s="17">
        <f>I42*H42*IF(AND($C$22&gt;0,$A42&gt;=$C$22),0,1)</f>
        <v/>
      </c>
      <c r="J43" s="17">
        <f>I43*(IF(AND($C$22&gt;0,$A43&gt;=$C$22),H43,0)+(1-$F43)*(1-$B$22))</f>
        <v/>
      </c>
      <c r="K43" s="17">
        <f>SUM(J$31:J43)</f>
        <v/>
      </c>
      <c r="L43" s="16">
        <f>$F43+(1-$F43)*$B$23</f>
        <v/>
      </c>
      <c r="M43" s="17">
        <f>M42*L42*IF(AND($C$23&gt;0,$A42&gt;=$C$23),0,1)</f>
        <v/>
      </c>
      <c r="N43" s="17">
        <f>M43*(IF(AND($C$23&gt;0,$A43&gt;=$C$23),L43,0)+(1-$F43)*(1-$B$23))</f>
        <v/>
      </c>
      <c r="O43" s="17">
        <f>SUM(N$31:N43)</f>
        <v/>
      </c>
      <c r="P43" s="16">
        <f>$F43+(1-$F43)*$B$24</f>
        <v/>
      </c>
      <c r="Q43" s="17">
        <f>Q42*P42*IF(AND($C$24&gt;0,$A42&gt;=$C$24),0,1)</f>
        <v/>
      </c>
      <c r="R43" s="17">
        <f>Q43*(IF(AND($C$24&gt;0,$A43&gt;=$C$24),P43,0)+(1-$F43)*(1-$B$24))</f>
        <v/>
      </c>
      <c r="S43" s="17">
        <f>SUM(R$31:R43)</f>
        <v/>
      </c>
      <c r="T43" s="16">
        <f>$F43+(1-$F43)*$B$25</f>
        <v/>
      </c>
      <c r="U43" s="17">
        <f>U42*T42*IF(AND($C$25&gt;0,$A42&gt;=$C$25),0,1)</f>
        <v/>
      </c>
      <c r="V43" s="17">
        <f>U43*(IF(AND($C$25&gt;0,$A43&gt;=$C$25),T43,0)+(1-$F43)*(1-$B$25))</f>
        <v/>
      </c>
      <c r="W43" s="17">
        <f>SUM(V$31:V43)</f>
        <v/>
      </c>
      <c r="X43" s="16">
        <f>$F43+(1-$F43)*$B$26</f>
        <v/>
      </c>
      <c r="Y43" s="17">
        <f>Y42*X42*IF(AND($C$26&gt;0,$A42&gt;=$C$26),0,1)</f>
        <v/>
      </c>
      <c r="Z43" s="17">
        <f>Y43*(IF(AND($C$26&gt;0,$A43&gt;=$C$26),X43,0)+(1-$F43)*(1-$B$26))</f>
        <v/>
      </c>
      <c r="AA43" s="17">
        <f>SUM(Z$31:Z43)</f>
        <v/>
      </c>
    </row>
    <row r="44">
      <c r="A44" s="11" t="n">
        <v>14</v>
      </c>
      <c r="B44" s="13">
        <f>IF(A44=1,"Safe (Start)",IF(OR(A44=$B$10,A44=$B$11),"Milestone",IF(AND($B$9&gt;0,MOD(A44,$B$9)=0),"Safe","Standard")))</f>
        <v/>
      </c>
      <c r="C44" s="6">
        <f>$B$7</f>
        <v/>
      </c>
      <c r="D44" s="13">
        <f>IF($B44="Standard",$B$8,0)</f>
        <v/>
      </c>
      <c r="E44" s="13">
        <f>MIN(6,MAX(1,ROUNDUP(A44/$B$12,0)))</f>
        <v/>
      </c>
      <c r="F44" s="16">
        <f>IF($C44&lt;=0,0,($C44-$D44)/$C44)</f>
        <v/>
      </c>
      <c r="H44" s="16">
        <f>$F44+(1-$F44)*$B$22</f>
        <v/>
      </c>
      <c r="I44" s="17">
        <f>I43*H43*IF(AND($C$22&gt;0,$A43&gt;=$C$22),0,1)</f>
        <v/>
      </c>
      <c r="J44" s="17">
        <f>I44*(IF(AND($C$22&gt;0,$A44&gt;=$C$22),H44,0)+(1-$F44)*(1-$B$22))</f>
        <v/>
      </c>
      <c r="K44" s="17">
        <f>SUM(J$31:J44)</f>
        <v/>
      </c>
      <c r="L44" s="16">
        <f>$F44+(1-$F44)*$B$23</f>
        <v/>
      </c>
      <c r="M44" s="17">
        <f>M43*L43*IF(AND($C$23&gt;0,$A43&gt;=$C$23),0,1)</f>
        <v/>
      </c>
      <c r="N44" s="17">
        <f>M44*(IF(AND($C$23&gt;0,$A44&gt;=$C$23),L44,0)+(1-$F44)*(1-$B$23))</f>
        <v/>
      </c>
      <c r="O44" s="17">
        <f>SUM(N$31:N44)</f>
        <v/>
      </c>
      <c r="P44" s="16">
        <f>$F44+(1-$F44)*$B$24</f>
        <v/>
      </c>
      <c r="Q44" s="17">
        <f>Q43*P43*IF(AND($C$24&gt;0,$A43&gt;=$C$24),0,1)</f>
        <v/>
      </c>
      <c r="R44" s="17">
        <f>Q44*(IF(AND($C$24&gt;0,$A44&gt;=$C$24),P44,0)+(1-$F44)*(1-$B$24))</f>
        <v/>
      </c>
      <c r="S44" s="17">
        <f>SUM(R$31:R44)</f>
        <v/>
      </c>
      <c r="T44" s="16">
        <f>$F44+(1-$F44)*$B$25</f>
        <v/>
      </c>
      <c r="U44" s="17">
        <f>U43*T43*IF(AND($C$25&gt;0,$A43&gt;=$C$25),0,1)</f>
        <v/>
      </c>
      <c r="V44" s="17">
        <f>U44*(IF(AND($C$25&gt;0,$A44&gt;=$C$25),T44,0)+(1-$F44)*(1-$B$25))</f>
        <v/>
      </c>
      <c r="W44" s="17">
        <f>SUM(V$31:V44)</f>
        <v/>
      </c>
      <c r="X44" s="16">
        <f>$F44+(1-$F44)*$B$26</f>
        <v/>
      </c>
      <c r="Y44" s="17">
        <f>Y43*X43*IF(AND($C$26&gt;0,$A43&gt;=$C$26),0,1)</f>
        <v/>
      </c>
      <c r="Z44" s="17">
        <f>Y44*(IF(AND($C$26&gt;0,$A44&gt;=$C$26),X44,0)+(1-$F44)*(1-$B$26))</f>
        <v/>
      </c>
      <c r="AA44" s="17">
        <f>SUM(Z$31:Z44)</f>
        <v/>
      </c>
    </row>
    <row r="45">
      <c r="A45" s="11" t="n">
        <v>15</v>
      </c>
      <c r="B45" s="13">
        <f>IF(A45=1,"Safe (Start)",IF(OR(A45=$B$10,A45=$B$11),"Milestone",IF(AND($B$9&gt;0,MOD(A45,$B$9)=0),"Safe","Standard")))</f>
        <v/>
      </c>
      <c r="C45" s="6">
        <f>$B$7</f>
        <v/>
      </c>
      <c r="D45" s="13">
        <f>IF($B45="Standard",$B$8,0)</f>
        <v/>
      </c>
      <c r="E45" s="13">
        <f>MIN(6,MAX(1,ROUNDUP(A45/$B$12,0)))</f>
        <v/>
      </c>
      <c r="F45" s="16">
        <f>IF($C45&lt;=0,0,($C45-$D45)/$C45)</f>
        <v/>
      </c>
      <c r="H45" s="16">
        <f>$F45+(1-$F45)*$B$22</f>
        <v/>
      </c>
      <c r="I45" s="17">
        <f>I44*H44*IF(AND($C$22&gt;0,$A44&gt;=$C$22),0,1)</f>
        <v/>
      </c>
      <c r="J45" s="17">
        <f>I45*(IF(AND($C$22&gt;0,$A45&gt;=$C$22),H45,0)+(1-$F45)*(1-$B$22))</f>
        <v/>
      </c>
      <c r="K45" s="17">
        <f>SUM(J$31:J45)</f>
        <v/>
      </c>
      <c r="L45" s="16">
        <f>$F45+(1-$F45)*$B$23</f>
        <v/>
      </c>
      <c r="M45" s="17">
        <f>M44*L44*IF(AND($C$23&gt;0,$A44&gt;=$C$23),0,1)</f>
        <v/>
      </c>
      <c r="N45" s="17">
        <f>M45*(IF(AND($C$23&gt;0,$A45&gt;=$C$23),L45,0)+(1-$F45)*(1-$B$23))</f>
        <v/>
      </c>
      <c r="O45" s="17">
        <f>SUM(N$31:N45)</f>
        <v/>
      </c>
      <c r="P45" s="16">
        <f>$F45+(1-$F45)*$B$24</f>
        <v/>
      </c>
      <c r="Q45" s="17">
        <f>Q44*P44*IF(AND($C$24&gt;0,$A44&gt;=$C$24),0,1)</f>
        <v/>
      </c>
      <c r="R45" s="17">
        <f>Q45*(IF(AND($C$24&gt;0,$A45&gt;=$C$24),P45,0)+(1-$F45)*(1-$B$24))</f>
        <v/>
      </c>
      <c r="S45" s="17">
        <f>SUM(R$31:R45)</f>
        <v/>
      </c>
      <c r="T45" s="16">
        <f>$F45+(1-$F45)*$B$25</f>
        <v/>
      </c>
      <c r="U45" s="17">
        <f>U44*T44*IF(AND($C$25&gt;0,$A44&gt;=$C$25),0,1)</f>
        <v/>
      </c>
      <c r="V45" s="17">
        <f>U45*(IF(AND($C$25&gt;0,$A45&gt;=$C$25),T45,0)+(1-$F45)*(1-$B$25))</f>
        <v/>
      </c>
      <c r="W45" s="17">
        <f>SUM(V$31:V45)</f>
        <v/>
      </c>
      <c r="X45" s="16">
        <f>$F45+(1-$F45)*$B$26</f>
        <v/>
      </c>
      <c r="Y45" s="17">
        <f>Y44*X44*IF(AND($C$26&gt;0,$A44&gt;=$C$26),0,1)</f>
        <v/>
      </c>
      <c r="Z45" s="17">
        <f>Y45*(IF(AND($C$26&gt;0,$A45&gt;=$C$26),X45,0)+(1-$F45)*(1-$B$26))</f>
        <v/>
      </c>
      <c r="AA45" s="17">
        <f>SUM(Z$31:Z45)</f>
        <v/>
      </c>
    </row>
    <row r="46">
      <c r="A46" s="11" t="n">
        <v>16</v>
      </c>
      <c r="B46" s="13">
        <f>IF(A46=1,"Safe (Start)",IF(OR(A46=$B$10,A46=$B$11),"Milestone",IF(AND($B$9&gt;0,MOD(A46,$B$9)=0),"Safe","Standard")))</f>
        <v/>
      </c>
      <c r="C46" s="6">
        <f>$B$7</f>
        <v/>
      </c>
      <c r="D46" s="13">
        <f>IF($B46="Standard",$B$8,0)</f>
        <v/>
      </c>
      <c r="E46" s="13">
        <f>MIN(6,MAX(1,ROUNDUP(A46/$B$12,0)))</f>
        <v/>
      </c>
      <c r="F46" s="16">
        <f>IF($C46&lt;=0,0,($C46-$D46)/$C46)</f>
        <v/>
      </c>
      <c r="H46" s="16">
        <f>$F46+(1-$F46)*$B$22</f>
        <v/>
      </c>
      <c r="I46" s="17">
        <f>I45*H45*IF(AND($C$22&gt;0,$A45&gt;=$C$22),0,1)</f>
        <v/>
      </c>
      <c r="J46" s="17">
        <f>I46*(IF(AND($C$22&gt;0,$A46&gt;=$C$22),H46,0)+(1-$F46)*(1-$B$22))</f>
        <v/>
      </c>
      <c r="K46" s="17">
        <f>SUM(J$31:J46)</f>
        <v/>
      </c>
      <c r="L46" s="16">
        <f>$F46+(1-$F46)*$B$23</f>
        <v/>
      </c>
      <c r="M46" s="17">
        <f>M45*L45*IF(AND($C$23&gt;0,$A45&gt;=$C$23),0,1)</f>
        <v/>
      </c>
      <c r="N46" s="17">
        <f>M46*(IF(AND($C$23&gt;0,$A46&gt;=$C$23),L46,0)+(1-$F46)*(1-$B$23))</f>
        <v/>
      </c>
      <c r="O46" s="17">
        <f>SUM(N$31:N46)</f>
        <v/>
      </c>
      <c r="P46" s="16">
        <f>$F46+(1-$F46)*$B$24</f>
        <v/>
      </c>
      <c r="Q46" s="17">
        <f>Q45*P45*IF(AND($C$24&gt;0,$A45&gt;=$C$24),0,1)</f>
        <v/>
      </c>
      <c r="R46" s="17">
        <f>Q46*(IF(AND($C$24&gt;0,$A46&gt;=$C$24),P46,0)+(1-$F46)*(1-$B$24))</f>
        <v/>
      </c>
      <c r="S46" s="17">
        <f>SUM(R$31:R46)</f>
        <v/>
      </c>
      <c r="T46" s="16">
        <f>$F46+(1-$F46)*$B$25</f>
        <v/>
      </c>
      <c r="U46" s="17">
        <f>U45*T45*IF(AND($C$25&gt;0,$A45&gt;=$C$25),0,1)</f>
        <v/>
      </c>
      <c r="V46" s="17">
        <f>U46*(IF(AND($C$25&gt;0,$A46&gt;=$C$25),T46,0)+(1-$F46)*(1-$B$25))</f>
        <v/>
      </c>
      <c r="W46" s="17">
        <f>SUM(V$31:V46)</f>
        <v/>
      </c>
      <c r="X46" s="16">
        <f>$F46+(1-$F46)*$B$26</f>
        <v/>
      </c>
      <c r="Y46" s="17">
        <f>Y45*X45*IF(AND($C$26&gt;0,$A45&gt;=$C$26),0,1)</f>
        <v/>
      </c>
      <c r="Z46" s="17">
        <f>Y46*(IF(AND($C$26&gt;0,$A46&gt;=$C$26),X46,0)+(1-$F46)*(1-$B$26))</f>
        <v/>
      </c>
      <c r="AA46" s="17">
        <f>SUM(Z$31:Z46)</f>
        <v/>
      </c>
    </row>
    <row r="47">
      <c r="A47" s="11" t="n">
        <v>17</v>
      </c>
      <c r="B47" s="13">
        <f>IF(A47=1,"Safe (Start)",IF(OR(A47=$B$10,A47=$B$11),"Milestone",IF(AND($B$9&gt;0,MOD(A47,$B$9)=0),"Safe","Standard")))</f>
        <v/>
      </c>
      <c r="C47" s="6">
        <f>$B$7</f>
        <v/>
      </c>
      <c r="D47" s="13">
        <f>IF($B47="Standard",$B$8,0)</f>
        <v/>
      </c>
      <c r="E47" s="13">
        <f>MIN(6,MAX(1,ROUNDUP(A47/$B$12,0)))</f>
        <v/>
      </c>
      <c r="F47" s="16">
        <f>IF($C47&lt;=0,0,($C47-$D47)/$C47)</f>
        <v/>
      </c>
      <c r="H47" s="16">
        <f>$F47+(1-$F47)*$B$22</f>
        <v/>
      </c>
      <c r="I47" s="17">
        <f>I46*H46*IF(AND($C$22&gt;0,$A46&gt;=$C$22),0,1)</f>
        <v/>
      </c>
      <c r="J47" s="17">
        <f>I47*(IF(AND($C$22&gt;0,$A47&gt;=$C$22),H47,0)+(1-$F47)*(1-$B$22))</f>
        <v/>
      </c>
      <c r="K47" s="17">
        <f>SUM(J$31:J47)</f>
        <v/>
      </c>
      <c r="L47" s="16">
        <f>$F47+(1-$F47)*$B$23</f>
        <v/>
      </c>
      <c r="M47" s="17">
        <f>M46*L46*IF(AND($C$23&gt;0,$A46&gt;=$C$23),0,1)</f>
        <v/>
      </c>
      <c r="N47" s="17">
        <f>M47*(IF(AND($C$23&gt;0,$A47&gt;=$C$23),L47,0)+(1-$F47)*(1-$B$23))</f>
        <v/>
      </c>
      <c r="O47" s="17">
        <f>SUM(N$31:N47)</f>
        <v/>
      </c>
      <c r="P47" s="16">
        <f>$F47+(1-$F47)*$B$24</f>
        <v/>
      </c>
      <c r="Q47" s="17">
        <f>Q46*P46*IF(AND($C$24&gt;0,$A46&gt;=$C$24),0,1)</f>
        <v/>
      </c>
      <c r="R47" s="17">
        <f>Q47*(IF(AND($C$24&gt;0,$A47&gt;=$C$24),P47,0)+(1-$F47)*(1-$B$24))</f>
        <v/>
      </c>
      <c r="S47" s="17">
        <f>SUM(R$31:R47)</f>
        <v/>
      </c>
      <c r="T47" s="16">
        <f>$F47+(1-$F47)*$B$25</f>
        <v/>
      </c>
      <c r="U47" s="17">
        <f>U46*T46*IF(AND($C$25&gt;0,$A46&gt;=$C$25),0,1)</f>
        <v/>
      </c>
      <c r="V47" s="17">
        <f>U47*(IF(AND($C$25&gt;0,$A47&gt;=$C$25),T47,0)+(1-$F47)*(1-$B$25))</f>
        <v/>
      </c>
      <c r="W47" s="17">
        <f>SUM(V$31:V47)</f>
        <v/>
      </c>
      <c r="X47" s="16">
        <f>$F47+(1-$F47)*$B$26</f>
        <v/>
      </c>
      <c r="Y47" s="17">
        <f>Y46*X46*IF(AND($C$26&gt;0,$A46&gt;=$C$26),0,1)</f>
        <v/>
      </c>
      <c r="Z47" s="17">
        <f>Y47*(IF(AND($C$26&gt;0,$A47&gt;=$C$26),X47,0)+(1-$F47)*(1-$B$26))</f>
        <v/>
      </c>
      <c r="AA47" s="17">
        <f>SUM(Z$31:Z47)</f>
        <v/>
      </c>
    </row>
    <row r="48">
      <c r="A48" s="11" t="n">
        <v>18</v>
      </c>
      <c r="B48" s="13">
        <f>IF(A48=1,"Safe (Start)",IF(OR(A48=$B$10,A48=$B$11),"Milestone",IF(AND($B$9&gt;0,MOD(A48,$B$9)=0),"Safe","Standard")))</f>
        <v/>
      </c>
      <c r="C48" s="6">
        <f>$B$7</f>
        <v/>
      </c>
      <c r="D48" s="13">
        <f>IF($B48="Standard",$B$8,0)</f>
        <v/>
      </c>
      <c r="E48" s="13">
        <f>MIN(6,MAX(1,ROUNDUP(A48/$B$12,0)))</f>
        <v/>
      </c>
      <c r="F48" s="16">
        <f>IF($C48&lt;=0,0,($C48-$D48)/$C48)</f>
        <v/>
      </c>
      <c r="H48" s="16">
        <f>$F48+(1-$F48)*$B$22</f>
        <v/>
      </c>
      <c r="I48" s="17">
        <f>I47*H47*IF(AND($C$22&gt;0,$A47&gt;=$C$22),0,1)</f>
        <v/>
      </c>
      <c r="J48" s="17">
        <f>I48*(IF(AND($C$22&gt;0,$A48&gt;=$C$22),H48,0)+(1-$F48)*(1-$B$22))</f>
        <v/>
      </c>
      <c r="K48" s="17">
        <f>SUM(J$31:J48)</f>
        <v/>
      </c>
      <c r="L48" s="16">
        <f>$F48+(1-$F48)*$B$23</f>
        <v/>
      </c>
      <c r="M48" s="17">
        <f>M47*L47*IF(AND($C$23&gt;0,$A47&gt;=$C$23),0,1)</f>
        <v/>
      </c>
      <c r="N48" s="17">
        <f>M48*(IF(AND($C$23&gt;0,$A48&gt;=$C$23),L48,0)+(1-$F48)*(1-$B$23))</f>
        <v/>
      </c>
      <c r="O48" s="17">
        <f>SUM(N$31:N48)</f>
        <v/>
      </c>
      <c r="P48" s="16">
        <f>$F48+(1-$F48)*$B$24</f>
        <v/>
      </c>
      <c r="Q48" s="17">
        <f>Q47*P47*IF(AND($C$24&gt;0,$A47&gt;=$C$24),0,1)</f>
        <v/>
      </c>
      <c r="R48" s="17">
        <f>Q48*(IF(AND($C$24&gt;0,$A48&gt;=$C$24),P48,0)+(1-$F48)*(1-$B$24))</f>
        <v/>
      </c>
      <c r="S48" s="17">
        <f>SUM(R$31:R48)</f>
        <v/>
      </c>
      <c r="T48" s="16">
        <f>$F48+(1-$F48)*$B$25</f>
        <v/>
      </c>
      <c r="U48" s="17">
        <f>U47*T47*IF(AND($C$25&gt;0,$A47&gt;=$C$25),0,1)</f>
        <v/>
      </c>
      <c r="V48" s="17">
        <f>U48*(IF(AND($C$25&gt;0,$A48&gt;=$C$25),T48,0)+(1-$F48)*(1-$B$25))</f>
        <v/>
      </c>
      <c r="W48" s="17">
        <f>SUM(V$31:V48)</f>
        <v/>
      </c>
      <c r="X48" s="16">
        <f>$F48+(1-$F48)*$B$26</f>
        <v/>
      </c>
      <c r="Y48" s="17">
        <f>Y47*X47*IF(AND($C$26&gt;0,$A47&gt;=$C$26),0,1)</f>
        <v/>
      </c>
      <c r="Z48" s="17">
        <f>Y48*(IF(AND($C$26&gt;0,$A48&gt;=$C$26),X48,0)+(1-$F48)*(1-$B$26))</f>
        <v/>
      </c>
      <c r="AA48" s="17">
        <f>SUM(Z$31:Z48)</f>
        <v/>
      </c>
    </row>
    <row r="49">
      <c r="A49" s="11" t="n">
        <v>19</v>
      </c>
      <c r="B49" s="13">
        <f>IF(A49=1,"Safe (Start)",IF(OR(A49=$B$10,A49=$B$11),"Milestone",IF(AND($B$9&gt;0,MOD(A49,$B$9)=0),"Safe","Standard")))</f>
        <v/>
      </c>
      <c r="C49" s="6">
        <f>$B$7</f>
        <v/>
      </c>
      <c r="D49" s="13">
        <f>IF($B49="Standard",$B$8,0)</f>
        <v/>
      </c>
      <c r="E49" s="13">
        <f>MIN(6,MAX(1,ROUNDUP(A49/$B$12,0)))</f>
        <v/>
      </c>
      <c r="F49" s="16">
        <f>IF($C49&lt;=0,0,($C49-$D49)/$C49)</f>
        <v/>
      </c>
      <c r="H49" s="16">
        <f>$F49+(1-$F49)*$B$22</f>
        <v/>
      </c>
      <c r="I49" s="17">
        <f>I48*H48*IF(AND($C$22&gt;0,$A48&gt;=$C$22),0,1)</f>
        <v/>
      </c>
      <c r="J49" s="17">
        <f>I49*(IF(AND($C$22&gt;0,$A49&gt;=$C$22),H49,0)+(1-$F49)*(1-$B$22))</f>
        <v/>
      </c>
      <c r="K49" s="17">
        <f>SUM(J$31:J49)</f>
        <v/>
      </c>
      <c r="L49" s="16">
        <f>$F49+(1-$F49)*$B$23</f>
        <v/>
      </c>
      <c r="M49" s="17">
        <f>M48*L48*IF(AND($C$23&gt;0,$A48&gt;=$C$23),0,1)</f>
        <v/>
      </c>
      <c r="N49" s="17">
        <f>M49*(IF(AND($C$23&gt;0,$A49&gt;=$C$23),L49,0)+(1-$F49)*(1-$B$23))</f>
        <v/>
      </c>
      <c r="O49" s="17">
        <f>SUM(N$31:N49)</f>
        <v/>
      </c>
      <c r="P49" s="16">
        <f>$F49+(1-$F49)*$B$24</f>
        <v/>
      </c>
      <c r="Q49" s="17">
        <f>Q48*P48*IF(AND($C$24&gt;0,$A48&gt;=$C$24),0,1)</f>
        <v/>
      </c>
      <c r="R49" s="17">
        <f>Q49*(IF(AND($C$24&gt;0,$A49&gt;=$C$24),P49,0)+(1-$F49)*(1-$B$24))</f>
        <v/>
      </c>
      <c r="S49" s="17">
        <f>SUM(R$31:R49)</f>
        <v/>
      </c>
      <c r="T49" s="16">
        <f>$F49+(1-$F49)*$B$25</f>
        <v/>
      </c>
      <c r="U49" s="17">
        <f>U48*T48*IF(AND($C$25&gt;0,$A48&gt;=$C$25),0,1)</f>
        <v/>
      </c>
      <c r="V49" s="17">
        <f>U49*(IF(AND($C$25&gt;0,$A49&gt;=$C$25),T49,0)+(1-$F49)*(1-$B$25))</f>
        <v/>
      </c>
      <c r="W49" s="17">
        <f>SUM(V$31:V49)</f>
        <v/>
      </c>
      <c r="X49" s="16">
        <f>$F49+(1-$F49)*$B$26</f>
        <v/>
      </c>
      <c r="Y49" s="17">
        <f>Y48*X48*IF(AND($C$26&gt;0,$A48&gt;=$C$26),0,1)</f>
        <v/>
      </c>
      <c r="Z49" s="17">
        <f>Y49*(IF(AND($C$26&gt;0,$A49&gt;=$C$26),X49,0)+(1-$F49)*(1-$B$26))</f>
        <v/>
      </c>
      <c r="AA49" s="17">
        <f>SUM(Z$31:Z49)</f>
        <v/>
      </c>
    </row>
    <row r="50">
      <c r="A50" s="11" t="n">
        <v>20</v>
      </c>
      <c r="B50" s="13">
        <f>IF(A50=1,"Safe (Start)",IF(OR(A50=$B$10,A50=$B$11),"Milestone",IF(AND($B$9&gt;0,MOD(A50,$B$9)=0),"Safe","Standard")))</f>
        <v/>
      </c>
      <c r="C50" s="6">
        <f>$B$7</f>
        <v/>
      </c>
      <c r="D50" s="13">
        <f>IF($B50="Standard",$B$8,0)</f>
        <v/>
      </c>
      <c r="E50" s="13">
        <f>MIN(6,MAX(1,ROUNDUP(A50/$B$12,0)))</f>
        <v/>
      </c>
      <c r="F50" s="16">
        <f>IF($C50&lt;=0,0,($C50-$D50)/$C50)</f>
        <v/>
      </c>
      <c r="H50" s="16">
        <f>$F50+(1-$F50)*$B$22</f>
        <v/>
      </c>
      <c r="I50" s="17">
        <f>I49*H49*IF(AND($C$22&gt;0,$A49&gt;=$C$22),0,1)</f>
        <v/>
      </c>
      <c r="J50" s="17">
        <f>I50*(IF(AND($C$22&gt;0,$A50&gt;=$C$22),H50,0)+(1-$F50)*(1-$B$22))</f>
        <v/>
      </c>
      <c r="K50" s="17">
        <f>SUM(J$31:J50)</f>
        <v/>
      </c>
      <c r="L50" s="16">
        <f>$F50+(1-$F50)*$B$23</f>
        <v/>
      </c>
      <c r="M50" s="17">
        <f>M49*L49*IF(AND($C$23&gt;0,$A49&gt;=$C$23),0,1)</f>
        <v/>
      </c>
      <c r="N50" s="17">
        <f>M50*(IF(AND($C$23&gt;0,$A50&gt;=$C$23),L50,0)+(1-$F50)*(1-$B$23))</f>
        <v/>
      </c>
      <c r="O50" s="17">
        <f>SUM(N$31:N50)</f>
        <v/>
      </c>
      <c r="P50" s="16">
        <f>$F50+(1-$F50)*$B$24</f>
        <v/>
      </c>
      <c r="Q50" s="17">
        <f>Q49*P49*IF(AND($C$24&gt;0,$A49&gt;=$C$24),0,1)</f>
        <v/>
      </c>
      <c r="R50" s="17">
        <f>Q50*(IF(AND($C$24&gt;0,$A50&gt;=$C$24),P50,0)+(1-$F50)*(1-$B$24))</f>
        <v/>
      </c>
      <c r="S50" s="17">
        <f>SUM(R$31:R50)</f>
        <v/>
      </c>
      <c r="T50" s="16">
        <f>$F50+(1-$F50)*$B$25</f>
        <v/>
      </c>
      <c r="U50" s="17">
        <f>U49*T49*IF(AND($C$25&gt;0,$A49&gt;=$C$25),0,1)</f>
        <v/>
      </c>
      <c r="V50" s="17">
        <f>U50*(IF(AND($C$25&gt;0,$A50&gt;=$C$25),T50,0)+(1-$F50)*(1-$B$25))</f>
        <v/>
      </c>
      <c r="W50" s="17">
        <f>SUM(V$31:V50)</f>
        <v/>
      </c>
      <c r="X50" s="16">
        <f>$F50+(1-$F50)*$B$26</f>
        <v/>
      </c>
      <c r="Y50" s="17">
        <f>Y49*X49*IF(AND($C$26&gt;0,$A49&gt;=$C$26),0,1)</f>
        <v/>
      </c>
      <c r="Z50" s="17">
        <f>Y50*(IF(AND($C$26&gt;0,$A50&gt;=$C$26),X50,0)+(1-$F50)*(1-$B$26))</f>
        <v/>
      </c>
      <c r="AA50" s="17">
        <f>SUM(Z$31:Z50)</f>
        <v/>
      </c>
    </row>
    <row r="51">
      <c r="A51" s="11" t="n">
        <v>21</v>
      </c>
      <c r="B51" s="13">
        <f>IF(A51=1,"Safe (Start)",IF(OR(A51=$B$10,A51=$B$11),"Milestone",IF(AND($B$9&gt;0,MOD(A51,$B$9)=0),"Safe","Standard")))</f>
        <v/>
      </c>
      <c r="C51" s="6">
        <f>$B$7</f>
        <v/>
      </c>
      <c r="D51" s="13">
        <f>IF($B51="Standard",$B$8,0)</f>
        <v/>
      </c>
      <c r="E51" s="13">
        <f>MIN(6,MAX(1,ROUNDUP(A51/$B$12,0)))</f>
        <v/>
      </c>
      <c r="F51" s="16">
        <f>IF($C51&lt;=0,0,($C51-$D51)/$C51)</f>
        <v/>
      </c>
      <c r="H51" s="16">
        <f>$F51+(1-$F51)*$B$22</f>
        <v/>
      </c>
      <c r="I51" s="17">
        <f>I50*H50*IF(AND($C$22&gt;0,$A50&gt;=$C$22),0,1)</f>
        <v/>
      </c>
      <c r="J51" s="17">
        <f>I51*(IF(AND($C$22&gt;0,$A51&gt;=$C$22),H51,0)+(1-$F51)*(1-$B$22))</f>
        <v/>
      </c>
      <c r="K51" s="17">
        <f>SUM(J$31:J51)</f>
        <v/>
      </c>
      <c r="L51" s="16">
        <f>$F51+(1-$F51)*$B$23</f>
        <v/>
      </c>
      <c r="M51" s="17">
        <f>M50*L50*IF(AND($C$23&gt;0,$A50&gt;=$C$23),0,1)</f>
        <v/>
      </c>
      <c r="N51" s="17">
        <f>M51*(IF(AND($C$23&gt;0,$A51&gt;=$C$23),L51,0)+(1-$F51)*(1-$B$23))</f>
        <v/>
      </c>
      <c r="O51" s="17">
        <f>SUM(N$31:N51)</f>
        <v/>
      </c>
      <c r="P51" s="16">
        <f>$F51+(1-$F51)*$B$24</f>
        <v/>
      </c>
      <c r="Q51" s="17">
        <f>Q50*P50*IF(AND($C$24&gt;0,$A50&gt;=$C$24),0,1)</f>
        <v/>
      </c>
      <c r="R51" s="17">
        <f>Q51*(IF(AND($C$24&gt;0,$A51&gt;=$C$24),P51,0)+(1-$F51)*(1-$B$24))</f>
        <v/>
      </c>
      <c r="S51" s="17">
        <f>SUM(R$31:R51)</f>
        <v/>
      </c>
      <c r="T51" s="16">
        <f>$F51+(1-$F51)*$B$25</f>
        <v/>
      </c>
      <c r="U51" s="17">
        <f>U50*T50*IF(AND($C$25&gt;0,$A50&gt;=$C$25),0,1)</f>
        <v/>
      </c>
      <c r="V51" s="17">
        <f>U51*(IF(AND($C$25&gt;0,$A51&gt;=$C$25),T51,0)+(1-$F51)*(1-$B$25))</f>
        <v/>
      </c>
      <c r="W51" s="17">
        <f>SUM(V$31:V51)</f>
        <v/>
      </c>
      <c r="X51" s="16">
        <f>$F51+(1-$F51)*$B$26</f>
        <v/>
      </c>
      <c r="Y51" s="17">
        <f>Y50*X50*IF(AND($C$26&gt;0,$A50&gt;=$C$26),0,1)</f>
        <v/>
      </c>
      <c r="Z51" s="17">
        <f>Y51*(IF(AND($C$26&gt;0,$A51&gt;=$C$26),X51,0)+(1-$F51)*(1-$B$26))</f>
        <v/>
      </c>
      <c r="AA51" s="17">
        <f>SUM(Z$31:Z51)</f>
        <v/>
      </c>
    </row>
    <row r="52">
      <c r="A52" s="11" t="n">
        <v>22</v>
      </c>
      <c r="B52" s="13">
        <f>IF(A52=1,"Safe (Start)",IF(OR(A52=$B$10,A52=$B$11),"Milestone",IF(AND($B$9&gt;0,MOD(A52,$B$9)=0),"Safe","Standard")))</f>
        <v/>
      </c>
      <c r="C52" s="6">
        <f>$B$7</f>
        <v/>
      </c>
      <c r="D52" s="13">
        <f>IF($B52="Standard",$B$8,0)</f>
        <v/>
      </c>
      <c r="E52" s="13">
        <f>MIN(6,MAX(1,ROUNDUP(A52/$B$12,0)))</f>
        <v/>
      </c>
      <c r="F52" s="16">
        <f>IF($C52&lt;=0,0,($C52-$D52)/$C52)</f>
        <v/>
      </c>
      <c r="H52" s="16">
        <f>$F52+(1-$F52)*$B$22</f>
        <v/>
      </c>
      <c r="I52" s="17">
        <f>I51*H51*IF(AND($C$22&gt;0,$A51&gt;=$C$22),0,1)</f>
        <v/>
      </c>
      <c r="J52" s="17">
        <f>I52*(IF(AND($C$22&gt;0,$A52&gt;=$C$22),H52,0)+(1-$F52)*(1-$B$22))</f>
        <v/>
      </c>
      <c r="K52" s="17">
        <f>SUM(J$31:J52)</f>
        <v/>
      </c>
      <c r="L52" s="16">
        <f>$F52+(1-$F52)*$B$23</f>
        <v/>
      </c>
      <c r="M52" s="17">
        <f>M51*L51*IF(AND($C$23&gt;0,$A51&gt;=$C$23),0,1)</f>
        <v/>
      </c>
      <c r="N52" s="17">
        <f>M52*(IF(AND($C$23&gt;0,$A52&gt;=$C$23),L52,0)+(1-$F52)*(1-$B$23))</f>
        <v/>
      </c>
      <c r="O52" s="17">
        <f>SUM(N$31:N52)</f>
        <v/>
      </c>
      <c r="P52" s="16">
        <f>$F52+(1-$F52)*$B$24</f>
        <v/>
      </c>
      <c r="Q52" s="17">
        <f>Q51*P51*IF(AND($C$24&gt;0,$A51&gt;=$C$24),0,1)</f>
        <v/>
      </c>
      <c r="R52" s="17">
        <f>Q52*(IF(AND($C$24&gt;0,$A52&gt;=$C$24),P52,0)+(1-$F52)*(1-$B$24))</f>
        <v/>
      </c>
      <c r="S52" s="17">
        <f>SUM(R$31:R52)</f>
        <v/>
      </c>
      <c r="T52" s="16">
        <f>$F52+(1-$F52)*$B$25</f>
        <v/>
      </c>
      <c r="U52" s="17">
        <f>U51*T51*IF(AND($C$25&gt;0,$A51&gt;=$C$25),0,1)</f>
        <v/>
      </c>
      <c r="V52" s="17">
        <f>U52*(IF(AND($C$25&gt;0,$A52&gt;=$C$25),T52,0)+(1-$F52)*(1-$B$25))</f>
        <v/>
      </c>
      <c r="W52" s="17">
        <f>SUM(V$31:V52)</f>
        <v/>
      </c>
      <c r="X52" s="16">
        <f>$F52+(1-$F52)*$B$26</f>
        <v/>
      </c>
      <c r="Y52" s="17">
        <f>Y51*X51*IF(AND($C$26&gt;0,$A51&gt;=$C$26),0,1)</f>
        <v/>
      </c>
      <c r="Z52" s="17">
        <f>Y52*(IF(AND($C$26&gt;0,$A52&gt;=$C$26),X52,0)+(1-$F52)*(1-$B$26))</f>
        <v/>
      </c>
      <c r="AA52" s="17">
        <f>SUM(Z$31:Z52)</f>
        <v/>
      </c>
    </row>
    <row r="53">
      <c r="A53" s="11" t="n">
        <v>23</v>
      </c>
      <c r="B53" s="13">
        <f>IF(A53=1,"Safe (Start)",IF(OR(A53=$B$10,A53=$B$11),"Milestone",IF(AND($B$9&gt;0,MOD(A53,$B$9)=0),"Safe","Standard")))</f>
        <v/>
      </c>
      <c r="C53" s="6">
        <f>$B$7</f>
        <v/>
      </c>
      <c r="D53" s="13">
        <f>IF($B53="Standard",$B$8,0)</f>
        <v/>
      </c>
      <c r="E53" s="13">
        <f>MIN(6,MAX(1,ROUNDUP(A53/$B$12,0)))</f>
        <v/>
      </c>
      <c r="F53" s="16">
        <f>IF($C53&lt;=0,0,($C53-$D53)/$C53)</f>
        <v/>
      </c>
      <c r="H53" s="16">
        <f>$F53+(1-$F53)*$B$22</f>
        <v/>
      </c>
      <c r="I53" s="17">
        <f>I52*H52*IF(AND($C$22&gt;0,$A52&gt;=$C$22),0,1)</f>
        <v/>
      </c>
      <c r="J53" s="17">
        <f>I53*(IF(AND($C$22&gt;0,$A53&gt;=$C$22),H53,0)+(1-$F53)*(1-$B$22))</f>
        <v/>
      </c>
      <c r="K53" s="17">
        <f>SUM(J$31:J53)</f>
        <v/>
      </c>
      <c r="L53" s="16">
        <f>$F53+(1-$F53)*$B$23</f>
        <v/>
      </c>
      <c r="M53" s="17">
        <f>M52*L52*IF(AND($C$23&gt;0,$A52&gt;=$C$23),0,1)</f>
        <v/>
      </c>
      <c r="N53" s="17">
        <f>M53*(IF(AND($C$23&gt;0,$A53&gt;=$C$23),L53,0)+(1-$F53)*(1-$B$23))</f>
        <v/>
      </c>
      <c r="O53" s="17">
        <f>SUM(N$31:N53)</f>
        <v/>
      </c>
      <c r="P53" s="16">
        <f>$F53+(1-$F53)*$B$24</f>
        <v/>
      </c>
      <c r="Q53" s="17">
        <f>Q52*P52*IF(AND($C$24&gt;0,$A52&gt;=$C$24),0,1)</f>
        <v/>
      </c>
      <c r="R53" s="17">
        <f>Q53*(IF(AND($C$24&gt;0,$A53&gt;=$C$24),P53,0)+(1-$F53)*(1-$B$24))</f>
        <v/>
      </c>
      <c r="S53" s="17">
        <f>SUM(R$31:R53)</f>
        <v/>
      </c>
      <c r="T53" s="16">
        <f>$F53+(1-$F53)*$B$25</f>
        <v/>
      </c>
      <c r="U53" s="17">
        <f>U52*T52*IF(AND($C$25&gt;0,$A52&gt;=$C$25),0,1)</f>
        <v/>
      </c>
      <c r="V53" s="17">
        <f>U53*(IF(AND($C$25&gt;0,$A53&gt;=$C$25),T53,0)+(1-$F53)*(1-$B$25))</f>
        <v/>
      </c>
      <c r="W53" s="17">
        <f>SUM(V$31:V53)</f>
        <v/>
      </c>
      <c r="X53" s="16">
        <f>$F53+(1-$F53)*$B$26</f>
        <v/>
      </c>
      <c r="Y53" s="17">
        <f>Y52*X52*IF(AND($C$26&gt;0,$A52&gt;=$C$26),0,1)</f>
        <v/>
      </c>
      <c r="Z53" s="17">
        <f>Y53*(IF(AND($C$26&gt;0,$A53&gt;=$C$26),X53,0)+(1-$F53)*(1-$B$26))</f>
        <v/>
      </c>
      <c r="AA53" s="17">
        <f>SUM(Z$31:Z53)</f>
        <v/>
      </c>
    </row>
    <row r="54">
      <c r="A54" s="11" t="n">
        <v>24</v>
      </c>
      <c r="B54" s="13">
        <f>IF(A54=1,"Safe (Start)",IF(OR(A54=$B$10,A54=$B$11),"Milestone",IF(AND($B$9&gt;0,MOD(A54,$B$9)=0),"Safe","Standard")))</f>
        <v/>
      </c>
      <c r="C54" s="6">
        <f>$B$7</f>
        <v/>
      </c>
      <c r="D54" s="13">
        <f>IF($B54="Standard",$B$8,0)</f>
        <v/>
      </c>
      <c r="E54" s="13">
        <f>MIN(6,MAX(1,ROUNDUP(A54/$B$12,0)))</f>
        <v/>
      </c>
      <c r="F54" s="16">
        <f>IF($C54&lt;=0,0,($C54-$D54)/$C54)</f>
        <v/>
      </c>
      <c r="H54" s="16">
        <f>$F54+(1-$F54)*$B$22</f>
        <v/>
      </c>
      <c r="I54" s="17">
        <f>I53*H53*IF(AND($C$22&gt;0,$A53&gt;=$C$22),0,1)</f>
        <v/>
      </c>
      <c r="J54" s="17">
        <f>I54*(IF(AND($C$22&gt;0,$A54&gt;=$C$22),H54,0)+(1-$F54)*(1-$B$22))</f>
        <v/>
      </c>
      <c r="K54" s="17">
        <f>SUM(J$31:J54)</f>
        <v/>
      </c>
      <c r="L54" s="16">
        <f>$F54+(1-$F54)*$B$23</f>
        <v/>
      </c>
      <c r="M54" s="17">
        <f>M53*L53*IF(AND($C$23&gt;0,$A53&gt;=$C$23),0,1)</f>
        <v/>
      </c>
      <c r="N54" s="17">
        <f>M54*(IF(AND($C$23&gt;0,$A54&gt;=$C$23),L54,0)+(1-$F54)*(1-$B$23))</f>
        <v/>
      </c>
      <c r="O54" s="17">
        <f>SUM(N$31:N54)</f>
        <v/>
      </c>
      <c r="P54" s="16">
        <f>$F54+(1-$F54)*$B$24</f>
        <v/>
      </c>
      <c r="Q54" s="17">
        <f>Q53*P53*IF(AND($C$24&gt;0,$A53&gt;=$C$24),0,1)</f>
        <v/>
      </c>
      <c r="R54" s="17">
        <f>Q54*(IF(AND($C$24&gt;0,$A54&gt;=$C$24),P54,0)+(1-$F54)*(1-$B$24))</f>
        <v/>
      </c>
      <c r="S54" s="17">
        <f>SUM(R$31:R54)</f>
        <v/>
      </c>
      <c r="T54" s="16">
        <f>$F54+(1-$F54)*$B$25</f>
        <v/>
      </c>
      <c r="U54" s="17">
        <f>U53*T53*IF(AND($C$25&gt;0,$A53&gt;=$C$25),0,1)</f>
        <v/>
      </c>
      <c r="V54" s="17">
        <f>U54*(IF(AND($C$25&gt;0,$A54&gt;=$C$25),T54,0)+(1-$F54)*(1-$B$25))</f>
        <v/>
      </c>
      <c r="W54" s="17">
        <f>SUM(V$31:V54)</f>
        <v/>
      </c>
      <c r="X54" s="16">
        <f>$F54+(1-$F54)*$B$26</f>
        <v/>
      </c>
      <c r="Y54" s="17">
        <f>Y53*X53*IF(AND($C$26&gt;0,$A53&gt;=$C$26),0,1)</f>
        <v/>
      </c>
      <c r="Z54" s="17">
        <f>Y54*(IF(AND($C$26&gt;0,$A54&gt;=$C$26),X54,0)+(1-$F54)*(1-$B$26))</f>
        <v/>
      </c>
      <c r="AA54" s="17">
        <f>SUM(Z$31:Z54)</f>
        <v/>
      </c>
    </row>
    <row r="55">
      <c r="A55" s="11" t="n">
        <v>25</v>
      </c>
      <c r="B55" s="13">
        <f>IF(A55=1,"Safe (Start)",IF(OR(A55=$B$10,A55=$B$11),"Milestone",IF(AND($B$9&gt;0,MOD(A55,$B$9)=0),"Safe","Standard")))</f>
        <v/>
      </c>
      <c r="C55" s="6">
        <f>$B$7</f>
        <v/>
      </c>
      <c r="D55" s="13">
        <f>IF($B55="Standard",$B$8,0)</f>
        <v/>
      </c>
      <c r="E55" s="13">
        <f>MIN(6,MAX(1,ROUNDUP(A55/$B$12,0)))</f>
        <v/>
      </c>
      <c r="F55" s="16">
        <f>IF($C55&lt;=0,0,($C55-$D55)/$C55)</f>
        <v/>
      </c>
      <c r="H55" s="16">
        <f>$F55+(1-$F55)*$B$22</f>
        <v/>
      </c>
      <c r="I55" s="17">
        <f>I54*H54*IF(AND($C$22&gt;0,$A54&gt;=$C$22),0,1)</f>
        <v/>
      </c>
      <c r="J55" s="17">
        <f>I55*(IF(AND($C$22&gt;0,$A55&gt;=$C$22),H55,0)+(1-$F55)*(1-$B$22))</f>
        <v/>
      </c>
      <c r="K55" s="17">
        <f>SUM(J$31:J55)</f>
        <v/>
      </c>
      <c r="L55" s="16">
        <f>$F55+(1-$F55)*$B$23</f>
        <v/>
      </c>
      <c r="M55" s="17">
        <f>M54*L54*IF(AND($C$23&gt;0,$A54&gt;=$C$23),0,1)</f>
        <v/>
      </c>
      <c r="N55" s="17">
        <f>M55*(IF(AND($C$23&gt;0,$A55&gt;=$C$23),L55,0)+(1-$F55)*(1-$B$23))</f>
        <v/>
      </c>
      <c r="O55" s="17">
        <f>SUM(N$31:N55)</f>
        <v/>
      </c>
      <c r="P55" s="16">
        <f>$F55+(1-$F55)*$B$24</f>
        <v/>
      </c>
      <c r="Q55" s="17">
        <f>Q54*P54*IF(AND($C$24&gt;0,$A54&gt;=$C$24),0,1)</f>
        <v/>
      </c>
      <c r="R55" s="17">
        <f>Q55*(IF(AND($C$24&gt;0,$A55&gt;=$C$24),P55,0)+(1-$F55)*(1-$B$24))</f>
        <v/>
      </c>
      <c r="S55" s="17">
        <f>SUM(R$31:R55)</f>
        <v/>
      </c>
      <c r="T55" s="16">
        <f>$F55+(1-$F55)*$B$25</f>
        <v/>
      </c>
      <c r="U55" s="17">
        <f>U54*T54*IF(AND($C$25&gt;0,$A54&gt;=$C$25),0,1)</f>
        <v/>
      </c>
      <c r="V55" s="17">
        <f>U55*(IF(AND($C$25&gt;0,$A55&gt;=$C$25),T55,0)+(1-$F55)*(1-$B$25))</f>
        <v/>
      </c>
      <c r="W55" s="17">
        <f>SUM(V$31:V55)</f>
        <v/>
      </c>
      <c r="X55" s="16">
        <f>$F55+(1-$F55)*$B$26</f>
        <v/>
      </c>
      <c r="Y55" s="17">
        <f>Y54*X54*IF(AND($C$26&gt;0,$A54&gt;=$C$26),0,1)</f>
        <v/>
      </c>
      <c r="Z55" s="17">
        <f>Y55*(IF(AND($C$26&gt;0,$A55&gt;=$C$26),X55,0)+(1-$F55)*(1-$B$26))</f>
        <v/>
      </c>
      <c r="AA55" s="17">
        <f>SUM(Z$31:Z55)</f>
        <v/>
      </c>
    </row>
    <row r="56">
      <c r="A56" s="11" t="n">
        <v>26</v>
      </c>
      <c r="B56" s="13">
        <f>IF(A56=1,"Safe (Start)",IF(OR(A56=$B$10,A56=$B$11),"Milestone",IF(AND($B$9&gt;0,MOD(A56,$B$9)=0),"Safe","Standard")))</f>
        <v/>
      </c>
      <c r="C56" s="6">
        <f>$B$7</f>
        <v/>
      </c>
      <c r="D56" s="13">
        <f>IF($B56="Standard",$B$8,0)</f>
        <v/>
      </c>
      <c r="E56" s="13">
        <f>MIN(6,MAX(1,ROUNDUP(A56/$B$12,0)))</f>
        <v/>
      </c>
      <c r="F56" s="16">
        <f>IF($C56&lt;=0,0,($C56-$D56)/$C56)</f>
        <v/>
      </c>
      <c r="H56" s="16">
        <f>$F56+(1-$F56)*$B$22</f>
        <v/>
      </c>
      <c r="I56" s="17">
        <f>I55*H55*IF(AND($C$22&gt;0,$A55&gt;=$C$22),0,1)</f>
        <v/>
      </c>
      <c r="J56" s="17">
        <f>I56*(IF(AND($C$22&gt;0,$A56&gt;=$C$22),H56,0)+(1-$F56)*(1-$B$22))</f>
        <v/>
      </c>
      <c r="K56" s="17">
        <f>SUM(J$31:J56)</f>
        <v/>
      </c>
      <c r="L56" s="16">
        <f>$F56+(1-$F56)*$B$23</f>
        <v/>
      </c>
      <c r="M56" s="17">
        <f>M55*L55*IF(AND($C$23&gt;0,$A55&gt;=$C$23),0,1)</f>
        <v/>
      </c>
      <c r="N56" s="17">
        <f>M56*(IF(AND($C$23&gt;0,$A56&gt;=$C$23),L56,0)+(1-$F56)*(1-$B$23))</f>
        <v/>
      </c>
      <c r="O56" s="17">
        <f>SUM(N$31:N56)</f>
        <v/>
      </c>
      <c r="P56" s="16">
        <f>$F56+(1-$F56)*$B$24</f>
        <v/>
      </c>
      <c r="Q56" s="17">
        <f>Q55*P55*IF(AND($C$24&gt;0,$A55&gt;=$C$24),0,1)</f>
        <v/>
      </c>
      <c r="R56" s="17">
        <f>Q56*(IF(AND($C$24&gt;0,$A56&gt;=$C$24),P56,0)+(1-$F56)*(1-$B$24))</f>
        <v/>
      </c>
      <c r="S56" s="17">
        <f>SUM(R$31:R56)</f>
        <v/>
      </c>
      <c r="T56" s="16">
        <f>$F56+(1-$F56)*$B$25</f>
        <v/>
      </c>
      <c r="U56" s="17">
        <f>U55*T55*IF(AND($C$25&gt;0,$A55&gt;=$C$25),0,1)</f>
        <v/>
      </c>
      <c r="V56" s="17">
        <f>U56*(IF(AND($C$25&gt;0,$A56&gt;=$C$25),T56,0)+(1-$F56)*(1-$B$25))</f>
        <v/>
      </c>
      <c r="W56" s="17">
        <f>SUM(V$31:V56)</f>
        <v/>
      </c>
      <c r="X56" s="16">
        <f>$F56+(1-$F56)*$B$26</f>
        <v/>
      </c>
      <c r="Y56" s="17">
        <f>Y55*X55*IF(AND($C$26&gt;0,$A55&gt;=$C$26),0,1)</f>
        <v/>
      </c>
      <c r="Z56" s="17">
        <f>Y56*(IF(AND($C$26&gt;0,$A56&gt;=$C$26),X56,0)+(1-$F56)*(1-$B$26))</f>
        <v/>
      </c>
      <c r="AA56" s="17">
        <f>SUM(Z$31:Z56)</f>
        <v/>
      </c>
    </row>
    <row r="57">
      <c r="A57" s="11" t="n">
        <v>27</v>
      </c>
      <c r="B57" s="13">
        <f>IF(A57=1,"Safe (Start)",IF(OR(A57=$B$10,A57=$B$11),"Milestone",IF(AND($B$9&gt;0,MOD(A57,$B$9)=0),"Safe","Standard")))</f>
        <v/>
      </c>
      <c r="C57" s="6">
        <f>$B$7</f>
        <v/>
      </c>
      <c r="D57" s="13">
        <f>IF($B57="Standard",$B$8,0)</f>
        <v/>
      </c>
      <c r="E57" s="13">
        <f>MIN(6,MAX(1,ROUNDUP(A57/$B$12,0)))</f>
        <v/>
      </c>
      <c r="F57" s="16">
        <f>IF($C57&lt;=0,0,($C57-$D57)/$C57)</f>
        <v/>
      </c>
      <c r="H57" s="16">
        <f>$F57+(1-$F57)*$B$22</f>
        <v/>
      </c>
      <c r="I57" s="17">
        <f>I56*H56*IF(AND($C$22&gt;0,$A56&gt;=$C$22),0,1)</f>
        <v/>
      </c>
      <c r="J57" s="17">
        <f>I57*(IF(AND($C$22&gt;0,$A57&gt;=$C$22),H57,0)+(1-$F57)*(1-$B$22))</f>
        <v/>
      </c>
      <c r="K57" s="17">
        <f>SUM(J$31:J57)</f>
        <v/>
      </c>
      <c r="L57" s="16">
        <f>$F57+(1-$F57)*$B$23</f>
        <v/>
      </c>
      <c r="M57" s="17">
        <f>M56*L56*IF(AND($C$23&gt;0,$A56&gt;=$C$23),0,1)</f>
        <v/>
      </c>
      <c r="N57" s="17">
        <f>M57*(IF(AND($C$23&gt;0,$A57&gt;=$C$23),L57,0)+(1-$F57)*(1-$B$23))</f>
        <v/>
      </c>
      <c r="O57" s="17">
        <f>SUM(N$31:N57)</f>
        <v/>
      </c>
      <c r="P57" s="16">
        <f>$F57+(1-$F57)*$B$24</f>
        <v/>
      </c>
      <c r="Q57" s="17">
        <f>Q56*P56*IF(AND($C$24&gt;0,$A56&gt;=$C$24),0,1)</f>
        <v/>
      </c>
      <c r="R57" s="17">
        <f>Q57*(IF(AND($C$24&gt;0,$A57&gt;=$C$24),P57,0)+(1-$F57)*(1-$B$24))</f>
        <v/>
      </c>
      <c r="S57" s="17">
        <f>SUM(R$31:R57)</f>
        <v/>
      </c>
      <c r="T57" s="16">
        <f>$F57+(1-$F57)*$B$25</f>
        <v/>
      </c>
      <c r="U57" s="17">
        <f>U56*T56*IF(AND($C$25&gt;0,$A56&gt;=$C$25),0,1)</f>
        <v/>
      </c>
      <c r="V57" s="17">
        <f>U57*(IF(AND($C$25&gt;0,$A57&gt;=$C$25),T57,0)+(1-$F57)*(1-$B$25))</f>
        <v/>
      </c>
      <c r="W57" s="17">
        <f>SUM(V$31:V57)</f>
        <v/>
      </c>
      <c r="X57" s="16">
        <f>$F57+(1-$F57)*$B$26</f>
        <v/>
      </c>
      <c r="Y57" s="17">
        <f>Y56*X56*IF(AND($C$26&gt;0,$A56&gt;=$C$26),0,1)</f>
        <v/>
      </c>
      <c r="Z57" s="17">
        <f>Y57*(IF(AND($C$26&gt;0,$A57&gt;=$C$26),X57,0)+(1-$F57)*(1-$B$26))</f>
        <v/>
      </c>
      <c r="AA57" s="17">
        <f>SUM(Z$31:Z57)</f>
        <v/>
      </c>
    </row>
    <row r="58">
      <c r="A58" s="11" t="n">
        <v>28</v>
      </c>
      <c r="B58" s="13">
        <f>IF(A58=1,"Safe (Start)",IF(OR(A58=$B$10,A58=$B$11),"Milestone",IF(AND($B$9&gt;0,MOD(A58,$B$9)=0),"Safe","Standard")))</f>
        <v/>
      </c>
      <c r="C58" s="6">
        <f>$B$7</f>
        <v/>
      </c>
      <c r="D58" s="13">
        <f>IF($B58="Standard",$B$8,0)</f>
        <v/>
      </c>
      <c r="E58" s="13">
        <f>MIN(6,MAX(1,ROUNDUP(A58/$B$12,0)))</f>
        <v/>
      </c>
      <c r="F58" s="16">
        <f>IF($C58&lt;=0,0,($C58-$D58)/$C58)</f>
        <v/>
      </c>
      <c r="H58" s="16">
        <f>$F58+(1-$F58)*$B$22</f>
        <v/>
      </c>
      <c r="I58" s="17">
        <f>I57*H57*IF(AND($C$22&gt;0,$A57&gt;=$C$22),0,1)</f>
        <v/>
      </c>
      <c r="J58" s="17">
        <f>I58*(IF(AND($C$22&gt;0,$A58&gt;=$C$22),H58,0)+(1-$F58)*(1-$B$22))</f>
        <v/>
      </c>
      <c r="K58" s="17">
        <f>SUM(J$31:J58)</f>
        <v/>
      </c>
      <c r="L58" s="16">
        <f>$F58+(1-$F58)*$B$23</f>
        <v/>
      </c>
      <c r="M58" s="17">
        <f>M57*L57*IF(AND($C$23&gt;0,$A57&gt;=$C$23),0,1)</f>
        <v/>
      </c>
      <c r="N58" s="17">
        <f>M58*(IF(AND($C$23&gt;0,$A58&gt;=$C$23),L58,0)+(1-$F58)*(1-$B$23))</f>
        <v/>
      </c>
      <c r="O58" s="17">
        <f>SUM(N$31:N58)</f>
        <v/>
      </c>
      <c r="P58" s="16">
        <f>$F58+(1-$F58)*$B$24</f>
        <v/>
      </c>
      <c r="Q58" s="17">
        <f>Q57*P57*IF(AND($C$24&gt;0,$A57&gt;=$C$24),0,1)</f>
        <v/>
      </c>
      <c r="R58" s="17">
        <f>Q58*(IF(AND($C$24&gt;0,$A58&gt;=$C$24),P58,0)+(1-$F58)*(1-$B$24))</f>
        <v/>
      </c>
      <c r="S58" s="17">
        <f>SUM(R$31:R58)</f>
        <v/>
      </c>
      <c r="T58" s="16">
        <f>$F58+(1-$F58)*$B$25</f>
        <v/>
      </c>
      <c r="U58" s="17">
        <f>U57*T57*IF(AND($C$25&gt;0,$A57&gt;=$C$25),0,1)</f>
        <v/>
      </c>
      <c r="V58" s="17">
        <f>U58*(IF(AND($C$25&gt;0,$A58&gt;=$C$25),T58,0)+(1-$F58)*(1-$B$25))</f>
        <v/>
      </c>
      <c r="W58" s="17">
        <f>SUM(V$31:V58)</f>
        <v/>
      </c>
      <c r="X58" s="16">
        <f>$F58+(1-$F58)*$B$26</f>
        <v/>
      </c>
      <c r="Y58" s="17">
        <f>Y57*X57*IF(AND($C$26&gt;0,$A57&gt;=$C$26),0,1)</f>
        <v/>
      </c>
      <c r="Z58" s="17">
        <f>Y58*(IF(AND($C$26&gt;0,$A58&gt;=$C$26),X58,0)+(1-$F58)*(1-$B$26))</f>
        <v/>
      </c>
      <c r="AA58" s="17">
        <f>SUM(Z$31:Z58)</f>
        <v/>
      </c>
    </row>
    <row r="59">
      <c r="A59" s="11" t="n">
        <v>29</v>
      </c>
      <c r="B59" s="13">
        <f>IF(A59=1,"Safe (Start)",IF(OR(A59=$B$10,A59=$B$11),"Milestone",IF(AND($B$9&gt;0,MOD(A59,$B$9)=0),"Safe","Standard")))</f>
        <v/>
      </c>
      <c r="C59" s="6">
        <f>$B$7</f>
        <v/>
      </c>
      <c r="D59" s="13">
        <f>IF($B59="Standard",$B$8,0)</f>
        <v/>
      </c>
      <c r="E59" s="13">
        <f>MIN(6,MAX(1,ROUNDUP(A59/$B$12,0)))</f>
        <v/>
      </c>
      <c r="F59" s="16">
        <f>IF($C59&lt;=0,0,($C59-$D59)/$C59)</f>
        <v/>
      </c>
      <c r="H59" s="16">
        <f>$F59+(1-$F59)*$B$22</f>
        <v/>
      </c>
      <c r="I59" s="17">
        <f>I58*H58*IF(AND($C$22&gt;0,$A58&gt;=$C$22),0,1)</f>
        <v/>
      </c>
      <c r="J59" s="17">
        <f>I59*(IF(AND($C$22&gt;0,$A59&gt;=$C$22),H59,0)+(1-$F59)*(1-$B$22))</f>
        <v/>
      </c>
      <c r="K59" s="17">
        <f>SUM(J$31:J59)</f>
        <v/>
      </c>
      <c r="L59" s="16">
        <f>$F59+(1-$F59)*$B$23</f>
        <v/>
      </c>
      <c r="M59" s="17">
        <f>M58*L58*IF(AND($C$23&gt;0,$A58&gt;=$C$23),0,1)</f>
        <v/>
      </c>
      <c r="N59" s="17">
        <f>M59*(IF(AND($C$23&gt;0,$A59&gt;=$C$23),L59,0)+(1-$F59)*(1-$B$23))</f>
        <v/>
      </c>
      <c r="O59" s="17">
        <f>SUM(N$31:N59)</f>
        <v/>
      </c>
      <c r="P59" s="16">
        <f>$F59+(1-$F59)*$B$24</f>
        <v/>
      </c>
      <c r="Q59" s="17">
        <f>Q58*P58*IF(AND($C$24&gt;0,$A58&gt;=$C$24),0,1)</f>
        <v/>
      </c>
      <c r="R59" s="17">
        <f>Q59*(IF(AND($C$24&gt;0,$A59&gt;=$C$24),P59,0)+(1-$F59)*(1-$B$24))</f>
        <v/>
      </c>
      <c r="S59" s="17">
        <f>SUM(R$31:R59)</f>
        <v/>
      </c>
      <c r="T59" s="16">
        <f>$F59+(1-$F59)*$B$25</f>
        <v/>
      </c>
      <c r="U59" s="17">
        <f>U58*T58*IF(AND($C$25&gt;0,$A58&gt;=$C$25),0,1)</f>
        <v/>
      </c>
      <c r="V59" s="17">
        <f>U59*(IF(AND($C$25&gt;0,$A59&gt;=$C$25),T59,0)+(1-$F59)*(1-$B$25))</f>
        <v/>
      </c>
      <c r="W59" s="17">
        <f>SUM(V$31:V59)</f>
        <v/>
      </c>
      <c r="X59" s="16">
        <f>$F59+(1-$F59)*$B$26</f>
        <v/>
      </c>
      <c r="Y59" s="17">
        <f>Y58*X58*IF(AND($C$26&gt;0,$A58&gt;=$C$26),0,1)</f>
        <v/>
      </c>
      <c r="Z59" s="17">
        <f>Y59*(IF(AND($C$26&gt;0,$A59&gt;=$C$26),X59,0)+(1-$F59)*(1-$B$26))</f>
        <v/>
      </c>
      <c r="AA59" s="17">
        <f>SUM(Z$31:Z59)</f>
        <v/>
      </c>
    </row>
    <row r="60">
      <c r="A60" s="11" t="n">
        <v>30</v>
      </c>
      <c r="B60" s="13">
        <f>IF(A60=1,"Safe (Start)",IF(OR(A60=$B$10,A60=$B$11),"Milestone",IF(AND($B$9&gt;0,MOD(A60,$B$9)=0),"Safe","Standard")))</f>
        <v/>
      </c>
      <c r="C60" s="6">
        <f>$B$7</f>
        <v/>
      </c>
      <c r="D60" s="13">
        <f>IF($B60="Standard",$B$8,0)</f>
        <v/>
      </c>
      <c r="E60" s="13">
        <f>MIN(6,MAX(1,ROUNDUP(A60/$B$12,0)))</f>
        <v/>
      </c>
      <c r="F60" s="16">
        <f>IF($C60&lt;=0,0,($C60-$D60)/$C60)</f>
        <v/>
      </c>
      <c r="H60" s="16">
        <f>$F60+(1-$F60)*$B$22</f>
        <v/>
      </c>
      <c r="I60" s="17">
        <f>I59*H59*IF(AND($C$22&gt;0,$A59&gt;=$C$22),0,1)</f>
        <v/>
      </c>
      <c r="J60" s="17">
        <f>I60*(IF(AND($C$22&gt;0,$A60&gt;=$C$22),H60,0)+(1-$F60)*(1-$B$22))</f>
        <v/>
      </c>
      <c r="K60" s="17">
        <f>SUM(J$31:J60)</f>
        <v/>
      </c>
      <c r="L60" s="16">
        <f>$F60+(1-$F60)*$B$23</f>
        <v/>
      </c>
      <c r="M60" s="17">
        <f>M59*L59*IF(AND($C$23&gt;0,$A59&gt;=$C$23),0,1)</f>
        <v/>
      </c>
      <c r="N60" s="17">
        <f>M60*(IF(AND($C$23&gt;0,$A60&gt;=$C$23),L60,0)+(1-$F60)*(1-$B$23))</f>
        <v/>
      </c>
      <c r="O60" s="17">
        <f>SUM(N$31:N60)</f>
        <v/>
      </c>
      <c r="P60" s="16">
        <f>$F60+(1-$F60)*$B$24</f>
        <v/>
      </c>
      <c r="Q60" s="17">
        <f>Q59*P59*IF(AND($C$24&gt;0,$A59&gt;=$C$24),0,1)</f>
        <v/>
      </c>
      <c r="R60" s="17">
        <f>Q60*(IF(AND($C$24&gt;0,$A60&gt;=$C$24),P60,0)+(1-$F60)*(1-$B$24))</f>
        <v/>
      </c>
      <c r="S60" s="17">
        <f>SUM(R$31:R60)</f>
        <v/>
      </c>
      <c r="T60" s="16">
        <f>$F60+(1-$F60)*$B$25</f>
        <v/>
      </c>
      <c r="U60" s="17">
        <f>U59*T59*IF(AND($C$25&gt;0,$A59&gt;=$C$25),0,1)</f>
        <v/>
      </c>
      <c r="V60" s="17">
        <f>U60*(IF(AND($C$25&gt;0,$A60&gt;=$C$25),T60,0)+(1-$F60)*(1-$B$25))</f>
        <v/>
      </c>
      <c r="W60" s="17">
        <f>SUM(V$31:V60)</f>
        <v/>
      </c>
      <c r="X60" s="16">
        <f>$F60+(1-$F60)*$B$26</f>
        <v/>
      </c>
      <c r="Y60" s="17">
        <f>Y59*X59*IF(AND($C$26&gt;0,$A59&gt;=$C$26),0,1)</f>
        <v/>
      </c>
      <c r="Z60" s="17">
        <f>Y60*(IF(AND($C$26&gt;0,$A60&gt;=$C$26),X60,0)+(1-$F60)*(1-$B$26))</f>
        <v/>
      </c>
      <c r="AA60" s="17">
        <f>SUM(Z$31:Z60)</f>
        <v/>
      </c>
    </row>
    <row r="61">
      <c r="A61" s="11" t="n">
        <v>31</v>
      </c>
      <c r="B61" s="13">
        <f>IF(A61=1,"Safe (Start)",IF(OR(A61=$B$10,A61=$B$11),"Milestone",IF(AND($B$9&gt;0,MOD(A61,$B$9)=0),"Safe","Standard")))</f>
        <v/>
      </c>
      <c r="C61" s="6">
        <f>$B$7</f>
        <v/>
      </c>
      <c r="D61" s="13">
        <f>IF($B61="Standard",$B$8,0)</f>
        <v/>
      </c>
      <c r="E61" s="13">
        <f>MIN(6,MAX(1,ROUNDUP(A61/$B$12,0)))</f>
        <v/>
      </c>
      <c r="F61" s="16">
        <f>IF($C61&lt;=0,0,($C61-$D61)/$C61)</f>
        <v/>
      </c>
      <c r="H61" s="16">
        <f>$F61+(1-$F61)*$B$22</f>
        <v/>
      </c>
      <c r="I61" s="17">
        <f>I60*H60*IF(AND($C$22&gt;0,$A60&gt;=$C$22),0,1)</f>
        <v/>
      </c>
      <c r="J61" s="17">
        <f>I61*(IF(AND($C$22&gt;0,$A61&gt;=$C$22),H61,0)+(1-$F61)*(1-$B$22))</f>
        <v/>
      </c>
      <c r="K61" s="17">
        <f>SUM(J$31:J61)</f>
        <v/>
      </c>
      <c r="L61" s="16">
        <f>$F61+(1-$F61)*$B$23</f>
        <v/>
      </c>
      <c r="M61" s="17">
        <f>M60*L60*IF(AND($C$23&gt;0,$A60&gt;=$C$23),0,1)</f>
        <v/>
      </c>
      <c r="N61" s="17">
        <f>M61*(IF(AND($C$23&gt;0,$A61&gt;=$C$23),L61,0)+(1-$F61)*(1-$B$23))</f>
        <v/>
      </c>
      <c r="O61" s="17">
        <f>SUM(N$31:N61)</f>
        <v/>
      </c>
      <c r="P61" s="16">
        <f>$F61+(1-$F61)*$B$24</f>
        <v/>
      </c>
      <c r="Q61" s="17">
        <f>Q60*P60*IF(AND($C$24&gt;0,$A60&gt;=$C$24),0,1)</f>
        <v/>
      </c>
      <c r="R61" s="17">
        <f>Q61*(IF(AND($C$24&gt;0,$A61&gt;=$C$24),P61,0)+(1-$F61)*(1-$B$24))</f>
        <v/>
      </c>
      <c r="S61" s="17">
        <f>SUM(R$31:R61)</f>
        <v/>
      </c>
      <c r="T61" s="16">
        <f>$F61+(1-$F61)*$B$25</f>
        <v/>
      </c>
      <c r="U61" s="17">
        <f>U60*T60*IF(AND($C$25&gt;0,$A60&gt;=$C$25),0,1)</f>
        <v/>
      </c>
      <c r="V61" s="17">
        <f>U61*(IF(AND($C$25&gt;0,$A61&gt;=$C$25),T61,0)+(1-$F61)*(1-$B$25))</f>
        <v/>
      </c>
      <c r="W61" s="17">
        <f>SUM(V$31:V61)</f>
        <v/>
      </c>
      <c r="X61" s="16">
        <f>$F61+(1-$F61)*$B$26</f>
        <v/>
      </c>
      <c r="Y61" s="17">
        <f>Y60*X60*IF(AND($C$26&gt;0,$A60&gt;=$C$26),0,1)</f>
        <v/>
      </c>
      <c r="Z61" s="17">
        <f>Y61*(IF(AND($C$26&gt;0,$A61&gt;=$C$26),X61,0)+(1-$F61)*(1-$B$26))</f>
        <v/>
      </c>
      <c r="AA61" s="17">
        <f>SUM(Z$31:Z61)</f>
        <v/>
      </c>
    </row>
    <row r="62">
      <c r="A62" s="11" t="n">
        <v>32</v>
      </c>
      <c r="B62" s="13">
        <f>IF(A62=1,"Safe (Start)",IF(OR(A62=$B$10,A62=$B$11),"Milestone",IF(AND($B$9&gt;0,MOD(A62,$B$9)=0),"Safe","Standard")))</f>
        <v/>
      </c>
      <c r="C62" s="6">
        <f>$B$7</f>
        <v/>
      </c>
      <c r="D62" s="13">
        <f>IF($B62="Standard",$B$8,0)</f>
        <v/>
      </c>
      <c r="E62" s="13">
        <f>MIN(6,MAX(1,ROUNDUP(A62/$B$12,0)))</f>
        <v/>
      </c>
      <c r="F62" s="16">
        <f>IF($C62&lt;=0,0,($C62-$D62)/$C62)</f>
        <v/>
      </c>
      <c r="H62" s="16">
        <f>$F62+(1-$F62)*$B$22</f>
        <v/>
      </c>
      <c r="I62" s="17">
        <f>I61*H61*IF(AND($C$22&gt;0,$A61&gt;=$C$22),0,1)</f>
        <v/>
      </c>
      <c r="J62" s="17">
        <f>I62*(IF(AND($C$22&gt;0,$A62&gt;=$C$22),H62,0)+(1-$F62)*(1-$B$22))</f>
        <v/>
      </c>
      <c r="K62" s="17">
        <f>SUM(J$31:J62)</f>
        <v/>
      </c>
      <c r="L62" s="16">
        <f>$F62+(1-$F62)*$B$23</f>
        <v/>
      </c>
      <c r="M62" s="17">
        <f>M61*L61*IF(AND($C$23&gt;0,$A61&gt;=$C$23),0,1)</f>
        <v/>
      </c>
      <c r="N62" s="17">
        <f>M62*(IF(AND($C$23&gt;0,$A62&gt;=$C$23),L62,0)+(1-$F62)*(1-$B$23))</f>
        <v/>
      </c>
      <c r="O62" s="17">
        <f>SUM(N$31:N62)</f>
        <v/>
      </c>
      <c r="P62" s="16">
        <f>$F62+(1-$F62)*$B$24</f>
        <v/>
      </c>
      <c r="Q62" s="17">
        <f>Q61*P61*IF(AND($C$24&gt;0,$A61&gt;=$C$24),0,1)</f>
        <v/>
      </c>
      <c r="R62" s="17">
        <f>Q62*(IF(AND($C$24&gt;0,$A62&gt;=$C$24),P62,0)+(1-$F62)*(1-$B$24))</f>
        <v/>
      </c>
      <c r="S62" s="17">
        <f>SUM(R$31:R62)</f>
        <v/>
      </c>
      <c r="T62" s="16">
        <f>$F62+(1-$F62)*$B$25</f>
        <v/>
      </c>
      <c r="U62" s="17">
        <f>U61*T61*IF(AND($C$25&gt;0,$A61&gt;=$C$25),0,1)</f>
        <v/>
      </c>
      <c r="V62" s="17">
        <f>U62*(IF(AND($C$25&gt;0,$A62&gt;=$C$25),T62,0)+(1-$F62)*(1-$B$25))</f>
        <v/>
      </c>
      <c r="W62" s="17">
        <f>SUM(V$31:V62)</f>
        <v/>
      </c>
      <c r="X62" s="16">
        <f>$F62+(1-$F62)*$B$26</f>
        <v/>
      </c>
      <c r="Y62" s="17">
        <f>Y61*X61*IF(AND($C$26&gt;0,$A61&gt;=$C$26),0,1)</f>
        <v/>
      </c>
      <c r="Z62" s="17">
        <f>Y62*(IF(AND($C$26&gt;0,$A62&gt;=$C$26),X62,0)+(1-$F62)*(1-$B$26))</f>
        <v/>
      </c>
      <c r="AA62" s="17">
        <f>SUM(Z$31:Z62)</f>
        <v/>
      </c>
    </row>
    <row r="63">
      <c r="A63" s="11" t="n">
        <v>33</v>
      </c>
      <c r="B63" s="13">
        <f>IF(A63=1,"Safe (Start)",IF(OR(A63=$B$10,A63=$B$11),"Milestone",IF(AND($B$9&gt;0,MOD(A63,$B$9)=0),"Safe","Standard")))</f>
        <v/>
      </c>
      <c r="C63" s="6">
        <f>$B$7</f>
        <v/>
      </c>
      <c r="D63" s="13">
        <f>IF($B63="Standard",$B$8,0)</f>
        <v/>
      </c>
      <c r="E63" s="13">
        <f>MIN(6,MAX(1,ROUNDUP(A63/$B$12,0)))</f>
        <v/>
      </c>
      <c r="F63" s="16">
        <f>IF($C63&lt;=0,0,($C63-$D63)/$C63)</f>
        <v/>
      </c>
      <c r="H63" s="16">
        <f>$F63+(1-$F63)*$B$22</f>
        <v/>
      </c>
      <c r="I63" s="17">
        <f>I62*H62*IF(AND($C$22&gt;0,$A62&gt;=$C$22),0,1)</f>
        <v/>
      </c>
      <c r="J63" s="17">
        <f>I63*(IF(AND($C$22&gt;0,$A63&gt;=$C$22),H63,0)+(1-$F63)*(1-$B$22))</f>
        <v/>
      </c>
      <c r="K63" s="17">
        <f>SUM(J$31:J63)</f>
        <v/>
      </c>
      <c r="L63" s="16">
        <f>$F63+(1-$F63)*$B$23</f>
        <v/>
      </c>
      <c r="M63" s="17">
        <f>M62*L62*IF(AND($C$23&gt;0,$A62&gt;=$C$23),0,1)</f>
        <v/>
      </c>
      <c r="N63" s="17">
        <f>M63*(IF(AND($C$23&gt;0,$A63&gt;=$C$23),L63,0)+(1-$F63)*(1-$B$23))</f>
        <v/>
      </c>
      <c r="O63" s="17">
        <f>SUM(N$31:N63)</f>
        <v/>
      </c>
      <c r="P63" s="16">
        <f>$F63+(1-$F63)*$B$24</f>
        <v/>
      </c>
      <c r="Q63" s="17">
        <f>Q62*P62*IF(AND($C$24&gt;0,$A62&gt;=$C$24),0,1)</f>
        <v/>
      </c>
      <c r="R63" s="17">
        <f>Q63*(IF(AND($C$24&gt;0,$A63&gt;=$C$24),P63,0)+(1-$F63)*(1-$B$24))</f>
        <v/>
      </c>
      <c r="S63" s="17">
        <f>SUM(R$31:R63)</f>
        <v/>
      </c>
      <c r="T63" s="16">
        <f>$F63+(1-$F63)*$B$25</f>
        <v/>
      </c>
      <c r="U63" s="17">
        <f>U62*T62*IF(AND($C$25&gt;0,$A62&gt;=$C$25),0,1)</f>
        <v/>
      </c>
      <c r="V63" s="17">
        <f>U63*(IF(AND($C$25&gt;0,$A63&gt;=$C$25),T63,0)+(1-$F63)*(1-$B$25))</f>
        <v/>
      </c>
      <c r="W63" s="17">
        <f>SUM(V$31:V63)</f>
        <v/>
      </c>
      <c r="X63" s="16">
        <f>$F63+(1-$F63)*$B$26</f>
        <v/>
      </c>
      <c r="Y63" s="17">
        <f>Y62*X62*IF(AND($C$26&gt;0,$A62&gt;=$C$26),0,1)</f>
        <v/>
      </c>
      <c r="Z63" s="17">
        <f>Y63*(IF(AND($C$26&gt;0,$A63&gt;=$C$26),X63,0)+(1-$F63)*(1-$B$26))</f>
        <v/>
      </c>
      <c r="AA63" s="17">
        <f>SUM(Z$31:Z63)</f>
        <v/>
      </c>
    </row>
    <row r="64">
      <c r="A64" s="11" t="n">
        <v>34</v>
      </c>
      <c r="B64" s="13">
        <f>IF(A64=1,"Safe (Start)",IF(OR(A64=$B$10,A64=$B$11),"Milestone",IF(AND($B$9&gt;0,MOD(A64,$B$9)=0),"Safe","Standard")))</f>
        <v/>
      </c>
      <c r="C64" s="6">
        <f>$B$7</f>
        <v/>
      </c>
      <c r="D64" s="13">
        <f>IF($B64="Standard",$B$8,0)</f>
        <v/>
      </c>
      <c r="E64" s="13">
        <f>MIN(6,MAX(1,ROUNDUP(A64/$B$12,0)))</f>
        <v/>
      </c>
      <c r="F64" s="16">
        <f>IF($C64&lt;=0,0,($C64-$D64)/$C64)</f>
        <v/>
      </c>
      <c r="H64" s="16">
        <f>$F64+(1-$F64)*$B$22</f>
        <v/>
      </c>
      <c r="I64" s="17">
        <f>I63*H63*IF(AND($C$22&gt;0,$A63&gt;=$C$22),0,1)</f>
        <v/>
      </c>
      <c r="J64" s="17">
        <f>I64*(IF(AND($C$22&gt;0,$A64&gt;=$C$22),H64,0)+(1-$F64)*(1-$B$22))</f>
        <v/>
      </c>
      <c r="K64" s="17">
        <f>SUM(J$31:J64)</f>
        <v/>
      </c>
      <c r="L64" s="16">
        <f>$F64+(1-$F64)*$B$23</f>
        <v/>
      </c>
      <c r="M64" s="17">
        <f>M63*L63*IF(AND($C$23&gt;0,$A63&gt;=$C$23),0,1)</f>
        <v/>
      </c>
      <c r="N64" s="17">
        <f>M64*(IF(AND($C$23&gt;0,$A64&gt;=$C$23),L64,0)+(1-$F64)*(1-$B$23))</f>
        <v/>
      </c>
      <c r="O64" s="17">
        <f>SUM(N$31:N64)</f>
        <v/>
      </c>
      <c r="P64" s="16">
        <f>$F64+(1-$F64)*$B$24</f>
        <v/>
      </c>
      <c r="Q64" s="17">
        <f>Q63*P63*IF(AND($C$24&gt;0,$A63&gt;=$C$24),0,1)</f>
        <v/>
      </c>
      <c r="R64" s="17">
        <f>Q64*(IF(AND($C$24&gt;0,$A64&gt;=$C$24),P64,0)+(1-$F64)*(1-$B$24))</f>
        <v/>
      </c>
      <c r="S64" s="17">
        <f>SUM(R$31:R64)</f>
        <v/>
      </c>
      <c r="T64" s="16">
        <f>$F64+(1-$F64)*$B$25</f>
        <v/>
      </c>
      <c r="U64" s="17">
        <f>U63*T63*IF(AND($C$25&gt;0,$A63&gt;=$C$25),0,1)</f>
        <v/>
      </c>
      <c r="V64" s="17">
        <f>U64*(IF(AND($C$25&gt;0,$A64&gt;=$C$25),T64,0)+(1-$F64)*(1-$B$25))</f>
        <v/>
      </c>
      <c r="W64" s="17">
        <f>SUM(V$31:V64)</f>
        <v/>
      </c>
      <c r="X64" s="16">
        <f>$F64+(1-$F64)*$B$26</f>
        <v/>
      </c>
      <c r="Y64" s="17">
        <f>Y63*X63*IF(AND($C$26&gt;0,$A63&gt;=$C$26),0,1)</f>
        <v/>
      </c>
      <c r="Z64" s="17">
        <f>Y64*(IF(AND($C$26&gt;0,$A64&gt;=$C$26),X64,0)+(1-$F64)*(1-$B$26))</f>
        <v/>
      </c>
      <c r="AA64" s="17">
        <f>SUM(Z$31:Z64)</f>
        <v/>
      </c>
    </row>
    <row r="65">
      <c r="A65" s="11" t="n">
        <v>35</v>
      </c>
      <c r="B65" s="13">
        <f>IF(A65=1,"Safe (Start)",IF(OR(A65=$B$10,A65=$B$11),"Milestone",IF(AND($B$9&gt;0,MOD(A65,$B$9)=0),"Safe","Standard")))</f>
        <v/>
      </c>
      <c r="C65" s="6">
        <f>$B$7</f>
        <v/>
      </c>
      <c r="D65" s="13">
        <f>IF($B65="Standard",$B$8,0)</f>
        <v/>
      </c>
      <c r="E65" s="13">
        <f>MIN(6,MAX(1,ROUNDUP(A65/$B$12,0)))</f>
        <v/>
      </c>
      <c r="F65" s="16">
        <f>IF($C65&lt;=0,0,($C65-$D65)/$C65)</f>
        <v/>
      </c>
      <c r="H65" s="16">
        <f>$F65+(1-$F65)*$B$22</f>
        <v/>
      </c>
      <c r="I65" s="17">
        <f>I64*H64*IF(AND($C$22&gt;0,$A64&gt;=$C$22),0,1)</f>
        <v/>
      </c>
      <c r="J65" s="17">
        <f>I65*(IF(AND($C$22&gt;0,$A65&gt;=$C$22),H65,0)+(1-$F65)*(1-$B$22))</f>
        <v/>
      </c>
      <c r="K65" s="17">
        <f>SUM(J$31:J65)</f>
        <v/>
      </c>
      <c r="L65" s="16">
        <f>$F65+(1-$F65)*$B$23</f>
        <v/>
      </c>
      <c r="M65" s="17">
        <f>M64*L64*IF(AND($C$23&gt;0,$A64&gt;=$C$23),0,1)</f>
        <v/>
      </c>
      <c r="N65" s="17">
        <f>M65*(IF(AND($C$23&gt;0,$A65&gt;=$C$23),L65,0)+(1-$F65)*(1-$B$23))</f>
        <v/>
      </c>
      <c r="O65" s="17">
        <f>SUM(N$31:N65)</f>
        <v/>
      </c>
      <c r="P65" s="16">
        <f>$F65+(1-$F65)*$B$24</f>
        <v/>
      </c>
      <c r="Q65" s="17">
        <f>Q64*P64*IF(AND($C$24&gt;0,$A64&gt;=$C$24),0,1)</f>
        <v/>
      </c>
      <c r="R65" s="17">
        <f>Q65*(IF(AND($C$24&gt;0,$A65&gt;=$C$24),P65,0)+(1-$F65)*(1-$B$24))</f>
        <v/>
      </c>
      <c r="S65" s="17">
        <f>SUM(R$31:R65)</f>
        <v/>
      </c>
      <c r="T65" s="16">
        <f>$F65+(1-$F65)*$B$25</f>
        <v/>
      </c>
      <c r="U65" s="17">
        <f>U64*T64*IF(AND($C$25&gt;0,$A64&gt;=$C$25),0,1)</f>
        <v/>
      </c>
      <c r="V65" s="17">
        <f>U65*(IF(AND($C$25&gt;0,$A65&gt;=$C$25),T65,0)+(1-$F65)*(1-$B$25))</f>
        <v/>
      </c>
      <c r="W65" s="17">
        <f>SUM(V$31:V65)</f>
        <v/>
      </c>
      <c r="X65" s="16">
        <f>$F65+(1-$F65)*$B$26</f>
        <v/>
      </c>
      <c r="Y65" s="17">
        <f>Y64*X64*IF(AND($C$26&gt;0,$A64&gt;=$C$26),0,1)</f>
        <v/>
      </c>
      <c r="Z65" s="17">
        <f>Y65*(IF(AND($C$26&gt;0,$A65&gt;=$C$26),X65,0)+(1-$F65)*(1-$B$26))</f>
        <v/>
      </c>
      <c r="AA65" s="17">
        <f>SUM(Z$31:Z65)</f>
        <v/>
      </c>
    </row>
    <row r="66">
      <c r="A66" s="11" t="n">
        <v>36</v>
      </c>
      <c r="B66" s="13">
        <f>IF(A66=1,"Safe (Start)",IF(OR(A66=$B$10,A66=$B$11),"Milestone",IF(AND($B$9&gt;0,MOD(A66,$B$9)=0),"Safe","Standard")))</f>
        <v/>
      </c>
      <c r="C66" s="6">
        <f>$B$7</f>
        <v/>
      </c>
      <c r="D66" s="13">
        <f>IF($B66="Standard",$B$8,0)</f>
        <v/>
      </c>
      <c r="E66" s="13">
        <f>MIN(6,MAX(1,ROUNDUP(A66/$B$12,0)))</f>
        <v/>
      </c>
      <c r="F66" s="16">
        <f>IF($C66&lt;=0,0,($C66-$D66)/$C66)</f>
        <v/>
      </c>
      <c r="H66" s="16">
        <f>$F66+(1-$F66)*$B$22</f>
        <v/>
      </c>
      <c r="I66" s="17">
        <f>I65*H65*IF(AND($C$22&gt;0,$A65&gt;=$C$22),0,1)</f>
        <v/>
      </c>
      <c r="J66" s="17">
        <f>I66*(IF(AND($C$22&gt;0,$A66&gt;=$C$22),H66,0)+(1-$F66)*(1-$B$22))</f>
        <v/>
      </c>
      <c r="K66" s="17">
        <f>SUM(J$31:J66)</f>
        <v/>
      </c>
      <c r="L66" s="16">
        <f>$F66+(1-$F66)*$B$23</f>
        <v/>
      </c>
      <c r="M66" s="17">
        <f>M65*L65*IF(AND($C$23&gt;0,$A65&gt;=$C$23),0,1)</f>
        <v/>
      </c>
      <c r="N66" s="17">
        <f>M66*(IF(AND($C$23&gt;0,$A66&gt;=$C$23),L66,0)+(1-$F66)*(1-$B$23))</f>
        <v/>
      </c>
      <c r="O66" s="17">
        <f>SUM(N$31:N66)</f>
        <v/>
      </c>
      <c r="P66" s="16">
        <f>$F66+(1-$F66)*$B$24</f>
        <v/>
      </c>
      <c r="Q66" s="17">
        <f>Q65*P65*IF(AND($C$24&gt;0,$A65&gt;=$C$24),0,1)</f>
        <v/>
      </c>
      <c r="R66" s="17">
        <f>Q66*(IF(AND($C$24&gt;0,$A66&gt;=$C$24),P66,0)+(1-$F66)*(1-$B$24))</f>
        <v/>
      </c>
      <c r="S66" s="17">
        <f>SUM(R$31:R66)</f>
        <v/>
      </c>
      <c r="T66" s="16">
        <f>$F66+(1-$F66)*$B$25</f>
        <v/>
      </c>
      <c r="U66" s="17">
        <f>U65*T65*IF(AND($C$25&gt;0,$A65&gt;=$C$25),0,1)</f>
        <v/>
      </c>
      <c r="V66" s="17">
        <f>U66*(IF(AND($C$25&gt;0,$A66&gt;=$C$25),T66,0)+(1-$F66)*(1-$B$25))</f>
        <v/>
      </c>
      <c r="W66" s="17">
        <f>SUM(V$31:V66)</f>
        <v/>
      </c>
      <c r="X66" s="16">
        <f>$F66+(1-$F66)*$B$26</f>
        <v/>
      </c>
      <c r="Y66" s="17">
        <f>Y65*X65*IF(AND($C$26&gt;0,$A65&gt;=$C$26),0,1)</f>
        <v/>
      </c>
      <c r="Z66" s="17">
        <f>Y66*(IF(AND($C$26&gt;0,$A66&gt;=$C$26),X66,0)+(1-$F66)*(1-$B$26))</f>
        <v/>
      </c>
      <c r="AA66" s="17">
        <f>SUM(Z$31:Z66)</f>
        <v/>
      </c>
    </row>
    <row r="67">
      <c r="A67" s="11" t="n">
        <v>37</v>
      </c>
      <c r="B67" s="13">
        <f>IF(A67=1,"Safe (Start)",IF(OR(A67=$B$10,A67=$B$11),"Milestone",IF(AND($B$9&gt;0,MOD(A67,$B$9)=0),"Safe","Standard")))</f>
        <v/>
      </c>
      <c r="C67" s="6">
        <f>$B$7</f>
        <v/>
      </c>
      <c r="D67" s="13">
        <f>IF($B67="Standard",$B$8,0)</f>
        <v/>
      </c>
      <c r="E67" s="13">
        <f>MIN(6,MAX(1,ROUNDUP(A67/$B$12,0)))</f>
        <v/>
      </c>
      <c r="F67" s="16">
        <f>IF($C67&lt;=0,0,($C67-$D67)/$C67)</f>
        <v/>
      </c>
      <c r="H67" s="16">
        <f>$F67+(1-$F67)*$B$22</f>
        <v/>
      </c>
      <c r="I67" s="17">
        <f>I66*H66*IF(AND($C$22&gt;0,$A66&gt;=$C$22),0,1)</f>
        <v/>
      </c>
      <c r="J67" s="17">
        <f>I67*(IF(AND($C$22&gt;0,$A67&gt;=$C$22),H67,0)+(1-$F67)*(1-$B$22))</f>
        <v/>
      </c>
      <c r="K67" s="17">
        <f>SUM(J$31:J67)</f>
        <v/>
      </c>
      <c r="L67" s="16">
        <f>$F67+(1-$F67)*$B$23</f>
        <v/>
      </c>
      <c r="M67" s="17">
        <f>M66*L66*IF(AND($C$23&gt;0,$A66&gt;=$C$23),0,1)</f>
        <v/>
      </c>
      <c r="N67" s="17">
        <f>M67*(IF(AND($C$23&gt;0,$A67&gt;=$C$23),L67,0)+(1-$F67)*(1-$B$23))</f>
        <v/>
      </c>
      <c r="O67" s="17">
        <f>SUM(N$31:N67)</f>
        <v/>
      </c>
      <c r="P67" s="16">
        <f>$F67+(1-$F67)*$B$24</f>
        <v/>
      </c>
      <c r="Q67" s="17">
        <f>Q66*P66*IF(AND($C$24&gt;0,$A66&gt;=$C$24),0,1)</f>
        <v/>
      </c>
      <c r="R67" s="17">
        <f>Q67*(IF(AND($C$24&gt;0,$A67&gt;=$C$24),P67,0)+(1-$F67)*(1-$B$24))</f>
        <v/>
      </c>
      <c r="S67" s="17">
        <f>SUM(R$31:R67)</f>
        <v/>
      </c>
      <c r="T67" s="16">
        <f>$F67+(1-$F67)*$B$25</f>
        <v/>
      </c>
      <c r="U67" s="17">
        <f>U66*T66*IF(AND($C$25&gt;0,$A66&gt;=$C$25),0,1)</f>
        <v/>
      </c>
      <c r="V67" s="17">
        <f>U67*(IF(AND($C$25&gt;0,$A67&gt;=$C$25),T67,0)+(1-$F67)*(1-$B$25))</f>
        <v/>
      </c>
      <c r="W67" s="17">
        <f>SUM(V$31:V67)</f>
        <v/>
      </c>
      <c r="X67" s="16">
        <f>$F67+(1-$F67)*$B$26</f>
        <v/>
      </c>
      <c r="Y67" s="17">
        <f>Y66*X66*IF(AND($C$26&gt;0,$A66&gt;=$C$26),0,1)</f>
        <v/>
      </c>
      <c r="Z67" s="17">
        <f>Y67*(IF(AND($C$26&gt;0,$A67&gt;=$C$26),X67,0)+(1-$F67)*(1-$B$26))</f>
        <v/>
      </c>
      <c r="AA67" s="17">
        <f>SUM(Z$31:Z67)</f>
        <v/>
      </c>
    </row>
    <row r="68">
      <c r="A68" s="11" t="n">
        <v>38</v>
      </c>
      <c r="B68" s="13">
        <f>IF(A68=1,"Safe (Start)",IF(OR(A68=$B$10,A68=$B$11),"Milestone",IF(AND($B$9&gt;0,MOD(A68,$B$9)=0),"Safe","Standard")))</f>
        <v/>
      </c>
      <c r="C68" s="6">
        <f>$B$7</f>
        <v/>
      </c>
      <c r="D68" s="13">
        <f>IF($B68="Standard",$B$8,0)</f>
        <v/>
      </c>
      <c r="E68" s="13">
        <f>MIN(6,MAX(1,ROUNDUP(A68/$B$12,0)))</f>
        <v/>
      </c>
      <c r="F68" s="16">
        <f>IF($C68&lt;=0,0,($C68-$D68)/$C68)</f>
        <v/>
      </c>
      <c r="H68" s="16">
        <f>$F68+(1-$F68)*$B$22</f>
        <v/>
      </c>
      <c r="I68" s="17">
        <f>I67*H67*IF(AND($C$22&gt;0,$A67&gt;=$C$22),0,1)</f>
        <v/>
      </c>
      <c r="J68" s="17">
        <f>I68*(IF(AND($C$22&gt;0,$A68&gt;=$C$22),H68,0)+(1-$F68)*(1-$B$22))</f>
        <v/>
      </c>
      <c r="K68" s="17">
        <f>SUM(J$31:J68)</f>
        <v/>
      </c>
      <c r="L68" s="16">
        <f>$F68+(1-$F68)*$B$23</f>
        <v/>
      </c>
      <c r="M68" s="17">
        <f>M67*L67*IF(AND($C$23&gt;0,$A67&gt;=$C$23),0,1)</f>
        <v/>
      </c>
      <c r="N68" s="17">
        <f>M68*(IF(AND($C$23&gt;0,$A68&gt;=$C$23),L68,0)+(1-$F68)*(1-$B$23))</f>
        <v/>
      </c>
      <c r="O68" s="17">
        <f>SUM(N$31:N68)</f>
        <v/>
      </c>
      <c r="P68" s="16">
        <f>$F68+(1-$F68)*$B$24</f>
        <v/>
      </c>
      <c r="Q68" s="17">
        <f>Q67*P67*IF(AND($C$24&gt;0,$A67&gt;=$C$24),0,1)</f>
        <v/>
      </c>
      <c r="R68" s="17">
        <f>Q68*(IF(AND($C$24&gt;0,$A68&gt;=$C$24),P68,0)+(1-$F68)*(1-$B$24))</f>
        <v/>
      </c>
      <c r="S68" s="17">
        <f>SUM(R$31:R68)</f>
        <v/>
      </c>
      <c r="T68" s="16">
        <f>$F68+(1-$F68)*$B$25</f>
        <v/>
      </c>
      <c r="U68" s="17">
        <f>U67*T67*IF(AND($C$25&gt;0,$A67&gt;=$C$25),0,1)</f>
        <v/>
      </c>
      <c r="V68" s="17">
        <f>U68*(IF(AND($C$25&gt;0,$A68&gt;=$C$25),T68,0)+(1-$F68)*(1-$B$25))</f>
        <v/>
      </c>
      <c r="W68" s="17">
        <f>SUM(V$31:V68)</f>
        <v/>
      </c>
      <c r="X68" s="16">
        <f>$F68+(1-$F68)*$B$26</f>
        <v/>
      </c>
      <c r="Y68" s="17">
        <f>Y67*X67*IF(AND($C$26&gt;0,$A67&gt;=$C$26),0,1)</f>
        <v/>
      </c>
      <c r="Z68" s="17">
        <f>Y68*(IF(AND($C$26&gt;0,$A68&gt;=$C$26),X68,0)+(1-$F68)*(1-$B$26))</f>
        <v/>
      </c>
      <c r="AA68" s="17">
        <f>SUM(Z$31:Z68)</f>
        <v/>
      </c>
    </row>
    <row r="69">
      <c r="A69" s="11" t="n">
        <v>39</v>
      </c>
      <c r="B69" s="13">
        <f>IF(A69=1,"Safe (Start)",IF(OR(A69=$B$10,A69=$B$11),"Milestone",IF(AND($B$9&gt;0,MOD(A69,$B$9)=0),"Safe","Standard")))</f>
        <v/>
      </c>
      <c r="C69" s="6">
        <f>$B$7</f>
        <v/>
      </c>
      <c r="D69" s="13">
        <f>IF($B69="Standard",$B$8,0)</f>
        <v/>
      </c>
      <c r="E69" s="13">
        <f>MIN(6,MAX(1,ROUNDUP(A69/$B$12,0)))</f>
        <v/>
      </c>
      <c r="F69" s="16">
        <f>IF($C69&lt;=0,0,($C69-$D69)/$C69)</f>
        <v/>
      </c>
      <c r="H69" s="16">
        <f>$F69+(1-$F69)*$B$22</f>
        <v/>
      </c>
      <c r="I69" s="17">
        <f>I68*H68*IF(AND($C$22&gt;0,$A68&gt;=$C$22),0,1)</f>
        <v/>
      </c>
      <c r="J69" s="17">
        <f>I69*(IF(AND($C$22&gt;0,$A69&gt;=$C$22),H69,0)+(1-$F69)*(1-$B$22))</f>
        <v/>
      </c>
      <c r="K69" s="17">
        <f>SUM(J$31:J69)</f>
        <v/>
      </c>
      <c r="L69" s="16">
        <f>$F69+(1-$F69)*$B$23</f>
        <v/>
      </c>
      <c r="M69" s="17">
        <f>M68*L68*IF(AND($C$23&gt;0,$A68&gt;=$C$23),0,1)</f>
        <v/>
      </c>
      <c r="N69" s="17">
        <f>M69*(IF(AND($C$23&gt;0,$A69&gt;=$C$23),L69,0)+(1-$F69)*(1-$B$23))</f>
        <v/>
      </c>
      <c r="O69" s="17">
        <f>SUM(N$31:N69)</f>
        <v/>
      </c>
      <c r="P69" s="16">
        <f>$F69+(1-$F69)*$B$24</f>
        <v/>
      </c>
      <c r="Q69" s="17">
        <f>Q68*P68*IF(AND($C$24&gt;0,$A68&gt;=$C$24),0,1)</f>
        <v/>
      </c>
      <c r="R69" s="17">
        <f>Q69*(IF(AND($C$24&gt;0,$A69&gt;=$C$24),P69,0)+(1-$F69)*(1-$B$24))</f>
        <v/>
      </c>
      <c r="S69" s="17">
        <f>SUM(R$31:R69)</f>
        <v/>
      </c>
      <c r="T69" s="16">
        <f>$F69+(1-$F69)*$B$25</f>
        <v/>
      </c>
      <c r="U69" s="17">
        <f>U68*T68*IF(AND($C$25&gt;0,$A68&gt;=$C$25),0,1)</f>
        <v/>
      </c>
      <c r="V69" s="17">
        <f>U69*(IF(AND($C$25&gt;0,$A69&gt;=$C$25),T69,0)+(1-$F69)*(1-$B$25))</f>
        <v/>
      </c>
      <c r="W69" s="17">
        <f>SUM(V$31:V69)</f>
        <v/>
      </c>
      <c r="X69" s="16">
        <f>$F69+(1-$F69)*$B$26</f>
        <v/>
      </c>
      <c r="Y69" s="17">
        <f>Y68*X68*IF(AND($C$26&gt;0,$A68&gt;=$C$26),0,1)</f>
        <v/>
      </c>
      <c r="Z69" s="17">
        <f>Y69*(IF(AND($C$26&gt;0,$A69&gt;=$C$26),X69,0)+(1-$F69)*(1-$B$26))</f>
        <v/>
      </c>
      <c r="AA69" s="17">
        <f>SUM(Z$31:Z69)</f>
        <v/>
      </c>
    </row>
    <row r="70">
      <c r="A70" s="11" t="n">
        <v>40</v>
      </c>
      <c r="B70" s="13">
        <f>IF(A70=1,"Safe (Start)",IF(OR(A70=$B$10,A70=$B$11),"Milestone",IF(AND($B$9&gt;0,MOD(A70,$B$9)=0),"Safe","Standard")))</f>
        <v/>
      </c>
      <c r="C70" s="6">
        <f>$B$7</f>
        <v/>
      </c>
      <c r="D70" s="13">
        <f>IF($B70="Standard",$B$8,0)</f>
        <v/>
      </c>
      <c r="E70" s="13">
        <f>MIN(6,MAX(1,ROUNDUP(A70/$B$12,0)))</f>
        <v/>
      </c>
      <c r="F70" s="16">
        <f>IF($C70&lt;=0,0,($C70-$D70)/$C70)</f>
        <v/>
      </c>
      <c r="H70" s="16">
        <f>$F70+(1-$F70)*$B$22</f>
        <v/>
      </c>
      <c r="I70" s="17">
        <f>I69*H69*IF(AND($C$22&gt;0,$A69&gt;=$C$22),0,1)</f>
        <v/>
      </c>
      <c r="J70" s="17">
        <f>I70*(IF(AND($C$22&gt;0,$A70&gt;=$C$22),H70,0)+(1-$F70)*(1-$B$22))</f>
        <v/>
      </c>
      <c r="K70" s="17">
        <f>SUM(J$31:J70)</f>
        <v/>
      </c>
      <c r="L70" s="16">
        <f>$F70+(1-$F70)*$B$23</f>
        <v/>
      </c>
      <c r="M70" s="17">
        <f>M69*L69*IF(AND($C$23&gt;0,$A69&gt;=$C$23),0,1)</f>
        <v/>
      </c>
      <c r="N70" s="17">
        <f>M70*(IF(AND($C$23&gt;0,$A70&gt;=$C$23),L70,0)+(1-$F70)*(1-$B$23))</f>
        <v/>
      </c>
      <c r="O70" s="17">
        <f>SUM(N$31:N70)</f>
        <v/>
      </c>
      <c r="P70" s="16">
        <f>$F70+(1-$F70)*$B$24</f>
        <v/>
      </c>
      <c r="Q70" s="17">
        <f>Q69*P69*IF(AND($C$24&gt;0,$A69&gt;=$C$24),0,1)</f>
        <v/>
      </c>
      <c r="R70" s="17">
        <f>Q70*(IF(AND($C$24&gt;0,$A70&gt;=$C$24),P70,0)+(1-$F70)*(1-$B$24))</f>
        <v/>
      </c>
      <c r="S70" s="17">
        <f>SUM(R$31:R70)</f>
        <v/>
      </c>
      <c r="T70" s="16">
        <f>$F70+(1-$F70)*$B$25</f>
        <v/>
      </c>
      <c r="U70" s="17">
        <f>U69*T69*IF(AND($C$25&gt;0,$A69&gt;=$C$25),0,1)</f>
        <v/>
      </c>
      <c r="V70" s="17">
        <f>U70*(IF(AND($C$25&gt;0,$A70&gt;=$C$25),T70,0)+(1-$F70)*(1-$B$25))</f>
        <v/>
      </c>
      <c r="W70" s="17">
        <f>SUM(V$31:V70)</f>
        <v/>
      </c>
      <c r="X70" s="16">
        <f>$F70+(1-$F70)*$B$26</f>
        <v/>
      </c>
      <c r="Y70" s="17">
        <f>Y69*X69*IF(AND($C$26&gt;0,$A69&gt;=$C$26),0,1)</f>
        <v/>
      </c>
      <c r="Z70" s="17">
        <f>Y70*(IF(AND($C$26&gt;0,$A70&gt;=$C$26),X70,0)+(1-$F70)*(1-$B$26))</f>
        <v/>
      </c>
      <c r="AA70" s="17">
        <f>SUM(Z$31:Z70)</f>
        <v/>
      </c>
    </row>
    <row r="71">
      <c r="A71" s="11" t="n">
        <v>41</v>
      </c>
      <c r="B71" s="13">
        <f>IF(A71=1,"Safe (Start)",IF(OR(A71=$B$10,A71=$B$11),"Milestone",IF(AND($B$9&gt;0,MOD(A71,$B$9)=0),"Safe","Standard")))</f>
        <v/>
      </c>
      <c r="C71" s="6">
        <f>$B$7</f>
        <v/>
      </c>
      <c r="D71" s="13">
        <f>IF($B71="Standard",$B$8,0)</f>
        <v/>
      </c>
      <c r="E71" s="13">
        <f>MIN(6,MAX(1,ROUNDUP(A71/$B$12,0)))</f>
        <v/>
      </c>
      <c r="F71" s="16">
        <f>IF($C71&lt;=0,0,($C71-$D71)/$C71)</f>
        <v/>
      </c>
      <c r="H71" s="16">
        <f>$F71+(1-$F71)*$B$22</f>
        <v/>
      </c>
      <c r="I71" s="17">
        <f>I70*H70*IF(AND($C$22&gt;0,$A70&gt;=$C$22),0,1)</f>
        <v/>
      </c>
      <c r="J71" s="17">
        <f>I71*(IF(AND($C$22&gt;0,$A71&gt;=$C$22),H71,0)+(1-$F71)*(1-$B$22))</f>
        <v/>
      </c>
      <c r="K71" s="17">
        <f>SUM(J$31:J71)</f>
        <v/>
      </c>
      <c r="L71" s="16">
        <f>$F71+(1-$F71)*$B$23</f>
        <v/>
      </c>
      <c r="M71" s="17">
        <f>M70*L70*IF(AND($C$23&gt;0,$A70&gt;=$C$23),0,1)</f>
        <v/>
      </c>
      <c r="N71" s="17">
        <f>M71*(IF(AND($C$23&gt;0,$A71&gt;=$C$23),L71,0)+(1-$F71)*(1-$B$23))</f>
        <v/>
      </c>
      <c r="O71" s="17">
        <f>SUM(N$31:N71)</f>
        <v/>
      </c>
      <c r="P71" s="16">
        <f>$F71+(1-$F71)*$B$24</f>
        <v/>
      </c>
      <c r="Q71" s="17">
        <f>Q70*P70*IF(AND($C$24&gt;0,$A70&gt;=$C$24),0,1)</f>
        <v/>
      </c>
      <c r="R71" s="17">
        <f>Q71*(IF(AND($C$24&gt;0,$A71&gt;=$C$24),P71,0)+(1-$F71)*(1-$B$24))</f>
        <v/>
      </c>
      <c r="S71" s="17">
        <f>SUM(R$31:R71)</f>
        <v/>
      </c>
      <c r="T71" s="16">
        <f>$F71+(1-$F71)*$B$25</f>
        <v/>
      </c>
      <c r="U71" s="17">
        <f>U70*T70*IF(AND($C$25&gt;0,$A70&gt;=$C$25),0,1)</f>
        <v/>
      </c>
      <c r="V71" s="17">
        <f>U71*(IF(AND($C$25&gt;0,$A71&gt;=$C$25),T71,0)+(1-$F71)*(1-$B$25))</f>
        <v/>
      </c>
      <c r="W71" s="17">
        <f>SUM(V$31:V71)</f>
        <v/>
      </c>
      <c r="X71" s="16">
        <f>$F71+(1-$F71)*$B$26</f>
        <v/>
      </c>
      <c r="Y71" s="17">
        <f>Y70*X70*IF(AND($C$26&gt;0,$A70&gt;=$C$26),0,1)</f>
        <v/>
      </c>
      <c r="Z71" s="17">
        <f>Y71*(IF(AND($C$26&gt;0,$A71&gt;=$C$26),X71,0)+(1-$F71)*(1-$B$26))</f>
        <v/>
      </c>
      <c r="AA71" s="17">
        <f>SUM(Z$31:Z71)</f>
        <v/>
      </c>
    </row>
    <row r="72">
      <c r="A72" s="11" t="n">
        <v>42</v>
      </c>
      <c r="B72" s="13">
        <f>IF(A72=1,"Safe (Start)",IF(OR(A72=$B$10,A72=$B$11),"Milestone",IF(AND($B$9&gt;0,MOD(A72,$B$9)=0),"Safe","Standard")))</f>
        <v/>
      </c>
      <c r="C72" s="6">
        <f>$B$7</f>
        <v/>
      </c>
      <c r="D72" s="13">
        <f>IF($B72="Standard",$B$8,0)</f>
        <v/>
      </c>
      <c r="E72" s="13">
        <f>MIN(6,MAX(1,ROUNDUP(A72/$B$12,0)))</f>
        <v/>
      </c>
      <c r="F72" s="16">
        <f>IF($C72&lt;=0,0,($C72-$D72)/$C72)</f>
        <v/>
      </c>
      <c r="H72" s="16">
        <f>$F72+(1-$F72)*$B$22</f>
        <v/>
      </c>
      <c r="I72" s="17">
        <f>I71*H71*IF(AND($C$22&gt;0,$A71&gt;=$C$22),0,1)</f>
        <v/>
      </c>
      <c r="J72" s="17">
        <f>I72*(IF(AND($C$22&gt;0,$A72&gt;=$C$22),H72,0)+(1-$F72)*(1-$B$22))</f>
        <v/>
      </c>
      <c r="K72" s="17">
        <f>SUM(J$31:J72)</f>
        <v/>
      </c>
      <c r="L72" s="16">
        <f>$F72+(1-$F72)*$B$23</f>
        <v/>
      </c>
      <c r="M72" s="17">
        <f>M71*L71*IF(AND($C$23&gt;0,$A71&gt;=$C$23),0,1)</f>
        <v/>
      </c>
      <c r="N72" s="17">
        <f>M72*(IF(AND($C$23&gt;0,$A72&gt;=$C$23),L72,0)+(1-$F72)*(1-$B$23))</f>
        <v/>
      </c>
      <c r="O72" s="17">
        <f>SUM(N$31:N72)</f>
        <v/>
      </c>
      <c r="P72" s="16">
        <f>$F72+(1-$F72)*$B$24</f>
        <v/>
      </c>
      <c r="Q72" s="17">
        <f>Q71*P71*IF(AND($C$24&gt;0,$A71&gt;=$C$24),0,1)</f>
        <v/>
      </c>
      <c r="R72" s="17">
        <f>Q72*(IF(AND($C$24&gt;0,$A72&gt;=$C$24),P72,0)+(1-$F72)*(1-$B$24))</f>
        <v/>
      </c>
      <c r="S72" s="17">
        <f>SUM(R$31:R72)</f>
        <v/>
      </c>
      <c r="T72" s="16">
        <f>$F72+(1-$F72)*$B$25</f>
        <v/>
      </c>
      <c r="U72" s="17">
        <f>U71*T71*IF(AND($C$25&gt;0,$A71&gt;=$C$25),0,1)</f>
        <v/>
      </c>
      <c r="V72" s="17">
        <f>U72*(IF(AND($C$25&gt;0,$A72&gt;=$C$25),T72,0)+(1-$F72)*(1-$B$25))</f>
        <v/>
      </c>
      <c r="W72" s="17">
        <f>SUM(V$31:V72)</f>
        <v/>
      </c>
      <c r="X72" s="16">
        <f>$F72+(1-$F72)*$B$26</f>
        <v/>
      </c>
      <c r="Y72" s="17">
        <f>Y71*X71*IF(AND($C$26&gt;0,$A71&gt;=$C$26),0,1)</f>
        <v/>
      </c>
      <c r="Z72" s="17">
        <f>Y72*(IF(AND($C$26&gt;0,$A72&gt;=$C$26),X72,0)+(1-$F72)*(1-$B$26))</f>
        <v/>
      </c>
      <c r="AA72" s="17">
        <f>SUM(Z$31:Z72)</f>
        <v/>
      </c>
    </row>
    <row r="73">
      <c r="A73" s="11" t="n">
        <v>43</v>
      </c>
      <c r="B73" s="13">
        <f>IF(A73=1,"Safe (Start)",IF(OR(A73=$B$10,A73=$B$11),"Milestone",IF(AND($B$9&gt;0,MOD(A73,$B$9)=0),"Safe","Standard")))</f>
        <v/>
      </c>
      <c r="C73" s="6">
        <f>$B$7</f>
        <v/>
      </c>
      <c r="D73" s="13">
        <f>IF($B73="Standard",$B$8,0)</f>
        <v/>
      </c>
      <c r="E73" s="13">
        <f>MIN(6,MAX(1,ROUNDUP(A73/$B$12,0)))</f>
        <v/>
      </c>
      <c r="F73" s="16">
        <f>IF($C73&lt;=0,0,($C73-$D73)/$C73)</f>
        <v/>
      </c>
      <c r="H73" s="16">
        <f>$F73+(1-$F73)*$B$22</f>
        <v/>
      </c>
      <c r="I73" s="17">
        <f>I72*H72*IF(AND($C$22&gt;0,$A72&gt;=$C$22),0,1)</f>
        <v/>
      </c>
      <c r="J73" s="17">
        <f>I73*(IF(AND($C$22&gt;0,$A73&gt;=$C$22),H73,0)+(1-$F73)*(1-$B$22))</f>
        <v/>
      </c>
      <c r="K73" s="17">
        <f>SUM(J$31:J73)</f>
        <v/>
      </c>
      <c r="L73" s="16">
        <f>$F73+(1-$F73)*$B$23</f>
        <v/>
      </c>
      <c r="M73" s="17">
        <f>M72*L72*IF(AND($C$23&gt;0,$A72&gt;=$C$23),0,1)</f>
        <v/>
      </c>
      <c r="N73" s="17">
        <f>M73*(IF(AND($C$23&gt;0,$A73&gt;=$C$23),L73,0)+(1-$F73)*(1-$B$23))</f>
        <v/>
      </c>
      <c r="O73" s="17">
        <f>SUM(N$31:N73)</f>
        <v/>
      </c>
      <c r="P73" s="16">
        <f>$F73+(1-$F73)*$B$24</f>
        <v/>
      </c>
      <c r="Q73" s="17">
        <f>Q72*P72*IF(AND($C$24&gt;0,$A72&gt;=$C$24),0,1)</f>
        <v/>
      </c>
      <c r="R73" s="17">
        <f>Q73*(IF(AND($C$24&gt;0,$A73&gt;=$C$24),P73,0)+(1-$F73)*(1-$B$24))</f>
        <v/>
      </c>
      <c r="S73" s="17">
        <f>SUM(R$31:R73)</f>
        <v/>
      </c>
      <c r="T73" s="16">
        <f>$F73+(1-$F73)*$B$25</f>
        <v/>
      </c>
      <c r="U73" s="17">
        <f>U72*T72*IF(AND($C$25&gt;0,$A72&gt;=$C$25),0,1)</f>
        <v/>
      </c>
      <c r="V73" s="17">
        <f>U73*(IF(AND($C$25&gt;0,$A73&gt;=$C$25),T73,0)+(1-$F73)*(1-$B$25))</f>
        <v/>
      </c>
      <c r="W73" s="17">
        <f>SUM(V$31:V73)</f>
        <v/>
      </c>
      <c r="X73" s="16">
        <f>$F73+(1-$F73)*$B$26</f>
        <v/>
      </c>
      <c r="Y73" s="17">
        <f>Y72*X72*IF(AND($C$26&gt;0,$A72&gt;=$C$26),0,1)</f>
        <v/>
      </c>
      <c r="Z73" s="17">
        <f>Y73*(IF(AND($C$26&gt;0,$A73&gt;=$C$26),X73,0)+(1-$F73)*(1-$B$26))</f>
        <v/>
      </c>
      <c r="AA73" s="17">
        <f>SUM(Z$31:Z73)</f>
        <v/>
      </c>
    </row>
    <row r="74">
      <c r="A74" s="11" t="n">
        <v>44</v>
      </c>
      <c r="B74" s="13">
        <f>IF(A74=1,"Safe (Start)",IF(OR(A74=$B$10,A74=$B$11),"Milestone",IF(AND($B$9&gt;0,MOD(A74,$B$9)=0),"Safe","Standard")))</f>
        <v/>
      </c>
      <c r="C74" s="6">
        <f>$B$7</f>
        <v/>
      </c>
      <c r="D74" s="13">
        <f>IF($B74="Standard",$B$8,0)</f>
        <v/>
      </c>
      <c r="E74" s="13">
        <f>MIN(6,MAX(1,ROUNDUP(A74/$B$12,0)))</f>
        <v/>
      </c>
      <c r="F74" s="16">
        <f>IF($C74&lt;=0,0,($C74-$D74)/$C74)</f>
        <v/>
      </c>
      <c r="H74" s="16">
        <f>$F74+(1-$F74)*$B$22</f>
        <v/>
      </c>
      <c r="I74" s="17">
        <f>I73*H73*IF(AND($C$22&gt;0,$A73&gt;=$C$22),0,1)</f>
        <v/>
      </c>
      <c r="J74" s="17">
        <f>I74*(IF(AND($C$22&gt;0,$A74&gt;=$C$22),H74,0)+(1-$F74)*(1-$B$22))</f>
        <v/>
      </c>
      <c r="K74" s="17">
        <f>SUM(J$31:J74)</f>
        <v/>
      </c>
      <c r="L74" s="16">
        <f>$F74+(1-$F74)*$B$23</f>
        <v/>
      </c>
      <c r="M74" s="17">
        <f>M73*L73*IF(AND($C$23&gt;0,$A73&gt;=$C$23),0,1)</f>
        <v/>
      </c>
      <c r="N74" s="17">
        <f>M74*(IF(AND($C$23&gt;0,$A74&gt;=$C$23),L74,0)+(1-$F74)*(1-$B$23))</f>
        <v/>
      </c>
      <c r="O74" s="17">
        <f>SUM(N$31:N74)</f>
        <v/>
      </c>
      <c r="P74" s="16">
        <f>$F74+(1-$F74)*$B$24</f>
        <v/>
      </c>
      <c r="Q74" s="17">
        <f>Q73*P73*IF(AND($C$24&gt;0,$A73&gt;=$C$24),0,1)</f>
        <v/>
      </c>
      <c r="R74" s="17">
        <f>Q74*(IF(AND($C$24&gt;0,$A74&gt;=$C$24),P74,0)+(1-$F74)*(1-$B$24))</f>
        <v/>
      </c>
      <c r="S74" s="17">
        <f>SUM(R$31:R74)</f>
        <v/>
      </c>
      <c r="T74" s="16">
        <f>$F74+(1-$F74)*$B$25</f>
        <v/>
      </c>
      <c r="U74" s="17">
        <f>U73*T73*IF(AND($C$25&gt;0,$A73&gt;=$C$25),0,1)</f>
        <v/>
      </c>
      <c r="V74" s="17">
        <f>U74*(IF(AND($C$25&gt;0,$A74&gt;=$C$25),T74,0)+(1-$F74)*(1-$B$25))</f>
        <v/>
      </c>
      <c r="W74" s="17">
        <f>SUM(V$31:V74)</f>
        <v/>
      </c>
      <c r="X74" s="16">
        <f>$F74+(1-$F74)*$B$26</f>
        <v/>
      </c>
      <c r="Y74" s="17">
        <f>Y73*X73*IF(AND($C$26&gt;0,$A73&gt;=$C$26),0,1)</f>
        <v/>
      </c>
      <c r="Z74" s="17">
        <f>Y74*(IF(AND($C$26&gt;0,$A74&gt;=$C$26),X74,0)+(1-$F74)*(1-$B$26))</f>
        <v/>
      </c>
      <c r="AA74" s="17">
        <f>SUM(Z$31:Z74)</f>
        <v/>
      </c>
    </row>
    <row r="75">
      <c r="A75" s="11" t="n">
        <v>45</v>
      </c>
      <c r="B75" s="13">
        <f>IF(A75=1,"Safe (Start)",IF(OR(A75=$B$10,A75=$B$11),"Milestone",IF(AND($B$9&gt;0,MOD(A75,$B$9)=0),"Safe","Standard")))</f>
        <v/>
      </c>
      <c r="C75" s="6">
        <f>$B$7</f>
        <v/>
      </c>
      <c r="D75" s="13">
        <f>IF($B75="Standard",$B$8,0)</f>
        <v/>
      </c>
      <c r="E75" s="13">
        <f>MIN(6,MAX(1,ROUNDUP(A75/$B$12,0)))</f>
        <v/>
      </c>
      <c r="F75" s="16">
        <f>IF($C75&lt;=0,0,($C75-$D75)/$C75)</f>
        <v/>
      </c>
      <c r="H75" s="16">
        <f>$F75+(1-$F75)*$B$22</f>
        <v/>
      </c>
      <c r="I75" s="17">
        <f>I74*H74*IF(AND($C$22&gt;0,$A74&gt;=$C$22),0,1)</f>
        <v/>
      </c>
      <c r="J75" s="17">
        <f>I75*(IF(AND($C$22&gt;0,$A75&gt;=$C$22),H75,0)+(1-$F75)*(1-$B$22))</f>
        <v/>
      </c>
      <c r="K75" s="17">
        <f>SUM(J$31:J75)</f>
        <v/>
      </c>
      <c r="L75" s="16">
        <f>$F75+(1-$F75)*$B$23</f>
        <v/>
      </c>
      <c r="M75" s="17">
        <f>M74*L74*IF(AND($C$23&gt;0,$A74&gt;=$C$23),0,1)</f>
        <v/>
      </c>
      <c r="N75" s="17">
        <f>M75*(IF(AND($C$23&gt;0,$A75&gt;=$C$23),L75,0)+(1-$F75)*(1-$B$23))</f>
        <v/>
      </c>
      <c r="O75" s="17">
        <f>SUM(N$31:N75)</f>
        <v/>
      </c>
      <c r="P75" s="16">
        <f>$F75+(1-$F75)*$B$24</f>
        <v/>
      </c>
      <c r="Q75" s="17">
        <f>Q74*P74*IF(AND($C$24&gt;0,$A74&gt;=$C$24),0,1)</f>
        <v/>
      </c>
      <c r="R75" s="17">
        <f>Q75*(IF(AND($C$24&gt;0,$A75&gt;=$C$24),P75,0)+(1-$F75)*(1-$B$24))</f>
        <v/>
      </c>
      <c r="S75" s="17">
        <f>SUM(R$31:R75)</f>
        <v/>
      </c>
      <c r="T75" s="16">
        <f>$F75+(1-$F75)*$B$25</f>
        <v/>
      </c>
      <c r="U75" s="17">
        <f>U74*T74*IF(AND($C$25&gt;0,$A74&gt;=$C$25),0,1)</f>
        <v/>
      </c>
      <c r="V75" s="17">
        <f>U75*(IF(AND($C$25&gt;0,$A75&gt;=$C$25),T75,0)+(1-$F75)*(1-$B$25))</f>
        <v/>
      </c>
      <c r="W75" s="17">
        <f>SUM(V$31:V75)</f>
        <v/>
      </c>
      <c r="X75" s="16">
        <f>$F75+(1-$F75)*$B$26</f>
        <v/>
      </c>
      <c r="Y75" s="17">
        <f>Y74*X74*IF(AND($C$26&gt;0,$A74&gt;=$C$26),0,1)</f>
        <v/>
      </c>
      <c r="Z75" s="17">
        <f>Y75*(IF(AND($C$26&gt;0,$A75&gt;=$C$26),X75,0)+(1-$F75)*(1-$B$26))</f>
        <v/>
      </c>
      <c r="AA75" s="17">
        <f>SUM(Z$31:Z75)</f>
        <v/>
      </c>
    </row>
    <row r="76">
      <c r="A76" s="11" t="n">
        <v>46</v>
      </c>
      <c r="B76" s="13">
        <f>IF(A76=1,"Safe (Start)",IF(OR(A76=$B$10,A76=$B$11),"Milestone",IF(AND($B$9&gt;0,MOD(A76,$B$9)=0),"Safe","Standard")))</f>
        <v/>
      </c>
      <c r="C76" s="6">
        <f>$B$7</f>
        <v/>
      </c>
      <c r="D76" s="13">
        <f>IF($B76="Standard",$B$8,0)</f>
        <v/>
      </c>
      <c r="E76" s="13">
        <f>MIN(6,MAX(1,ROUNDUP(A76/$B$12,0)))</f>
        <v/>
      </c>
      <c r="F76" s="16">
        <f>IF($C76&lt;=0,0,($C76-$D76)/$C76)</f>
        <v/>
      </c>
      <c r="H76" s="16">
        <f>$F76+(1-$F76)*$B$22</f>
        <v/>
      </c>
      <c r="I76" s="17">
        <f>I75*H75*IF(AND($C$22&gt;0,$A75&gt;=$C$22),0,1)</f>
        <v/>
      </c>
      <c r="J76" s="17">
        <f>I76*(IF(AND($C$22&gt;0,$A76&gt;=$C$22),H76,0)+(1-$F76)*(1-$B$22))</f>
        <v/>
      </c>
      <c r="K76" s="17">
        <f>SUM(J$31:J76)</f>
        <v/>
      </c>
      <c r="L76" s="16">
        <f>$F76+(1-$F76)*$B$23</f>
        <v/>
      </c>
      <c r="M76" s="17">
        <f>M75*L75*IF(AND($C$23&gt;0,$A75&gt;=$C$23),0,1)</f>
        <v/>
      </c>
      <c r="N76" s="17">
        <f>M76*(IF(AND($C$23&gt;0,$A76&gt;=$C$23),L76,0)+(1-$F76)*(1-$B$23))</f>
        <v/>
      </c>
      <c r="O76" s="17">
        <f>SUM(N$31:N76)</f>
        <v/>
      </c>
      <c r="P76" s="16">
        <f>$F76+(1-$F76)*$B$24</f>
        <v/>
      </c>
      <c r="Q76" s="17">
        <f>Q75*P75*IF(AND($C$24&gt;0,$A75&gt;=$C$24),0,1)</f>
        <v/>
      </c>
      <c r="R76" s="17">
        <f>Q76*(IF(AND($C$24&gt;0,$A76&gt;=$C$24),P76,0)+(1-$F76)*(1-$B$24))</f>
        <v/>
      </c>
      <c r="S76" s="17">
        <f>SUM(R$31:R76)</f>
        <v/>
      </c>
      <c r="T76" s="16">
        <f>$F76+(1-$F76)*$B$25</f>
        <v/>
      </c>
      <c r="U76" s="17">
        <f>U75*T75*IF(AND($C$25&gt;0,$A75&gt;=$C$25),0,1)</f>
        <v/>
      </c>
      <c r="V76" s="17">
        <f>U76*(IF(AND($C$25&gt;0,$A76&gt;=$C$25),T76,0)+(1-$F76)*(1-$B$25))</f>
        <v/>
      </c>
      <c r="W76" s="17">
        <f>SUM(V$31:V76)</f>
        <v/>
      </c>
      <c r="X76" s="16">
        <f>$F76+(1-$F76)*$B$26</f>
        <v/>
      </c>
      <c r="Y76" s="17">
        <f>Y75*X75*IF(AND($C$26&gt;0,$A75&gt;=$C$26),0,1)</f>
        <v/>
      </c>
      <c r="Z76" s="17">
        <f>Y76*(IF(AND($C$26&gt;0,$A76&gt;=$C$26),X76,0)+(1-$F76)*(1-$B$26))</f>
        <v/>
      </c>
      <c r="AA76" s="17">
        <f>SUM(Z$31:Z76)</f>
        <v/>
      </c>
    </row>
    <row r="77">
      <c r="A77" s="11" t="n">
        <v>47</v>
      </c>
      <c r="B77" s="13">
        <f>IF(A77=1,"Safe (Start)",IF(OR(A77=$B$10,A77=$B$11),"Milestone",IF(AND($B$9&gt;0,MOD(A77,$B$9)=0),"Safe","Standard")))</f>
        <v/>
      </c>
      <c r="C77" s="6">
        <f>$B$7</f>
        <v/>
      </c>
      <c r="D77" s="13">
        <f>IF($B77="Standard",$B$8,0)</f>
        <v/>
      </c>
      <c r="E77" s="13">
        <f>MIN(6,MAX(1,ROUNDUP(A77/$B$12,0)))</f>
        <v/>
      </c>
      <c r="F77" s="16">
        <f>IF($C77&lt;=0,0,($C77-$D77)/$C77)</f>
        <v/>
      </c>
      <c r="H77" s="16">
        <f>$F77+(1-$F77)*$B$22</f>
        <v/>
      </c>
      <c r="I77" s="17">
        <f>I76*H76*IF(AND($C$22&gt;0,$A76&gt;=$C$22),0,1)</f>
        <v/>
      </c>
      <c r="J77" s="17">
        <f>I77*(IF(AND($C$22&gt;0,$A77&gt;=$C$22),H77,0)+(1-$F77)*(1-$B$22))</f>
        <v/>
      </c>
      <c r="K77" s="17">
        <f>SUM(J$31:J77)</f>
        <v/>
      </c>
      <c r="L77" s="16">
        <f>$F77+(1-$F77)*$B$23</f>
        <v/>
      </c>
      <c r="M77" s="17">
        <f>M76*L76*IF(AND($C$23&gt;0,$A76&gt;=$C$23),0,1)</f>
        <v/>
      </c>
      <c r="N77" s="17">
        <f>M77*(IF(AND($C$23&gt;0,$A77&gt;=$C$23),L77,0)+(1-$F77)*(1-$B$23))</f>
        <v/>
      </c>
      <c r="O77" s="17">
        <f>SUM(N$31:N77)</f>
        <v/>
      </c>
      <c r="P77" s="16">
        <f>$F77+(1-$F77)*$B$24</f>
        <v/>
      </c>
      <c r="Q77" s="17">
        <f>Q76*P76*IF(AND($C$24&gt;0,$A76&gt;=$C$24),0,1)</f>
        <v/>
      </c>
      <c r="R77" s="17">
        <f>Q77*(IF(AND($C$24&gt;0,$A77&gt;=$C$24),P77,0)+(1-$F77)*(1-$B$24))</f>
        <v/>
      </c>
      <c r="S77" s="17">
        <f>SUM(R$31:R77)</f>
        <v/>
      </c>
      <c r="T77" s="16">
        <f>$F77+(1-$F77)*$B$25</f>
        <v/>
      </c>
      <c r="U77" s="17">
        <f>U76*T76*IF(AND($C$25&gt;0,$A76&gt;=$C$25),0,1)</f>
        <v/>
      </c>
      <c r="V77" s="17">
        <f>U77*(IF(AND($C$25&gt;0,$A77&gt;=$C$25),T77,0)+(1-$F77)*(1-$B$25))</f>
        <v/>
      </c>
      <c r="W77" s="17">
        <f>SUM(V$31:V77)</f>
        <v/>
      </c>
      <c r="X77" s="16">
        <f>$F77+(1-$F77)*$B$26</f>
        <v/>
      </c>
      <c r="Y77" s="17">
        <f>Y76*X76*IF(AND($C$26&gt;0,$A76&gt;=$C$26),0,1)</f>
        <v/>
      </c>
      <c r="Z77" s="17">
        <f>Y77*(IF(AND($C$26&gt;0,$A77&gt;=$C$26),X77,0)+(1-$F77)*(1-$B$26))</f>
        <v/>
      </c>
      <c r="AA77" s="17">
        <f>SUM(Z$31:Z77)</f>
        <v/>
      </c>
    </row>
    <row r="78">
      <c r="A78" s="11" t="n">
        <v>48</v>
      </c>
      <c r="B78" s="13">
        <f>IF(A78=1,"Safe (Start)",IF(OR(A78=$B$10,A78=$B$11),"Milestone",IF(AND($B$9&gt;0,MOD(A78,$B$9)=0),"Safe","Standard")))</f>
        <v/>
      </c>
      <c r="C78" s="6">
        <f>$B$7</f>
        <v/>
      </c>
      <c r="D78" s="13">
        <f>IF($B78="Standard",$B$8,0)</f>
        <v/>
      </c>
      <c r="E78" s="13">
        <f>MIN(6,MAX(1,ROUNDUP(A78/$B$12,0)))</f>
        <v/>
      </c>
      <c r="F78" s="16">
        <f>IF($C78&lt;=0,0,($C78-$D78)/$C78)</f>
        <v/>
      </c>
      <c r="H78" s="16">
        <f>$F78+(1-$F78)*$B$22</f>
        <v/>
      </c>
      <c r="I78" s="17">
        <f>I77*H77*IF(AND($C$22&gt;0,$A77&gt;=$C$22),0,1)</f>
        <v/>
      </c>
      <c r="J78" s="17">
        <f>I78*(IF(AND($C$22&gt;0,$A78&gt;=$C$22),H78,0)+(1-$F78)*(1-$B$22))</f>
        <v/>
      </c>
      <c r="K78" s="17">
        <f>SUM(J$31:J78)</f>
        <v/>
      </c>
      <c r="L78" s="16">
        <f>$F78+(1-$F78)*$B$23</f>
        <v/>
      </c>
      <c r="M78" s="17">
        <f>M77*L77*IF(AND($C$23&gt;0,$A77&gt;=$C$23),0,1)</f>
        <v/>
      </c>
      <c r="N78" s="17">
        <f>M78*(IF(AND($C$23&gt;0,$A78&gt;=$C$23),L78,0)+(1-$F78)*(1-$B$23))</f>
        <v/>
      </c>
      <c r="O78" s="17">
        <f>SUM(N$31:N78)</f>
        <v/>
      </c>
      <c r="P78" s="16">
        <f>$F78+(1-$F78)*$B$24</f>
        <v/>
      </c>
      <c r="Q78" s="17">
        <f>Q77*P77*IF(AND($C$24&gt;0,$A77&gt;=$C$24),0,1)</f>
        <v/>
      </c>
      <c r="R78" s="17">
        <f>Q78*(IF(AND($C$24&gt;0,$A78&gt;=$C$24),P78,0)+(1-$F78)*(1-$B$24))</f>
        <v/>
      </c>
      <c r="S78" s="17">
        <f>SUM(R$31:R78)</f>
        <v/>
      </c>
      <c r="T78" s="16">
        <f>$F78+(1-$F78)*$B$25</f>
        <v/>
      </c>
      <c r="U78" s="17">
        <f>U77*T77*IF(AND($C$25&gt;0,$A77&gt;=$C$25),0,1)</f>
        <v/>
      </c>
      <c r="V78" s="17">
        <f>U78*(IF(AND($C$25&gt;0,$A78&gt;=$C$25),T78,0)+(1-$F78)*(1-$B$25))</f>
        <v/>
      </c>
      <c r="W78" s="17">
        <f>SUM(V$31:V78)</f>
        <v/>
      </c>
      <c r="X78" s="16">
        <f>$F78+(1-$F78)*$B$26</f>
        <v/>
      </c>
      <c r="Y78" s="17">
        <f>Y77*X77*IF(AND($C$26&gt;0,$A77&gt;=$C$26),0,1)</f>
        <v/>
      </c>
      <c r="Z78" s="17">
        <f>Y78*(IF(AND($C$26&gt;0,$A78&gt;=$C$26),X78,0)+(1-$F78)*(1-$B$26))</f>
        <v/>
      </c>
      <c r="AA78" s="17">
        <f>SUM(Z$31:Z78)</f>
        <v/>
      </c>
    </row>
    <row r="79">
      <c r="A79" s="11" t="n">
        <v>49</v>
      </c>
      <c r="B79" s="13">
        <f>IF(A79=1,"Safe (Start)",IF(OR(A79=$B$10,A79=$B$11),"Milestone",IF(AND($B$9&gt;0,MOD(A79,$B$9)=0),"Safe","Standard")))</f>
        <v/>
      </c>
      <c r="C79" s="6">
        <f>$B$7</f>
        <v/>
      </c>
      <c r="D79" s="13">
        <f>IF($B79="Standard",$B$8,0)</f>
        <v/>
      </c>
      <c r="E79" s="13">
        <f>MIN(6,MAX(1,ROUNDUP(A79/$B$12,0)))</f>
        <v/>
      </c>
      <c r="F79" s="16">
        <f>IF($C79&lt;=0,0,($C79-$D79)/$C79)</f>
        <v/>
      </c>
      <c r="H79" s="16">
        <f>$F79+(1-$F79)*$B$22</f>
        <v/>
      </c>
      <c r="I79" s="17">
        <f>I78*H78*IF(AND($C$22&gt;0,$A78&gt;=$C$22),0,1)</f>
        <v/>
      </c>
      <c r="J79" s="17">
        <f>I79*(IF(AND($C$22&gt;0,$A79&gt;=$C$22),H79,0)+(1-$F79)*(1-$B$22))</f>
        <v/>
      </c>
      <c r="K79" s="17">
        <f>SUM(J$31:J79)</f>
        <v/>
      </c>
      <c r="L79" s="16">
        <f>$F79+(1-$F79)*$B$23</f>
        <v/>
      </c>
      <c r="M79" s="17">
        <f>M78*L78*IF(AND($C$23&gt;0,$A78&gt;=$C$23),0,1)</f>
        <v/>
      </c>
      <c r="N79" s="17">
        <f>M79*(IF(AND($C$23&gt;0,$A79&gt;=$C$23),L79,0)+(1-$F79)*(1-$B$23))</f>
        <v/>
      </c>
      <c r="O79" s="17">
        <f>SUM(N$31:N79)</f>
        <v/>
      </c>
      <c r="P79" s="16">
        <f>$F79+(1-$F79)*$B$24</f>
        <v/>
      </c>
      <c r="Q79" s="17">
        <f>Q78*P78*IF(AND($C$24&gt;0,$A78&gt;=$C$24),0,1)</f>
        <v/>
      </c>
      <c r="R79" s="17">
        <f>Q79*(IF(AND($C$24&gt;0,$A79&gt;=$C$24),P79,0)+(1-$F79)*(1-$B$24))</f>
        <v/>
      </c>
      <c r="S79" s="17">
        <f>SUM(R$31:R79)</f>
        <v/>
      </c>
      <c r="T79" s="16">
        <f>$F79+(1-$F79)*$B$25</f>
        <v/>
      </c>
      <c r="U79" s="17">
        <f>U78*T78*IF(AND($C$25&gt;0,$A78&gt;=$C$25),0,1)</f>
        <v/>
      </c>
      <c r="V79" s="17">
        <f>U79*(IF(AND($C$25&gt;0,$A79&gt;=$C$25),T79,0)+(1-$F79)*(1-$B$25))</f>
        <v/>
      </c>
      <c r="W79" s="17">
        <f>SUM(V$31:V79)</f>
        <v/>
      </c>
      <c r="X79" s="16">
        <f>$F79+(1-$F79)*$B$26</f>
        <v/>
      </c>
      <c r="Y79" s="17">
        <f>Y78*X78*IF(AND($C$26&gt;0,$A78&gt;=$C$26),0,1)</f>
        <v/>
      </c>
      <c r="Z79" s="17">
        <f>Y79*(IF(AND($C$26&gt;0,$A79&gt;=$C$26),X79,0)+(1-$F79)*(1-$B$26))</f>
        <v/>
      </c>
      <c r="AA79" s="17">
        <f>SUM(Z$31:Z79)</f>
        <v/>
      </c>
    </row>
    <row r="80">
      <c r="A80" s="11" t="n">
        <v>50</v>
      </c>
      <c r="B80" s="13">
        <f>IF(A80=1,"Safe (Start)",IF(OR(A80=$B$10,A80=$B$11),"Milestone",IF(AND($B$9&gt;0,MOD(A80,$B$9)=0),"Safe","Standard")))</f>
        <v/>
      </c>
      <c r="C80" s="6">
        <f>$B$7</f>
        <v/>
      </c>
      <c r="D80" s="13">
        <f>IF($B80="Standard",$B$8,0)</f>
        <v/>
      </c>
      <c r="E80" s="13">
        <f>MIN(6,MAX(1,ROUNDUP(A80/$B$12,0)))</f>
        <v/>
      </c>
      <c r="F80" s="16">
        <f>IF($C80&lt;=0,0,($C80-$D80)/$C80)</f>
        <v/>
      </c>
      <c r="H80" s="16">
        <f>$F80+(1-$F80)*$B$22</f>
        <v/>
      </c>
      <c r="I80" s="17">
        <f>I79*H79*IF(AND($C$22&gt;0,$A79&gt;=$C$22),0,1)</f>
        <v/>
      </c>
      <c r="J80" s="17">
        <f>I80*(IF(AND($C$22&gt;0,$A80&gt;=$C$22),H80,0)+(1-$F80)*(1-$B$22))</f>
        <v/>
      </c>
      <c r="K80" s="17">
        <f>SUM(J$31:J80)</f>
        <v/>
      </c>
      <c r="L80" s="16">
        <f>$F80+(1-$F80)*$B$23</f>
        <v/>
      </c>
      <c r="M80" s="17">
        <f>M79*L79*IF(AND($C$23&gt;0,$A79&gt;=$C$23),0,1)</f>
        <v/>
      </c>
      <c r="N80" s="17">
        <f>M80*(IF(AND($C$23&gt;0,$A80&gt;=$C$23),L80,0)+(1-$F80)*(1-$B$23))</f>
        <v/>
      </c>
      <c r="O80" s="17">
        <f>SUM(N$31:N80)</f>
        <v/>
      </c>
      <c r="P80" s="16">
        <f>$F80+(1-$F80)*$B$24</f>
        <v/>
      </c>
      <c r="Q80" s="17">
        <f>Q79*P79*IF(AND($C$24&gt;0,$A79&gt;=$C$24),0,1)</f>
        <v/>
      </c>
      <c r="R80" s="17">
        <f>Q80*(IF(AND($C$24&gt;0,$A80&gt;=$C$24),P80,0)+(1-$F80)*(1-$B$24))</f>
        <v/>
      </c>
      <c r="S80" s="17">
        <f>SUM(R$31:R80)</f>
        <v/>
      </c>
      <c r="T80" s="16">
        <f>$F80+(1-$F80)*$B$25</f>
        <v/>
      </c>
      <c r="U80" s="17">
        <f>U79*T79*IF(AND($C$25&gt;0,$A79&gt;=$C$25),0,1)</f>
        <v/>
      </c>
      <c r="V80" s="17">
        <f>U80*(IF(AND($C$25&gt;0,$A80&gt;=$C$25),T80,0)+(1-$F80)*(1-$B$25))</f>
        <v/>
      </c>
      <c r="W80" s="17">
        <f>SUM(V$31:V80)</f>
        <v/>
      </c>
      <c r="X80" s="16">
        <f>$F80+(1-$F80)*$B$26</f>
        <v/>
      </c>
      <c r="Y80" s="17">
        <f>Y79*X79*IF(AND($C$26&gt;0,$A79&gt;=$C$26),0,1)</f>
        <v/>
      </c>
      <c r="Z80" s="17">
        <f>Y80*(IF(AND($C$26&gt;0,$A80&gt;=$C$26),X80,0)+(1-$F80)*(1-$B$26))</f>
        <v/>
      </c>
      <c r="AA80" s="17">
        <f>SUM(Z$31:Z80)</f>
        <v/>
      </c>
    </row>
    <row r="81">
      <c r="A81" s="11" t="n">
        <v>51</v>
      </c>
      <c r="B81" s="13">
        <f>IF(A81=1,"Safe (Start)",IF(OR(A81=$B$10,A81=$B$11),"Milestone",IF(AND($B$9&gt;0,MOD(A81,$B$9)=0),"Safe","Standard")))</f>
        <v/>
      </c>
      <c r="C81" s="6">
        <f>$B$7</f>
        <v/>
      </c>
      <c r="D81" s="13">
        <f>IF($B81="Standard",$B$8,0)</f>
        <v/>
      </c>
      <c r="E81" s="13">
        <f>MIN(6,MAX(1,ROUNDUP(A81/$B$12,0)))</f>
        <v/>
      </c>
      <c r="F81" s="16">
        <f>IF($C81&lt;=0,0,($C81-$D81)/$C81)</f>
        <v/>
      </c>
      <c r="H81" s="16">
        <f>$F81+(1-$F81)*$B$22</f>
        <v/>
      </c>
      <c r="I81" s="17">
        <f>I80*H80*IF(AND($C$22&gt;0,$A80&gt;=$C$22),0,1)</f>
        <v/>
      </c>
      <c r="J81" s="17">
        <f>I81*(IF(AND($C$22&gt;0,$A81&gt;=$C$22),H81,0)+(1-$F81)*(1-$B$22))</f>
        <v/>
      </c>
      <c r="K81" s="17">
        <f>SUM(J$31:J81)</f>
        <v/>
      </c>
      <c r="L81" s="16">
        <f>$F81+(1-$F81)*$B$23</f>
        <v/>
      </c>
      <c r="M81" s="17">
        <f>M80*L80*IF(AND($C$23&gt;0,$A80&gt;=$C$23),0,1)</f>
        <v/>
      </c>
      <c r="N81" s="17">
        <f>M81*(IF(AND($C$23&gt;0,$A81&gt;=$C$23),L81,0)+(1-$F81)*(1-$B$23))</f>
        <v/>
      </c>
      <c r="O81" s="17">
        <f>SUM(N$31:N81)</f>
        <v/>
      </c>
      <c r="P81" s="16">
        <f>$F81+(1-$F81)*$B$24</f>
        <v/>
      </c>
      <c r="Q81" s="17">
        <f>Q80*P80*IF(AND($C$24&gt;0,$A80&gt;=$C$24),0,1)</f>
        <v/>
      </c>
      <c r="R81" s="17">
        <f>Q81*(IF(AND($C$24&gt;0,$A81&gt;=$C$24),P81,0)+(1-$F81)*(1-$B$24))</f>
        <v/>
      </c>
      <c r="S81" s="17">
        <f>SUM(R$31:R81)</f>
        <v/>
      </c>
      <c r="T81" s="16">
        <f>$F81+(1-$F81)*$B$25</f>
        <v/>
      </c>
      <c r="U81" s="17">
        <f>U80*T80*IF(AND($C$25&gt;0,$A80&gt;=$C$25),0,1)</f>
        <v/>
      </c>
      <c r="V81" s="17">
        <f>U81*(IF(AND($C$25&gt;0,$A81&gt;=$C$25),T81,0)+(1-$F81)*(1-$B$25))</f>
        <v/>
      </c>
      <c r="W81" s="17">
        <f>SUM(V$31:V81)</f>
        <v/>
      </c>
      <c r="X81" s="16">
        <f>$F81+(1-$F81)*$B$26</f>
        <v/>
      </c>
      <c r="Y81" s="17">
        <f>Y80*X80*IF(AND($C$26&gt;0,$A80&gt;=$C$26),0,1)</f>
        <v/>
      </c>
      <c r="Z81" s="17">
        <f>Y81*(IF(AND($C$26&gt;0,$A81&gt;=$C$26),X81,0)+(1-$F81)*(1-$B$26))</f>
        <v/>
      </c>
      <c r="AA81" s="17">
        <f>SUM(Z$31:Z81)</f>
        <v/>
      </c>
    </row>
    <row r="82">
      <c r="A82" s="11" t="n">
        <v>52</v>
      </c>
      <c r="B82" s="13">
        <f>IF(A82=1,"Safe (Start)",IF(OR(A82=$B$10,A82=$B$11),"Milestone",IF(AND($B$9&gt;0,MOD(A82,$B$9)=0),"Safe","Standard")))</f>
        <v/>
      </c>
      <c r="C82" s="6">
        <f>$B$7</f>
        <v/>
      </c>
      <c r="D82" s="13">
        <f>IF($B82="Standard",$B$8,0)</f>
        <v/>
      </c>
      <c r="E82" s="13">
        <f>MIN(6,MAX(1,ROUNDUP(A82/$B$12,0)))</f>
        <v/>
      </c>
      <c r="F82" s="16">
        <f>IF($C82&lt;=0,0,($C82-$D82)/$C82)</f>
        <v/>
      </c>
      <c r="H82" s="16">
        <f>$F82+(1-$F82)*$B$22</f>
        <v/>
      </c>
      <c r="I82" s="17">
        <f>I81*H81*IF(AND($C$22&gt;0,$A81&gt;=$C$22),0,1)</f>
        <v/>
      </c>
      <c r="J82" s="17">
        <f>I82*(IF(AND($C$22&gt;0,$A82&gt;=$C$22),H82,0)+(1-$F82)*(1-$B$22))</f>
        <v/>
      </c>
      <c r="K82" s="17">
        <f>SUM(J$31:J82)</f>
        <v/>
      </c>
      <c r="L82" s="16">
        <f>$F82+(1-$F82)*$B$23</f>
        <v/>
      </c>
      <c r="M82" s="17">
        <f>M81*L81*IF(AND($C$23&gt;0,$A81&gt;=$C$23),0,1)</f>
        <v/>
      </c>
      <c r="N82" s="17">
        <f>M82*(IF(AND($C$23&gt;0,$A82&gt;=$C$23),L82,0)+(1-$F82)*(1-$B$23))</f>
        <v/>
      </c>
      <c r="O82" s="17">
        <f>SUM(N$31:N82)</f>
        <v/>
      </c>
      <c r="P82" s="16">
        <f>$F82+(1-$F82)*$B$24</f>
        <v/>
      </c>
      <c r="Q82" s="17">
        <f>Q81*P81*IF(AND($C$24&gt;0,$A81&gt;=$C$24),0,1)</f>
        <v/>
      </c>
      <c r="R82" s="17">
        <f>Q82*(IF(AND($C$24&gt;0,$A82&gt;=$C$24),P82,0)+(1-$F82)*(1-$B$24))</f>
        <v/>
      </c>
      <c r="S82" s="17">
        <f>SUM(R$31:R82)</f>
        <v/>
      </c>
      <c r="T82" s="16">
        <f>$F82+(1-$F82)*$B$25</f>
        <v/>
      </c>
      <c r="U82" s="17">
        <f>U81*T81*IF(AND($C$25&gt;0,$A81&gt;=$C$25),0,1)</f>
        <v/>
      </c>
      <c r="V82" s="17">
        <f>U82*(IF(AND($C$25&gt;0,$A82&gt;=$C$25),T82,0)+(1-$F82)*(1-$B$25))</f>
        <v/>
      </c>
      <c r="W82" s="17">
        <f>SUM(V$31:V82)</f>
        <v/>
      </c>
      <c r="X82" s="16">
        <f>$F82+(1-$F82)*$B$26</f>
        <v/>
      </c>
      <c r="Y82" s="17">
        <f>Y81*X81*IF(AND($C$26&gt;0,$A81&gt;=$C$26),0,1)</f>
        <v/>
      </c>
      <c r="Z82" s="17">
        <f>Y82*(IF(AND($C$26&gt;0,$A82&gt;=$C$26),X82,0)+(1-$F82)*(1-$B$26))</f>
        <v/>
      </c>
      <c r="AA82" s="17">
        <f>SUM(Z$31:Z82)</f>
        <v/>
      </c>
    </row>
    <row r="83">
      <c r="A83" s="11" t="n">
        <v>53</v>
      </c>
      <c r="B83" s="13">
        <f>IF(A83=1,"Safe (Start)",IF(OR(A83=$B$10,A83=$B$11),"Milestone",IF(AND($B$9&gt;0,MOD(A83,$B$9)=0),"Safe","Standard")))</f>
        <v/>
      </c>
      <c r="C83" s="6">
        <f>$B$7</f>
        <v/>
      </c>
      <c r="D83" s="13">
        <f>IF($B83="Standard",$B$8,0)</f>
        <v/>
      </c>
      <c r="E83" s="13">
        <f>MIN(6,MAX(1,ROUNDUP(A83/$B$12,0)))</f>
        <v/>
      </c>
      <c r="F83" s="16">
        <f>IF($C83&lt;=0,0,($C83-$D83)/$C83)</f>
        <v/>
      </c>
      <c r="H83" s="16">
        <f>$F83+(1-$F83)*$B$22</f>
        <v/>
      </c>
      <c r="I83" s="17">
        <f>I82*H82*IF(AND($C$22&gt;0,$A82&gt;=$C$22),0,1)</f>
        <v/>
      </c>
      <c r="J83" s="17">
        <f>I83*(IF(AND($C$22&gt;0,$A83&gt;=$C$22),H83,0)+(1-$F83)*(1-$B$22))</f>
        <v/>
      </c>
      <c r="K83" s="17">
        <f>SUM(J$31:J83)</f>
        <v/>
      </c>
      <c r="L83" s="16">
        <f>$F83+(1-$F83)*$B$23</f>
        <v/>
      </c>
      <c r="M83" s="17">
        <f>M82*L82*IF(AND($C$23&gt;0,$A82&gt;=$C$23),0,1)</f>
        <v/>
      </c>
      <c r="N83" s="17">
        <f>M83*(IF(AND($C$23&gt;0,$A83&gt;=$C$23),L83,0)+(1-$F83)*(1-$B$23))</f>
        <v/>
      </c>
      <c r="O83" s="17">
        <f>SUM(N$31:N83)</f>
        <v/>
      </c>
      <c r="P83" s="16">
        <f>$F83+(1-$F83)*$B$24</f>
        <v/>
      </c>
      <c r="Q83" s="17">
        <f>Q82*P82*IF(AND($C$24&gt;0,$A82&gt;=$C$24),0,1)</f>
        <v/>
      </c>
      <c r="R83" s="17">
        <f>Q83*(IF(AND($C$24&gt;0,$A83&gt;=$C$24),P83,0)+(1-$F83)*(1-$B$24))</f>
        <v/>
      </c>
      <c r="S83" s="17">
        <f>SUM(R$31:R83)</f>
        <v/>
      </c>
      <c r="T83" s="16">
        <f>$F83+(1-$F83)*$B$25</f>
        <v/>
      </c>
      <c r="U83" s="17">
        <f>U82*T82*IF(AND($C$25&gt;0,$A82&gt;=$C$25),0,1)</f>
        <v/>
      </c>
      <c r="V83" s="17">
        <f>U83*(IF(AND($C$25&gt;0,$A83&gt;=$C$25),T83,0)+(1-$F83)*(1-$B$25))</f>
        <v/>
      </c>
      <c r="W83" s="17">
        <f>SUM(V$31:V83)</f>
        <v/>
      </c>
      <c r="X83" s="16">
        <f>$F83+(1-$F83)*$B$26</f>
        <v/>
      </c>
      <c r="Y83" s="17">
        <f>Y82*X82*IF(AND($C$26&gt;0,$A82&gt;=$C$26),0,1)</f>
        <v/>
      </c>
      <c r="Z83" s="17">
        <f>Y83*(IF(AND($C$26&gt;0,$A83&gt;=$C$26),X83,0)+(1-$F83)*(1-$B$26))</f>
        <v/>
      </c>
      <c r="AA83" s="17">
        <f>SUM(Z$31:Z83)</f>
        <v/>
      </c>
    </row>
    <row r="84">
      <c r="A84" s="11" t="n">
        <v>54</v>
      </c>
      <c r="B84" s="13">
        <f>IF(A84=1,"Safe (Start)",IF(OR(A84=$B$10,A84=$B$11),"Milestone",IF(AND($B$9&gt;0,MOD(A84,$B$9)=0),"Safe","Standard")))</f>
        <v/>
      </c>
      <c r="C84" s="6">
        <f>$B$7</f>
        <v/>
      </c>
      <c r="D84" s="13">
        <f>IF($B84="Standard",$B$8,0)</f>
        <v/>
      </c>
      <c r="E84" s="13">
        <f>MIN(6,MAX(1,ROUNDUP(A84/$B$12,0)))</f>
        <v/>
      </c>
      <c r="F84" s="16">
        <f>IF($C84&lt;=0,0,($C84-$D84)/$C84)</f>
        <v/>
      </c>
      <c r="H84" s="16">
        <f>$F84+(1-$F84)*$B$22</f>
        <v/>
      </c>
      <c r="I84" s="17">
        <f>I83*H83*IF(AND($C$22&gt;0,$A83&gt;=$C$22),0,1)</f>
        <v/>
      </c>
      <c r="J84" s="17">
        <f>I84*(IF(AND($C$22&gt;0,$A84&gt;=$C$22),H84,0)+(1-$F84)*(1-$B$22))</f>
        <v/>
      </c>
      <c r="K84" s="17">
        <f>SUM(J$31:J84)</f>
        <v/>
      </c>
      <c r="L84" s="16">
        <f>$F84+(1-$F84)*$B$23</f>
        <v/>
      </c>
      <c r="M84" s="17">
        <f>M83*L83*IF(AND($C$23&gt;0,$A83&gt;=$C$23),0,1)</f>
        <v/>
      </c>
      <c r="N84" s="17">
        <f>M84*(IF(AND($C$23&gt;0,$A84&gt;=$C$23),L84,0)+(1-$F84)*(1-$B$23))</f>
        <v/>
      </c>
      <c r="O84" s="17">
        <f>SUM(N$31:N84)</f>
        <v/>
      </c>
      <c r="P84" s="16">
        <f>$F84+(1-$F84)*$B$24</f>
        <v/>
      </c>
      <c r="Q84" s="17">
        <f>Q83*P83*IF(AND($C$24&gt;0,$A83&gt;=$C$24),0,1)</f>
        <v/>
      </c>
      <c r="R84" s="17">
        <f>Q84*(IF(AND($C$24&gt;0,$A84&gt;=$C$24),P84,0)+(1-$F84)*(1-$B$24))</f>
        <v/>
      </c>
      <c r="S84" s="17">
        <f>SUM(R$31:R84)</f>
        <v/>
      </c>
      <c r="T84" s="16">
        <f>$F84+(1-$F84)*$B$25</f>
        <v/>
      </c>
      <c r="U84" s="17">
        <f>U83*T83*IF(AND($C$25&gt;0,$A83&gt;=$C$25),0,1)</f>
        <v/>
      </c>
      <c r="V84" s="17">
        <f>U84*(IF(AND($C$25&gt;0,$A84&gt;=$C$25),T84,0)+(1-$F84)*(1-$B$25))</f>
        <v/>
      </c>
      <c r="W84" s="17">
        <f>SUM(V$31:V84)</f>
        <v/>
      </c>
      <c r="X84" s="16">
        <f>$F84+(1-$F84)*$B$26</f>
        <v/>
      </c>
      <c r="Y84" s="17">
        <f>Y83*X83*IF(AND($C$26&gt;0,$A83&gt;=$C$26),0,1)</f>
        <v/>
      </c>
      <c r="Z84" s="17">
        <f>Y84*(IF(AND($C$26&gt;0,$A84&gt;=$C$26),X84,0)+(1-$F84)*(1-$B$26))</f>
        <v/>
      </c>
      <c r="AA84" s="17">
        <f>SUM(Z$31:Z84)</f>
        <v/>
      </c>
    </row>
    <row r="85">
      <c r="A85" s="11" t="n">
        <v>55</v>
      </c>
      <c r="B85" s="13">
        <f>IF(A85=1,"Safe (Start)",IF(OR(A85=$B$10,A85=$B$11),"Milestone",IF(AND($B$9&gt;0,MOD(A85,$B$9)=0),"Safe","Standard")))</f>
        <v/>
      </c>
      <c r="C85" s="6">
        <f>$B$7</f>
        <v/>
      </c>
      <c r="D85" s="13">
        <f>IF($B85="Standard",$B$8,0)</f>
        <v/>
      </c>
      <c r="E85" s="13">
        <f>MIN(6,MAX(1,ROUNDUP(A85/$B$12,0)))</f>
        <v/>
      </c>
      <c r="F85" s="16">
        <f>IF($C85&lt;=0,0,($C85-$D85)/$C85)</f>
        <v/>
      </c>
      <c r="H85" s="16">
        <f>$F85+(1-$F85)*$B$22</f>
        <v/>
      </c>
      <c r="I85" s="17">
        <f>I84*H84*IF(AND($C$22&gt;0,$A84&gt;=$C$22),0,1)</f>
        <v/>
      </c>
      <c r="J85" s="17">
        <f>I85*(IF(AND($C$22&gt;0,$A85&gt;=$C$22),H85,0)+(1-$F85)*(1-$B$22))</f>
        <v/>
      </c>
      <c r="K85" s="17">
        <f>SUM(J$31:J85)</f>
        <v/>
      </c>
      <c r="L85" s="16">
        <f>$F85+(1-$F85)*$B$23</f>
        <v/>
      </c>
      <c r="M85" s="17">
        <f>M84*L84*IF(AND($C$23&gt;0,$A84&gt;=$C$23),0,1)</f>
        <v/>
      </c>
      <c r="N85" s="17">
        <f>M85*(IF(AND($C$23&gt;0,$A85&gt;=$C$23),L85,0)+(1-$F85)*(1-$B$23))</f>
        <v/>
      </c>
      <c r="O85" s="17">
        <f>SUM(N$31:N85)</f>
        <v/>
      </c>
      <c r="P85" s="16">
        <f>$F85+(1-$F85)*$B$24</f>
        <v/>
      </c>
      <c r="Q85" s="17">
        <f>Q84*P84*IF(AND($C$24&gt;0,$A84&gt;=$C$24),0,1)</f>
        <v/>
      </c>
      <c r="R85" s="17">
        <f>Q85*(IF(AND($C$24&gt;0,$A85&gt;=$C$24),P85,0)+(1-$F85)*(1-$B$24))</f>
        <v/>
      </c>
      <c r="S85" s="17">
        <f>SUM(R$31:R85)</f>
        <v/>
      </c>
      <c r="T85" s="16">
        <f>$F85+(1-$F85)*$B$25</f>
        <v/>
      </c>
      <c r="U85" s="17">
        <f>U84*T84*IF(AND($C$25&gt;0,$A84&gt;=$C$25),0,1)</f>
        <v/>
      </c>
      <c r="V85" s="17">
        <f>U85*(IF(AND($C$25&gt;0,$A85&gt;=$C$25),T85,0)+(1-$F85)*(1-$B$25))</f>
        <v/>
      </c>
      <c r="W85" s="17">
        <f>SUM(V$31:V85)</f>
        <v/>
      </c>
      <c r="X85" s="16">
        <f>$F85+(1-$F85)*$B$26</f>
        <v/>
      </c>
      <c r="Y85" s="17">
        <f>Y84*X84*IF(AND($C$26&gt;0,$A84&gt;=$C$26),0,1)</f>
        <v/>
      </c>
      <c r="Z85" s="17">
        <f>Y85*(IF(AND($C$26&gt;0,$A85&gt;=$C$26),X85,0)+(1-$F85)*(1-$B$26))</f>
        <v/>
      </c>
      <c r="AA85" s="17">
        <f>SUM(Z$31:Z85)</f>
        <v/>
      </c>
    </row>
    <row r="86">
      <c r="A86" s="11" t="n">
        <v>56</v>
      </c>
      <c r="B86" s="13">
        <f>IF(A86=1,"Safe (Start)",IF(OR(A86=$B$10,A86=$B$11),"Milestone",IF(AND($B$9&gt;0,MOD(A86,$B$9)=0),"Safe","Standard")))</f>
        <v/>
      </c>
      <c r="C86" s="6">
        <f>$B$7</f>
        <v/>
      </c>
      <c r="D86" s="13">
        <f>IF($B86="Standard",$B$8,0)</f>
        <v/>
      </c>
      <c r="E86" s="13">
        <f>MIN(6,MAX(1,ROUNDUP(A86/$B$12,0)))</f>
        <v/>
      </c>
      <c r="F86" s="16">
        <f>IF($C86&lt;=0,0,($C86-$D86)/$C86)</f>
        <v/>
      </c>
      <c r="H86" s="16">
        <f>$F86+(1-$F86)*$B$22</f>
        <v/>
      </c>
      <c r="I86" s="17">
        <f>I85*H85*IF(AND($C$22&gt;0,$A85&gt;=$C$22),0,1)</f>
        <v/>
      </c>
      <c r="J86" s="17">
        <f>I86*(IF(AND($C$22&gt;0,$A86&gt;=$C$22),H86,0)+(1-$F86)*(1-$B$22))</f>
        <v/>
      </c>
      <c r="K86" s="17">
        <f>SUM(J$31:J86)</f>
        <v/>
      </c>
      <c r="L86" s="16">
        <f>$F86+(1-$F86)*$B$23</f>
        <v/>
      </c>
      <c r="M86" s="17">
        <f>M85*L85*IF(AND($C$23&gt;0,$A85&gt;=$C$23),0,1)</f>
        <v/>
      </c>
      <c r="N86" s="17">
        <f>M86*(IF(AND($C$23&gt;0,$A86&gt;=$C$23),L86,0)+(1-$F86)*(1-$B$23))</f>
        <v/>
      </c>
      <c r="O86" s="17">
        <f>SUM(N$31:N86)</f>
        <v/>
      </c>
      <c r="P86" s="16">
        <f>$F86+(1-$F86)*$B$24</f>
        <v/>
      </c>
      <c r="Q86" s="17">
        <f>Q85*P85*IF(AND($C$24&gt;0,$A85&gt;=$C$24),0,1)</f>
        <v/>
      </c>
      <c r="R86" s="17">
        <f>Q86*(IF(AND($C$24&gt;0,$A86&gt;=$C$24),P86,0)+(1-$F86)*(1-$B$24))</f>
        <v/>
      </c>
      <c r="S86" s="17">
        <f>SUM(R$31:R86)</f>
        <v/>
      </c>
      <c r="T86" s="16">
        <f>$F86+(1-$F86)*$B$25</f>
        <v/>
      </c>
      <c r="U86" s="17">
        <f>U85*T85*IF(AND($C$25&gt;0,$A85&gt;=$C$25),0,1)</f>
        <v/>
      </c>
      <c r="V86" s="17">
        <f>U86*(IF(AND($C$25&gt;0,$A86&gt;=$C$25),T86,0)+(1-$F86)*(1-$B$25))</f>
        <v/>
      </c>
      <c r="W86" s="17">
        <f>SUM(V$31:V86)</f>
        <v/>
      </c>
      <c r="X86" s="16">
        <f>$F86+(1-$F86)*$B$26</f>
        <v/>
      </c>
      <c r="Y86" s="17">
        <f>Y85*X85*IF(AND($C$26&gt;0,$A85&gt;=$C$26),0,1)</f>
        <v/>
      </c>
      <c r="Z86" s="17">
        <f>Y86*(IF(AND($C$26&gt;0,$A86&gt;=$C$26),X86,0)+(1-$F86)*(1-$B$26))</f>
        <v/>
      </c>
      <c r="AA86" s="17">
        <f>SUM(Z$31:Z86)</f>
        <v/>
      </c>
    </row>
    <row r="87">
      <c r="A87" s="11" t="n">
        <v>57</v>
      </c>
      <c r="B87" s="13">
        <f>IF(A87=1,"Safe (Start)",IF(OR(A87=$B$10,A87=$B$11),"Milestone",IF(AND($B$9&gt;0,MOD(A87,$B$9)=0),"Safe","Standard")))</f>
        <v/>
      </c>
      <c r="C87" s="6">
        <f>$B$7</f>
        <v/>
      </c>
      <c r="D87" s="13">
        <f>IF($B87="Standard",$B$8,0)</f>
        <v/>
      </c>
      <c r="E87" s="13">
        <f>MIN(6,MAX(1,ROUNDUP(A87/$B$12,0)))</f>
        <v/>
      </c>
      <c r="F87" s="16">
        <f>IF($C87&lt;=0,0,($C87-$D87)/$C87)</f>
        <v/>
      </c>
      <c r="H87" s="16">
        <f>$F87+(1-$F87)*$B$22</f>
        <v/>
      </c>
      <c r="I87" s="17">
        <f>I86*H86*IF(AND($C$22&gt;0,$A86&gt;=$C$22),0,1)</f>
        <v/>
      </c>
      <c r="J87" s="17">
        <f>I87*(IF(AND($C$22&gt;0,$A87&gt;=$C$22),H87,0)+(1-$F87)*(1-$B$22))</f>
        <v/>
      </c>
      <c r="K87" s="17">
        <f>SUM(J$31:J87)</f>
        <v/>
      </c>
      <c r="L87" s="16">
        <f>$F87+(1-$F87)*$B$23</f>
        <v/>
      </c>
      <c r="M87" s="17">
        <f>M86*L86*IF(AND($C$23&gt;0,$A86&gt;=$C$23),0,1)</f>
        <v/>
      </c>
      <c r="N87" s="17">
        <f>M87*(IF(AND($C$23&gt;0,$A87&gt;=$C$23),L87,0)+(1-$F87)*(1-$B$23))</f>
        <v/>
      </c>
      <c r="O87" s="17">
        <f>SUM(N$31:N87)</f>
        <v/>
      </c>
      <c r="P87" s="16">
        <f>$F87+(1-$F87)*$B$24</f>
        <v/>
      </c>
      <c r="Q87" s="17">
        <f>Q86*P86*IF(AND($C$24&gt;0,$A86&gt;=$C$24),0,1)</f>
        <v/>
      </c>
      <c r="R87" s="17">
        <f>Q87*(IF(AND($C$24&gt;0,$A87&gt;=$C$24),P87,0)+(1-$F87)*(1-$B$24))</f>
        <v/>
      </c>
      <c r="S87" s="17">
        <f>SUM(R$31:R87)</f>
        <v/>
      </c>
      <c r="T87" s="16">
        <f>$F87+(1-$F87)*$B$25</f>
        <v/>
      </c>
      <c r="U87" s="17">
        <f>U86*T86*IF(AND($C$25&gt;0,$A86&gt;=$C$25),0,1)</f>
        <v/>
      </c>
      <c r="V87" s="17">
        <f>U87*(IF(AND($C$25&gt;0,$A87&gt;=$C$25),T87,0)+(1-$F87)*(1-$B$25))</f>
        <v/>
      </c>
      <c r="W87" s="17">
        <f>SUM(V$31:V87)</f>
        <v/>
      </c>
      <c r="X87" s="16">
        <f>$F87+(1-$F87)*$B$26</f>
        <v/>
      </c>
      <c r="Y87" s="17">
        <f>Y86*X86*IF(AND($C$26&gt;0,$A86&gt;=$C$26),0,1)</f>
        <v/>
      </c>
      <c r="Z87" s="17">
        <f>Y87*(IF(AND($C$26&gt;0,$A87&gt;=$C$26),X87,0)+(1-$F87)*(1-$B$26))</f>
        <v/>
      </c>
      <c r="AA87" s="17">
        <f>SUM(Z$31:Z87)</f>
        <v/>
      </c>
    </row>
    <row r="88">
      <c r="A88" s="11" t="n">
        <v>58</v>
      </c>
      <c r="B88" s="13">
        <f>IF(A88=1,"Safe (Start)",IF(OR(A88=$B$10,A88=$B$11),"Milestone",IF(AND($B$9&gt;0,MOD(A88,$B$9)=0),"Safe","Standard")))</f>
        <v/>
      </c>
      <c r="C88" s="6">
        <f>$B$7</f>
        <v/>
      </c>
      <c r="D88" s="13">
        <f>IF($B88="Standard",$B$8,0)</f>
        <v/>
      </c>
      <c r="E88" s="13">
        <f>MIN(6,MAX(1,ROUNDUP(A88/$B$12,0)))</f>
        <v/>
      </c>
      <c r="F88" s="16">
        <f>IF($C88&lt;=0,0,($C88-$D88)/$C88)</f>
        <v/>
      </c>
      <c r="H88" s="16">
        <f>$F88+(1-$F88)*$B$22</f>
        <v/>
      </c>
      <c r="I88" s="17">
        <f>I87*H87*IF(AND($C$22&gt;0,$A87&gt;=$C$22),0,1)</f>
        <v/>
      </c>
      <c r="J88" s="17">
        <f>I88*(IF(AND($C$22&gt;0,$A88&gt;=$C$22),H88,0)+(1-$F88)*(1-$B$22))</f>
        <v/>
      </c>
      <c r="K88" s="17">
        <f>SUM(J$31:J88)</f>
        <v/>
      </c>
      <c r="L88" s="16">
        <f>$F88+(1-$F88)*$B$23</f>
        <v/>
      </c>
      <c r="M88" s="17">
        <f>M87*L87*IF(AND($C$23&gt;0,$A87&gt;=$C$23),0,1)</f>
        <v/>
      </c>
      <c r="N88" s="17">
        <f>M88*(IF(AND($C$23&gt;0,$A88&gt;=$C$23),L88,0)+(1-$F88)*(1-$B$23))</f>
        <v/>
      </c>
      <c r="O88" s="17">
        <f>SUM(N$31:N88)</f>
        <v/>
      </c>
      <c r="P88" s="16">
        <f>$F88+(1-$F88)*$B$24</f>
        <v/>
      </c>
      <c r="Q88" s="17">
        <f>Q87*P87*IF(AND($C$24&gt;0,$A87&gt;=$C$24),0,1)</f>
        <v/>
      </c>
      <c r="R88" s="17">
        <f>Q88*(IF(AND($C$24&gt;0,$A88&gt;=$C$24),P88,0)+(1-$F88)*(1-$B$24))</f>
        <v/>
      </c>
      <c r="S88" s="17">
        <f>SUM(R$31:R88)</f>
        <v/>
      </c>
      <c r="T88" s="16">
        <f>$F88+(1-$F88)*$B$25</f>
        <v/>
      </c>
      <c r="U88" s="17">
        <f>U87*T87*IF(AND($C$25&gt;0,$A87&gt;=$C$25),0,1)</f>
        <v/>
      </c>
      <c r="V88" s="17">
        <f>U88*(IF(AND($C$25&gt;0,$A88&gt;=$C$25),T88,0)+(1-$F88)*(1-$B$25))</f>
        <v/>
      </c>
      <c r="W88" s="17">
        <f>SUM(V$31:V88)</f>
        <v/>
      </c>
      <c r="X88" s="16">
        <f>$F88+(1-$F88)*$B$26</f>
        <v/>
      </c>
      <c r="Y88" s="17">
        <f>Y87*X87*IF(AND($C$26&gt;0,$A87&gt;=$C$26),0,1)</f>
        <v/>
      </c>
      <c r="Z88" s="17">
        <f>Y88*(IF(AND($C$26&gt;0,$A88&gt;=$C$26),X88,0)+(1-$F88)*(1-$B$26))</f>
        <v/>
      </c>
      <c r="AA88" s="17">
        <f>SUM(Z$31:Z88)</f>
        <v/>
      </c>
    </row>
    <row r="89">
      <c r="A89" s="11" t="n">
        <v>59</v>
      </c>
      <c r="B89" s="13">
        <f>IF(A89=1,"Safe (Start)",IF(OR(A89=$B$10,A89=$B$11),"Milestone",IF(AND($B$9&gt;0,MOD(A89,$B$9)=0),"Safe","Standard")))</f>
        <v/>
      </c>
      <c r="C89" s="6">
        <f>$B$7</f>
        <v/>
      </c>
      <c r="D89" s="13">
        <f>IF($B89="Standard",$B$8,0)</f>
        <v/>
      </c>
      <c r="E89" s="13">
        <f>MIN(6,MAX(1,ROUNDUP(A89/$B$12,0)))</f>
        <v/>
      </c>
      <c r="F89" s="16">
        <f>IF($C89&lt;=0,0,($C89-$D89)/$C89)</f>
        <v/>
      </c>
      <c r="H89" s="16">
        <f>$F89+(1-$F89)*$B$22</f>
        <v/>
      </c>
      <c r="I89" s="17">
        <f>I88*H88*IF(AND($C$22&gt;0,$A88&gt;=$C$22),0,1)</f>
        <v/>
      </c>
      <c r="J89" s="17">
        <f>I89*(IF(AND($C$22&gt;0,$A89&gt;=$C$22),H89,0)+(1-$F89)*(1-$B$22))</f>
        <v/>
      </c>
      <c r="K89" s="17">
        <f>SUM(J$31:J89)</f>
        <v/>
      </c>
      <c r="L89" s="16">
        <f>$F89+(1-$F89)*$B$23</f>
        <v/>
      </c>
      <c r="M89" s="17">
        <f>M88*L88*IF(AND($C$23&gt;0,$A88&gt;=$C$23),0,1)</f>
        <v/>
      </c>
      <c r="N89" s="17">
        <f>M89*(IF(AND($C$23&gt;0,$A89&gt;=$C$23),L89,0)+(1-$F89)*(1-$B$23))</f>
        <v/>
      </c>
      <c r="O89" s="17">
        <f>SUM(N$31:N89)</f>
        <v/>
      </c>
      <c r="P89" s="16">
        <f>$F89+(1-$F89)*$B$24</f>
        <v/>
      </c>
      <c r="Q89" s="17">
        <f>Q88*P88*IF(AND($C$24&gt;0,$A88&gt;=$C$24),0,1)</f>
        <v/>
      </c>
      <c r="R89" s="17">
        <f>Q89*(IF(AND($C$24&gt;0,$A89&gt;=$C$24),P89,0)+(1-$F89)*(1-$B$24))</f>
        <v/>
      </c>
      <c r="S89" s="17">
        <f>SUM(R$31:R89)</f>
        <v/>
      </c>
      <c r="T89" s="16">
        <f>$F89+(1-$F89)*$B$25</f>
        <v/>
      </c>
      <c r="U89" s="17">
        <f>U88*T88*IF(AND($C$25&gt;0,$A88&gt;=$C$25),0,1)</f>
        <v/>
      </c>
      <c r="V89" s="17">
        <f>U89*(IF(AND($C$25&gt;0,$A89&gt;=$C$25),T89,0)+(1-$F89)*(1-$B$25))</f>
        <v/>
      </c>
      <c r="W89" s="17">
        <f>SUM(V$31:V89)</f>
        <v/>
      </c>
      <c r="X89" s="16">
        <f>$F89+(1-$F89)*$B$26</f>
        <v/>
      </c>
      <c r="Y89" s="17">
        <f>Y88*X88*IF(AND($C$26&gt;0,$A88&gt;=$C$26),0,1)</f>
        <v/>
      </c>
      <c r="Z89" s="17">
        <f>Y89*(IF(AND($C$26&gt;0,$A89&gt;=$C$26),X89,0)+(1-$F89)*(1-$B$26))</f>
        <v/>
      </c>
      <c r="AA89" s="17">
        <f>SUM(Z$31:Z89)</f>
        <v/>
      </c>
    </row>
    <row r="90">
      <c r="A90" s="11" t="n">
        <v>60</v>
      </c>
      <c r="B90" s="13">
        <f>IF(A90=1,"Safe (Start)",IF(OR(A90=$B$10,A90=$B$11),"Milestone",IF(AND($B$9&gt;0,MOD(A90,$B$9)=0),"Safe","Standard")))</f>
        <v/>
      </c>
      <c r="C90" s="6">
        <f>$B$7</f>
        <v/>
      </c>
      <c r="D90" s="13">
        <f>IF($B90="Standard",$B$8,0)</f>
        <v/>
      </c>
      <c r="E90" s="13">
        <f>MIN(6,MAX(1,ROUNDUP(A90/$B$12,0)))</f>
        <v/>
      </c>
      <c r="F90" s="16">
        <f>IF($C90&lt;=0,0,($C90-$D90)/$C90)</f>
        <v/>
      </c>
      <c r="H90" s="16">
        <f>$F90+(1-$F90)*$B$22</f>
        <v/>
      </c>
      <c r="I90" s="17">
        <f>I89*H89*IF(AND($C$22&gt;0,$A89&gt;=$C$22),0,1)</f>
        <v/>
      </c>
      <c r="J90" s="17">
        <f>I90*(IF(AND($C$22&gt;0,$A90&gt;=$C$22),H90,0)+(1-$F90)*(1-$B$22))</f>
        <v/>
      </c>
      <c r="K90" s="17">
        <f>SUM(J$31:J90)</f>
        <v/>
      </c>
      <c r="L90" s="16">
        <f>$F90+(1-$F90)*$B$23</f>
        <v/>
      </c>
      <c r="M90" s="17">
        <f>M89*L89*IF(AND($C$23&gt;0,$A89&gt;=$C$23),0,1)</f>
        <v/>
      </c>
      <c r="N90" s="17">
        <f>M90*(IF(AND($C$23&gt;0,$A90&gt;=$C$23),L90,0)+(1-$F90)*(1-$B$23))</f>
        <v/>
      </c>
      <c r="O90" s="17">
        <f>SUM(N$31:N90)</f>
        <v/>
      </c>
      <c r="P90" s="16">
        <f>$F90+(1-$F90)*$B$24</f>
        <v/>
      </c>
      <c r="Q90" s="17">
        <f>Q89*P89*IF(AND($C$24&gt;0,$A89&gt;=$C$24),0,1)</f>
        <v/>
      </c>
      <c r="R90" s="17">
        <f>Q90*(IF(AND($C$24&gt;0,$A90&gt;=$C$24),P90,0)+(1-$F90)*(1-$B$24))</f>
        <v/>
      </c>
      <c r="S90" s="17">
        <f>SUM(R$31:R90)</f>
        <v/>
      </c>
      <c r="T90" s="16">
        <f>$F90+(1-$F90)*$B$25</f>
        <v/>
      </c>
      <c r="U90" s="17">
        <f>U89*T89*IF(AND($C$25&gt;0,$A89&gt;=$C$25),0,1)</f>
        <v/>
      </c>
      <c r="V90" s="17">
        <f>U90*(IF(AND($C$25&gt;0,$A90&gt;=$C$25),T90,0)+(1-$F90)*(1-$B$25))</f>
        <v/>
      </c>
      <c r="W90" s="17">
        <f>SUM(V$31:V90)</f>
        <v/>
      </c>
      <c r="X90" s="16">
        <f>$F90+(1-$F90)*$B$26</f>
        <v/>
      </c>
      <c r="Y90" s="17">
        <f>Y89*X89*IF(AND($C$26&gt;0,$A89&gt;=$C$26),0,1)</f>
        <v/>
      </c>
      <c r="Z90" s="17">
        <f>Y90*(IF(AND($C$26&gt;0,$A90&gt;=$C$26),X90,0)+(1-$F90)*(1-$B$26))</f>
        <v/>
      </c>
      <c r="AA90" s="17">
        <f>SUM(Z$31:Z90)</f>
        <v/>
      </c>
    </row>
    <row r="92">
      <c r="A92" s="7" t="inlineStr">
        <is>
          <t>RUN EXPECTATION BY PLAYER TYPE (derived)</t>
        </is>
      </c>
      <c r="B92" s="8" t="n"/>
      <c r="C92" s="8" t="n"/>
      <c r="D92" s="8" t="n"/>
      <c r="E92" s="8" t="n"/>
      <c r="F92" s="8" t="n"/>
    </row>
    <row r="93">
      <c r="A93" s="3" t="inlineStr">
        <is>
          <t>Rewards banked in a run are LOST on an un-continued Pig (deck p7), so "pays anything" is not the same as "reaches a stage". A segment that never cashes out and never continues walks away with nothing almost every run, however rich the ladder is.</t>
        </is>
      </c>
    </row>
    <row r="94">
      <c r="A94" s="9" t="inlineStr">
        <is>
          <t>Metric</t>
        </is>
      </c>
      <c r="B94" s="9" t="inlineStr">
        <is>
          <t>0-9</t>
        </is>
      </c>
      <c r="C94" s="9" t="inlineStr">
        <is>
          <t>10-19</t>
        </is>
      </c>
      <c r="D94" s="9" t="inlineStr">
        <is>
          <t>20-39</t>
        </is>
      </c>
      <c r="E94" s="9" t="inlineStr">
        <is>
          <t>40-99</t>
        </is>
      </c>
      <c r="F94" s="9" t="inlineStr">
        <is>
          <t>100+</t>
        </is>
      </c>
    </row>
    <row r="95">
      <c r="A95" s="4" t="inlineStr">
        <is>
          <t>P(reach Major Milestone)</t>
        </is>
      </c>
      <c r="B95" s="17">
        <f>IFERROR(INDEX(I31:I90,MATCH($B$10,$A31:$A90,0)),0)</f>
        <v/>
      </c>
      <c r="C95" s="17">
        <f>IFERROR(INDEX(M31:M90,MATCH($B$10,$A31:$A90,0)),0)</f>
        <v/>
      </c>
      <c r="D95" s="17">
        <f>IFERROR(INDEX(Q31:Q90,MATCH($B$10,$A31:$A90,0)),0)</f>
        <v/>
      </c>
      <c r="E95" s="17">
        <f>IFERROR(INDEX(U31:U90,MATCH($B$10,$A31:$A90,0)),0)</f>
        <v/>
      </c>
      <c r="F95" s="17">
        <f>IFERROR(INDEX(Y31:Y90,MATCH($B$10,$A31:$A90,0)),0)</f>
        <v/>
      </c>
    </row>
    <row r="96">
      <c r="A96" s="4" t="inlineStr">
        <is>
          <t>P(reach Final Stage)</t>
        </is>
      </c>
      <c r="B96" s="18">
        <f>IFERROR(INDEX(I31:I90,MATCH($B$11,$A31:$A90,0)),0)</f>
        <v/>
      </c>
      <c r="C96" s="18">
        <f>IFERROR(INDEX(M31:M90,MATCH($B$11,$A31:$A90,0)),0)</f>
        <v/>
      </c>
      <c r="D96" s="18">
        <f>IFERROR(INDEX(Q31:Q90,MATCH($B$11,$A31:$A90,0)),0)</f>
        <v/>
      </c>
      <c r="E96" s="18">
        <f>IFERROR(INDEX(U31:U90,MATCH($B$11,$A31:$A90,0)),0)</f>
        <v/>
      </c>
      <c r="F96" s="18">
        <f>IFERROR(INDEX(Y31:Y90,MATCH($B$11,$A31:$A90,0)),0)</f>
        <v/>
      </c>
    </row>
    <row r="97">
      <c r="A97" s="4" t="inlineStr">
        <is>
          <t>P(run pays NOTHING)</t>
        </is>
      </c>
      <c r="B97" s="16">
        <f>SUMPRODUCT(I31:I90,(1-$F31:$F90),(1-$B$22))</f>
        <v/>
      </c>
      <c r="C97" s="16">
        <f>SUMPRODUCT(M31:M90,(1-$F31:$F90),(1-$B$23))</f>
        <v/>
      </c>
      <c r="D97" s="16">
        <f>SUMPRODUCT(Q31:Q90,(1-$F31:$F90),(1-$B$24))</f>
        <v/>
      </c>
      <c r="E97" s="16">
        <f>SUMPRODUCT(U31:U90,(1-$F31:$F90),(1-$B$25))</f>
        <v/>
      </c>
      <c r="F97" s="16">
        <f>SUMPRODUCT(Y31:Y90,(1-$F31:$F90),(1-$B$26))</f>
        <v/>
      </c>
    </row>
    <row r="98">
      <c r="A98" s="4" t="inlineStr">
        <is>
          <t>P(run pays ANYTHING)</t>
        </is>
      </c>
      <c r="B98" s="16">
        <f>1-B97</f>
        <v/>
      </c>
      <c r="C98" s="16">
        <f>1-C97</f>
        <v/>
      </c>
      <c r="D98" s="16">
        <f>1-D97</f>
        <v/>
      </c>
      <c r="E98" s="16">
        <f>1-E97</f>
        <v/>
      </c>
      <c r="F98" s="16">
        <f>1-F97</f>
        <v/>
      </c>
    </row>
    <row r="99">
      <c r="A99" s="4" t="inlineStr">
        <is>
          <t>Expected stage reached</t>
        </is>
      </c>
      <c r="B99" s="19">
        <f>SUM(I31:I90)</f>
        <v/>
      </c>
      <c r="C99" s="19">
        <f>SUM(M31:M90)</f>
        <v/>
      </c>
      <c r="D99" s="19">
        <f>SUM(Q31:Q90)</f>
        <v/>
      </c>
      <c r="E99" s="19">
        <f>SUM(U31:U90)</f>
        <v/>
      </c>
      <c r="F99" s="19">
        <f>SUM(Y31:Y90)</f>
        <v/>
      </c>
    </row>
    <row r="100">
      <c r="A100" s="4" t="inlineStr">
        <is>
          <t>Expected continues per run</t>
        </is>
      </c>
      <c r="B100" s="20">
        <f>SUMPRODUCT(I31:I90,(1-$F31:$F90),$B$22)</f>
        <v/>
      </c>
      <c r="C100" s="20">
        <f>SUMPRODUCT(M31:M90,(1-$F31:$F90),$B$23)</f>
        <v/>
      </c>
      <c r="D100" s="20">
        <f>SUMPRODUCT(Q31:Q90,(1-$F31:$F90),$B$24)</f>
        <v/>
      </c>
      <c r="E100" s="20">
        <f>SUMPRODUCT(U31:U90,(1-$F31:$F90),$B$25)</f>
        <v/>
      </c>
      <c r="F100" s="20">
        <f>SUMPRODUCT(Y31:Y90,(1-$F31:$F90),$B$26)</f>
        <v/>
      </c>
    </row>
    <row r="101">
      <c r="A101" s="4" t="inlineStr">
        <is>
          <t>Stage reached at percentile</t>
        </is>
      </c>
      <c r="B101" s="21">
        <f>MIN(60,COUNTIF(K31:K90,"&lt;"&amp;$AI$2)+1)</f>
        <v/>
      </c>
      <c r="C101" s="21">
        <f>MIN(60,COUNTIF(O31:O90,"&lt;"&amp;$AI$2)+1)</f>
        <v/>
      </c>
      <c r="D101" s="21">
        <f>MIN(60,COUNTIF(S31:S90,"&lt;"&amp;$AI$2)+1)</f>
        <v/>
      </c>
      <c r="E101" s="21">
        <f>MIN(60,COUNTIF(W31:W90,"&lt;"&amp;$AI$2)+1)</f>
        <v/>
      </c>
      <c r="F101" s="21">
        <f>MIN(60,COUNTIF(AA31:AA90,"&lt;"&amp;$AI$2)+1)</f>
        <v/>
      </c>
    </row>
    <row r="103">
      <c r="A103" s="7" t="inlineStr">
        <is>
          <t>STANDARD STAGE REWARDS BY TIER</t>
        </is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>
      <c r="A104" s="3" t="inlineStr">
        <is>
          <t>Expected payout of ONE reward door at this tier. Deck p6: values rise with tier; p7/p25: no reward type is restricted to any tier. All 0 until authored — a zero here is "not set yet".</t>
        </is>
      </c>
    </row>
    <row r="105">
      <c r="A105" s="9" t="inlineStr">
        <is>
          <t>Tier</t>
        </is>
      </c>
      <c r="B105" s="9" t="inlineStr">
        <is>
          <t>Stage From</t>
        </is>
      </c>
      <c r="C105" s="9" t="inlineStr">
        <is>
          <t>Stage To</t>
        </is>
      </c>
      <c r="D105" s="9" t="inlineStr">
        <is>
          <t>Coins</t>
        </is>
      </c>
      <c r="E105" s="9" t="inlineStr">
        <is>
          <t>SPT</t>
        </is>
      </c>
      <c r="F105" s="9" t="inlineStr">
        <is>
          <t>SPT x2</t>
        </is>
      </c>
      <c r="G105" s="9" t="inlineStr">
        <is>
          <t>Red</t>
        </is>
      </c>
      <c r="H105" s="9" t="inlineStr">
        <is>
          <t>Chuck</t>
        </is>
      </c>
      <c r="I105" s="9" t="inlineStr">
        <is>
          <t>Bomb</t>
        </is>
      </c>
      <c r="J105" s="9" t="inlineStr">
        <is>
          <t>Slingshot</t>
        </is>
      </c>
      <c r="K105" s="9" t="inlineStr">
        <is>
          <t>Shuffle</t>
        </is>
      </c>
      <c r="L105" s="9" t="inlineStr">
        <is>
          <t>Comet</t>
        </is>
      </c>
      <c r="M105" s="9" t="inlineStr">
        <is>
          <t>Unlimited Lives</t>
        </is>
      </c>
      <c r="N105" s="9" t="inlineStr">
        <is>
          <t>Unlimited Red</t>
        </is>
      </c>
      <c r="O105" s="9" t="inlineStr">
        <is>
          <t>Unlimited Chuck</t>
        </is>
      </c>
      <c r="P105" s="9" t="inlineStr">
        <is>
          <t>Unlimited Bomb</t>
        </is>
      </c>
      <c r="Q105" s="9" t="inlineStr">
        <is>
          <t>COOP Token</t>
        </is>
      </c>
      <c r="R105" s="9" t="inlineStr">
        <is>
          <t>Avatar</t>
        </is>
      </c>
      <c r="S105" s="9" t="inlineStr">
        <is>
          <t>1-star Dly</t>
        </is>
      </c>
      <c r="T105" s="9" t="inlineStr">
        <is>
          <t>2-star Dly</t>
        </is>
      </c>
      <c r="U105" s="9" t="inlineStr">
        <is>
          <t>3-star Dly</t>
        </is>
      </c>
      <c r="V105" s="9" t="inlineStr">
        <is>
          <t>4-star Dly</t>
        </is>
      </c>
      <c r="W105" s="9" t="inlineStr">
        <is>
          <t>5-star Dly</t>
        </is>
      </c>
      <c r="X105" s="9" t="inlineStr">
        <is>
          <t>6-star Dly</t>
        </is>
      </c>
    </row>
    <row r="106">
      <c r="A106" s="11" t="n">
        <v>1</v>
      </c>
      <c r="B106" s="11" t="n">
        <v>1</v>
      </c>
      <c r="C106" s="11" t="n">
        <v>10</v>
      </c>
      <c r="D106" s="6" t="n">
        <v>0</v>
      </c>
      <c r="E106" s="6" t="n">
        <v>0</v>
      </c>
      <c r="F106" s="6" t="n">
        <v>0</v>
      </c>
      <c r="G106" s="6" t="n">
        <v>0</v>
      </c>
      <c r="H106" s="6" t="n">
        <v>0</v>
      </c>
      <c r="I106" s="6" t="n">
        <v>0</v>
      </c>
      <c r="J106" s="6" t="n">
        <v>0</v>
      </c>
      <c r="K106" s="6" t="n">
        <v>0</v>
      </c>
      <c r="L106" s="6" t="n">
        <v>0</v>
      </c>
      <c r="M106" s="6" t="n">
        <v>0</v>
      </c>
      <c r="N106" s="6" t="n">
        <v>0</v>
      </c>
      <c r="O106" s="6" t="n">
        <v>0</v>
      </c>
      <c r="P106" s="6" t="n">
        <v>0</v>
      </c>
      <c r="Q106" s="6" t="n">
        <v>0</v>
      </c>
      <c r="R106" s="6" t="n">
        <v>0</v>
      </c>
      <c r="S106" s="6" t="n">
        <v>0</v>
      </c>
      <c r="T106" s="6" t="n">
        <v>0</v>
      </c>
      <c r="U106" s="6" t="n">
        <v>0</v>
      </c>
      <c r="V106" s="6" t="n">
        <v>0</v>
      </c>
      <c r="W106" s="6" t="n">
        <v>0</v>
      </c>
      <c r="X106" s="6" t="n">
        <v>0</v>
      </c>
    </row>
    <row r="107">
      <c r="A107" s="11" t="n">
        <v>2</v>
      </c>
      <c r="B107" s="11" t="n">
        <v>11</v>
      </c>
      <c r="C107" s="11" t="n">
        <v>20</v>
      </c>
      <c r="D107" s="6" t="n">
        <v>0</v>
      </c>
      <c r="E107" s="6" t="n">
        <v>0</v>
      </c>
      <c r="F107" s="6" t="n">
        <v>0</v>
      </c>
      <c r="G107" s="6" t="n">
        <v>0</v>
      </c>
      <c r="H107" s="6" t="n">
        <v>0</v>
      </c>
      <c r="I107" s="6" t="n">
        <v>0</v>
      </c>
      <c r="J107" s="6" t="n">
        <v>0</v>
      </c>
      <c r="K107" s="6" t="n">
        <v>0</v>
      </c>
      <c r="L107" s="6" t="n">
        <v>0</v>
      </c>
      <c r="M107" s="6" t="n">
        <v>0</v>
      </c>
      <c r="N107" s="6" t="n">
        <v>0</v>
      </c>
      <c r="O107" s="6" t="n">
        <v>0</v>
      </c>
      <c r="P107" s="6" t="n">
        <v>0</v>
      </c>
      <c r="Q107" s="6" t="n">
        <v>0</v>
      </c>
      <c r="R107" s="6" t="n">
        <v>0</v>
      </c>
      <c r="S107" s="6" t="n">
        <v>0</v>
      </c>
      <c r="T107" s="6" t="n">
        <v>0</v>
      </c>
      <c r="U107" s="6" t="n">
        <v>0</v>
      </c>
      <c r="V107" s="6" t="n">
        <v>0</v>
      </c>
      <c r="W107" s="6" t="n">
        <v>0</v>
      </c>
      <c r="X107" s="6" t="n">
        <v>0</v>
      </c>
    </row>
    <row r="108">
      <c r="A108" s="11" t="n">
        <v>3</v>
      </c>
      <c r="B108" s="11" t="n">
        <v>21</v>
      </c>
      <c r="C108" s="11" t="n">
        <v>30</v>
      </c>
      <c r="D108" s="6" t="n">
        <v>0</v>
      </c>
      <c r="E108" s="6" t="n">
        <v>0</v>
      </c>
      <c r="F108" s="6" t="n">
        <v>0</v>
      </c>
      <c r="G108" s="6" t="n">
        <v>0</v>
      </c>
      <c r="H108" s="6" t="n">
        <v>0</v>
      </c>
      <c r="I108" s="6" t="n">
        <v>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>
        <v>0</v>
      </c>
      <c r="O108" s="6" t="n">
        <v>0</v>
      </c>
      <c r="P108" s="6" t="n">
        <v>0</v>
      </c>
      <c r="Q108" s="6" t="n">
        <v>0</v>
      </c>
      <c r="R108" s="6" t="n">
        <v>0</v>
      </c>
      <c r="S108" s="6" t="n">
        <v>0</v>
      </c>
      <c r="T108" s="6" t="n">
        <v>0</v>
      </c>
      <c r="U108" s="6" t="n">
        <v>0</v>
      </c>
      <c r="V108" s="6" t="n">
        <v>0</v>
      </c>
      <c r="W108" s="6" t="n">
        <v>0</v>
      </c>
      <c r="X108" s="6" t="n">
        <v>0</v>
      </c>
    </row>
    <row r="109">
      <c r="A109" s="11" t="n">
        <v>4</v>
      </c>
      <c r="B109" s="11" t="n">
        <v>31</v>
      </c>
      <c r="C109" s="11" t="n">
        <v>40</v>
      </c>
      <c r="D109" s="6" t="n">
        <v>0</v>
      </c>
      <c r="E109" s="6" t="n">
        <v>0</v>
      </c>
      <c r="F109" s="6" t="n">
        <v>0</v>
      </c>
      <c r="G109" s="6" t="n">
        <v>0</v>
      </c>
      <c r="H109" s="6" t="n">
        <v>0</v>
      </c>
      <c r="I109" s="6" t="n">
        <v>0</v>
      </c>
      <c r="J109" s="6" t="n">
        <v>0</v>
      </c>
      <c r="K109" s="6" t="n">
        <v>0</v>
      </c>
      <c r="L109" s="6" t="n">
        <v>0</v>
      </c>
      <c r="M109" s="6" t="n">
        <v>0</v>
      </c>
      <c r="N109" s="6" t="n">
        <v>0</v>
      </c>
      <c r="O109" s="6" t="n">
        <v>0</v>
      </c>
      <c r="P109" s="6" t="n">
        <v>0</v>
      </c>
      <c r="Q109" s="6" t="n">
        <v>0</v>
      </c>
      <c r="R109" s="6" t="n">
        <v>0</v>
      </c>
      <c r="S109" s="6" t="n">
        <v>0</v>
      </c>
      <c r="T109" s="6" t="n">
        <v>0</v>
      </c>
      <c r="U109" s="6" t="n">
        <v>0</v>
      </c>
      <c r="V109" s="6" t="n">
        <v>0</v>
      </c>
      <c r="W109" s="6" t="n">
        <v>0</v>
      </c>
      <c r="X109" s="6" t="n">
        <v>0</v>
      </c>
    </row>
    <row r="110">
      <c r="A110" s="11" t="n">
        <v>5</v>
      </c>
      <c r="B110" s="11" t="n">
        <v>41</v>
      </c>
      <c r="C110" s="11" t="n">
        <v>50</v>
      </c>
      <c r="D110" s="6" t="n">
        <v>0</v>
      </c>
      <c r="E110" s="6" t="n">
        <v>0</v>
      </c>
      <c r="F110" s="6" t="n">
        <v>0</v>
      </c>
      <c r="G110" s="6" t="n">
        <v>0</v>
      </c>
      <c r="H110" s="6" t="n">
        <v>0</v>
      </c>
      <c r="I110" s="6" t="n">
        <v>0</v>
      </c>
      <c r="J110" s="6" t="n">
        <v>0</v>
      </c>
      <c r="K110" s="6" t="n">
        <v>0</v>
      </c>
      <c r="L110" s="6" t="n">
        <v>0</v>
      </c>
      <c r="M110" s="6" t="n">
        <v>0</v>
      </c>
      <c r="N110" s="6" t="n">
        <v>0</v>
      </c>
      <c r="O110" s="6" t="n">
        <v>0</v>
      </c>
      <c r="P110" s="6" t="n">
        <v>0</v>
      </c>
      <c r="Q110" s="6" t="n">
        <v>0</v>
      </c>
      <c r="R110" s="6" t="n">
        <v>0</v>
      </c>
      <c r="S110" s="6" t="n">
        <v>0</v>
      </c>
      <c r="T110" s="6" t="n">
        <v>0</v>
      </c>
      <c r="U110" s="6" t="n">
        <v>0</v>
      </c>
      <c r="V110" s="6" t="n">
        <v>0</v>
      </c>
      <c r="W110" s="6" t="n">
        <v>0</v>
      </c>
      <c r="X110" s="6" t="n">
        <v>0</v>
      </c>
    </row>
    <row r="111">
      <c r="A111" s="11" t="n">
        <v>6</v>
      </c>
      <c r="B111" s="11" t="n">
        <v>51</v>
      </c>
      <c r="C111" s="11" t="n">
        <v>60</v>
      </c>
      <c r="D111" s="6" t="n">
        <v>0</v>
      </c>
      <c r="E111" s="6" t="n">
        <v>0</v>
      </c>
      <c r="F111" s="6" t="n">
        <v>0</v>
      </c>
      <c r="G111" s="6" t="n">
        <v>0</v>
      </c>
      <c r="H111" s="6" t="n">
        <v>0</v>
      </c>
      <c r="I111" s="6" t="n">
        <v>0</v>
      </c>
      <c r="J111" s="6" t="n">
        <v>0</v>
      </c>
      <c r="K111" s="6" t="n">
        <v>0</v>
      </c>
      <c r="L111" s="6" t="n">
        <v>0</v>
      </c>
      <c r="M111" s="6" t="n">
        <v>0</v>
      </c>
      <c r="N111" s="6" t="n">
        <v>0</v>
      </c>
      <c r="O111" s="6" t="n">
        <v>0</v>
      </c>
      <c r="P111" s="6" t="n">
        <v>0</v>
      </c>
      <c r="Q111" s="6" t="n">
        <v>0</v>
      </c>
      <c r="R111" s="6" t="n">
        <v>0</v>
      </c>
      <c r="S111" s="6" t="n">
        <v>0</v>
      </c>
      <c r="T111" s="6" t="n">
        <v>0</v>
      </c>
      <c r="U111" s="6" t="n">
        <v>0</v>
      </c>
      <c r="V111" s="6" t="n">
        <v>0</v>
      </c>
      <c r="W111" s="6" t="n">
        <v>0</v>
      </c>
      <c r="X111" s="6" t="n">
        <v>0</v>
      </c>
    </row>
    <row r="113">
      <c r="A113" s="7" t="inlineStr">
        <is>
          <t>SAFE STAGE REWARDS BY TIER</t>
        </is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>
      <c r="A114" s="3" t="inlineStr">
        <is>
          <t>Safe stages carry no Pig and pay "typically more valuable" rewards than standard stages (deck p6). Separate block because the uplift is a design choice, not a multiplier we can derive.</t>
        </is>
      </c>
    </row>
    <row r="115">
      <c r="A115" s="9" t="inlineStr">
        <is>
          <t>Tier</t>
        </is>
      </c>
      <c r="B115" s="9" t="inlineStr">
        <is>
          <t>Stage From</t>
        </is>
      </c>
      <c r="C115" s="9" t="inlineStr">
        <is>
          <t>Stage To</t>
        </is>
      </c>
      <c r="D115" s="9" t="inlineStr">
        <is>
          <t>Coins</t>
        </is>
      </c>
      <c r="E115" s="9" t="inlineStr">
        <is>
          <t>SPT</t>
        </is>
      </c>
      <c r="F115" s="9" t="inlineStr">
        <is>
          <t>SPT x2</t>
        </is>
      </c>
      <c r="G115" s="9" t="inlineStr">
        <is>
          <t>Red</t>
        </is>
      </c>
      <c r="H115" s="9" t="inlineStr">
        <is>
          <t>Chuck</t>
        </is>
      </c>
      <c r="I115" s="9" t="inlineStr">
        <is>
          <t>Bomb</t>
        </is>
      </c>
      <c r="J115" s="9" t="inlineStr">
        <is>
          <t>Slingshot</t>
        </is>
      </c>
      <c r="K115" s="9" t="inlineStr">
        <is>
          <t>Shuffle</t>
        </is>
      </c>
      <c r="L115" s="9" t="inlineStr">
        <is>
          <t>Comet</t>
        </is>
      </c>
      <c r="M115" s="9" t="inlineStr">
        <is>
          <t>Unlimited Lives</t>
        </is>
      </c>
      <c r="N115" s="9" t="inlineStr">
        <is>
          <t>Unlimited Red</t>
        </is>
      </c>
      <c r="O115" s="9" t="inlineStr">
        <is>
          <t>Unlimited Chuck</t>
        </is>
      </c>
      <c r="P115" s="9" t="inlineStr">
        <is>
          <t>Unlimited Bomb</t>
        </is>
      </c>
      <c r="Q115" s="9" t="inlineStr">
        <is>
          <t>COOP Token</t>
        </is>
      </c>
      <c r="R115" s="9" t="inlineStr">
        <is>
          <t>Avatar</t>
        </is>
      </c>
      <c r="S115" s="9" t="inlineStr">
        <is>
          <t>1-star Dly</t>
        </is>
      </c>
      <c r="T115" s="9" t="inlineStr">
        <is>
          <t>2-star Dly</t>
        </is>
      </c>
      <c r="U115" s="9" t="inlineStr">
        <is>
          <t>3-star Dly</t>
        </is>
      </c>
      <c r="V115" s="9" t="inlineStr">
        <is>
          <t>4-star Dly</t>
        </is>
      </c>
      <c r="W115" s="9" t="inlineStr">
        <is>
          <t>5-star Dly</t>
        </is>
      </c>
      <c r="X115" s="9" t="inlineStr">
        <is>
          <t>6-star Dly</t>
        </is>
      </c>
    </row>
    <row r="116">
      <c r="A116" s="11" t="n">
        <v>1</v>
      </c>
      <c r="B116" s="11" t="n">
        <v>1</v>
      </c>
      <c r="C116" s="11" t="n">
        <v>10</v>
      </c>
      <c r="D116" s="6" t="n">
        <v>0</v>
      </c>
      <c r="E116" s="6" t="n">
        <v>0</v>
      </c>
      <c r="F116" s="6" t="n">
        <v>0</v>
      </c>
      <c r="G116" s="6" t="n">
        <v>0</v>
      </c>
      <c r="H116" s="6" t="n">
        <v>0</v>
      </c>
      <c r="I116" s="6" t="n">
        <v>0</v>
      </c>
      <c r="J116" s="6" t="n">
        <v>0</v>
      </c>
      <c r="K116" s="6" t="n">
        <v>0</v>
      </c>
      <c r="L116" s="6" t="n">
        <v>0</v>
      </c>
      <c r="M116" s="6" t="n">
        <v>0</v>
      </c>
      <c r="N116" s="6" t="n">
        <v>0</v>
      </c>
      <c r="O116" s="6" t="n">
        <v>0</v>
      </c>
      <c r="P116" s="6" t="n">
        <v>0</v>
      </c>
      <c r="Q116" s="6" t="n">
        <v>0</v>
      </c>
      <c r="R116" s="6" t="n">
        <v>0</v>
      </c>
      <c r="S116" s="6" t="n">
        <v>0</v>
      </c>
      <c r="T116" s="6" t="n">
        <v>0</v>
      </c>
      <c r="U116" s="6" t="n">
        <v>0</v>
      </c>
      <c r="V116" s="6" t="n">
        <v>0</v>
      </c>
      <c r="W116" s="6" t="n">
        <v>0</v>
      </c>
      <c r="X116" s="6" t="n">
        <v>0</v>
      </c>
    </row>
    <row r="117">
      <c r="A117" s="11" t="n">
        <v>2</v>
      </c>
      <c r="B117" s="11" t="n">
        <v>11</v>
      </c>
      <c r="C117" s="11" t="n">
        <v>20</v>
      </c>
      <c r="D117" s="6" t="n">
        <v>0</v>
      </c>
      <c r="E117" s="6" t="n">
        <v>0</v>
      </c>
      <c r="F117" s="6" t="n">
        <v>0</v>
      </c>
      <c r="G117" s="6" t="n">
        <v>0</v>
      </c>
      <c r="H117" s="6" t="n">
        <v>0</v>
      </c>
      <c r="I117" s="6" t="n">
        <v>0</v>
      </c>
      <c r="J117" s="6" t="n">
        <v>0</v>
      </c>
      <c r="K117" s="6" t="n">
        <v>0</v>
      </c>
      <c r="L117" s="6" t="n">
        <v>0</v>
      </c>
      <c r="M117" s="6" t="n">
        <v>0</v>
      </c>
      <c r="N117" s="6" t="n">
        <v>0</v>
      </c>
      <c r="O117" s="6" t="n">
        <v>0</v>
      </c>
      <c r="P117" s="6" t="n">
        <v>0</v>
      </c>
      <c r="Q117" s="6" t="n">
        <v>0</v>
      </c>
      <c r="R117" s="6" t="n">
        <v>0</v>
      </c>
      <c r="S117" s="6" t="n">
        <v>0</v>
      </c>
      <c r="T117" s="6" t="n">
        <v>0</v>
      </c>
      <c r="U117" s="6" t="n">
        <v>0</v>
      </c>
      <c r="V117" s="6" t="n">
        <v>0</v>
      </c>
      <c r="W117" s="6" t="n">
        <v>0</v>
      </c>
      <c r="X117" s="6" t="n">
        <v>0</v>
      </c>
    </row>
    <row r="118">
      <c r="A118" s="11" t="n">
        <v>3</v>
      </c>
      <c r="B118" s="11" t="n">
        <v>21</v>
      </c>
      <c r="C118" s="11" t="n">
        <v>30</v>
      </c>
      <c r="D118" s="6" t="n">
        <v>0</v>
      </c>
      <c r="E118" s="6" t="n">
        <v>0</v>
      </c>
      <c r="F118" s="6" t="n">
        <v>0</v>
      </c>
      <c r="G118" s="6" t="n">
        <v>0</v>
      </c>
      <c r="H118" s="6" t="n">
        <v>0</v>
      </c>
      <c r="I118" s="6" t="n">
        <v>0</v>
      </c>
      <c r="J118" s="6" t="n">
        <v>0</v>
      </c>
      <c r="K118" s="6" t="n">
        <v>0</v>
      </c>
      <c r="L118" s="6" t="n">
        <v>0</v>
      </c>
      <c r="M118" s="6" t="n">
        <v>0</v>
      </c>
      <c r="N118" s="6" t="n">
        <v>0</v>
      </c>
      <c r="O118" s="6" t="n">
        <v>0</v>
      </c>
      <c r="P118" s="6" t="n">
        <v>0</v>
      </c>
      <c r="Q118" s="6" t="n">
        <v>0</v>
      </c>
      <c r="R118" s="6" t="n">
        <v>0</v>
      </c>
      <c r="S118" s="6" t="n">
        <v>0</v>
      </c>
      <c r="T118" s="6" t="n">
        <v>0</v>
      </c>
      <c r="U118" s="6" t="n">
        <v>0</v>
      </c>
      <c r="V118" s="6" t="n">
        <v>0</v>
      </c>
      <c r="W118" s="6" t="n">
        <v>0</v>
      </c>
      <c r="X118" s="6" t="n">
        <v>0</v>
      </c>
    </row>
    <row r="119">
      <c r="A119" s="11" t="n">
        <v>4</v>
      </c>
      <c r="B119" s="11" t="n">
        <v>31</v>
      </c>
      <c r="C119" s="11" t="n">
        <v>40</v>
      </c>
      <c r="D119" s="6" t="n">
        <v>0</v>
      </c>
      <c r="E119" s="6" t="n">
        <v>0</v>
      </c>
      <c r="F119" s="6" t="n">
        <v>0</v>
      </c>
      <c r="G119" s="6" t="n">
        <v>0</v>
      </c>
      <c r="H119" s="6" t="n">
        <v>0</v>
      </c>
      <c r="I119" s="6" t="n">
        <v>0</v>
      </c>
      <c r="J119" s="6" t="n">
        <v>0</v>
      </c>
      <c r="K119" s="6" t="n">
        <v>0</v>
      </c>
      <c r="L119" s="6" t="n">
        <v>0</v>
      </c>
      <c r="M119" s="6" t="n">
        <v>0</v>
      </c>
      <c r="N119" s="6" t="n">
        <v>0</v>
      </c>
      <c r="O119" s="6" t="n">
        <v>0</v>
      </c>
      <c r="P119" s="6" t="n">
        <v>0</v>
      </c>
      <c r="Q119" s="6" t="n">
        <v>0</v>
      </c>
      <c r="R119" s="6" t="n">
        <v>0</v>
      </c>
      <c r="S119" s="6" t="n">
        <v>0</v>
      </c>
      <c r="T119" s="6" t="n">
        <v>0</v>
      </c>
      <c r="U119" s="6" t="n">
        <v>0</v>
      </c>
      <c r="V119" s="6" t="n">
        <v>0</v>
      </c>
      <c r="W119" s="6" t="n">
        <v>0</v>
      </c>
      <c r="X119" s="6" t="n">
        <v>0</v>
      </c>
    </row>
    <row r="120">
      <c r="A120" s="11" t="n">
        <v>5</v>
      </c>
      <c r="B120" s="11" t="n">
        <v>41</v>
      </c>
      <c r="C120" s="11" t="n">
        <v>50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0</v>
      </c>
      <c r="I120" s="6" t="n">
        <v>0</v>
      </c>
      <c r="J120" s="6" t="n">
        <v>0</v>
      </c>
      <c r="K120" s="6" t="n">
        <v>0</v>
      </c>
      <c r="L120" s="6" t="n">
        <v>0</v>
      </c>
      <c r="M120" s="6" t="n">
        <v>0</v>
      </c>
      <c r="N120" s="6" t="n">
        <v>0</v>
      </c>
      <c r="O120" s="6" t="n">
        <v>0</v>
      </c>
      <c r="P120" s="6" t="n">
        <v>0</v>
      </c>
      <c r="Q120" s="6" t="n">
        <v>0</v>
      </c>
      <c r="R120" s="6" t="n">
        <v>0</v>
      </c>
      <c r="S120" s="6" t="n">
        <v>0</v>
      </c>
      <c r="T120" s="6" t="n">
        <v>0</v>
      </c>
      <c r="U120" s="6" t="n">
        <v>0</v>
      </c>
      <c r="V120" s="6" t="n">
        <v>0</v>
      </c>
      <c r="W120" s="6" t="n">
        <v>0</v>
      </c>
      <c r="X120" s="6" t="n">
        <v>0</v>
      </c>
    </row>
    <row r="121">
      <c r="A121" s="11" t="n">
        <v>6</v>
      </c>
      <c r="B121" s="11" t="n">
        <v>51</v>
      </c>
      <c r="C121" s="11" t="n">
        <v>60</v>
      </c>
      <c r="D121" s="6" t="n">
        <v>0</v>
      </c>
      <c r="E121" s="6" t="n">
        <v>0</v>
      </c>
      <c r="F121" s="6" t="n">
        <v>0</v>
      </c>
      <c r="G121" s="6" t="n">
        <v>0</v>
      </c>
      <c r="H121" s="6" t="n">
        <v>0</v>
      </c>
      <c r="I121" s="6" t="n">
        <v>0</v>
      </c>
      <c r="J121" s="6" t="n">
        <v>0</v>
      </c>
      <c r="K121" s="6" t="n">
        <v>0</v>
      </c>
      <c r="L121" s="6" t="n">
        <v>0</v>
      </c>
      <c r="M121" s="6" t="n">
        <v>0</v>
      </c>
      <c r="N121" s="6" t="n">
        <v>0</v>
      </c>
      <c r="O121" s="6" t="n">
        <v>0</v>
      </c>
      <c r="P121" s="6" t="n">
        <v>0</v>
      </c>
      <c r="Q121" s="6" t="n">
        <v>0</v>
      </c>
      <c r="R121" s="6" t="n">
        <v>0</v>
      </c>
      <c r="S121" s="6" t="n">
        <v>0</v>
      </c>
      <c r="T121" s="6" t="n">
        <v>0</v>
      </c>
      <c r="U121" s="6" t="n">
        <v>0</v>
      </c>
      <c r="V121" s="6" t="n">
        <v>0</v>
      </c>
      <c r="W121" s="6" t="n">
        <v>0</v>
      </c>
      <c r="X121" s="6" t="n">
        <v>0</v>
      </c>
    </row>
    <row r="123">
      <c r="A123" s="7" t="inlineStr">
        <is>
          <t>MILESTONE REWARDS</t>
        </is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</row>
    <row r="124">
      <c r="A124" s="3" t="inlineStr">
        <is>
          <t>The two named milestones (deck p6). These are the aspirational hooks; note from RUN EXPECTATION above how rarely they are actually reached without continues.</t>
        </is>
      </c>
    </row>
    <row r="125">
      <c r="A125" s="9" t="inlineStr">
        <is>
          <t>Stage</t>
        </is>
      </c>
      <c r="B125" s="9" t="inlineStr">
        <is>
          <t>Milestone</t>
        </is>
      </c>
      <c r="C125" s="9" t="inlineStr">
        <is>
          <t>Coins</t>
        </is>
      </c>
      <c r="D125" s="9" t="inlineStr">
        <is>
          <t>SPT</t>
        </is>
      </c>
      <c r="E125" s="9" t="inlineStr">
        <is>
          <t>SPT x2</t>
        </is>
      </c>
      <c r="F125" s="9" t="inlineStr">
        <is>
          <t>Red</t>
        </is>
      </c>
      <c r="G125" s="9" t="inlineStr">
        <is>
          <t>Chuck</t>
        </is>
      </c>
      <c r="H125" s="9" t="inlineStr">
        <is>
          <t>Bomb</t>
        </is>
      </c>
      <c r="I125" s="9" t="inlineStr">
        <is>
          <t>Slingshot</t>
        </is>
      </c>
      <c r="J125" s="9" t="inlineStr">
        <is>
          <t>Shuffle</t>
        </is>
      </c>
      <c r="K125" s="9" t="inlineStr">
        <is>
          <t>Comet</t>
        </is>
      </c>
      <c r="L125" s="9" t="inlineStr">
        <is>
          <t>Unlimited Lives</t>
        </is>
      </c>
      <c r="M125" s="9" t="inlineStr">
        <is>
          <t>Unlimited Red</t>
        </is>
      </c>
      <c r="N125" s="9" t="inlineStr">
        <is>
          <t>Unlimited Chuck</t>
        </is>
      </c>
      <c r="O125" s="9" t="inlineStr">
        <is>
          <t>Unlimited Bomb</t>
        </is>
      </c>
      <c r="P125" s="9" t="inlineStr">
        <is>
          <t>COOP Token</t>
        </is>
      </c>
      <c r="Q125" s="9" t="inlineStr">
        <is>
          <t>Avatar</t>
        </is>
      </c>
      <c r="R125" s="9" t="inlineStr">
        <is>
          <t>1-star Dly</t>
        </is>
      </c>
      <c r="S125" s="9" t="inlineStr">
        <is>
          <t>2-star Dly</t>
        </is>
      </c>
      <c r="T125" s="9" t="inlineStr">
        <is>
          <t>3-star Dly</t>
        </is>
      </c>
      <c r="U125" s="9" t="inlineStr">
        <is>
          <t>4-star Dly</t>
        </is>
      </c>
      <c r="V125" s="9" t="inlineStr">
        <is>
          <t>5-star Dly</t>
        </is>
      </c>
      <c r="W125" s="9" t="inlineStr">
        <is>
          <t>6-star Dly</t>
        </is>
      </c>
    </row>
    <row r="126">
      <c r="A126" s="11" t="n">
        <v>30</v>
      </c>
      <c r="B126" s="11" t="inlineStr">
        <is>
          <t>Major</t>
        </is>
      </c>
      <c r="C126" s="6" t="n">
        <v>0</v>
      </c>
      <c r="D126" s="6" t="n">
        <v>0</v>
      </c>
      <c r="E126" s="6" t="n">
        <v>0</v>
      </c>
      <c r="F126" s="6" t="n">
        <v>0</v>
      </c>
      <c r="G126" s="6" t="n">
        <v>0</v>
      </c>
      <c r="H126" s="6" t="n">
        <v>0</v>
      </c>
      <c r="I126" s="6" t="n">
        <v>0</v>
      </c>
      <c r="J126" s="6" t="n">
        <v>0</v>
      </c>
      <c r="K126" s="6" t="n">
        <v>0</v>
      </c>
      <c r="L126" s="6" t="n">
        <v>0</v>
      </c>
      <c r="M126" s="6" t="n">
        <v>0</v>
      </c>
      <c r="N126" s="6" t="n">
        <v>0</v>
      </c>
      <c r="O126" s="6" t="n">
        <v>0</v>
      </c>
      <c r="P126" s="6" t="n">
        <v>0</v>
      </c>
      <c r="Q126" s="6" t="n">
        <v>0</v>
      </c>
      <c r="R126" s="6" t="n">
        <v>0</v>
      </c>
      <c r="S126" s="6" t="n">
        <v>0</v>
      </c>
      <c r="T126" s="6" t="n">
        <v>0</v>
      </c>
      <c r="U126" s="6" t="n">
        <v>0</v>
      </c>
      <c r="V126" s="6" t="n">
        <v>0</v>
      </c>
      <c r="W126" s="6" t="n">
        <v>0</v>
      </c>
    </row>
    <row r="127">
      <c r="A127" s="11" t="n">
        <v>60</v>
      </c>
      <c r="B127" s="11" t="inlineStr">
        <is>
          <t>Aspirational</t>
        </is>
      </c>
      <c r="C127" s="6" t="n">
        <v>0</v>
      </c>
      <c r="D127" s="6" t="n">
        <v>0</v>
      </c>
      <c r="E127" s="6" t="n">
        <v>0</v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</v>
      </c>
      <c r="K127" s="6" t="n">
        <v>0</v>
      </c>
      <c r="L127" s="6" t="n">
        <v>0</v>
      </c>
      <c r="M127" s="6" t="n">
        <v>0</v>
      </c>
      <c r="N127" s="6" t="n">
        <v>0</v>
      </c>
      <c r="O127" s="6" t="n">
        <v>0</v>
      </c>
      <c r="P127" s="6" t="n">
        <v>0</v>
      </c>
      <c r="Q127" s="6" t="n">
        <v>0</v>
      </c>
      <c r="R127" s="6" t="n">
        <v>0</v>
      </c>
      <c r="S127" s="6" t="n">
        <v>0</v>
      </c>
      <c r="T127" s="6" t="n">
        <v>0</v>
      </c>
      <c r="U127" s="6" t="n">
        <v>0</v>
      </c>
      <c r="V127" s="6" t="n">
        <v>0</v>
      </c>
      <c r="W127" s="6" t="n">
        <v>0</v>
      </c>
    </row>
    <row r="129">
      <c r="A129" s="7" t="inlineStr">
        <is>
          <t>CONTINUE COST LADDER (this is a COIN SINK, not a faucet)</t>
        </is>
      </c>
      <c r="B129" s="8" t="n"/>
      <c r="C129" s="8" t="n"/>
      <c r="D129" s="8" t="n"/>
    </row>
    <row r="130">
      <c r="A130" s="3" t="inlineStr">
        <is>
          <t>Deck p8/p24: costs MUST escalate after each consecutive continue within the same run; the curve is configurable and undefined. Unlimited continues (user, 2026-09-02), so the ladder runs past any realistic depth — the last authored row repeats for continues beyond it.</t>
        </is>
      </c>
    </row>
    <row r="131">
      <c r="A131" s="9" t="inlineStr">
        <is>
          <t>Continue #</t>
        </is>
      </c>
      <c r="B131" s="9" t="inlineStr">
        <is>
          <t>Cost (Coins)</t>
        </is>
      </c>
      <c r="C131" s="9" t="inlineStr">
        <is>
          <t>Cumulative</t>
        </is>
      </c>
      <c r="D131" s="9" t="inlineStr">
        <is>
          <t>Note</t>
        </is>
      </c>
    </row>
    <row r="132">
      <c r="A132" s="11" t="n">
        <v>1</v>
      </c>
      <c r="B132" s="6" t="n">
        <v>0</v>
      </c>
      <c r="C132" s="13">
        <f>SUM($B$132:$B132)</f>
        <v/>
      </c>
      <c r="D132" s="3" t="inlineStr">
        <is>
          <t>first continue in a run</t>
        </is>
      </c>
    </row>
    <row r="133">
      <c r="A133" s="11" t="n">
        <v>2</v>
      </c>
      <c r="B133" s="6" t="n">
        <v>0</v>
      </c>
      <c r="C133" s="13">
        <f>SUM($B$132:$B133)</f>
        <v/>
      </c>
    </row>
    <row r="134">
      <c r="A134" s="11" t="n">
        <v>3</v>
      </c>
      <c r="B134" s="6" t="n">
        <v>0</v>
      </c>
      <c r="C134" s="13">
        <f>SUM($B$132:$B134)</f>
        <v/>
      </c>
    </row>
    <row r="135">
      <c r="A135" s="11" t="n">
        <v>4</v>
      </c>
      <c r="B135" s="6" t="n">
        <v>0</v>
      </c>
      <c r="C135" s="13">
        <f>SUM($B$132:$B135)</f>
        <v/>
      </c>
    </row>
    <row r="136">
      <c r="A136" s="11" t="n">
        <v>5</v>
      </c>
      <c r="B136" s="6" t="n">
        <v>0</v>
      </c>
      <c r="C136" s="13">
        <f>SUM($B$132:$B136)</f>
        <v/>
      </c>
    </row>
    <row r="137">
      <c r="A137" s="11" t="n">
        <v>6</v>
      </c>
      <c r="B137" s="6" t="n">
        <v>0</v>
      </c>
      <c r="C137" s="13">
        <f>SUM($B$132:$B137)</f>
        <v/>
      </c>
    </row>
    <row r="138">
      <c r="A138" s="11" t="n">
        <v>7</v>
      </c>
      <c r="B138" s="6" t="n">
        <v>0</v>
      </c>
      <c r="C138" s="13">
        <f>SUM($B$132:$B138)</f>
        <v/>
      </c>
    </row>
    <row r="139">
      <c r="A139" s="11" t="n">
        <v>8</v>
      </c>
      <c r="B139" s="6" t="n">
        <v>0</v>
      </c>
      <c r="C139" s="13">
        <f>SUM($B$132:$B139)</f>
        <v/>
      </c>
    </row>
    <row r="140">
      <c r="A140" s="11" t="n">
        <v>9</v>
      </c>
      <c r="B140" s="6" t="n">
        <v>0</v>
      </c>
      <c r="C140" s="13">
        <f>SUM($B$132:$B140)</f>
        <v/>
      </c>
    </row>
    <row r="141">
      <c r="A141" s="11" t="n">
        <v>10</v>
      </c>
      <c r="B141" s="6" t="n">
        <v>0</v>
      </c>
      <c r="C141" s="13">
        <f>SUM($B$132:$B141)</f>
        <v/>
      </c>
    </row>
    <row r="143">
      <c r="A143" s="7" t="inlineStr">
        <is>
          <t>REWARD POOL MAP (deck p7 -&gt; the 19-resource sim universe)</t>
        </is>
      </c>
      <c r="B143" s="8" t="n"/>
      <c r="C143" s="8" t="n"/>
    </row>
    <row r="144">
      <c r="A144" s="3" t="inlineStr">
        <is>
          <t>Why some deck rewards have no column above: they are outside the resource universe. Recorded so the omission reads as a decision, not an oversight.</t>
        </is>
      </c>
    </row>
    <row r="145">
      <c r="A145" s="9" t="inlineStr">
        <is>
          <t>Deck reward</t>
        </is>
      </c>
      <c r="B145" s="9" t="inlineStr">
        <is>
          <t>Sim resource</t>
        </is>
      </c>
      <c r="C145" s="9" t="inlineStr">
        <is>
          <t>Modelled?</t>
        </is>
      </c>
    </row>
    <row r="146">
      <c r="A146" s="11" t="inlineStr">
        <is>
          <t>Coins</t>
        </is>
      </c>
      <c r="B146" s="11" t="inlineStr">
        <is>
          <t>Coins</t>
        </is>
      </c>
      <c r="C146" s="3" t="inlineStr">
        <is>
          <t>yes</t>
        </is>
      </c>
    </row>
    <row r="147">
      <c r="A147" s="11" t="inlineStr">
        <is>
          <t>Boosters</t>
        </is>
      </c>
      <c r="B147" s="11" t="inlineStr">
        <is>
          <t>Red / Chuck / Bomb</t>
        </is>
      </c>
      <c r="C147" s="3" t="inlineStr">
        <is>
          <t>yes</t>
        </is>
      </c>
    </row>
    <row r="148">
      <c r="A148" s="11" t="inlineStr">
        <is>
          <t>Power-ups</t>
        </is>
      </c>
      <c r="B148" s="11" t="inlineStr">
        <is>
          <t>Slingshot / Shuffle / Comet</t>
        </is>
      </c>
      <c r="C148" s="3" t="inlineStr">
        <is>
          <t>yes</t>
        </is>
      </c>
    </row>
    <row r="149">
      <c r="A149" s="11" t="inlineStr">
        <is>
          <t>Unlimited Lives</t>
        </is>
      </c>
      <c r="B149" s="11" t="inlineStr">
        <is>
          <t>Unlimited Lives</t>
        </is>
      </c>
      <c r="C149" s="3" t="inlineStr">
        <is>
          <t>yes</t>
        </is>
      </c>
    </row>
    <row r="150">
      <c r="A150" s="11" t="inlineStr">
        <is>
          <t>Event Tokens</t>
        </is>
      </c>
      <c r="B150" s="11" t="inlineStr">
        <is>
          <t>SPT / SPT x2</t>
        </is>
      </c>
      <c r="C150" s="3" t="inlineStr">
        <is>
          <t>yes — feeds the Season Pass tier coupling (D16)</t>
        </is>
      </c>
    </row>
    <row r="151">
      <c r="A151" s="11" t="inlineStr">
        <is>
          <t>Dream Album Envelopes</t>
        </is>
      </c>
      <c r="B151" s="11" t="inlineStr">
        <is>
          <t>1-star Dly .. 6-star Dly</t>
        </is>
      </c>
      <c r="C151" s="3" t="inlineStr">
        <is>
          <t>yes — routes through packLane_, inherits the D26 cutoff</t>
        </is>
      </c>
    </row>
    <row r="152">
      <c r="A152" s="11" t="inlineStr">
        <is>
          <t>Avatars</t>
        </is>
      </c>
      <c r="B152" s="11" t="inlineStr">
        <is>
          <t>Avatar</t>
        </is>
      </c>
      <c r="C152" s="3" t="inlineStr">
        <is>
          <t>column exists; no economy value in the model</t>
        </is>
      </c>
    </row>
    <row r="153">
      <c r="A153" s="11" t="inlineStr">
        <is>
          <t>Album Badges</t>
        </is>
      </c>
      <c r="B153" s="11" t="inlineStr">
        <is>
          <t>—</t>
        </is>
      </c>
      <c r="C153" s="3" t="inlineStr">
        <is>
          <t>NO — no sim resource</t>
        </is>
      </c>
    </row>
    <row r="154">
      <c r="A154" s="11" t="inlineStr">
        <is>
          <t>Event Tickets</t>
        </is>
      </c>
      <c r="B154" s="11" t="inlineStr">
        <is>
          <t>—</t>
        </is>
      </c>
      <c r="C154" s="3" t="inlineStr">
        <is>
          <t>NO — tickets are this feature's own entry currency, outside the 19</t>
        </is>
      </c>
    </row>
    <row r="155">
      <c r="A155" s="11" t="inlineStr">
        <is>
          <t>Skins</t>
        </is>
      </c>
      <c r="B155" s="11" t="inlineStr">
        <is>
          <t>—</t>
        </is>
      </c>
      <c r="C155" s="3" t="inlineStr">
        <is>
          <t>NO — deck lists as FUTURE</t>
        </is>
      </c>
    </row>
    <row r="156">
      <c r="A156" s="11" t="inlineStr">
        <is>
          <t>Frames</t>
        </is>
      </c>
      <c r="B156" s="11" t="inlineStr">
        <is>
          <t>—</t>
        </is>
      </c>
      <c r="C156" s="3" t="inlineStr">
        <is>
          <t>NO — deck lists as FUTURE</t>
        </is>
      </c>
    </row>
    <row r="157">
      <c r="A157" s="7" t="inlineStr">
        <is>
          <t>CUMULATIVE REWARD AT THE REACHED STAGE (derived)</t>
        </is>
      </c>
      <c r="B157" s="8" t="n"/>
      <c r="C157" s="8" t="n"/>
      <c r="D157" s="8" t="n"/>
      <c r="E157" s="8" t="n"/>
      <c r="F157" s="8" t="n"/>
    </row>
    <row r="158">
      <c r="A158" s="3" t="inlineStr">
        <is>
          <t>Reads the three ladders above. All zeros until they are authored — that is the sheet telling you the truth, not a broken formula.</t>
        </is>
      </c>
    </row>
    <row r="159">
      <c r="A159" s="9" t="inlineStr">
        <is>
          <t>Resource</t>
        </is>
      </c>
      <c r="B159" s="9" t="inlineStr">
        <is>
          <t>0-9</t>
        </is>
      </c>
      <c r="C159" s="9" t="inlineStr">
        <is>
          <t>10-19</t>
        </is>
      </c>
      <c r="D159" s="9" t="inlineStr">
        <is>
          <t>20-39</t>
        </is>
      </c>
      <c r="E159" s="9" t="inlineStr">
        <is>
          <t>40-99</t>
        </is>
      </c>
      <c r="F159" s="9" t="inlineStr">
        <is>
          <t>100+</t>
        </is>
      </c>
    </row>
    <row r="160">
      <c r="A160" s="10" t="inlineStr">
        <is>
          <t>Coins</t>
        </is>
      </c>
      <c r="B160" s="19">
        <f>SUMPRODUCT(COUNTIFS($A$31:$A$90,"&lt;="&amp;B$101,$E$31:$E$90,$A$106:$A$111,$B$31:$B$90,"Standard"),D$106:D$111)+SUMPRODUCT(COUNTIFS($A$31:$A$90,"&lt;="&amp;B$101,$E$31:$E$90,$A$116:$A$121,$B$31:$B$90,"Safe*"),D$116:D$121)+IF(B$101&gt;=$B$10,C$126,0)+IF(B$101&gt;=$B$11,C$127,0)</f>
        <v/>
      </c>
      <c r="C160" s="19">
        <f>SUMPRODUCT(COUNTIFS($A$31:$A$90,"&lt;="&amp;C$101,$E$31:$E$90,$A$106:$A$111,$B$31:$B$90,"Standard"),D$106:D$111)+SUMPRODUCT(COUNTIFS($A$31:$A$90,"&lt;="&amp;C$101,$E$31:$E$90,$A$116:$A$121,$B$31:$B$90,"Safe*"),D$116:D$121)+IF(C$101&gt;=$B$10,C$126,0)+IF(C$101&gt;=$B$11,C$127,0)</f>
        <v/>
      </c>
      <c r="D160" s="19">
        <f>SUMPRODUCT(COUNTIFS($A$31:$A$90,"&lt;="&amp;D$101,$E$31:$E$90,$A$106:$A$111,$B$31:$B$90,"Standard"),D$106:D$111)+SUMPRODUCT(COUNTIFS($A$31:$A$90,"&lt;="&amp;D$101,$E$31:$E$90,$A$116:$A$121,$B$31:$B$90,"Safe*"),D$116:D$121)+IF(D$101&gt;=$B$10,C$126,0)+IF(D$101&gt;=$B$11,C$127,0)</f>
        <v/>
      </c>
      <c r="E160" s="19">
        <f>SUMPRODUCT(COUNTIFS($A$31:$A$90,"&lt;="&amp;E$101,$E$31:$E$90,$A$106:$A$111,$B$31:$B$90,"Standard"),D$106:D$111)+SUMPRODUCT(COUNTIFS($A$31:$A$90,"&lt;="&amp;E$101,$E$31:$E$90,$A$116:$A$121,$B$31:$B$90,"Safe*"),D$116:D$121)+IF(E$101&gt;=$B$10,C$126,0)+IF(E$101&gt;=$B$11,C$127,0)</f>
        <v/>
      </c>
      <c r="F160" s="19">
        <f>SUMPRODUCT(COUNTIFS($A$31:$A$90,"&lt;="&amp;F$101,$E$31:$E$90,$A$106:$A$111,$B$31:$B$90,"Standard"),D$106:D$111)+SUMPRODUCT(COUNTIFS($A$31:$A$90,"&lt;="&amp;F$101,$E$31:$E$90,$A$116:$A$121,$B$31:$B$90,"Safe*"),D$116:D$121)+IF(F$101&gt;=$B$10,C$126,0)+IF(F$101&gt;=$B$11,C$127,0)</f>
        <v/>
      </c>
    </row>
    <row r="161">
      <c r="A161" s="10" t="inlineStr">
        <is>
          <t>SPT</t>
        </is>
      </c>
      <c r="B161" s="19">
        <f>SUMPRODUCT(COUNTIFS($A$31:$A$90,"&lt;="&amp;B$101,$E$31:$E$90,$A$106:$A$111,$B$31:$B$90,"Standard"),E$106:E$111)+SUMPRODUCT(COUNTIFS($A$31:$A$90,"&lt;="&amp;B$101,$E$31:$E$90,$A$116:$A$121,$B$31:$B$90,"Safe*"),E$116:E$121)+IF(B$101&gt;=$B$10,D$126,0)+IF(B$101&gt;=$B$11,D$127,0)</f>
        <v/>
      </c>
      <c r="C161" s="19">
        <f>SUMPRODUCT(COUNTIFS($A$31:$A$90,"&lt;="&amp;C$101,$E$31:$E$90,$A$106:$A$111,$B$31:$B$90,"Standard"),E$106:E$111)+SUMPRODUCT(COUNTIFS($A$31:$A$90,"&lt;="&amp;C$101,$E$31:$E$90,$A$116:$A$121,$B$31:$B$90,"Safe*"),E$116:E$121)+IF(C$101&gt;=$B$10,D$126,0)+IF(C$101&gt;=$B$11,D$127,0)</f>
        <v/>
      </c>
      <c r="D161" s="19">
        <f>SUMPRODUCT(COUNTIFS($A$31:$A$90,"&lt;="&amp;D$101,$E$31:$E$90,$A$106:$A$111,$B$31:$B$90,"Standard"),E$106:E$111)+SUMPRODUCT(COUNTIFS($A$31:$A$90,"&lt;="&amp;D$101,$E$31:$E$90,$A$116:$A$121,$B$31:$B$90,"Safe*"),E$116:E$121)+IF(D$101&gt;=$B$10,D$126,0)+IF(D$101&gt;=$B$11,D$127,0)</f>
        <v/>
      </c>
      <c r="E161" s="19">
        <f>SUMPRODUCT(COUNTIFS($A$31:$A$90,"&lt;="&amp;E$101,$E$31:$E$90,$A$106:$A$111,$B$31:$B$90,"Standard"),E$106:E$111)+SUMPRODUCT(COUNTIFS($A$31:$A$90,"&lt;="&amp;E$101,$E$31:$E$90,$A$116:$A$121,$B$31:$B$90,"Safe*"),E$116:E$121)+IF(E$101&gt;=$B$10,D$126,0)+IF(E$101&gt;=$B$11,D$127,0)</f>
        <v/>
      </c>
      <c r="F161" s="19">
        <f>SUMPRODUCT(COUNTIFS($A$31:$A$90,"&lt;="&amp;F$101,$E$31:$E$90,$A$106:$A$111,$B$31:$B$90,"Standard"),E$106:E$111)+SUMPRODUCT(COUNTIFS($A$31:$A$90,"&lt;="&amp;F$101,$E$31:$E$90,$A$116:$A$121,$B$31:$B$90,"Safe*"),E$116:E$121)+IF(F$101&gt;=$B$10,D$126,0)+IF(F$101&gt;=$B$11,D$127,0)</f>
        <v/>
      </c>
    </row>
    <row r="162">
      <c r="A162" s="10" t="inlineStr">
        <is>
          <t>SPT x2</t>
        </is>
      </c>
      <c r="B162" s="19">
        <f>SUMPRODUCT(COUNTIFS($A$31:$A$90,"&lt;="&amp;B$101,$E$31:$E$90,$A$106:$A$111,$B$31:$B$90,"Standard"),F$106:F$111)+SUMPRODUCT(COUNTIFS($A$31:$A$90,"&lt;="&amp;B$101,$E$31:$E$90,$A$116:$A$121,$B$31:$B$90,"Safe*"),F$116:F$121)+IF(B$101&gt;=$B$10,E$126,0)+IF(B$101&gt;=$B$11,E$127,0)</f>
        <v/>
      </c>
      <c r="C162" s="19">
        <f>SUMPRODUCT(COUNTIFS($A$31:$A$90,"&lt;="&amp;C$101,$E$31:$E$90,$A$106:$A$111,$B$31:$B$90,"Standard"),F$106:F$111)+SUMPRODUCT(COUNTIFS($A$31:$A$90,"&lt;="&amp;C$101,$E$31:$E$90,$A$116:$A$121,$B$31:$B$90,"Safe*"),F$116:F$121)+IF(C$101&gt;=$B$10,E$126,0)+IF(C$101&gt;=$B$11,E$127,0)</f>
        <v/>
      </c>
      <c r="D162" s="19">
        <f>SUMPRODUCT(COUNTIFS($A$31:$A$90,"&lt;="&amp;D$101,$E$31:$E$90,$A$106:$A$111,$B$31:$B$90,"Standard"),F$106:F$111)+SUMPRODUCT(COUNTIFS($A$31:$A$90,"&lt;="&amp;D$101,$E$31:$E$90,$A$116:$A$121,$B$31:$B$90,"Safe*"),F$116:F$121)+IF(D$101&gt;=$B$10,E$126,0)+IF(D$101&gt;=$B$11,E$127,0)</f>
        <v/>
      </c>
      <c r="E162" s="19">
        <f>SUMPRODUCT(COUNTIFS($A$31:$A$90,"&lt;="&amp;E$101,$E$31:$E$90,$A$106:$A$111,$B$31:$B$90,"Standard"),F$106:F$111)+SUMPRODUCT(COUNTIFS($A$31:$A$90,"&lt;="&amp;E$101,$E$31:$E$90,$A$116:$A$121,$B$31:$B$90,"Safe*"),F$116:F$121)+IF(E$101&gt;=$B$10,E$126,0)+IF(E$101&gt;=$B$11,E$127,0)</f>
        <v/>
      </c>
      <c r="F162" s="19">
        <f>SUMPRODUCT(COUNTIFS($A$31:$A$90,"&lt;="&amp;F$101,$E$31:$E$90,$A$106:$A$111,$B$31:$B$90,"Standard"),F$106:F$111)+SUMPRODUCT(COUNTIFS($A$31:$A$90,"&lt;="&amp;F$101,$E$31:$E$90,$A$116:$A$121,$B$31:$B$90,"Safe*"),F$116:F$121)+IF(F$101&gt;=$B$10,E$126,0)+IF(F$101&gt;=$B$11,E$127,0)</f>
        <v/>
      </c>
    </row>
    <row r="163">
      <c r="A163" s="10" t="inlineStr">
        <is>
          <t>Red</t>
        </is>
      </c>
      <c r="B163" s="19">
        <f>SUMPRODUCT(COUNTIFS($A$31:$A$90,"&lt;="&amp;B$101,$E$31:$E$90,$A$106:$A$111,$B$31:$B$90,"Standard"),G$106:G$111)+SUMPRODUCT(COUNTIFS($A$31:$A$90,"&lt;="&amp;B$101,$E$31:$E$90,$A$116:$A$121,$B$31:$B$90,"Safe*"),G$116:G$121)+IF(B$101&gt;=$B$10,F$126,0)+IF(B$101&gt;=$B$11,F$127,0)</f>
        <v/>
      </c>
      <c r="C163" s="19">
        <f>SUMPRODUCT(COUNTIFS($A$31:$A$90,"&lt;="&amp;C$101,$E$31:$E$90,$A$106:$A$111,$B$31:$B$90,"Standard"),G$106:G$111)+SUMPRODUCT(COUNTIFS($A$31:$A$90,"&lt;="&amp;C$101,$E$31:$E$90,$A$116:$A$121,$B$31:$B$90,"Safe*"),G$116:G$121)+IF(C$101&gt;=$B$10,F$126,0)+IF(C$101&gt;=$B$11,F$127,0)</f>
        <v/>
      </c>
      <c r="D163" s="19">
        <f>SUMPRODUCT(COUNTIFS($A$31:$A$90,"&lt;="&amp;D$101,$E$31:$E$90,$A$106:$A$111,$B$31:$B$90,"Standard"),G$106:G$111)+SUMPRODUCT(COUNTIFS($A$31:$A$90,"&lt;="&amp;D$101,$E$31:$E$90,$A$116:$A$121,$B$31:$B$90,"Safe*"),G$116:G$121)+IF(D$101&gt;=$B$10,F$126,0)+IF(D$101&gt;=$B$11,F$127,0)</f>
        <v/>
      </c>
      <c r="E163" s="19">
        <f>SUMPRODUCT(COUNTIFS($A$31:$A$90,"&lt;="&amp;E$101,$E$31:$E$90,$A$106:$A$111,$B$31:$B$90,"Standard"),G$106:G$111)+SUMPRODUCT(COUNTIFS($A$31:$A$90,"&lt;="&amp;E$101,$E$31:$E$90,$A$116:$A$121,$B$31:$B$90,"Safe*"),G$116:G$121)+IF(E$101&gt;=$B$10,F$126,0)+IF(E$101&gt;=$B$11,F$127,0)</f>
        <v/>
      </c>
      <c r="F163" s="19">
        <f>SUMPRODUCT(COUNTIFS($A$31:$A$90,"&lt;="&amp;F$101,$E$31:$E$90,$A$106:$A$111,$B$31:$B$90,"Standard"),G$106:G$111)+SUMPRODUCT(COUNTIFS($A$31:$A$90,"&lt;="&amp;F$101,$E$31:$E$90,$A$116:$A$121,$B$31:$B$90,"Safe*"),G$116:G$121)+IF(F$101&gt;=$B$10,F$126,0)+IF(F$101&gt;=$B$11,F$127,0)</f>
        <v/>
      </c>
    </row>
    <row r="164">
      <c r="A164" s="10" t="inlineStr">
        <is>
          <t>Chuck</t>
        </is>
      </c>
      <c r="B164" s="19">
        <f>SUMPRODUCT(COUNTIFS($A$31:$A$90,"&lt;="&amp;B$101,$E$31:$E$90,$A$106:$A$111,$B$31:$B$90,"Standard"),H$106:H$111)+SUMPRODUCT(COUNTIFS($A$31:$A$90,"&lt;="&amp;B$101,$E$31:$E$90,$A$116:$A$121,$B$31:$B$90,"Safe*"),H$116:H$121)+IF(B$101&gt;=$B$10,G$126,0)+IF(B$101&gt;=$B$11,G$127,0)</f>
        <v/>
      </c>
      <c r="C164" s="19">
        <f>SUMPRODUCT(COUNTIFS($A$31:$A$90,"&lt;="&amp;C$101,$E$31:$E$90,$A$106:$A$111,$B$31:$B$90,"Standard"),H$106:H$111)+SUMPRODUCT(COUNTIFS($A$31:$A$90,"&lt;="&amp;C$101,$E$31:$E$90,$A$116:$A$121,$B$31:$B$90,"Safe*"),H$116:H$121)+IF(C$101&gt;=$B$10,G$126,0)+IF(C$101&gt;=$B$11,G$127,0)</f>
        <v/>
      </c>
      <c r="D164" s="19">
        <f>SUMPRODUCT(COUNTIFS($A$31:$A$90,"&lt;="&amp;D$101,$E$31:$E$90,$A$106:$A$111,$B$31:$B$90,"Standard"),H$106:H$111)+SUMPRODUCT(COUNTIFS($A$31:$A$90,"&lt;="&amp;D$101,$E$31:$E$90,$A$116:$A$121,$B$31:$B$90,"Safe*"),H$116:H$121)+IF(D$101&gt;=$B$10,G$126,0)+IF(D$101&gt;=$B$11,G$127,0)</f>
        <v/>
      </c>
      <c r="E164" s="19">
        <f>SUMPRODUCT(COUNTIFS($A$31:$A$90,"&lt;="&amp;E$101,$E$31:$E$90,$A$106:$A$111,$B$31:$B$90,"Standard"),H$106:H$111)+SUMPRODUCT(COUNTIFS($A$31:$A$90,"&lt;="&amp;E$101,$E$31:$E$90,$A$116:$A$121,$B$31:$B$90,"Safe*"),H$116:H$121)+IF(E$101&gt;=$B$10,G$126,0)+IF(E$101&gt;=$B$11,G$127,0)</f>
        <v/>
      </c>
      <c r="F164" s="19">
        <f>SUMPRODUCT(COUNTIFS($A$31:$A$90,"&lt;="&amp;F$101,$E$31:$E$90,$A$106:$A$111,$B$31:$B$90,"Standard"),H$106:H$111)+SUMPRODUCT(COUNTIFS($A$31:$A$90,"&lt;="&amp;F$101,$E$31:$E$90,$A$116:$A$121,$B$31:$B$90,"Safe*"),H$116:H$121)+IF(F$101&gt;=$B$10,G$126,0)+IF(F$101&gt;=$B$11,G$127,0)</f>
        <v/>
      </c>
    </row>
    <row r="165">
      <c r="A165" s="10" t="inlineStr">
        <is>
          <t>Bomb</t>
        </is>
      </c>
      <c r="B165" s="19">
        <f>SUMPRODUCT(COUNTIFS($A$31:$A$90,"&lt;="&amp;B$101,$E$31:$E$90,$A$106:$A$111,$B$31:$B$90,"Standard"),I$106:I$111)+SUMPRODUCT(COUNTIFS($A$31:$A$90,"&lt;="&amp;B$101,$E$31:$E$90,$A$116:$A$121,$B$31:$B$90,"Safe*"),I$116:I$121)+IF(B$101&gt;=$B$10,H$126,0)+IF(B$101&gt;=$B$11,H$127,0)</f>
        <v/>
      </c>
      <c r="C165" s="19">
        <f>SUMPRODUCT(COUNTIFS($A$31:$A$90,"&lt;="&amp;C$101,$E$31:$E$90,$A$106:$A$111,$B$31:$B$90,"Standard"),I$106:I$111)+SUMPRODUCT(COUNTIFS($A$31:$A$90,"&lt;="&amp;C$101,$E$31:$E$90,$A$116:$A$121,$B$31:$B$90,"Safe*"),I$116:I$121)+IF(C$101&gt;=$B$10,H$126,0)+IF(C$101&gt;=$B$11,H$127,0)</f>
        <v/>
      </c>
      <c r="D165" s="19">
        <f>SUMPRODUCT(COUNTIFS($A$31:$A$90,"&lt;="&amp;D$101,$E$31:$E$90,$A$106:$A$111,$B$31:$B$90,"Standard"),I$106:I$111)+SUMPRODUCT(COUNTIFS($A$31:$A$90,"&lt;="&amp;D$101,$E$31:$E$90,$A$116:$A$121,$B$31:$B$90,"Safe*"),I$116:I$121)+IF(D$101&gt;=$B$10,H$126,0)+IF(D$101&gt;=$B$11,H$127,0)</f>
        <v/>
      </c>
      <c r="E165" s="19">
        <f>SUMPRODUCT(COUNTIFS($A$31:$A$90,"&lt;="&amp;E$101,$E$31:$E$90,$A$106:$A$111,$B$31:$B$90,"Standard"),I$106:I$111)+SUMPRODUCT(COUNTIFS($A$31:$A$90,"&lt;="&amp;E$101,$E$31:$E$90,$A$116:$A$121,$B$31:$B$90,"Safe*"),I$116:I$121)+IF(E$101&gt;=$B$10,H$126,0)+IF(E$101&gt;=$B$11,H$127,0)</f>
        <v/>
      </c>
      <c r="F165" s="19">
        <f>SUMPRODUCT(COUNTIFS($A$31:$A$90,"&lt;="&amp;F$101,$E$31:$E$90,$A$106:$A$111,$B$31:$B$90,"Standard"),I$106:I$111)+SUMPRODUCT(COUNTIFS($A$31:$A$90,"&lt;="&amp;F$101,$E$31:$E$90,$A$116:$A$121,$B$31:$B$90,"Safe*"),I$116:I$121)+IF(F$101&gt;=$B$10,H$126,0)+IF(F$101&gt;=$B$11,H$127,0)</f>
        <v/>
      </c>
    </row>
    <row r="166">
      <c r="A166" s="10" t="inlineStr">
        <is>
          <t>Slingshot</t>
        </is>
      </c>
      <c r="B166" s="19">
        <f>SUMPRODUCT(COUNTIFS($A$31:$A$90,"&lt;="&amp;B$101,$E$31:$E$90,$A$106:$A$111,$B$31:$B$90,"Standard"),J$106:J$111)+SUMPRODUCT(COUNTIFS($A$31:$A$90,"&lt;="&amp;B$101,$E$31:$E$90,$A$116:$A$121,$B$31:$B$90,"Safe*"),J$116:J$121)+IF(B$101&gt;=$B$10,I$126,0)+IF(B$101&gt;=$B$11,I$127,0)</f>
        <v/>
      </c>
      <c r="C166" s="19">
        <f>SUMPRODUCT(COUNTIFS($A$31:$A$90,"&lt;="&amp;C$101,$E$31:$E$90,$A$106:$A$111,$B$31:$B$90,"Standard"),J$106:J$111)+SUMPRODUCT(COUNTIFS($A$31:$A$90,"&lt;="&amp;C$101,$E$31:$E$90,$A$116:$A$121,$B$31:$B$90,"Safe*"),J$116:J$121)+IF(C$101&gt;=$B$10,I$126,0)+IF(C$101&gt;=$B$11,I$127,0)</f>
        <v/>
      </c>
      <c r="D166" s="19">
        <f>SUMPRODUCT(COUNTIFS($A$31:$A$90,"&lt;="&amp;D$101,$E$31:$E$90,$A$106:$A$111,$B$31:$B$90,"Standard"),J$106:J$111)+SUMPRODUCT(COUNTIFS($A$31:$A$90,"&lt;="&amp;D$101,$E$31:$E$90,$A$116:$A$121,$B$31:$B$90,"Safe*"),J$116:J$121)+IF(D$101&gt;=$B$10,I$126,0)+IF(D$101&gt;=$B$11,I$127,0)</f>
        <v/>
      </c>
      <c r="E166" s="19">
        <f>SUMPRODUCT(COUNTIFS($A$31:$A$90,"&lt;="&amp;E$101,$E$31:$E$90,$A$106:$A$111,$B$31:$B$90,"Standard"),J$106:J$111)+SUMPRODUCT(COUNTIFS($A$31:$A$90,"&lt;="&amp;E$101,$E$31:$E$90,$A$116:$A$121,$B$31:$B$90,"Safe*"),J$116:J$121)+IF(E$101&gt;=$B$10,I$126,0)+IF(E$101&gt;=$B$11,I$127,0)</f>
        <v/>
      </c>
      <c r="F166" s="19">
        <f>SUMPRODUCT(COUNTIFS($A$31:$A$90,"&lt;="&amp;F$101,$E$31:$E$90,$A$106:$A$111,$B$31:$B$90,"Standard"),J$106:J$111)+SUMPRODUCT(COUNTIFS($A$31:$A$90,"&lt;="&amp;F$101,$E$31:$E$90,$A$116:$A$121,$B$31:$B$90,"Safe*"),J$116:J$121)+IF(F$101&gt;=$B$10,I$126,0)+IF(F$101&gt;=$B$11,I$127,0)</f>
        <v/>
      </c>
    </row>
    <row r="167">
      <c r="A167" s="10" t="inlineStr">
        <is>
          <t>Shuffle</t>
        </is>
      </c>
      <c r="B167" s="19">
        <f>SUMPRODUCT(COUNTIFS($A$31:$A$90,"&lt;="&amp;B$101,$E$31:$E$90,$A$106:$A$111,$B$31:$B$90,"Standard"),K$106:K$111)+SUMPRODUCT(COUNTIFS($A$31:$A$90,"&lt;="&amp;B$101,$E$31:$E$90,$A$116:$A$121,$B$31:$B$90,"Safe*"),K$116:K$121)+IF(B$101&gt;=$B$10,J$126,0)+IF(B$101&gt;=$B$11,J$127,0)</f>
        <v/>
      </c>
      <c r="C167" s="19">
        <f>SUMPRODUCT(COUNTIFS($A$31:$A$90,"&lt;="&amp;C$101,$E$31:$E$90,$A$106:$A$111,$B$31:$B$90,"Standard"),K$106:K$111)+SUMPRODUCT(COUNTIFS($A$31:$A$90,"&lt;="&amp;C$101,$E$31:$E$90,$A$116:$A$121,$B$31:$B$90,"Safe*"),K$116:K$121)+IF(C$101&gt;=$B$10,J$126,0)+IF(C$101&gt;=$B$11,J$127,0)</f>
        <v/>
      </c>
      <c r="D167" s="19">
        <f>SUMPRODUCT(COUNTIFS($A$31:$A$90,"&lt;="&amp;D$101,$E$31:$E$90,$A$106:$A$111,$B$31:$B$90,"Standard"),K$106:K$111)+SUMPRODUCT(COUNTIFS($A$31:$A$90,"&lt;="&amp;D$101,$E$31:$E$90,$A$116:$A$121,$B$31:$B$90,"Safe*"),K$116:K$121)+IF(D$101&gt;=$B$10,J$126,0)+IF(D$101&gt;=$B$11,J$127,0)</f>
        <v/>
      </c>
      <c r="E167" s="19">
        <f>SUMPRODUCT(COUNTIFS($A$31:$A$90,"&lt;="&amp;E$101,$E$31:$E$90,$A$106:$A$111,$B$31:$B$90,"Standard"),K$106:K$111)+SUMPRODUCT(COUNTIFS($A$31:$A$90,"&lt;="&amp;E$101,$E$31:$E$90,$A$116:$A$121,$B$31:$B$90,"Safe*"),K$116:K$121)+IF(E$101&gt;=$B$10,J$126,0)+IF(E$101&gt;=$B$11,J$127,0)</f>
        <v/>
      </c>
      <c r="F167" s="19">
        <f>SUMPRODUCT(COUNTIFS($A$31:$A$90,"&lt;="&amp;F$101,$E$31:$E$90,$A$106:$A$111,$B$31:$B$90,"Standard"),K$106:K$111)+SUMPRODUCT(COUNTIFS($A$31:$A$90,"&lt;="&amp;F$101,$E$31:$E$90,$A$116:$A$121,$B$31:$B$90,"Safe*"),K$116:K$121)+IF(F$101&gt;=$B$10,J$126,0)+IF(F$101&gt;=$B$11,J$127,0)</f>
        <v/>
      </c>
    </row>
    <row r="168">
      <c r="A168" s="10" t="inlineStr">
        <is>
          <t>Comet</t>
        </is>
      </c>
      <c r="B168" s="19">
        <f>SUMPRODUCT(COUNTIFS($A$31:$A$90,"&lt;="&amp;B$101,$E$31:$E$90,$A$106:$A$111,$B$31:$B$90,"Standard"),L$106:L$111)+SUMPRODUCT(COUNTIFS($A$31:$A$90,"&lt;="&amp;B$101,$E$31:$E$90,$A$116:$A$121,$B$31:$B$90,"Safe*"),L$116:L$121)+IF(B$101&gt;=$B$10,K$126,0)+IF(B$101&gt;=$B$11,K$127,0)</f>
        <v/>
      </c>
      <c r="C168" s="19">
        <f>SUMPRODUCT(COUNTIFS($A$31:$A$90,"&lt;="&amp;C$101,$E$31:$E$90,$A$106:$A$111,$B$31:$B$90,"Standard"),L$106:L$111)+SUMPRODUCT(COUNTIFS($A$31:$A$90,"&lt;="&amp;C$101,$E$31:$E$90,$A$116:$A$121,$B$31:$B$90,"Safe*"),L$116:L$121)+IF(C$101&gt;=$B$10,K$126,0)+IF(C$101&gt;=$B$11,K$127,0)</f>
        <v/>
      </c>
      <c r="D168" s="19">
        <f>SUMPRODUCT(COUNTIFS($A$31:$A$90,"&lt;="&amp;D$101,$E$31:$E$90,$A$106:$A$111,$B$31:$B$90,"Standard"),L$106:L$111)+SUMPRODUCT(COUNTIFS($A$31:$A$90,"&lt;="&amp;D$101,$E$31:$E$90,$A$116:$A$121,$B$31:$B$90,"Safe*"),L$116:L$121)+IF(D$101&gt;=$B$10,K$126,0)+IF(D$101&gt;=$B$11,K$127,0)</f>
        <v/>
      </c>
      <c r="E168" s="19">
        <f>SUMPRODUCT(COUNTIFS($A$31:$A$90,"&lt;="&amp;E$101,$E$31:$E$90,$A$106:$A$111,$B$31:$B$90,"Standard"),L$106:L$111)+SUMPRODUCT(COUNTIFS($A$31:$A$90,"&lt;="&amp;E$101,$E$31:$E$90,$A$116:$A$121,$B$31:$B$90,"Safe*"),L$116:L$121)+IF(E$101&gt;=$B$10,K$126,0)+IF(E$101&gt;=$B$11,K$127,0)</f>
        <v/>
      </c>
      <c r="F168" s="19">
        <f>SUMPRODUCT(COUNTIFS($A$31:$A$90,"&lt;="&amp;F$101,$E$31:$E$90,$A$106:$A$111,$B$31:$B$90,"Standard"),L$106:L$111)+SUMPRODUCT(COUNTIFS($A$31:$A$90,"&lt;="&amp;F$101,$E$31:$E$90,$A$116:$A$121,$B$31:$B$90,"Safe*"),L$116:L$121)+IF(F$101&gt;=$B$10,K$126,0)+IF(F$101&gt;=$B$11,K$127,0)</f>
        <v/>
      </c>
    </row>
    <row r="169">
      <c r="A169" s="10" t="inlineStr">
        <is>
          <t>Unlimited Lives</t>
        </is>
      </c>
      <c r="B169" s="19">
        <f>SUMPRODUCT(COUNTIFS($A$31:$A$90,"&lt;="&amp;B$101,$E$31:$E$90,$A$106:$A$111,$B$31:$B$90,"Standard"),M$106:M$111)+SUMPRODUCT(COUNTIFS($A$31:$A$90,"&lt;="&amp;B$101,$E$31:$E$90,$A$116:$A$121,$B$31:$B$90,"Safe*"),M$116:M$121)+IF(B$101&gt;=$B$10,L$126,0)+IF(B$101&gt;=$B$11,L$127,0)</f>
        <v/>
      </c>
      <c r="C169" s="19">
        <f>SUMPRODUCT(COUNTIFS($A$31:$A$90,"&lt;="&amp;C$101,$E$31:$E$90,$A$106:$A$111,$B$31:$B$90,"Standard"),M$106:M$111)+SUMPRODUCT(COUNTIFS($A$31:$A$90,"&lt;="&amp;C$101,$E$31:$E$90,$A$116:$A$121,$B$31:$B$90,"Safe*"),M$116:M$121)+IF(C$101&gt;=$B$10,L$126,0)+IF(C$101&gt;=$B$11,L$127,0)</f>
        <v/>
      </c>
      <c r="D169" s="19">
        <f>SUMPRODUCT(COUNTIFS($A$31:$A$90,"&lt;="&amp;D$101,$E$31:$E$90,$A$106:$A$111,$B$31:$B$90,"Standard"),M$106:M$111)+SUMPRODUCT(COUNTIFS($A$31:$A$90,"&lt;="&amp;D$101,$E$31:$E$90,$A$116:$A$121,$B$31:$B$90,"Safe*"),M$116:M$121)+IF(D$101&gt;=$B$10,L$126,0)+IF(D$101&gt;=$B$11,L$127,0)</f>
        <v/>
      </c>
      <c r="E169" s="19">
        <f>SUMPRODUCT(COUNTIFS($A$31:$A$90,"&lt;="&amp;E$101,$E$31:$E$90,$A$106:$A$111,$B$31:$B$90,"Standard"),M$106:M$111)+SUMPRODUCT(COUNTIFS($A$31:$A$90,"&lt;="&amp;E$101,$E$31:$E$90,$A$116:$A$121,$B$31:$B$90,"Safe*"),M$116:M$121)+IF(E$101&gt;=$B$10,L$126,0)+IF(E$101&gt;=$B$11,L$127,0)</f>
        <v/>
      </c>
      <c r="F169" s="19">
        <f>SUMPRODUCT(COUNTIFS($A$31:$A$90,"&lt;="&amp;F$101,$E$31:$E$90,$A$106:$A$111,$B$31:$B$90,"Standard"),M$106:M$111)+SUMPRODUCT(COUNTIFS($A$31:$A$90,"&lt;="&amp;F$101,$E$31:$E$90,$A$116:$A$121,$B$31:$B$90,"Safe*"),M$116:M$121)+IF(F$101&gt;=$B$10,L$126,0)+IF(F$101&gt;=$B$11,L$127,0)</f>
        <v/>
      </c>
    </row>
    <row r="170">
      <c r="A170" s="10" t="inlineStr">
        <is>
          <t>Unlimited Red</t>
        </is>
      </c>
      <c r="B170" s="19">
        <f>SUMPRODUCT(COUNTIFS($A$31:$A$90,"&lt;="&amp;B$101,$E$31:$E$90,$A$106:$A$111,$B$31:$B$90,"Standard"),N$106:N$111)+SUMPRODUCT(COUNTIFS($A$31:$A$90,"&lt;="&amp;B$101,$E$31:$E$90,$A$116:$A$121,$B$31:$B$90,"Safe*"),N$116:N$121)+IF(B$101&gt;=$B$10,M$126,0)+IF(B$101&gt;=$B$11,M$127,0)</f>
        <v/>
      </c>
      <c r="C170" s="19">
        <f>SUMPRODUCT(COUNTIFS($A$31:$A$90,"&lt;="&amp;C$101,$E$31:$E$90,$A$106:$A$111,$B$31:$B$90,"Standard"),N$106:N$111)+SUMPRODUCT(COUNTIFS($A$31:$A$90,"&lt;="&amp;C$101,$E$31:$E$90,$A$116:$A$121,$B$31:$B$90,"Safe*"),N$116:N$121)+IF(C$101&gt;=$B$10,M$126,0)+IF(C$101&gt;=$B$11,M$127,0)</f>
        <v/>
      </c>
      <c r="D170" s="19">
        <f>SUMPRODUCT(COUNTIFS($A$31:$A$90,"&lt;="&amp;D$101,$E$31:$E$90,$A$106:$A$111,$B$31:$B$90,"Standard"),N$106:N$111)+SUMPRODUCT(COUNTIFS($A$31:$A$90,"&lt;="&amp;D$101,$E$31:$E$90,$A$116:$A$121,$B$31:$B$90,"Safe*"),N$116:N$121)+IF(D$101&gt;=$B$10,M$126,0)+IF(D$101&gt;=$B$11,M$127,0)</f>
        <v/>
      </c>
      <c r="E170" s="19">
        <f>SUMPRODUCT(COUNTIFS($A$31:$A$90,"&lt;="&amp;E$101,$E$31:$E$90,$A$106:$A$111,$B$31:$B$90,"Standard"),N$106:N$111)+SUMPRODUCT(COUNTIFS($A$31:$A$90,"&lt;="&amp;E$101,$E$31:$E$90,$A$116:$A$121,$B$31:$B$90,"Safe*"),N$116:N$121)+IF(E$101&gt;=$B$10,M$126,0)+IF(E$101&gt;=$B$11,M$127,0)</f>
        <v/>
      </c>
      <c r="F170" s="19">
        <f>SUMPRODUCT(COUNTIFS($A$31:$A$90,"&lt;="&amp;F$101,$E$31:$E$90,$A$106:$A$111,$B$31:$B$90,"Standard"),N$106:N$111)+SUMPRODUCT(COUNTIFS($A$31:$A$90,"&lt;="&amp;F$101,$E$31:$E$90,$A$116:$A$121,$B$31:$B$90,"Safe*"),N$116:N$121)+IF(F$101&gt;=$B$10,M$126,0)+IF(F$101&gt;=$B$11,M$127,0)</f>
        <v/>
      </c>
    </row>
    <row r="171">
      <c r="A171" s="10" t="inlineStr">
        <is>
          <t>Unlimited Chuck</t>
        </is>
      </c>
      <c r="B171" s="19">
        <f>SUMPRODUCT(COUNTIFS($A$31:$A$90,"&lt;="&amp;B$101,$E$31:$E$90,$A$106:$A$111,$B$31:$B$90,"Standard"),O$106:O$111)+SUMPRODUCT(COUNTIFS($A$31:$A$90,"&lt;="&amp;B$101,$E$31:$E$90,$A$116:$A$121,$B$31:$B$90,"Safe*"),O$116:O$121)+IF(B$101&gt;=$B$10,N$126,0)+IF(B$101&gt;=$B$11,N$127,0)</f>
        <v/>
      </c>
      <c r="C171" s="19">
        <f>SUMPRODUCT(COUNTIFS($A$31:$A$90,"&lt;="&amp;C$101,$E$31:$E$90,$A$106:$A$111,$B$31:$B$90,"Standard"),O$106:O$111)+SUMPRODUCT(COUNTIFS($A$31:$A$90,"&lt;="&amp;C$101,$E$31:$E$90,$A$116:$A$121,$B$31:$B$90,"Safe*"),O$116:O$121)+IF(C$101&gt;=$B$10,N$126,0)+IF(C$101&gt;=$B$11,N$127,0)</f>
        <v/>
      </c>
      <c r="D171" s="19">
        <f>SUMPRODUCT(COUNTIFS($A$31:$A$90,"&lt;="&amp;D$101,$E$31:$E$90,$A$106:$A$111,$B$31:$B$90,"Standard"),O$106:O$111)+SUMPRODUCT(COUNTIFS($A$31:$A$90,"&lt;="&amp;D$101,$E$31:$E$90,$A$116:$A$121,$B$31:$B$90,"Safe*"),O$116:O$121)+IF(D$101&gt;=$B$10,N$126,0)+IF(D$101&gt;=$B$11,N$127,0)</f>
        <v/>
      </c>
      <c r="E171" s="19">
        <f>SUMPRODUCT(COUNTIFS($A$31:$A$90,"&lt;="&amp;E$101,$E$31:$E$90,$A$106:$A$111,$B$31:$B$90,"Standard"),O$106:O$111)+SUMPRODUCT(COUNTIFS($A$31:$A$90,"&lt;="&amp;E$101,$E$31:$E$90,$A$116:$A$121,$B$31:$B$90,"Safe*"),O$116:O$121)+IF(E$101&gt;=$B$10,N$126,0)+IF(E$101&gt;=$B$11,N$127,0)</f>
        <v/>
      </c>
      <c r="F171" s="19">
        <f>SUMPRODUCT(COUNTIFS($A$31:$A$90,"&lt;="&amp;F$101,$E$31:$E$90,$A$106:$A$111,$B$31:$B$90,"Standard"),O$106:O$111)+SUMPRODUCT(COUNTIFS($A$31:$A$90,"&lt;="&amp;F$101,$E$31:$E$90,$A$116:$A$121,$B$31:$B$90,"Safe*"),O$116:O$121)+IF(F$101&gt;=$B$10,N$126,0)+IF(F$101&gt;=$B$11,N$127,0)</f>
        <v/>
      </c>
    </row>
    <row r="172">
      <c r="A172" s="10" t="inlineStr">
        <is>
          <t>Unlimited Bomb</t>
        </is>
      </c>
      <c r="B172" s="19">
        <f>SUMPRODUCT(COUNTIFS($A$31:$A$90,"&lt;="&amp;B$101,$E$31:$E$90,$A$106:$A$111,$B$31:$B$90,"Standard"),P$106:P$111)+SUMPRODUCT(COUNTIFS($A$31:$A$90,"&lt;="&amp;B$101,$E$31:$E$90,$A$116:$A$121,$B$31:$B$90,"Safe*"),P$116:P$121)+IF(B$101&gt;=$B$10,O$126,0)+IF(B$101&gt;=$B$11,O$127,0)</f>
        <v/>
      </c>
      <c r="C172" s="19">
        <f>SUMPRODUCT(COUNTIFS($A$31:$A$90,"&lt;="&amp;C$101,$E$31:$E$90,$A$106:$A$111,$B$31:$B$90,"Standard"),P$106:P$111)+SUMPRODUCT(COUNTIFS($A$31:$A$90,"&lt;="&amp;C$101,$E$31:$E$90,$A$116:$A$121,$B$31:$B$90,"Safe*"),P$116:P$121)+IF(C$101&gt;=$B$10,O$126,0)+IF(C$101&gt;=$B$11,O$127,0)</f>
        <v/>
      </c>
      <c r="D172" s="19">
        <f>SUMPRODUCT(COUNTIFS($A$31:$A$90,"&lt;="&amp;D$101,$E$31:$E$90,$A$106:$A$111,$B$31:$B$90,"Standard"),P$106:P$111)+SUMPRODUCT(COUNTIFS($A$31:$A$90,"&lt;="&amp;D$101,$E$31:$E$90,$A$116:$A$121,$B$31:$B$90,"Safe*"),P$116:P$121)+IF(D$101&gt;=$B$10,O$126,0)+IF(D$101&gt;=$B$11,O$127,0)</f>
        <v/>
      </c>
      <c r="E172" s="19">
        <f>SUMPRODUCT(COUNTIFS($A$31:$A$90,"&lt;="&amp;E$101,$E$31:$E$90,$A$106:$A$111,$B$31:$B$90,"Standard"),P$106:P$111)+SUMPRODUCT(COUNTIFS($A$31:$A$90,"&lt;="&amp;E$101,$E$31:$E$90,$A$116:$A$121,$B$31:$B$90,"Safe*"),P$116:P$121)+IF(E$101&gt;=$B$10,O$126,0)+IF(E$101&gt;=$B$11,O$127,0)</f>
        <v/>
      </c>
      <c r="F172" s="19">
        <f>SUMPRODUCT(COUNTIFS($A$31:$A$90,"&lt;="&amp;F$101,$E$31:$E$90,$A$106:$A$111,$B$31:$B$90,"Standard"),P$106:P$111)+SUMPRODUCT(COUNTIFS($A$31:$A$90,"&lt;="&amp;F$101,$E$31:$E$90,$A$116:$A$121,$B$31:$B$90,"Safe*"),P$116:P$121)+IF(F$101&gt;=$B$10,O$126,0)+IF(F$101&gt;=$B$11,O$127,0)</f>
        <v/>
      </c>
    </row>
    <row r="173">
      <c r="A173" s="10" t="inlineStr">
        <is>
          <t>COOP Token</t>
        </is>
      </c>
      <c r="B173" s="19">
        <f>SUMPRODUCT(COUNTIFS($A$31:$A$90,"&lt;="&amp;B$101,$E$31:$E$90,$A$106:$A$111,$B$31:$B$90,"Standard"),Q$106:Q$111)+SUMPRODUCT(COUNTIFS($A$31:$A$90,"&lt;="&amp;B$101,$E$31:$E$90,$A$116:$A$121,$B$31:$B$90,"Safe*"),Q$116:Q$121)+IF(B$101&gt;=$B$10,P$126,0)+IF(B$101&gt;=$B$11,P$127,0)</f>
        <v/>
      </c>
      <c r="C173" s="19">
        <f>SUMPRODUCT(COUNTIFS($A$31:$A$90,"&lt;="&amp;C$101,$E$31:$E$90,$A$106:$A$111,$B$31:$B$90,"Standard"),Q$106:Q$111)+SUMPRODUCT(COUNTIFS($A$31:$A$90,"&lt;="&amp;C$101,$E$31:$E$90,$A$116:$A$121,$B$31:$B$90,"Safe*"),Q$116:Q$121)+IF(C$101&gt;=$B$10,P$126,0)+IF(C$101&gt;=$B$11,P$127,0)</f>
        <v/>
      </c>
      <c r="D173" s="19">
        <f>SUMPRODUCT(COUNTIFS($A$31:$A$90,"&lt;="&amp;D$101,$E$31:$E$90,$A$106:$A$111,$B$31:$B$90,"Standard"),Q$106:Q$111)+SUMPRODUCT(COUNTIFS($A$31:$A$90,"&lt;="&amp;D$101,$E$31:$E$90,$A$116:$A$121,$B$31:$B$90,"Safe*"),Q$116:Q$121)+IF(D$101&gt;=$B$10,P$126,0)+IF(D$101&gt;=$B$11,P$127,0)</f>
        <v/>
      </c>
      <c r="E173" s="19">
        <f>SUMPRODUCT(COUNTIFS($A$31:$A$90,"&lt;="&amp;E$101,$E$31:$E$90,$A$106:$A$111,$B$31:$B$90,"Standard"),Q$106:Q$111)+SUMPRODUCT(COUNTIFS($A$31:$A$90,"&lt;="&amp;E$101,$E$31:$E$90,$A$116:$A$121,$B$31:$B$90,"Safe*"),Q$116:Q$121)+IF(E$101&gt;=$B$10,P$126,0)+IF(E$101&gt;=$B$11,P$127,0)</f>
        <v/>
      </c>
      <c r="F173" s="19">
        <f>SUMPRODUCT(COUNTIFS($A$31:$A$90,"&lt;="&amp;F$101,$E$31:$E$90,$A$106:$A$111,$B$31:$B$90,"Standard"),Q$106:Q$111)+SUMPRODUCT(COUNTIFS($A$31:$A$90,"&lt;="&amp;F$101,$E$31:$E$90,$A$116:$A$121,$B$31:$B$90,"Safe*"),Q$116:Q$121)+IF(F$101&gt;=$B$10,P$126,0)+IF(F$101&gt;=$B$11,P$127,0)</f>
        <v/>
      </c>
    </row>
    <row r="174">
      <c r="A174" s="10" t="inlineStr">
        <is>
          <t>Avatar</t>
        </is>
      </c>
      <c r="B174" s="19">
        <f>SUMPRODUCT(COUNTIFS($A$31:$A$90,"&lt;="&amp;B$101,$E$31:$E$90,$A$106:$A$111,$B$31:$B$90,"Standard"),R$106:R$111)+SUMPRODUCT(COUNTIFS($A$31:$A$90,"&lt;="&amp;B$101,$E$31:$E$90,$A$116:$A$121,$B$31:$B$90,"Safe*"),R$116:R$121)+IF(B$101&gt;=$B$10,Q$126,0)+IF(B$101&gt;=$B$11,Q$127,0)</f>
        <v/>
      </c>
      <c r="C174" s="19">
        <f>SUMPRODUCT(COUNTIFS($A$31:$A$90,"&lt;="&amp;C$101,$E$31:$E$90,$A$106:$A$111,$B$31:$B$90,"Standard"),R$106:R$111)+SUMPRODUCT(COUNTIFS($A$31:$A$90,"&lt;="&amp;C$101,$E$31:$E$90,$A$116:$A$121,$B$31:$B$90,"Safe*"),R$116:R$121)+IF(C$101&gt;=$B$10,Q$126,0)+IF(C$101&gt;=$B$11,Q$127,0)</f>
        <v/>
      </c>
      <c r="D174" s="19">
        <f>SUMPRODUCT(COUNTIFS($A$31:$A$90,"&lt;="&amp;D$101,$E$31:$E$90,$A$106:$A$111,$B$31:$B$90,"Standard"),R$106:R$111)+SUMPRODUCT(COUNTIFS($A$31:$A$90,"&lt;="&amp;D$101,$E$31:$E$90,$A$116:$A$121,$B$31:$B$90,"Safe*"),R$116:R$121)+IF(D$101&gt;=$B$10,Q$126,0)+IF(D$101&gt;=$B$11,Q$127,0)</f>
        <v/>
      </c>
      <c r="E174" s="19">
        <f>SUMPRODUCT(COUNTIFS($A$31:$A$90,"&lt;="&amp;E$101,$E$31:$E$90,$A$106:$A$111,$B$31:$B$90,"Standard"),R$106:R$111)+SUMPRODUCT(COUNTIFS($A$31:$A$90,"&lt;="&amp;E$101,$E$31:$E$90,$A$116:$A$121,$B$31:$B$90,"Safe*"),R$116:R$121)+IF(E$101&gt;=$B$10,Q$126,0)+IF(E$101&gt;=$B$11,Q$127,0)</f>
        <v/>
      </c>
      <c r="F174" s="19">
        <f>SUMPRODUCT(COUNTIFS($A$31:$A$90,"&lt;="&amp;F$101,$E$31:$E$90,$A$106:$A$111,$B$31:$B$90,"Standard"),R$106:R$111)+SUMPRODUCT(COUNTIFS($A$31:$A$90,"&lt;="&amp;F$101,$E$31:$E$90,$A$116:$A$121,$B$31:$B$90,"Safe*"),R$116:R$121)+IF(F$101&gt;=$B$10,Q$126,0)+IF(F$101&gt;=$B$11,Q$127,0)</f>
        <v/>
      </c>
    </row>
    <row r="175">
      <c r="A175" s="10" t="inlineStr">
        <is>
          <t>1-star Dly</t>
        </is>
      </c>
      <c r="B175" s="19">
        <f>SUMPRODUCT(COUNTIFS($A$31:$A$90,"&lt;="&amp;B$101,$E$31:$E$90,$A$106:$A$111,$B$31:$B$90,"Standard"),S$106:S$111)+SUMPRODUCT(COUNTIFS($A$31:$A$90,"&lt;="&amp;B$101,$E$31:$E$90,$A$116:$A$121,$B$31:$B$90,"Safe*"),S$116:S$121)+IF(B$101&gt;=$B$10,R$126,0)+IF(B$101&gt;=$B$11,R$127,0)</f>
        <v/>
      </c>
      <c r="C175" s="19">
        <f>SUMPRODUCT(COUNTIFS($A$31:$A$90,"&lt;="&amp;C$101,$E$31:$E$90,$A$106:$A$111,$B$31:$B$90,"Standard"),S$106:S$111)+SUMPRODUCT(COUNTIFS($A$31:$A$90,"&lt;="&amp;C$101,$E$31:$E$90,$A$116:$A$121,$B$31:$B$90,"Safe*"),S$116:S$121)+IF(C$101&gt;=$B$10,R$126,0)+IF(C$101&gt;=$B$11,R$127,0)</f>
        <v/>
      </c>
      <c r="D175" s="19">
        <f>SUMPRODUCT(COUNTIFS($A$31:$A$90,"&lt;="&amp;D$101,$E$31:$E$90,$A$106:$A$111,$B$31:$B$90,"Standard"),S$106:S$111)+SUMPRODUCT(COUNTIFS($A$31:$A$90,"&lt;="&amp;D$101,$E$31:$E$90,$A$116:$A$121,$B$31:$B$90,"Safe*"),S$116:S$121)+IF(D$101&gt;=$B$10,R$126,0)+IF(D$101&gt;=$B$11,R$127,0)</f>
        <v/>
      </c>
      <c r="E175" s="19">
        <f>SUMPRODUCT(COUNTIFS($A$31:$A$90,"&lt;="&amp;E$101,$E$31:$E$90,$A$106:$A$111,$B$31:$B$90,"Standard"),S$106:S$111)+SUMPRODUCT(COUNTIFS($A$31:$A$90,"&lt;="&amp;E$101,$E$31:$E$90,$A$116:$A$121,$B$31:$B$90,"Safe*"),S$116:S$121)+IF(E$101&gt;=$B$10,R$126,0)+IF(E$101&gt;=$B$11,R$127,0)</f>
        <v/>
      </c>
      <c r="F175" s="19">
        <f>SUMPRODUCT(COUNTIFS($A$31:$A$90,"&lt;="&amp;F$101,$E$31:$E$90,$A$106:$A$111,$B$31:$B$90,"Standard"),S$106:S$111)+SUMPRODUCT(COUNTIFS($A$31:$A$90,"&lt;="&amp;F$101,$E$31:$E$90,$A$116:$A$121,$B$31:$B$90,"Safe*"),S$116:S$121)+IF(F$101&gt;=$B$10,R$126,0)+IF(F$101&gt;=$B$11,R$127,0)</f>
        <v/>
      </c>
    </row>
    <row r="176">
      <c r="A176" s="10" t="inlineStr">
        <is>
          <t>2-star Dly</t>
        </is>
      </c>
      <c r="B176" s="19">
        <f>SUMPRODUCT(COUNTIFS($A$31:$A$90,"&lt;="&amp;B$101,$E$31:$E$90,$A$106:$A$111,$B$31:$B$90,"Standard"),T$106:T$111)+SUMPRODUCT(COUNTIFS($A$31:$A$90,"&lt;="&amp;B$101,$E$31:$E$90,$A$116:$A$121,$B$31:$B$90,"Safe*"),T$116:T$121)+IF(B$101&gt;=$B$10,S$126,0)+IF(B$101&gt;=$B$11,S$127,0)</f>
        <v/>
      </c>
      <c r="C176" s="19">
        <f>SUMPRODUCT(COUNTIFS($A$31:$A$90,"&lt;="&amp;C$101,$E$31:$E$90,$A$106:$A$111,$B$31:$B$90,"Standard"),T$106:T$111)+SUMPRODUCT(COUNTIFS($A$31:$A$90,"&lt;="&amp;C$101,$E$31:$E$90,$A$116:$A$121,$B$31:$B$90,"Safe*"),T$116:T$121)+IF(C$101&gt;=$B$10,S$126,0)+IF(C$101&gt;=$B$11,S$127,0)</f>
        <v/>
      </c>
      <c r="D176" s="19">
        <f>SUMPRODUCT(COUNTIFS($A$31:$A$90,"&lt;="&amp;D$101,$E$31:$E$90,$A$106:$A$111,$B$31:$B$90,"Standard"),T$106:T$111)+SUMPRODUCT(COUNTIFS($A$31:$A$90,"&lt;="&amp;D$101,$E$31:$E$90,$A$116:$A$121,$B$31:$B$90,"Safe*"),T$116:T$121)+IF(D$101&gt;=$B$10,S$126,0)+IF(D$101&gt;=$B$11,S$127,0)</f>
        <v/>
      </c>
      <c r="E176" s="19">
        <f>SUMPRODUCT(COUNTIFS($A$31:$A$90,"&lt;="&amp;E$101,$E$31:$E$90,$A$106:$A$111,$B$31:$B$90,"Standard"),T$106:T$111)+SUMPRODUCT(COUNTIFS($A$31:$A$90,"&lt;="&amp;E$101,$E$31:$E$90,$A$116:$A$121,$B$31:$B$90,"Safe*"),T$116:T$121)+IF(E$101&gt;=$B$10,S$126,0)+IF(E$101&gt;=$B$11,S$127,0)</f>
        <v/>
      </c>
      <c r="F176" s="19">
        <f>SUMPRODUCT(COUNTIFS($A$31:$A$90,"&lt;="&amp;F$101,$E$31:$E$90,$A$106:$A$111,$B$31:$B$90,"Standard"),T$106:T$111)+SUMPRODUCT(COUNTIFS($A$31:$A$90,"&lt;="&amp;F$101,$E$31:$E$90,$A$116:$A$121,$B$31:$B$90,"Safe*"),T$116:T$121)+IF(F$101&gt;=$B$10,S$126,0)+IF(F$101&gt;=$B$11,S$127,0)</f>
        <v/>
      </c>
    </row>
    <row r="177">
      <c r="A177" s="10" t="inlineStr">
        <is>
          <t>3-star Dly</t>
        </is>
      </c>
      <c r="B177" s="19">
        <f>SUMPRODUCT(COUNTIFS($A$31:$A$90,"&lt;="&amp;B$101,$E$31:$E$90,$A$106:$A$111,$B$31:$B$90,"Standard"),U$106:U$111)+SUMPRODUCT(COUNTIFS($A$31:$A$90,"&lt;="&amp;B$101,$E$31:$E$90,$A$116:$A$121,$B$31:$B$90,"Safe*"),U$116:U$121)+IF(B$101&gt;=$B$10,T$126,0)+IF(B$101&gt;=$B$11,T$127,0)</f>
        <v/>
      </c>
      <c r="C177" s="19">
        <f>SUMPRODUCT(COUNTIFS($A$31:$A$90,"&lt;="&amp;C$101,$E$31:$E$90,$A$106:$A$111,$B$31:$B$90,"Standard"),U$106:U$111)+SUMPRODUCT(COUNTIFS($A$31:$A$90,"&lt;="&amp;C$101,$E$31:$E$90,$A$116:$A$121,$B$31:$B$90,"Safe*"),U$116:U$121)+IF(C$101&gt;=$B$10,T$126,0)+IF(C$101&gt;=$B$11,T$127,0)</f>
        <v/>
      </c>
      <c r="D177" s="19">
        <f>SUMPRODUCT(COUNTIFS($A$31:$A$90,"&lt;="&amp;D$101,$E$31:$E$90,$A$106:$A$111,$B$31:$B$90,"Standard"),U$106:U$111)+SUMPRODUCT(COUNTIFS($A$31:$A$90,"&lt;="&amp;D$101,$E$31:$E$90,$A$116:$A$121,$B$31:$B$90,"Safe*"),U$116:U$121)+IF(D$101&gt;=$B$10,T$126,0)+IF(D$101&gt;=$B$11,T$127,0)</f>
        <v/>
      </c>
      <c r="E177" s="19">
        <f>SUMPRODUCT(COUNTIFS($A$31:$A$90,"&lt;="&amp;E$101,$E$31:$E$90,$A$106:$A$111,$B$31:$B$90,"Standard"),U$106:U$111)+SUMPRODUCT(COUNTIFS($A$31:$A$90,"&lt;="&amp;E$101,$E$31:$E$90,$A$116:$A$121,$B$31:$B$90,"Safe*"),U$116:U$121)+IF(E$101&gt;=$B$10,T$126,0)+IF(E$101&gt;=$B$11,T$127,0)</f>
        <v/>
      </c>
      <c r="F177" s="19">
        <f>SUMPRODUCT(COUNTIFS($A$31:$A$90,"&lt;="&amp;F$101,$E$31:$E$90,$A$106:$A$111,$B$31:$B$90,"Standard"),U$106:U$111)+SUMPRODUCT(COUNTIFS($A$31:$A$90,"&lt;="&amp;F$101,$E$31:$E$90,$A$116:$A$121,$B$31:$B$90,"Safe*"),U$116:U$121)+IF(F$101&gt;=$B$10,T$126,0)+IF(F$101&gt;=$B$11,T$127,0)</f>
        <v/>
      </c>
    </row>
    <row r="178">
      <c r="A178" s="10" t="inlineStr">
        <is>
          <t>4-star Dly</t>
        </is>
      </c>
      <c r="B178" s="19">
        <f>SUMPRODUCT(COUNTIFS($A$31:$A$90,"&lt;="&amp;B$101,$E$31:$E$90,$A$106:$A$111,$B$31:$B$90,"Standard"),V$106:V$111)+SUMPRODUCT(COUNTIFS($A$31:$A$90,"&lt;="&amp;B$101,$E$31:$E$90,$A$116:$A$121,$B$31:$B$90,"Safe*"),V$116:V$121)+IF(B$101&gt;=$B$10,U$126,0)+IF(B$101&gt;=$B$11,U$127,0)</f>
        <v/>
      </c>
      <c r="C178" s="19">
        <f>SUMPRODUCT(COUNTIFS($A$31:$A$90,"&lt;="&amp;C$101,$E$31:$E$90,$A$106:$A$111,$B$31:$B$90,"Standard"),V$106:V$111)+SUMPRODUCT(COUNTIFS($A$31:$A$90,"&lt;="&amp;C$101,$E$31:$E$90,$A$116:$A$121,$B$31:$B$90,"Safe*"),V$116:V$121)+IF(C$101&gt;=$B$10,U$126,0)+IF(C$101&gt;=$B$11,U$127,0)</f>
        <v/>
      </c>
      <c r="D178" s="19">
        <f>SUMPRODUCT(COUNTIFS($A$31:$A$90,"&lt;="&amp;D$101,$E$31:$E$90,$A$106:$A$111,$B$31:$B$90,"Standard"),V$106:V$111)+SUMPRODUCT(COUNTIFS($A$31:$A$90,"&lt;="&amp;D$101,$E$31:$E$90,$A$116:$A$121,$B$31:$B$90,"Safe*"),V$116:V$121)+IF(D$101&gt;=$B$10,U$126,0)+IF(D$101&gt;=$B$11,U$127,0)</f>
        <v/>
      </c>
      <c r="E178" s="19">
        <f>SUMPRODUCT(COUNTIFS($A$31:$A$90,"&lt;="&amp;E$101,$E$31:$E$90,$A$106:$A$111,$B$31:$B$90,"Standard"),V$106:V$111)+SUMPRODUCT(COUNTIFS($A$31:$A$90,"&lt;="&amp;E$101,$E$31:$E$90,$A$116:$A$121,$B$31:$B$90,"Safe*"),V$116:V$121)+IF(E$101&gt;=$B$10,U$126,0)+IF(E$101&gt;=$B$11,U$127,0)</f>
        <v/>
      </c>
      <c r="F178" s="19">
        <f>SUMPRODUCT(COUNTIFS($A$31:$A$90,"&lt;="&amp;F$101,$E$31:$E$90,$A$106:$A$111,$B$31:$B$90,"Standard"),V$106:V$111)+SUMPRODUCT(COUNTIFS($A$31:$A$90,"&lt;="&amp;F$101,$E$31:$E$90,$A$116:$A$121,$B$31:$B$90,"Safe*"),V$116:V$121)+IF(F$101&gt;=$B$10,U$126,0)+IF(F$101&gt;=$B$11,U$127,0)</f>
        <v/>
      </c>
    </row>
    <row r="179">
      <c r="A179" s="10" t="inlineStr">
        <is>
          <t>5-star Dly</t>
        </is>
      </c>
      <c r="B179" s="19">
        <f>SUMPRODUCT(COUNTIFS($A$31:$A$90,"&lt;="&amp;B$101,$E$31:$E$90,$A$106:$A$111,$B$31:$B$90,"Standard"),W$106:W$111)+SUMPRODUCT(COUNTIFS($A$31:$A$90,"&lt;="&amp;B$101,$E$31:$E$90,$A$116:$A$121,$B$31:$B$90,"Safe*"),W$116:W$121)+IF(B$101&gt;=$B$10,V$126,0)+IF(B$101&gt;=$B$11,V$127,0)</f>
        <v/>
      </c>
      <c r="C179" s="19">
        <f>SUMPRODUCT(COUNTIFS($A$31:$A$90,"&lt;="&amp;C$101,$E$31:$E$90,$A$106:$A$111,$B$31:$B$90,"Standard"),W$106:W$111)+SUMPRODUCT(COUNTIFS($A$31:$A$90,"&lt;="&amp;C$101,$E$31:$E$90,$A$116:$A$121,$B$31:$B$90,"Safe*"),W$116:W$121)+IF(C$101&gt;=$B$10,V$126,0)+IF(C$101&gt;=$B$11,V$127,0)</f>
        <v/>
      </c>
      <c r="D179" s="19">
        <f>SUMPRODUCT(COUNTIFS($A$31:$A$90,"&lt;="&amp;D$101,$E$31:$E$90,$A$106:$A$111,$B$31:$B$90,"Standard"),W$106:W$111)+SUMPRODUCT(COUNTIFS($A$31:$A$90,"&lt;="&amp;D$101,$E$31:$E$90,$A$116:$A$121,$B$31:$B$90,"Safe*"),W$116:W$121)+IF(D$101&gt;=$B$10,V$126,0)+IF(D$101&gt;=$B$11,V$127,0)</f>
        <v/>
      </c>
      <c r="E179" s="19">
        <f>SUMPRODUCT(COUNTIFS($A$31:$A$90,"&lt;="&amp;E$101,$E$31:$E$90,$A$106:$A$111,$B$31:$B$90,"Standard"),W$106:W$111)+SUMPRODUCT(COUNTIFS($A$31:$A$90,"&lt;="&amp;E$101,$E$31:$E$90,$A$116:$A$121,$B$31:$B$90,"Safe*"),W$116:W$121)+IF(E$101&gt;=$B$10,V$126,0)+IF(E$101&gt;=$B$11,V$127,0)</f>
        <v/>
      </c>
      <c r="F179" s="19">
        <f>SUMPRODUCT(COUNTIFS($A$31:$A$90,"&lt;="&amp;F$101,$E$31:$E$90,$A$106:$A$111,$B$31:$B$90,"Standard"),W$106:W$111)+SUMPRODUCT(COUNTIFS($A$31:$A$90,"&lt;="&amp;F$101,$E$31:$E$90,$A$116:$A$121,$B$31:$B$90,"Safe*"),W$116:W$121)+IF(F$101&gt;=$B$10,V$126,0)+IF(F$101&gt;=$B$11,V$127,0)</f>
        <v/>
      </c>
    </row>
    <row r="180">
      <c r="A180" s="10" t="inlineStr">
        <is>
          <t>6-star Dly</t>
        </is>
      </c>
      <c r="B180" s="19">
        <f>SUMPRODUCT(COUNTIFS($A$31:$A$90,"&lt;="&amp;B$101,$E$31:$E$90,$A$106:$A$111,$B$31:$B$90,"Standard"),X$106:X$111)+SUMPRODUCT(COUNTIFS($A$31:$A$90,"&lt;="&amp;B$101,$E$31:$E$90,$A$116:$A$121,$B$31:$B$90,"Safe*"),X$116:X$121)+IF(B$101&gt;=$B$10,W$126,0)+IF(B$101&gt;=$B$11,W$127,0)</f>
        <v/>
      </c>
      <c r="C180" s="19">
        <f>SUMPRODUCT(COUNTIFS($A$31:$A$90,"&lt;="&amp;C$101,$E$31:$E$90,$A$106:$A$111,$B$31:$B$90,"Standard"),X$106:X$111)+SUMPRODUCT(COUNTIFS($A$31:$A$90,"&lt;="&amp;C$101,$E$31:$E$90,$A$116:$A$121,$B$31:$B$90,"Safe*"),X$116:X$121)+IF(C$101&gt;=$B$10,W$126,0)+IF(C$101&gt;=$B$11,W$127,0)</f>
        <v/>
      </c>
      <c r="D180" s="19">
        <f>SUMPRODUCT(COUNTIFS($A$31:$A$90,"&lt;="&amp;D$101,$E$31:$E$90,$A$106:$A$111,$B$31:$B$90,"Standard"),X$106:X$111)+SUMPRODUCT(COUNTIFS($A$31:$A$90,"&lt;="&amp;D$101,$E$31:$E$90,$A$116:$A$121,$B$31:$B$90,"Safe*"),X$116:X$121)+IF(D$101&gt;=$B$10,W$126,0)+IF(D$101&gt;=$B$11,W$127,0)</f>
        <v/>
      </c>
      <c r="E180" s="19">
        <f>SUMPRODUCT(COUNTIFS($A$31:$A$90,"&lt;="&amp;E$101,$E$31:$E$90,$A$106:$A$111,$B$31:$B$90,"Standard"),X$106:X$111)+SUMPRODUCT(COUNTIFS($A$31:$A$90,"&lt;="&amp;E$101,$E$31:$E$90,$A$116:$A$121,$B$31:$B$90,"Safe*"),X$116:X$121)+IF(E$101&gt;=$B$10,W$126,0)+IF(E$101&gt;=$B$11,W$127,0)</f>
        <v/>
      </c>
      <c r="F180" s="19">
        <f>SUMPRODUCT(COUNTIFS($A$31:$A$90,"&lt;="&amp;F$101,$E$31:$E$90,$A$106:$A$111,$B$31:$B$90,"Standard"),X$106:X$111)+SUMPRODUCT(COUNTIFS($A$31:$A$90,"&lt;="&amp;F$101,$E$31:$E$90,$A$116:$A$121,$B$31:$B$90,"Safe*"),X$116:X$121)+IF(F$101&gt;=$B$10,W$126,0)+IF(F$101&gt;=$B$11,W$127,0)</f>
        <v/>
      </c>
    </row>
  </sheetData>
  <conditionalFormatting sqref="A31:AA90">
    <cfRule type="expression" priority="1" dxfId="0">
      <formula>$D31=0</formula>
    </cfRule>
  </conditionalFormatting>
  <conditionalFormatting sqref="D106:X111">
    <cfRule type="cellIs" priority="2" operator="greaterThan" dxfId="1">
      <formula>0</formula>
    </cfRule>
  </conditionalFormatting>
  <conditionalFormatting sqref="D116:X121">
    <cfRule type="cellIs" priority="3" operator="greaterThan" dxfId="1">
      <formula>0</formula>
    </cfRule>
  </conditionalFormatting>
  <conditionalFormatting sqref="C126:W127">
    <cfRule type="cellIs" priority="4" operator="greaterThan" dxfId="1">
      <formula>0</formula>
    </cfRule>
  </conditionalFormatting>
  <conditionalFormatting sqref="B132:B141">
    <cfRule type="cellIs" priority="5" operator="greaterThan" dxfId="2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2026-09-01T22:21:41Z</dcterms:created>
  <dcterms:modified xsi:type="dcterms:W3CDTF">2026-09-01T22:21:41Z</dcterms:modified>
</cp:coreProperties>
</file>