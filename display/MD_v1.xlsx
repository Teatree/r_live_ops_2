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%"/>
    <numFmt numFmtId="166" formatCode="0.00000%"/>
    <numFmt numFmtId="167" formatCode="0.0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666666"/>
      <sz val="9"/>
    </font>
    <font>
      <name val="Arial"/>
      <b val="1"/>
      <color rgb="FFFFFFFF"/>
      <sz val="11"/>
    </font>
    <font>
      <name val="Arial"/>
      <b val="1"/>
      <sz val="10"/>
    </font>
    <font>
      <name val="Arial"/>
      <sz val="10"/>
    </font>
    <font>
      <name val="Arial"/>
      <color rgb="FF666666"/>
      <sz val="9"/>
    </font>
    <font>
      <name val="Arial"/>
      <b val="1"/>
      <sz val="9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CFE2F3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5" fillId="5" borderId="1" pivotButton="0" quotePrefix="0" xfId="0"/>
    <xf numFmtId="0" fontId="5" fillId="5" borderId="1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4" borderId="1" pivotButton="0" quotePrefix="0" xfId="0"/>
    <xf numFmtId="0" fontId="6" fillId="0" borderId="0" pivotButton="0" quotePrefix="0" xfId="0"/>
    <xf numFmtId="0" fontId="5" fillId="6" borderId="1" pivotButton="0" quotePrefix="0" xfId="0"/>
    <xf numFmtId="164" fontId="5" fillId="5" borderId="1" pivotButton="0" quotePrefix="0" xfId="0"/>
    <xf numFmtId="164" fontId="5" fillId="6" borderId="1" pivotButton="0" quotePrefix="0" xfId="0"/>
    <xf numFmtId="0" fontId="7" fillId="3" borderId="1" applyAlignment="1" pivotButton="0" quotePrefix="0" xfId="0">
      <alignment horizontal="center" vertical="center" wrapText="1"/>
    </xf>
    <xf numFmtId="165" fontId="5" fillId="6" borderId="1" pivotButton="0" quotePrefix="0" xfId="0"/>
    <xf numFmtId="166" fontId="5" fillId="6" borderId="1" pivotButton="0" quotePrefix="0" xfId="0"/>
    <xf numFmtId="2" fontId="5" fillId="6" borderId="1" pivotButton="0" quotePrefix="0" xfId="0"/>
    <xf numFmtId="167" fontId="5" fillId="6" borderId="1" pivotButton="0" quotePrefix="0" xfId="0"/>
    <xf numFmtId="1" fontId="5" fillId="6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FFE8F5E9"/>
        </patternFill>
      </fill>
    </dxf>
    <dxf>
      <font>
        <name val="Arial"/>
        <b val="1"/>
        <sz val="10"/>
      </font>
      <fill>
        <patternFill patternType="solid">
          <fgColor rgb="FFF4CCCC"/>
        </patternFill>
      </fill>
    </dxf>
    <dxf>
      <font>
        <name val="Arial"/>
        <b val="1"/>
        <sz val="10"/>
      </font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2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</cols>
  <sheetData>
    <row r="1">
      <c r="A1" s="1" t="inlineStr">
        <is>
          <t>MIGHTY DOORS (Tower of Fortune) — event configuration</t>
        </is>
      </c>
      <c r="AH1" s="2" t="inlineStr">
        <is>
          <t>Player Reach Simulation (per event day) - SIMULATED</t>
        </is>
      </c>
    </row>
    <row r="2">
      <c r="A2" s="3" t="inlineStr">
        <is>
          <t>Yellow = input you author. Green = derived by formula, do not type over. Blue = fixed by the design deck. Every reward VALUE ships at 0: the deck specifies structure only.</t>
        </is>
      </c>
      <c r="AH2" s="4" t="inlineStr">
        <is>
          <t>Percentile</t>
        </is>
      </c>
      <c r="AI2" s="5" t="n">
        <v>0.5</v>
      </c>
    </row>
    <row r="3">
      <c r="AH3" s="4" t="inlineStr">
        <is>
          <t>Payer</t>
        </is>
      </c>
      <c r="AI3" s="6" t="inlineStr">
        <is>
          <t>NONPAYER</t>
        </is>
      </c>
    </row>
    <row r="4">
      <c r="A4" s="7" t="inlineStr">
        <is>
          <t>RUN CONFIG</t>
        </is>
      </c>
      <c r="B4" s="8" t="n"/>
      <c r="C4" s="8" t="n"/>
      <c r="D4" s="8" t="n"/>
      <c r="AH4" s="3" t="inlineStr">
        <is>
          <t>stage reached at that percentile of the run-outcome distribution; reward = what is banked there</t>
        </is>
      </c>
    </row>
    <row r="5">
      <c r="A5" s="9" t="inlineStr">
        <is>
          <t>Parameter</t>
        </is>
      </c>
      <c r="B5" s="9" t="inlineStr">
        <is>
          <t>Value</t>
        </is>
      </c>
      <c r="C5" s="9" t="inlineStr">
        <is>
          <t>Source</t>
        </is>
      </c>
      <c r="D5" s="9" t="inlineStr">
        <is>
          <t>Note</t>
        </is>
      </c>
      <c r="AH5" s="9" t="inlineStr">
        <is>
          <t>Day_of_event</t>
        </is>
      </c>
      <c r="AI5" s="9" t="inlineStr">
        <is>
          <t>0-9_ms</t>
        </is>
      </c>
      <c r="AJ5" s="9" t="inlineStr">
        <is>
          <t>0-9_reward</t>
        </is>
      </c>
      <c r="AK5" s="9" t="inlineStr">
        <is>
          <t>10-19_ms</t>
        </is>
      </c>
      <c r="AL5" s="9" t="inlineStr">
        <is>
          <t>10-19_reward</t>
        </is>
      </c>
      <c r="AM5" s="9" t="inlineStr">
        <is>
          <t>20-39_ms</t>
        </is>
      </c>
      <c r="AN5" s="9" t="inlineStr">
        <is>
          <t>20-39_reward</t>
        </is>
      </c>
      <c r="AO5" s="9" t="inlineStr">
        <is>
          <t>40-99_ms</t>
        </is>
      </c>
      <c r="AP5" s="9" t="inlineStr">
        <is>
          <t>40-99_reward</t>
        </is>
      </c>
      <c r="AQ5" s="9" t="inlineStr">
        <is>
          <t>100_ms</t>
        </is>
      </c>
      <c r="AR5" s="9" t="inlineStr">
        <is>
          <t>100_reward</t>
        </is>
      </c>
    </row>
    <row r="6">
      <c r="A6" s="10" t="inlineStr">
        <is>
          <t>Total Stages</t>
        </is>
      </c>
      <c r="B6" s="11" t="n">
        <v>60</v>
      </c>
      <c r="C6" s="12" t="inlineStr">
        <is>
          <t>deck p5</t>
        </is>
      </c>
      <c r="D6" s="3" t="inlineStr">
        <is>
          <t>configurable; 60 default</t>
        </is>
      </c>
      <c r="AH6" s="11" t="n">
        <v>1</v>
      </c>
      <c r="AI6" s="13">
        <f>IF(AND($B$16&gt;0,$AH6&gt;$B$16),"",B$165)</f>
        <v/>
      </c>
      <c r="AJ6" s="13">
        <f>IF(AI6="","","{"&amp;TEXTJOIN(", ",TRUE,IF(B$170:B$190&gt;0,$A$170:$A$190&amp;": "&amp;B$170:B$190,""))&amp;"}")</f>
        <v/>
      </c>
      <c r="AK6" s="13">
        <f>IF(AND($B$16&gt;0,$AH6&gt;$B$16),"",C$165)</f>
        <v/>
      </c>
      <c r="AL6" s="13">
        <f>IF(AK6="","","{"&amp;TEXTJOIN(", ",TRUE,IF(C$170:C$190&gt;0,$A$170:$A$190&amp;": "&amp;C$170:C$190,""))&amp;"}")</f>
        <v/>
      </c>
      <c r="AM6" s="13">
        <f>IF(AND($B$16&gt;0,$AH6&gt;$B$16),"",D$165)</f>
        <v/>
      </c>
      <c r="AN6" s="13">
        <f>IF(AM6="","","{"&amp;TEXTJOIN(", ",TRUE,IF(D$170:D$190&gt;0,$A$170:$A$190&amp;": "&amp;D$170:D$190,""))&amp;"}")</f>
        <v/>
      </c>
      <c r="AO6" s="13">
        <f>IF(AND($B$16&gt;0,$AH6&gt;$B$16),"",E$165)</f>
        <v/>
      </c>
      <c r="AP6" s="13">
        <f>IF(AO6="","","{"&amp;TEXTJOIN(", ",TRUE,IF(E$170:E$190&gt;0,$A$170:$A$190&amp;": "&amp;E$170:E$190,""))&amp;"}")</f>
        <v/>
      </c>
      <c r="AQ6" s="13">
        <f>IF(AND($B$16&gt;0,$AH6&gt;$B$16),"",F$165)</f>
        <v/>
      </c>
      <c r="AR6" s="13">
        <f>IF(AQ6="","","{"&amp;TEXTJOIN(", ",TRUE,IF(F$170:F$190&gt;0,$A$170:$A$190&amp;": "&amp;F$170:F$190,""))&amp;"}")</f>
        <v/>
      </c>
    </row>
    <row r="7">
      <c r="A7" s="10" t="inlineStr">
        <is>
          <t>Choices per Stage (default)</t>
        </is>
      </c>
      <c r="B7" s="6" t="n">
        <v>4</v>
      </c>
      <c r="C7" s="12" t="inlineStr">
        <is>
          <t>deck p5</t>
        </is>
      </c>
      <c r="D7" s="3" t="inlineStr">
        <is>
          <t>min 2, max 4 — the primary difficulty dial</t>
        </is>
      </c>
      <c r="AH7" s="11" t="n">
        <v>2</v>
      </c>
      <c r="AI7" s="13">
        <f>IF(AND($B$16&gt;0,$AH7&gt;$B$16),"",B$165)</f>
        <v/>
      </c>
      <c r="AJ7" s="13">
        <f>IF(AI7="","","{"&amp;TEXTJOIN(", ",TRUE,IF(B$170:B$190&gt;0,$A$170:$A$190&amp;": "&amp;B$170:B$190,""))&amp;"}")</f>
        <v/>
      </c>
      <c r="AK7" s="13">
        <f>IF(AND($B$16&gt;0,$AH7&gt;$B$16),"",C$165)</f>
        <v/>
      </c>
      <c r="AL7" s="13">
        <f>IF(AK7="","","{"&amp;TEXTJOIN(", ",TRUE,IF(C$170:C$190&gt;0,$A$170:$A$190&amp;": "&amp;C$170:C$190,""))&amp;"}")</f>
        <v/>
      </c>
      <c r="AM7" s="13">
        <f>IF(AND($B$16&gt;0,$AH7&gt;$B$16),"",D$165)</f>
        <v/>
      </c>
      <c r="AN7" s="13">
        <f>IF(AM7="","","{"&amp;TEXTJOIN(", ",TRUE,IF(D$170:D$190&gt;0,$A$170:$A$190&amp;": "&amp;D$170:D$190,""))&amp;"}")</f>
        <v/>
      </c>
      <c r="AO7" s="13">
        <f>IF(AND($B$16&gt;0,$AH7&gt;$B$16),"",E$165)</f>
        <v/>
      </c>
      <c r="AP7" s="13">
        <f>IF(AO7="","","{"&amp;TEXTJOIN(", ",TRUE,IF(E$170:E$190&gt;0,$A$170:$A$190&amp;": "&amp;E$170:E$190,""))&amp;"}")</f>
        <v/>
      </c>
      <c r="AQ7" s="13">
        <f>IF(AND($B$16&gt;0,$AH7&gt;$B$16),"",F$165)</f>
        <v/>
      </c>
      <c r="AR7" s="13">
        <f>IF(AQ7="","","{"&amp;TEXTJOIN(", ",TRUE,IF(F$170:F$190&gt;0,$A$170:$A$190&amp;": "&amp;F$170:F$190,""))&amp;"}")</f>
        <v/>
      </c>
    </row>
    <row r="8">
      <c r="A8" s="10" t="inlineStr">
        <is>
          <t>Failure Outcomes per Stage</t>
        </is>
      </c>
      <c r="B8" s="11" t="n">
        <v>1</v>
      </c>
      <c r="C8" s="12" t="inlineStr">
        <is>
          <t>deck p5</t>
        </is>
      </c>
      <c r="D8" s="3" t="inlineStr">
        <is>
          <t>HARD RULE: only one Pig can ever appear per stage</t>
        </is>
      </c>
      <c r="AH8" s="11" t="n">
        <v>3</v>
      </c>
      <c r="AI8" s="13">
        <f>IF(AND($B$16&gt;0,$AH8&gt;$B$16),"",B$165)</f>
        <v/>
      </c>
      <c r="AJ8" s="13">
        <f>IF(AI8="","","{"&amp;TEXTJOIN(", ",TRUE,IF(B$170:B$190&gt;0,$A$170:$A$190&amp;": "&amp;B$170:B$190,""))&amp;"}")</f>
        <v/>
      </c>
      <c r="AK8" s="13">
        <f>IF(AND($B$16&gt;0,$AH8&gt;$B$16),"",C$165)</f>
        <v/>
      </c>
      <c r="AL8" s="13">
        <f>IF(AK8="","","{"&amp;TEXTJOIN(", ",TRUE,IF(C$170:C$190&gt;0,$A$170:$A$190&amp;": "&amp;C$170:C$190,""))&amp;"}")</f>
        <v/>
      </c>
      <c r="AM8" s="13">
        <f>IF(AND($B$16&gt;0,$AH8&gt;$B$16),"",D$165)</f>
        <v/>
      </c>
      <c r="AN8" s="13">
        <f>IF(AM8="","","{"&amp;TEXTJOIN(", ",TRUE,IF(D$170:D$190&gt;0,$A$170:$A$190&amp;": "&amp;D$170:D$190,""))&amp;"}")</f>
        <v/>
      </c>
      <c r="AO8" s="13">
        <f>IF(AND($B$16&gt;0,$AH8&gt;$B$16),"",E$165)</f>
        <v/>
      </c>
      <c r="AP8" s="13">
        <f>IF(AO8="","","{"&amp;TEXTJOIN(", ",TRUE,IF(E$170:E$190&gt;0,$A$170:$A$190&amp;": "&amp;E$170:E$190,""))&amp;"}")</f>
        <v/>
      </c>
      <c r="AQ8" s="13">
        <f>IF(AND($B$16&gt;0,$AH8&gt;$B$16),"",F$165)</f>
        <v/>
      </c>
      <c r="AR8" s="13">
        <f>IF(AQ8="","","{"&amp;TEXTJOIN(", ",TRUE,IF(F$170:F$190&gt;0,$A$170:$A$190&amp;": "&amp;F$170:F$190,""))&amp;"}")</f>
        <v/>
      </c>
    </row>
    <row r="9">
      <c r="A9" s="10" t="inlineStr">
        <is>
          <t>Safe Stage Every N Stages</t>
        </is>
      </c>
      <c r="B9" s="6" t="n">
        <v>5</v>
      </c>
      <c r="C9" s="12" t="inlineStr">
        <is>
          <t>deck p6</t>
        </is>
      </c>
      <c r="D9" s="3" t="inlineStr">
        <is>
          <t>stages 5,10,15,... carry no Pig</t>
        </is>
      </c>
      <c r="AH9" s="11" t="n">
        <v>4</v>
      </c>
      <c r="AI9" s="13">
        <f>IF(AND($B$16&gt;0,$AH9&gt;$B$16),"",B$165)</f>
        <v/>
      </c>
      <c r="AJ9" s="13">
        <f>IF(AI9="","","{"&amp;TEXTJOIN(", ",TRUE,IF(B$170:B$190&gt;0,$A$170:$A$190&amp;": "&amp;B$170:B$190,""))&amp;"}")</f>
        <v/>
      </c>
      <c r="AK9" s="13">
        <f>IF(AND($B$16&gt;0,$AH9&gt;$B$16),"",C$165)</f>
        <v/>
      </c>
      <c r="AL9" s="13">
        <f>IF(AK9="","","{"&amp;TEXTJOIN(", ",TRUE,IF(C$170:C$190&gt;0,$A$170:$A$190&amp;": "&amp;C$170:C$190,""))&amp;"}")</f>
        <v/>
      </c>
      <c r="AM9" s="13">
        <f>IF(AND($B$16&gt;0,$AH9&gt;$B$16),"",D$165)</f>
        <v/>
      </c>
      <c r="AN9" s="13">
        <f>IF(AM9="","","{"&amp;TEXTJOIN(", ",TRUE,IF(D$170:D$190&gt;0,$A$170:$A$190&amp;": "&amp;D$170:D$190,""))&amp;"}")</f>
        <v/>
      </c>
      <c r="AO9" s="13">
        <f>IF(AND($B$16&gt;0,$AH9&gt;$B$16),"",E$165)</f>
        <v/>
      </c>
      <c r="AP9" s="13">
        <f>IF(AO9="","","{"&amp;TEXTJOIN(", ",TRUE,IF(E$170:E$190&gt;0,$A$170:$A$190&amp;": "&amp;E$170:E$190,""))&amp;"}")</f>
        <v/>
      </c>
      <c r="AQ9" s="13">
        <f>IF(AND($B$16&gt;0,$AH9&gt;$B$16),"",F$165)</f>
        <v/>
      </c>
      <c r="AR9" s="13">
        <f>IF(AQ9="","","{"&amp;TEXTJOIN(", ",TRUE,IF(F$170:F$190&gt;0,$A$170:$A$190&amp;": "&amp;F$170:F$190,""))&amp;"}")</f>
        <v/>
      </c>
    </row>
    <row r="10">
      <c r="A10" s="10" t="inlineStr">
        <is>
          <t>Major Milestone Stage</t>
        </is>
      </c>
      <c r="B10" s="6" t="n">
        <v>30</v>
      </c>
      <c r="C10" s="12" t="inlineStr">
        <is>
          <t>deck p6</t>
        </is>
      </c>
      <c r="D10" s="3" t="inlineStr">
        <is>
          <t>safe, Special rewards</t>
        </is>
      </c>
      <c r="AH10" s="11" t="n">
        <v>5</v>
      </c>
      <c r="AI10" s="13">
        <f>IF(AND($B$16&gt;0,$AH10&gt;$B$16),"",B$165)</f>
        <v/>
      </c>
      <c r="AJ10" s="13">
        <f>IF(AI10="","","{"&amp;TEXTJOIN(", ",TRUE,IF(B$170:B$190&gt;0,$A$170:$A$190&amp;": "&amp;B$170:B$190,""))&amp;"}")</f>
        <v/>
      </c>
      <c r="AK10" s="13">
        <f>IF(AND($B$16&gt;0,$AH10&gt;$B$16),"",C$165)</f>
        <v/>
      </c>
      <c r="AL10" s="13">
        <f>IF(AK10="","","{"&amp;TEXTJOIN(", ",TRUE,IF(C$170:C$190&gt;0,$A$170:$A$190&amp;": "&amp;C$170:C$190,""))&amp;"}")</f>
        <v/>
      </c>
      <c r="AM10" s="13">
        <f>IF(AND($B$16&gt;0,$AH10&gt;$B$16),"",D$165)</f>
        <v/>
      </c>
      <c r="AN10" s="13">
        <f>IF(AM10="","","{"&amp;TEXTJOIN(", ",TRUE,IF(D$170:D$190&gt;0,$A$170:$A$190&amp;": "&amp;D$170:D$190,""))&amp;"}")</f>
        <v/>
      </c>
      <c r="AO10" s="13">
        <f>IF(AND($B$16&gt;0,$AH10&gt;$B$16),"",E$165)</f>
        <v/>
      </c>
      <c r="AP10" s="13">
        <f>IF(AO10="","","{"&amp;TEXTJOIN(", ",TRUE,IF(E$170:E$190&gt;0,$A$170:$A$190&amp;": "&amp;E$170:E$190,""))&amp;"}")</f>
        <v/>
      </c>
      <c r="AQ10" s="13">
        <f>IF(AND($B$16&gt;0,$AH10&gt;$B$16),"",F$165)</f>
        <v/>
      </c>
      <c r="AR10" s="13">
        <f>IF(AQ10="","","{"&amp;TEXTJOIN(", ",TRUE,IF(F$170:F$190&gt;0,$A$170:$A$190&amp;": "&amp;F$170:F$190,""))&amp;"}")</f>
        <v/>
      </c>
    </row>
    <row r="11">
      <c r="A11" s="10" t="inlineStr">
        <is>
          <t>Aspirational Milestone Stage</t>
        </is>
      </c>
      <c r="B11" s="6" t="n">
        <v>60</v>
      </c>
      <c r="C11" s="12" t="inlineStr">
        <is>
          <t>deck p6</t>
        </is>
      </c>
      <c r="D11" s="3" t="inlineStr">
        <is>
          <t>safe, Higher rewards; completing it auto-claims</t>
        </is>
      </c>
      <c r="AH11" s="11" t="n">
        <v>6</v>
      </c>
      <c r="AI11" s="13">
        <f>IF(AND($B$16&gt;0,$AH11&gt;$B$16),"",B$165)</f>
        <v/>
      </c>
      <c r="AJ11" s="13">
        <f>IF(AI11="","","{"&amp;TEXTJOIN(", ",TRUE,IF(B$170:B$190&gt;0,$A$170:$A$190&amp;": "&amp;B$170:B$190,""))&amp;"}")</f>
        <v/>
      </c>
      <c r="AK11" s="13">
        <f>IF(AND($B$16&gt;0,$AH11&gt;$B$16),"",C$165)</f>
        <v/>
      </c>
      <c r="AL11" s="13">
        <f>IF(AK11="","","{"&amp;TEXTJOIN(", ",TRUE,IF(C$170:C$190&gt;0,$A$170:$A$190&amp;": "&amp;C$170:C$190,""))&amp;"}")</f>
        <v/>
      </c>
      <c r="AM11" s="13">
        <f>IF(AND($B$16&gt;0,$AH11&gt;$B$16),"",D$165)</f>
        <v/>
      </c>
      <c r="AN11" s="13">
        <f>IF(AM11="","","{"&amp;TEXTJOIN(", ",TRUE,IF(D$170:D$190&gt;0,$A$170:$A$190&amp;": "&amp;D$170:D$190,""))&amp;"}")</f>
        <v/>
      </c>
      <c r="AO11" s="13">
        <f>IF(AND($B$16&gt;0,$AH11&gt;$B$16),"",E$165)</f>
        <v/>
      </c>
      <c r="AP11" s="13">
        <f>IF(AO11="","","{"&amp;TEXTJOIN(", ",TRUE,IF(E$170:E$190&gt;0,$A$170:$A$190&amp;": "&amp;E$170:E$190,""))&amp;"}")</f>
        <v/>
      </c>
      <c r="AQ11" s="13">
        <f>IF(AND($B$16&gt;0,$AH11&gt;$B$16),"",F$165)</f>
        <v/>
      </c>
      <c r="AR11" s="13">
        <f>IF(AQ11="","","{"&amp;TEXTJOIN(", ",TRUE,IF(F$170:F$190&gt;0,$A$170:$A$190&amp;": "&amp;F$170:F$190,""))&amp;"}")</f>
        <v/>
      </c>
    </row>
    <row r="12">
      <c r="A12" s="10" t="inlineStr">
        <is>
          <t>Reward Tier Size (stages)</t>
        </is>
      </c>
      <c r="B12" s="6" t="n">
        <v>10</v>
      </c>
      <c r="C12" s="12" t="inlineStr">
        <is>
          <t>deck p6</t>
        </is>
      </c>
      <c r="D12" s="3" t="inlineStr">
        <is>
          <t>six tiers: 1-10, 11-20, ... 51-60 (reference only — rewards are per NODE)</t>
        </is>
      </c>
      <c r="AH12" s="11" t="n">
        <v>7</v>
      </c>
      <c r="AI12" s="13">
        <f>IF(AND($B$16&gt;0,$AH12&gt;$B$16),"",B$165)</f>
        <v/>
      </c>
      <c r="AJ12" s="13">
        <f>IF(AI12="","","{"&amp;TEXTJOIN(", ",TRUE,IF(B$170:B$190&gt;0,$A$170:$A$190&amp;": "&amp;B$170:B$190,""))&amp;"}")</f>
        <v/>
      </c>
      <c r="AK12" s="13">
        <f>IF(AND($B$16&gt;0,$AH12&gt;$B$16),"",C$165)</f>
        <v/>
      </c>
      <c r="AL12" s="13">
        <f>IF(AK12="","","{"&amp;TEXTJOIN(", ",TRUE,IF(C$170:C$190&gt;0,$A$170:$A$190&amp;": "&amp;C$170:C$190,""))&amp;"}")</f>
        <v/>
      </c>
      <c r="AM12" s="13">
        <f>IF(AND($B$16&gt;0,$AH12&gt;$B$16),"",D$165)</f>
        <v/>
      </c>
      <c r="AN12" s="13">
        <f>IF(AM12="","","{"&amp;TEXTJOIN(", ",TRUE,IF(D$170:D$190&gt;0,$A$170:$A$190&amp;": "&amp;D$170:D$190,""))&amp;"}")</f>
        <v/>
      </c>
      <c r="AO12" s="13">
        <f>IF(AND($B$16&gt;0,$AH12&gt;$B$16),"",E$165)</f>
        <v/>
      </c>
      <c r="AP12" s="13">
        <f>IF(AO12="","","{"&amp;TEXTJOIN(", ",TRUE,IF(E$170:E$190&gt;0,$A$170:$A$190&amp;": "&amp;E$170:E$190,""))&amp;"}")</f>
        <v/>
      </c>
      <c r="AQ12" s="13">
        <f>IF(AND($B$16&gt;0,$AH12&gt;$B$16),"",F$165)</f>
        <v/>
      </c>
      <c r="AR12" s="13">
        <f>IF(AQ12="","","{"&amp;TEXTJOIN(", ",TRUE,IF(F$170:F$190&gt;0,$A$170:$A$190&amp;": "&amp;F$170:F$190,""))&amp;"}")</f>
        <v/>
      </c>
    </row>
    <row r="13">
      <c r="A13" s="10" t="inlineStr">
        <is>
          <t>Tickets per Run</t>
        </is>
      </c>
      <c r="B13" s="6" t="n">
        <v>1</v>
      </c>
      <c r="C13" s="12" t="inlineStr">
        <is>
          <t>deck p9</t>
        </is>
      </c>
      <c r="D13" s="3" t="inlineStr">
        <is>
          <t>no storage cap exists for tickets</t>
        </is>
      </c>
      <c r="AH13" s="11" t="n">
        <v>8</v>
      </c>
      <c r="AI13" s="13">
        <f>IF(AND($B$16&gt;0,$AH13&gt;$B$16),"",B$165)</f>
        <v/>
      </c>
      <c r="AJ13" s="13">
        <f>IF(AI13="","","{"&amp;TEXTJOIN(", ",TRUE,IF(B$170:B$190&gt;0,$A$170:$A$190&amp;": "&amp;B$170:B$190,""))&amp;"}")</f>
        <v/>
      </c>
      <c r="AK13" s="13">
        <f>IF(AND($B$16&gt;0,$AH13&gt;$B$16),"",C$165)</f>
        <v/>
      </c>
      <c r="AL13" s="13">
        <f>IF(AK13="","","{"&amp;TEXTJOIN(", ",TRUE,IF(C$170:C$190&gt;0,$A$170:$A$190&amp;": "&amp;C$170:C$190,""))&amp;"}")</f>
        <v/>
      </c>
      <c r="AM13" s="13">
        <f>IF(AND($B$16&gt;0,$AH13&gt;$B$16),"",D$165)</f>
        <v/>
      </c>
      <c r="AN13" s="13">
        <f>IF(AM13="","","{"&amp;TEXTJOIN(", ",TRUE,IF(D$170:D$190&gt;0,$A$170:$A$190&amp;": "&amp;D$170:D$190,""))&amp;"}")</f>
        <v/>
      </c>
      <c r="AO13" s="13">
        <f>IF(AND($B$16&gt;0,$AH13&gt;$B$16),"",E$165)</f>
        <v/>
      </c>
      <c r="AP13" s="13">
        <f>IF(AO13="","","{"&amp;TEXTJOIN(", ",TRUE,IF(E$170:E$190&gt;0,$A$170:$A$190&amp;": "&amp;E$170:E$190,""))&amp;"}")</f>
        <v/>
      </c>
      <c r="AQ13" s="13">
        <f>IF(AND($B$16&gt;0,$AH13&gt;$B$16),"",F$165)</f>
        <v/>
      </c>
      <c r="AR13" s="13">
        <f>IF(AQ13="","","{"&amp;TEXTJOIN(", ",TRUE,IF(F$170:F$190&gt;0,$A$170:$A$190&amp;": "&amp;F$170:F$190,""))&amp;"}")</f>
        <v/>
      </c>
    </row>
    <row r="14">
      <c r="A14" s="10" t="inlineStr">
        <is>
          <t>Empty Outcomes Enabled</t>
        </is>
      </c>
      <c r="B14" s="6" t="inlineStr">
        <is>
          <t>FALSE</t>
        </is>
      </c>
      <c r="C14" s="12" t="inlineStr">
        <is>
          <t>deck p22</t>
        </is>
      </c>
      <c r="D14" s="3" t="inlineStr">
        <is>
          <t>supported but off by default; set Empty Slots per node to use them</t>
        </is>
      </c>
      <c r="AH14" s="11" t="n">
        <v>9</v>
      </c>
      <c r="AI14" s="13">
        <f>IF(AND($B$16&gt;0,$AH14&gt;$B$16),"",B$165)</f>
        <v/>
      </c>
      <c r="AJ14" s="13">
        <f>IF(AI14="","","{"&amp;TEXTJOIN(", ",TRUE,IF(B$170:B$190&gt;0,$A$170:$A$190&amp;": "&amp;B$170:B$190,""))&amp;"}")</f>
        <v/>
      </c>
      <c r="AK14" s="13">
        <f>IF(AND($B$16&gt;0,$AH14&gt;$B$16),"",C$165)</f>
        <v/>
      </c>
      <c r="AL14" s="13">
        <f>IF(AK14="","","{"&amp;TEXTJOIN(", ",TRUE,IF(C$170:C$190&gt;0,$A$170:$A$190&amp;": "&amp;C$170:C$190,""))&amp;"}")</f>
        <v/>
      </c>
      <c r="AM14" s="13">
        <f>IF(AND($B$16&gt;0,$AH14&gt;$B$16),"",D$165)</f>
        <v/>
      </c>
      <c r="AN14" s="13">
        <f>IF(AM14="","","{"&amp;TEXTJOIN(", ",TRUE,IF(D$170:D$190&gt;0,$A$170:$A$190&amp;": "&amp;D$170:D$190,""))&amp;"}")</f>
        <v/>
      </c>
      <c r="AO14" s="13">
        <f>IF(AND($B$16&gt;0,$AH14&gt;$B$16),"",E$165)</f>
        <v/>
      </c>
      <c r="AP14" s="13">
        <f>IF(AO14="","","{"&amp;TEXTJOIN(", ",TRUE,IF(E$170:E$190&gt;0,$A$170:$A$190&amp;": "&amp;E$170:E$190,""))&amp;"}")</f>
        <v/>
      </c>
      <c r="AQ14" s="13">
        <f>IF(AND($B$16&gt;0,$AH14&gt;$B$16),"",F$165)</f>
        <v/>
      </c>
      <c r="AR14" s="13">
        <f>IF(AQ14="","","{"&amp;TEXTJOIN(", ",TRUE,IF(F$170:F$190&gt;0,$A$170:$A$190&amp;": "&amp;F$170:F$190,""))&amp;"}")</f>
        <v/>
      </c>
    </row>
    <row r="15">
      <c r="A15" s="10" t="inlineStr">
        <is>
          <t>Cash-Out Variant</t>
        </is>
      </c>
      <c r="B15" s="6" t="inlineStr">
        <is>
          <t>A</t>
        </is>
      </c>
      <c r="C15" s="12" t="inlineStr">
        <is>
          <t>deck p23</t>
        </is>
      </c>
      <c r="D15" s="3" t="inlineStr">
        <is>
          <t>A = cash out after any successful stage · B = safe stages only (A/B pending)</t>
        </is>
      </c>
      <c r="AH15" s="11" t="n">
        <v>10</v>
      </c>
      <c r="AI15" s="13">
        <f>IF(AND($B$16&gt;0,$AH15&gt;$B$16),"",B$165)</f>
        <v/>
      </c>
      <c r="AJ15" s="13">
        <f>IF(AI15="","","{"&amp;TEXTJOIN(", ",TRUE,IF(B$170:B$190&gt;0,$A$170:$A$190&amp;": "&amp;B$170:B$190,""))&amp;"}")</f>
        <v/>
      </c>
      <c r="AK15" s="13">
        <f>IF(AND($B$16&gt;0,$AH15&gt;$B$16),"",C$165)</f>
        <v/>
      </c>
      <c r="AL15" s="13">
        <f>IF(AK15="","","{"&amp;TEXTJOIN(", ",TRUE,IF(C$170:C$190&gt;0,$A$170:$A$190&amp;": "&amp;C$170:C$190,""))&amp;"}")</f>
        <v/>
      </c>
      <c r="AM15" s="13">
        <f>IF(AND($B$16&gt;0,$AH15&gt;$B$16),"",D$165)</f>
        <v/>
      </c>
      <c r="AN15" s="13">
        <f>IF(AM15="","","{"&amp;TEXTJOIN(", ",TRUE,IF(D$170:D$190&gt;0,$A$170:$A$190&amp;": "&amp;D$170:D$190,""))&amp;"}")</f>
        <v/>
      </c>
      <c r="AO15" s="13">
        <f>IF(AND($B$16&gt;0,$AH15&gt;$B$16),"",E$165)</f>
        <v/>
      </c>
      <c r="AP15" s="13">
        <f>IF(AO15="","","{"&amp;TEXTJOIN(", ",TRUE,IF(E$170:E$190&gt;0,$A$170:$A$190&amp;": "&amp;E$170:E$190,""))&amp;"}")</f>
        <v/>
      </c>
      <c r="AQ15" s="13">
        <f>IF(AND($B$16&gt;0,$AH15&gt;$B$16),"",F$165)</f>
        <v/>
      </c>
      <c r="AR15" s="13">
        <f>IF(AQ15="","","{"&amp;TEXTJOIN(", ",TRUE,IF(F$170:F$190&gt;0,$A$170:$A$190&amp;": "&amp;F$170:F$190,""))&amp;"}")</f>
        <v/>
      </c>
    </row>
    <row r="16">
      <c r="A16" s="10" t="inlineStr">
        <is>
          <t>Event Duration (days)</t>
        </is>
      </c>
      <c r="B16" s="6" t="n">
        <v>0</v>
      </c>
      <c r="C16" s="12" t="inlineStr">
        <is>
          <t>UNKNOWN</t>
        </is>
      </c>
      <c r="D16" s="3" t="inlineStr">
        <is>
          <t>⚠ deck gives no default — blocks the calendar lane and T</t>
        </is>
      </c>
      <c r="AH16" s="11" t="n">
        <v>11</v>
      </c>
      <c r="AI16" s="13">
        <f>IF(AND($B$16&gt;0,$AH16&gt;$B$16),"",B$165)</f>
        <v/>
      </c>
      <c r="AJ16" s="13">
        <f>IF(AI16="","","{"&amp;TEXTJOIN(", ",TRUE,IF(B$170:B$190&gt;0,$A$170:$A$190&amp;": "&amp;B$170:B$190,""))&amp;"}")</f>
        <v/>
      </c>
      <c r="AK16" s="13">
        <f>IF(AND($B$16&gt;0,$AH16&gt;$B$16),"",C$165)</f>
        <v/>
      </c>
      <c r="AL16" s="13">
        <f>IF(AK16="","","{"&amp;TEXTJOIN(", ",TRUE,IF(C$170:C$190&gt;0,$A$170:$A$190&amp;": "&amp;C$170:C$190,""))&amp;"}")</f>
        <v/>
      </c>
      <c r="AM16" s="13">
        <f>IF(AND($B$16&gt;0,$AH16&gt;$B$16),"",D$165)</f>
        <v/>
      </c>
      <c r="AN16" s="13">
        <f>IF(AM16="","","{"&amp;TEXTJOIN(", ",TRUE,IF(D$170:D$190&gt;0,$A$170:$A$190&amp;": "&amp;D$170:D$190,""))&amp;"}")</f>
        <v/>
      </c>
      <c r="AO16" s="13">
        <f>IF(AND($B$16&gt;0,$AH16&gt;$B$16),"",E$165)</f>
        <v/>
      </c>
      <c r="AP16" s="13">
        <f>IF(AO16="","","{"&amp;TEXTJOIN(", ",TRUE,IF(E$170:E$190&gt;0,$A$170:$A$190&amp;": "&amp;E$170:E$190,""))&amp;"}")</f>
        <v/>
      </c>
      <c r="AQ16" s="13">
        <f>IF(AND($B$16&gt;0,$AH16&gt;$B$16),"",F$165)</f>
        <v/>
      </c>
      <c r="AR16" s="13">
        <f>IF(AQ16="","","{"&amp;TEXTJOIN(", ",TRUE,IF(F$170:F$190&gt;0,$A$170:$A$190&amp;": "&amp;F$170:F$190,""))&amp;"}")</f>
        <v/>
      </c>
    </row>
    <row r="17">
      <c r="A17" s="10" t="inlineStr">
        <is>
          <t>Runs per Player per Instance</t>
        </is>
      </c>
      <c r="B17" s="6" t="n">
        <v>0</v>
      </c>
      <c r="C17" s="12" t="inlineStr">
        <is>
          <t>UNKNOWN</t>
        </is>
      </c>
      <c r="D17" s="3" t="inlineStr">
        <is>
          <t>⚠ set by ticket supply, which is unconfigured — the faucet scales linearly with this</t>
        </is>
      </c>
      <c r="AH17" s="11" t="n">
        <v>12</v>
      </c>
      <c r="AI17" s="13">
        <f>IF(AND($B$16&gt;0,$AH17&gt;$B$16),"",B$165)</f>
        <v/>
      </c>
      <c r="AJ17" s="13">
        <f>IF(AI17="","","{"&amp;TEXTJOIN(", ",TRUE,IF(B$170:B$190&gt;0,$A$170:$A$190&amp;": "&amp;B$170:B$190,""))&amp;"}")</f>
        <v/>
      </c>
      <c r="AK17" s="13">
        <f>IF(AND($B$16&gt;0,$AH17&gt;$B$16),"",C$165)</f>
        <v/>
      </c>
      <c r="AL17" s="13">
        <f>IF(AK17="","","{"&amp;TEXTJOIN(", ",TRUE,IF(C$170:C$190&gt;0,$A$170:$A$190&amp;": "&amp;C$170:C$190,""))&amp;"}")</f>
        <v/>
      </c>
      <c r="AM17" s="13">
        <f>IF(AND($B$16&gt;0,$AH17&gt;$B$16),"",D$165)</f>
        <v/>
      </c>
      <c r="AN17" s="13">
        <f>IF(AM17="","","{"&amp;TEXTJOIN(", ",TRUE,IF(D$170:D$190&gt;0,$A$170:$A$190&amp;": "&amp;D$170:D$190,""))&amp;"}")</f>
        <v/>
      </c>
      <c r="AO17" s="13">
        <f>IF(AND($B$16&gt;0,$AH17&gt;$B$16),"",E$165)</f>
        <v/>
      </c>
      <c r="AP17" s="13">
        <f>IF(AO17="","","{"&amp;TEXTJOIN(", ",TRUE,IF(E$170:E$190&gt;0,$A$170:$A$190&amp;": "&amp;E$170:E$190,""))&amp;"}")</f>
        <v/>
      </c>
      <c r="AQ17" s="13">
        <f>IF(AND($B$16&gt;0,$AH17&gt;$B$16),"",F$165)</f>
        <v/>
      </c>
      <c r="AR17" s="13">
        <f>IF(AQ17="","","{"&amp;TEXTJOIN(", ",TRUE,IF(F$170:F$190&gt;0,$A$170:$A$190&amp;": "&amp;F$170:F$190,""))&amp;"}")</f>
        <v/>
      </c>
    </row>
    <row r="18">
      <c r="AH18" s="11" t="n">
        <v>13</v>
      </c>
      <c r="AI18" s="13">
        <f>IF(AND($B$16&gt;0,$AH18&gt;$B$16),"",B$165)</f>
        <v/>
      </c>
      <c r="AJ18" s="13">
        <f>IF(AI18="","","{"&amp;TEXTJOIN(", ",TRUE,IF(B$170:B$190&gt;0,$A$170:$A$190&amp;": "&amp;B$170:B$190,""))&amp;"}")</f>
        <v/>
      </c>
      <c r="AK18" s="13">
        <f>IF(AND($B$16&gt;0,$AH18&gt;$B$16),"",C$165)</f>
        <v/>
      </c>
      <c r="AL18" s="13">
        <f>IF(AK18="","","{"&amp;TEXTJOIN(", ",TRUE,IF(C$170:C$190&gt;0,$A$170:$A$190&amp;": "&amp;C$170:C$190,""))&amp;"}")</f>
        <v/>
      </c>
      <c r="AM18" s="13">
        <f>IF(AND($B$16&gt;0,$AH18&gt;$B$16),"",D$165)</f>
        <v/>
      </c>
      <c r="AN18" s="13">
        <f>IF(AM18="","","{"&amp;TEXTJOIN(", ",TRUE,IF(D$170:D$190&gt;0,$A$170:$A$190&amp;": "&amp;D$170:D$190,""))&amp;"}")</f>
        <v/>
      </c>
      <c r="AO18" s="13">
        <f>IF(AND($B$16&gt;0,$AH18&gt;$B$16),"",E$165)</f>
        <v/>
      </c>
      <c r="AP18" s="13">
        <f>IF(AO18="","","{"&amp;TEXTJOIN(", ",TRUE,IF(E$170:E$190&gt;0,$A$170:$A$190&amp;": "&amp;E$170:E$190,""))&amp;"}")</f>
        <v/>
      </c>
      <c r="AQ18" s="13">
        <f>IF(AND($B$16&gt;0,$AH18&gt;$B$16),"",F$165)</f>
        <v/>
      </c>
      <c r="AR18" s="13">
        <f>IF(AQ18="","","{"&amp;TEXTJOIN(", ",TRUE,IF(F$170:F$190&gt;0,$A$170:$A$190&amp;": "&amp;F$170:F$190,""))&amp;"}")</f>
        <v/>
      </c>
    </row>
    <row r="19">
      <c r="A19" s="7" t="inlineStr">
        <is>
          <t>SEGMENT BEHAVIOUR (no telemetry exists — these are the answer, not a detail)</t>
        </is>
      </c>
      <c r="B19" s="8" t="n"/>
      <c r="C19" s="8" t="n"/>
      <c r="D19" s="8" t="n"/>
      <c r="E19" s="8" t="n"/>
      <c r="F19" s="8" t="n"/>
      <c r="AH19" s="11" t="n">
        <v>14</v>
      </c>
      <c r="AI19" s="13">
        <f>IF(AND($B$16&gt;0,$AH19&gt;$B$16),"",B$165)</f>
        <v/>
      </c>
      <c r="AJ19" s="13">
        <f>IF(AI19="","","{"&amp;TEXTJOIN(", ",TRUE,IF(B$170:B$190&gt;0,$A$170:$A$190&amp;": "&amp;B$170:B$190,""))&amp;"}")</f>
        <v/>
      </c>
      <c r="AK19" s="13">
        <f>IF(AND($B$16&gt;0,$AH19&gt;$B$16),"",C$165)</f>
        <v/>
      </c>
      <c r="AL19" s="13">
        <f>IF(AK19="","","{"&amp;TEXTJOIN(", ",TRUE,IF(C$170:C$190&gt;0,$A$170:$A$190&amp;": "&amp;C$170:C$190,""))&amp;"}")</f>
        <v/>
      </c>
      <c r="AM19" s="13">
        <f>IF(AND($B$16&gt;0,$AH19&gt;$B$16),"",D$165)</f>
        <v/>
      </c>
      <c r="AN19" s="13">
        <f>IF(AM19="","","{"&amp;TEXTJOIN(", ",TRUE,IF(D$170:D$190&gt;0,$A$170:$A$190&amp;": "&amp;D$170:D$190,""))&amp;"}")</f>
        <v/>
      </c>
      <c r="AO19" s="13">
        <f>IF(AND($B$16&gt;0,$AH19&gt;$B$16),"",E$165)</f>
        <v/>
      </c>
      <c r="AP19" s="13">
        <f>IF(AO19="","","{"&amp;TEXTJOIN(", ",TRUE,IF(E$170:E$190&gt;0,$A$170:$A$190&amp;": "&amp;E$170:E$190,""))&amp;"}")</f>
        <v/>
      </c>
      <c r="AQ19" s="13">
        <f>IF(AND($B$16&gt;0,$AH19&gt;$B$16),"",F$165)</f>
        <v/>
      </c>
      <c r="AR19" s="13">
        <f>IF(AQ19="","","{"&amp;TEXTJOIN(", ",TRUE,IF(F$170:F$190&gt;0,$A$170:$A$190&amp;": "&amp;F$170:F$190,""))&amp;"}")</f>
        <v/>
      </c>
    </row>
    <row r="20">
      <c r="A20" s="3" t="inlineStr">
        <is>
          <t>What separates player types in this event. Mighty Doors has no accrual — a run is walked in one sitting — so a whale and a new player differ only in how often they pay to continue and how deep they push before cashing out. Deck p2: the feature exists to create "additional spending opportunities for whales and highly engaged players".</t>
        </is>
      </c>
    </row>
    <row r="21">
      <c r="A21" s="9" t="inlineStr">
        <is>
          <t>Segment</t>
        </is>
      </c>
      <c r="B21" s="9" t="inlineStr">
        <is>
          <t>Continue Take-Up</t>
        </is>
      </c>
      <c r="C21" s="9" t="inlineStr">
        <is>
          <t>Cash-Out Stage</t>
        </is>
      </c>
      <c r="D21" s="9" t="inlineStr">
        <is>
          <t>Runs per Active Day</t>
        </is>
      </c>
      <c r="E21" s="9" t="inlineStr">
        <is>
          <t>Max Continues per Run</t>
        </is>
      </c>
      <c r="F21" s="9" t="inlineStr">
        <is>
          <t>Note</t>
        </is>
      </c>
    </row>
    <row r="22">
      <c r="A22" s="11" t="inlineStr">
        <is>
          <t>0-9</t>
        </is>
      </c>
      <c r="B22" s="14" t="n">
        <v>0</v>
      </c>
      <c r="C22" s="6" t="n">
        <v>0</v>
      </c>
      <c r="D22" s="5" t="n">
        <v>0</v>
      </c>
      <c r="E22" s="6" t="n">
        <v>0</v>
      </c>
      <c r="F22" s="3" t="inlineStr"/>
    </row>
    <row r="23">
      <c r="A23" s="11" t="inlineStr">
        <is>
          <t>10-19</t>
        </is>
      </c>
      <c r="B23" s="14" t="n">
        <v>0</v>
      </c>
      <c r="C23" s="6" t="n">
        <v>0</v>
      </c>
      <c r="D23" s="5" t="n">
        <v>0</v>
      </c>
      <c r="E23" s="6" t="n">
        <v>0</v>
      </c>
      <c r="F23" s="3" t="inlineStr"/>
    </row>
    <row r="24">
      <c r="A24" s="11" t="inlineStr">
        <is>
          <t>20-39</t>
        </is>
      </c>
      <c r="B24" s="14" t="n">
        <v>0</v>
      </c>
      <c r="C24" s="6" t="n">
        <v>0</v>
      </c>
      <c r="D24" s="5" t="n">
        <v>0</v>
      </c>
      <c r="E24" s="6" t="n">
        <v>0</v>
      </c>
      <c r="F24" s="3" t="inlineStr"/>
    </row>
    <row r="25">
      <c r="A25" s="11" t="inlineStr">
        <is>
          <t>40-99</t>
        </is>
      </c>
      <c r="B25" s="14" t="n">
        <v>0</v>
      </c>
      <c r="C25" s="6" t="n">
        <v>0</v>
      </c>
      <c r="D25" s="5" t="n">
        <v>0</v>
      </c>
      <c r="E25" s="6" t="n">
        <v>0</v>
      </c>
      <c r="F25" s="3" t="inlineStr"/>
    </row>
    <row r="26">
      <c r="A26" s="11" t="inlineStr">
        <is>
          <t>100+</t>
        </is>
      </c>
      <c r="B26" s="14" t="n">
        <v>0</v>
      </c>
      <c r="C26" s="6" t="n">
        <v>0</v>
      </c>
      <c r="D26" s="5" t="n">
        <v>0</v>
      </c>
      <c r="E26" s="6" t="n">
        <v>0</v>
      </c>
      <c r="F26" s="3" t="inlineStr">
        <is>
          <t>take-up 1.0 removes the Pig entirely for this segment</t>
        </is>
      </c>
    </row>
    <row r="28">
      <c r="A28" s="7" t="inlineStr">
        <is>
          <t>STAGE NODES — one row per node, rewards in the standard 21-column grammar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</row>
    <row r="29">
      <c r="A29" s="3" t="inlineStr">
        <is>
          <t>Author the reward behind a REWARD door at each node. Pig Slots is the slot COMPOSITION — the deck places the Pig randomly among the doors, so position is not configurable. Empty Slots pay nothing and are not a failure, which is why survival and reward-odds are two separate columns.</t>
        </is>
      </c>
    </row>
    <row r="30">
      <c r="A30" s="9" t="inlineStr">
        <is>
          <t>Stage</t>
        </is>
      </c>
      <c r="B30" s="9" t="inlineStr">
        <is>
          <t>Type</t>
        </is>
      </c>
      <c r="C30" s="9" t="inlineStr">
        <is>
          <t>Tier</t>
        </is>
      </c>
      <c r="D30" s="9" t="inlineStr">
        <is>
          <t>Choices</t>
        </is>
      </c>
      <c r="E30" s="9" t="inlineStr">
        <is>
          <t>Reward Slots</t>
        </is>
      </c>
      <c r="F30" s="9" t="inlineStr">
        <is>
          <t>Pig Slots</t>
        </is>
      </c>
      <c r="G30" s="9" t="inlineStr">
        <is>
          <t>Empty Slots</t>
        </is>
      </c>
      <c r="H30" s="9" t="inlineStr">
        <is>
          <t>Slots OK?</t>
        </is>
      </c>
      <c r="I30" s="9" t="inlineStr">
        <is>
          <t>Survive p</t>
        </is>
      </c>
      <c r="J30" s="9" t="inlineStr">
        <is>
          <t>P(reward | survived)</t>
        </is>
      </c>
      <c r="K30" s="9" t="inlineStr">
        <is>
          <t>Coins</t>
        </is>
      </c>
      <c r="L30" s="9" t="inlineStr">
        <is>
          <t>SPT</t>
        </is>
      </c>
      <c r="M30" s="9" t="inlineStr">
        <is>
          <t>SPT x2</t>
        </is>
      </c>
      <c r="N30" s="9" t="inlineStr">
        <is>
          <t>Red</t>
        </is>
      </c>
      <c r="O30" s="9" t="inlineStr">
        <is>
          <t>Chuck</t>
        </is>
      </c>
      <c r="P30" s="9" t="inlineStr">
        <is>
          <t>Bomb</t>
        </is>
      </c>
      <c r="Q30" s="9" t="inlineStr">
        <is>
          <t>Slingshot</t>
        </is>
      </c>
      <c r="R30" s="9" t="inlineStr">
        <is>
          <t>Shuffle</t>
        </is>
      </c>
      <c r="S30" s="9" t="inlineStr">
        <is>
          <t>Comet</t>
        </is>
      </c>
      <c r="T30" s="9" t="inlineStr">
        <is>
          <t>Unlimited Lives</t>
        </is>
      </c>
      <c r="U30" s="9" t="inlineStr">
        <is>
          <t>Unlimited Red</t>
        </is>
      </c>
      <c r="V30" s="9" t="inlineStr">
        <is>
          <t>Unlimited Chuck</t>
        </is>
      </c>
      <c r="W30" s="9" t="inlineStr">
        <is>
          <t>Unlimited Bomb</t>
        </is>
      </c>
      <c r="X30" s="9" t="inlineStr">
        <is>
          <t>COOP Token</t>
        </is>
      </c>
      <c r="Y30" s="9" t="inlineStr">
        <is>
          <t>Avatar</t>
        </is>
      </c>
      <c r="Z30" s="9" t="inlineStr">
        <is>
          <t>1-star Dly</t>
        </is>
      </c>
      <c r="AA30" s="9" t="inlineStr">
        <is>
          <t>2-star Dly</t>
        </is>
      </c>
      <c r="AB30" s="9" t="inlineStr">
        <is>
          <t>3-star Dly</t>
        </is>
      </c>
      <c r="AC30" s="9" t="inlineStr">
        <is>
          <t>4-star Dly</t>
        </is>
      </c>
      <c r="AD30" s="9" t="inlineStr">
        <is>
          <t>5-star Dly</t>
        </is>
      </c>
      <c r="AE30" s="9" t="inlineStr">
        <is>
          <t>6-star Dly</t>
        </is>
      </c>
    </row>
    <row r="31">
      <c r="A31" s="11" t="n">
        <v>1</v>
      </c>
      <c r="B31" s="13">
        <f>IF(A31=1,"Safe (Start)",IF(OR(A31=$B$10,A31=$B$11),"Milestone",IF(AND($B$9&gt;0,MOD(A31,$B$9)=0),"Safe","Standard")))</f>
        <v/>
      </c>
      <c r="C31" s="13">
        <f>MIN(6,MAX(1,ROUNDUP(A31/$B$12,0)))</f>
        <v/>
      </c>
      <c r="D31" s="6">
        <f>$B$7</f>
        <v/>
      </c>
      <c r="E31" s="13">
        <f>MAX(0,$D31-$F31-$G31)</f>
        <v/>
      </c>
      <c r="F31" s="13">
        <f>IF($B31="Standard",$B$8,0)</f>
        <v/>
      </c>
      <c r="G31" s="6" t="n">
        <v>0</v>
      </c>
      <c r="H31" s="13">
        <f>IF($E31+$F31+$G31=$D31,"OK","MISMATCH")</f>
        <v/>
      </c>
      <c r="I31" s="15">
        <f>IF($D31&lt;=0,0,($D31-$F31)/$D31)</f>
        <v/>
      </c>
      <c r="J31" s="15">
        <f>IF($D31-$F31&lt;=0,0,$E31/($D31-$F31))</f>
        <v/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0</v>
      </c>
      <c r="Y31" s="6" t="n">
        <v>0</v>
      </c>
      <c r="Z31" s="6" t="n">
        <v>0</v>
      </c>
      <c r="AA31" s="6" t="n">
        <v>0</v>
      </c>
      <c r="AB31" s="6" t="n">
        <v>0</v>
      </c>
      <c r="AC31" s="6" t="n">
        <v>0</v>
      </c>
      <c r="AD31" s="6" t="n">
        <v>0</v>
      </c>
      <c r="AE31" s="6" t="n">
        <v>0</v>
      </c>
    </row>
    <row r="32">
      <c r="A32" s="11" t="n">
        <v>2</v>
      </c>
      <c r="B32" s="13">
        <f>IF(A32=1,"Safe (Start)",IF(OR(A32=$B$10,A32=$B$11),"Milestone",IF(AND($B$9&gt;0,MOD(A32,$B$9)=0),"Safe","Standard")))</f>
        <v/>
      </c>
      <c r="C32" s="13">
        <f>MIN(6,MAX(1,ROUNDUP(A32/$B$12,0)))</f>
        <v/>
      </c>
      <c r="D32" s="6">
        <f>$B$7</f>
        <v/>
      </c>
      <c r="E32" s="13">
        <f>MAX(0,$D32-$F32-$G32)</f>
        <v/>
      </c>
      <c r="F32" s="13">
        <f>IF($B32="Standard",$B$8,0)</f>
        <v/>
      </c>
      <c r="G32" s="6" t="n">
        <v>0</v>
      </c>
      <c r="H32" s="13">
        <f>IF($E32+$F32+$G32=$D32,"OK","MISMATCH")</f>
        <v/>
      </c>
      <c r="I32" s="15">
        <f>IF($D32&lt;=0,0,($D32-$F32)/$D32)</f>
        <v/>
      </c>
      <c r="J32" s="15">
        <f>IF($D32-$F32&lt;=0,0,$E32/($D32-$F32))</f>
        <v/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0</v>
      </c>
      <c r="Y32" s="6" t="n">
        <v>0</v>
      </c>
      <c r="Z32" s="6" t="n">
        <v>0</v>
      </c>
      <c r="AA32" s="6" t="n">
        <v>0</v>
      </c>
      <c r="AB32" s="6" t="n">
        <v>0</v>
      </c>
      <c r="AC32" s="6" t="n">
        <v>0</v>
      </c>
      <c r="AD32" s="6" t="n">
        <v>0</v>
      </c>
      <c r="AE32" s="6" t="n">
        <v>0</v>
      </c>
    </row>
    <row r="33">
      <c r="A33" s="11" t="n">
        <v>3</v>
      </c>
      <c r="B33" s="13">
        <f>IF(A33=1,"Safe (Start)",IF(OR(A33=$B$10,A33=$B$11),"Milestone",IF(AND($B$9&gt;0,MOD(A33,$B$9)=0),"Safe","Standard")))</f>
        <v/>
      </c>
      <c r="C33" s="13">
        <f>MIN(6,MAX(1,ROUNDUP(A33/$B$12,0)))</f>
        <v/>
      </c>
      <c r="D33" s="6">
        <f>$B$7</f>
        <v/>
      </c>
      <c r="E33" s="13">
        <f>MAX(0,$D33-$F33-$G33)</f>
        <v/>
      </c>
      <c r="F33" s="13">
        <f>IF($B33="Standard",$B$8,0)</f>
        <v/>
      </c>
      <c r="G33" s="6" t="n">
        <v>0</v>
      </c>
      <c r="H33" s="13">
        <f>IF($E33+$F33+$G33=$D33,"OK","MISMATCH")</f>
        <v/>
      </c>
      <c r="I33" s="15">
        <f>IF($D33&lt;=0,0,($D33-$F33)/$D33)</f>
        <v/>
      </c>
      <c r="J33" s="15">
        <f>IF($D33-$F33&lt;=0,0,$E33/($D33-$F33))</f>
        <v/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</v>
      </c>
      <c r="W33" s="6" t="n">
        <v>0</v>
      </c>
      <c r="X33" s="6" t="n">
        <v>0</v>
      </c>
      <c r="Y33" s="6" t="n">
        <v>0</v>
      </c>
      <c r="Z33" s="6" t="n">
        <v>0</v>
      </c>
      <c r="AA33" s="6" t="n">
        <v>0</v>
      </c>
      <c r="AB33" s="6" t="n">
        <v>0</v>
      </c>
      <c r="AC33" s="6" t="n">
        <v>0</v>
      </c>
      <c r="AD33" s="6" t="n">
        <v>0</v>
      </c>
      <c r="AE33" s="6" t="n">
        <v>0</v>
      </c>
    </row>
    <row r="34">
      <c r="A34" s="11" t="n">
        <v>4</v>
      </c>
      <c r="B34" s="13">
        <f>IF(A34=1,"Safe (Start)",IF(OR(A34=$B$10,A34=$B$11),"Milestone",IF(AND($B$9&gt;0,MOD(A34,$B$9)=0),"Safe","Standard")))</f>
        <v/>
      </c>
      <c r="C34" s="13">
        <f>MIN(6,MAX(1,ROUNDUP(A34/$B$12,0)))</f>
        <v/>
      </c>
      <c r="D34" s="6">
        <f>$B$7</f>
        <v/>
      </c>
      <c r="E34" s="13">
        <f>MAX(0,$D34-$F34-$G34)</f>
        <v/>
      </c>
      <c r="F34" s="13">
        <f>IF($B34="Standard",$B$8,0)</f>
        <v/>
      </c>
      <c r="G34" s="6" t="n">
        <v>0</v>
      </c>
      <c r="H34" s="13">
        <f>IF($E34+$F34+$G34=$D34,"OK","MISMATCH")</f>
        <v/>
      </c>
      <c r="I34" s="15">
        <f>IF($D34&lt;=0,0,($D34-$F34)/$D34)</f>
        <v/>
      </c>
      <c r="J34" s="15">
        <f>IF($D34-$F34&lt;=0,0,$E34/($D34-$F34))</f>
        <v/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</v>
      </c>
      <c r="W34" s="6" t="n">
        <v>0</v>
      </c>
      <c r="X34" s="6" t="n">
        <v>0</v>
      </c>
      <c r="Y34" s="6" t="n">
        <v>0</v>
      </c>
      <c r="Z34" s="6" t="n">
        <v>0</v>
      </c>
      <c r="AA34" s="6" t="n">
        <v>0</v>
      </c>
      <c r="AB34" s="6" t="n">
        <v>0</v>
      </c>
      <c r="AC34" s="6" t="n">
        <v>0</v>
      </c>
      <c r="AD34" s="6" t="n">
        <v>0</v>
      </c>
      <c r="AE34" s="6" t="n">
        <v>0</v>
      </c>
    </row>
    <row r="35">
      <c r="A35" s="11" t="n">
        <v>5</v>
      </c>
      <c r="B35" s="13">
        <f>IF(A35=1,"Safe (Start)",IF(OR(A35=$B$10,A35=$B$11),"Milestone",IF(AND($B$9&gt;0,MOD(A35,$B$9)=0),"Safe","Standard")))</f>
        <v/>
      </c>
      <c r="C35" s="13">
        <f>MIN(6,MAX(1,ROUNDUP(A35/$B$12,0)))</f>
        <v/>
      </c>
      <c r="D35" s="6">
        <f>$B$7</f>
        <v/>
      </c>
      <c r="E35" s="13">
        <f>MAX(0,$D35-$F35-$G35)</f>
        <v/>
      </c>
      <c r="F35" s="13">
        <f>IF($B35="Standard",$B$8,0)</f>
        <v/>
      </c>
      <c r="G35" s="6" t="n">
        <v>0</v>
      </c>
      <c r="H35" s="13">
        <f>IF($E35+$F35+$G35=$D35,"OK","MISMATCH")</f>
        <v/>
      </c>
      <c r="I35" s="15">
        <f>IF($D35&lt;=0,0,($D35-$F35)/$D35)</f>
        <v/>
      </c>
      <c r="J35" s="15">
        <f>IF($D35-$F35&lt;=0,0,$E35/($D35-$F35))</f>
        <v/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</v>
      </c>
      <c r="W35" s="6" t="n">
        <v>0</v>
      </c>
      <c r="X35" s="6" t="n">
        <v>0</v>
      </c>
      <c r="Y35" s="6" t="n">
        <v>0</v>
      </c>
      <c r="Z35" s="6" t="n">
        <v>0</v>
      </c>
      <c r="AA35" s="6" t="n">
        <v>0</v>
      </c>
      <c r="AB35" s="6" t="n">
        <v>0</v>
      </c>
      <c r="AC35" s="6" t="n">
        <v>0</v>
      </c>
      <c r="AD35" s="6" t="n">
        <v>0</v>
      </c>
      <c r="AE35" s="6" t="n">
        <v>0</v>
      </c>
    </row>
    <row r="36">
      <c r="A36" s="11" t="n">
        <v>6</v>
      </c>
      <c r="B36" s="13">
        <f>IF(A36=1,"Safe (Start)",IF(OR(A36=$B$10,A36=$B$11),"Milestone",IF(AND($B$9&gt;0,MOD(A36,$B$9)=0),"Safe","Standard")))</f>
        <v/>
      </c>
      <c r="C36" s="13">
        <f>MIN(6,MAX(1,ROUNDUP(A36/$B$12,0)))</f>
        <v/>
      </c>
      <c r="D36" s="6">
        <f>$B$7</f>
        <v/>
      </c>
      <c r="E36" s="13">
        <f>MAX(0,$D36-$F36-$G36)</f>
        <v/>
      </c>
      <c r="F36" s="13">
        <f>IF($B36="Standard",$B$8,0)</f>
        <v/>
      </c>
      <c r="G36" s="6" t="n">
        <v>0</v>
      </c>
      <c r="H36" s="13">
        <f>IF($E36+$F36+$G36=$D36,"OK","MISMATCH")</f>
        <v/>
      </c>
      <c r="I36" s="15">
        <f>IF($D36&lt;=0,0,($D36-$F36)/$D36)</f>
        <v/>
      </c>
      <c r="J36" s="15">
        <f>IF($D36-$F36&lt;=0,0,$E36/($D36-$F36))</f>
        <v/>
      </c>
      <c r="K36" s="6" t="n">
        <v>0</v>
      </c>
      <c r="L36" s="6" t="n">
        <v>0</v>
      </c>
      <c r="M36" s="6" t="n">
        <v>0</v>
      </c>
      <c r="N36" s="6" t="n">
        <v>0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</v>
      </c>
      <c r="W36" s="6" t="n">
        <v>0</v>
      </c>
      <c r="X36" s="6" t="n">
        <v>0</v>
      </c>
      <c r="Y36" s="6" t="n">
        <v>0</v>
      </c>
      <c r="Z36" s="6" t="n">
        <v>0</v>
      </c>
      <c r="AA36" s="6" t="n">
        <v>0</v>
      </c>
      <c r="AB36" s="6" t="n">
        <v>0</v>
      </c>
      <c r="AC36" s="6" t="n">
        <v>0</v>
      </c>
      <c r="AD36" s="6" t="n">
        <v>0</v>
      </c>
      <c r="AE36" s="6" t="n">
        <v>0</v>
      </c>
    </row>
    <row r="37">
      <c r="A37" s="11" t="n">
        <v>7</v>
      </c>
      <c r="B37" s="13">
        <f>IF(A37=1,"Safe (Start)",IF(OR(A37=$B$10,A37=$B$11),"Milestone",IF(AND($B$9&gt;0,MOD(A37,$B$9)=0),"Safe","Standard")))</f>
        <v/>
      </c>
      <c r="C37" s="13">
        <f>MIN(6,MAX(1,ROUNDUP(A37/$B$12,0)))</f>
        <v/>
      </c>
      <c r="D37" s="6">
        <f>$B$7</f>
        <v/>
      </c>
      <c r="E37" s="13">
        <f>MAX(0,$D37-$F37-$G37)</f>
        <v/>
      </c>
      <c r="F37" s="13">
        <f>IF($B37="Standard",$B$8,0)</f>
        <v/>
      </c>
      <c r="G37" s="6" t="n">
        <v>0</v>
      </c>
      <c r="H37" s="13">
        <f>IF($E37+$F37+$G37=$D37,"OK","MISMATCH")</f>
        <v/>
      </c>
      <c r="I37" s="15">
        <f>IF($D37&lt;=0,0,($D37-$F37)/$D37)</f>
        <v/>
      </c>
      <c r="J37" s="15">
        <f>IF($D37-$F37&lt;=0,0,$E37/($D37-$F37))</f>
        <v/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0</v>
      </c>
      <c r="Y37" s="6" t="n">
        <v>0</v>
      </c>
      <c r="Z37" s="6" t="n">
        <v>0</v>
      </c>
      <c r="AA37" s="6" t="n">
        <v>0</v>
      </c>
      <c r="AB37" s="6" t="n">
        <v>0</v>
      </c>
      <c r="AC37" s="6" t="n">
        <v>0</v>
      </c>
      <c r="AD37" s="6" t="n">
        <v>0</v>
      </c>
      <c r="AE37" s="6" t="n">
        <v>0</v>
      </c>
    </row>
    <row r="38">
      <c r="A38" s="11" t="n">
        <v>8</v>
      </c>
      <c r="B38" s="13">
        <f>IF(A38=1,"Safe (Start)",IF(OR(A38=$B$10,A38=$B$11),"Milestone",IF(AND($B$9&gt;0,MOD(A38,$B$9)=0),"Safe","Standard")))</f>
        <v/>
      </c>
      <c r="C38" s="13">
        <f>MIN(6,MAX(1,ROUNDUP(A38/$B$12,0)))</f>
        <v/>
      </c>
      <c r="D38" s="6">
        <f>$B$7</f>
        <v/>
      </c>
      <c r="E38" s="13">
        <f>MAX(0,$D38-$F38-$G38)</f>
        <v/>
      </c>
      <c r="F38" s="13">
        <f>IF($B38="Standard",$B$8,0)</f>
        <v/>
      </c>
      <c r="G38" s="6" t="n">
        <v>0</v>
      </c>
      <c r="H38" s="13">
        <f>IF($E38+$F38+$G38=$D38,"OK","MISMATCH")</f>
        <v/>
      </c>
      <c r="I38" s="15">
        <f>IF($D38&lt;=0,0,($D38-$F38)/$D38)</f>
        <v/>
      </c>
      <c r="J38" s="15">
        <f>IF($D38-$F38&lt;=0,0,$E38/($D38-$F38))</f>
        <v/>
      </c>
      <c r="K38" s="6" t="n">
        <v>0</v>
      </c>
      <c r="L38" s="6" t="n">
        <v>0</v>
      </c>
      <c r="M38" s="6" t="n">
        <v>0</v>
      </c>
      <c r="N38" s="6" t="n">
        <v>0</v>
      </c>
      <c r="O38" s="6" t="n">
        <v>0</v>
      </c>
      <c r="P38" s="6" t="n">
        <v>0</v>
      </c>
      <c r="Q38" s="6" t="n">
        <v>0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</v>
      </c>
      <c r="W38" s="6" t="n">
        <v>0</v>
      </c>
      <c r="X38" s="6" t="n">
        <v>0</v>
      </c>
      <c r="Y38" s="6" t="n">
        <v>0</v>
      </c>
      <c r="Z38" s="6" t="n">
        <v>0</v>
      </c>
      <c r="AA38" s="6" t="n">
        <v>0</v>
      </c>
      <c r="AB38" s="6" t="n">
        <v>0</v>
      </c>
      <c r="AC38" s="6" t="n">
        <v>0</v>
      </c>
      <c r="AD38" s="6" t="n">
        <v>0</v>
      </c>
      <c r="AE38" s="6" t="n">
        <v>0</v>
      </c>
    </row>
    <row r="39">
      <c r="A39" s="11" t="n">
        <v>9</v>
      </c>
      <c r="B39" s="13">
        <f>IF(A39=1,"Safe (Start)",IF(OR(A39=$B$10,A39=$B$11),"Milestone",IF(AND($B$9&gt;0,MOD(A39,$B$9)=0),"Safe","Standard")))</f>
        <v/>
      </c>
      <c r="C39" s="13">
        <f>MIN(6,MAX(1,ROUNDUP(A39/$B$12,0)))</f>
        <v/>
      </c>
      <c r="D39" s="6">
        <f>$B$7</f>
        <v/>
      </c>
      <c r="E39" s="13">
        <f>MAX(0,$D39-$F39-$G39)</f>
        <v/>
      </c>
      <c r="F39" s="13">
        <f>IF($B39="Standard",$B$8,0)</f>
        <v/>
      </c>
      <c r="G39" s="6" t="n">
        <v>0</v>
      </c>
      <c r="H39" s="13">
        <f>IF($E39+$F39+$G39=$D39,"OK","MISMATCH")</f>
        <v/>
      </c>
      <c r="I39" s="15">
        <f>IF($D39&lt;=0,0,($D39-$F39)/$D39)</f>
        <v/>
      </c>
      <c r="J39" s="15">
        <f>IF($D39-$F39&lt;=0,0,$E39/($D39-$F39))</f>
        <v/>
      </c>
      <c r="K39" s="6" t="n">
        <v>0</v>
      </c>
      <c r="L39" s="6" t="n">
        <v>0</v>
      </c>
      <c r="M39" s="6" t="n">
        <v>0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</v>
      </c>
      <c r="W39" s="6" t="n">
        <v>0</v>
      </c>
      <c r="X39" s="6" t="n">
        <v>0</v>
      </c>
      <c r="Y39" s="6" t="n">
        <v>0</v>
      </c>
      <c r="Z39" s="6" t="n">
        <v>0</v>
      </c>
      <c r="AA39" s="6" t="n">
        <v>0</v>
      </c>
      <c r="AB39" s="6" t="n">
        <v>0</v>
      </c>
      <c r="AC39" s="6" t="n">
        <v>0</v>
      </c>
      <c r="AD39" s="6" t="n">
        <v>0</v>
      </c>
      <c r="AE39" s="6" t="n">
        <v>0</v>
      </c>
    </row>
    <row r="40">
      <c r="A40" s="11" t="n">
        <v>10</v>
      </c>
      <c r="B40" s="13">
        <f>IF(A40=1,"Safe (Start)",IF(OR(A40=$B$10,A40=$B$11),"Milestone",IF(AND($B$9&gt;0,MOD(A40,$B$9)=0),"Safe","Standard")))</f>
        <v/>
      </c>
      <c r="C40" s="13">
        <f>MIN(6,MAX(1,ROUNDUP(A40/$B$12,0)))</f>
        <v/>
      </c>
      <c r="D40" s="6">
        <f>$B$7</f>
        <v/>
      </c>
      <c r="E40" s="13">
        <f>MAX(0,$D40-$F40-$G40)</f>
        <v/>
      </c>
      <c r="F40" s="13">
        <f>IF($B40="Standard",$B$8,0)</f>
        <v/>
      </c>
      <c r="G40" s="6" t="n">
        <v>0</v>
      </c>
      <c r="H40" s="13">
        <f>IF($E40+$F40+$G40=$D40,"OK","MISMATCH")</f>
        <v/>
      </c>
      <c r="I40" s="15">
        <f>IF($D40&lt;=0,0,($D40-$F40)/$D40)</f>
        <v/>
      </c>
      <c r="J40" s="15">
        <f>IF($D40-$F40&lt;=0,0,$E40/($D40-$F40))</f>
        <v/>
      </c>
      <c r="K40" s="6" t="n">
        <v>0</v>
      </c>
      <c r="L40" s="6" t="n">
        <v>0</v>
      </c>
      <c r="M40" s="6" t="n">
        <v>0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</v>
      </c>
      <c r="W40" s="6" t="n">
        <v>0</v>
      </c>
      <c r="X40" s="6" t="n">
        <v>0</v>
      </c>
      <c r="Y40" s="6" t="n">
        <v>0</v>
      </c>
      <c r="Z40" s="6" t="n">
        <v>0</v>
      </c>
      <c r="AA40" s="6" t="n">
        <v>0</v>
      </c>
      <c r="AB40" s="6" t="n">
        <v>0</v>
      </c>
      <c r="AC40" s="6" t="n">
        <v>0</v>
      </c>
      <c r="AD40" s="6" t="n">
        <v>0</v>
      </c>
      <c r="AE40" s="6" t="n">
        <v>0</v>
      </c>
    </row>
    <row r="41">
      <c r="A41" s="11" t="n">
        <v>11</v>
      </c>
      <c r="B41" s="13">
        <f>IF(A41=1,"Safe (Start)",IF(OR(A41=$B$10,A41=$B$11),"Milestone",IF(AND($B$9&gt;0,MOD(A41,$B$9)=0),"Safe","Standard")))</f>
        <v/>
      </c>
      <c r="C41" s="13">
        <f>MIN(6,MAX(1,ROUNDUP(A41/$B$12,0)))</f>
        <v/>
      </c>
      <c r="D41" s="6">
        <f>$B$7</f>
        <v/>
      </c>
      <c r="E41" s="13">
        <f>MAX(0,$D41-$F41-$G41)</f>
        <v/>
      </c>
      <c r="F41" s="13">
        <f>IF($B41="Standard",$B$8,0)</f>
        <v/>
      </c>
      <c r="G41" s="6" t="n">
        <v>0</v>
      </c>
      <c r="H41" s="13">
        <f>IF($E41+$F41+$G41=$D41,"OK","MISMATCH")</f>
        <v/>
      </c>
      <c r="I41" s="15">
        <f>IF($D41&lt;=0,0,($D41-$F41)/$D41)</f>
        <v/>
      </c>
      <c r="J41" s="15">
        <f>IF($D41-$F41&lt;=0,0,$E41/($D41-$F41))</f>
        <v/>
      </c>
      <c r="K41" s="6" t="n">
        <v>0</v>
      </c>
      <c r="L41" s="6" t="n">
        <v>0</v>
      </c>
      <c r="M41" s="6" t="n">
        <v>0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</v>
      </c>
      <c r="W41" s="6" t="n">
        <v>0</v>
      </c>
      <c r="X41" s="6" t="n">
        <v>0</v>
      </c>
      <c r="Y41" s="6" t="n">
        <v>0</v>
      </c>
      <c r="Z41" s="6" t="n">
        <v>0</v>
      </c>
      <c r="AA41" s="6" t="n">
        <v>0</v>
      </c>
      <c r="AB41" s="6" t="n">
        <v>0</v>
      </c>
      <c r="AC41" s="6" t="n">
        <v>0</v>
      </c>
      <c r="AD41" s="6" t="n">
        <v>0</v>
      </c>
      <c r="AE41" s="6" t="n">
        <v>0</v>
      </c>
    </row>
    <row r="42">
      <c r="A42" s="11" t="n">
        <v>12</v>
      </c>
      <c r="B42" s="13">
        <f>IF(A42=1,"Safe (Start)",IF(OR(A42=$B$10,A42=$B$11),"Milestone",IF(AND($B$9&gt;0,MOD(A42,$B$9)=0),"Safe","Standard")))</f>
        <v/>
      </c>
      <c r="C42" s="13">
        <f>MIN(6,MAX(1,ROUNDUP(A42/$B$12,0)))</f>
        <v/>
      </c>
      <c r="D42" s="6">
        <f>$B$7</f>
        <v/>
      </c>
      <c r="E42" s="13">
        <f>MAX(0,$D42-$F42-$G42)</f>
        <v/>
      </c>
      <c r="F42" s="13">
        <f>IF($B42="Standard",$B$8,0)</f>
        <v/>
      </c>
      <c r="G42" s="6" t="n">
        <v>0</v>
      </c>
      <c r="H42" s="13">
        <f>IF($E42+$F42+$G42=$D42,"OK","MISMATCH")</f>
        <v/>
      </c>
      <c r="I42" s="15">
        <f>IF($D42&lt;=0,0,($D42-$F42)/$D42)</f>
        <v/>
      </c>
      <c r="J42" s="15">
        <f>IF($D42-$F42&lt;=0,0,$E42/($D42-$F42))</f>
        <v/>
      </c>
      <c r="K42" s="6" t="n">
        <v>0</v>
      </c>
      <c r="L42" s="6" t="n">
        <v>0</v>
      </c>
      <c r="M42" s="6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0</v>
      </c>
      <c r="Y42" s="6" t="n">
        <v>0</v>
      </c>
      <c r="Z42" s="6" t="n">
        <v>0</v>
      </c>
      <c r="AA42" s="6" t="n">
        <v>0</v>
      </c>
      <c r="AB42" s="6" t="n">
        <v>0</v>
      </c>
      <c r="AC42" s="6" t="n">
        <v>0</v>
      </c>
      <c r="AD42" s="6" t="n">
        <v>0</v>
      </c>
      <c r="AE42" s="6" t="n">
        <v>0</v>
      </c>
    </row>
    <row r="43">
      <c r="A43" s="11" t="n">
        <v>13</v>
      </c>
      <c r="B43" s="13">
        <f>IF(A43=1,"Safe (Start)",IF(OR(A43=$B$10,A43=$B$11),"Milestone",IF(AND($B$9&gt;0,MOD(A43,$B$9)=0),"Safe","Standard")))</f>
        <v/>
      </c>
      <c r="C43" s="13">
        <f>MIN(6,MAX(1,ROUNDUP(A43/$B$12,0)))</f>
        <v/>
      </c>
      <c r="D43" s="6">
        <f>$B$7</f>
        <v/>
      </c>
      <c r="E43" s="13">
        <f>MAX(0,$D43-$F43-$G43)</f>
        <v/>
      </c>
      <c r="F43" s="13">
        <f>IF($B43="Standard",$B$8,0)</f>
        <v/>
      </c>
      <c r="G43" s="6" t="n">
        <v>0</v>
      </c>
      <c r="H43" s="13">
        <f>IF($E43+$F43+$G43=$D43,"OK","MISMATCH")</f>
        <v/>
      </c>
      <c r="I43" s="15">
        <f>IF($D43&lt;=0,0,($D43-$F43)/$D43)</f>
        <v/>
      </c>
      <c r="J43" s="15">
        <f>IF($D43-$F43&lt;=0,0,$E43/($D43-$F43))</f>
        <v/>
      </c>
      <c r="K43" s="6" t="n">
        <v>0</v>
      </c>
      <c r="L43" s="6" t="n">
        <v>0</v>
      </c>
      <c r="M43" s="6" t="n">
        <v>0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0</v>
      </c>
      <c r="V43" s="6" t="n">
        <v>0</v>
      </c>
      <c r="W43" s="6" t="n">
        <v>0</v>
      </c>
      <c r="X43" s="6" t="n">
        <v>0</v>
      </c>
      <c r="Y43" s="6" t="n">
        <v>0</v>
      </c>
      <c r="Z43" s="6" t="n">
        <v>0</v>
      </c>
      <c r="AA43" s="6" t="n">
        <v>0</v>
      </c>
      <c r="AB43" s="6" t="n">
        <v>0</v>
      </c>
      <c r="AC43" s="6" t="n">
        <v>0</v>
      </c>
      <c r="AD43" s="6" t="n">
        <v>0</v>
      </c>
      <c r="AE43" s="6" t="n">
        <v>0</v>
      </c>
    </row>
    <row r="44">
      <c r="A44" s="11" t="n">
        <v>14</v>
      </c>
      <c r="B44" s="13">
        <f>IF(A44=1,"Safe (Start)",IF(OR(A44=$B$10,A44=$B$11),"Milestone",IF(AND($B$9&gt;0,MOD(A44,$B$9)=0),"Safe","Standard")))</f>
        <v/>
      </c>
      <c r="C44" s="13">
        <f>MIN(6,MAX(1,ROUNDUP(A44/$B$12,0)))</f>
        <v/>
      </c>
      <c r="D44" s="6">
        <f>$B$7</f>
        <v/>
      </c>
      <c r="E44" s="13">
        <f>MAX(0,$D44-$F44-$G44)</f>
        <v/>
      </c>
      <c r="F44" s="13">
        <f>IF($B44="Standard",$B$8,0)</f>
        <v/>
      </c>
      <c r="G44" s="6" t="n">
        <v>0</v>
      </c>
      <c r="H44" s="13">
        <f>IF($E44+$F44+$G44=$D44,"OK","MISMATCH")</f>
        <v/>
      </c>
      <c r="I44" s="15">
        <f>IF($D44&lt;=0,0,($D44-$F44)/$D44)</f>
        <v/>
      </c>
      <c r="J44" s="15">
        <f>IF($D44-$F44&lt;=0,0,$E44/($D44-$F44))</f>
        <v/>
      </c>
      <c r="K44" s="6" t="n">
        <v>0</v>
      </c>
      <c r="L44" s="6" t="n">
        <v>0</v>
      </c>
      <c r="M44" s="6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</v>
      </c>
      <c r="W44" s="6" t="n">
        <v>0</v>
      </c>
      <c r="X44" s="6" t="n">
        <v>0</v>
      </c>
      <c r="Y44" s="6" t="n">
        <v>0</v>
      </c>
      <c r="Z44" s="6" t="n">
        <v>0</v>
      </c>
      <c r="AA44" s="6" t="n">
        <v>0</v>
      </c>
      <c r="AB44" s="6" t="n">
        <v>0</v>
      </c>
      <c r="AC44" s="6" t="n">
        <v>0</v>
      </c>
      <c r="AD44" s="6" t="n">
        <v>0</v>
      </c>
      <c r="AE44" s="6" t="n">
        <v>0</v>
      </c>
    </row>
    <row r="45">
      <c r="A45" s="11" t="n">
        <v>15</v>
      </c>
      <c r="B45" s="13">
        <f>IF(A45=1,"Safe (Start)",IF(OR(A45=$B$10,A45=$B$11),"Milestone",IF(AND($B$9&gt;0,MOD(A45,$B$9)=0),"Safe","Standard")))</f>
        <v/>
      </c>
      <c r="C45" s="13">
        <f>MIN(6,MAX(1,ROUNDUP(A45/$B$12,0)))</f>
        <v/>
      </c>
      <c r="D45" s="6">
        <f>$B$7</f>
        <v/>
      </c>
      <c r="E45" s="13">
        <f>MAX(0,$D45-$F45-$G45)</f>
        <v/>
      </c>
      <c r="F45" s="13">
        <f>IF($B45="Standard",$B$8,0)</f>
        <v/>
      </c>
      <c r="G45" s="6" t="n">
        <v>0</v>
      </c>
      <c r="H45" s="13">
        <f>IF($E45+$F45+$G45=$D45,"OK","MISMATCH")</f>
        <v/>
      </c>
      <c r="I45" s="15">
        <f>IF($D45&lt;=0,0,($D45-$F45)/$D45)</f>
        <v/>
      </c>
      <c r="J45" s="15">
        <f>IF($D45-$F45&lt;=0,0,$E45/($D45-$F45))</f>
        <v/>
      </c>
      <c r="K45" s="6" t="n">
        <v>0</v>
      </c>
      <c r="L45" s="6" t="n">
        <v>0</v>
      </c>
      <c r="M45" s="6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</v>
      </c>
      <c r="W45" s="6" t="n">
        <v>0</v>
      </c>
      <c r="X45" s="6" t="n">
        <v>0</v>
      </c>
      <c r="Y45" s="6" t="n">
        <v>0</v>
      </c>
      <c r="Z45" s="6" t="n">
        <v>0</v>
      </c>
      <c r="AA45" s="6" t="n">
        <v>0</v>
      </c>
      <c r="AB45" s="6" t="n">
        <v>0</v>
      </c>
      <c r="AC45" s="6" t="n">
        <v>0</v>
      </c>
      <c r="AD45" s="6" t="n">
        <v>0</v>
      </c>
      <c r="AE45" s="6" t="n">
        <v>0</v>
      </c>
    </row>
    <row r="46">
      <c r="A46" s="11" t="n">
        <v>16</v>
      </c>
      <c r="B46" s="13">
        <f>IF(A46=1,"Safe (Start)",IF(OR(A46=$B$10,A46=$B$11),"Milestone",IF(AND($B$9&gt;0,MOD(A46,$B$9)=0),"Safe","Standard")))</f>
        <v/>
      </c>
      <c r="C46" s="13">
        <f>MIN(6,MAX(1,ROUNDUP(A46/$B$12,0)))</f>
        <v/>
      </c>
      <c r="D46" s="6">
        <f>$B$7</f>
        <v/>
      </c>
      <c r="E46" s="13">
        <f>MAX(0,$D46-$F46-$G46)</f>
        <v/>
      </c>
      <c r="F46" s="13">
        <f>IF($B46="Standard",$B$8,0)</f>
        <v/>
      </c>
      <c r="G46" s="6" t="n">
        <v>0</v>
      </c>
      <c r="H46" s="13">
        <f>IF($E46+$F46+$G46=$D46,"OK","MISMATCH")</f>
        <v/>
      </c>
      <c r="I46" s="15">
        <f>IF($D46&lt;=0,0,($D46-$F46)/$D46)</f>
        <v/>
      </c>
      <c r="J46" s="15">
        <f>IF($D46-$F46&lt;=0,0,$E46/($D46-$F46))</f>
        <v/>
      </c>
      <c r="K46" s="6" t="n">
        <v>0</v>
      </c>
      <c r="L46" s="6" t="n">
        <v>0</v>
      </c>
      <c r="M46" s="6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</v>
      </c>
      <c r="W46" s="6" t="n">
        <v>0</v>
      </c>
      <c r="X46" s="6" t="n">
        <v>0</v>
      </c>
      <c r="Y46" s="6" t="n">
        <v>0</v>
      </c>
      <c r="Z46" s="6" t="n">
        <v>0</v>
      </c>
      <c r="AA46" s="6" t="n">
        <v>0</v>
      </c>
      <c r="AB46" s="6" t="n">
        <v>0</v>
      </c>
      <c r="AC46" s="6" t="n">
        <v>0</v>
      </c>
      <c r="AD46" s="6" t="n">
        <v>0</v>
      </c>
      <c r="AE46" s="6" t="n">
        <v>0</v>
      </c>
    </row>
    <row r="47">
      <c r="A47" s="11" t="n">
        <v>17</v>
      </c>
      <c r="B47" s="13">
        <f>IF(A47=1,"Safe (Start)",IF(OR(A47=$B$10,A47=$B$11),"Milestone",IF(AND($B$9&gt;0,MOD(A47,$B$9)=0),"Safe","Standard")))</f>
        <v/>
      </c>
      <c r="C47" s="13">
        <f>MIN(6,MAX(1,ROUNDUP(A47/$B$12,0)))</f>
        <v/>
      </c>
      <c r="D47" s="6">
        <f>$B$7</f>
        <v/>
      </c>
      <c r="E47" s="13">
        <f>MAX(0,$D47-$F47-$G47)</f>
        <v/>
      </c>
      <c r="F47" s="13">
        <f>IF($B47="Standard",$B$8,0)</f>
        <v/>
      </c>
      <c r="G47" s="6" t="n">
        <v>0</v>
      </c>
      <c r="H47" s="13">
        <f>IF($E47+$F47+$G47=$D47,"OK","MISMATCH")</f>
        <v/>
      </c>
      <c r="I47" s="15">
        <f>IF($D47&lt;=0,0,($D47-$F47)/$D47)</f>
        <v/>
      </c>
      <c r="J47" s="15">
        <f>IF($D47-$F47&lt;=0,0,$E47/($D47-$F47))</f>
        <v/>
      </c>
      <c r="K47" s="6" t="n">
        <v>0</v>
      </c>
      <c r="L47" s="6" t="n">
        <v>0</v>
      </c>
      <c r="M47" s="6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</v>
      </c>
      <c r="W47" s="6" t="n">
        <v>0</v>
      </c>
      <c r="X47" s="6" t="n">
        <v>0</v>
      </c>
      <c r="Y47" s="6" t="n">
        <v>0</v>
      </c>
      <c r="Z47" s="6" t="n">
        <v>0</v>
      </c>
      <c r="AA47" s="6" t="n">
        <v>0</v>
      </c>
      <c r="AB47" s="6" t="n">
        <v>0</v>
      </c>
      <c r="AC47" s="6" t="n">
        <v>0</v>
      </c>
      <c r="AD47" s="6" t="n">
        <v>0</v>
      </c>
      <c r="AE47" s="6" t="n">
        <v>0</v>
      </c>
    </row>
    <row r="48">
      <c r="A48" s="11" t="n">
        <v>18</v>
      </c>
      <c r="B48" s="13">
        <f>IF(A48=1,"Safe (Start)",IF(OR(A48=$B$10,A48=$B$11),"Milestone",IF(AND($B$9&gt;0,MOD(A48,$B$9)=0),"Safe","Standard")))</f>
        <v/>
      </c>
      <c r="C48" s="13">
        <f>MIN(6,MAX(1,ROUNDUP(A48/$B$12,0)))</f>
        <v/>
      </c>
      <c r="D48" s="6">
        <f>$B$7</f>
        <v/>
      </c>
      <c r="E48" s="13">
        <f>MAX(0,$D48-$F48-$G48)</f>
        <v/>
      </c>
      <c r="F48" s="13">
        <f>IF($B48="Standard",$B$8,0)</f>
        <v/>
      </c>
      <c r="G48" s="6" t="n">
        <v>0</v>
      </c>
      <c r="H48" s="13">
        <f>IF($E48+$F48+$G48=$D48,"OK","MISMATCH")</f>
        <v/>
      </c>
      <c r="I48" s="15">
        <f>IF($D48&lt;=0,0,($D48-$F48)/$D48)</f>
        <v/>
      </c>
      <c r="J48" s="15">
        <f>IF($D48-$F48&lt;=0,0,$E48/($D48-$F48))</f>
        <v/>
      </c>
      <c r="K48" s="6" t="n">
        <v>0</v>
      </c>
      <c r="L48" s="6" t="n">
        <v>0</v>
      </c>
      <c r="M48" s="6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s="6" t="n">
        <v>0</v>
      </c>
      <c r="T48" s="6" t="n">
        <v>0</v>
      </c>
      <c r="U48" s="6" t="n">
        <v>0</v>
      </c>
      <c r="V48" s="6" t="n">
        <v>0</v>
      </c>
      <c r="W48" s="6" t="n">
        <v>0</v>
      </c>
      <c r="X48" s="6" t="n">
        <v>0</v>
      </c>
      <c r="Y48" s="6" t="n">
        <v>0</v>
      </c>
      <c r="Z48" s="6" t="n">
        <v>0</v>
      </c>
      <c r="AA48" s="6" t="n">
        <v>0</v>
      </c>
      <c r="AB48" s="6" t="n">
        <v>0</v>
      </c>
      <c r="AC48" s="6" t="n">
        <v>0</v>
      </c>
      <c r="AD48" s="6" t="n">
        <v>0</v>
      </c>
      <c r="AE48" s="6" t="n">
        <v>0</v>
      </c>
    </row>
    <row r="49">
      <c r="A49" s="11" t="n">
        <v>19</v>
      </c>
      <c r="B49" s="13">
        <f>IF(A49=1,"Safe (Start)",IF(OR(A49=$B$10,A49=$B$11),"Milestone",IF(AND($B$9&gt;0,MOD(A49,$B$9)=0),"Safe","Standard")))</f>
        <v/>
      </c>
      <c r="C49" s="13">
        <f>MIN(6,MAX(1,ROUNDUP(A49/$B$12,0)))</f>
        <v/>
      </c>
      <c r="D49" s="6">
        <f>$B$7</f>
        <v/>
      </c>
      <c r="E49" s="13">
        <f>MAX(0,$D49-$F49-$G49)</f>
        <v/>
      </c>
      <c r="F49" s="13">
        <f>IF($B49="Standard",$B$8,0)</f>
        <v/>
      </c>
      <c r="G49" s="6" t="n">
        <v>0</v>
      </c>
      <c r="H49" s="13">
        <f>IF($E49+$F49+$G49=$D49,"OK","MISMATCH")</f>
        <v/>
      </c>
      <c r="I49" s="15">
        <f>IF($D49&lt;=0,0,($D49-$F49)/$D49)</f>
        <v/>
      </c>
      <c r="J49" s="15">
        <f>IF($D49-$F49&lt;=0,0,$E49/($D49-$F49))</f>
        <v/>
      </c>
      <c r="K49" s="6" t="n">
        <v>0</v>
      </c>
      <c r="L49" s="6" t="n">
        <v>0</v>
      </c>
      <c r="M49" s="6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</v>
      </c>
      <c r="W49" s="6" t="n">
        <v>0</v>
      </c>
      <c r="X49" s="6" t="n">
        <v>0</v>
      </c>
      <c r="Y49" s="6" t="n">
        <v>0</v>
      </c>
      <c r="Z49" s="6" t="n">
        <v>0</v>
      </c>
      <c r="AA49" s="6" t="n">
        <v>0</v>
      </c>
      <c r="AB49" s="6" t="n">
        <v>0</v>
      </c>
      <c r="AC49" s="6" t="n">
        <v>0</v>
      </c>
      <c r="AD49" s="6" t="n">
        <v>0</v>
      </c>
      <c r="AE49" s="6" t="n">
        <v>0</v>
      </c>
    </row>
    <row r="50">
      <c r="A50" s="11" t="n">
        <v>20</v>
      </c>
      <c r="B50" s="13">
        <f>IF(A50=1,"Safe (Start)",IF(OR(A50=$B$10,A50=$B$11),"Milestone",IF(AND($B$9&gt;0,MOD(A50,$B$9)=0),"Safe","Standard")))</f>
        <v/>
      </c>
      <c r="C50" s="13">
        <f>MIN(6,MAX(1,ROUNDUP(A50/$B$12,0)))</f>
        <v/>
      </c>
      <c r="D50" s="6">
        <f>$B$7</f>
        <v/>
      </c>
      <c r="E50" s="13">
        <f>MAX(0,$D50-$F50-$G50)</f>
        <v/>
      </c>
      <c r="F50" s="13">
        <f>IF($B50="Standard",$B$8,0)</f>
        <v/>
      </c>
      <c r="G50" s="6" t="n">
        <v>0</v>
      </c>
      <c r="H50" s="13">
        <f>IF($E50+$F50+$G50=$D50,"OK","MISMATCH")</f>
        <v/>
      </c>
      <c r="I50" s="15">
        <f>IF($D50&lt;=0,0,($D50-$F50)/$D50)</f>
        <v/>
      </c>
      <c r="J50" s="15">
        <f>IF($D50-$F50&lt;=0,0,$E50/($D50-$F50))</f>
        <v/>
      </c>
      <c r="K50" s="6" t="n">
        <v>0</v>
      </c>
      <c r="L50" s="6" t="n">
        <v>0</v>
      </c>
      <c r="M50" s="6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</v>
      </c>
      <c r="W50" s="6" t="n">
        <v>0</v>
      </c>
      <c r="X50" s="6" t="n">
        <v>0</v>
      </c>
      <c r="Y50" s="6" t="n">
        <v>0</v>
      </c>
      <c r="Z50" s="6" t="n">
        <v>0</v>
      </c>
      <c r="AA50" s="6" t="n">
        <v>0</v>
      </c>
      <c r="AB50" s="6" t="n">
        <v>0</v>
      </c>
      <c r="AC50" s="6" t="n">
        <v>0</v>
      </c>
      <c r="AD50" s="6" t="n">
        <v>0</v>
      </c>
      <c r="AE50" s="6" t="n">
        <v>0</v>
      </c>
    </row>
    <row r="51">
      <c r="A51" s="11" t="n">
        <v>21</v>
      </c>
      <c r="B51" s="13">
        <f>IF(A51=1,"Safe (Start)",IF(OR(A51=$B$10,A51=$B$11),"Milestone",IF(AND($B$9&gt;0,MOD(A51,$B$9)=0),"Safe","Standard")))</f>
        <v/>
      </c>
      <c r="C51" s="13">
        <f>MIN(6,MAX(1,ROUNDUP(A51/$B$12,0)))</f>
        <v/>
      </c>
      <c r="D51" s="6">
        <f>$B$7</f>
        <v/>
      </c>
      <c r="E51" s="13">
        <f>MAX(0,$D51-$F51-$G51)</f>
        <v/>
      </c>
      <c r="F51" s="13">
        <f>IF($B51="Standard",$B$8,0)</f>
        <v/>
      </c>
      <c r="G51" s="6" t="n">
        <v>0</v>
      </c>
      <c r="H51" s="13">
        <f>IF($E51+$F51+$G51=$D51,"OK","MISMATCH")</f>
        <v/>
      </c>
      <c r="I51" s="15">
        <f>IF($D51&lt;=0,0,($D51-$F51)/$D51)</f>
        <v/>
      </c>
      <c r="J51" s="15">
        <f>IF($D51-$F51&lt;=0,0,$E51/($D51-$F51))</f>
        <v/>
      </c>
      <c r="K51" s="6" t="n">
        <v>0</v>
      </c>
      <c r="L51" s="6" t="n">
        <v>0</v>
      </c>
      <c r="M51" s="6" t="n">
        <v>0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</v>
      </c>
      <c r="W51" s="6" t="n">
        <v>0</v>
      </c>
      <c r="X51" s="6" t="n">
        <v>0</v>
      </c>
      <c r="Y51" s="6" t="n">
        <v>0</v>
      </c>
      <c r="Z51" s="6" t="n">
        <v>0</v>
      </c>
      <c r="AA51" s="6" t="n">
        <v>0</v>
      </c>
      <c r="AB51" s="6" t="n">
        <v>0</v>
      </c>
      <c r="AC51" s="6" t="n">
        <v>0</v>
      </c>
      <c r="AD51" s="6" t="n">
        <v>0</v>
      </c>
      <c r="AE51" s="6" t="n">
        <v>0</v>
      </c>
    </row>
    <row r="52">
      <c r="A52" s="11" t="n">
        <v>22</v>
      </c>
      <c r="B52" s="13">
        <f>IF(A52=1,"Safe (Start)",IF(OR(A52=$B$10,A52=$B$11),"Milestone",IF(AND($B$9&gt;0,MOD(A52,$B$9)=0),"Safe","Standard")))</f>
        <v/>
      </c>
      <c r="C52" s="13">
        <f>MIN(6,MAX(1,ROUNDUP(A52/$B$12,0)))</f>
        <v/>
      </c>
      <c r="D52" s="6">
        <f>$B$7</f>
        <v/>
      </c>
      <c r="E52" s="13">
        <f>MAX(0,$D52-$F52-$G52)</f>
        <v/>
      </c>
      <c r="F52" s="13">
        <f>IF($B52="Standard",$B$8,0)</f>
        <v/>
      </c>
      <c r="G52" s="6" t="n">
        <v>0</v>
      </c>
      <c r="H52" s="13">
        <f>IF($E52+$F52+$G52=$D52,"OK","MISMATCH")</f>
        <v/>
      </c>
      <c r="I52" s="15">
        <f>IF($D52&lt;=0,0,($D52-$F52)/$D52)</f>
        <v/>
      </c>
      <c r="J52" s="15">
        <f>IF($D52-$F52&lt;=0,0,$E52/($D52-$F52))</f>
        <v/>
      </c>
      <c r="K52" s="6" t="n">
        <v>0</v>
      </c>
      <c r="L52" s="6" t="n">
        <v>0</v>
      </c>
      <c r="M52" s="6" t="n">
        <v>0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</v>
      </c>
      <c r="W52" s="6" t="n">
        <v>0</v>
      </c>
      <c r="X52" s="6" t="n">
        <v>0</v>
      </c>
      <c r="Y52" s="6" t="n">
        <v>0</v>
      </c>
      <c r="Z52" s="6" t="n">
        <v>0</v>
      </c>
      <c r="AA52" s="6" t="n">
        <v>0</v>
      </c>
      <c r="AB52" s="6" t="n">
        <v>0</v>
      </c>
      <c r="AC52" s="6" t="n">
        <v>0</v>
      </c>
      <c r="AD52" s="6" t="n">
        <v>0</v>
      </c>
      <c r="AE52" s="6" t="n">
        <v>0</v>
      </c>
    </row>
    <row r="53">
      <c r="A53" s="11" t="n">
        <v>23</v>
      </c>
      <c r="B53" s="13">
        <f>IF(A53=1,"Safe (Start)",IF(OR(A53=$B$10,A53=$B$11),"Milestone",IF(AND($B$9&gt;0,MOD(A53,$B$9)=0),"Safe","Standard")))</f>
        <v/>
      </c>
      <c r="C53" s="13">
        <f>MIN(6,MAX(1,ROUNDUP(A53/$B$12,0)))</f>
        <v/>
      </c>
      <c r="D53" s="6">
        <f>$B$7</f>
        <v/>
      </c>
      <c r="E53" s="13">
        <f>MAX(0,$D53-$F53-$G53)</f>
        <v/>
      </c>
      <c r="F53" s="13">
        <f>IF($B53="Standard",$B$8,0)</f>
        <v/>
      </c>
      <c r="G53" s="6" t="n">
        <v>0</v>
      </c>
      <c r="H53" s="13">
        <f>IF($E53+$F53+$G53=$D53,"OK","MISMATCH")</f>
        <v/>
      </c>
      <c r="I53" s="15">
        <f>IF($D53&lt;=0,0,($D53-$F53)/$D53)</f>
        <v/>
      </c>
      <c r="J53" s="15">
        <f>IF($D53-$F53&lt;=0,0,$E53/($D53-$F53))</f>
        <v/>
      </c>
      <c r="K53" s="6" t="n">
        <v>0</v>
      </c>
      <c r="L53" s="6" t="n">
        <v>0</v>
      </c>
      <c r="M53" s="6" t="n">
        <v>0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</v>
      </c>
      <c r="W53" s="6" t="n">
        <v>0</v>
      </c>
      <c r="X53" s="6" t="n">
        <v>0</v>
      </c>
      <c r="Y53" s="6" t="n">
        <v>0</v>
      </c>
      <c r="Z53" s="6" t="n">
        <v>0</v>
      </c>
      <c r="AA53" s="6" t="n">
        <v>0</v>
      </c>
      <c r="AB53" s="6" t="n">
        <v>0</v>
      </c>
      <c r="AC53" s="6" t="n">
        <v>0</v>
      </c>
      <c r="AD53" s="6" t="n">
        <v>0</v>
      </c>
      <c r="AE53" s="6" t="n">
        <v>0</v>
      </c>
    </row>
    <row r="54">
      <c r="A54" s="11" t="n">
        <v>24</v>
      </c>
      <c r="B54" s="13">
        <f>IF(A54=1,"Safe (Start)",IF(OR(A54=$B$10,A54=$B$11),"Milestone",IF(AND($B$9&gt;0,MOD(A54,$B$9)=0),"Safe","Standard")))</f>
        <v/>
      </c>
      <c r="C54" s="13">
        <f>MIN(6,MAX(1,ROUNDUP(A54/$B$12,0)))</f>
        <v/>
      </c>
      <c r="D54" s="6">
        <f>$B$7</f>
        <v/>
      </c>
      <c r="E54" s="13">
        <f>MAX(0,$D54-$F54-$G54)</f>
        <v/>
      </c>
      <c r="F54" s="13">
        <f>IF($B54="Standard",$B$8,0)</f>
        <v/>
      </c>
      <c r="G54" s="6" t="n">
        <v>0</v>
      </c>
      <c r="H54" s="13">
        <f>IF($E54+$F54+$G54=$D54,"OK","MISMATCH")</f>
        <v/>
      </c>
      <c r="I54" s="15">
        <f>IF($D54&lt;=0,0,($D54-$F54)/$D54)</f>
        <v/>
      </c>
      <c r="J54" s="15">
        <f>IF($D54-$F54&lt;=0,0,$E54/($D54-$F54))</f>
        <v/>
      </c>
      <c r="K54" s="6" t="n">
        <v>0</v>
      </c>
      <c r="L54" s="6" t="n">
        <v>0</v>
      </c>
      <c r="M54" s="6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</v>
      </c>
      <c r="W54" s="6" t="n">
        <v>0</v>
      </c>
      <c r="X54" s="6" t="n">
        <v>0</v>
      </c>
      <c r="Y54" s="6" t="n">
        <v>0</v>
      </c>
      <c r="Z54" s="6" t="n">
        <v>0</v>
      </c>
      <c r="AA54" s="6" t="n">
        <v>0</v>
      </c>
      <c r="AB54" s="6" t="n">
        <v>0</v>
      </c>
      <c r="AC54" s="6" t="n">
        <v>0</v>
      </c>
      <c r="AD54" s="6" t="n">
        <v>0</v>
      </c>
      <c r="AE54" s="6" t="n">
        <v>0</v>
      </c>
    </row>
    <row r="55">
      <c r="A55" s="11" t="n">
        <v>25</v>
      </c>
      <c r="B55" s="13">
        <f>IF(A55=1,"Safe (Start)",IF(OR(A55=$B$10,A55=$B$11),"Milestone",IF(AND($B$9&gt;0,MOD(A55,$B$9)=0),"Safe","Standard")))</f>
        <v/>
      </c>
      <c r="C55" s="13">
        <f>MIN(6,MAX(1,ROUNDUP(A55/$B$12,0)))</f>
        <v/>
      </c>
      <c r="D55" s="6">
        <f>$B$7</f>
        <v/>
      </c>
      <c r="E55" s="13">
        <f>MAX(0,$D55-$F55-$G55)</f>
        <v/>
      </c>
      <c r="F55" s="13">
        <f>IF($B55="Standard",$B$8,0)</f>
        <v/>
      </c>
      <c r="G55" s="6" t="n">
        <v>0</v>
      </c>
      <c r="H55" s="13">
        <f>IF($E55+$F55+$G55=$D55,"OK","MISMATCH")</f>
        <v/>
      </c>
      <c r="I55" s="15">
        <f>IF($D55&lt;=0,0,($D55-$F55)/$D55)</f>
        <v/>
      </c>
      <c r="J55" s="15">
        <f>IF($D55-$F55&lt;=0,0,$E55/($D55-$F55))</f>
        <v/>
      </c>
      <c r="K55" s="6" t="n">
        <v>0</v>
      </c>
      <c r="L55" s="6" t="n">
        <v>0</v>
      </c>
      <c r="M55" s="6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</v>
      </c>
      <c r="W55" s="6" t="n">
        <v>0</v>
      </c>
      <c r="X55" s="6" t="n">
        <v>0</v>
      </c>
      <c r="Y55" s="6" t="n">
        <v>0</v>
      </c>
      <c r="Z55" s="6" t="n">
        <v>0</v>
      </c>
      <c r="AA55" s="6" t="n">
        <v>0</v>
      </c>
      <c r="AB55" s="6" t="n">
        <v>0</v>
      </c>
      <c r="AC55" s="6" t="n">
        <v>0</v>
      </c>
      <c r="AD55" s="6" t="n">
        <v>0</v>
      </c>
      <c r="AE55" s="6" t="n">
        <v>0</v>
      </c>
    </row>
    <row r="56">
      <c r="A56" s="11" t="n">
        <v>26</v>
      </c>
      <c r="B56" s="13">
        <f>IF(A56=1,"Safe (Start)",IF(OR(A56=$B$10,A56=$B$11),"Milestone",IF(AND($B$9&gt;0,MOD(A56,$B$9)=0),"Safe","Standard")))</f>
        <v/>
      </c>
      <c r="C56" s="13">
        <f>MIN(6,MAX(1,ROUNDUP(A56/$B$12,0)))</f>
        <v/>
      </c>
      <c r="D56" s="6">
        <f>$B$7</f>
        <v/>
      </c>
      <c r="E56" s="13">
        <f>MAX(0,$D56-$F56-$G56)</f>
        <v/>
      </c>
      <c r="F56" s="13">
        <f>IF($B56="Standard",$B$8,0)</f>
        <v/>
      </c>
      <c r="G56" s="6" t="n">
        <v>0</v>
      </c>
      <c r="H56" s="13">
        <f>IF($E56+$F56+$G56=$D56,"OK","MISMATCH")</f>
        <v/>
      </c>
      <c r="I56" s="15">
        <f>IF($D56&lt;=0,0,($D56-$F56)/$D56)</f>
        <v/>
      </c>
      <c r="J56" s="15">
        <f>IF($D56-$F56&lt;=0,0,$E56/($D56-$F56))</f>
        <v/>
      </c>
      <c r="K56" s="6" t="n">
        <v>0</v>
      </c>
      <c r="L56" s="6" t="n">
        <v>0</v>
      </c>
      <c r="M56" s="6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</v>
      </c>
      <c r="W56" s="6" t="n">
        <v>0</v>
      </c>
      <c r="X56" s="6" t="n">
        <v>0</v>
      </c>
      <c r="Y56" s="6" t="n">
        <v>0</v>
      </c>
      <c r="Z56" s="6" t="n">
        <v>0</v>
      </c>
      <c r="AA56" s="6" t="n">
        <v>0</v>
      </c>
      <c r="AB56" s="6" t="n">
        <v>0</v>
      </c>
      <c r="AC56" s="6" t="n">
        <v>0</v>
      </c>
      <c r="AD56" s="6" t="n">
        <v>0</v>
      </c>
      <c r="AE56" s="6" t="n">
        <v>0</v>
      </c>
    </row>
    <row r="57">
      <c r="A57" s="11" t="n">
        <v>27</v>
      </c>
      <c r="B57" s="13">
        <f>IF(A57=1,"Safe (Start)",IF(OR(A57=$B$10,A57=$B$11),"Milestone",IF(AND($B$9&gt;0,MOD(A57,$B$9)=0),"Safe","Standard")))</f>
        <v/>
      </c>
      <c r="C57" s="13">
        <f>MIN(6,MAX(1,ROUNDUP(A57/$B$12,0)))</f>
        <v/>
      </c>
      <c r="D57" s="6">
        <f>$B$7</f>
        <v/>
      </c>
      <c r="E57" s="13">
        <f>MAX(0,$D57-$F57-$G57)</f>
        <v/>
      </c>
      <c r="F57" s="13">
        <f>IF($B57="Standard",$B$8,0)</f>
        <v/>
      </c>
      <c r="G57" s="6" t="n">
        <v>0</v>
      </c>
      <c r="H57" s="13">
        <f>IF($E57+$F57+$G57=$D57,"OK","MISMATCH")</f>
        <v/>
      </c>
      <c r="I57" s="15">
        <f>IF($D57&lt;=0,0,($D57-$F57)/$D57)</f>
        <v/>
      </c>
      <c r="J57" s="15">
        <f>IF($D57-$F57&lt;=0,0,$E57/($D57-$F57))</f>
        <v/>
      </c>
      <c r="K57" s="6" t="n">
        <v>0</v>
      </c>
      <c r="L57" s="6" t="n">
        <v>0</v>
      </c>
      <c r="M57" s="6" t="n">
        <v>0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s="6" t="n">
        <v>0</v>
      </c>
      <c r="T57" s="6" t="n">
        <v>0</v>
      </c>
      <c r="U57" s="6" t="n">
        <v>0</v>
      </c>
      <c r="V57" s="6" t="n">
        <v>0</v>
      </c>
      <c r="W57" s="6" t="n">
        <v>0</v>
      </c>
      <c r="X57" s="6" t="n">
        <v>0</v>
      </c>
      <c r="Y57" s="6" t="n">
        <v>0</v>
      </c>
      <c r="Z57" s="6" t="n">
        <v>0</v>
      </c>
      <c r="AA57" s="6" t="n">
        <v>0</v>
      </c>
      <c r="AB57" s="6" t="n">
        <v>0</v>
      </c>
      <c r="AC57" s="6" t="n">
        <v>0</v>
      </c>
      <c r="AD57" s="6" t="n">
        <v>0</v>
      </c>
      <c r="AE57" s="6" t="n">
        <v>0</v>
      </c>
    </row>
    <row r="58">
      <c r="A58" s="11" t="n">
        <v>28</v>
      </c>
      <c r="B58" s="13">
        <f>IF(A58=1,"Safe (Start)",IF(OR(A58=$B$10,A58=$B$11),"Milestone",IF(AND($B$9&gt;0,MOD(A58,$B$9)=0),"Safe","Standard")))</f>
        <v/>
      </c>
      <c r="C58" s="13">
        <f>MIN(6,MAX(1,ROUNDUP(A58/$B$12,0)))</f>
        <v/>
      </c>
      <c r="D58" s="6">
        <f>$B$7</f>
        <v/>
      </c>
      <c r="E58" s="13">
        <f>MAX(0,$D58-$F58-$G58)</f>
        <v/>
      </c>
      <c r="F58" s="13">
        <f>IF($B58="Standard",$B$8,0)</f>
        <v/>
      </c>
      <c r="G58" s="6" t="n">
        <v>0</v>
      </c>
      <c r="H58" s="13">
        <f>IF($E58+$F58+$G58=$D58,"OK","MISMATCH")</f>
        <v/>
      </c>
      <c r="I58" s="15">
        <f>IF($D58&lt;=0,0,($D58-$F58)/$D58)</f>
        <v/>
      </c>
      <c r="J58" s="15">
        <f>IF($D58-$F58&lt;=0,0,$E58/($D58-$F58))</f>
        <v/>
      </c>
      <c r="K58" s="6" t="n">
        <v>0</v>
      </c>
      <c r="L58" s="6" t="n">
        <v>0</v>
      </c>
      <c r="M58" s="6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</v>
      </c>
      <c r="W58" s="6" t="n">
        <v>0</v>
      </c>
      <c r="X58" s="6" t="n">
        <v>0</v>
      </c>
      <c r="Y58" s="6" t="n">
        <v>0</v>
      </c>
      <c r="Z58" s="6" t="n">
        <v>0</v>
      </c>
      <c r="AA58" s="6" t="n">
        <v>0</v>
      </c>
      <c r="AB58" s="6" t="n">
        <v>0</v>
      </c>
      <c r="AC58" s="6" t="n">
        <v>0</v>
      </c>
      <c r="AD58" s="6" t="n">
        <v>0</v>
      </c>
      <c r="AE58" s="6" t="n">
        <v>0</v>
      </c>
    </row>
    <row r="59">
      <c r="A59" s="11" t="n">
        <v>29</v>
      </c>
      <c r="B59" s="13">
        <f>IF(A59=1,"Safe (Start)",IF(OR(A59=$B$10,A59=$B$11),"Milestone",IF(AND($B$9&gt;0,MOD(A59,$B$9)=0),"Safe","Standard")))</f>
        <v/>
      </c>
      <c r="C59" s="13">
        <f>MIN(6,MAX(1,ROUNDUP(A59/$B$12,0)))</f>
        <v/>
      </c>
      <c r="D59" s="6">
        <f>$B$7</f>
        <v/>
      </c>
      <c r="E59" s="13">
        <f>MAX(0,$D59-$F59-$G59)</f>
        <v/>
      </c>
      <c r="F59" s="13">
        <f>IF($B59="Standard",$B$8,0)</f>
        <v/>
      </c>
      <c r="G59" s="6" t="n">
        <v>0</v>
      </c>
      <c r="H59" s="13">
        <f>IF($E59+$F59+$G59=$D59,"OK","MISMATCH")</f>
        <v/>
      </c>
      <c r="I59" s="15">
        <f>IF($D59&lt;=0,0,($D59-$F59)/$D59)</f>
        <v/>
      </c>
      <c r="J59" s="15">
        <f>IF($D59-$F59&lt;=0,0,$E59/($D59-$F59))</f>
        <v/>
      </c>
      <c r="K59" s="6" t="n">
        <v>0</v>
      </c>
      <c r="L59" s="6" t="n">
        <v>0</v>
      </c>
      <c r="M59" s="6" t="n">
        <v>0</v>
      </c>
      <c r="N59" s="6" t="n">
        <v>0</v>
      </c>
      <c r="O59" s="6" t="n">
        <v>0</v>
      </c>
      <c r="P59" s="6" t="n">
        <v>0</v>
      </c>
      <c r="Q59" s="6" t="n">
        <v>0</v>
      </c>
      <c r="R59" s="6" t="n">
        <v>0</v>
      </c>
      <c r="S59" s="6" t="n">
        <v>0</v>
      </c>
      <c r="T59" s="6" t="n">
        <v>0</v>
      </c>
      <c r="U59" s="6" t="n">
        <v>0</v>
      </c>
      <c r="V59" s="6" t="n">
        <v>0</v>
      </c>
      <c r="W59" s="6" t="n">
        <v>0</v>
      </c>
      <c r="X59" s="6" t="n">
        <v>0</v>
      </c>
      <c r="Y59" s="6" t="n">
        <v>0</v>
      </c>
      <c r="Z59" s="6" t="n">
        <v>0</v>
      </c>
      <c r="AA59" s="6" t="n">
        <v>0</v>
      </c>
      <c r="AB59" s="6" t="n">
        <v>0</v>
      </c>
      <c r="AC59" s="6" t="n">
        <v>0</v>
      </c>
      <c r="AD59" s="6" t="n">
        <v>0</v>
      </c>
      <c r="AE59" s="6" t="n">
        <v>0</v>
      </c>
    </row>
    <row r="60">
      <c r="A60" s="11" t="n">
        <v>30</v>
      </c>
      <c r="B60" s="13">
        <f>IF(A60=1,"Safe (Start)",IF(OR(A60=$B$10,A60=$B$11),"Milestone",IF(AND($B$9&gt;0,MOD(A60,$B$9)=0),"Safe","Standard")))</f>
        <v/>
      </c>
      <c r="C60" s="13">
        <f>MIN(6,MAX(1,ROUNDUP(A60/$B$12,0)))</f>
        <v/>
      </c>
      <c r="D60" s="6">
        <f>$B$7</f>
        <v/>
      </c>
      <c r="E60" s="13">
        <f>MAX(0,$D60-$F60-$G60)</f>
        <v/>
      </c>
      <c r="F60" s="13">
        <f>IF($B60="Standard",$B$8,0)</f>
        <v/>
      </c>
      <c r="G60" s="6" t="n">
        <v>0</v>
      </c>
      <c r="H60" s="13">
        <f>IF($E60+$F60+$G60=$D60,"OK","MISMATCH")</f>
        <v/>
      </c>
      <c r="I60" s="15">
        <f>IF($D60&lt;=0,0,($D60-$F60)/$D60)</f>
        <v/>
      </c>
      <c r="J60" s="15">
        <f>IF($D60-$F60&lt;=0,0,$E60/($D60-$F60))</f>
        <v/>
      </c>
      <c r="K60" s="6" t="n">
        <v>0</v>
      </c>
      <c r="L60" s="6" t="n">
        <v>0</v>
      </c>
      <c r="M60" s="6" t="n">
        <v>0</v>
      </c>
      <c r="N60" s="6" t="n">
        <v>0</v>
      </c>
      <c r="O60" s="6" t="n">
        <v>0</v>
      </c>
      <c r="P60" s="6" t="n">
        <v>0</v>
      </c>
      <c r="Q60" s="6" t="n">
        <v>0</v>
      </c>
      <c r="R60" s="6" t="n">
        <v>0</v>
      </c>
      <c r="S60" s="6" t="n">
        <v>0</v>
      </c>
      <c r="T60" s="6" t="n">
        <v>0</v>
      </c>
      <c r="U60" s="6" t="n">
        <v>0</v>
      </c>
      <c r="V60" s="6" t="n">
        <v>0</v>
      </c>
      <c r="W60" s="6" t="n">
        <v>0</v>
      </c>
      <c r="X60" s="6" t="n">
        <v>0</v>
      </c>
      <c r="Y60" s="6" t="n">
        <v>0</v>
      </c>
      <c r="Z60" s="6" t="n">
        <v>0</v>
      </c>
      <c r="AA60" s="6" t="n">
        <v>0</v>
      </c>
      <c r="AB60" s="6" t="n">
        <v>0</v>
      </c>
      <c r="AC60" s="6" t="n">
        <v>0</v>
      </c>
      <c r="AD60" s="6" t="n">
        <v>0</v>
      </c>
      <c r="AE60" s="6" t="n">
        <v>0</v>
      </c>
    </row>
    <row r="61">
      <c r="A61" s="11" t="n">
        <v>31</v>
      </c>
      <c r="B61" s="13">
        <f>IF(A61=1,"Safe (Start)",IF(OR(A61=$B$10,A61=$B$11),"Milestone",IF(AND($B$9&gt;0,MOD(A61,$B$9)=0),"Safe","Standard")))</f>
        <v/>
      </c>
      <c r="C61" s="13">
        <f>MIN(6,MAX(1,ROUNDUP(A61/$B$12,0)))</f>
        <v/>
      </c>
      <c r="D61" s="6">
        <f>$B$7</f>
        <v/>
      </c>
      <c r="E61" s="13">
        <f>MAX(0,$D61-$F61-$G61)</f>
        <v/>
      </c>
      <c r="F61" s="13">
        <f>IF($B61="Standard",$B$8,0)</f>
        <v/>
      </c>
      <c r="G61" s="6" t="n">
        <v>0</v>
      </c>
      <c r="H61" s="13">
        <f>IF($E61+$F61+$G61=$D61,"OK","MISMATCH")</f>
        <v/>
      </c>
      <c r="I61" s="15">
        <f>IF($D61&lt;=0,0,($D61-$F61)/$D61)</f>
        <v/>
      </c>
      <c r="J61" s="15">
        <f>IF($D61-$F61&lt;=0,0,$E61/($D61-$F61))</f>
        <v/>
      </c>
      <c r="K61" s="6" t="n">
        <v>0</v>
      </c>
      <c r="L61" s="6" t="n">
        <v>0</v>
      </c>
      <c r="M61" s="6" t="n">
        <v>0</v>
      </c>
      <c r="N61" s="6" t="n">
        <v>0</v>
      </c>
      <c r="O61" s="6" t="n">
        <v>0</v>
      </c>
      <c r="P61" s="6" t="n">
        <v>0</v>
      </c>
      <c r="Q61" s="6" t="n">
        <v>0</v>
      </c>
      <c r="R61" s="6" t="n">
        <v>0</v>
      </c>
      <c r="S61" s="6" t="n">
        <v>0</v>
      </c>
      <c r="T61" s="6" t="n">
        <v>0</v>
      </c>
      <c r="U61" s="6" t="n">
        <v>0</v>
      </c>
      <c r="V61" s="6" t="n">
        <v>0</v>
      </c>
      <c r="W61" s="6" t="n">
        <v>0</v>
      </c>
      <c r="X61" s="6" t="n">
        <v>0</v>
      </c>
      <c r="Y61" s="6" t="n">
        <v>0</v>
      </c>
      <c r="Z61" s="6" t="n">
        <v>0</v>
      </c>
      <c r="AA61" s="6" t="n">
        <v>0</v>
      </c>
      <c r="AB61" s="6" t="n">
        <v>0</v>
      </c>
      <c r="AC61" s="6" t="n">
        <v>0</v>
      </c>
      <c r="AD61" s="6" t="n">
        <v>0</v>
      </c>
      <c r="AE61" s="6" t="n">
        <v>0</v>
      </c>
    </row>
    <row r="62">
      <c r="A62" s="11" t="n">
        <v>32</v>
      </c>
      <c r="B62" s="13">
        <f>IF(A62=1,"Safe (Start)",IF(OR(A62=$B$10,A62=$B$11),"Milestone",IF(AND($B$9&gt;0,MOD(A62,$B$9)=0),"Safe","Standard")))</f>
        <v/>
      </c>
      <c r="C62" s="13">
        <f>MIN(6,MAX(1,ROUNDUP(A62/$B$12,0)))</f>
        <v/>
      </c>
      <c r="D62" s="6">
        <f>$B$7</f>
        <v/>
      </c>
      <c r="E62" s="13">
        <f>MAX(0,$D62-$F62-$G62)</f>
        <v/>
      </c>
      <c r="F62" s="13">
        <f>IF($B62="Standard",$B$8,0)</f>
        <v/>
      </c>
      <c r="G62" s="6" t="n">
        <v>0</v>
      </c>
      <c r="H62" s="13">
        <f>IF($E62+$F62+$G62=$D62,"OK","MISMATCH")</f>
        <v/>
      </c>
      <c r="I62" s="15">
        <f>IF($D62&lt;=0,0,($D62-$F62)/$D62)</f>
        <v/>
      </c>
      <c r="J62" s="15">
        <f>IF($D62-$F62&lt;=0,0,$E62/($D62-$F62))</f>
        <v/>
      </c>
      <c r="K62" s="6" t="n">
        <v>0</v>
      </c>
      <c r="L62" s="6" t="n">
        <v>0</v>
      </c>
      <c r="M62" s="6" t="n">
        <v>0</v>
      </c>
      <c r="N62" s="6" t="n">
        <v>0</v>
      </c>
      <c r="O62" s="6" t="n">
        <v>0</v>
      </c>
      <c r="P62" s="6" t="n">
        <v>0</v>
      </c>
      <c r="Q62" s="6" t="n">
        <v>0</v>
      </c>
      <c r="R62" s="6" t="n">
        <v>0</v>
      </c>
      <c r="S62" s="6" t="n">
        <v>0</v>
      </c>
      <c r="T62" s="6" t="n">
        <v>0</v>
      </c>
      <c r="U62" s="6" t="n">
        <v>0</v>
      </c>
      <c r="V62" s="6" t="n">
        <v>0</v>
      </c>
      <c r="W62" s="6" t="n">
        <v>0</v>
      </c>
      <c r="X62" s="6" t="n">
        <v>0</v>
      </c>
      <c r="Y62" s="6" t="n">
        <v>0</v>
      </c>
      <c r="Z62" s="6" t="n">
        <v>0</v>
      </c>
      <c r="AA62" s="6" t="n">
        <v>0</v>
      </c>
      <c r="AB62" s="6" t="n">
        <v>0</v>
      </c>
      <c r="AC62" s="6" t="n">
        <v>0</v>
      </c>
      <c r="AD62" s="6" t="n">
        <v>0</v>
      </c>
      <c r="AE62" s="6" t="n">
        <v>0</v>
      </c>
    </row>
    <row r="63">
      <c r="A63" s="11" t="n">
        <v>33</v>
      </c>
      <c r="B63" s="13">
        <f>IF(A63=1,"Safe (Start)",IF(OR(A63=$B$10,A63=$B$11),"Milestone",IF(AND($B$9&gt;0,MOD(A63,$B$9)=0),"Safe","Standard")))</f>
        <v/>
      </c>
      <c r="C63" s="13">
        <f>MIN(6,MAX(1,ROUNDUP(A63/$B$12,0)))</f>
        <v/>
      </c>
      <c r="D63" s="6">
        <f>$B$7</f>
        <v/>
      </c>
      <c r="E63" s="13">
        <f>MAX(0,$D63-$F63-$G63)</f>
        <v/>
      </c>
      <c r="F63" s="13">
        <f>IF($B63="Standard",$B$8,0)</f>
        <v/>
      </c>
      <c r="G63" s="6" t="n">
        <v>0</v>
      </c>
      <c r="H63" s="13">
        <f>IF($E63+$F63+$G63=$D63,"OK","MISMATCH")</f>
        <v/>
      </c>
      <c r="I63" s="15">
        <f>IF($D63&lt;=0,0,($D63-$F63)/$D63)</f>
        <v/>
      </c>
      <c r="J63" s="15">
        <f>IF($D63-$F63&lt;=0,0,$E63/($D63-$F63))</f>
        <v/>
      </c>
      <c r="K63" s="6" t="n">
        <v>0</v>
      </c>
      <c r="L63" s="6" t="n">
        <v>0</v>
      </c>
      <c r="M63" s="6" t="n">
        <v>0</v>
      </c>
      <c r="N63" s="6" t="n">
        <v>0</v>
      </c>
      <c r="O63" s="6" t="n">
        <v>0</v>
      </c>
      <c r="P63" s="6" t="n">
        <v>0</v>
      </c>
      <c r="Q63" s="6" t="n">
        <v>0</v>
      </c>
      <c r="R63" s="6" t="n">
        <v>0</v>
      </c>
      <c r="S63" s="6" t="n">
        <v>0</v>
      </c>
      <c r="T63" s="6" t="n">
        <v>0</v>
      </c>
      <c r="U63" s="6" t="n">
        <v>0</v>
      </c>
      <c r="V63" s="6" t="n">
        <v>0</v>
      </c>
      <c r="W63" s="6" t="n">
        <v>0</v>
      </c>
      <c r="X63" s="6" t="n">
        <v>0</v>
      </c>
      <c r="Y63" s="6" t="n">
        <v>0</v>
      </c>
      <c r="Z63" s="6" t="n">
        <v>0</v>
      </c>
      <c r="AA63" s="6" t="n">
        <v>0</v>
      </c>
      <c r="AB63" s="6" t="n">
        <v>0</v>
      </c>
      <c r="AC63" s="6" t="n">
        <v>0</v>
      </c>
      <c r="AD63" s="6" t="n">
        <v>0</v>
      </c>
      <c r="AE63" s="6" t="n">
        <v>0</v>
      </c>
    </row>
    <row r="64">
      <c r="A64" s="11" t="n">
        <v>34</v>
      </c>
      <c r="B64" s="13">
        <f>IF(A64=1,"Safe (Start)",IF(OR(A64=$B$10,A64=$B$11),"Milestone",IF(AND($B$9&gt;0,MOD(A64,$B$9)=0),"Safe","Standard")))</f>
        <v/>
      </c>
      <c r="C64" s="13">
        <f>MIN(6,MAX(1,ROUNDUP(A64/$B$12,0)))</f>
        <v/>
      </c>
      <c r="D64" s="6">
        <f>$B$7</f>
        <v/>
      </c>
      <c r="E64" s="13">
        <f>MAX(0,$D64-$F64-$G64)</f>
        <v/>
      </c>
      <c r="F64" s="13">
        <f>IF($B64="Standard",$B$8,0)</f>
        <v/>
      </c>
      <c r="G64" s="6" t="n">
        <v>0</v>
      </c>
      <c r="H64" s="13">
        <f>IF($E64+$F64+$G64=$D64,"OK","MISMATCH")</f>
        <v/>
      </c>
      <c r="I64" s="15">
        <f>IF($D64&lt;=0,0,($D64-$F64)/$D64)</f>
        <v/>
      </c>
      <c r="J64" s="15">
        <f>IF($D64-$F64&lt;=0,0,$E64/($D64-$F64))</f>
        <v/>
      </c>
      <c r="K64" s="6" t="n">
        <v>0</v>
      </c>
      <c r="L64" s="6" t="n">
        <v>0</v>
      </c>
      <c r="M64" s="6" t="n">
        <v>0</v>
      </c>
      <c r="N64" s="6" t="n">
        <v>0</v>
      </c>
      <c r="O64" s="6" t="n">
        <v>0</v>
      </c>
      <c r="P64" s="6" t="n">
        <v>0</v>
      </c>
      <c r="Q64" s="6" t="n">
        <v>0</v>
      </c>
      <c r="R64" s="6" t="n">
        <v>0</v>
      </c>
      <c r="S64" s="6" t="n">
        <v>0</v>
      </c>
      <c r="T64" s="6" t="n">
        <v>0</v>
      </c>
      <c r="U64" s="6" t="n">
        <v>0</v>
      </c>
      <c r="V64" s="6" t="n">
        <v>0</v>
      </c>
      <c r="W64" s="6" t="n">
        <v>0</v>
      </c>
      <c r="X64" s="6" t="n">
        <v>0</v>
      </c>
      <c r="Y64" s="6" t="n">
        <v>0</v>
      </c>
      <c r="Z64" s="6" t="n">
        <v>0</v>
      </c>
      <c r="AA64" s="6" t="n">
        <v>0</v>
      </c>
      <c r="AB64" s="6" t="n">
        <v>0</v>
      </c>
      <c r="AC64" s="6" t="n">
        <v>0</v>
      </c>
      <c r="AD64" s="6" t="n">
        <v>0</v>
      </c>
      <c r="AE64" s="6" t="n">
        <v>0</v>
      </c>
    </row>
    <row r="65">
      <c r="A65" s="11" t="n">
        <v>35</v>
      </c>
      <c r="B65" s="13">
        <f>IF(A65=1,"Safe (Start)",IF(OR(A65=$B$10,A65=$B$11),"Milestone",IF(AND($B$9&gt;0,MOD(A65,$B$9)=0),"Safe","Standard")))</f>
        <v/>
      </c>
      <c r="C65" s="13">
        <f>MIN(6,MAX(1,ROUNDUP(A65/$B$12,0)))</f>
        <v/>
      </c>
      <c r="D65" s="6">
        <f>$B$7</f>
        <v/>
      </c>
      <c r="E65" s="13">
        <f>MAX(0,$D65-$F65-$G65)</f>
        <v/>
      </c>
      <c r="F65" s="13">
        <f>IF($B65="Standard",$B$8,0)</f>
        <v/>
      </c>
      <c r="G65" s="6" t="n">
        <v>0</v>
      </c>
      <c r="H65" s="13">
        <f>IF($E65+$F65+$G65=$D65,"OK","MISMATCH")</f>
        <v/>
      </c>
      <c r="I65" s="15">
        <f>IF($D65&lt;=0,0,($D65-$F65)/$D65)</f>
        <v/>
      </c>
      <c r="J65" s="15">
        <f>IF($D65-$F65&lt;=0,0,$E65/($D65-$F65))</f>
        <v/>
      </c>
      <c r="K65" s="6" t="n">
        <v>0</v>
      </c>
      <c r="L65" s="6" t="n">
        <v>0</v>
      </c>
      <c r="M65" s="6" t="n">
        <v>0</v>
      </c>
      <c r="N65" s="6" t="n">
        <v>0</v>
      </c>
      <c r="O65" s="6" t="n">
        <v>0</v>
      </c>
      <c r="P65" s="6" t="n">
        <v>0</v>
      </c>
      <c r="Q65" s="6" t="n">
        <v>0</v>
      </c>
      <c r="R65" s="6" t="n">
        <v>0</v>
      </c>
      <c r="S65" s="6" t="n">
        <v>0</v>
      </c>
      <c r="T65" s="6" t="n">
        <v>0</v>
      </c>
      <c r="U65" s="6" t="n">
        <v>0</v>
      </c>
      <c r="V65" s="6" t="n">
        <v>0</v>
      </c>
      <c r="W65" s="6" t="n">
        <v>0</v>
      </c>
      <c r="X65" s="6" t="n">
        <v>0</v>
      </c>
      <c r="Y65" s="6" t="n">
        <v>0</v>
      </c>
      <c r="Z65" s="6" t="n">
        <v>0</v>
      </c>
      <c r="AA65" s="6" t="n">
        <v>0</v>
      </c>
      <c r="AB65" s="6" t="n">
        <v>0</v>
      </c>
      <c r="AC65" s="6" t="n">
        <v>0</v>
      </c>
      <c r="AD65" s="6" t="n">
        <v>0</v>
      </c>
      <c r="AE65" s="6" t="n">
        <v>0</v>
      </c>
    </row>
    <row r="66">
      <c r="A66" s="11" t="n">
        <v>36</v>
      </c>
      <c r="B66" s="13">
        <f>IF(A66=1,"Safe (Start)",IF(OR(A66=$B$10,A66=$B$11),"Milestone",IF(AND($B$9&gt;0,MOD(A66,$B$9)=0),"Safe","Standard")))</f>
        <v/>
      </c>
      <c r="C66" s="13">
        <f>MIN(6,MAX(1,ROUNDUP(A66/$B$12,0)))</f>
        <v/>
      </c>
      <c r="D66" s="6">
        <f>$B$7</f>
        <v/>
      </c>
      <c r="E66" s="13">
        <f>MAX(0,$D66-$F66-$G66)</f>
        <v/>
      </c>
      <c r="F66" s="13">
        <f>IF($B66="Standard",$B$8,0)</f>
        <v/>
      </c>
      <c r="G66" s="6" t="n">
        <v>0</v>
      </c>
      <c r="H66" s="13">
        <f>IF($E66+$F66+$G66=$D66,"OK","MISMATCH")</f>
        <v/>
      </c>
      <c r="I66" s="15">
        <f>IF($D66&lt;=0,0,($D66-$F66)/$D66)</f>
        <v/>
      </c>
      <c r="J66" s="15">
        <f>IF($D66-$F66&lt;=0,0,$E66/($D66-$F66))</f>
        <v/>
      </c>
      <c r="K66" s="6" t="n">
        <v>0</v>
      </c>
      <c r="L66" s="6" t="n">
        <v>0</v>
      </c>
      <c r="M66" s="6" t="n">
        <v>0</v>
      </c>
      <c r="N66" s="6" t="n">
        <v>0</v>
      </c>
      <c r="O66" s="6" t="n">
        <v>0</v>
      </c>
      <c r="P66" s="6" t="n">
        <v>0</v>
      </c>
      <c r="Q66" s="6" t="n">
        <v>0</v>
      </c>
      <c r="R66" s="6" t="n">
        <v>0</v>
      </c>
      <c r="S66" s="6" t="n">
        <v>0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0</v>
      </c>
      <c r="Y66" s="6" t="n">
        <v>0</v>
      </c>
      <c r="Z66" s="6" t="n">
        <v>0</v>
      </c>
      <c r="AA66" s="6" t="n">
        <v>0</v>
      </c>
      <c r="AB66" s="6" t="n">
        <v>0</v>
      </c>
      <c r="AC66" s="6" t="n">
        <v>0</v>
      </c>
      <c r="AD66" s="6" t="n">
        <v>0</v>
      </c>
      <c r="AE66" s="6" t="n">
        <v>0</v>
      </c>
    </row>
    <row r="67">
      <c r="A67" s="11" t="n">
        <v>37</v>
      </c>
      <c r="B67" s="13">
        <f>IF(A67=1,"Safe (Start)",IF(OR(A67=$B$10,A67=$B$11),"Milestone",IF(AND($B$9&gt;0,MOD(A67,$B$9)=0),"Safe","Standard")))</f>
        <v/>
      </c>
      <c r="C67" s="13">
        <f>MIN(6,MAX(1,ROUNDUP(A67/$B$12,0)))</f>
        <v/>
      </c>
      <c r="D67" s="6">
        <f>$B$7</f>
        <v/>
      </c>
      <c r="E67" s="13">
        <f>MAX(0,$D67-$F67-$G67)</f>
        <v/>
      </c>
      <c r="F67" s="13">
        <f>IF($B67="Standard",$B$8,0)</f>
        <v/>
      </c>
      <c r="G67" s="6" t="n">
        <v>0</v>
      </c>
      <c r="H67" s="13">
        <f>IF($E67+$F67+$G67=$D67,"OK","MISMATCH")</f>
        <v/>
      </c>
      <c r="I67" s="15">
        <f>IF($D67&lt;=0,0,($D67-$F67)/$D67)</f>
        <v/>
      </c>
      <c r="J67" s="15">
        <f>IF($D67-$F67&lt;=0,0,$E67/($D67-$F67))</f>
        <v/>
      </c>
      <c r="K67" s="6" t="n">
        <v>0</v>
      </c>
      <c r="L67" s="6" t="n">
        <v>0</v>
      </c>
      <c r="M67" s="6" t="n">
        <v>0</v>
      </c>
      <c r="N67" s="6" t="n">
        <v>0</v>
      </c>
      <c r="O67" s="6" t="n">
        <v>0</v>
      </c>
      <c r="P67" s="6" t="n">
        <v>0</v>
      </c>
      <c r="Q67" s="6" t="n">
        <v>0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</v>
      </c>
      <c r="W67" s="6" t="n">
        <v>0</v>
      </c>
      <c r="X67" s="6" t="n">
        <v>0</v>
      </c>
      <c r="Y67" s="6" t="n">
        <v>0</v>
      </c>
      <c r="Z67" s="6" t="n">
        <v>0</v>
      </c>
      <c r="AA67" s="6" t="n">
        <v>0</v>
      </c>
      <c r="AB67" s="6" t="n">
        <v>0</v>
      </c>
      <c r="AC67" s="6" t="n">
        <v>0</v>
      </c>
      <c r="AD67" s="6" t="n">
        <v>0</v>
      </c>
      <c r="AE67" s="6" t="n">
        <v>0</v>
      </c>
    </row>
    <row r="68">
      <c r="A68" s="11" t="n">
        <v>38</v>
      </c>
      <c r="B68" s="13">
        <f>IF(A68=1,"Safe (Start)",IF(OR(A68=$B$10,A68=$B$11),"Milestone",IF(AND($B$9&gt;0,MOD(A68,$B$9)=0),"Safe","Standard")))</f>
        <v/>
      </c>
      <c r="C68" s="13">
        <f>MIN(6,MAX(1,ROUNDUP(A68/$B$12,0)))</f>
        <v/>
      </c>
      <c r="D68" s="6">
        <f>$B$7</f>
        <v/>
      </c>
      <c r="E68" s="13">
        <f>MAX(0,$D68-$F68-$G68)</f>
        <v/>
      </c>
      <c r="F68" s="13">
        <f>IF($B68="Standard",$B$8,0)</f>
        <v/>
      </c>
      <c r="G68" s="6" t="n">
        <v>0</v>
      </c>
      <c r="H68" s="13">
        <f>IF($E68+$F68+$G68=$D68,"OK","MISMATCH")</f>
        <v/>
      </c>
      <c r="I68" s="15">
        <f>IF($D68&lt;=0,0,($D68-$F68)/$D68)</f>
        <v/>
      </c>
      <c r="J68" s="15">
        <f>IF($D68-$F68&lt;=0,0,$E68/($D68-$F68))</f>
        <v/>
      </c>
      <c r="K68" s="6" t="n">
        <v>0</v>
      </c>
      <c r="L68" s="6" t="n">
        <v>0</v>
      </c>
      <c r="M68" s="6" t="n">
        <v>0</v>
      </c>
      <c r="N68" s="6" t="n">
        <v>0</v>
      </c>
      <c r="O68" s="6" t="n">
        <v>0</v>
      </c>
      <c r="P68" s="6" t="n">
        <v>0</v>
      </c>
      <c r="Q68" s="6" t="n">
        <v>0</v>
      </c>
      <c r="R68" s="6" t="n">
        <v>0</v>
      </c>
      <c r="S68" s="6" t="n">
        <v>0</v>
      </c>
      <c r="T68" s="6" t="n">
        <v>0</v>
      </c>
      <c r="U68" s="6" t="n">
        <v>0</v>
      </c>
      <c r="V68" s="6" t="n">
        <v>0</v>
      </c>
      <c r="W68" s="6" t="n">
        <v>0</v>
      </c>
      <c r="X68" s="6" t="n">
        <v>0</v>
      </c>
      <c r="Y68" s="6" t="n">
        <v>0</v>
      </c>
      <c r="Z68" s="6" t="n">
        <v>0</v>
      </c>
      <c r="AA68" s="6" t="n">
        <v>0</v>
      </c>
      <c r="AB68" s="6" t="n">
        <v>0</v>
      </c>
      <c r="AC68" s="6" t="n">
        <v>0</v>
      </c>
      <c r="AD68" s="6" t="n">
        <v>0</v>
      </c>
      <c r="AE68" s="6" t="n">
        <v>0</v>
      </c>
    </row>
    <row r="69">
      <c r="A69" s="11" t="n">
        <v>39</v>
      </c>
      <c r="B69" s="13">
        <f>IF(A69=1,"Safe (Start)",IF(OR(A69=$B$10,A69=$B$11),"Milestone",IF(AND($B$9&gt;0,MOD(A69,$B$9)=0),"Safe","Standard")))</f>
        <v/>
      </c>
      <c r="C69" s="13">
        <f>MIN(6,MAX(1,ROUNDUP(A69/$B$12,0)))</f>
        <v/>
      </c>
      <c r="D69" s="6">
        <f>$B$7</f>
        <v/>
      </c>
      <c r="E69" s="13">
        <f>MAX(0,$D69-$F69-$G69)</f>
        <v/>
      </c>
      <c r="F69" s="13">
        <f>IF($B69="Standard",$B$8,0)</f>
        <v/>
      </c>
      <c r="G69" s="6" t="n">
        <v>0</v>
      </c>
      <c r="H69" s="13">
        <f>IF($E69+$F69+$G69=$D69,"OK","MISMATCH")</f>
        <v/>
      </c>
      <c r="I69" s="15">
        <f>IF($D69&lt;=0,0,($D69-$F69)/$D69)</f>
        <v/>
      </c>
      <c r="J69" s="15">
        <f>IF($D69-$F69&lt;=0,0,$E69/($D69-$F69))</f>
        <v/>
      </c>
      <c r="K69" s="6" t="n">
        <v>0</v>
      </c>
      <c r="L69" s="6" t="n">
        <v>0</v>
      </c>
      <c r="M69" s="6" t="n">
        <v>0</v>
      </c>
      <c r="N69" s="6" t="n">
        <v>0</v>
      </c>
      <c r="O69" s="6" t="n">
        <v>0</v>
      </c>
      <c r="P69" s="6" t="n">
        <v>0</v>
      </c>
      <c r="Q69" s="6" t="n">
        <v>0</v>
      </c>
      <c r="R69" s="6" t="n">
        <v>0</v>
      </c>
      <c r="S69" s="6" t="n">
        <v>0</v>
      </c>
      <c r="T69" s="6" t="n">
        <v>0</v>
      </c>
      <c r="U69" s="6" t="n">
        <v>0</v>
      </c>
      <c r="V69" s="6" t="n">
        <v>0</v>
      </c>
      <c r="W69" s="6" t="n">
        <v>0</v>
      </c>
      <c r="X69" s="6" t="n">
        <v>0</v>
      </c>
      <c r="Y69" s="6" t="n">
        <v>0</v>
      </c>
      <c r="Z69" s="6" t="n">
        <v>0</v>
      </c>
      <c r="AA69" s="6" t="n">
        <v>0</v>
      </c>
      <c r="AB69" s="6" t="n">
        <v>0</v>
      </c>
      <c r="AC69" s="6" t="n">
        <v>0</v>
      </c>
      <c r="AD69" s="6" t="n">
        <v>0</v>
      </c>
      <c r="AE69" s="6" t="n">
        <v>0</v>
      </c>
    </row>
    <row r="70">
      <c r="A70" s="11" t="n">
        <v>40</v>
      </c>
      <c r="B70" s="13">
        <f>IF(A70=1,"Safe (Start)",IF(OR(A70=$B$10,A70=$B$11),"Milestone",IF(AND($B$9&gt;0,MOD(A70,$B$9)=0),"Safe","Standard")))</f>
        <v/>
      </c>
      <c r="C70" s="13">
        <f>MIN(6,MAX(1,ROUNDUP(A70/$B$12,0)))</f>
        <v/>
      </c>
      <c r="D70" s="6">
        <f>$B$7</f>
        <v/>
      </c>
      <c r="E70" s="13">
        <f>MAX(0,$D70-$F70-$G70)</f>
        <v/>
      </c>
      <c r="F70" s="13">
        <f>IF($B70="Standard",$B$8,0)</f>
        <v/>
      </c>
      <c r="G70" s="6" t="n">
        <v>0</v>
      </c>
      <c r="H70" s="13">
        <f>IF($E70+$F70+$G70=$D70,"OK","MISMATCH")</f>
        <v/>
      </c>
      <c r="I70" s="15">
        <f>IF($D70&lt;=0,0,($D70-$F70)/$D70)</f>
        <v/>
      </c>
      <c r="J70" s="15">
        <f>IF($D70-$F70&lt;=0,0,$E70/($D70-$F70))</f>
        <v/>
      </c>
      <c r="K70" s="6" t="n">
        <v>0</v>
      </c>
      <c r="L70" s="6" t="n">
        <v>0</v>
      </c>
      <c r="M70" s="6" t="n">
        <v>0</v>
      </c>
      <c r="N70" s="6" t="n">
        <v>0</v>
      </c>
      <c r="O70" s="6" t="n">
        <v>0</v>
      </c>
      <c r="P70" s="6" t="n">
        <v>0</v>
      </c>
      <c r="Q70" s="6" t="n">
        <v>0</v>
      </c>
      <c r="R70" s="6" t="n">
        <v>0</v>
      </c>
      <c r="S70" s="6" t="n">
        <v>0</v>
      </c>
      <c r="T70" s="6" t="n">
        <v>0</v>
      </c>
      <c r="U70" s="6" t="n">
        <v>0</v>
      </c>
      <c r="V70" s="6" t="n">
        <v>0</v>
      </c>
      <c r="W70" s="6" t="n">
        <v>0</v>
      </c>
      <c r="X70" s="6" t="n">
        <v>0</v>
      </c>
      <c r="Y70" s="6" t="n">
        <v>0</v>
      </c>
      <c r="Z70" s="6" t="n">
        <v>0</v>
      </c>
      <c r="AA70" s="6" t="n">
        <v>0</v>
      </c>
      <c r="AB70" s="6" t="n">
        <v>0</v>
      </c>
      <c r="AC70" s="6" t="n">
        <v>0</v>
      </c>
      <c r="AD70" s="6" t="n">
        <v>0</v>
      </c>
      <c r="AE70" s="6" t="n">
        <v>0</v>
      </c>
    </row>
    <row r="71">
      <c r="A71" s="11" t="n">
        <v>41</v>
      </c>
      <c r="B71" s="13">
        <f>IF(A71=1,"Safe (Start)",IF(OR(A71=$B$10,A71=$B$11),"Milestone",IF(AND($B$9&gt;0,MOD(A71,$B$9)=0),"Safe","Standard")))</f>
        <v/>
      </c>
      <c r="C71" s="13">
        <f>MIN(6,MAX(1,ROUNDUP(A71/$B$12,0)))</f>
        <v/>
      </c>
      <c r="D71" s="6">
        <f>$B$7</f>
        <v/>
      </c>
      <c r="E71" s="13">
        <f>MAX(0,$D71-$F71-$G71)</f>
        <v/>
      </c>
      <c r="F71" s="13">
        <f>IF($B71="Standard",$B$8,0)</f>
        <v/>
      </c>
      <c r="G71" s="6" t="n">
        <v>0</v>
      </c>
      <c r="H71" s="13">
        <f>IF($E71+$F71+$G71=$D71,"OK","MISMATCH")</f>
        <v/>
      </c>
      <c r="I71" s="15">
        <f>IF($D71&lt;=0,0,($D71-$F71)/$D71)</f>
        <v/>
      </c>
      <c r="J71" s="15">
        <f>IF($D71-$F71&lt;=0,0,$E71/($D71-$F71))</f>
        <v/>
      </c>
      <c r="K71" s="6" t="n">
        <v>0</v>
      </c>
      <c r="L71" s="6" t="n">
        <v>0</v>
      </c>
      <c r="M71" s="6" t="n">
        <v>0</v>
      </c>
      <c r="N71" s="6" t="n">
        <v>0</v>
      </c>
      <c r="O71" s="6" t="n">
        <v>0</v>
      </c>
      <c r="P71" s="6" t="n">
        <v>0</v>
      </c>
      <c r="Q71" s="6" t="n">
        <v>0</v>
      </c>
      <c r="R71" s="6" t="n">
        <v>0</v>
      </c>
      <c r="S71" s="6" t="n">
        <v>0</v>
      </c>
      <c r="T71" s="6" t="n">
        <v>0</v>
      </c>
      <c r="U71" s="6" t="n">
        <v>0</v>
      </c>
      <c r="V71" s="6" t="n">
        <v>0</v>
      </c>
      <c r="W71" s="6" t="n">
        <v>0</v>
      </c>
      <c r="X71" s="6" t="n">
        <v>0</v>
      </c>
      <c r="Y71" s="6" t="n">
        <v>0</v>
      </c>
      <c r="Z71" s="6" t="n">
        <v>0</v>
      </c>
      <c r="AA71" s="6" t="n">
        <v>0</v>
      </c>
      <c r="AB71" s="6" t="n">
        <v>0</v>
      </c>
      <c r="AC71" s="6" t="n">
        <v>0</v>
      </c>
      <c r="AD71" s="6" t="n">
        <v>0</v>
      </c>
      <c r="AE71" s="6" t="n">
        <v>0</v>
      </c>
    </row>
    <row r="72">
      <c r="A72" s="11" t="n">
        <v>42</v>
      </c>
      <c r="B72" s="13">
        <f>IF(A72=1,"Safe (Start)",IF(OR(A72=$B$10,A72=$B$11),"Milestone",IF(AND($B$9&gt;0,MOD(A72,$B$9)=0),"Safe","Standard")))</f>
        <v/>
      </c>
      <c r="C72" s="13">
        <f>MIN(6,MAX(1,ROUNDUP(A72/$B$12,0)))</f>
        <v/>
      </c>
      <c r="D72" s="6">
        <f>$B$7</f>
        <v/>
      </c>
      <c r="E72" s="13">
        <f>MAX(0,$D72-$F72-$G72)</f>
        <v/>
      </c>
      <c r="F72" s="13">
        <f>IF($B72="Standard",$B$8,0)</f>
        <v/>
      </c>
      <c r="G72" s="6" t="n">
        <v>0</v>
      </c>
      <c r="H72" s="13">
        <f>IF($E72+$F72+$G72=$D72,"OK","MISMATCH")</f>
        <v/>
      </c>
      <c r="I72" s="15">
        <f>IF($D72&lt;=0,0,($D72-$F72)/$D72)</f>
        <v/>
      </c>
      <c r="J72" s="15">
        <f>IF($D72-$F72&lt;=0,0,$E72/($D72-$F72))</f>
        <v/>
      </c>
      <c r="K72" s="6" t="n">
        <v>0</v>
      </c>
      <c r="L72" s="6" t="n">
        <v>0</v>
      </c>
      <c r="M72" s="6" t="n">
        <v>0</v>
      </c>
      <c r="N72" s="6" t="n">
        <v>0</v>
      </c>
      <c r="O72" s="6" t="n">
        <v>0</v>
      </c>
      <c r="P72" s="6" t="n">
        <v>0</v>
      </c>
      <c r="Q72" s="6" t="n">
        <v>0</v>
      </c>
      <c r="R72" s="6" t="n">
        <v>0</v>
      </c>
      <c r="S72" s="6" t="n">
        <v>0</v>
      </c>
      <c r="T72" s="6" t="n">
        <v>0</v>
      </c>
      <c r="U72" s="6" t="n">
        <v>0</v>
      </c>
      <c r="V72" s="6" t="n">
        <v>0</v>
      </c>
      <c r="W72" s="6" t="n">
        <v>0</v>
      </c>
      <c r="X72" s="6" t="n">
        <v>0</v>
      </c>
      <c r="Y72" s="6" t="n">
        <v>0</v>
      </c>
      <c r="Z72" s="6" t="n">
        <v>0</v>
      </c>
      <c r="AA72" s="6" t="n">
        <v>0</v>
      </c>
      <c r="AB72" s="6" t="n">
        <v>0</v>
      </c>
      <c r="AC72" s="6" t="n">
        <v>0</v>
      </c>
      <c r="AD72" s="6" t="n">
        <v>0</v>
      </c>
      <c r="AE72" s="6" t="n">
        <v>0</v>
      </c>
    </row>
    <row r="73">
      <c r="A73" s="11" t="n">
        <v>43</v>
      </c>
      <c r="B73" s="13">
        <f>IF(A73=1,"Safe (Start)",IF(OR(A73=$B$10,A73=$B$11),"Milestone",IF(AND($B$9&gt;0,MOD(A73,$B$9)=0),"Safe","Standard")))</f>
        <v/>
      </c>
      <c r="C73" s="13">
        <f>MIN(6,MAX(1,ROUNDUP(A73/$B$12,0)))</f>
        <v/>
      </c>
      <c r="D73" s="6">
        <f>$B$7</f>
        <v/>
      </c>
      <c r="E73" s="13">
        <f>MAX(0,$D73-$F73-$G73)</f>
        <v/>
      </c>
      <c r="F73" s="13">
        <f>IF($B73="Standard",$B$8,0)</f>
        <v/>
      </c>
      <c r="G73" s="6" t="n">
        <v>0</v>
      </c>
      <c r="H73" s="13">
        <f>IF($E73+$F73+$G73=$D73,"OK","MISMATCH")</f>
        <v/>
      </c>
      <c r="I73" s="15">
        <f>IF($D73&lt;=0,0,($D73-$F73)/$D73)</f>
        <v/>
      </c>
      <c r="J73" s="15">
        <f>IF($D73-$F73&lt;=0,0,$E73/($D73-$F73))</f>
        <v/>
      </c>
      <c r="K73" s="6" t="n">
        <v>0</v>
      </c>
      <c r="L73" s="6" t="n">
        <v>0</v>
      </c>
      <c r="M73" s="6" t="n">
        <v>0</v>
      </c>
      <c r="N73" s="6" t="n">
        <v>0</v>
      </c>
      <c r="O73" s="6" t="n">
        <v>0</v>
      </c>
      <c r="P73" s="6" t="n">
        <v>0</v>
      </c>
      <c r="Q73" s="6" t="n">
        <v>0</v>
      </c>
      <c r="R73" s="6" t="n">
        <v>0</v>
      </c>
      <c r="S73" s="6" t="n">
        <v>0</v>
      </c>
      <c r="T73" s="6" t="n">
        <v>0</v>
      </c>
      <c r="U73" s="6" t="n">
        <v>0</v>
      </c>
      <c r="V73" s="6" t="n">
        <v>0</v>
      </c>
      <c r="W73" s="6" t="n">
        <v>0</v>
      </c>
      <c r="X73" s="6" t="n">
        <v>0</v>
      </c>
      <c r="Y73" s="6" t="n">
        <v>0</v>
      </c>
      <c r="Z73" s="6" t="n">
        <v>0</v>
      </c>
      <c r="AA73" s="6" t="n">
        <v>0</v>
      </c>
      <c r="AB73" s="6" t="n">
        <v>0</v>
      </c>
      <c r="AC73" s="6" t="n">
        <v>0</v>
      </c>
      <c r="AD73" s="6" t="n">
        <v>0</v>
      </c>
      <c r="AE73" s="6" t="n">
        <v>0</v>
      </c>
    </row>
    <row r="74">
      <c r="A74" s="11" t="n">
        <v>44</v>
      </c>
      <c r="B74" s="13">
        <f>IF(A74=1,"Safe (Start)",IF(OR(A74=$B$10,A74=$B$11),"Milestone",IF(AND($B$9&gt;0,MOD(A74,$B$9)=0),"Safe","Standard")))</f>
        <v/>
      </c>
      <c r="C74" s="13">
        <f>MIN(6,MAX(1,ROUNDUP(A74/$B$12,0)))</f>
        <v/>
      </c>
      <c r="D74" s="6">
        <f>$B$7</f>
        <v/>
      </c>
      <c r="E74" s="13">
        <f>MAX(0,$D74-$F74-$G74)</f>
        <v/>
      </c>
      <c r="F74" s="13">
        <f>IF($B74="Standard",$B$8,0)</f>
        <v/>
      </c>
      <c r="G74" s="6" t="n">
        <v>0</v>
      </c>
      <c r="H74" s="13">
        <f>IF($E74+$F74+$G74=$D74,"OK","MISMATCH")</f>
        <v/>
      </c>
      <c r="I74" s="15">
        <f>IF($D74&lt;=0,0,($D74-$F74)/$D74)</f>
        <v/>
      </c>
      <c r="J74" s="15">
        <f>IF($D74-$F74&lt;=0,0,$E74/($D74-$F74))</f>
        <v/>
      </c>
      <c r="K74" s="6" t="n">
        <v>0</v>
      </c>
      <c r="L74" s="6" t="n">
        <v>0</v>
      </c>
      <c r="M74" s="6" t="n">
        <v>0</v>
      </c>
      <c r="N74" s="6" t="n">
        <v>0</v>
      </c>
      <c r="O74" s="6" t="n">
        <v>0</v>
      </c>
      <c r="P74" s="6" t="n">
        <v>0</v>
      </c>
      <c r="Q74" s="6" t="n">
        <v>0</v>
      </c>
      <c r="R74" s="6" t="n">
        <v>0</v>
      </c>
      <c r="S74" s="6" t="n">
        <v>0</v>
      </c>
      <c r="T74" s="6" t="n">
        <v>0</v>
      </c>
      <c r="U74" s="6" t="n">
        <v>0</v>
      </c>
      <c r="V74" s="6" t="n">
        <v>0</v>
      </c>
      <c r="W74" s="6" t="n">
        <v>0</v>
      </c>
      <c r="X74" s="6" t="n">
        <v>0</v>
      </c>
      <c r="Y74" s="6" t="n">
        <v>0</v>
      </c>
      <c r="Z74" s="6" t="n">
        <v>0</v>
      </c>
      <c r="AA74" s="6" t="n">
        <v>0</v>
      </c>
      <c r="AB74" s="6" t="n">
        <v>0</v>
      </c>
      <c r="AC74" s="6" t="n">
        <v>0</v>
      </c>
      <c r="AD74" s="6" t="n">
        <v>0</v>
      </c>
      <c r="AE74" s="6" t="n">
        <v>0</v>
      </c>
    </row>
    <row r="75">
      <c r="A75" s="11" t="n">
        <v>45</v>
      </c>
      <c r="B75" s="13">
        <f>IF(A75=1,"Safe (Start)",IF(OR(A75=$B$10,A75=$B$11),"Milestone",IF(AND($B$9&gt;0,MOD(A75,$B$9)=0),"Safe","Standard")))</f>
        <v/>
      </c>
      <c r="C75" s="13">
        <f>MIN(6,MAX(1,ROUNDUP(A75/$B$12,0)))</f>
        <v/>
      </c>
      <c r="D75" s="6">
        <f>$B$7</f>
        <v/>
      </c>
      <c r="E75" s="13">
        <f>MAX(0,$D75-$F75-$G75)</f>
        <v/>
      </c>
      <c r="F75" s="13">
        <f>IF($B75="Standard",$B$8,0)</f>
        <v/>
      </c>
      <c r="G75" s="6" t="n">
        <v>0</v>
      </c>
      <c r="H75" s="13">
        <f>IF($E75+$F75+$G75=$D75,"OK","MISMATCH")</f>
        <v/>
      </c>
      <c r="I75" s="15">
        <f>IF($D75&lt;=0,0,($D75-$F75)/$D75)</f>
        <v/>
      </c>
      <c r="J75" s="15">
        <f>IF($D75-$F75&lt;=0,0,$E75/($D75-$F75))</f>
        <v/>
      </c>
      <c r="K75" s="6" t="n">
        <v>0</v>
      </c>
      <c r="L75" s="6" t="n">
        <v>0</v>
      </c>
      <c r="M75" s="6" t="n">
        <v>0</v>
      </c>
      <c r="N75" s="6" t="n">
        <v>0</v>
      </c>
      <c r="O75" s="6" t="n">
        <v>0</v>
      </c>
      <c r="P75" s="6" t="n">
        <v>0</v>
      </c>
      <c r="Q75" s="6" t="n">
        <v>0</v>
      </c>
      <c r="R75" s="6" t="n">
        <v>0</v>
      </c>
      <c r="S75" s="6" t="n">
        <v>0</v>
      </c>
      <c r="T75" s="6" t="n">
        <v>0</v>
      </c>
      <c r="U75" s="6" t="n">
        <v>0</v>
      </c>
      <c r="V75" s="6" t="n">
        <v>0</v>
      </c>
      <c r="W75" s="6" t="n">
        <v>0</v>
      </c>
      <c r="X75" s="6" t="n">
        <v>0</v>
      </c>
      <c r="Y75" s="6" t="n">
        <v>0</v>
      </c>
      <c r="Z75" s="6" t="n">
        <v>0</v>
      </c>
      <c r="AA75" s="6" t="n">
        <v>0</v>
      </c>
      <c r="AB75" s="6" t="n">
        <v>0</v>
      </c>
      <c r="AC75" s="6" t="n">
        <v>0</v>
      </c>
      <c r="AD75" s="6" t="n">
        <v>0</v>
      </c>
      <c r="AE75" s="6" t="n">
        <v>0</v>
      </c>
    </row>
    <row r="76">
      <c r="A76" s="11" t="n">
        <v>46</v>
      </c>
      <c r="B76" s="13">
        <f>IF(A76=1,"Safe (Start)",IF(OR(A76=$B$10,A76=$B$11),"Milestone",IF(AND($B$9&gt;0,MOD(A76,$B$9)=0),"Safe","Standard")))</f>
        <v/>
      </c>
      <c r="C76" s="13">
        <f>MIN(6,MAX(1,ROUNDUP(A76/$B$12,0)))</f>
        <v/>
      </c>
      <c r="D76" s="6">
        <f>$B$7</f>
        <v/>
      </c>
      <c r="E76" s="13">
        <f>MAX(0,$D76-$F76-$G76)</f>
        <v/>
      </c>
      <c r="F76" s="13">
        <f>IF($B76="Standard",$B$8,0)</f>
        <v/>
      </c>
      <c r="G76" s="6" t="n">
        <v>0</v>
      </c>
      <c r="H76" s="13">
        <f>IF($E76+$F76+$G76=$D76,"OK","MISMATCH")</f>
        <v/>
      </c>
      <c r="I76" s="15">
        <f>IF($D76&lt;=0,0,($D76-$F76)/$D76)</f>
        <v/>
      </c>
      <c r="J76" s="15">
        <f>IF($D76-$F76&lt;=0,0,$E76/($D76-$F76))</f>
        <v/>
      </c>
      <c r="K76" s="6" t="n">
        <v>0</v>
      </c>
      <c r="L76" s="6" t="n">
        <v>0</v>
      </c>
      <c r="M76" s="6" t="n">
        <v>0</v>
      </c>
      <c r="N76" s="6" t="n">
        <v>0</v>
      </c>
      <c r="O76" s="6" t="n">
        <v>0</v>
      </c>
      <c r="P76" s="6" t="n">
        <v>0</v>
      </c>
      <c r="Q76" s="6" t="n">
        <v>0</v>
      </c>
      <c r="R76" s="6" t="n">
        <v>0</v>
      </c>
      <c r="S76" s="6" t="n">
        <v>0</v>
      </c>
      <c r="T76" s="6" t="n">
        <v>0</v>
      </c>
      <c r="U76" s="6" t="n">
        <v>0</v>
      </c>
      <c r="V76" s="6" t="n">
        <v>0</v>
      </c>
      <c r="W76" s="6" t="n">
        <v>0</v>
      </c>
      <c r="X76" s="6" t="n">
        <v>0</v>
      </c>
      <c r="Y76" s="6" t="n">
        <v>0</v>
      </c>
      <c r="Z76" s="6" t="n">
        <v>0</v>
      </c>
      <c r="AA76" s="6" t="n">
        <v>0</v>
      </c>
      <c r="AB76" s="6" t="n">
        <v>0</v>
      </c>
      <c r="AC76" s="6" t="n">
        <v>0</v>
      </c>
      <c r="AD76" s="6" t="n">
        <v>0</v>
      </c>
      <c r="AE76" s="6" t="n">
        <v>0</v>
      </c>
    </row>
    <row r="77">
      <c r="A77" s="11" t="n">
        <v>47</v>
      </c>
      <c r="B77" s="13">
        <f>IF(A77=1,"Safe (Start)",IF(OR(A77=$B$10,A77=$B$11),"Milestone",IF(AND($B$9&gt;0,MOD(A77,$B$9)=0),"Safe","Standard")))</f>
        <v/>
      </c>
      <c r="C77" s="13">
        <f>MIN(6,MAX(1,ROUNDUP(A77/$B$12,0)))</f>
        <v/>
      </c>
      <c r="D77" s="6">
        <f>$B$7</f>
        <v/>
      </c>
      <c r="E77" s="13">
        <f>MAX(0,$D77-$F77-$G77)</f>
        <v/>
      </c>
      <c r="F77" s="13">
        <f>IF($B77="Standard",$B$8,0)</f>
        <v/>
      </c>
      <c r="G77" s="6" t="n">
        <v>0</v>
      </c>
      <c r="H77" s="13">
        <f>IF($E77+$F77+$G77=$D77,"OK","MISMATCH")</f>
        <v/>
      </c>
      <c r="I77" s="15">
        <f>IF($D77&lt;=0,0,($D77-$F77)/$D77)</f>
        <v/>
      </c>
      <c r="J77" s="15">
        <f>IF($D77-$F77&lt;=0,0,$E77/($D77-$F77))</f>
        <v/>
      </c>
      <c r="K77" s="6" t="n">
        <v>0</v>
      </c>
      <c r="L77" s="6" t="n">
        <v>0</v>
      </c>
      <c r="M77" s="6" t="n">
        <v>0</v>
      </c>
      <c r="N77" s="6" t="n">
        <v>0</v>
      </c>
      <c r="O77" s="6" t="n">
        <v>0</v>
      </c>
      <c r="P77" s="6" t="n">
        <v>0</v>
      </c>
      <c r="Q77" s="6" t="n">
        <v>0</v>
      </c>
      <c r="R77" s="6" t="n">
        <v>0</v>
      </c>
      <c r="S77" s="6" t="n">
        <v>0</v>
      </c>
      <c r="T77" s="6" t="n">
        <v>0</v>
      </c>
      <c r="U77" s="6" t="n">
        <v>0</v>
      </c>
      <c r="V77" s="6" t="n">
        <v>0</v>
      </c>
      <c r="W77" s="6" t="n">
        <v>0</v>
      </c>
      <c r="X77" s="6" t="n">
        <v>0</v>
      </c>
      <c r="Y77" s="6" t="n">
        <v>0</v>
      </c>
      <c r="Z77" s="6" t="n">
        <v>0</v>
      </c>
      <c r="AA77" s="6" t="n">
        <v>0</v>
      </c>
      <c r="AB77" s="6" t="n">
        <v>0</v>
      </c>
      <c r="AC77" s="6" t="n">
        <v>0</v>
      </c>
      <c r="AD77" s="6" t="n">
        <v>0</v>
      </c>
      <c r="AE77" s="6" t="n">
        <v>0</v>
      </c>
    </row>
    <row r="78">
      <c r="A78" s="11" t="n">
        <v>48</v>
      </c>
      <c r="B78" s="13">
        <f>IF(A78=1,"Safe (Start)",IF(OR(A78=$B$10,A78=$B$11),"Milestone",IF(AND($B$9&gt;0,MOD(A78,$B$9)=0),"Safe","Standard")))</f>
        <v/>
      </c>
      <c r="C78" s="13">
        <f>MIN(6,MAX(1,ROUNDUP(A78/$B$12,0)))</f>
        <v/>
      </c>
      <c r="D78" s="6">
        <f>$B$7</f>
        <v/>
      </c>
      <c r="E78" s="13">
        <f>MAX(0,$D78-$F78-$G78)</f>
        <v/>
      </c>
      <c r="F78" s="13">
        <f>IF($B78="Standard",$B$8,0)</f>
        <v/>
      </c>
      <c r="G78" s="6" t="n">
        <v>0</v>
      </c>
      <c r="H78" s="13">
        <f>IF($E78+$F78+$G78=$D78,"OK","MISMATCH")</f>
        <v/>
      </c>
      <c r="I78" s="15">
        <f>IF($D78&lt;=0,0,($D78-$F78)/$D78)</f>
        <v/>
      </c>
      <c r="J78" s="15">
        <f>IF($D78-$F78&lt;=0,0,$E78/($D78-$F78))</f>
        <v/>
      </c>
      <c r="K78" s="6" t="n">
        <v>0</v>
      </c>
      <c r="L78" s="6" t="n">
        <v>0</v>
      </c>
      <c r="M78" s="6" t="n">
        <v>0</v>
      </c>
      <c r="N78" s="6" t="n">
        <v>0</v>
      </c>
      <c r="O78" s="6" t="n">
        <v>0</v>
      </c>
      <c r="P78" s="6" t="n">
        <v>0</v>
      </c>
      <c r="Q78" s="6" t="n">
        <v>0</v>
      </c>
      <c r="R78" s="6" t="n">
        <v>0</v>
      </c>
      <c r="S78" s="6" t="n">
        <v>0</v>
      </c>
      <c r="T78" s="6" t="n">
        <v>0</v>
      </c>
      <c r="U78" s="6" t="n">
        <v>0</v>
      </c>
      <c r="V78" s="6" t="n">
        <v>0</v>
      </c>
      <c r="W78" s="6" t="n">
        <v>0</v>
      </c>
      <c r="X78" s="6" t="n">
        <v>0</v>
      </c>
      <c r="Y78" s="6" t="n">
        <v>0</v>
      </c>
      <c r="Z78" s="6" t="n">
        <v>0</v>
      </c>
      <c r="AA78" s="6" t="n">
        <v>0</v>
      </c>
      <c r="AB78" s="6" t="n">
        <v>0</v>
      </c>
      <c r="AC78" s="6" t="n">
        <v>0</v>
      </c>
      <c r="AD78" s="6" t="n">
        <v>0</v>
      </c>
      <c r="AE78" s="6" t="n">
        <v>0</v>
      </c>
    </row>
    <row r="79">
      <c r="A79" s="11" t="n">
        <v>49</v>
      </c>
      <c r="B79" s="13">
        <f>IF(A79=1,"Safe (Start)",IF(OR(A79=$B$10,A79=$B$11),"Milestone",IF(AND($B$9&gt;0,MOD(A79,$B$9)=0),"Safe","Standard")))</f>
        <v/>
      </c>
      <c r="C79" s="13">
        <f>MIN(6,MAX(1,ROUNDUP(A79/$B$12,0)))</f>
        <v/>
      </c>
      <c r="D79" s="6">
        <f>$B$7</f>
        <v/>
      </c>
      <c r="E79" s="13">
        <f>MAX(0,$D79-$F79-$G79)</f>
        <v/>
      </c>
      <c r="F79" s="13">
        <f>IF($B79="Standard",$B$8,0)</f>
        <v/>
      </c>
      <c r="G79" s="6" t="n">
        <v>0</v>
      </c>
      <c r="H79" s="13">
        <f>IF($E79+$F79+$G79=$D79,"OK","MISMATCH")</f>
        <v/>
      </c>
      <c r="I79" s="15">
        <f>IF($D79&lt;=0,0,($D79-$F79)/$D79)</f>
        <v/>
      </c>
      <c r="J79" s="15">
        <f>IF($D79-$F79&lt;=0,0,$E79/($D79-$F79))</f>
        <v/>
      </c>
      <c r="K79" s="6" t="n">
        <v>0</v>
      </c>
      <c r="L79" s="6" t="n">
        <v>0</v>
      </c>
      <c r="M79" s="6" t="n">
        <v>0</v>
      </c>
      <c r="N79" s="6" t="n">
        <v>0</v>
      </c>
      <c r="O79" s="6" t="n">
        <v>0</v>
      </c>
      <c r="P79" s="6" t="n">
        <v>0</v>
      </c>
      <c r="Q79" s="6" t="n">
        <v>0</v>
      </c>
      <c r="R79" s="6" t="n">
        <v>0</v>
      </c>
      <c r="S79" s="6" t="n">
        <v>0</v>
      </c>
      <c r="T79" s="6" t="n">
        <v>0</v>
      </c>
      <c r="U79" s="6" t="n">
        <v>0</v>
      </c>
      <c r="V79" s="6" t="n">
        <v>0</v>
      </c>
      <c r="W79" s="6" t="n">
        <v>0</v>
      </c>
      <c r="X79" s="6" t="n">
        <v>0</v>
      </c>
      <c r="Y79" s="6" t="n">
        <v>0</v>
      </c>
      <c r="Z79" s="6" t="n">
        <v>0</v>
      </c>
      <c r="AA79" s="6" t="n">
        <v>0</v>
      </c>
      <c r="AB79" s="6" t="n">
        <v>0</v>
      </c>
      <c r="AC79" s="6" t="n">
        <v>0</v>
      </c>
      <c r="AD79" s="6" t="n">
        <v>0</v>
      </c>
      <c r="AE79" s="6" t="n">
        <v>0</v>
      </c>
    </row>
    <row r="80">
      <c r="A80" s="11" t="n">
        <v>50</v>
      </c>
      <c r="B80" s="13">
        <f>IF(A80=1,"Safe (Start)",IF(OR(A80=$B$10,A80=$B$11),"Milestone",IF(AND($B$9&gt;0,MOD(A80,$B$9)=0),"Safe","Standard")))</f>
        <v/>
      </c>
      <c r="C80" s="13">
        <f>MIN(6,MAX(1,ROUNDUP(A80/$B$12,0)))</f>
        <v/>
      </c>
      <c r="D80" s="6">
        <f>$B$7</f>
        <v/>
      </c>
      <c r="E80" s="13">
        <f>MAX(0,$D80-$F80-$G80)</f>
        <v/>
      </c>
      <c r="F80" s="13">
        <f>IF($B80="Standard",$B$8,0)</f>
        <v/>
      </c>
      <c r="G80" s="6" t="n">
        <v>0</v>
      </c>
      <c r="H80" s="13">
        <f>IF($E80+$F80+$G80=$D80,"OK","MISMATCH")</f>
        <v/>
      </c>
      <c r="I80" s="15">
        <f>IF($D80&lt;=0,0,($D80-$F80)/$D80)</f>
        <v/>
      </c>
      <c r="J80" s="15">
        <f>IF($D80-$F80&lt;=0,0,$E80/($D80-$F80))</f>
        <v/>
      </c>
      <c r="K80" s="6" t="n">
        <v>0</v>
      </c>
      <c r="L80" s="6" t="n">
        <v>0</v>
      </c>
      <c r="M80" s="6" t="n">
        <v>0</v>
      </c>
      <c r="N80" s="6" t="n">
        <v>0</v>
      </c>
      <c r="O80" s="6" t="n">
        <v>0</v>
      </c>
      <c r="P80" s="6" t="n">
        <v>0</v>
      </c>
      <c r="Q80" s="6" t="n">
        <v>0</v>
      </c>
      <c r="R80" s="6" t="n">
        <v>0</v>
      </c>
      <c r="S80" s="6" t="n">
        <v>0</v>
      </c>
      <c r="T80" s="6" t="n">
        <v>0</v>
      </c>
      <c r="U80" s="6" t="n">
        <v>0</v>
      </c>
      <c r="V80" s="6" t="n">
        <v>0</v>
      </c>
      <c r="W80" s="6" t="n">
        <v>0</v>
      </c>
      <c r="X80" s="6" t="n">
        <v>0</v>
      </c>
      <c r="Y80" s="6" t="n">
        <v>0</v>
      </c>
      <c r="Z80" s="6" t="n">
        <v>0</v>
      </c>
      <c r="AA80" s="6" t="n">
        <v>0</v>
      </c>
      <c r="AB80" s="6" t="n">
        <v>0</v>
      </c>
      <c r="AC80" s="6" t="n">
        <v>0</v>
      </c>
      <c r="AD80" s="6" t="n">
        <v>0</v>
      </c>
      <c r="AE80" s="6" t="n">
        <v>0</v>
      </c>
    </row>
    <row r="81">
      <c r="A81" s="11" t="n">
        <v>51</v>
      </c>
      <c r="B81" s="13">
        <f>IF(A81=1,"Safe (Start)",IF(OR(A81=$B$10,A81=$B$11),"Milestone",IF(AND($B$9&gt;0,MOD(A81,$B$9)=0),"Safe","Standard")))</f>
        <v/>
      </c>
      <c r="C81" s="13">
        <f>MIN(6,MAX(1,ROUNDUP(A81/$B$12,0)))</f>
        <v/>
      </c>
      <c r="D81" s="6">
        <f>$B$7</f>
        <v/>
      </c>
      <c r="E81" s="13">
        <f>MAX(0,$D81-$F81-$G81)</f>
        <v/>
      </c>
      <c r="F81" s="13">
        <f>IF($B81="Standard",$B$8,0)</f>
        <v/>
      </c>
      <c r="G81" s="6" t="n">
        <v>0</v>
      </c>
      <c r="H81" s="13">
        <f>IF($E81+$F81+$G81=$D81,"OK","MISMATCH")</f>
        <v/>
      </c>
      <c r="I81" s="15">
        <f>IF($D81&lt;=0,0,($D81-$F81)/$D81)</f>
        <v/>
      </c>
      <c r="J81" s="15">
        <f>IF($D81-$F81&lt;=0,0,$E81/($D81-$F81))</f>
        <v/>
      </c>
      <c r="K81" s="6" t="n">
        <v>0</v>
      </c>
      <c r="L81" s="6" t="n">
        <v>0</v>
      </c>
      <c r="M81" s="6" t="n">
        <v>0</v>
      </c>
      <c r="N81" s="6" t="n">
        <v>0</v>
      </c>
      <c r="O81" s="6" t="n">
        <v>0</v>
      </c>
      <c r="P81" s="6" t="n">
        <v>0</v>
      </c>
      <c r="Q81" s="6" t="n">
        <v>0</v>
      </c>
      <c r="R81" s="6" t="n">
        <v>0</v>
      </c>
      <c r="S81" s="6" t="n">
        <v>0</v>
      </c>
      <c r="T81" s="6" t="n">
        <v>0</v>
      </c>
      <c r="U81" s="6" t="n">
        <v>0</v>
      </c>
      <c r="V81" s="6" t="n">
        <v>0</v>
      </c>
      <c r="W81" s="6" t="n">
        <v>0</v>
      </c>
      <c r="X81" s="6" t="n">
        <v>0</v>
      </c>
      <c r="Y81" s="6" t="n">
        <v>0</v>
      </c>
      <c r="Z81" s="6" t="n">
        <v>0</v>
      </c>
      <c r="AA81" s="6" t="n">
        <v>0</v>
      </c>
      <c r="AB81" s="6" t="n">
        <v>0</v>
      </c>
      <c r="AC81" s="6" t="n">
        <v>0</v>
      </c>
      <c r="AD81" s="6" t="n">
        <v>0</v>
      </c>
      <c r="AE81" s="6" t="n">
        <v>0</v>
      </c>
    </row>
    <row r="82">
      <c r="A82" s="11" t="n">
        <v>52</v>
      </c>
      <c r="B82" s="13">
        <f>IF(A82=1,"Safe (Start)",IF(OR(A82=$B$10,A82=$B$11),"Milestone",IF(AND($B$9&gt;0,MOD(A82,$B$9)=0),"Safe","Standard")))</f>
        <v/>
      </c>
      <c r="C82" s="13">
        <f>MIN(6,MAX(1,ROUNDUP(A82/$B$12,0)))</f>
        <v/>
      </c>
      <c r="D82" s="6">
        <f>$B$7</f>
        <v/>
      </c>
      <c r="E82" s="13">
        <f>MAX(0,$D82-$F82-$G82)</f>
        <v/>
      </c>
      <c r="F82" s="13">
        <f>IF($B82="Standard",$B$8,0)</f>
        <v/>
      </c>
      <c r="G82" s="6" t="n">
        <v>0</v>
      </c>
      <c r="H82" s="13">
        <f>IF($E82+$F82+$G82=$D82,"OK","MISMATCH")</f>
        <v/>
      </c>
      <c r="I82" s="15">
        <f>IF($D82&lt;=0,0,($D82-$F82)/$D82)</f>
        <v/>
      </c>
      <c r="J82" s="15">
        <f>IF($D82-$F82&lt;=0,0,$E82/($D82-$F82))</f>
        <v/>
      </c>
      <c r="K82" s="6" t="n">
        <v>0</v>
      </c>
      <c r="L82" s="6" t="n">
        <v>0</v>
      </c>
      <c r="M82" s="6" t="n">
        <v>0</v>
      </c>
      <c r="N82" s="6" t="n">
        <v>0</v>
      </c>
      <c r="O82" s="6" t="n">
        <v>0</v>
      </c>
      <c r="P82" s="6" t="n">
        <v>0</v>
      </c>
      <c r="Q82" s="6" t="n">
        <v>0</v>
      </c>
      <c r="R82" s="6" t="n">
        <v>0</v>
      </c>
      <c r="S82" s="6" t="n">
        <v>0</v>
      </c>
      <c r="T82" s="6" t="n">
        <v>0</v>
      </c>
      <c r="U82" s="6" t="n">
        <v>0</v>
      </c>
      <c r="V82" s="6" t="n">
        <v>0</v>
      </c>
      <c r="W82" s="6" t="n">
        <v>0</v>
      </c>
      <c r="X82" s="6" t="n">
        <v>0</v>
      </c>
      <c r="Y82" s="6" t="n">
        <v>0</v>
      </c>
      <c r="Z82" s="6" t="n">
        <v>0</v>
      </c>
      <c r="AA82" s="6" t="n">
        <v>0</v>
      </c>
      <c r="AB82" s="6" t="n">
        <v>0</v>
      </c>
      <c r="AC82" s="6" t="n">
        <v>0</v>
      </c>
      <c r="AD82" s="6" t="n">
        <v>0</v>
      </c>
      <c r="AE82" s="6" t="n">
        <v>0</v>
      </c>
    </row>
    <row r="83">
      <c r="A83" s="11" t="n">
        <v>53</v>
      </c>
      <c r="B83" s="13">
        <f>IF(A83=1,"Safe (Start)",IF(OR(A83=$B$10,A83=$B$11),"Milestone",IF(AND($B$9&gt;0,MOD(A83,$B$9)=0),"Safe","Standard")))</f>
        <v/>
      </c>
      <c r="C83" s="13">
        <f>MIN(6,MAX(1,ROUNDUP(A83/$B$12,0)))</f>
        <v/>
      </c>
      <c r="D83" s="6">
        <f>$B$7</f>
        <v/>
      </c>
      <c r="E83" s="13">
        <f>MAX(0,$D83-$F83-$G83)</f>
        <v/>
      </c>
      <c r="F83" s="13">
        <f>IF($B83="Standard",$B$8,0)</f>
        <v/>
      </c>
      <c r="G83" s="6" t="n">
        <v>0</v>
      </c>
      <c r="H83" s="13">
        <f>IF($E83+$F83+$G83=$D83,"OK","MISMATCH")</f>
        <v/>
      </c>
      <c r="I83" s="15">
        <f>IF($D83&lt;=0,0,($D83-$F83)/$D83)</f>
        <v/>
      </c>
      <c r="J83" s="15">
        <f>IF($D83-$F83&lt;=0,0,$E83/($D83-$F83))</f>
        <v/>
      </c>
      <c r="K83" s="6" t="n">
        <v>0</v>
      </c>
      <c r="L83" s="6" t="n">
        <v>0</v>
      </c>
      <c r="M83" s="6" t="n">
        <v>0</v>
      </c>
      <c r="N83" s="6" t="n">
        <v>0</v>
      </c>
      <c r="O83" s="6" t="n">
        <v>0</v>
      </c>
      <c r="P83" s="6" t="n">
        <v>0</v>
      </c>
      <c r="Q83" s="6" t="n">
        <v>0</v>
      </c>
      <c r="R83" s="6" t="n">
        <v>0</v>
      </c>
      <c r="S83" s="6" t="n">
        <v>0</v>
      </c>
      <c r="T83" s="6" t="n">
        <v>0</v>
      </c>
      <c r="U83" s="6" t="n">
        <v>0</v>
      </c>
      <c r="V83" s="6" t="n">
        <v>0</v>
      </c>
      <c r="W83" s="6" t="n">
        <v>0</v>
      </c>
      <c r="X83" s="6" t="n">
        <v>0</v>
      </c>
      <c r="Y83" s="6" t="n">
        <v>0</v>
      </c>
      <c r="Z83" s="6" t="n">
        <v>0</v>
      </c>
      <c r="AA83" s="6" t="n">
        <v>0</v>
      </c>
      <c r="AB83" s="6" t="n">
        <v>0</v>
      </c>
      <c r="AC83" s="6" t="n">
        <v>0</v>
      </c>
      <c r="AD83" s="6" t="n">
        <v>0</v>
      </c>
      <c r="AE83" s="6" t="n">
        <v>0</v>
      </c>
    </row>
    <row r="84">
      <c r="A84" s="11" t="n">
        <v>54</v>
      </c>
      <c r="B84" s="13">
        <f>IF(A84=1,"Safe (Start)",IF(OR(A84=$B$10,A84=$B$11),"Milestone",IF(AND($B$9&gt;0,MOD(A84,$B$9)=0),"Safe","Standard")))</f>
        <v/>
      </c>
      <c r="C84" s="13">
        <f>MIN(6,MAX(1,ROUNDUP(A84/$B$12,0)))</f>
        <v/>
      </c>
      <c r="D84" s="6">
        <f>$B$7</f>
        <v/>
      </c>
      <c r="E84" s="13">
        <f>MAX(0,$D84-$F84-$G84)</f>
        <v/>
      </c>
      <c r="F84" s="13">
        <f>IF($B84="Standard",$B$8,0)</f>
        <v/>
      </c>
      <c r="G84" s="6" t="n">
        <v>0</v>
      </c>
      <c r="H84" s="13">
        <f>IF($E84+$F84+$G84=$D84,"OK","MISMATCH")</f>
        <v/>
      </c>
      <c r="I84" s="15">
        <f>IF($D84&lt;=0,0,($D84-$F84)/$D84)</f>
        <v/>
      </c>
      <c r="J84" s="15">
        <f>IF($D84-$F84&lt;=0,0,$E84/($D84-$F84))</f>
        <v/>
      </c>
      <c r="K84" s="6" t="n">
        <v>0</v>
      </c>
      <c r="L84" s="6" t="n">
        <v>0</v>
      </c>
      <c r="M84" s="6" t="n">
        <v>0</v>
      </c>
      <c r="N84" s="6" t="n">
        <v>0</v>
      </c>
      <c r="O84" s="6" t="n">
        <v>0</v>
      </c>
      <c r="P84" s="6" t="n">
        <v>0</v>
      </c>
      <c r="Q84" s="6" t="n">
        <v>0</v>
      </c>
      <c r="R84" s="6" t="n">
        <v>0</v>
      </c>
      <c r="S84" s="6" t="n">
        <v>0</v>
      </c>
      <c r="T84" s="6" t="n">
        <v>0</v>
      </c>
      <c r="U84" s="6" t="n">
        <v>0</v>
      </c>
      <c r="V84" s="6" t="n">
        <v>0</v>
      </c>
      <c r="W84" s="6" t="n">
        <v>0</v>
      </c>
      <c r="X84" s="6" t="n">
        <v>0</v>
      </c>
      <c r="Y84" s="6" t="n">
        <v>0</v>
      </c>
      <c r="Z84" s="6" t="n">
        <v>0</v>
      </c>
      <c r="AA84" s="6" t="n">
        <v>0</v>
      </c>
      <c r="AB84" s="6" t="n">
        <v>0</v>
      </c>
      <c r="AC84" s="6" t="n">
        <v>0</v>
      </c>
      <c r="AD84" s="6" t="n">
        <v>0</v>
      </c>
      <c r="AE84" s="6" t="n">
        <v>0</v>
      </c>
    </row>
    <row r="85">
      <c r="A85" s="11" t="n">
        <v>55</v>
      </c>
      <c r="B85" s="13">
        <f>IF(A85=1,"Safe (Start)",IF(OR(A85=$B$10,A85=$B$11),"Milestone",IF(AND($B$9&gt;0,MOD(A85,$B$9)=0),"Safe","Standard")))</f>
        <v/>
      </c>
      <c r="C85" s="13">
        <f>MIN(6,MAX(1,ROUNDUP(A85/$B$12,0)))</f>
        <v/>
      </c>
      <c r="D85" s="6">
        <f>$B$7</f>
        <v/>
      </c>
      <c r="E85" s="13">
        <f>MAX(0,$D85-$F85-$G85)</f>
        <v/>
      </c>
      <c r="F85" s="13">
        <f>IF($B85="Standard",$B$8,0)</f>
        <v/>
      </c>
      <c r="G85" s="6" t="n">
        <v>0</v>
      </c>
      <c r="H85" s="13">
        <f>IF($E85+$F85+$G85=$D85,"OK","MISMATCH")</f>
        <v/>
      </c>
      <c r="I85" s="15">
        <f>IF($D85&lt;=0,0,($D85-$F85)/$D85)</f>
        <v/>
      </c>
      <c r="J85" s="15">
        <f>IF($D85-$F85&lt;=0,0,$E85/($D85-$F85))</f>
        <v/>
      </c>
      <c r="K85" s="6" t="n">
        <v>0</v>
      </c>
      <c r="L85" s="6" t="n">
        <v>0</v>
      </c>
      <c r="M85" s="6" t="n">
        <v>0</v>
      </c>
      <c r="N85" s="6" t="n">
        <v>0</v>
      </c>
      <c r="O85" s="6" t="n">
        <v>0</v>
      </c>
      <c r="P85" s="6" t="n">
        <v>0</v>
      </c>
      <c r="Q85" s="6" t="n">
        <v>0</v>
      </c>
      <c r="R85" s="6" t="n">
        <v>0</v>
      </c>
      <c r="S85" s="6" t="n">
        <v>0</v>
      </c>
      <c r="T85" s="6" t="n">
        <v>0</v>
      </c>
      <c r="U85" s="6" t="n">
        <v>0</v>
      </c>
      <c r="V85" s="6" t="n">
        <v>0</v>
      </c>
      <c r="W85" s="6" t="n">
        <v>0</v>
      </c>
      <c r="X85" s="6" t="n">
        <v>0</v>
      </c>
      <c r="Y85" s="6" t="n">
        <v>0</v>
      </c>
      <c r="Z85" s="6" t="n">
        <v>0</v>
      </c>
      <c r="AA85" s="6" t="n">
        <v>0</v>
      </c>
      <c r="AB85" s="6" t="n">
        <v>0</v>
      </c>
      <c r="AC85" s="6" t="n">
        <v>0</v>
      </c>
      <c r="AD85" s="6" t="n">
        <v>0</v>
      </c>
      <c r="AE85" s="6" t="n">
        <v>0</v>
      </c>
    </row>
    <row r="86">
      <c r="A86" s="11" t="n">
        <v>56</v>
      </c>
      <c r="B86" s="13">
        <f>IF(A86=1,"Safe (Start)",IF(OR(A86=$B$10,A86=$B$11),"Milestone",IF(AND($B$9&gt;0,MOD(A86,$B$9)=0),"Safe","Standard")))</f>
        <v/>
      </c>
      <c r="C86" s="13">
        <f>MIN(6,MAX(1,ROUNDUP(A86/$B$12,0)))</f>
        <v/>
      </c>
      <c r="D86" s="6">
        <f>$B$7</f>
        <v/>
      </c>
      <c r="E86" s="13">
        <f>MAX(0,$D86-$F86-$G86)</f>
        <v/>
      </c>
      <c r="F86" s="13">
        <f>IF($B86="Standard",$B$8,0)</f>
        <v/>
      </c>
      <c r="G86" s="6" t="n">
        <v>0</v>
      </c>
      <c r="H86" s="13">
        <f>IF($E86+$F86+$G86=$D86,"OK","MISMATCH")</f>
        <v/>
      </c>
      <c r="I86" s="15">
        <f>IF($D86&lt;=0,0,($D86-$F86)/$D86)</f>
        <v/>
      </c>
      <c r="J86" s="15">
        <f>IF($D86-$F86&lt;=0,0,$E86/($D86-$F86))</f>
        <v/>
      </c>
      <c r="K86" s="6" t="n">
        <v>0</v>
      </c>
      <c r="L86" s="6" t="n">
        <v>0</v>
      </c>
      <c r="M86" s="6" t="n">
        <v>0</v>
      </c>
      <c r="N86" s="6" t="n">
        <v>0</v>
      </c>
      <c r="O86" s="6" t="n">
        <v>0</v>
      </c>
      <c r="P86" s="6" t="n">
        <v>0</v>
      </c>
      <c r="Q86" s="6" t="n">
        <v>0</v>
      </c>
      <c r="R86" s="6" t="n">
        <v>0</v>
      </c>
      <c r="S86" s="6" t="n">
        <v>0</v>
      </c>
      <c r="T86" s="6" t="n">
        <v>0</v>
      </c>
      <c r="U86" s="6" t="n">
        <v>0</v>
      </c>
      <c r="V86" s="6" t="n">
        <v>0</v>
      </c>
      <c r="W86" s="6" t="n">
        <v>0</v>
      </c>
      <c r="X86" s="6" t="n">
        <v>0</v>
      </c>
      <c r="Y86" s="6" t="n">
        <v>0</v>
      </c>
      <c r="Z86" s="6" t="n">
        <v>0</v>
      </c>
      <c r="AA86" s="6" t="n">
        <v>0</v>
      </c>
      <c r="AB86" s="6" t="n">
        <v>0</v>
      </c>
      <c r="AC86" s="6" t="n">
        <v>0</v>
      </c>
      <c r="AD86" s="6" t="n">
        <v>0</v>
      </c>
      <c r="AE86" s="6" t="n">
        <v>0</v>
      </c>
    </row>
    <row r="87">
      <c r="A87" s="11" t="n">
        <v>57</v>
      </c>
      <c r="B87" s="13">
        <f>IF(A87=1,"Safe (Start)",IF(OR(A87=$B$10,A87=$B$11),"Milestone",IF(AND($B$9&gt;0,MOD(A87,$B$9)=0),"Safe","Standard")))</f>
        <v/>
      </c>
      <c r="C87" s="13">
        <f>MIN(6,MAX(1,ROUNDUP(A87/$B$12,0)))</f>
        <v/>
      </c>
      <c r="D87" s="6">
        <f>$B$7</f>
        <v/>
      </c>
      <c r="E87" s="13">
        <f>MAX(0,$D87-$F87-$G87)</f>
        <v/>
      </c>
      <c r="F87" s="13">
        <f>IF($B87="Standard",$B$8,0)</f>
        <v/>
      </c>
      <c r="G87" s="6" t="n">
        <v>0</v>
      </c>
      <c r="H87" s="13">
        <f>IF($E87+$F87+$G87=$D87,"OK","MISMATCH")</f>
        <v/>
      </c>
      <c r="I87" s="15">
        <f>IF($D87&lt;=0,0,($D87-$F87)/$D87)</f>
        <v/>
      </c>
      <c r="J87" s="15">
        <f>IF($D87-$F87&lt;=0,0,$E87/($D87-$F87))</f>
        <v/>
      </c>
      <c r="K87" s="6" t="n">
        <v>0</v>
      </c>
      <c r="L87" s="6" t="n">
        <v>0</v>
      </c>
      <c r="M87" s="6" t="n">
        <v>0</v>
      </c>
      <c r="N87" s="6" t="n">
        <v>0</v>
      </c>
      <c r="O87" s="6" t="n">
        <v>0</v>
      </c>
      <c r="P87" s="6" t="n">
        <v>0</v>
      </c>
      <c r="Q87" s="6" t="n">
        <v>0</v>
      </c>
      <c r="R87" s="6" t="n">
        <v>0</v>
      </c>
      <c r="S87" s="6" t="n">
        <v>0</v>
      </c>
      <c r="T87" s="6" t="n">
        <v>0</v>
      </c>
      <c r="U87" s="6" t="n">
        <v>0</v>
      </c>
      <c r="V87" s="6" t="n">
        <v>0</v>
      </c>
      <c r="W87" s="6" t="n">
        <v>0</v>
      </c>
      <c r="X87" s="6" t="n">
        <v>0</v>
      </c>
      <c r="Y87" s="6" t="n">
        <v>0</v>
      </c>
      <c r="Z87" s="6" t="n">
        <v>0</v>
      </c>
      <c r="AA87" s="6" t="n">
        <v>0</v>
      </c>
      <c r="AB87" s="6" t="n">
        <v>0</v>
      </c>
      <c r="AC87" s="6" t="n">
        <v>0</v>
      </c>
      <c r="AD87" s="6" t="n">
        <v>0</v>
      </c>
      <c r="AE87" s="6" t="n">
        <v>0</v>
      </c>
    </row>
    <row r="88">
      <c r="A88" s="11" t="n">
        <v>58</v>
      </c>
      <c r="B88" s="13">
        <f>IF(A88=1,"Safe (Start)",IF(OR(A88=$B$10,A88=$B$11),"Milestone",IF(AND($B$9&gt;0,MOD(A88,$B$9)=0),"Safe","Standard")))</f>
        <v/>
      </c>
      <c r="C88" s="13">
        <f>MIN(6,MAX(1,ROUNDUP(A88/$B$12,0)))</f>
        <v/>
      </c>
      <c r="D88" s="6">
        <f>$B$7</f>
        <v/>
      </c>
      <c r="E88" s="13">
        <f>MAX(0,$D88-$F88-$G88)</f>
        <v/>
      </c>
      <c r="F88" s="13">
        <f>IF($B88="Standard",$B$8,0)</f>
        <v/>
      </c>
      <c r="G88" s="6" t="n">
        <v>0</v>
      </c>
      <c r="H88" s="13">
        <f>IF($E88+$F88+$G88=$D88,"OK","MISMATCH")</f>
        <v/>
      </c>
      <c r="I88" s="15">
        <f>IF($D88&lt;=0,0,($D88-$F88)/$D88)</f>
        <v/>
      </c>
      <c r="J88" s="15">
        <f>IF($D88-$F88&lt;=0,0,$E88/($D88-$F88))</f>
        <v/>
      </c>
      <c r="K88" s="6" t="n">
        <v>0</v>
      </c>
      <c r="L88" s="6" t="n">
        <v>0</v>
      </c>
      <c r="M88" s="6" t="n">
        <v>0</v>
      </c>
      <c r="N88" s="6" t="n">
        <v>0</v>
      </c>
      <c r="O88" s="6" t="n">
        <v>0</v>
      </c>
      <c r="P88" s="6" t="n">
        <v>0</v>
      </c>
      <c r="Q88" s="6" t="n">
        <v>0</v>
      </c>
      <c r="R88" s="6" t="n">
        <v>0</v>
      </c>
      <c r="S88" s="6" t="n">
        <v>0</v>
      </c>
      <c r="T88" s="6" t="n">
        <v>0</v>
      </c>
      <c r="U88" s="6" t="n">
        <v>0</v>
      </c>
      <c r="V88" s="6" t="n">
        <v>0</v>
      </c>
      <c r="W88" s="6" t="n">
        <v>0</v>
      </c>
      <c r="X88" s="6" t="n">
        <v>0</v>
      </c>
      <c r="Y88" s="6" t="n">
        <v>0</v>
      </c>
      <c r="Z88" s="6" t="n">
        <v>0</v>
      </c>
      <c r="AA88" s="6" t="n">
        <v>0</v>
      </c>
      <c r="AB88" s="6" t="n">
        <v>0</v>
      </c>
      <c r="AC88" s="6" t="n">
        <v>0</v>
      </c>
      <c r="AD88" s="6" t="n">
        <v>0</v>
      </c>
      <c r="AE88" s="6" t="n">
        <v>0</v>
      </c>
    </row>
    <row r="89">
      <c r="A89" s="11" t="n">
        <v>59</v>
      </c>
      <c r="B89" s="13">
        <f>IF(A89=1,"Safe (Start)",IF(OR(A89=$B$10,A89=$B$11),"Milestone",IF(AND($B$9&gt;0,MOD(A89,$B$9)=0),"Safe","Standard")))</f>
        <v/>
      </c>
      <c r="C89" s="13">
        <f>MIN(6,MAX(1,ROUNDUP(A89/$B$12,0)))</f>
        <v/>
      </c>
      <c r="D89" s="6">
        <f>$B$7</f>
        <v/>
      </c>
      <c r="E89" s="13">
        <f>MAX(0,$D89-$F89-$G89)</f>
        <v/>
      </c>
      <c r="F89" s="13">
        <f>IF($B89="Standard",$B$8,0)</f>
        <v/>
      </c>
      <c r="G89" s="6" t="n">
        <v>0</v>
      </c>
      <c r="H89" s="13">
        <f>IF($E89+$F89+$G89=$D89,"OK","MISMATCH")</f>
        <v/>
      </c>
      <c r="I89" s="15">
        <f>IF($D89&lt;=0,0,($D89-$F89)/$D89)</f>
        <v/>
      </c>
      <c r="J89" s="15">
        <f>IF($D89-$F89&lt;=0,0,$E89/($D89-$F89))</f>
        <v/>
      </c>
      <c r="K89" s="6" t="n">
        <v>0</v>
      </c>
      <c r="L89" s="6" t="n">
        <v>0</v>
      </c>
      <c r="M89" s="6" t="n">
        <v>0</v>
      </c>
      <c r="N89" s="6" t="n">
        <v>0</v>
      </c>
      <c r="O89" s="6" t="n">
        <v>0</v>
      </c>
      <c r="P89" s="6" t="n">
        <v>0</v>
      </c>
      <c r="Q89" s="6" t="n">
        <v>0</v>
      </c>
      <c r="R89" s="6" t="n">
        <v>0</v>
      </c>
      <c r="S89" s="6" t="n">
        <v>0</v>
      </c>
      <c r="T89" s="6" t="n">
        <v>0</v>
      </c>
      <c r="U89" s="6" t="n">
        <v>0</v>
      </c>
      <c r="V89" s="6" t="n">
        <v>0</v>
      </c>
      <c r="W89" s="6" t="n">
        <v>0</v>
      </c>
      <c r="X89" s="6" t="n">
        <v>0</v>
      </c>
      <c r="Y89" s="6" t="n">
        <v>0</v>
      </c>
      <c r="Z89" s="6" t="n">
        <v>0</v>
      </c>
      <c r="AA89" s="6" t="n">
        <v>0</v>
      </c>
      <c r="AB89" s="6" t="n">
        <v>0</v>
      </c>
      <c r="AC89" s="6" t="n">
        <v>0</v>
      </c>
      <c r="AD89" s="6" t="n">
        <v>0</v>
      </c>
      <c r="AE89" s="6" t="n">
        <v>0</v>
      </c>
    </row>
    <row r="90">
      <c r="A90" s="11" t="n">
        <v>60</v>
      </c>
      <c r="B90" s="13">
        <f>IF(A90=1,"Safe (Start)",IF(OR(A90=$B$10,A90=$B$11),"Milestone",IF(AND($B$9&gt;0,MOD(A90,$B$9)=0),"Safe","Standard")))</f>
        <v/>
      </c>
      <c r="C90" s="13">
        <f>MIN(6,MAX(1,ROUNDUP(A90/$B$12,0)))</f>
        <v/>
      </c>
      <c r="D90" s="6">
        <f>$B$7</f>
        <v/>
      </c>
      <c r="E90" s="13">
        <f>MAX(0,$D90-$F90-$G90)</f>
        <v/>
      </c>
      <c r="F90" s="13">
        <f>IF($B90="Standard",$B$8,0)</f>
        <v/>
      </c>
      <c r="G90" s="6" t="n">
        <v>0</v>
      </c>
      <c r="H90" s="13">
        <f>IF($E90+$F90+$G90=$D90,"OK","MISMATCH")</f>
        <v/>
      </c>
      <c r="I90" s="15">
        <f>IF($D90&lt;=0,0,($D90-$F90)/$D90)</f>
        <v/>
      </c>
      <c r="J90" s="15">
        <f>IF($D90-$F90&lt;=0,0,$E90/($D90-$F90))</f>
        <v/>
      </c>
      <c r="K90" s="6" t="n">
        <v>0</v>
      </c>
      <c r="L90" s="6" t="n">
        <v>0</v>
      </c>
      <c r="M90" s="6" t="n">
        <v>0</v>
      </c>
      <c r="N90" s="6" t="n">
        <v>0</v>
      </c>
      <c r="O90" s="6" t="n">
        <v>0</v>
      </c>
      <c r="P90" s="6" t="n">
        <v>0</v>
      </c>
      <c r="Q90" s="6" t="n">
        <v>0</v>
      </c>
      <c r="R90" s="6" t="n">
        <v>0</v>
      </c>
      <c r="S90" s="6" t="n">
        <v>0</v>
      </c>
      <c r="T90" s="6" t="n">
        <v>0</v>
      </c>
      <c r="U90" s="6" t="n">
        <v>0</v>
      </c>
      <c r="V90" s="6" t="n">
        <v>0</v>
      </c>
      <c r="W90" s="6" t="n">
        <v>0</v>
      </c>
      <c r="X90" s="6" t="n">
        <v>0</v>
      </c>
      <c r="Y90" s="6" t="n">
        <v>0</v>
      </c>
      <c r="Z90" s="6" t="n">
        <v>0</v>
      </c>
      <c r="AA90" s="6" t="n">
        <v>0</v>
      </c>
      <c r="AB90" s="6" t="n">
        <v>0</v>
      </c>
      <c r="AC90" s="6" t="n">
        <v>0</v>
      </c>
      <c r="AD90" s="6" t="n">
        <v>0</v>
      </c>
      <c r="AE90" s="6" t="n">
        <v>0</v>
      </c>
    </row>
    <row r="92">
      <c r="A92" s="7" t="inlineStr">
        <is>
          <t>PER-SEGMENT PROGRESSION (derived from STAGE NODES + SEGMENT BEHAVIOUR)</t>
        </is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</row>
    <row r="93">
      <c r="A93" s="3" t="inlineStr">
        <is>
          <t>The tower is the same for everyone; the odds of getting anywhere are not. A segment that always continues never meets the Pig at all. Cum P(ended) is what the reach simulation reads for its percentile.</t>
        </is>
      </c>
    </row>
    <row r="94">
      <c r="A94" s="9" t="inlineStr">
        <is>
          <t>Stage</t>
        </is>
      </c>
      <c r="B94" s="16" t="inlineStr">
        <is>
          <t>0-9 Survive (w/ cont.)</t>
        </is>
      </c>
      <c r="C94" s="16" t="inlineStr">
        <is>
          <t>0-9 Reach p</t>
        </is>
      </c>
      <c r="D94" s="16" t="inlineStr">
        <is>
          <t>0-9 P(end here)</t>
        </is>
      </c>
      <c r="E94" s="16" t="inlineStr">
        <is>
          <t>0-9 Cum P(ended)</t>
        </is>
      </c>
      <c r="F94" s="16" t="inlineStr">
        <is>
          <t>10-19 Survive (w/ cont.)</t>
        </is>
      </c>
      <c r="G94" s="16" t="inlineStr">
        <is>
          <t>10-19 Reach p</t>
        </is>
      </c>
      <c r="H94" s="16" t="inlineStr">
        <is>
          <t>10-19 P(end here)</t>
        </is>
      </c>
      <c r="I94" s="16" t="inlineStr">
        <is>
          <t>10-19 Cum P(ended)</t>
        </is>
      </c>
      <c r="J94" s="16" t="inlineStr">
        <is>
          <t>20-39 Survive (w/ cont.)</t>
        </is>
      </c>
      <c r="K94" s="16" t="inlineStr">
        <is>
          <t>20-39 Reach p</t>
        </is>
      </c>
      <c r="L94" s="16" t="inlineStr">
        <is>
          <t>20-39 P(end here)</t>
        </is>
      </c>
      <c r="M94" s="16" t="inlineStr">
        <is>
          <t>20-39 Cum P(ended)</t>
        </is>
      </c>
      <c r="N94" s="16" t="inlineStr">
        <is>
          <t>40-99 Survive (w/ cont.)</t>
        </is>
      </c>
      <c r="O94" s="16" t="inlineStr">
        <is>
          <t>40-99 Reach p</t>
        </is>
      </c>
      <c r="P94" s="16" t="inlineStr">
        <is>
          <t>40-99 P(end here)</t>
        </is>
      </c>
      <c r="Q94" s="16" t="inlineStr">
        <is>
          <t>40-99 Cum P(ended)</t>
        </is>
      </c>
      <c r="R94" s="16" t="inlineStr">
        <is>
          <t>100+ Survive (w/ cont.)</t>
        </is>
      </c>
      <c r="S94" s="16" t="inlineStr">
        <is>
          <t>100+ Reach p</t>
        </is>
      </c>
      <c r="T94" s="16" t="inlineStr">
        <is>
          <t>100+ P(end here)</t>
        </is>
      </c>
      <c r="U94" s="16" t="inlineStr">
        <is>
          <t>100+ Cum P(ended)</t>
        </is>
      </c>
    </row>
    <row r="95">
      <c r="A95" s="11">
        <f>$A31</f>
        <v/>
      </c>
      <c r="B95" s="15">
        <f>$I31+(1-$I31)*$B$22</f>
        <v/>
      </c>
      <c r="C95" s="17" t="n">
        <v>1</v>
      </c>
      <c r="D95" s="17">
        <f>C95*(IF(AND($C$22&gt;0,$A95&gt;=$C$22),B95,0)+(1-$I31)*(1-$B$22))</f>
        <v/>
      </c>
      <c r="E95" s="17">
        <f>SUM(D$95:D95)</f>
        <v/>
      </c>
      <c r="F95" s="15">
        <f>$I31+(1-$I31)*$B$23</f>
        <v/>
      </c>
      <c r="G95" s="17" t="n">
        <v>1</v>
      </c>
      <c r="H95" s="17">
        <f>G95*(IF(AND($C$23&gt;0,$A95&gt;=$C$23),F95,0)+(1-$I31)*(1-$B$23))</f>
        <v/>
      </c>
      <c r="I95" s="17">
        <f>SUM(H$95:H95)</f>
        <v/>
      </c>
      <c r="J95" s="15">
        <f>$I31+(1-$I31)*$B$24</f>
        <v/>
      </c>
      <c r="K95" s="17" t="n">
        <v>1</v>
      </c>
      <c r="L95" s="17">
        <f>K95*(IF(AND($C$24&gt;0,$A95&gt;=$C$24),J95,0)+(1-$I31)*(1-$B$24))</f>
        <v/>
      </c>
      <c r="M95" s="17">
        <f>SUM(L$95:L95)</f>
        <v/>
      </c>
      <c r="N95" s="15">
        <f>$I31+(1-$I31)*$B$25</f>
        <v/>
      </c>
      <c r="O95" s="17" t="n">
        <v>1</v>
      </c>
      <c r="P95" s="17">
        <f>O95*(IF(AND($C$25&gt;0,$A95&gt;=$C$25),N95,0)+(1-$I31)*(1-$B$25))</f>
        <v/>
      </c>
      <c r="Q95" s="17">
        <f>SUM(P$95:P95)</f>
        <v/>
      </c>
      <c r="R95" s="15">
        <f>$I31+(1-$I31)*$B$26</f>
        <v/>
      </c>
      <c r="S95" s="17" t="n">
        <v>1</v>
      </c>
      <c r="T95" s="17">
        <f>S95*(IF(AND($C$26&gt;0,$A95&gt;=$C$26),R95,0)+(1-$I31)*(1-$B$26))</f>
        <v/>
      </c>
      <c r="U95" s="17">
        <f>SUM(T$95:T95)</f>
        <v/>
      </c>
    </row>
    <row r="96">
      <c r="A96" s="11">
        <f>$A32</f>
        <v/>
      </c>
      <c r="B96" s="15">
        <f>$I32+(1-$I32)*$B$22</f>
        <v/>
      </c>
      <c r="C96" s="17">
        <f>C95*B95*IF(AND($C$22&gt;0,$A95&gt;=$C$22),0,1)</f>
        <v/>
      </c>
      <c r="D96" s="17">
        <f>C96*(IF(AND($C$22&gt;0,$A96&gt;=$C$22),B96,0)+(1-$I32)*(1-$B$22))</f>
        <v/>
      </c>
      <c r="E96" s="17">
        <f>SUM(D$95:D96)</f>
        <v/>
      </c>
      <c r="F96" s="15">
        <f>$I32+(1-$I32)*$B$23</f>
        <v/>
      </c>
      <c r="G96" s="17">
        <f>G95*F95*IF(AND($C$23&gt;0,$A95&gt;=$C$23),0,1)</f>
        <v/>
      </c>
      <c r="H96" s="17">
        <f>G96*(IF(AND($C$23&gt;0,$A96&gt;=$C$23),F96,0)+(1-$I32)*(1-$B$23))</f>
        <v/>
      </c>
      <c r="I96" s="17">
        <f>SUM(H$95:H96)</f>
        <v/>
      </c>
      <c r="J96" s="15">
        <f>$I32+(1-$I32)*$B$24</f>
        <v/>
      </c>
      <c r="K96" s="17">
        <f>K95*J95*IF(AND($C$24&gt;0,$A95&gt;=$C$24),0,1)</f>
        <v/>
      </c>
      <c r="L96" s="17">
        <f>K96*(IF(AND($C$24&gt;0,$A96&gt;=$C$24),J96,0)+(1-$I32)*(1-$B$24))</f>
        <v/>
      </c>
      <c r="M96" s="17">
        <f>SUM(L$95:L96)</f>
        <v/>
      </c>
      <c r="N96" s="15">
        <f>$I32+(1-$I32)*$B$25</f>
        <v/>
      </c>
      <c r="O96" s="17">
        <f>O95*N95*IF(AND($C$25&gt;0,$A95&gt;=$C$25),0,1)</f>
        <v/>
      </c>
      <c r="P96" s="17">
        <f>O96*(IF(AND($C$25&gt;0,$A96&gt;=$C$25),N96,0)+(1-$I32)*(1-$B$25))</f>
        <v/>
      </c>
      <c r="Q96" s="17">
        <f>SUM(P$95:P96)</f>
        <v/>
      </c>
      <c r="R96" s="15">
        <f>$I32+(1-$I32)*$B$26</f>
        <v/>
      </c>
      <c r="S96" s="17">
        <f>S95*R95*IF(AND($C$26&gt;0,$A95&gt;=$C$26),0,1)</f>
        <v/>
      </c>
      <c r="T96" s="17">
        <f>S96*(IF(AND($C$26&gt;0,$A96&gt;=$C$26),R96,0)+(1-$I32)*(1-$B$26))</f>
        <v/>
      </c>
      <c r="U96" s="17">
        <f>SUM(T$95:T96)</f>
        <v/>
      </c>
    </row>
    <row r="97">
      <c r="A97" s="11">
        <f>$A33</f>
        <v/>
      </c>
      <c r="B97" s="15">
        <f>$I33+(1-$I33)*$B$22</f>
        <v/>
      </c>
      <c r="C97" s="17">
        <f>C96*B96*IF(AND($C$22&gt;0,$A96&gt;=$C$22),0,1)</f>
        <v/>
      </c>
      <c r="D97" s="17">
        <f>C97*(IF(AND($C$22&gt;0,$A97&gt;=$C$22),B97,0)+(1-$I33)*(1-$B$22))</f>
        <v/>
      </c>
      <c r="E97" s="17">
        <f>SUM(D$95:D97)</f>
        <v/>
      </c>
      <c r="F97" s="15">
        <f>$I33+(1-$I33)*$B$23</f>
        <v/>
      </c>
      <c r="G97" s="17">
        <f>G96*F96*IF(AND($C$23&gt;0,$A96&gt;=$C$23),0,1)</f>
        <v/>
      </c>
      <c r="H97" s="17">
        <f>G97*(IF(AND($C$23&gt;0,$A97&gt;=$C$23),F97,0)+(1-$I33)*(1-$B$23))</f>
        <v/>
      </c>
      <c r="I97" s="17">
        <f>SUM(H$95:H97)</f>
        <v/>
      </c>
      <c r="J97" s="15">
        <f>$I33+(1-$I33)*$B$24</f>
        <v/>
      </c>
      <c r="K97" s="17">
        <f>K96*J96*IF(AND($C$24&gt;0,$A96&gt;=$C$24),0,1)</f>
        <v/>
      </c>
      <c r="L97" s="17">
        <f>K97*(IF(AND($C$24&gt;0,$A97&gt;=$C$24),J97,0)+(1-$I33)*(1-$B$24))</f>
        <v/>
      </c>
      <c r="M97" s="17">
        <f>SUM(L$95:L97)</f>
        <v/>
      </c>
      <c r="N97" s="15">
        <f>$I33+(1-$I33)*$B$25</f>
        <v/>
      </c>
      <c r="O97" s="17">
        <f>O96*N96*IF(AND($C$25&gt;0,$A96&gt;=$C$25),0,1)</f>
        <v/>
      </c>
      <c r="P97" s="17">
        <f>O97*(IF(AND($C$25&gt;0,$A97&gt;=$C$25),N97,0)+(1-$I33)*(1-$B$25))</f>
        <v/>
      </c>
      <c r="Q97" s="17">
        <f>SUM(P$95:P97)</f>
        <v/>
      </c>
      <c r="R97" s="15">
        <f>$I33+(1-$I33)*$B$26</f>
        <v/>
      </c>
      <c r="S97" s="17">
        <f>S96*R96*IF(AND($C$26&gt;0,$A96&gt;=$C$26),0,1)</f>
        <v/>
      </c>
      <c r="T97" s="17">
        <f>S97*(IF(AND($C$26&gt;0,$A97&gt;=$C$26),R97,0)+(1-$I33)*(1-$B$26))</f>
        <v/>
      </c>
      <c r="U97" s="17">
        <f>SUM(T$95:T97)</f>
        <v/>
      </c>
    </row>
    <row r="98">
      <c r="A98" s="11">
        <f>$A34</f>
        <v/>
      </c>
      <c r="B98" s="15">
        <f>$I34+(1-$I34)*$B$22</f>
        <v/>
      </c>
      <c r="C98" s="17">
        <f>C97*B97*IF(AND($C$22&gt;0,$A97&gt;=$C$22),0,1)</f>
        <v/>
      </c>
      <c r="D98" s="17">
        <f>C98*(IF(AND($C$22&gt;0,$A98&gt;=$C$22),B98,0)+(1-$I34)*(1-$B$22))</f>
        <v/>
      </c>
      <c r="E98" s="17">
        <f>SUM(D$95:D98)</f>
        <v/>
      </c>
      <c r="F98" s="15">
        <f>$I34+(1-$I34)*$B$23</f>
        <v/>
      </c>
      <c r="G98" s="17">
        <f>G97*F97*IF(AND($C$23&gt;0,$A97&gt;=$C$23),0,1)</f>
        <v/>
      </c>
      <c r="H98" s="17">
        <f>G98*(IF(AND($C$23&gt;0,$A98&gt;=$C$23),F98,0)+(1-$I34)*(1-$B$23))</f>
        <v/>
      </c>
      <c r="I98" s="17">
        <f>SUM(H$95:H98)</f>
        <v/>
      </c>
      <c r="J98" s="15">
        <f>$I34+(1-$I34)*$B$24</f>
        <v/>
      </c>
      <c r="K98" s="17">
        <f>K97*J97*IF(AND($C$24&gt;0,$A97&gt;=$C$24),0,1)</f>
        <v/>
      </c>
      <c r="L98" s="17">
        <f>K98*(IF(AND($C$24&gt;0,$A98&gt;=$C$24),J98,0)+(1-$I34)*(1-$B$24))</f>
        <v/>
      </c>
      <c r="M98" s="17">
        <f>SUM(L$95:L98)</f>
        <v/>
      </c>
      <c r="N98" s="15">
        <f>$I34+(1-$I34)*$B$25</f>
        <v/>
      </c>
      <c r="O98" s="17">
        <f>O97*N97*IF(AND($C$25&gt;0,$A97&gt;=$C$25),0,1)</f>
        <v/>
      </c>
      <c r="P98" s="17">
        <f>O98*(IF(AND($C$25&gt;0,$A98&gt;=$C$25),N98,0)+(1-$I34)*(1-$B$25))</f>
        <v/>
      </c>
      <c r="Q98" s="17">
        <f>SUM(P$95:P98)</f>
        <v/>
      </c>
      <c r="R98" s="15">
        <f>$I34+(1-$I34)*$B$26</f>
        <v/>
      </c>
      <c r="S98" s="17">
        <f>S97*R97*IF(AND($C$26&gt;0,$A97&gt;=$C$26),0,1)</f>
        <v/>
      </c>
      <c r="T98" s="17">
        <f>S98*(IF(AND($C$26&gt;0,$A98&gt;=$C$26),R98,0)+(1-$I34)*(1-$B$26))</f>
        <v/>
      </c>
      <c r="U98" s="17">
        <f>SUM(T$95:T98)</f>
        <v/>
      </c>
    </row>
    <row r="99">
      <c r="A99" s="11">
        <f>$A35</f>
        <v/>
      </c>
      <c r="B99" s="15">
        <f>$I35+(1-$I35)*$B$22</f>
        <v/>
      </c>
      <c r="C99" s="17">
        <f>C98*B98*IF(AND($C$22&gt;0,$A98&gt;=$C$22),0,1)</f>
        <v/>
      </c>
      <c r="D99" s="17">
        <f>C99*(IF(AND($C$22&gt;0,$A99&gt;=$C$22),B99,0)+(1-$I35)*(1-$B$22))</f>
        <v/>
      </c>
      <c r="E99" s="17">
        <f>SUM(D$95:D99)</f>
        <v/>
      </c>
      <c r="F99" s="15">
        <f>$I35+(1-$I35)*$B$23</f>
        <v/>
      </c>
      <c r="G99" s="17">
        <f>G98*F98*IF(AND($C$23&gt;0,$A98&gt;=$C$23),0,1)</f>
        <v/>
      </c>
      <c r="H99" s="17">
        <f>G99*(IF(AND($C$23&gt;0,$A99&gt;=$C$23),F99,0)+(1-$I35)*(1-$B$23))</f>
        <v/>
      </c>
      <c r="I99" s="17">
        <f>SUM(H$95:H99)</f>
        <v/>
      </c>
      <c r="J99" s="15">
        <f>$I35+(1-$I35)*$B$24</f>
        <v/>
      </c>
      <c r="K99" s="17">
        <f>K98*J98*IF(AND($C$24&gt;0,$A98&gt;=$C$24),0,1)</f>
        <v/>
      </c>
      <c r="L99" s="17">
        <f>K99*(IF(AND($C$24&gt;0,$A99&gt;=$C$24),J99,0)+(1-$I35)*(1-$B$24))</f>
        <v/>
      </c>
      <c r="M99" s="17">
        <f>SUM(L$95:L99)</f>
        <v/>
      </c>
      <c r="N99" s="15">
        <f>$I35+(1-$I35)*$B$25</f>
        <v/>
      </c>
      <c r="O99" s="17">
        <f>O98*N98*IF(AND($C$25&gt;0,$A98&gt;=$C$25),0,1)</f>
        <v/>
      </c>
      <c r="P99" s="17">
        <f>O99*(IF(AND($C$25&gt;0,$A99&gt;=$C$25),N99,0)+(1-$I35)*(1-$B$25))</f>
        <v/>
      </c>
      <c r="Q99" s="17">
        <f>SUM(P$95:P99)</f>
        <v/>
      </c>
      <c r="R99" s="15">
        <f>$I35+(1-$I35)*$B$26</f>
        <v/>
      </c>
      <c r="S99" s="17">
        <f>S98*R98*IF(AND($C$26&gt;0,$A98&gt;=$C$26),0,1)</f>
        <v/>
      </c>
      <c r="T99" s="17">
        <f>S99*(IF(AND($C$26&gt;0,$A99&gt;=$C$26),R99,0)+(1-$I35)*(1-$B$26))</f>
        <v/>
      </c>
      <c r="U99" s="17">
        <f>SUM(T$95:T99)</f>
        <v/>
      </c>
    </row>
    <row r="100">
      <c r="A100" s="11">
        <f>$A36</f>
        <v/>
      </c>
      <c r="B100" s="15">
        <f>$I36+(1-$I36)*$B$22</f>
        <v/>
      </c>
      <c r="C100" s="17">
        <f>C99*B99*IF(AND($C$22&gt;0,$A99&gt;=$C$22),0,1)</f>
        <v/>
      </c>
      <c r="D100" s="17">
        <f>C100*(IF(AND($C$22&gt;0,$A100&gt;=$C$22),B100,0)+(1-$I36)*(1-$B$22))</f>
        <v/>
      </c>
      <c r="E100" s="17">
        <f>SUM(D$95:D100)</f>
        <v/>
      </c>
      <c r="F100" s="15">
        <f>$I36+(1-$I36)*$B$23</f>
        <v/>
      </c>
      <c r="G100" s="17">
        <f>G99*F99*IF(AND($C$23&gt;0,$A99&gt;=$C$23),0,1)</f>
        <v/>
      </c>
      <c r="H100" s="17">
        <f>G100*(IF(AND($C$23&gt;0,$A100&gt;=$C$23),F100,0)+(1-$I36)*(1-$B$23))</f>
        <v/>
      </c>
      <c r="I100" s="17">
        <f>SUM(H$95:H100)</f>
        <v/>
      </c>
      <c r="J100" s="15">
        <f>$I36+(1-$I36)*$B$24</f>
        <v/>
      </c>
      <c r="K100" s="17">
        <f>K99*J99*IF(AND($C$24&gt;0,$A99&gt;=$C$24),0,1)</f>
        <v/>
      </c>
      <c r="L100" s="17">
        <f>K100*(IF(AND($C$24&gt;0,$A100&gt;=$C$24),J100,0)+(1-$I36)*(1-$B$24))</f>
        <v/>
      </c>
      <c r="M100" s="17">
        <f>SUM(L$95:L100)</f>
        <v/>
      </c>
      <c r="N100" s="15">
        <f>$I36+(1-$I36)*$B$25</f>
        <v/>
      </c>
      <c r="O100" s="17">
        <f>O99*N99*IF(AND($C$25&gt;0,$A99&gt;=$C$25),0,1)</f>
        <v/>
      </c>
      <c r="P100" s="17">
        <f>O100*(IF(AND($C$25&gt;0,$A100&gt;=$C$25),N100,0)+(1-$I36)*(1-$B$25))</f>
        <v/>
      </c>
      <c r="Q100" s="17">
        <f>SUM(P$95:P100)</f>
        <v/>
      </c>
      <c r="R100" s="15">
        <f>$I36+(1-$I36)*$B$26</f>
        <v/>
      </c>
      <c r="S100" s="17">
        <f>S99*R99*IF(AND($C$26&gt;0,$A99&gt;=$C$26),0,1)</f>
        <v/>
      </c>
      <c r="T100" s="17">
        <f>S100*(IF(AND($C$26&gt;0,$A100&gt;=$C$26),R100,0)+(1-$I36)*(1-$B$26))</f>
        <v/>
      </c>
      <c r="U100" s="17">
        <f>SUM(T$95:T100)</f>
        <v/>
      </c>
    </row>
    <row r="101">
      <c r="A101" s="11">
        <f>$A37</f>
        <v/>
      </c>
      <c r="B101" s="15">
        <f>$I37+(1-$I37)*$B$22</f>
        <v/>
      </c>
      <c r="C101" s="17">
        <f>C100*B100*IF(AND($C$22&gt;0,$A100&gt;=$C$22),0,1)</f>
        <v/>
      </c>
      <c r="D101" s="17">
        <f>C101*(IF(AND($C$22&gt;0,$A101&gt;=$C$22),B101,0)+(1-$I37)*(1-$B$22))</f>
        <v/>
      </c>
      <c r="E101" s="17">
        <f>SUM(D$95:D101)</f>
        <v/>
      </c>
      <c r="F101" s="15">
        <f>$I37+(1-$I37)*$B$23</f>
        <v/>
      </c>
      <c r="G101" s="17">
        <f>G100*F100*IF(AND($C$23&gt;0,$A100&gt;=$C$23),0,1)</f>
        <v/>
      </c>
      <c r="H101" s="17">
        <f>G101*(IF(AND($C$23&gt;0,$A101&gt;=$C$23),F101,0)+(1-$I37)*(1-$B$23))</f>
        <v/>
      </c>
      <c r="I101" s="17">
        <f>SUM(H$95:H101)</f>
        <v/>
      </c>
      <c r="J101" s="15">
        <f>$I37+(1-$I37)*$B$24</f>
        <v/>
      </c>
      <c r="K101" s="17">
        <f>K100*J100*IF(AND($C$24&gt;0,$A100&gt;=$C$24),0,1)</f>
        <v/>
      </c>
      <c r="L101" s="17">
        <f>K101*(IF(AND($C$24&gt;0,$A101&gt;=$C$24),J101,0)+(1-$I37)*(1-$B$24))</f>
        <v/>
      </c>
      <c r="M101" s="17">
        <f>SUM(L$95:L101)</f>
        <v/>
      </c>
      <c r="N101" s="15">
        <f>$I37+(1-$I37)*$B$25</f>
        <v/>
      </c>
      <c r="O101" s="17">
        <f>O100*N100*IF(AND($C$25&gt;0,$A100&gt;=$C$25),0,1)</f>
        <v/>
      </c>
      <c r="P101" s="17">
        <f>O101*(IF(AND($C$25&gt;0,$A101&gt;=$C$25),N101,0)+(1-$I37)*(1-$B$25))</f>
        <v/>
      </c>
      <c r="Q101" s="17">
        <f>SUM(P$95:P101)</f>
        <v/>
      </c>
      <c r="R101" s="15">
        <f>$I37+(1-$I37)*$B$26</f>
        <v/>
      </c>
      <c r="S101" s="17">
        <f>S100*R100*IF(AND($C$26&gt;0,$A100&gt;=$C$26),0,1)</f>
        <v/>
      </c>
      <c r="T101" s="17">
        <f>S101*(IF(AND($C$26&gt;0,$A101&gt;=$C$26),R101,0)+(1-$I37)*(1-$B$26))</f>
        <v/>
      </c>
      <c r="U101" s="17">
        <f>SUM(T$95:T101)</f>
        <v/>
      </c>
    </row>
    <row r="102">
      <c r="A102" s="11">
        <f>$A38</f>
        <v/>
      </c>
      <c r="B102" s="15">
        <f>$I38+(1-$I38)*$B$22</f>
        <v/>
      </c>
      <c r="C102" s="17">
        <f>C101*B101*IF(AND($C$22&gt;0,$A101&gt;=$C$22),0,1)</f>
        <v/>
      </c>
      <c r="D102" s="17">
        <f>C102*(IF(AND($C$22&gt;0,$A102&gt;=$C$22),B102,0)+(1-$I38)*(1-$B$22))</f>
        <v/>
      </c>
      <c r="E102" s="17">
        <f>SUM(D$95:D102)</f>
        <v/>
      </c>
      <c r="F102" s="15">
        <f>$I38+(1-$I38)*$B$23</f>
        <v/>
      </c>
      <c r="G102" s="17">
        <f>G101*F101*IF(AND($C$23&gt;0,$A101&gt;=$C$23),0,1)</f>
        <v/>
      </c>
      <c r="H102" s="17">
        <f>G102*(IF(AND($C$23&gt;0,$A102&gt;=$C$23),F102,0)+(1-$I38)*(1-$B$23))</f>
        <v/>
      </c>
      <c r="I102" s="17">
        <f>SUM(H$95:H102)</f>
        <v/>
      </c>
      <c r="J102" s="15">
        <f>$I38+(1-$I38)*$B$24</f>
        <v/>
      </c>
      <c r="K102" s="17">
        <f>K101*J101*IF(AND($C$24&gt;0,$A101&gt;=$C$24),0,1)</f>
        <v/>
      </c>
      <c r="L102" s="17">
        <f>K102*(IF(AND($C$24&gt;0,$A102&gt;=$C$24),J102,0)+(1-$I38)*(1-$B$24))</f>
        <v/>
      </c>
      <c r="M102" s="17">
        <f>SUM(L$95:L102)</f>
        <v/>
      </c>
      <c r="N102" s="15">
        <f>$I38+(1-$I38)*$B$25</f>
        <v/>
      </c>
      <c r="O102" s="17">
        <f>O101*N101*IF(AND($C$25&gt;0,$A101&gt;=$C$25),0,1)</f>
        <v/>
      </c>
      <c r="P102" s="17">
        <f>O102*(IF(AND($C$25&gt;0,$A102&gt;=$C$25),N102,0)+(1-$I38)*(1-$B$25))</f>
        <v/>
      </c>
      <c r="Q102" s="17">
        <f>SUM(P$95:P102)</f>
        <v/>
      </c>
      <c r="R102" s="15">
        <f>$I38+(1-$I38)*$B$26</f>
        <v/>
      </c>
      <c r="S102" s="17">
        <f>S101*R101*IF(AND($C$26&gt;0,$A101&gt;=$C$26),0,1)</f>
        <v/>
      </c>
      <c r="T102" s="17">
        <f>S102*(IF(AND($C$26&gt;0,$A102&gt;=$C$26),R102,0)+(1-$I38)*(1-$B$26))</f>
        <v/>
      </c>
      <c r="U102" s="17">
        <f>SUM(T$95:T102)</f>
        <v/>
      </c>
    </row>
    <row r="103">
      <c r="A103" s="11">
        <f>$A39</f>
        <v/>
      </c>
      <c r="B103" s="15">
        <f>$I39+(1-$I39)*$B$22</f>
        <v/>
      </c>
      <c r="C103" s="17">
        <f>C102*B102*IF(AND($C$22&gt;0,$A102&gt;=$C$22),0,1)</f>
        <v/>
      </c>
      <c r="D103" s="17">
        <f>C103*(IF(AND($C$22&gt;0,$A103&gt;=$C$22),B103,0)+(1-$I39)*(1-$B$22))</f>
        <v/>
      </c>
      <c r="E103" s="17">
        <f>SUM(D$95:D103)</f>
        <v/>
      </c>
      <c r="F103" s="15">
        <f>$I39+(1-$I39)*$B$23</f>
        <v/>
      </c>
      <c r="G103" s="17">
        <f>G102*F102*IF(AND($C$23&gt;0,$A102&gt;=$C$23),0,1)</f>
        <v/>
      </c>
      <c r="H103" s="17">
        <f>G103*(IF(AND($C$23&gt;0,$A103&gt;=$C$23),F103,0)+(1-$I39)*(1-$B$23))</f>
        <v/>
      </c>
      <c r="I103" s="17">
        <f>SUM(H$95:H103)</f>
        <v/>
      </c>
      <c r="J103" s="15">
        <f>$I39+(1-$I39)*$B$24</f>
        <v/>
      </c>
      <c r="K103" s="17">
        <f>K102*J102*IF(AND($C$24&gt;0,$A102&gt;=$C$24),0,1)</f>
        <v/>
      </c>
      <c r="L103" s="17">
        <f>K103*(IF(AND($C$24&gt;0,$A103&gt;=$C$24),J103,0)+(1-$I39)*(1-$B$24))</f>
        <v/>
      </c>
      <c r="M103" s="17">
        <f>SUM(L$95:L103)</f>
        <v/>
      </c>
      <c r="N103" s="15">
        <f>$I39+(1-$I39)*$B$25</f>
        <v/>
      </c>
      <c r="O103" s="17">
        <f>O102*N102*IF(AND($C$25&gt;0,$A102&gt;=$C$25),0,1)</f>
        <v/>
      </c>
      <c r="P103" s="17">
        <f>O103*(IF(AND($C$25&gt;0,$A103&gt;=$C$25),N103,0)+(1-$I39)*(1-$B$25))</f>
        <v/>
      </c>
      <c r="Q103" s="17">
        <f>SUM(P$95:P103)</f>
        <v/>
      </c>
      <c r="R103" s="15">
        <f>$I39+(1-$I39)*$B$26</f>
        <v/>
      </c>
      <c r="S103" s="17">
        <f>S102*R102*IF(AND($C$26&gt;0,$A102&gt;=$C$26),0,1)</f>
        <v/>
      </c>
      <c r="T103" s="17">
        <f>S103*(IF(AND($C$26&gt;0,$A103&gt;=$C$26),R103,0)+(1-$I39)*(1-$B$26))</f>
        <v/>
      </c>
      <c r="U103" s="17">
        <f>SUM(T$95:T103)</f>
        <v/>
      </c>
    </row>
    <row r="104">
      <c r="A104" s="11">
        <f>$A40</f>
        <v/>
      </c>
      <c r="B104" s="15">
        <f>$I40+(1-$I40)*$B$22</f>
        <v/>
      </c>
      <c r="C104" s="17">
        <f>C103*B103*IF(AND($C$22&gt;0,$A103&gt;=$C$22),0,1)</f>
        <v/>
      </c>
      <c r="D104" s="17">
        <f>C104*(IF(AND($C$22&gt;0,$A104&gt;=$C$22),B104,0)+(1-$I40)*(1-$B$22))</f>
        <v/>
      </c>
      <c r="E104" s="17">
        <f>SUM(D$95:D104)</f>
        <v/>
      </c>
      <c r="F104" s="15">
        <f>$I40+(1-$I40)*$B$23</f>
        <v/>
      </c>
      <c r="G104" s="17">
        <f>G103*F103*IF(AND($C$23&gt;0,$A103&gt;=$C$23),0,1)</f>
        <v/>
      </c>
      <c r="H104" s="17">
        <f>G104*(IF(AND($C$23&gt;0,$A104&gt;=$C$23),F104,0)+(1-$I40)*(1-$B$23))</f>
        <v/>
      </c>
      <c r="I104" s="17">
        <f>SUM(H$95:H104)</f>
        <v/>
      </c>
      <c r="J104" s="15">
        <f>$I40+(1-$I40)*$B$24</f>
        <v/>
      </c>
      <c r="K104" s="17">
        <f>K103*J103*IF(AND($C$24&gt;0,$A103&gt;=$C$24),0,1)</f>
        <v/>
      </c>
      <c r="L104" s="17">
        <f>K104*(IF(AND($C$24&gt;0,$A104&gt;=$C$24),J104,0)+(1-$I40)*(1-$B$24))</f>
        <v/>
      </c>
      <c r="M104" s="17">
        <f>SUM(L$95:L104)</f>
        <v/>
      </c>
      <c r="N104" s="15">
        <f>$I40+(1-$I40)*$B$25</f>
        <v/>
      </c>
      <c r="O104" s="17">
        <f>O103*N103*IF(AND($C$25&gt;0,$A103&gt;=$C$25),0,1)</f>
        <v/>
      </c>
      <c r="P104" s="17">
        <f>O104*(IF(AND($C$25&gt;0,$A104&gt;=$C$25),N104,0)+(1-$I40)*(1-$B$25))</f>
        <v/>
      </c>
      <c r="Q104" s="17">
        <f>SUM(P$95:P104)</f>
        <v/>
      </c>
      <c r="R104" s="15">
        <f>$I40+(1-$I40)*$B$26</f>
        <v/>
      </c>
      <c r="S104" s="17">
        <f>S103*R103*IF(AND($C$26&gt;0,$A103&gt;=$C$26),0,1)</f>
        <v/>
      </c>
      <c r="T104" s="17">
        <f>S104*(IF(AND($C$26&gt;0,$A104&gt;=$C$26),R104,0)+(1-$I40)*(1-$B$26))</f>
        <v/>
      </c>
      <c r="U104" s="17">
        <f>SUM(T$95:T104)</f>
        <v/>
      </c>
    </row>
    <row r="105">
      <c r="A105" s="11">
        <f>$A41</f>
        <v/>
      </c>
      <c r="B105" s="15">
        <f>$I41+(1-$I41)*$B$22</f>
        <v/>
      </c>
      <c r="C105" s="17">
        <f>C104*B104*IF(AND($C$22&gt;0,$A104&gt;=$C$22),0,1)</f>
        <v/>
      </c>
      <c r="D105" s="17">
        <f>C105*(IF(AND($C$22&gt;0,$A105&gt;=$C$22),B105,0)+(1-$I41)*(1-$B$22))</f>
        <v/>
      </c>
      <c r="E105" s="17">
        <f>SUM(D$95:D105)</f>
        <v/>
      </c>
      <c r="F105" s="15">
        <f>$I41+(1-$I41)*$B$23</f>
        <v/>
      </c>
      <c r="G105" s="17">
        <f>G104*F104*IF(AND($C$23&gt;0,$A104&gt;=$C$23),0,1)</f>
        <v/>
      </c>
      <c r="H105" s="17">
        <f>G105*(IF(AND($C$23&gt;0,$A105&gt;=$C$23),F105,0)+(1-$I41)*(1-$B$23))</f>
        <v/>
      </c>
      <c r="I105" s="17">
        <f>SUM(H$95:H105)</f>
        <v/>
      </c>
      <c r="J105" s="15">
        <f>$I41+(1-$I41)*$B$24</f>
        <v/>
      </c>
      <c r="K105" s="17">
        <f>K104*J104*IF(AND($C$24&gt;0,$A104&gt;=$C$24),0,1)</f>
        <v/>
      </c>
      <c r="L105" s="17">
        <f>K105*(IF(AND($C$24&gt;0,$A105&gt;=$C$24),J105,0)+(1-$I41)*(1-$B$24))</f>
        <v/>
      </c>
      <c r="M105" s="17">
        <f>SUM(L$95:L105)</f>
        <v/>
      </c>
      <c r="N105" s="15">
        <f>$I41+(1-$I41)*$B$25</f>
        <v/>
      </c>
      <c r="O105" s="17">
        <f>O104*N104*IF(AND($C$25&gt;0,$A104&gt;=$C$25),0,1)</f>
        <v/>
      </c>
      <c r="P105" s="17">
        <f>O105*(IF(AND($C$25&gt;0,$A105&gt;=$C$25),N105,0)+(1-$I41)*(1-$B$25))</f>
        <v/>
      </c>
      <c r="Q105" s="17">
        <f>SUM(P$95:P105)</f>
        <v/>
      </c>
      <c r="R105" s="15">
        <f>$I41+(1-$I41)*$B$26</f>
        <v/>
      </c>
      <c r="S105" s="17">
        <f>S104*R104*IF(AND($C$26&gt;0,$A104&gt;=$C$26),0,1)</f>
        <v/>
      </c>
      <c r="T105" s="17">
        <f>S105*(IF(AND($C$26&gt;0,$A105&gt;=$C$26),R105,0)+(1-$I41)*(1-$B$26))</f>
        <v/>
      </c>
      <c r="U105" s="17">
        <f>SUM(T$95:T105)</f>
        <v/>
      </c>
    </row>
    <row r="106">
      <c r="A106" s="11">
        <f>$A42</f>
        <v/>
      </c>
      <c r="B106" s="15">
        <f>$I42+(1-$I42)*$B$22</f>
        <v/>
      </c>
      <c r="C106" s="17">
        <f>C105*B105*IF(AND($C$22&gt;0,$A105&gt;=$C$22),0,1)</f>
        <v/>
      </c>
      <c r="D106" s="17">
        <f>C106*(IF(AND($C$22&gt;0,$A106&gt;=$C$22),B106,0)+(1-$I42)*(1-$B$22))</f>
        <v/>
      </c>
      <c r="E106" s="17">
        <f>SUM(D$95:D106)</f>
        <v/>
      </c>
      <c r="F106" s="15">
        <f>$I42+(1-$I42)*$B$23</f>
        <v/>
      </c>
      <c r="G106" s="17">
        <f>G105*F105*IF(AND($C$23&gt;0,$A105&gt;=$C$23),0,1)</f>
        <v/>
      </c>
      <c r="H106" s="17">
        <f>G106*(IF(AND($C$23&gt;0,$A106&gt;=$C$23),F106,0)+(1-$I42)*(1-$B$23))</f>
        <v/>
      </c>
      <c r="I106" s="17">
        <f>SUM(H$95:H106)</f>
        <v/>
      </c>
      <c r="J106" s="15">
        <f>$I42+(1-$I42)*$B$24</f>
        <v/>
      </c>
      <c r="K106" s="17">
        <f>K105*J105*IF(AND($C$24&gt;0,$A105&gt;=$C$24),0,1)</f>
        <v/>
      </c>
      <c r="L106" s="17">
        <f>K106*(IF(AND($C$24&gt;0,$A106&gt;=$C$24),J106,0)+(1-$I42)*(1-$B$24))</f>
        <v/>
      </c>
      <c r="M106" s="17">
        <f>SUM(L$95:L106)</f>
        <v/>
      </c>
      <c r="N106" s="15">
        <f>$I42+(1-$I42)*$B$25</f>
        <v/>
      </c>
      <c r="O106" s="17">
        <f>O105*N105*IF(AND($C$25&gt;0,$A105&gt;=$C$25),0,1)</f>
        <v/>
      </c>
      <c r="P106" s="17">
        <f>O106*(IF(AND($C$25&gt;0,$A106&gt;=$C$25),N106,0)+(1-$I42)*(1-$B$25))</f>
        <v/>
      </c>
      <c r="Q106" s="17">
        <f>SUM(P$95:P106)</f>
        <v/>
      </c>
      <c r="R106" s="15">
        <f>$I42+(1-$I42)*$B$26</f>
        <v/>
      </c>
      <c r="S106" s="17">
        <f>S105*R105*IF(AND($C$26&gt;0,$A105&gt;=$C$26),0,1)</f>
        <v/>
      </c>
      <c r="T106" s="17">
        <f>S106*(IF(AND($C$26&gt;0,$A106&gt;=$C$26),R106,0)+(1-$I42)*(1-$B$26))</f>
        <v/>
      </c>
      <c r="U106" s="17">
        <f>SUM(T$95:T106)</f>
        <v/>
      </c>
    </row>
    <row r="107">
      <c r="A107" s="11">
        <f>$A43</f>
        <v/>
      </c>
      <c r="B107" s="15">
        <f>$I43+(1-$I43)*$B$22</f>
        <v/>
      </c>
      <c r="C107" s="17">
        <f>C106*B106*IF(AND($C$22&gt;0,$A106&gt;=$C$22),0,1)</f>
        <v/>
      </c>
      <c r="D107" s="17">
        <f>C107*(IF(AND($C$22&gt;0,$A107&gt;=$C$22),B107,0)+(1-$I43)*(1-$B$22))</f>
        <v/>
      </c>
      <c r="E107" s="17">
        <f>SUM(D$95:D107)</f>
        <v/>
      </c>
      <c r="F107" s="15">
        <f>$I43+(1-$I43)*$B$23</f>
        <v/>
      </c>
      <c r="G107" s="17">
        <f>G106*F106*IF(AND($C$23&gt;0,$A106&gt;=$C$23),0,1)</f>
        <v/>
      </c>
      <c r="H107" s="17">
        <f>G107*(IF(AND($C$23&gt;0,$A107&gt;=$C$23),F107,0)+(1-$I43)*(1-$B$23))</f>
        <v/>
      </c>
      <c r="I107" s="17">
        <f>SUM(H$95:H107)</f>
        <v/>
      </c>
      <c r="J107" s="15">
        <f>$I43+(1-$I43)*$B$24</f>
        <v/>
      </c>
      <c r="K107" s="17">
        <f>K106*J106*IF(AND($C$24&gt;0,$A106&gt;=$C$24),0,1)</f>
        <v/>
      </c>
      <c r="L107" s="17">
        <f>K107*(IF(AND($C$24&gt;0,$A107&gt;=$C$24),J107,0)+(1-$I43)*(1-$B$24))</f>
        <v/>
      </c>
      <c r="M107" s="17">
        <f>SUM(L$95:L107)</f>
        <v/>
      </c>
      <c r="N107" s="15">
        <f>$I43+(1-$I43)*$B$25</f>
        <v/>
      </c>
      <c r="O107" s="17">
        <f>O106*N106*IF(AND($C$25&gt;0,$A106&gt;=$C$25),0,1)</f>
        <v/>
      </c>
      <c r="P107" s="17">
        <f>O107*(IF(AND($C$25&gt;0,$A107&gt;=$C$25),N107,0)+(1-$I43)*(1-$B$25))</f>
        <v/>
      </c>
      <c r="Q107" s="17">
        <f>SUM(P$95:P107)</f>
        <v/>
      </c>
      <c r="R107" s="15">
        <f>$I43+(1-$I43)*$B$26</f>
        <v/>
      </c>
      <c r="S107" s="17">
        <f>S106*R106*IF(AND($C$26&gt;0,$A106&gt;=$C$26),0,1)</f>
        <v/>
      </c>
      <c r="T107" s="17">
        <f>S107*(IF(AND($C$26&gt;0,$A107&gt;=$C$26),R107,0)+(1-$I43)*(1-$B$26))</f>
        <v/>
      </c>
      <c r="U107" s="17">
        <f>SUM(T$95:T107)</f>
        <v/>
      </c>
    </row>
    <row r="108">
      <c r="A108" s="11">
        <f>$A44</f>
        <v/>
      </c>
      <c r="B108" s="15">
        <f>$I44+(1-$I44)*$B$22</f>
        <v/>
      </c>
      <c r="C108" s="17">
        <f>C107*B107*IF(AND($C$22&gt;0,$A107&gt;=$C$22),0,1)</f>
        <v/>
      </c>
      <c r="D108" s="17">
        <f>C108*(IF(AND($C$22&gt;0,$A108&gt;=$C$22),B108,0)+(1-$I44)*(1-$B$22))</f>
        <v/>
      </c>
      <c r="E108" s="17">
        <f>SUM(D$95:D108)</f>
        <v/>
      </c>
      <c r="F108" s="15">
        <f>$I44+(1-$I44)*$B$23</f>
        <v/>
      </c>
      <c r="G108" s="17">
        <f>G107*F107*IF(AND($C$23&gt;0,$A107&gt;=$C$23),0,1)</f>
        <v/>
      </c>
      <c r="H108" s="17">
        <f>G108*(IF(AND($C$23&gt;0,$A108&gt;=$C$23),F108,0)+(1-$I44)*(1-$B$23))</f>
        <v/>
      </c>
      <c r="I108" s="17">
        <f>SUM(H$95:H108)</f>
        <v/>
      </c>
      <c r="J108" s="15">
        <f>$I44+(1-$I44)*$B$24</f>
        <v/>
      </c>
      <c r="K108" s="17">
        <f>K107*J107*IF(AND($C$24&gt;0,$A107&gt;=$C$24),0,1)</f>
        <v/>
      </c>
      <c r="L108" s="17">
        <f>K108*(IF(AND($C$24&gt;0,$A108&gt;=$C$24),J108,0)+(1-$I44)*(1-$B$24))</f>
        <v/>
      </c>
      <c r="M108" s="17">
        <f>SUM(L$95:L108)</f>
        <v/>
      </c>
      <c r="N108" s="15">
        <f>$I44+(1-$I44)*$B$25</f>
        <v/>
      </c>
      <c r="O108" s="17">
        <f>O107*N107*IF(AND($C$25&gt;0,$A107&gt;=$C$25),0,1)</f>
        <v/>
      </c>
      <c r="P108" s="17">
        <f>O108*(IF(AND($C$25&gt;0,$A108&gt;=$C$25),N108,0)+(1-$I44)*(1-$B$25))</f>
        <v/>
      </c>
      <c r="Q108" s="17">
        <f>SUM(P$95:P108)</f>
        <v/>
      </c>
      <c r="R108" s="15">
        <f>$I44+(1-$I44)*$B$26</f>
        <v/>
      </c>
      <c r="S108" s="17">
        <f>S107*R107*IF(AND($C$26&gt;0,$A107&gt;=$C$26),0,1)</f>
        <v/>
      </c>
      <c r="T108" s="17">
        <f>S108*(IF(AND($C$26&gt;0,$A108&gt;=$C$26),R108,0)+(1-$I44)*(1-$B$26))</f>
        <v/>
      </c>
      <c r="U108" s="17">
        <f>SUM(T$95:T108)</f>
        <v/>
      </c>
    </row>
    <row r="109">
      <c r="A109" s="11">
        <f>$A45</f>
        <v/>
      </c>
      <c r="B109" s="15">
        <f>$I45+(1-$I45)*$B$22</f>
        <v/>
      </c>
      <c r="C109" s="17">
        <f>C108*B108*IF(AND($C$22&gt;0,$A108&gt;=$C$22),0,1)</f>
        <v/>
      </c>
      <c r="D109" s="17">
        <f>C109*(IF(AND($C$22&gt;0,$A109&gt;=$C$22),B109,0)+(1-$I45)*(1-$B$22))</f>
        <v/>
      </c>
      <c r="E109" s="17">
        <f>SUM(D$95:D109)</f>
        <v/>
      </c>
      <c r="F109" s="15">
        <f>$I45+(1-$I45)*$B$23</f>
        <v/>
      </c>
      <c r="G109" s="17">
        <f>G108*F108*IF(AND($C$23&gt;0,$A108&gt;=$C$23),0,1)</f>
        <v/>
      </c>
      <c r="H109" s="17">
        <f>G109*(IF(AND($C$23&gt;0,$A109&gt;=$C$23),F109,0)+(1-$I45)*(1-$B$23))</f>
        <v/>
      </c>
      <c r="I109" s="17">
        <f>SUM(H$95:H109)</f>
        <v/>
      </c>
      <c r="J109" s="15">
        <f>$I45+(1-$I45)*$B$24</f>
        <v/>
      </c>
      <c r="K109" s="17">
        <f>K108*J108*IF(AND($C$24&gt;0,$A108&gt;=$C$24),0,1)</f>
        <v/>
      </c>
      <c r="L109" s="17">
        <f>K109*(IF(AND($C$24&gt;0,$A109&gt;=$C$24),J109,0)+(1-$I45)*(1-$B$24))</f>
        <v/>
      </c>
      <c r="M109" s="17">
        <f>SUM(L$95:L109)</f>
        <v/>
      </c>
      <c r="N109" s="15">
        <f>$I45+(1-$I45)*$B$25</f>
        <v/>
      </c>
      <c r="O109" s="17">
        <f>O108*N108*IF(AND($C$25&gt;0,$A108&gt;=$C$25),0,1)</f>
        <v/>
      </c>
      <c r="P109" s="17">
        <f>O109*(IF(AND($C$25&gt;0,$A109&gt;=$C$25),N109,0)+(1-$I45)*(1-$B$25))</f>
        <v/>
      </c>
      <c r="Q109" s="17">
        <f>SUM(P$95:P109)</f>
        <v/>
      </c>
      <c r="R109" s="15">
        <f>$I45+(1-$I45)*$B$26</f>
        <v/>
      </c>
      <c r="S109" s="17">
        <f>S108*R108*IF(AND($C$26&gt;0,$A108&gt;=$C$26),0,1)</f>
        <v/>
      </c>
      <c r="T109" s="17">
        <f>S109*(IF(AND($C$26&gt;0,$A109&gt;=$C$26),R109,0)+(1-$I45)*(1-$B$26))</f>
        <v/>
      </c>
      <c r="U109" s="17">
        <f>SUM(T$95:T109)</f>
        <v/>
      </c>
    </row>
    <row r="110">
      <c r="A110" s="11">
        <f>$A46</f>
        <v/>
      </c>
      <c r="B110" s="15">
        <f>$I46+(1-$I46)*$B$22</f>
        <v/>
      </c>
      <c r="C110" s="17">
        <f>C109*B109*IF(AND($C$22&gt;0,$A109&gt;=$C$22),0,1)</f>
        <v/>
      </c>
      <c r="D110" s="17">
        <f>C110*(IF(AND($C$22&gt;0,$A110&gt;=$C$22),B110,0)+(1-$I46)*(1-$B$22))</f>
        <v/>
      </c>
      <c r="E110" s="17">
        <f>SUM(D$95:D110)</f>
        <v/>
      </c>
      <c r="F110" s="15">
        <f>$I46+(1-$I46)*$B$23</f>
        <v/>
      </c>
      <c r="G110" s="17">
        <f>G109*F109*IF(AND($C$23&gt;0,$A109&gt;=$C$23),0,1)</f>
        <v/>
      </c>
      <c r="H110" s="17">
        <f>G110*(IF(AND($C$23&gt;0,$A110&gt;=$C$23),F110,0)+(1-$I46)*(1-$B$23))</f>
        <v/>
      </c>
      <c r="I110" s="17">
        <f>SUM(H$95:H110)</f>
        <v/>
      </c>
      <c r="J110" s="15">
        <f>$I46+(1-$I46)*$B$24</f>
        <v/>
      </c>
      <c r="K110" s="17">
        <f>K109*J109*IF(AND($C$24&gt;0,$A109&gt;=$C$24),0,1)</f>
        <v/>
      </c>
      <c r="L110" s="17">
        <f>K110*(IF(AND($C$24&gt;0,$A110&gt;=$C$24),J110,0)+(1-$I46)*(1-$B$24))</f>
        <v/>
      </c>
      <c r="M110" s="17">
        <f>SUM(L$95:L110)</f>
        <v/>
      </c>
      <c r="N110" s="15">
        <f>$I46+(1-$I46)*$B$25</f>
        <v/>
      </c>
      <c r="O110" s="17">
        <f>O109*N109*IF(AND($C$25&gt;0,$A109&gt;=$C$25),0,1)</f>
        <v/>
      </c>
      <c r="P110" s="17">
        <f>O110*(IF(AND($C$25&gt;0,$A110&gt;=$C$25),N110,0)+(1-$I46)*(1-$B$25))</f>
        <v/>
      </c>
      <c r="Q110" s="17">
        <f>SUM(P$95:P110)</f>
        <v/>
      </c>
      <c r="R110" s="15">
        <f>$I46+(1-$I46)*$B$26</f>
        <v/>
      </c>
      <c r="S110" s="17">
        <f>S109*R109*IF(AND($C$26&gt;0,$A109&gt;=$C$26),0,1)</f>
        <v/>
      </c>
      <c r="T110" s="17">
        <f>S110*(IF(AND($C$26&gt;0,$A110&gt;=$C$26),R110,0)+(1-$I46)*(1-$B$26))</f>
        <v/>
      </c>
      <c r="U110" s="17">
        <f>SUM(T$95:T110)</f>
        <v/>
      </c>
    </row>
    <row r="111">
      <c r="A111" s="11">
        <f>$A47</f>
        <v/>
      </c>
      <c r="B111" s="15">
        <f>$I47+(1-$I47)*$B$22</f>
        <v/>
      </c>
      <c r="C111" s="17">
        <f>C110*B110*IF(AND($C$22&gt;0,$A110&gt;=$C$22),0,1)</f>
        <v/>
      </c>
      <c r="D111" s="17">
        <f>C111*(IF(AND($C$22&gt;0,$A111&gt;=$C$22),B111,0)+(1-$I47)*(1-$B$22))</f>
        <v/>
      </c>
      <c r="E111" s="17">
        <f>SUM(D$95:D111)</f>
        <v/>
      </c>
      <c r="F111" s="15">
        <f>$I47+(1-$I47)*$B$23</f>
        <v/>
      </c>
      <c r="G111" s="17">
        <f>G110*F110*IF(AND($C$23&gt;0,$A110&gt;=$C$23),0,1)</f>
        <v/>
      </c>
      <c r="H111" s="17">
        <f>G111*(IF(AND($C$23&gt;0,$A111&gt;=$C$23),F111,0)+(1-$I47)*(1-$B$23))</f>
        <v/>
      </c>
      <c r="I111" s="17">
        <f>SUM(H$95:H111)</f>
        <v/>
      </c>
      <c r="J111" s="15">
        <f>$I47+(1-$I47)*$B$24</f>
        <v/>
      </c>
      <c r="K111" s="17">
        <f>K110*J110*IF(AND($C$24&gt;0,$A110&gt;=$C$24),0,1)</f>
        <v/>
      </c>
      <c r="L111" s="17">
        <f>K111*(IF(AND($C$24&gt;0,$A111&gt;=$C$24),J111,0)+(1-$I47)*(1-$B$24))</f>
        <v/>
      </c>
      <c r="M111" s="17">
        <f>SUM(L$95:L111)</f>
        <v/>
      </c>
      <c r="N111" s="15">
        <f>$I47+(1-$I47)*$B$25</f>
        <v/>
      </c>
      <c r="O111" s="17">
        <f>O110*N110*IF(AND($C$25&gt;0,$A110&gt;=$C$25),0,1)</f>
        <v/>
      </c>
      <c r="P111" s="17">
        <f>O111*(IF(AND($C$25&gt;0,$A111&gt;=$C$25),N111,0)+(1-$I47)*(1-$B$25))</f>
        <v/>
      </c>
      <c r="Q111" s="17">
        <f>SUM(P$95:P111)</f>
        <v/>
      </c>
      <c r="R111" s="15">
        <f>$I47+(1-$I47)*$B$26</f>
        <v/>
      </c>
      <c r="S111" s="17">
        <f>S110*R110*IF(AND($C$26&gt;0,$A110&gt;=$C$26),0,1)</f>
        <v/>
      </c>
      <c r="T111" s="17">
        <f>S111*(IF(AND($C$26&gt;0,$A111&gt;=$C$26),R111,0)+(1-$I47)*(1-$B$26))</f>
        <v/>
      </c>
      <c r="U111" s="17">
        <f>SUM(T$95:T111)</f>
        <v/>
      </c>
    </row>
    <row r="112">
      <c r="A112" s="11">
        <f>$A48</f>
        <v/>
      </c>
      <c r="B112" s="15">
        <f>$I48+(1-$I48)*$B$22</f>
        <v/>
      </c>
      <c r="C112" s="17">
        <f>C111*B111*IF(AND($C$22&gt;0,$A111&gt;=$C$22),0,1)</f>
        <v/>
      </c>
      <c r="D112" s="17">
        <f>C112*(IF(AND($C$22&gt;0,$A112&gt;=$C$22),B112,0)+(1-$I48)*(1-$B$22))</f>
        <v/>
      </c>
      <c r="E112" s="17">
        <f>SUM(D$95:D112)</f>
        <v/>
      </c>
      <c r="F112" s="15">
        <f>$I48+(1-$I48)*$B$23</f>
        <v/>
      </c>
      <c r="G112" s="17">
        <f>G111*F111*IF(AND($C$23&gt;0,$A111&gt;=$C$23),0,1)</f>
        <v/>
      </c>
      <c r="H112" s="17">
        <f>G112*(IF(AND($C$23&gt;0,$A112&gt;=$C$23),F112,0)+(1-$I48)*(1-$B$23))</f>
        <v/>
      </c>
      <c r="I112" s="17">
        <f>SUM(H$95:H112)</f>
        <v/>
      </c>
      <c r="J112" s="15">
        <f>$I48+(1-$I48)*$B$24</f>
        <v/>
      </c>
      <c r="K112" s="17">
        <f>K111*J111*IF(AND($C$24&gt;0,$A111&gt;=$C$24),0,1)</f>
        <v/>
      </c>
      <c r="L112" s="17">
        <f>K112*(IF(AND($C$24&gt;0,$A112&gt;=$C$24),J112,0)+(1-$I48)*(1-$B$24))</f>
        <v/>
      </c>
      <c r="M112" s="17">
        <f>SUM(L$95:L112)</f>
        <v/>
      </c>
      <c r="N112" s="15">
        <f>$I48+(1-$I48)*$B$25</f>
        <v/>
      </c>
      <c r="O112" s="17">
        <f>O111*N111*IF(AND($C$25&gt;0,$A111&gt;=$C$25),0,1)</f>
        <v/>
      </c>
      <c r="P112" s="17">
        <f>O112*(IF(AND($C$25&gt;0,$A112&gt;=$C$25),N112,0)+(1-$I48)*(1-$B$25))</f>
        <v/>
      </c>
      <c r="Q112" s="17">
        <f>SUM(P$95:P112)</f>
        <v/>
      </c>
      <c r="R112" s="15">
        <f>$I48+(1-$I48)*$B$26</f>
        <v/>
      </c>
      <c r="S112" s="17">
        <f>S111*R111*IF(AND($C$26&gt;0,$A111&gt;=$C$26),0,1)</f>
        <v/>
      </c>
      <c r="T112" s="17">
        <f>S112*(IF(AND($C$26&gt;0,$A112&gt;=$C$26),R112,0)+(1-$I48)*(1-$B$26))</f>
        <v/>
      </c>
      <c r="U112" s="17">
        <f>SUM(T$95:T112)</f>
        <v/>
      </c>
    </row>
    <row r="113">
      <c r="A113" s="11">
        <f>$A49</f>
        <v/>
      </c>
      <c r="B113" s="15">
        <f>$I49+(1-$I49)*$B$22</f>
        <v/>
      </c>
      <c r="C113" s="17">
        <f>C112*B112*IF(AND($C$22&gt;0,$A112&gt;=$C$22),0,1)</f>
        <v/>
      </c>
      <c r="D113" s="17">
        <f>C113*(IF(AND($C$22&gt;0,$A113&gt;=$C$22),B113,0)+(1-$I49)*(1-$B$22))</f>
        <v/>
      </c>
      <c r="E113" s="17">
        <f>SUM(D$95:D113)</f>
        <v/>
      </c>
      <c r="F113" s="15">
        <f>$I49+(1-$I49)*$B$23</f>
        <v/>
      </c>
      <c r="G113" s="17">
        <f>G112*F112*IF(AND($C$23&gt;0,$A112&gt;=$C$23),0,1)</f>
        <v/>
      </c>
      <c r="H113" s="17">
        <f>G113*(IF(AND($C$23&gt;0,$A113&gt;=$C$23),F113,0)+(1-$I49)*(1-$B$23))</f>
        <v/>
      </c>
      <c r="I113" s="17">
        <f>SUM(H$95:H113)</f>
        <v/>
      </c>
      <c r="J113" s="15">
        <f>$I49+(1-$I49)*$B$24</f>
        <v/>
      </c>
      <c r="K113" s="17">
        <f>K112*J112*IF(AND($C$24&gt;0,$A112&gt;=$C$24),0,1)</f>
        <v/>
      </c>
      <c r="L113" s="17">
        <f>K113*(IF(AND($C$24&gt;0,$A113&gt;=$C$24),J113,0)+(1-$I49)*(1-$B$24))</f>
        <v/>
      </c>
      <c r="M113" s="17">
        <f>SUM(L$95:L113)</f>
        <v/>
      </c>
      <c r="N113" s="15">
        <f>$I49+(1-$I49)*$B$25</f>
        <v/>
      </c>
      <c r="O113" s="17">
        <f>O112*N112*IF(AND($C$25&gt;0,$A112&gt;=$C$25),0,1)</f>
        <v/>
      </c>
      <c r="P113" s="17">
        <f>O113*(IF(AND($C$25&gt;0,$A113&gt;=$C$25),N113,0)+(1-$I49)*(1-$B$25))</f>
        <v/>
      </c>
      <c r="Q113" s="17">
        <f>SUM(P$95:P113)</f>
        <v/>
      </c>
      <c r="R113" s="15">
        <f>$I49+(1-$I49)*$B$26</f>
        <v/>
      </c>
      <c r="S113" s="17">
        <f>S112*R112*IF(AND($C$26&gt;0,$A112&gt;=$C$26),0,1)</f>
        <v/>
      </c>
      <c r="T113" s="17">
        <f>S113*(IF(AND($C$26&gt;0,$A113&gt;=$C$26),R113,0)+(1-$I49)*(1-$B$26))</f>
        <v/>
      </c>
      <c r="U113" s="17">
        <f>SUM(T$95:T113)</f>
        <v/>
      </c>
    </row>
    <row r="114">
      <c r="A114" s="11">
        <f>$A50</f>
        <v/>
      </c>
      <c r="B114" s="15">
        <f>$I50+(1-$I50)*$B$22</f>
        <v/>
      </c>
      <c r="C114" s="17">
        <f>C113*B113*IF(AND($C$22&gt;0,$A113&gt;=$C$22),0,1)</f>
        <v/>
      </c>
      <c r="D114" s="17">
        <f>C114*(IF(AND($C$22&gt;0,$A114&gt;=$C$22),B114,0)+(1-$I50)*(1-$B$22))</f>
        <v/>
      </c>
      <c r="E114" s="17">
        <f>SUM(D$95:D114)</f>
        <v/>
      </c>
      <c r="F114" s="15">
        <f>$I50+(1-$I50)*$B$23</f>
        <v/>
      </c>
      <c r="G114" s="17">
        <f>G113*F113*IF(AND($C$23&gt;0,$A113&gt;=$C$23),0,1)</f>
        <v/>
      </c>
      <c r="H114" s="17">
        <f>G114*(IF(AND($C$23&gt;0,$A114&gt;=$C$23),F114,0)+(1-$I50)*(1-$B$23))</f>
        <v/>
      </c>
      <c r="I114" s="17">
        <f>SUM(H$95:H114)</f>
        <v/>
      </c>
      <c r="J114" s="15">
        <f>$I50+(1-$I50)*$B$24</f>
        <v/>
      </c>
      <c r="K114" s="17">
        <f>K113*J113*IF(AND($C$24&gt;0,$A113&gt;=$C$24),0,1)</f>
        <v/>
      </c>
      <c r="L114" s="17">
        <f>K114*(IF(AND($C$24&gt;0,$A114&gt;=$C$24),J114,0)+(1-$I50)*(1-$B$24))</f>
        <v/>
      </c>
      <c r="M114" s="17">
        <f>SUM(L$95:L114)</f>
        <v/>
      </c>
      <c r="N114" s="15">
        <f>$I50+(1-$I50)*$B$25</f>
        <v/>
      </c>
      <c r="O114" s="17">
        <f>O113*N113*IF(AND($C$25&gt;0,$A113&gt;=$C$25),0,1)</f>
        <v/>
      </c>
      <c r="P114" s="17">
        <f>O114*(IF(AND($C$25&gt;0,$A114&gt;=$C$25),N114,0)+(1-$I50)*(1-$B$25))</f>
        <v/>
      </c>
      <c r="Q114" s="17">
        <f>SUM(P$95:P114)</f>
        <v/>
      </c>
      <c r="R114" s="15">
        <f>$I50+(1-$I50)*$B$26</f>
        <v/>
      </c>
      <c r="S114" s="17">
        <f>S113*R113*IF(AND($C$26&gt;0,$A113&gt;=$C$26),0,1)</f>
        <v/>
      </c>
      <c r="T114" s="17">
        <f>S114*(IF(AND($C$26&gt;0,$A114&gt;=$C$26),R114,0)+(1-$I50)*(1-$B$26))</f>
        <v/>
      </c>
      <c r="U114" s="17">
        <f>SUM(T$95:T114)</f>
        <v/>
      </c>
    </row>
    <row r="115">
      <c r="A115" s="11">
        <f>$A51</f>
        <v/>
      </c>
      <c r="B115" s="15">
        <f>$I51+(1-$I51)*$B$22</f>
        <v/>
      </c>
      <c r="C115" s="17">
        <f>C114*B114*IF(AND($C$22&gt;0,$A114&gt;=$C$22),0,1)</f>
        <v/>
      </c>
      <c r="D115" s="17">
        <f>C115*(IF(AND($C$22&gt;0,$A115&gt;=$C$22),B115,0)+(1-$I51)*(1-$B$22))</f>
        <v/>
      </c>
      <c r="E115" s="17">
        <f>SUM(D$95:D115)</f>
        <v/>
      </c>
      <c r="F115" s="15">
        <f>$I51+(1-$I51)*$B$23</f>
        <v/>
      </c>
      <c r="G115" s="17">
        <f>G114*F114*IF(AND($C$23&gt;0,$A114&gt;=$C$23),0,1)</f>
        <v/>
      </c>
      <c r="H115" s="17">
        <f>G115*(IF(AND($C$23&gt;0,$A115&gt;=$C$23),F115,0)+(1-$I51)*(1-$B$23))</f>
        <v/>
      </c>
      <c r="I115" s="17">
        <f>SUM(H$95:H115)</f>
        <v/>
      </c>
      <c r="J115" s="15">
        <f>$I51+(1-$I51)*$B$24</f>
        <v/>
      </c>
      <c r="K115" s="17">
        <f>K114*J114*IF(AND($C$24&gt;0,$A114&gt;=$C$24),0,1)</f>
        <v/>
      </c>
      <c r="L115" s="17">
        <f>K115*(IF(AND($C$24&gt;0,$A115&gt;=$C$24),J115,0)+(1-$I51)*(1-$B$24))</f>
        <v/>
      </c>
      <c r="M115" s="17">
        <f>SUM(L$95:L115)</f>
        <v/>
      </c>
      <c r="N115" s="15">
        <f>$I51+(1-$I51)*$B$25</f>
        <v/>
      </c>
      <c r="O115" s="17">
        <f>O114*N114*IF(AND($C$25&gt;0,$A114&gt;=$C$25),0,1)</f>
        <v/>
      </c>
      <c r="P115" s="17">
        <f>O115*(IF(AND($C$25&gt;0,$A115&gt;=$C$25),N115,0)+(1-$I51)*(1-$B$25))</f>
        <v/>
      </c>
      <c r="Q115" s="17">
        <f>SUM(P$95:P115)</f>
        <v/>
      </c>
      <c r="R115" s="15">
        <f>$I51+(1-$I51)*$B$26</f>
        <v/>
      </c>
      <c r="S115" s="17">
        <f>S114*R114*IF(AND($C$26&gt;0,$A114&gt;=$C$26),0,1)</f>
        <v/>
      </c>
      <c r="T115" s="17">
        <f>S115*(IF(AND($C$26&gt;0,$A115&gt;=$C$26),R115,0)+(1-$I51)*(1-$B$26))</f>
        <v/>
      </c>
      <c r="U115" s="17">
        <f>SUM(T$95:T115)</f>
        <v/>
      </c>
    </row>
    <row r="116">
      <c r="A116" s="11">
        <f>$A52</f>
        <v/>
      </c>
      <c r="B116" s="15">
        <f>$I52+(1-$I52)*$B$22</f>
        <v/>
      </c>
      <c r="C116" s="17">
        <f>C115*B115*IF(AND($C$22&gt;0,$A115&gt;=$C$22),0,1)</f>
        <v/>
      </c>
      <c r="D116" s="17">
        <f>C116*(IF(AND($C$22&gt;0,$A116&gt;=$C$22),B116,0)+(1-$I52)*(1-$B$22))</f>
        <v/>
      </c>
      <c r="E116" s="17">
        <f>SUM(D$95:D116)</f>
        <v/>
      </c>
      <c r="F116" s="15">
        <f>$I52+(1-$I52)*$B$23</f>
        <v/>
      </c>
      <c r="G116" s="17">
        <f>G115*F115*IF(AND($C$23&gt;0,$A115&gt;=$C$23),0,1)</f>
        <v/>
      </c>
      <c r="H116" s="17">
        <f>G116*(IF(AND($C$23&gt;0,$A116&gt;=$C$23),F116,0)+(1-$I52)*(1-$B$23))</f>
        <v/>
      </c>
      <c r="I116" s="17">
        <f>SUM(H$95:H116)</f>
        <v/>
      </c>
      <c r="J116" s="15">
        <f>$I52+(1-$I52)*$B$24</f>
        <v/>
      </c>
      <c r="K116" s="17">
        <f>K115*J115*IF(AND($C$24&gt;0,$A115&gt;=$C$24),0,1)</f>
        <v/>
      </c>
      <c r="L116" s="17">
        <f>K116*(IF(AND($C$24&gt;0,$A116&gt;=$C$24),J116,0)+(1-$I52)*(1-$B$24))</f>
        <v/>
      </c>
      <c r="M116" s="17">
        <f>SUM(L$95:L116)</f>
        <v/>
      </c>
      <c r="N116" s="15">
        <f>$I52+(1-$I52)*$B$25</f>
        <v/>
      </c>
      <c r="O116" s="17">
        <f>O115*N115*IF(AND($C$25&gt;0,$A115&gt;=$C$25),0,1)</f>
        <v/>
      </c>
      <c r="P116" s="17">
        <f>O116*(IF(AND($C$25&gt;0,$A116&gt;=$C$25),N116,0)+(1-$I52)*(1-$B$25))</f>
        <v/>
      </c>
      <c r="Q116" s="17">
        <f>SUM(P$95:P116)</f>
        <v/>
      </c>
      <c r="R116" s="15">
        <f>$I52+(1-$I52)*$B$26</f>
        <v/>
      </c>
      <c r="S116" s="17">
        <f>S115*R115*IF(AND($C$26&gt;0,$A115&gt;=$C$26),0,1)</f>
        <v/>
      </c>
      <c r="T116" s="17">
        <f>S116*(IF(AND($C$26&gt;0,$A116&gt;=$C$26),R116,0)+(1-$I52)*(1-$B$26))</f>
        <v/>
      </c>
      <c r="U116" s="17">
        <f>SUM(T$95:T116)</f>
        <v/>
      </c>
    </row>
    <row r="117">
      <c r="A117" s="11">
        <f>$A53</f>
        <v/>
      </c>
      <c r="B117" s="15">
        <f>$I53+(1-$I53)*$B$22</f>
        <v/>
      </c>
      <c r="C117" s="17">
        <f>C116*B116*IF(AND($C$22&gt;0,$A116&gt;=$C$22),0,1)</f>
        <v/>
      </c>
      <c r="D117" s="17">
        <f>C117*(IF(AND($C$22&gt;0,$A117&gt;=$C$22),B117,0)+(1-$I53)*(1-$B$22))</f>
        <v/>
      </c>
      <c r="E117" s="17">
        <f>SUM(D$95:D117)</f>
        <v/>
      </c>
      <c r="F117" s="15">
        <f>$I53+(1-$I53)*$B$23</f>
        <v/>
      </c>
      <c r="G117" s="17">
        <f>G116*F116*IF(AND($C$23&gt;0,$A116&gt;=$C$23),0,1)</f>
        <v/>
      </c>
      <c r="H117" s="17">
        <f>G117*(IF(AND($C$23&gt;0,$A117&gt;=$C$23),F117,0)+(1-$I53)*(1-$B$23))</f>
        <v/>
      </c>
      <c r="I117" s="17">
        <f>SUM(H$95:H117)</f>
        <v/>
      </c>
      <c r="J117" s="15">
        <f>$I53+(1-$I53)*$B$24</f>
        <v/>
      </c>
      <c r="K117" s="17">
        <f>K116*J116*IF(AND($C$24&gt;0,$A116&gt;=$C$24),0,1)</f>
        <v/>
      </c>
      <c r="L117" s="17">
        <f>K117*(IF(AND($C$24&gt;0,$A117&gt;=$C$24),J117,0)+(1-$I53)*(1-$B$24))</f>
        <v/>
      </c>
      <c r="M117" s="17">
        <f>SUM(L$95:L117)</f>
        <v/>
      </c>
      <c r="N117" s="15">
        <f>$I53+(1-$I53)*$B$25</f>
        <v/>
      </c>
      <c r="O117" s="17">
        <f>O116*N116*IF(AND($C$25&gt;0,$A116&gt;=$C$25),0,1)</f>
        <v/>
      </c>
      <c r="P117" s="17">
        <f>O117*(IF(AND($C$25&gt;0,$A117&gt;=$C$25),N117,0)+(1-$I53)*(1-$B$25))</f>
        <v/>
      </c>
      <c r="Q117" s="17">
        <f>SUM(P$95:P117)</f>
        <v/>
      </c>
      <c r="R117" s="15">
        <f>$I53+(1-$I53)*$B$26</f>
        <v/>
      </c>
      <c r="S117" s="17">
        <f>S116*R116*IF(AND($C$26&gt;0,$A116&gt;=$C$26),0,1)</f>
        <v/>
      </c>
      <c r="T117" s="17">
        <f>S117*(IF(AND($C$26&gt;0,$A117&gt;=$C$26),R117,0)+(1-$I53)*(1-$B$26))</f>
        <v/>
      </c>
      <c r="U117" s="17">
        <f>SUM(T$95:T117)</f>
        <v/>
      </c>
    </row>
    <row r="118">
      <c r="A118" s="11">
        <f>$A54</f>
        <v/>
      </c>
      <c r="B118" s="15">
        <f>$I54+(1-$I54)*$B$22</f>
        <v/>
      </c>
      <c r="C118" s="17">
        <f>C117*B117*IF(AND($C$22&gt;0,$A117&gt;=$C$22),0,1)</f>
        <v/>
      </c>
      <c r="D118" s="17">
        <f>C118*(IF(AND($C$22&gt;0,$A118&gt;=$C$22),B118,0)+(1-$I54)*(1-$B$22))</f>
        <v/>
      </c>
      <c r="E118" s="17">
        <f>SUM(D$95:D118)</f>
        <v/>
      </c>
      <c r="F118" s="15">
        <f>$I54+(1-$I54)*$B$23</f>
        <v/>
      </c>
      <c r="G118" s="17">
        <f>G117*F117*IF(AND($C$23&gt;0,$A117&gt;=$C$23),0,1)</f>
        <v/>
      </c>
      <c r="H118" s="17">
        <f>G118*(IF(AND($C$23&gt;0,$A118&gt;=$C$23),F118,0)+(1-$I54)*(1-$B$23))</f>
        <v/>
      </c>
      <c r="I118" s="17">
        <f>SUM(H$95:H118)</f>
        <v/>
      </c>
      <c r="J118" s="15">
        <f>$I54+(1-$I54)*$B$24</f>
        <v/>
      </c>
      <c r="K118" s="17">
        <f>K117*J117*IF(AND($C$24&gt;0,$A117&gt;=$C$24),0,1)</f>
        <v/>
      </c>
      <c r="L118" s="17">
        <f>K118*(IF(AND($C$24&gt;0,$A118&gt;=$C$24),J118,0)+(1-$I54)*(1-$B$24))</f>
        <v/>
      </c>
      <c r="M118" s="17">
        <f>SUM(L$95:L118)</f>
        <v/>
      </c>
      <c r="N118" s="15">
        <f>$I54+(1-$I54)*$B$25</f>
        <v/>
      </c>
      <c r="O118" s="17">
        <f>O117*N117*IF(AND($C$25&gt;0,$A117&gt;=$C$25),0,1)</f>
        <v/>
      </c>
      <c r="P118" s="17">
        <f>O118*(IF(AND($C$25&gt;0,$A118&gt;=$C$25),N118,0)+(1-$I54)*(1-$B$25))</f>
        <v/>
      </c>
      <c r="Q118" s="17">
        <f>SUM(P$95:P118)</f>
        <v/>
      </c>
      <c r="R118" s="15">
        <f>$I54+(1-$I54)*$B$26</f>
        <v/>
      </c>
      <c r="S118" s="17">
        <f>S117*R117*IF(AND($C$26&gt;0,$A117&gt;=$C$26),0,1)</f>
        <v/>
      </c>
      <c r="T118" s="17">
        <f>S118*(IF(AND($C$26&gt;0,$A118&gt;=$C$26),R118,0)+(1-$I54)*(1-$B$26))</f>
        <v/>
      </c>
      <c r="U118" s="17">
        <f>SUM(T$95:T118)</f>
        <v/>
      </c>
    </row>
    <row r="119">
      <c r="A119" s="11">
        <f>$A55</f>
        <v/>
      </c>
      <c r="B119" s="15">
        <f>$I55+(1-$I55)*$B$22</f>
        <v/>
      </c>
      <c r="C119" s="17">
        <f>C118*B118*IF(AND($C$22&gt;0,$A118&gt;=$C$22),0,1)</f>
        <v/>
      </c>
      <c r="D119" s="17">
        <f>C119*(IF(AND($C$22&gt;0,$A119&gt;=$C$22),B119,0)+(1-$I55)*(1-$B$22))</f>
        <v/>
      </c>
      <c r="E119" s="17">
        <f>SUM(D$95:D119)</f>
        <v/>
      </c>
      <c r="F119" s="15">
        <f>$I55+(1-$I55)*$B$23</f>
        <v/>
      </c>
      <c r="G119" s="17">
        <f>G118*F118*IF(AND($C$23&gt;0,$A118&gt;=$C$23),0,1)</f>
        <v/>
      </c>
      <c r="H119" s="17">
        <f>G119*(IF(AND($C$23&gt;0,$A119&gt;=$C$23),F119,0)+(1-$I55)*(1-$B$23))</f>
        <v/>
      </c>
      <c r="I119" s="17">
        <f>SUM(H$95:H119)</f>
        <v/>
      </c>
      <c r="J119" s="15">
        <f>$I55+(1-$I55)*$B$24</f>
        <v/>
      </c>
      <c r="K119" s="17">
        <f>K118*J118*IF(AND($C$24&gt;0,$A118&gt;=$C$24),0,1)</f>
        <v/>
      </c>
      <c r="L119" s="17">
        <f>K119*(IF(AND($C$24&gt;0,$A119&gt;=$C$24),J119,0)+(1-$I55)*(1-$B$24))</f>
        <v/>
      </c>
      <c r="M119" s="17">
        <f>SUM(L$95:L119)</f>
        <v/>
      </c>
      <c r="N119" s="15">
        <f>$I55+(1-$I55)*$B$25</f>
        <v/>
      </c>
      <c r="O119" s="17">
        <f>O118*N118*IF(AND($C$25&gt;0,$A118&gt;=$C$25),0,1)</f>
        <v/>
      </c>
      <c r="P119" s="17">
        <f>O119*(IF(AND($C$25&gt;0,$A119&gt;=$C$25),N119,0)+(1-$I55)*(1-$B$25))</f>
        <v/>
      </c>
      <c r="Q119" s="17">
        <f>SUM(P$95:P119)</f>
        <v/>
      </c>
      <c r="R119" s="15">
        <f>$I55+(1-$I55)*$B$26</f>
        <v/>
      </c>
      <c r="S119" s="17">
        <f>S118*R118*IF(AND($C$26&gt;0,$A118&gt;=$C$26),0,1)</f>
        <v/>
      </c>
      <c r="T119" s="17">
        <f>S119*(IF(AND($C$26&gt;0,$A119&gt;=$C$26),R119,0)+(1-$I55)*(1-$B$26))</f>
        <v/>
      </c>
      <c r="U119" s="17">
        <f>SUM(T$95:T119)</f>
        <v/>
      </c>
    </row>
    <row r="120">
      <c r="A120" s="11">
        <f>$A56</f>
        <v/>
      </c>
      <c r="B120" s="15">
        <f>$I56+(1-$I56)*$B$22</f>
        <v/>
      </c>
      <c r="C120" s="17">
        <f>C119*B119*IF(AND($C$22&gt;0,$A119&gt;=$C$22),0,1)</f>
        <v/>
      </c>
      <c r="D120" s="17">
        <f>C120*(IF(AND($C$22&gt;0,$A120&gt;=$C$22),B120,0)+(1-$I56)*(1-$B$22))</f>
        <v/>
      </c>
      <c r="E120" s="17">
        <f>SUM(D$95:D120)</f>
        <v/>
      </c>
      <c r="F120" s="15">
        <f>$I56+(1-$I56)*$B$23</f>
        <v/>
      </c>
      <c r="G120" s="17">
        <f>G119*F119*IF(AND($C$23&gt;0,$A119&gt;=$C$23),0,1)</f>
        <v/>
      </c>
      <c r="H120" s="17">
        <f>G120*(IF(AND($C$23&gt;0,$A120&gt;=$C$23),F120,0)+(1-$I56)*(1-$B$23))</f>
        <v/>
      </c>
      <c r="I120" s="17">
        <f>SUM(H$95:H120)</f>
        <v/>
      </c>
      <c r="J120" s="15">
        <f>$I56+(1-$I56)*$B$24</f>
        <v/>
      </c>
      <c r="K120" s="17">
        <f>K119*J119*IF(AND($C$24&gt;0,$A119&gt;=$C$24),0,1)</f>
        <v/>
      </c>
      <c r="L120" s="17">
        <f>K120*(IF(AND($C$24&gt;0,$A120&gt;=$C$24),J120,0)+(1-$I56)*(1-$B$24))</f>
        <v/>
      </c>
      <c r="M120" s="17">
        <f>SUM(L$95:L120)</f>
        <v/>
      </c>
      <c r="N120" s="15">
        <f>$I56+(1-$I56)*$B$25</f>
        <v/>
      </c>
      <c r="O120" s="17">
        <f>O119*N119*IF(AND($C$25&gt;0,$A119&gt;=$C$25),0,1)</f>
        <v/>
      </c>
      <c r="P120" s="17">
        <f>O120*(IF(AND($C$25&gt;0,$A120&gt;=$C$25),N120,0)+(1-$I56)*(1-$B$25))</f>
        <v/>
      </c>
      <c r="Q120" s="17">
        <f>SUM(P$95:P120)</f>
        <v/>
      </c>
      <c r="R120" s="15">
        <f>$I56+(1-$I56)*$B$26</f>
        <v/>
      </c>
      <c r="S120" s="17">
        <f>S119*R119*IF(AND($C$26&gt;0,$A119&gt;=$C$26),0,1)</f>
        <v/>
      </c>
      <c r="T120" s="17">
        <f>S120*(IF(AND($C$26&gt;0,$A120&gt;=$C$26),R120,0)+(1-$I56)*(1-$B$26))</f>
        <v/>
      </c>
      <c r="U120" s="17">
        <f>SUM(T$95:T120)</f>
        <v/>
      </c>
    </row>
    <row r="121">
      <c r="A121" s="11">
        <f>$A57</f>
        <v/>
      </c>
      <c r="B121" s="15">
        <f>$I57+(1-$I57)*$B$22</f>
        <v/>
      </c>
      <c r="C121" s="17">
        <f>C120*B120*IF(AND($C$22&gt;0,$A120&gt;=$C$22),0,1)</f>
        <v/>
      </c>
      <c r="D121" s="17">
        <f>C121*(IF(AND($C$22&gt;0,$A121&gt;=$C$22),B121,0)+(1-$I57)*(1-$B$22))</f>
        <v/>
      </c>
      <c r="E121" s="17">
        <f>SUM(D$95:D121)</f>
        <v/>
      </c>
      <c r="F121" s="15">
        <f>$I57+(1-$I57)*$B$23</f>
        <v/>
      </c>
      <c r="G121" s="17">
        <f>G120*F120*IF(AND($C$23&gt;0,$A120&gt;=$C$23),0,1)</f>
        <v/>
      </c>
      <c r="H121" s="17">
        <f>G121*(IF(AND($C$23&gt;0,$A121&gt;=$C$23),F121,0)+(1-$I57)*(1-$B$23))</f>
        <v/>
      </c>
      <c r="I121" s="17">
        <f>SUM(H$95:H121)</f>
        <v/>
      </c>
      <c r="J121" s="15">
        <f>$I57+(1-$I57)*$B$24</f>
        <v/>
      </c>
      <c r="K121" s="17">
        <f>K120*J120*IF(AND($C$24&gt;0,$A120&gt;=$C$24),0,1)</f>
        <v/>
      </c>
      <c r="L121" s="17">
        <f>K121*(IF(AND($C$24&gt;0,$A121&gt;=$C$24),J121,0)+(1-$I57)*(1-$B$24))</f>
        <v/>
      </c>
      <c r="M121" s="17">
        <f>SUM(L$95:L121)</f>
        <v/>
      </c>
      <c r="N121" s="15">
        <f>$I57+(1-$I57)*$B$25</f>
        <v/>
      </c>
      <c r="O121" s="17">
        <f>O120*N120*IF(AND($C$25&gt;0,$A120&gt;=$C$25),0,1)</f>
        <v/>
      </c>
      <c r="P121" s="17">
        <f>O121*(IF(AND($C$25&gt;0,$A121&gt;=$C$25),N121,0)+(1-$I57)*(1-$B$25))</f>
        <v/>
      </c>
      <c r="Q121" s="17">
        <f>SUM(P$95:P121)</f>
        <v/>
      </c>
      <c r="R121" s="15">
        <f>$I57+(1-$I57)*$B$26</f>
        <v/>
      </c>
      <c r="S121" s="17">
        <f>S120*R120*IF(AND($C$26&gt;0,$A120&gt;=$C$26),0,1)</f>
        <v/>
      </c>
      <c r="T121" s="17">
        <f>S121*(IF(AND($C$26&gt;0,$A121&gt;=$C$26),R121,0)+(1-$I57)*(1-$B$26))</f>
        <v/>
      </c>
      <c r="U121" s="17">
        <f>SUM(T$95:T121)</f>
        <v/>
      </c>
    </row>
    <row r="122">
      <c r="A122" s="11">
        <f>$A58</f>
        <v/>
      </c>
      <c r="B122" s="15">
        <f>$I58+(1-$I58)*$B$22</f>
        <v/>
      </c>
      <c r="C122" s="17">
        <f>C121*B121*IF(AND($C$22&gt;0,$A121&gt;=$C$22),0,1)</f>
        <v/>
      </c>
      <c r="D122" s="17">
        <f>C122*(IF(AND($C$22&gt;0,$A122&gt;=$C$22),B122,0)+(1-$I58)*(1-$B$22))</f>
        <v/>
      </c>
      <c r="E122" s="17">
        <f>SUM(D$95:D122)</f>
        <v/>
      </c>
      <c r="F122" s="15">
        <f>$I58+(1-$I58)*$B$23</f>
        <v/>
      </c>
      <c r="G122" s="17">
        <f>G121*F121*IF(AND($C$23&gt;0,$A121&gt;=$C$23),0,1)</f>
        <v/>
      </c>
      <c r="H122" s="17">
        <f>G122*(IF(AND($C$23&gt;0,$A122&gt;=$C$23),F122,0)+(1-$I58)*(1-$B$23))</f>
        <v/>
      </c>
      <c r="I122" s="17">
        <f>SUM(H$95:H122)</f>
        <v/>
      </c>
      <c r="J122" s="15">
        <f>$I58+(1-$I58)*$B$24</f>
        <v/>
      </c>
      <c r="K122" s="17">
        <f>K121*J121*IF(AND($C$24&gt;0,$A121&gt;=$C$24),0,1)</f>
        <v/>
      </c>
      <c r="L122" s="17">
        <f>K122*(IF(AND($C$24&gt;0,$A122&gt;=$C$24),J122,0)+(1-$I58)*(1-$B$24))</f>
        <v/>
      </c>
      <c r="M122" s="17">
        <f>SUM(L$95:L122)</f>
        <v/>
      </c>
      <c r="N122" s="15">
        <f>$I58+(1-$I58)*$B$25</f>
        <v/>
      </c>
      <c r="O122" s="17">
        <f>O121*N121*IF(AND($C$25&gt;0,$A121&gt;=$C$25),0,1)</f>
        <v/>
      </c>
      <c r="P122" s="17">
        <f>O122*(IF(AND($C$25&gt;0,$A122&gt;=$C$25),N122,0)+(1-$I58)*(1-$B$25))</f>
        <v/>
      </c>
      <c r="Q122" s="17">
        <f>SUM(P$95:P122)</f>
        <v/>
      </c>
      <c r="R122" s="15">
        <f>$I58+(1-$I58)*$B$26</f>
        <v/>
      </c>
      <c r="S122" s="17">
        <f>S121*R121*IF(AND($C$26&gt;0,$A121&gt;=$C$26),0,1)</f>
        <v/>
      </c>
      <c r="T122" s="17">
        <f>S122*(IF(AND($C$26&gt;0,$A122&gt;=$C$26),R122,0)+(1-$I58)*(1-$B$26))</f>
        <v/>
      </c>
      <c r="U122" s="17">
        <f>SUM(T$95:T122)</f>
        <v/>
      </c>
    </row>
    <row r="123">
      <c r="A123" s="11">
        <f>$A59</f>
        <v/>
      </c>
      <c r="B123" s="15">
        <f>$I59+(1-$I59)*$B$22</f>
        <v/>
      </c>
      <c r="C123" s="17">
        <f>C122*B122*IF(AND($C$22&gt;0,$A122&gt;=$C$22),0,1)</f>
        <v/>
      </c>
      <c r="D123" s="17">
        <f>C123*(IF(AND($C$22&gt;0,$A123&gt;=$C$22),B123,0)+(1-$I59)*(1-$B$22))</f>
        <v/>
      </c>
      <c r="E123" s="17">
        <f>SUM(D$95:D123)</f>
        <v/>
      </c>
      <c r="F123" s="15">
        <f>$I59+(1-$I59)*$B$23</f>
        <v/>
      </c>
      <c r="G123" s="17">
        <f>G122*F122*IF(AND($C$23&gt;0,$A122&gt;=$C$23),0,1)</f>
        <v/>
      </c>
      <c r="H123" s="17">
        <f>G123*(IF(AND($C$23&gt;0,$A123&gt;=$C$23),F123,0)+(1-$I59)*(1-$B$23))</f>
        <v/>
      </c>
      <c r="I123" s="17">
        <f>SUM(H$95:H123)</f>
        <v/>
      </c>
      <c r="J123" s="15">
        <f>$I59+(1-$I59)*$B$24</f>
        <v/>
      </c>
      <c r="K123" s="17">
        <f>K122*J122*IF(AND($C$24&gt;0,$A122&gt;=$C$24),0,1)</f>
        <v/>
      </c>
      <c r="L123" s="17">
        <f>K123*(IF(AND($C$24&gt;0,$A123&gt;=$C$24),J123,0)+(1-$I59)*(1-$B$24))</f>
        <v/>
      </c>
      <c r="M123" s="17">
        <f>SUM(L$95:L123)</f>
        <v/>
      </c>
      <c r="N123" s="15">
        <f>$I59+(1-$I59)*$B$25</f>
        <v/>
      </c>
      <c r="O123" s="17">
        <f>O122*N122*IF(AND($C$25&gt;0,$A122&gt;=$C$25),0,1)</f>
        <v/>
      </c>
      <c r="P123" s="17">
        <f>O123*(IF(AND($C$25&gt;0,$A123&gt;=$C$25),N123,0)+(1-$I59)*(1-$B$25))</f>
        <v/>
      </c>
      <c r="Q123" s="17">
        <f>SUM(P$95:P123)</f>
        <v/>
      </c>
      <c r="R123" s="15">
        <f>$I59+(1-$I59)*$B$26</f>
        <v/>
      </c>
      <c r="S123" s="17">
        <f>S122*R122*IF(AND($C$26&gt;0,$A122&gt;=$C$26),0,1)</f>
        <v/>
      </c>
      <c r="T123" s="17">
        <f>S123*(IF(AND($C$26&gt;0,$A123&gt;=$C$26),R123,0)+(1-$I59)*(1-$B$26))</f>
        <v/>
      </c>
      <c r="U123" s="17">
        <f>SUM(T$95:T123)</f>
        <v/>
      </c>
    </row>
    <row r="124">
      <c r="A124" s="11">
        <f>$A60</f>
        <v/>
      </c>
      <c r="B124" s="15">
        <f>$I60+(1-$I60)*$B$22</f>
        <v/>
      </c>
      <c r="C124" s="17">
        <f>C123*B123*IF(AND($C$22&gt;0,$A123&gt;=$C$22),0,1)</f>
        <v/>
      </c>
      <c r="D124" s="17">
        <f>C124*(IF(AND($C$22&gt;0,$A124&gt;=$C$22),B124,0)+(1-$I60)*(1-$B$22))</f>
        <v/>
      </c>
      <c r="E124" s="17">
        <f>SUM(D$95:D124)</f>
        <v/>
      </c>
      <c r="F124" s="15">
        <f>$I60+(1-$I60)*$B$23</f>
        <v/>
      </c>
      <c r="G124" s="17">
        <f>G123*F123*IF(AND($C$23&gt;0,$A123&gt;=$C$23),0,1)</f>
        <v/>
      </c>
      <c r="H124" s="17">
        <f>G124*(IF(AND($C$23&gt;0,$A124&gt;=$C$23),F124,0)+(1-$I60)*(1-$B$23))</f>
        <v/>
      </c>
      <c r="I124" s="17">
        <f>SUM(H$95:H124)</f>
        <v/>
      </c>
      <c r="J124" s="15">
        <f>$I60+(1-$I60)*$B$24</f>
        <v/>
      </c>
      <c r="K124" s="17">
        <f>K123*J123*IF(AND($C$24&gt;0,$A123&gt;=$C$24),0,1)</f>
        <v/>
      </c>
      <c r="L124" s="17">
        <f>K124*(IF(AND($C$24&gt;0,$A124&gt;=$C$24),J124,0)+(1-$I60)*(1-$B$24))</f>
        <v/>
      </c>
      <c r="M124" s="17">
        <f>SUM(L$95:L124)</f>
        <v/>
      </c>
      <c r="N124" s="15">
        <f>$I60+(1-$I60)*$B$25</f>
        <v/>
      </c>
      <c r="O124" s="17">
        <f>O123*N123*IF(AND($C$25&gt;0,$A123&gt;=$C$25),0,1)</f>
        <v/>
      </c>
      <c r="P124" s="17">
        <f>O124*(IF(AND($C$25&gt;0,$A124&gt;=$C$25),N124,0)+(1-$I60)*(1-$B$25))</f>
        <v/>
      </c>
      <c r="Q124" s="17">
        <f>SUM(P$95:P124)</f>
        <v/>
      </c>
      <c r="R124" s="15">
        <f>$I60+(1-$I60)*$B$26</f>
        <v/>
      </c>
      <c r="S124" s="17">
        <f>S123*R123*IF(AND($C$26&gt;0,$A123&gt;=$C$26),0,1)</f>
        <v/>
      </c>
      <c r="T124" s="17">
        <f>S124*(IF(AND($C$26&gt;0,$A124&gt;=$C$26),R124,0)+(1-$I60)*(1-$B$26))</f>
        <v/>
      </c>
      <c r="U124" s="17">
        <f>SUM(T$95:T124)</f>
        <v/>
      </c>
    </row>
    <row r="125">
      <c r="A125" s="11">
        <f>$A61</f>
        <v/>
      </c>
      <c r="B125" s="15">
        <f>$I61+(1-$I61)*$B$22</f>
        <v/>
      </c>
      <c r="C125" s="17">
        <f>C124*B124*IF(AND($C$22&gt;0,$A124&gt;=$C$22),0,1)</f>
        <v/>
      </c>
      <c r="D125" s="17">
        <f>C125*(IF(AND($C$22&gt;0,$A125&gt;=$C$22),B125,0)+(1-$I61)*(1-$B$22))</f>
        <v/>
      </c>
      <c r="E125" s="17">
        <f>SUM(D$95:D125)</f>
        <v/>
      </c>
      <c r="F125" s="15">
        <f>$I61+(1-$I61)*$B$23</f>
        <v/>
      </c>
      <c r="G125" s="17">
        <f>G124*F124*IF(AND($C$23&gt;0,$A124&gt;=$C$23),0,1)</f>
        <v/>
      </c>
      <c r="H125" s="17">
        <f>G125*(IF(AND($C$23&gt;0,$A125&gt;=$C$23),F125,0)+(1-$I61)*(1-$B$23))</f>
        <v/>
      </c>
      <c r="I125" s="17">
        <f>SUM(H$95:H125)</f>
        <v/>
      </c>
      <c r="J125" s="15">
        <f>$I61+(1-$I61)*$B$24</f>
        <v/>
      </c>
      <c r="K125" s="17">
        <f>K124*J124*IF(AND($C$24&gt;0,$A124&gt;=$C$24),0,1)</f>
        <v/>
      </c>
      <c r="L125" s="17">
        <f>K125*(IF(AND($C$24&gt;0,$A125&gt;=$C$24),J125,0)+(1-$I61)*(1-$B$24))</f>
        <v/>
      </c>
      <c r="M125" s="17">
        <f>SUM(L$95:L125)</f>
        <v/>
      </c>
      <c r="N125" s="15">
        <f>$I61+(1-$I61)*$B$25</f>
        <v/>
      </c>
      <c r="O125" s="17">
        <f>O124*N124*IF(AND($C$25&gt;0,$A124&gt;=$C$25),0,1)</f>
        <v/>
      </c>
      <c r="P125" s="17">
        <f>O125*(IF(AND($C$25&gt;0,$A125&gt;=$C$25),N125,0)+(1-$I61)*(1-$B$25))</f>
        <v/>
      </c>
      <c r="Q125" s="17">
        <f>SUM(P$95:P125)</f>
        <v/>
      </c>
      <c r="R125" s="15">
        <f>$I61+(1-$I61)*$B$26</f>
        <v/>
      </c>
      <c r="S125" s="17">
        <f>S124*R124*IF(AND($C$26&gt;0,$A124&gt;=$C$26),0,1)</f>
        <v/>
      </c>
      <c r="T125" s="17">
        <f>S125*(IF(AND($C$26&gt;0,$A125&gt;=$C$26),R125,0)+(1-$I61)*(1-$B$26))</f>
        <v/>
      </c>
      <c r="U125" s="17">
        <f>SUM(T$95:T125)</f>
        <v/>
      </c>
    </row>
    <row r="126">
      <c r="A126" s="11">
        <f>$A62</f>
        <v/>
      </c>
      <c r="B126" s="15">
        <f>$I62+(1-$I62)*$B$22</f>
        <v/>
      </c>
      <c r="C126" s="17">
        <f>C125*B125*IF(AND($C$22&gt;0,$A125&gt;=$C$22),0,1)</f>
        <v/>
      </c>
      <c r="D126" s="17">
        <f>C126*(IF(AND($C$22&gt;0,$A126&gt;=$C$22),B126,0)+(1-$I62)*(1-$B$22))</f>
        <v/>
      </c>
      <c r="E126" s="17">
        <f>SUM(D$95:D126)</f>
        <v/>
      </c>
      <c r="F126" s="15">
        <f>$I62+(1-$I62)*$B$23</f>
        <v/>
      </c>
      <c r="G126" s="17">
        <f>G125*F125*IF(AND($C$23&gt;0,$A125&gt;=$C$23),0,1)</f>
        <v/>
      </c>
      <c r="H126" s="17">
        <f>G126*(IF(AND($C$23&gt;0,$A126&gt;=$C$23),F126,0)+(1-$I62)*(1-$B$23))</f>
        <v/>
      </c>
      <c r="I126" s="17">
        <f>SUM(H$95:H126)</f>
        <v/>
      </c>
      <c r="J126" s="15">
        <f>$I62+(1-$I62)*$B$24</f>
        <v/>
      </c>
      <c r="K126" s="17">
        <f>K125*J125*IF(AND($C$24&gt;0,$A125&gt;=$C$24),0,1)</f>
        <v/>
      </c>
      <c r="L126" s="17">
        <f>K126*(IF(AND($C$24&gt;0,$A126&gt;=$C$24),J126,0)+(1-$I62)*(1-$B$24))</f>
        <v/>
      </c>
      <c r="M126" s="17">
        <f>SUM(L$95:L126)</f>
        <v/>
      </c>
      <c r="N126" s="15">
        <f>$I62+(1-$I62)*$B$25</f>
        <v/>
      </c>
      <c r="O126" s="17">
        <f>O125*N125*IF(AND($C$25&gt;0,$A125&gt;=$C$25),0,1)</f>
        <v/>
      </c>
      <c r="P126" s="17">
        <f>O126*(IF(AND($C$25&gt;0,$A126&gt;=$C$25),N126,0)+(1-$I62)*(1-$B$25))</f>
        <v/>
      </c>
      <c r="Q126" s="17">
        <f>SUM(P$95:P126)</f>
        <v/>
      </c>
      <c r="R126" s="15">
        <f>$I62+(1-$I62)*$B$26</f>
        <v/>
      </c>
      <c r="S126" s="17">
        <f>S125*R125*IF(AND($C$26&gt;0,$A125&gt;=$C$26),0,1)</f>
        <v/>
      </c>
      <c r="T126" s="17">
        <f>S126*(IF(AND($C$26&gt;0,$A126&gt;=$C$26),R126,0)+(1-$I62)*(1-$B$26))</f>
        <v/>
      </c>
      <c r="U126" s="17">
        <f>SUM(T$95:T126)</f>
        <v/>
      </c>
    </row>
    <row r="127">
      <c r="A127" s="11">
        <f>$A63</f>
        <v/>
      </c>
      <c r="B127" s="15">
        <f>$I63+(1-$I63)*$B$22</f>
        <v/>
      </c>
      <c r="C127" s="17">
        <f>C126*B126*IF(AND($C$22&gt;0,$A126&gt;=$C$22),0,1)</f>
        <v/>
      </c>
      <c r="D127" s="17">
        <f>C127*(IF(AND($C$22&gt;0,$A127&gt;=$C$22),B127,0)+(1-$I63)*(1-$B$22))</f>
        <v/>
      </c>
      <c r="E127" s="17">
        <f>SUM(D$95:D127)</f>
        <v/>
      </c>
      <c r="F127" s="15">
        <f>$I63+(1-$I63)*$B$23</f>
        <v/>
      </c>
      <c r="G127" s="17">
        <f>G126*F126*IF(AND($C$23&gt;0,$A126&gt;=$C$23),0,1)</f>
        <v/>
      </c>
      <c r="H127" s="17">
        <f>G127*(IF(AND($C$23&gt;0,$A127&gt;=$C$23),F127,0)+(1-$I63)*(1-$B$23))</f>
        <v/>
      </c>
      <c r="I127" s="17">
        <f>SUM(H$95:H127)</f>
        <v/>
      </c>
      <c r="J127" s="15">
        <f>$I63+(1-$I63)*$B$24</f>
        <v/>
      </c>
      <c r="K127" s="17">
        <f>K126*J126*IF(AND($C$24&gt;0,$A126&gt;=$C$24),0,1)</f>
        <v/>
      </c>
      <c r="L127" s="17">
        <f>K127*(IF(AND($C$24&gt;0,$A127&gt;=$C$24),J127,0)+(1-$I63)*(1-$B$24))</f>
        <v/>
      </c>
      <c r="M127" s="17">
        <f>SUM(L$95:L127)</f>
        <v/>
      </c>
      <c r="N127" s="15">
        <f>$I63+(1-$I63)*$B$25</f>
        <v/>
      </c>
      <c r="O127" s="17">
        <f>O126*N126*IF(AND($C$25&gt;0,$A126&gt;=$C$25),0,1)</f>
        <v/>
      </c>
      <c r="P127" s="17">
        <f>O127*(IF(AND($C$25&gt;0,$A127&gt;=$C$25),N127,0)+(1-$I63)*(1-$B$25))</f>
        <v/>
      </c>
      <c r="Q127" s="17">
        <f>SUM(P$95:P127)</f>
        <v/>
      </c>
      <c r="R127" s="15">
        <f>$I63+(1-$I63)*$B$26</f>
        <v/>
      </c>
      <c r="S127" s="17">
        <f>S126*R126*IF(AND($C$26&gt;0,$A126&gt;=$C$26),0,1)</f>
        <v/>
      </c>
      <c r="T127" s="17">
        <f>S127*(IF(AND($C$26&gt;0,$A127&gt;=$C$26),R127,0)+(1-$I63)*(1-$B$26))</f>
        <v/>
      </c>
      <c r="U127" s="17">
        <f>SUM(T$95:T127)</f>
        <v/>
      </c>
    </row>
    <row r="128">
      <c r="A128" s="11">
        <f>$A64</f>
        <v/>
      </c>
      <c r="B128" s="15">
        <f>$I64+(1-$I64)*$B$22</f>
        <v/>
      </c>
      <c r="C128" s="17">
        <f>C127*B127*IF(AND($C$22&gt;0,$A127&gt;=$C$22),0,1)</f>
        <v/>
      </c>
      <c r="D128" s="17">
        <f>C128*(IF(AND($C$22&gt;0,$A128&gt;=$C$22),B128,0)+(1-$I64)*(1-$B$22))</f>
        <v/>
      </c>
      <c r="E128" s="17">
        <f>SUM(D$95:D128)</f>
        <v/>
      </c>
      <c r="F128" s="15">
        <f>$I64+(1-$I64)*$B$23</f>
        <v/>
      </c>
      <c r="G128" s="17">
        <f>G127*F127*IF(AND($C$23&gt;0,$A127&gt;=$C$23),0,1)</f>
        <v/>
      </c>
      <c r="H128" s="17">
        <f>G128*(IF(AND($C$23&gt;0,$A128&gt;=$C$23),F128,0)+(1-$I64)*(1-$B$23))</f>
        <v/>
      </c>
      <c r="I128" s="17">
        <f>SUM(H$95:H128)</f>
        <v/>
      </c>
      <c r="J128" s="15">
        <f>$I64+(1-$I64)*$B$24</f>
        <v/>
      </c>
      <c r="K128" s="17">
        <f>K127*J127*IF(AND($C$24&gt;0,$A127&gt;=$C$24),0,1)</f>
        <v/>
      </c>
      <c r="L128" s="17">
        <f>K128*(IF(AND($C$24&gt;0,$A128&gt;=$C$24),J128,0)+(1-$I64)*(1-$B$24))</f>
        <v/>
      </c>
      <c r="M128" s="17">
        <f>SUM(L$95:L128)</f>
        <v/>
      </c>
      <c r="N128" s="15">
        <f>$I64+(1-$I64)*$B$25</f>
        <v/>
      </c>
      <c r="O128" s="17">
        <f>O127*N127*IF(AND($C$25&gt;0,$A127&gt;=$C$25),0,1)</f>
        <v/>
      </c>
      <c r="P128" s="17">
        <f>O128*(IF(AND($C$25&gt;0,$A128&gt;=$C$25),N128,0)+(1-$I64)*(1-$B$25))</f>
        <v/>
      </c>
      <c r="Q128" s="17">
        <f>SUM(P$95:P128)</f>
        <v/>
      </c>
      <c r="R128" s="15">
        <f>$I64+(1-$I64)*$B$26</f>
        <v/>
      </c>
      <c r="S128" s="17">
        <f>S127*R127*IF(AND($C$26&gt;0,$A127&gt;=$C$26),0,1)</f>
        <v/>
      </c>
      <c r="T128" s="17">
        <f>S128*(IF(AND($C$26&gt;0,$A128&gt;=$C$26),R128,0)+(1-$I64)*(1-$B$26))</f>
        <v/>
      </c>
      <c r="U128" s="17">
        <f>SUM(T$95:T128)</f>
        <v/>
      </c>
    </row>
    <row r="129">
      <c r="A129" s="11">
        <f>$A65</f>
        <v/>
      </c>
      <c r="B129" s="15">
        <f>$I65+(1-$I65)*$B$22</f>
        <v/>
      </c>
      <c r="C129" s="17">
        <f>C128*B128*IF(AND($C$22&gt;0,$A128&gt;=$C$22),0,1)</f>
        <v/>
      </c>
      <c r="D129" s="17">
        <f>C129*(IF(AND($C$22&gt;0,$A129&gt;=$C$22),B129,0)+(1-$I65)*(1-$B$22))</f>
        <v/>
      </c>
      <c r="E129" s="17">
        <f>SUM(D$95:D129)</f>
        <v/>
      </c>
      <c r="F129" s="15">
        <f>$I65+(1-$I65)*$B$23</f>
        <v/>
      </c>
      <c r="G129" s="17">
        <f>G128*F128*IF(AND($C$23&gt;0,$A128&gt;=$C$23),0,1)</f>
        <v/>
      </c>
      <c r="H129" s="17">
        <f>G129*(IF(AND($C$23&gt;0,$A129&gt;=$C$23),F129,0)+(1-$I65)*(1-$B$23))</f>
        <v/>
      </c>
      <c r="I129" s="17">
        <f>SUM(H$95:H129)</f>
        <v/>
      </c>
      <c r="J129" s="15">
        <f>$I65+(1-$I65)*$B$24</f>
        <v/>
      </c>
      <c r="K129" s="17">
        <f>K128*J128*IF(AND($C$24&gt;0,$A128&gt;=$C$24),0,1)</f>
        <v/>
      </c>
      <c r="L129" s="17">
        <f>K129*(IF(AND($C$24&gt;0,$A129&gt;=$C$24),J129,0)+(1-$I65)*(1-$B$24))</f>
        <v/>
      </c>
      <c r="M129" s="17">
        <f>SUM(L$95:L129)</f>
        <v/>
      </c>
      <c r="N129" s="15">
        <f>$I65+(1-$I65)*$B$25</f>
        <v/>
      </c>
      <c r="O129" s="17">
        <f>O128*N128*IF(AND($C$25&gt;0,$A128&gt;=$C$25),0,1)</f>
        <v/>
      </c>
      <c r="P129" s="17">
        <f>O129*(IF(AND($C$25&gt;0,$A129&gt;=$C$25),N129,0)+(1-$I65)*(1-$B$25))</f>
        <v/>
      </c>
      <c r="Q129" s="17">
        <f>SUM(P$95:P129)</f>
        <v/>
      </c>
      <c r="R129" s="15">
        <f>$I65+(1-$I65)*$B$26</f>
        <v/>
      </c>
      <c r="S129" s="17">
        <f>S128*R128*IF(AND($C$26&gt;0,$A128&gt;=$C$26),0,1)</f>
        <v/>
      </c>
      <c r="T129" s="17">
        <f>S129*(IF(AND($C$26&gt;0,$A129&gt;=$C$26),R129,0)+(1-$I65)*(1-$B$26))</f>
        <v/>
      </c>
      <c r="U129" s="17">
        <f>SUM(T$95:T129)</f>
        <v/>
      </c>
    </row>
    <row r="130">
      <c r="A130" s="11">
        <f>$A66</f>
        <v/>
      </c>
      <c r="B130" s="15">
        <f>$I66+(1-$I66)*$B$22</f>
        <v/>
      </c>
      <c r="C130" s="17">
        <f>C129*B129*IF(AND($C$22&gt;0,$A129&gt;=$C$22),0,1)</f>
        <v/>
      </c>
      <c r="D130" s="17">
        <f>C130*(IF(AND($C$22&gt;0,$A130&gt;=$C$22),B130,0)+(1-$I66)*(1-$B$22))</f>
        <v/>
      </c>
      <c r="E130" s="17">
        <f>SUM(D$95:D130)</f>
        <v/>
      </c>
      <c r="F130" s="15">
        <f>$I66+(1-$I66)*$B$23</f>
        <v/>
      </c>
      <c r="G130" s="17">
        <f>G129*F129*IF(AND($C$23&gt;0,$A129&gt;=$C$23),0,1)</f>
        <v/>
      </c>
      <c r="H130" s="17">
        <f>G130*(IF(AND($C$23&gt;0,$A130&gt;=$C$23),F130,0)+(1-$I66)*(1-$B$23))</f>
        <v/>
      </c>
      <c r="I130" s="17">
        <f>SUM(H$95:H130)</f>
        <v/>
      </c>
      <c r="J130" s="15">
        <f>$I66+(1-$I66)*$B$24</f>
        <v/>
      </c>
      <c r="K130" s="17">
        <f>K129*J129*IF(AND($C$24&gt;0,$A129&gt;=$C$24),0,1)</f>
        <v/>
      </c>
      <c r="L130" s="17">
        <f>K130*(IF(AND($C$24&gt;0,$A130&gt;=$C$24),J130,0)+(1-$I66)*(1-$B$24))</f>
        <v/>
      </c>
      <c r="M130" s="17">
        <f>SUM(L$95:L130)</f>
        <v/>
      </c>
      <c r="N130" s="15">
        <f>$I66+(1-$I66)*$B$25</f>
        <v/>
      </c>
      <c r="O130" s="17">
        <f>O129*N129*IF(AND($C$25&gt;0,$A129&gt;=$C$25),0,1)</f>
        <v/>
      </c>
      <c r="P130" s="17">
        <f>O130*(IF(AND($C$25&gt;0,$A130&gt;=$C$25),N130,0)+(1-$I66)*(1-$B$25))</f>
        <v/>
      </c>
      <c r="Q130" s="17">
        <f>SUM(P$95:P130)</f>
        <v/>
      </c>
      <c r="R130" s="15">
        <f>$I66+(1-$I66)*$B$26</f>
        <v/>
      </c>
      <c r="S130" s="17">
        <f>S129*R129*IF(AND($C$26&gt;0,$A129&gt;=$C$26),0,1)</f>
        <v/>
      </c>
      <c r="T130" s="17">
        <f>S130*(IF(AND($C$26&gt;0,$A130&gt;=$C$26),R130,0)+(1-$I66)*(1-$B$26))</f>
        <v/>
      </c>
      <c r="U130" s="17">
        <f>SUM(T$95:T130)</f>
        <v/>
      </c>
    </row>
    <row r="131">
      <c r="A131" s="11">
        <f>$A67</f>
        <v/>
      </c>
      <c r="B131" s="15">
        <f>$I67+(1-$I67)*$B$22</f>
        <v/>
      </c>
      <c r="C131" s="17">
        <f>C130*B130*IF(AND($C$22&gt;0,$A130&gt;=$C$22),0,1)</f>
        <v/>
      </c>
      <c r="D131" s="17">
        <f>C131*(IF(AND($C$22&gt;0,$A131&gt;=$C$22),B131,0)+(1-$I67)*(1-$B$22))</f>
        <v/>
      </c>
      <c r="E131" s="17">
        <f>SUM(D$95:D131)</f>
        <v/>
      </c>
      <c r="F131" s="15">
        <f>$I67+(1-$I67)*$B$23</f>
        <v/>
      </c>
      <c r="G131" s="17">
        <f>G130*F130*IF(AND($C$23&gt;0,$A130&gt;=$C$23),0,1)</f>
        <v/>
      </c>
      <c r="H131" s="17">
        <f>G131*(IF(AND($C$23&gt;0,$A131&gt;=$C$23),F131,0)+(1-$I67)*(1-$B$23))</f>
        <v/>
      </c>
      <c r="I131" s="17">
        <f>SUM(H$95:H131)</f>
        <v/>
      </c>
      <c r="J131" s="15">
        <f>$I67+(1-$I67)*$B$24</f>
        <v/>
      </c>
      <c r="K131" s="17">
        <f>K130*J130*IF(AND($C$24&gt;0,$A130&gt;=$C$24),0,1)</f>
        <v/>
      </c>
      <c r="L131" s="17">
        <f>K131*(IF(AND($C$24&gt;0,$A131&gt;=$C$24),J131,0)+(1-$I67)*(1-$B$24))</f>
        <v/>
      </c>
      <c r="M131" s="17">
        <f>SUM(L$95:L131)</f>
        <v/>
      </c>
      <c r="N131" s="15">
        <f>$I67+(1-$I67)*$B$25</f>
        <v/>
      </c>
      <c r="O131" s="17">
        <f>O130*N130*IF(AND($C$25&gt;0,$A130&gt;=$C$25),0,1)</f>
        <v/>
      </c>
      <c r="P131" s="17">
        <f>O131*(IF(AND($C$25&gt;0,$A131&gt;=$C$25),N131,0)+(1-$I67)*(1-$B$25))</f>
        <v/>
      </c>
      <c r="Q131" s="17">
        <f>SUM(P$95:P131)</f>
        <v/>
      </c>
      <c r="R131" s="15">
        <f>$I67+(1-$I67)*$B$26</f>
        <v/>
      </c>
      <c r="S131" s="17">
        <f>S130*R130*IF(AND($C$26&gt;0,$A130&gt;=$C$26),0,1)</f>
        <v/>
      </c>
      <c r="T131" s="17">
        <f>S131*(IF(AND($C$26&gt;0,$A131&gt;=$C$26),R131,0)+(1-$I67)*(1-$B$26))</f>
        <v/>
      </c>
      <c r="U131" s="17">
        <f>SUM(T$95:T131)</f>
        <v/>
      </c>
    </row>
    <row r="132">
      <c r="A132" s="11">
        <f>$A68</f>
        <v/>
      </c>
      <c r="B132" s="15">
        <f>$I68+(1-$I68)*$B$22</f>
        <v/>
      </c>
      <c r="C132" s="17">
        <f>C131*B131*IF(AND($C$22&gt;0,$A131&gt;=$C$22),0,1)</f>
        <v/>
      </c>
      <c r="D132" s="17">
        <f>C132*(IF(AND($C$22&gt;0,$A132&gt;=$C$22),B132,0)+(1-$I68)*(1-$B$22))</f>
        <v/>
      </c>
      <c r="E132" s="17">
        <f>SUM(D$95:D132)</f>
        <v/>
      </c>
      <c r="F132" s="15">
        <f>$I68+(1-$I68)*$B$23</f>
        <v/>
      </c>
      <c r="G132" s="17">
        <f>G131*F131*IF(AND($C$23&gt;0,$A131&gt;=$C$23),0,1)</f>
        <v/>
      </c>
      <c r="H132" s="17">
        <f>G132*(IF(AND($C$23&gt;0,$A132&gt;=$C$23),F132,0)+(1-$I68)*(1-$B$23))</f>
        <v/>
      </c>
      <c r="I132" s="17">
        <f>SUM(H$95:H132)</f>
        <v/>
      </c>
      <c r="J132" s="15">
        <f>$I68+(1-$I68)*$B$24</f>
        <v/>
      </c>
      <c r="K132" s="17">
        <f>K131*J131*IF(AND($C$24&gt;0,$A131&gt;=$C$24),0,1)</f>
        <v/>
      </c>
      <c r="L132" s="17">
        <f>K132*(IF(AND($C$24&gt;0,$A132&gt;=$C$24),J132,0)+(1-$I68)*(1-$B$24))</f>
        <v/>
      </c>
      <c r="M132" s="17">
        <f>SUM(L$95:L132)</f>
        <v/>
      </c>
      <c r="N132" s="15">
        <f>$I68+(1-$I68)*$B$25</f>
        <v/>
      </c>
      <c r="O132" s="17">
        <f>O131*N131*IF(AND($C$25&gt;0,$A131&gt;=$C$25),0,1)</f>
        <v/>
      </c>
      <c r="P132" s="17">
        <f>O132*(IF(AND($C$25&gt;0,$A132&gt;=$C$25),N132,0)+(1-$I68)*(1-$B$25))</f>
        <v/>
      </c>
      <c r="Q132" s="17">
        <f>SUM(P$95:P132)</f>
        <v/>
      </c>
      <c r="R132" s="15">
        <f>$I68+(1-$I68)*$B$26</f>
        <v/>
      </c>
      <c r="S132" s="17">
        <f>S131*R131*IF(AND($C$26&gt;0,$A131&gt;=$C$26),0,1)</f>
        <v/>
      </c>
      <c r="T132" s="17">
        <f>S132*(IF(AND($C$26&gt;0,$A132&gt;=$C$26),R132,0)+(1-$I68)*(1-$B$26))</f>
        <v/>
      </c>
      <c r="U132" s="17">
        <f>SUM(T$95:T132)</f>
        <v/>
      </c>
    </row>
    <row r="133">
      <c r="A133" s="11">
        <f>$A69</f>
        <v/>
      </c>
      <c r="B133" s="15">
        <f>$I69+(1-$I69)*$B$22</f>
        <v/>
      </c>
      <c r="C133" s="17">
        <f>C132*B132*IF(AND($C$22&gt;0,$A132&gt;=$C$22),0,1)</f>
        <v/>
      </c>
      <c r="D133" s="17">
        <f>C133*(IF(AND($C$22&gt;0,$A133&gt;=$C$22),B133,0)+(1-$I69)*(1-$B$22))</f>
        <v/>
      </c>
      <c r="E133" s="17">
        <f>SUM(D$95:D133)</f>
        <v/>
      </c>
      <c r="F133" s="15">
        <f>$I69+(1-$I69)*$B$23</f>
        <v/>
      </c>
      <c r="G133" s="17">
        <f>G132*F132*IF(AND($C$23&gt;0,$A132&gt;=$C$23),0,1)</f>
        <v/>
      </c>
      <c r="H133" s="17">
        <f>G133*(IF(AND($C$23&gt;0,$A133&gt;=$C$23),F133,0)+(1-$I69)*(1-$B$23))</f>
        <v/>
      </c>
      <c r="I133" s="17">
        <f>SUM(H$95:H133)</f>
        <v/>
      </c>
      <c r="J133" s="15">
        <f>$I69+(1-$I69)*$B$24</f>
        <v/>
      </c>
      <c r="K133" s="17">
        <f>K132*J132*IF(AND($C$24&gt;0,$A132&gt;=$C$24),0,1)</f>
        <v/>
      </c>
      <c r="L133" s="17">
        <f>K133*(IF(AND($C$24&gt;0,$A133&gt;=$C$24),J133,0)+(1-$I69)*(1-$B$24))</f>
        <v/>
      </c>
      <c r="M133" s="17">
        <f>SUM(L$95:L133)</f>
        <v/>
      </c>
      <c r="N133" s="15">
        <f>$I69+(1-$I69)*$B$25</f>
        <v/>
      </c>
      <c r="O133" s="17">
        <f>O132*N132*IF(AND($C$25&gt;0,$A132&gt;=$C$25),0,1)</f>
        <v/>
      </c>
      <c r="P133" s="17">
        <f>O133*(IF(AND($C$25&gt;0,$A133&gt;=$C$25),N133,0)+(1-$I69)*(1-$B$25))</f>
        <v/>
      </c>
      <c r="Q133" s="17">
        <f>SUM(P$95:P133)</f>
        <v/>
      </c>
      <c r="R133" s="15">
        <f>$I69+(1-$I69)*$B$26</f>
        <v/>
      </c>
      <c r="S133" s="17">
        <f>S132*R132*IF(AND($C$26&gt;0,$A132&gt;=$C$26),0,1)</f>
        <v/>
      </c>
      <c r="T133" s="17">
        <f>S133*(IF(AND($C$26&gt;0,$A133&gt;=$C$26),R133,0)+(1-$I69)*(1-$B$26))</f>
        <v/>
      </c>
      <c r="U133" s="17">
        <f>SUM(T$95:T133)</f>
        <v/>
      </c>
    </row>
    <row r="134">
      <c r="A134" s="11">
        <f>$A70</f>
        <v/>
      </c>
      <c r="B134" s="15">
        <f>$I70+(1-$I70)*$B$22</f>
        <v/>
      </c>
      <c r="C134" s="17">
        <f>C133*B133*IF(AND($C$22&gt;0,$A133&gt;=$C$22),0,1)</f>
        <v/>
      </c>
      <c r="D134" s="17">
        <f>C134*(IF(AND($C$22&gt;0,$A134&gt;=$C$22),B134,0)+(1-$I70)*(1-$B$22))</f>
        <v/>
      </c>
      <c r="E134" s="17">
        <f>SUM(D$95:D134)</f>
        <v/>
      </c>
      <c r="F134" s="15">
        <f>$I70+(1-$I70)*$B$23</f>
        <v/>
      </c>
      <c r="G134" s="17">
        <f>G133*F133*IF(AND($C$23&gt;0,$A133&gt;=$C$23),0,1)</f>
        <v/>
      </c>
      <c r="H134" s="17">
        <f>G134*(IF(AND($C$23&gt;0,$A134&gt;=$C$23),F134,0)+(1-$I70)*(1-$B$23))</f>
        <v/>
      </c>
      <c r="I134" s="17">
        <f>SUM(H$95:H134)</f>
        <v/>
      </c>
      <c r="J134" s="15">
        <f>$I70+(1-$I70)*$B$24</f>
        <v/>
      </c>
      <c r="K134" s="17">
        <f>K133*J133*IF(AND($C$24&gt;0,$A133&gt;=$C$24),0,1)</f>
        <v/>
      </c>
      <c r="L134" s="17">
        <f>K134*(IF(AND($C$24&gt;0,$A134&gt;=$C$24),J134,0)+(1-$I70)*(1-$B$24))</f>
        <v/>
      </c>
      <c r="M134" s="17">
        <f>SUM(L$95:L134)</f>
        <v/>
      </c>
      <c r="N134" s="15">
        <f>$I70+(1-$I70)*$B$25</f>
        <v/>
      </c>
      <c r="O134" s="17">
        <f>O133*N133*IF(AND($C$25&gt;0,$A133&gt;=$C$25),0,1)</f>
        <v/>
      </c>
      <c r="P134" s="17">
        <f>O134*(IF(AND($C$25&gt;0,$A134&gt;=$C$25),N134,0)+(1-$I70)*(1-$B$25))</f>
        <v/>
      </c>
      <c r="Q134" s="17">
        <f>SUM(P$95:P134)</f>
        <v/>
      </c>
      <c r="R134" s="15">
        <f>$I70+(1-$I70)*$B$26</f>
        <v/>
      </c>
      <c r="S134" s="17">
        <f>S133*R133*IF(AND($C$26&gt;0,$A133&gt;=$C$26),0,1)</f>
        <v/>
      </c>
      <c r="T134" s="17">
        <f>S134*(IF(AND($C$26&gt;0,$A134&gt;=$C$26),R134,0)+(1-$I70)*(1-$B$26))</f>
        <v/>
      </c>
      <c r="U134" s="17">
        <f>SUM(T$95:T134)</f>
        <v/>
      </c>
    </row>
    <row r="135">
      <c r="A135" s="11">
        <f>$A71</f>
        <v/>
      </c>
      <c r="B135" s="15">
        <f>$I71+(1-$I71)*$B$22</f>
        <v/>
      </c>
      <c r="C135" s="17">
        <f>C134*B134*IF(AND($C$22&gt;0,$A134&gt;=$C$22),0,1)</f>
        <v/>
      </c>
      <c r="D135" s="17">
        <f>C135*(IF(AND($C$22&gt;0,$A135&gt;=$C$22),B135,0)+(1-$I71)*(1-$B$22))</f>
        <v/>
      </c>
      <c r="E135" s="17">
        <f>SUM(D$95:D135)</f>
        <v/>
      </c>
      <c r="F135" s="15">
        <f>$I71+(1-$I71)*$B$23</f>
        <v/>
      </c>
      <c r="G135" s="17">
        <f>G134*F134*IF(AND($C$23&gt;0,$A134&gt;=$C$23),0,1)</f>
        <v/>
      </c>
      <c r="H135" s="17">
        <f>G135*(IF(AND($C$23&gt;0,$A135&gt;=$C$23),F135,0)+(1-$I71)*(1-$B$23))</f>
        <v/>
      </c>
      <c r="I135" s="17">
        <f>SUM(H$95:H135)</f>
        <v/>
      </c>
      <c r="J135" s="15">
        <f>$I71+(1-$I71)*$B$24</f>
        <v/>
      </c>
      <c r="K135" s="17">
        <f>K134*J134*IF(AND($C$24&gt;0,$A134&gt;=$C$24),0,1)</f>
        <v/>
      </c>
      <c r="L135" s="17">
        <f>K135*(IF(AND($C$24&gt;0,$A135&gt;=$C$24),J135,0)+(1-$I71)*(1-$B$24))</f>
        <v/>
      </c>
      <c r="M135" s="17">
        <f>SUM(L$95:L135)</f>
        <v/>
      </c>
      <c r="N135" s="15">
        <f>$I71+(1-$I71)*$B$25</f>
        <v/>
      </c>
      <c r="O135" s="17">
        <f>O134*N134*IF(AND($C$25&gt;0,$A134&gt;=$C$25),0,1)</f>
        <v/>
      </c>
      <c r="P135" s="17">
        <f>O135*(IF(AND($C$25&gt;0,$A135&gt;=$C$25),N135,0)+(1-$I71)*(1-$B$25))</f>
        <v/>
      </c>
      <c r="Q135" s="17">
        <f>SUM(P$95:P135)</f>
        <v/>
      </c>
      <c r="R135" s="15">
        <f>$I71+(1-$I71)*$B$26</f>
        <v/>
      </c>
      <c r="S135" s="17">
        <f>S134*R134*IF(AND($C$26&gt;0,$A134&gt;=$C$26),0,1)</f>
        <v/>
      </c>
      <c r="T135" s="17">
        <f>S135*(IF(AND($C$26&gt;0,$A135&gt;=$C$26),R135,0)+(1-$I71)*(1-$B$26))</f>
        <v/>
      </c>
      <c r="U135" s="17">
        <f>SUM(T$95:T135)</f>
        <v/>
      </c>
    </row>
    <row r="136">
      <c r="A136" s="11">
        <f>$A72</f>
        <v/>
      </c>
      <c r="B136" s="15">
        <f>$I72+(1-$I72)*$B$22</f>
        <v/>
      </c>
      <c r="C136" s="17">
        <f>C135*B135*IF(AND($C$22&gt;0,$A135&gt;=$C$22),0,1)</f>
        <v/>
      </c>
      <c r="D136" s="17">
        <f>C136*(IF(AND($C$22&gt;0,$A136&gt;=$C$22),B136,0)+(1-$I72)*(1-$B$22))</f>
        <v/>
      </c>
      <c r="E136" s="17">
        <f>SUM(D$95:D136)</f>
        <v/>
      </c>
      <c r="F136" s="15">
        <f>$I72+(1-$I72)*$B$23</f>
        <v/>
      </c>
      <c r="G136" s="17">
        <f>G135*F135*IF(AND($C$23&gt;0,$A135&gt;=$C$23),0,1)</f>
        <v/>
      </c>
      <c r="H136" s="17">
        <f>G136*(IF(AND($C$23&gt;0,$A136&gt;=$C$23),F136,0)+(1-$I72)*(1-$B$23))</f>
        <v/>
      </c>
      <c r="I136" s="17">
        <f>SUM(H$95:H136)</f>
        <v/>
      </c>
      <c r="J136" s="15">
        <f>$I72+(1-$I72)*$B$24</f>
        <v/>
      </c>
      <c r="K136" s="17">
        <f>K135*J135*IF(AND($C$24&gt;0,$A135&gt;=$C$24),0,1)</f>
        <v/>
      </c>
      <c r="L136" s="17">
        <f>K136*(IF(AND($C$24&gt;0,$A136&gt;=$C$24),J136,0)+(1-$I72)*(1-$B$24))</f>
        <v/>
      </c>
      <c r="M136" s="17">
        <f>SUM(L$95:L136)</f>
        <v/>
      </c>
      <c r="N136" s="15">
        <f>$I72+(1-$I72)*$B$25</f>
        <v/>
      </c>
      <c r="O136" s="17">
        <f>O135*N135*IF(AND($C$25&gt;0,$A135&gt;=$C$25),0,1)</f>
        <v/>
      </c>
      <c r="P136" s="17">
        <f>O136*(IF(AND($C$25&gt;0,$A136&gt;=$C$25),N136,0)+(1-$I72)*(1-$B$25))</f>
        <v/>
      </c>
      <c r="Q136" s="17">
        <f>SUM(P$95:P136)</f>
        <v/>
      </c>
      <c r="R136" s="15">
        <f>$I72+(1-$I72)*$B$26</f>
        <v/>
      </c>
      <c r="S136" s="17">
        <f>S135*R135*IF(AND($C$26&gt;0,$A135&gt;=$C$26),0,1)</f>
        <v/>
      </c>
      <c r="T136" s="17">
        <f>S136*(IF(AND($C$26&gt;0,$A136&gt;=$C$26),R136,0)+(1-$I72)*(1-$B$26))</f>
        <v/>
      </c>
      <c r="U136" s="17">
        <f>SUM(T$95:T136)</f>
        <v/>
      </c>
    </row>
    <row r="137">
      <c r="A137" s="11">
        <f>$A73</f>
        <v/>
      </c>
      <c r="B137" s="15">
        <f>$I73+(1-$I73)*$B$22</f>
        <v/>
      </c>
      <c r="C137" s="17">
        <f>C136*B136*IF(AND($C$22&gt;0,$A136&gt;=$C$22),0,1)</f>
        <v/>
      </c>
      <c r="D137" s="17">
        <f>C137*(IF(AND($C$22&gt;0,$A137&gt;=$C$22),B137,0)+(1-$I73)*(1-$B$22))</f>
        <v/>
      </c>
      <c r="E137" s="17">
        <f>SUM(D$95:D137)</f>
        <v/>
      </c>
      <c r="F137" s="15">
        <f>$I73+(1-$I73)*$B$23</f>
        <v/>
      </c>
      <c r="G137" s="17">
        <f>G136*F136*IF(AND($C$23&gt;0,$A136&gt;=$C$23),0,1)</f>
        <v/>
      </c>
      <c r="H137" s="17">
        <f>G137*(IF(AND($C$23&gt;0,$A137&gt;=$C$23),F137,0)+(1-$I73)*(1-$B$23))</f>
        <v/>
      </c>
      <c r="I137" s="17">
        <f>SUM(H$95:H137)</f>
        <v/>
      </c>
      <c r="J137" s="15">
        <f>$I73+(1-$I73)*$B$24</f>
        <v/>
      </c>
      <c r="K137" s="17">
        <f>K136*J136*IF(AND($C$24&gt;0,$A136&gt;=$C$24),0,1)</f>
        <v/>
      </c>
      <c r="L137" s="17">
        <f>K137*(IF(AND($C$24&gt;0,$A137&gt;=$C$24),J137,0)+(1-$I73)*(1-$B$24))</f>
        <v/>
      </c>
      <c r="M137" s="17">
        <f>SUM(L$95:L137)</f>
        <v/>
      </c>
      <c r="N137" s="15">
        <f>$I73+(1-$I73)*$B$25</f>
        <v/>
      </c>
      <c r="O137" s="17">
        <f>O136*N136*IF(AND($C$25&gt;0,$A136&gt;=$C$25),0,1)</f>
        <v/>
      </c>
      <c r="P137" s="17">
        <f>O137*(IF(AND($C$25&gt;0,$A137&gt;=$C$25),N137,0)+(1-$I73)*(1-$B$25))</f>
        <v/>
      </c>
      <c r="Q137" s="17">
        <f>SUM(P$95:P137)</f>
        <v/>
      </c>
      <c r="R137" s="15">
        <f>$I73+(1-$I73)*$B$26</f>
        <v/>
      </c>
      <c r="S137" s="17">
        <f>S136*R136*IF(AND($C$26&gt;0,$A136&gt;=$C$26),0,1)</f>
        <v/>
      </c>
      <c r="T137" s="17">
        <f>S137*(IF(AND($C$26&gt;0,$A137&gt;=$C$26),R137,0)+(1-$I73)*(1-$B$26))</f>
        <v/>
      </c>
      <c r="U137" s="17">
        <f>SUM(T$95:T137)</f>
        <v/>
      </c>
    </row>
    <row r="138">
      <c r="A138" s="11">
        <f>$A74</f>
        <v/>
      </c>
      <c r="B138" s="15">
        <f>$I74+(1-$I74)*$B$22</f>
        <v/>
      </c>
      <c r="C138" s="17">
        <f>C137*B137*IF(AND($C$22&gt;0,$A137&gt;=$C$22),0,1)</f>
        <v/>
      </c>
      <c r="D138" s="17">
        <f>C138*(IF(AND($C$22&gt;0,$A138&gt;=$C$22),B138,0)+(1-$I74)*(1-$B$22))</f>
        <v/>
      </c>
      <c r="E138" s="17">
        <f>SUM(D$95:D138)</f>
        <v/>
      </c>
      <c r="F138" s="15">
        <f>$I74+(1-$I74)*$B$23</f>
        <v/>
      </c>
      <c r="G138" s="17">
        <f>G137*F137*IF(AND($C$23&gt;0,$A137&gt;=$C$23),0,1)</f>
        <v/>
      </c>
      <c r="H138" s="17">
        <f>G138*(IF(AND($C$23&gt;0,$A138&gt;=$C$23),F138,0)+(1-$I74)*(1-$B$23))</f>
        <v/>
      </c>
      <c r="I138" s="17">
        <f>SUM(H$95:H138)</f>
        <v/>
      </c>
      <c r="J138" s="15">
        <f>$I74+(1-$I74)*$B$24</f>
        <v/>
      </c>
      <c r="K138" s="17">
        <f>K137*J137*IF(AND($C$24&gt;0,$A137&gt;=$C$24),0,1)</f>
        <v/>
      </c>
      <c r="L138" s="17">
        <f>K138*(IF(AND($C$24&gt;0,$A138&gt;=$C$24),J138,0)+(1-$I74)*(1-$B$24))</f>
        <v/>
      </c>
      <c r="M138" s="17">
        <f>SUM(L$95:L138)</f>
        <v/>
      </c>
      <c r="N138" s="15">
        <f>$I74+(1-$I74)*$B$25</f>
        <v/>
      </c>
      <c r="O138" s="17">
        <f>O137*N137*IF(AND($C$25&gt;0,$A137&gt;=$C$25),0,1)</f>
        <v/>
      </c>
      <c r="P138" s="17">
        <f>O138*(IF(AND($C$25&gt;0,$A138&gt;=$C$25),N138,0)+(1-$I74)*(1-$B$25))</f>
        <v/>
      </c>
      <c r="Q138" s="17">
        <f>SUM(P$95:P138)</f>
        <v/>
      </c>
      <c r="R138" s="15">
        <f>$I74+(1-$I74)*$B$26</f>
        <v/>
      </c>
      <c r="S138" s="17">
        <f>S137*R137*IF(AND($C$26&gt;0,$A137&gt;=$C$26),0,1)</f>
        <v/>
      </c>
      <c r="T138" s="17">
        <f>S138*(IF(AND($C$26&gt;0,$A138&gt;=$C$26),R138,0)+(1-$I74)*(1-$B$26))</f>
        <v/>
      </c>
      <c r="U138" s="17">
        <f>SUM(T$95:T138)</f>
        <v/>
      </c>
    </row>
    <row r="139">
      <c r="A139" s="11">
        <f>$A75</f>
        <v/>
      </c>
      <c r="B139" s="15">
        <f>$I75+(1-$I75)*$B$22</f>
        <v/>
      </c>
      <c r="C139" s="17">
        <f>C138*B138*IF(AND($C$22&gt;0,$A138&gt;=$C$22),0,1)</f>
        <v/>
      </c>
      <c r="D139" s="17">
        <f>C139*(IF(AND($C$22&gt;0,$A139&gt;=$C$22),B139,0)+(1-$I75)*(1-$B$22))</f>
        <v/>
      </c>
      <c r="E139" s="17">
        <f>SUM(D$95:D139)</f>
        <v/>
      </c>
      <c r="F139" s="15">
        <f>$I75+(1-$I75)*$B$23</f>
        <v/>
      </c>
      <c r="G139" s="17">
        <f>G138*F138*IF(AND($C$23&gt;0,$A138&gt;=$C$23),0,1)</f>
        <v/>
      </c>
      <c r="H139" s="17">
        <f>G139*(IF(AND($C$23&gt;0,$A139&gt;=$C$23),F139,0)+(1-$I75)*(1-$B$23))</f>
        <v/>
      </c>
      <c r="I139" s="17">
        <f>SUM(H$95:H139)</f>
        <v/>
      </c>
      <c r="J139" s="15">
        <f>$I75+(1-$I75)*$B$24</f>
        <v/>
      </c>
      <c r="K139" s="17">
        <f>K138*J138*IF(AND($C$24&gt;0,$A138&gt;=$C$24),0,1)</f>
        <v/>
      </c>
      <c r="L139" s="17">
        <f>K139*(IF(AND($C$24&gt;0,$A139&gt;=$C$24),J139,0)+(1-$I75)*(1-$B$24))</f>
        <v/>
      </c>
      <c r="M139" s="17">
        <f>SUM(L$95:L139)</f>
        <v/>
      </c>
      <c r="N139" s="15">
        <f>$I75+(1-$I75)*$B$25</f>
        <v/>
      </c>
      <c r="O139" s="17">
        <f>O138*N138*IF(AND($C$25&gt;0,$A138&gt;=$C$25),0,1)</f>
        <v/>
      </c>
      <c r="P139" s="17">
        <f>O139*(IF(AND($C$25&gt;0,$A139&gt;=$C$25),N139,0)+(1-$I75)*(1-$B$25))</f>
        <v/>
      </c>
      <c r="Q139" s="17">
        <f>SUM(P$95:P139)</f>
        <v/>
      </c>
      <c r="R139" s="15">
        <f>$I75+(1-$I75)*$B$26</f>
        <v/>
      </c>
      <c r="S139" s="17">
        <f>S138*R138*IF(AND($C$26&gt;0,$A138&gt;=$C$26),0,1)</f>
        <v/>
      </c>
      <c r="T139" s="17">
        <f>S139*(IF(AND($C$26&gt;0,$A139&gt;=$C$26),R139,0)+(1-$I75)*(1-$B$26))</f>
        <v/>
      </c>
      <c r="U139" s="17">
        <f>SUM(T$95:T139)</f>
        <v/>
      </c>
    </row>
    <row r="140">
      <c r="A140" s="11">
        <f>$A76</f>
        <v/>
      </c>
      <c r="B140" s="15">
        <f>$I76+(1-$I76)*$B$22</f>
        <v/>
      </c>
      <c r="C140" s="17">
        <f>C139*B139*IF(AND($C$22&gt;0,$A139&gt;=$C$22),0,1)</f>
        <v/>
      </c>
      <c r="D140" s="17">
        <f>C140*(IF(AND($C$22&gt;0,$A140&gt;=$C$22),B140,0)+(1-$I76)*(1-$B$22))</f>
        <v/>
      </c>
      <c r="E140" s="17">
        <f>SUM(D$95:D140)</f>
        <v/>
      </c>
      <c r="F140" s="15">
        <f>$I76+(1-$I76)*$B$23</f>
        <v/>
      </c>
      <c r="G140" s="17">
        <f>G139*F139*IF(AND($C$23&gt;0,$A139&gt;=$C$23),0,1)</f>
        <v/>
      </c>
      <c r="H140" s="17">
        <f>G140*(IF(AND($C$23&gt;0,$A140&gt;=$C$23),F140,0)+(1-$I76)*(1-$B$23))</f>
        <v/>
      </c>
      <c r="I140" s="17">
        <f>SUM(H$95:H140)</f>
        <v/>
      </c>
      <c r="J140" s="15">
        <f>$I76+(1-$I76)*$B$24</f>
        <v/>
      </c>
      <c r="K140" s="17">
        <f>K139*J139*IF(AND($C$24&gt;0,$A139&gt;=$C$24),0,1)</f>
        <v/>
      </c>
      <c r="L140" s="17">
        <f>K140*(IF(AND($C$24&gt;0,$A140&gt;=$C$24),J140,0)+(1-$I76)*(1-$B$24))</f>
        <v/>
      </c>
      <c r="M140" s="17">
        <f>SUM(L$95:L140)</f>
        <v/>
      </c>
      <c r="N140" s="15">
        <f>$I76+(1-$I76)*$B$25</f>
        <v/>
      </c>
      <c r="O140" s="17">
        <f>O139*N139*IF(AND($C$25&gt;0,$A139&gt;=$C$25),0,1)</f>
        <v/>
      </c>
      <c r="P140" s="17">
        <f>O140*(IF(AND($C$25&gt;0,$A140&gt;=$C$25),N140,0)+(1-$I76)*(1-$B$25))</f>
        <v/>
      </c>
      <c r="Q140" s="17">
        <f>SUM(P$95:P140)</f>
        <v/>
      </c>
      <c r="R140" s="15">
        <f>$I76+(1-$I76)*$B$26</f>
        <v/>
      </c>
      <c r="S140" s="17">
        <f>S139*R139*IF(AND($C$26&gt;0,$A139&gt;=$C$26),0,1)</f>
        <v/>
      </c>
      <c r="T140" s="17">
        <f>S140*(IF(AND($C$26&gt;0,$A140&gt;=$C$26),R140,0)+(1-$I76)*(1-$B$26))</f>
        <v/>
      </c>
      <c r="U140" s="17">
        <f>SUM(T$95:T140)</f>
        <v/>
      </c>
    </row>
    <row r="141">
      <c r="A141" s="11">
        <f>$A77</f>
        <v/>
      </c>
      <c r="B141" s="15">
        <f>$I77+(1-$I77)*$B$22</f>
        <v/>
      </c>
      <c r="C141" s="17">
        <f>C140*B140*IF(AND($C$22&gt;0,$A140&gt;=$C$22),0,1)</f>
        <v/>
      </c>
      <c r="D141" s="17">
        <f>C141*(IF(AND($C$22&gt;0,$A141&gt;=$C$22),B141,0)+(1-$I77)*(1-$B$22))</f>
        <v/>
      </c>
      <c r="E141" s="17">
        <f>SUM(D$95:D141)</f>
        <v/>
      </c>
      <c r="F141" s="15">
        <f>$I77+(1-$I77)*$B$23</f>
        <v/>
      </c>
      <c r="G141" s="17">
        <f>G140*F140*IF(AND($C$23&gt;0,$A140&gt;=$C$23),0,1)</f>
        <v/>
      </c>
      <c r="H141" s="17">
        <f>G141*(IF(AND($C$23&gt;0,$A141&gt;=$C$23),F141,0)+(1-$I77)*(1-$B$23))</f>
        <v/>
      </c>
      <c r="I141" s="17">
        <f>SUM(H$95:H141)</f>
        <v/>
      </c>
      <c r="J141" s="15">
        <f>$I77+(1-$I77)*$B$24</f>
        <v/>
      </c>
      <c r="K141" s="17">
        <f>K140*J140*IF(AND($C$24&gt;0,$A140&gt;=$C$24),0,1)</f>
        <v/>
      </c>
      <c r="L141" s="17">
        <f>K141*(IF(AND($C$24&gt;0,$A141&gt;=$C$24),J141,0)+(1-$I77)*(1-$B$24))</f>
        <v/>
      </c>
      <c r="M141" s="17">
        <f>SUM(L$95:L141)</f>
        <v/>
      </c>
      <c r="N141" s="15">
        <f>$I77+(1-$I77)*$B$25</f>
        <v/>
      </c>
      <c r="O141" s="17">
        <f>O140*N140*IF(AND($C$25&gt;0,$A140&gt;=$C$25),0,1)</f>
        <v/>
      </c>
      <c r="P141" s="17">
        <f>O141*(IF(AND($C$25&gt;0,$A141&gt;=$C$25),N141,0)+(1-$I77)*(1-$B$25))</f>
        <v/>
      </c>
      <c r="Q141" s="17">
        <f>SUM(P$95:P141)</f>
        <v/>
      </c>
      <c r="R141" s="15">
        <f>$I77+(1-$I77)*$B$26</f>
        <v/>
      </c>
      <c r="S141" s="17">
        <f>S140*R140*IF(AND($C$26&gt;0,$A140&gt;=$C$26),0,1)</f>
        <v/>
      </c>
      <c r="T141" s="17">
        <f>S141*(IF(AND($C$26&gt;0,$A141&gt;=$C$26),R141,0)+(1-$I77)*(1-$B$26))</f>
        <v/>
      </c>
      <c r="U141" s="17">
        <f>SUM(T$95:T141)</f>
        <v/>
      </c>
    </row>
    <row r="142">
      <c r="A142" s="11">
        <f>$A78</f>
        <v/>
      </c>
      <c r="B142" s="15">
        <f>$I78+(1-$I78)*$B$22</f>
        <v/>
      </c>
      <c r="C142" s="17">
        <f>C141*B141*IF(AND($C$22&gt;0,$A141&gt;=$C$22),0,1)</f>
        <v/>
      </c>
      <c r="D142" s="17">
        <f>C142*(IF(AND($C$22&gt;0,$A142&gt;=$C$22),B142,0)+(1-$I78)*(1-$B$22))</f>
        <v/>
      </c>
      <c r="E142" s="17">
        <f>SUM(D$95:D142)</f>
        <v/>
      </c>
      <c r="F142" s="15">
        <f>$I78+(1-$I78)*$B$23</f>
        <v/>
      </c>
      <c r="G142" s="17">
        <f>G141*F141*IF(AND($C$23&gt;0,$A141&gt;=$C$23),0,1)</f>
        <v/>
      </c>
      <c r="H142" s="17">
        <f>G142*(IF(AND($C$23&gt;0,$A142&gt;=$C$23),F142,0)+(1-$I78)*(1-$B$23))</f>
        <v/>
      </c>
      <c r="I142" s="17">
        <f>SUM(H$95:H142)</f>
        <v/>
      </c>
      <c r="J142" s="15">
        <f>$I78+(1-$I78)*$B$24</f>
        <v/>
      </c>
      <c r="K142" s="17">
        <f>K141*J141*IF(AND($C$24&gt;0,$A141&gt;=$C$24),0,1)</f>
        <v/>
      </c>
      <c r="L142" s="17">
        <f>K142*(IF(AND($C$24&gt;0,$A142&gt;=$C$24),J142,0)+(1-$I78)*(1-$B$24))</f>
        <v/>
      </c>
      <c r="M142" s="17">
        <f>SUM(L$95:L142)</f>
        <v/>
      </c>
      <c r="N142" s="15">
        <f>$I78+(1-$I78)*$B$25</f>
        <v/>
      </c>
      <c r="O142" s="17">
        <f>O141*N141*IF(AND($C$25&gt;0,$A141&gt;=$C$25),0,1)</f>
        <v/>
      </c>
      <c r="P142" s="17">
        <f>O142*(IF(AND($C$25&gt;0,$A142&gt;=$C$25),N142,0)+(1-$I78)*(1-$B$25))</f>
        <v/>
      </c>
      <c r="Q142" s="17">
        <f>SUM(P$95:P142)</f>
        <v/>
      </c>
      <c r="R142" s="15">
        <f>$I78+(1-$I78)*$B$26</f>
        <v/>
      </c>
      <c r="S142" s="17">
        <f>S141*R141*IF(AND($C$26&gt;0,$A141&gt;=$C$26),0,1)</f>
        <v/>
      </c>
      <c r="T142" s="17">
        <f>S142*(IF(AND($C$26&gt;0,$A142&gt;=$C$26),R142,0)+(1-$I78)*(1-$B$26))</f>
        <v/>
      </c>
      <c r="U142" s="17">
        <f>SUM(T$95:T142)</f>
        <v/>
      </c>
    </row>
    <row r="143">
      <c r="A143" s="11">
        <f>$A79</f>
        <v/>
      </c>
      <c r="B143" s="15">
        <f>$I79+(1-$I79)*$B$22</f>
        <v/>
      </c>
      <c r="C143" s="17">
        <f>C142*B142*IF(AND($C$22&gt;0,$A142&gt;=$C$22),0,1)</f>
        <v/>
      </c>
      <c r="D143" s="17">
        <f>C143*(IF(AND($C$22&gt;0,$A143&gt;=$C$22),B143,0)+(1-$I79)*(1-$B$22))</f>
        <v/>
      </c>
      <c r="E143" s="17">
        <f>SUM(D$95:D143)</f>
        <v/>
      </c>
      <c r="F143" s="15">
        <f>$I79+(1-$I79)*$B$23</f>
        <v/>
      </c>
      <c r="G143" s="17">
        <f>G142*F142*IF(AND($C$23&gt;0,$A142&gt;=$C$23),0,1)</f>
        <v/>
      </c>
      <c r="H143" s="17">
        <f>G143*(IF(AND($C$23&gt;0,$A143&gt;=$C$23),F143,0)+(1-$I79)*(1-$B$23))</f>
        <v/>
      </c>
      <c r="I143" s="17">
        <f>SUM(H$95:H143)</f>
        <v/>
      </c>
      <c r="J143" s="15">
        <f>$I79+(1-$I79)*$B$24</f>
        <v/>
      </c>
      <c r="K143" s="17">
        <f>K142*J142*IF(AND($C$24&gt;0,$A142&gt;=$C$24),0,1)</f>
        <v/>
      </c>
      <c r="L143" s="17">
        <f>K143*(IF(AND($C$24&gt;0,$A143&gt;=$C$24),J143,0)+(1-$I79)*(1-$B$24))</f>
        <v/>
      </c>
      <c r="M143" s="17">
        <f>SUM(L$95:L143)</f>
        <v/>
      </c>
      <c r="N143" s="15">
        <f>$I79+(1-$I79)*$B$25</f>
        <v/>
      </c>
      <c r="O143" s="17">
        <f>O142*N142*IF(AND($C$25&gt;0,$A142&gt;=$C$25),0,1)</f>
        <v/>
      </c>
      <c r="P143" s="17">
        <f>O143*(IF(AND($C$25&gt;0,$A143&gt;=$C$25),N143,0)+(1-$I79)*(1-$B$25))</f>
        <v/>
      </c>
      <c r="Q143" s="17">
        <f>SUM(P$95:P143)</f>
        <v/>
      </c>
      <c r="R143" s="15">
        <f>$I79+(1-$I79)*$B$26</f>
        <v/>
      </c>
      <c r="S143" s="17">
        <f>S142*R142*IF(AND($C$26&gt;0,$A142&gt;=$C$26),0,1)</f>
        <v/>
      </c>
      <c r="T143" s="17">
        <f>S143*(IF(AND($C$26&gt;0,$A143&gt;=$C$26),R143,0)+(1-$I79)*(1-$B$26))</f>
        <v/>
      </c>
      <c r="U143" s="17">
        <f>SUM(T$95:T143)</f>
        <v/>
      </c>
    </row>
    <row r="144">
      <c r="A144" s="11">
        <f>$A80</f>
        <v/>
      </c>
      <c r="B144" s="15">
        <f>$I80+(1-$I80)*$B$22</f>
        <v/>
      </c>
      <c r="C144" s="17">
        <f>C143*B143*IF(AND($C$22&gt;0,$A143&gt;=$C$22),0,1)</f>
        <v/>
      </c>
      <c r="D144" s="17">
        <f>C144*(IF(AND($C$22&gt;0,$A144&gt;=$C$22),B144,0)+(1-$I80)*(1-$B$22))</f>
        <v/>
      </c>
      <c r="E144" s="17">
        <f>SUM(D$95:D144)</f>
        <v/>
      </c>
      <c r="F144" s="15">
        <f>$I80+(1-$I80)*$B$23</f>
        <v/>
      </c>
      <c r="G144" s="17">
        <f>G143*F143*IF(AND($C$23&gt;0,$A143&gt;=$C$23),0,1)</f>
        <v/>
      </c>
      <c r="H144" s="17">
        <f>G144*(IF(AND($C$23&gt;0,$A144&gt;=$C$23),F144,0)+(1-$I80)*(1-$B$23))</f>
        <v/>
      </c>
      <c r="I144" s="17">
        <f>SUM(H$95:H144)</f>
        <v/>
      </c>
      <c r="J144" s="15">
        <f>$I80+(1-$I80)*$B$24</f>
        <v/>
      </c>
      <c r="K144" s="17">
        <f>K143*J143*IF(AND($C$24&gt;0,$A143&gt;=$C$24),0,1)</f>
        <v/>
      </c>
      <c r="L144" s="17">
        <f>K144*(IF(AND($C$24&gt;0,$A144&gt;=$C$24),J144,0)+(1-$I80)*(1-$B$24))</f>
        <v/>
      </c>
      <c r="M144" s="17">
        <f>SUM(L$95:L144)</f>
        <v/>
      </c>
      <c r="N144" s="15">
        <f>$I80+(1-$I80)*$B$25</f>
        <v/>
      </c>
      <c r="O144" s="17">
        <f>O143*N143*IF(AND($C$25&gt;0,$A143&gt;=$C$25),0,1)</f>
        <v/>
      </c>
      <c r="P144" s="17">
        <f>O144*(IF(AND($C$25&gt;0,$A144&gt;=$C$25),N144,0)+(1-$I80)*(1-$B$25))</f>
        <v/>
      </c>
      <c r="Q144" s="17">
        <f>SUM(P$95:P144)</f>
        <v/>
      </c>
      <c r="R144" s="15">
        <f>$I80+(1-$I80)*$B$26</f>
        <v/>
      </c>
      <c r="S144" s="17">
        <f>S143*R143*IF(AND($C$26&gt;0,$A143&gt;=$C$26),0,1)</f>
        <v/>
      </c>
      <c r="T144" s="17">
        <f>S144*(IF(AND($C$26&gt;0,$A144&gt;=$C$26),R144,0)+(1-$I80)*(1-$B$26))</f>
        <v/>
      </c>
      <c r="U144" s="17">
        <f>SUM(T$95:T144)</f>
        <v/>
      </c>
    </row>
    <row r="145">
      <c r="A145" s="11">
        <f>$A81</f>
        <v/>
      </c>
      <c r="B145" s="15">
        <f>$I81+(1-$I81)*$B$22</f>
        <v/>
      </c>
      <c r="C145" s="17">
        <f>C144*B144*IF(AND($C$22&gt;0,$A144&gt;=$C$22),0,1)</f>
        <v/>
      </c>
      <c r="D145" s="17">
        <f>C145*(IF(AND($C$22&gt;0,$A145&gt;=$C$22),B145,0)+(1-$I81)*(1-$B$22))</f>
        <v/>
      </c>
      <c r="E145" s="17">
        <f>SUM(D$95:D145)</f>
        <v/>
      </c>
      <c r="F145" s="15">
        <f>$I81+(1-$I81)*$B$23</f>
        <v/>
      </c>
      <c r="G145" s="17">
        <f>G144*F144*IF(AND($C$23&gt;0,$A144&gt;=$C$23),0,1)</f>
        <v/>
      </c>
      <c r="H145" s="17">
        <f>G145*(IF(AND($C$23&gt;0,$A145&gt;=$C$23),F145,0)+(1-$I81)*(1-$B$23))</f>
        <v/>
      </c>
      <c r="I145" s="17">
        <f>SUM(H$95:H145)</f>
        <v/>
      </c>
      <c r="J145" s="15">
        <f>$I81+(1-$I81)*$B$24</f>
        <v/>
      </c>
      <c r="K145" s="17">
        <f>K144*J144*IF(AND($C$24&gt;0,$A144&gt;=$C$24),0,1)</f>
        <v/>
      </c>
      <c r="L145" s="17">
        <f>K145*(IF(AND($C$24&gt;0,$A145&gt;=$C$24),J145,0)+(1-$I81)*(1-$B$24))</f>
        <v/>
      </c>
      <c r="M145" s="17">
        <f>SUM(L$95:L145)</f>
        <v/>
      </c>
      <c r="N145" s="15">
        <f>$I81+(1-$I81)*$B$25</f>
        <v/>
      </c>
      <c r="O145" s="17">
        <f>O144*N144*IF(AND($C$25&gt;0,$A144&gt;=$C$25),0,1)</f>
        <v/>
      </c>
      <c r="P145" s="17">
        <f>O145*(IF(AND($C$25&gt;0,$A145&gt;=$C$25),N145,0)+(1-$I81)*(1-$B$25))</f>
        <v/>
      </c>
      <c r="Q145" s="17">
        <f>SUM(P$95:P145)</f>
        <v/>
      </c>
      <c r="R145" s="15">
        <f>$I81+(1-$I81)*$B$26</f>
        <v/>
      </c>
      <c r="S145" s="17">
        <f>S144*R144*IF(AND($C$26&gt;0,$A144&gt;=$C$26),0,1)</f>
        <v/>
      </c>
      <c r="T145" s="17">
        <f>S145*(IF(AND($C$26&gt;0,$A145&gt;=$C$26),R145,0)+(1-$I81)*(1-$B$26))</f>
        <v/>
      </c>
      <c r="U145" s="17">
        <f>SUM(T$95:T145)</f>
        <v/>
      </c>
    </row>
    <row r="146">
      <c r="A146" s="11">
        <f>$A82</f>
        <v/>
      </c>
      <c r="B146" s="15">
        <f>$I82+(1-$I82)*$B$22</f>
        <v/>
      </c>
      <c r="C146" s="17">
        <f>C145*B145*IF(AND($C$22&gt;0,$A145&gt;=$C$22),0,1)</f>
        <v/>
      </c>
      <c r="D146" s="17">
        <f>C146*(IF(AND($C$22&gt;0,$A146&gt;=$C$22),B146,0)+(1-$I82)*(1-$B$22))</f>
        <v/>
      </c>
      <c r="E146" s="17">
        <f>SUM(D$95:D146)</f>
        <v/>
      </c>
      <c r="F146" s="15">
        <f>$I82+(1-$I82)*$B$23</f>
        <v/>
      </c>
      <c r="G146" s="17">
        <f>G145*F145*IF(AND($C$23&gt;0,$A145&gt;=$C$23),0,1)</f>
        <v/>
      </c>
      <c r="H146" s="17">
        <f>G146*(IF(AND($C$23&gt;0,$A146&gt;=$C$23),F146,0)+(1-$I82)*(1-$B$23))</f>
        <v/>
      </c>
      <c r="I146" s="17">
        <f>SUM(H$95:H146)</f>
        <v/>
      </c>
      <c r="J146" s="15">
        <f>$I82+(1-$I82)*$B$24</f>
        <v/>
      </c>
      <c r="K146" s="17">
        <f>K145*J145*IF(AND($C$24&gt;0,$A145&gt;=$C$24),0,1)</f>
        <v/>
      </c>
      <c r="L146" s="17">
        <f>K146*(IF(AND($C$24&gt;0,$A146&gt;=$C$24),J146,0)+(1-$I82)*(1-$B$24))</f>
        <v/>
      </c>
      <c r="M146" s="17">
        <f>SUM(L$95:L146)</f>
        <v/>
      </c>
      <c r="N146" s="15">
        <f>$I82+(1-$I82)*$B$25</f>
        <v/>
      </c>
      <c r="O146" s="17">
        <f>O145*N145*IF(AND($C$25&gt;0,$A145&gt;=$C$25),0,1)</f>
        <v/>
      </c>
      <c r="P146" s="17">
        <f>O146*(IF(AND($C$25&gt;0,$A146&gt;=$C$25),N146,0)+(1-$I82)*(1-$B$25))</f>
        <v/>
      </c>
      <c r="Q146" s="17">
        <f>SUM(P$95:P146)</f>
        <v/>
      </c>
      <c r="R146" s="15">
        <f>$I82+(1-$I82)*$B$26</f>
        <v/>
      </c>
      <c r="S146" s="17">
        <f>S145*R145*IF(AND($C$26&gt;0,$A145&gt;=$C$26),0,1)</f>
        <v/>
      </c>
      <c r="T146" s="17">
        <f>S146*(IF(AND($C$26&gt;0,$A146&gt;=$C$26),R146,0)+(1-$I82)*(1-$B$26))</f>
        <v/>
      </c>
      <c r="U146" s="17">
        <f>SUM(T$95:T146)</f>
        <v/>
      </c>
    </row>
    <row r="147">
      <c r="A147" s="11">
        <f>$A83</f>
        <v/>
      </c>
      <c r="B147" s="15">
        <f>$I83+(1-$I83)*$B$22</f>
        <v/>
      </c>
      <c r="C147" s="17">
        <f>C146*B146*IF(AND($C$22&gt;0,$A146&gt;=$C$22),0,1)</f>
        <v/>
      </c>
      <c r="D147" s="17">
        <f>C147*(IF(AND($C$22&gt;0,$A147&gt;=$C$22),B147,0)+(1-$I83)*(1-$B$22))</f>
        <v/>
      </c>
      <c r="E147" s="17">
        <f>SUM(D$95:D147)</f>
        <v/>
      </c>
      <c r="F147" s="15">
        <f>$I83+(1-$I83)*$B$23</f>
        <v/>
      </c>
      <c r="G147" s="17">
        <f>G146*F146*IF(AND($C$23&gt;0,$A146&gt;=$C$23),0,1)</f>
        <v/>
      </c>
      <c r="H147" s="17">
        <f>G147*(IF(AND($C$23&gt;0,$A147&gt;=$C$23),F147,0)+(1-$I83)*(1-$B$23))</f>
        <v/>
      </c>
      <c r="I147" s="17">
        <f>SUM(H$95:H147)</f>
        <v/>
      </c>
      <c r="J147" s="15">
        <f>$I83+(1-$I83)*$B$24</f>
        <v/>
      </c>
      <c r="K147" s="17">
        <f>K146*J146*IF(AND($C$24&gt;0,$A146&gt;=$C$24),0,1)</f>
        <v/>
      </c>
      <c r="L147" s="17">
        <f>K147*(IF(AND($C$24&gt;0,$A147&gt;=$C$24),J147,0)+(1-$I83)*(1-$B$24))</f>
        <v/>
      </c>
      <c r="M147" s="17">
        <f>SUM(L$95:L147)</f>
        <v/>
      </c>
      <c r="N147" s="15">
        <f>$I83+(1-$I83)*$B$25</f>
        <v/>
      </c>
      <c r="O147" s="17">
        <f>O146*N146*IF(AND($C$25&gt;0,$A146&gt;=$C$25),0,1)</f>
        <v/>
      </c>
      <c r="P147" s="17">
        <f>O147*(IF(AND($C$25&gt;0,$A147&gt;=$C$25),N147,0)+(1-$I83)*(1-$B$25))</f>
        <v/>
      </c>
      <c r="Q147" s="17">
        <f>SUM(P$95:P147)</f>
        <v/>
      </c>
      <c r="R147" s="15">
        <f>$I83+(1-$I83)*$B$26</f>
        <v/>
      </c>
      <c r="S147" s="17">
        <f>S146*R146*IF(AND($C$26&gt;0,$A146&gt;=$C$26),0,1)</f>
        <v/>
      </c>
      <c r="T147" s="17">
        <f>S147*(IF(AND($C$26&gt;0,$A147&gt;=$C$26),R147,0)+(1-$I83)*(1-$B$26))</f>
        <v/>
      </c>
      <c r="U147" s="17">
        <f>SUM(T$95:T147)</f>
        <v/>
      </c>
    </row>
    <row r="148">
      <c r="A148" s="11">
        <f>$A84</f>
        <v/>
      </c>
      <c r="B148" s="15">
        <f>$I84+(1-$I84)*$B$22</f>
        <v/>
      </c>
      <c r="C148" s="17">
        <f>C147*B147*IF(AND($C$22&gt;0,$A147&gt;=$C$22),0,1)</f>
        <v/>
      </c>
      <c r="D148" s="17">
        <f>C148*(IF(AND($C$22&gt;0,$A148&gt;=$C$22),B148,0)+(1-$I84)*(1-$B$22))</f>
        <v/>
      </c>
      <c r="E148" s="17">
        <f>SUM(D$95:D148)</f>
        <v/>
      </c>
      <c r="F148" s="15">
        <f>$I84+(1-$I84)*$B$23</f>
        <v/>
      </c>
      <c r="G148" s="17">
        <f>G147*F147*IF(AND($C$23&gt;0,$A147&gt;=$C$23),0,1)</f>
        <v/>
      </c>
      <c r="H148" s="17">
        <f>G148*(IF(AND($C$23&gt;0,$A148&gt;=$C$23),F148,0)+(1-$I84)*(1-$B$23))</f>
        <v/>
      </c>
      <c r="I148" s="17">
        <f>SUM(H$95:H148)</f>
        <v/>
      </c>
      <c r="J148" s="15">
        <f>$I84+(1-$I84)*$B$24</f>
        <v/>
      </c>
      <c r="K148" s="17">
        <f>K147*J147*IF(AND($C$24&gt;0,$A147&gt;=$C$24),0,1)</f>
        <v/>
      </c>
      <c r="L148" s="17">
        <f>K148*(IF(AND($C$24&gt;0,$A148&gt;=$C$24),J148,0)+(1-$I84)*(1-$B$24))</f>
        <v/>
      </c>
      <c r="M148" s="17">
        <f>SUM(L$95:L148)</f>
        <v/>
      </c>
      <c r="N148" s="15">
        <f>$I84+(1-$I84)*$B$25</f>
        <v/>
      </c>
      <c r="O148" s="17">
        <f>O147*N147*IF(AND($C$25&gt;0,$A147&gt;=$C$25),0,1)</f>
        <v/>
      </c>
      <c r="P148" s="17">
        <f>O148*(IF(AND($C$25&gt;0,$A148&gt;=$C$25),N148,0)+(1-$I84)*(1-$B$25))</f>
        <v/>
      </c>
      <c r="Q148" s="17">
        <f>SUM(P$95:P148)</f>
        <v/>
      </c>
      <c r="R148" s="15">
        <f>$I84+(1-$I84)*$B$26</f>
        <v/>
      </c>
      <c r="S148" s="17">
        <f>S147*R147*IF(AND($C$26&gt;0,$A147&gt;=$C$26),0,1)</f>
        <v/>
      </c>
      <c r="T148" s="17">
        <f>S148*(IF(AND($C$26&gt;0,$A148&gt;=$C$26),R148,0)+(1-$I84)*(1-$B$26))</f>
        <v/>
      </c>
      <c r="U148" s="17">
        <f>SUM(T$95:T148)</f>
        <v/>
      </c>
    </row>
    <row r="149">
      <c r="A149" s="11">
        <f>$A85</f>
        <v/>
      </c>
      <c r="B149" s="15">
        <f>$I85+(1-$I85)*$B$22</f>
        <v/>
      </c>
      <c r="C149" s="17">
        <f>C148*B148*IF(AND($C$22&gt;0,$A148&gt;=$C$22),0,1)</f>
        <v/>
      </c>
      <c r="D149" s="17">
        <f>C149*(IF(AND($C$22&gt;0,$A149&gt;=$C$22),B149,0)+(1-$I85)*(1-$B$22))</f>
        <v/>
      </c>
      <c r="E149" s="17">
        <f>SUM(D$95:D149)</f>
        <v/>
      </c>
      <c r="F149" s="15">
        <f>$I85+(1-$I85)*$B$23</f>
        <v/>
      </c>
      <c r="G149" s="17">
        <f>G148*F148*IF(AND($C$23&gt;0,$A148&gt;=$C$23),0,1)</f>
        <v/>
      </c>
      <c r="H149" s="17">
        <f>G149*(IF(AND($C$23&gt;0,$A149&gt;=$C$23),F149,0)+(1-$I85)*(1-$B$23))</f>
        <v/>
      </c>
      <c r="I149" s="17">
        <f>SUM(H$95:H149)</f>
        <v/>
      </c>
      <c r="J149" s="15">
        <f>$I85+(1-$I85)*$B$24</f>
        <v/>
      </c>
      <c r="K149" s="17">
        <f>K148*J148*IF(AND($C$24&gt;0,$A148&gt;=$C$24),0,1)</f>
        <v/>
      </c>
      <c r="L149" s="17">
        <f>K149*(IF(AND($C$24&gt;0,$A149&gt;=$C$24),J149,0)+(1-$I85)*(1-$B$24))</f>
        <v/>
      </c>
      <c r="M149" s="17">
        <f>SUM(L$95:L149)</f>
        <v/>
      </c>
      <c r="N149" s="15">
        <f>$I85+(1-$I85)*$B$25</f>
        <v/>
      </c>
      <c r="O149" s="17">
        <f>O148*N148*IF(AND($C$25&gt;0,$A148&gt;=$C$25),0,1)</f>
        <v/>
      </c>
      <c r="P149" s="17">
        <f>O149*(IF(AND($C$25&gt;0,$A149&gt;=$C$25),N149,0)+(1-$I85)*(1-$B$25))</f>
        <v/>
      </c>
      <c r="Q149" s="17">
        <f>SUM(P$95:P149)</f>
        <v/>
      </c>
      <c r="R149" s="15">
        <f>$I85+(1-$I85)*$B$26</f>
        <v/>
      </c>
      <c r="S149" s="17">
        <f>S148*R148*IF(AND($C$26&gt;0,$A148&gt;=$C$26),0,1)</f>
        <v/>
      </c>
      <c r="T149" s="17">
        <f>S149*(IF(AND($C$26&gt;0,$A149&gt;=$C$26),R149,0)+(1-$I85)*(1-$B$26))</f>
        <v/>
      </c>
      <c r="U149" s="17">
        <f>SUM(T$95:T149)</f>
        <v/>
      </c>
    </row>
    <row r="150">
      <c r="A150" s="11">
        <f>$A86</f>
        <v/>
      </c>
      <c r="B150" s="15">
        <f>$I86+(1-$I86)*$B$22</f>
        <v/>
      </c>
      <c r="C150" s="17">
        <f>C149*B149*IF(AND($C$22&gt;0,$A149&gt;=$C$22),0,1)</f>
        <v/>
      </c>
      <c r="D150" s="17">
        <f>C150*(IF(AND($C$22&gt;0,$A150&gt;=$C$22),B150,0)+(1-$I86)*(1-$B$22))</f>
        <v/>
      </c>
      <c r="E150" s="17">
        <f>SUM(D$95:D150)</f>
        <v/>
      </c>
      <c r="F150" s="15">
        <f>$I86+(1-$I86)*$B$23</f>
        <v/>
      </c>
      <c r="G150" s="17">
        <f>G149*F149*IF(AND($C$23&gt;0,$A149&gt;=$C$23),0,1)</f>
        <v/>
      </c>
      <c r="H150" s="17">
        <f>G150*(IF(AND($C$23&gt;0,$A150&gt;=$C$23),F150,0)+(1-$I86)*(1-$B$23))</f>
        <v/>
      </c>
      <c r="I150" s="17">
        <f>SUM(H$95:H150)</f>
        <v/>
      </c>
      <c r="J150" s="15">
        <f>$I86+(1-$I86)*$B$24</f>
        <v/>
      </c>
      <c r="K150" s="17">
        <f>K149*J149*IF(AND($C$24&gt;0,$A149&gt;=$C$24),0,1)</f>
        <v/>
      </c>
      <c r="L150" s="17">
        <f>K150*(IF(AND($C$24&gt;0,$A150&gt;=$C$24),J150,0)+(1-$I86)*(1-$B$24))</f>
        <v/>
      </c>
      <c r="M150" s="17">
        <f>SUM(L$95:L150)</f>
        <v/>
      </c>
      <c r="N150" s="15">
        <f>$I86+(1-$I86)*$B$25</f>
        <v/>
      </c>
      <c r="O150" s="17">
        <f>O149*N149*IF(AND($C$25&gt;0,$A149&gt;=$C$25),0,1)</f>
        <v/>
      </c>
      <c r="P150" s="17">
        <f>O150*(IF(AND($C$25&gt;0,$A150&gt;=$C$25),N150,0)+(1-$I86)*(1-$B$25))</f>
        <v/>
      </c>
      <c r="Q150" s="17">
        <f>SUM(P$95:P150)</f>
        <v/>
      </c>
      <c r="R150" s="15">
        <f>$I86+(1-$I86)*$B$26</f>
        <v/>
      </c>
      <c r="S150" s="17">
        <f>S149*R149*IF(AND($C$26&gt;0,$A149&gt;=$C$26),0,1)</f>
        <v/>
      </c>
      <c r="T150" s="17">
        <f>S150*(IF(AND($C$26&gt;0,$A150&gt;=$C$26),R150,0)+(1-$I86)*(1-$B$26))</f>
        <v/>
      </c>
      <c r="U150" s="17">
        <f>SUM(T$95:T150)</f>
        <v/>
      </c>
    </row>
    <row r="151">
      <c r="A151" s="11">
        <f>$A87</f>
        <v/>
      </c>
      <c r="B151" s="15">
        <f>$I87+(1-$I87)*$B$22</f>
        <v/>
      </c>
      <c r="C151" s="17">
        <f>C150*B150*IF(AND($C$22&gt;0,$A150&gt;=$C$22),0,1)</f>
        <v/>
      </c>
      <c r="D151" s="17">
        <f>C151*(IF(AND($C$22&gt;0,$A151&gt;=$C$22),B151,0)+(1-$I87)*(1-$B$22))</f>
        <v/>
      </c>
      <c r="E151" s="17">
        <f>SUM(D$95:D151)</f>
        <v/>
      </c>
      <c r="F151" s="15">
        <f>$I87+(1-$I87)*$B$23</f>
        <v/>
      </c>
      <c r="G151" s="17">
        <f>G150*F150*IF(AND($C$23&gt;0,$A150&gt;=$C$23),0,1)</f>
        <v/>
      </c>
      <c r="H151" s="17">
        <f>G151*(IF(AND($C$23&gt;0,$A151&gt;=$C$23),F151,0)+(1-$I87)*(1-$B$23))</f>
        <v/>
      </c>
      <c r="I151" s="17">
        <f>SUM(H$95:H151)</f>
        <v/>
      </c>
      <c r="J151" s="15">
        <f>$I87+(1-$I87)*$B$24</f>
        <v/>
      </c>
      <c r="K151" s="17">
        <f>K150*J150*IF(AND($C$24&gt;0,$A150&gt;=$C$24),0,1)</f>
        <v/>
      </c>
      <c r="L151" s="17">
        <f>K151*(IF(AND($C$24&gt;0,$A151&gt;=$C$24),J151,0)+(1-$I87)*(1-$B$24))</f>
        <v/>
      </c>
      <c r="M151" s="17">
        <f>SUM(L$95:L151)</f>
        <v/>
      </c>
      <c r="N151" s="15">
        <f>$I87+(1-$I87)*$B$25</f>
        <v/>
      </c>
      <c r="O151" s="17">
        <f>O150*N150*IF(AND($C$25&gt;0,$A150&gt;=$C$25),0,1)</f>
        <v/>
      </c>
      <c r="P151" s="17">
        <f>O151*(IF(AND($C$25&gt;0,$A151&gt;=$C$25),N151,0)+(1-$I87)*(1-$B$25))</f>
        <v/>
      </c>
      <c r="Q151" s="17">
        <f>SUM(P$95:P151)</f>
        <v/>
      </c>
      <c r="R151" s="15">
        <f>$I87+(1-$I87)*$B$26</f>
        <v/>
      </c>
      <c r="S151" s="17">
        <f>S150*R150*IF(AND($C$26&gt;0,$A150&gt;=$C$26),0,1)</f>
        <v/>
      </c>
      <c r="T151" s="17">
        <f>S151*(IF(AND($C$26&gt;0,$A151&gt;=$C$26),R151,0)+(1-$I87)*(1-$B$26))</f>
        <v/>
      </c>
      <c r="U151" s="17">
        <f>SUM(T$95:T151)</f>
        <v/>
      </c>
    </row>
    <row r="152">
      <c r="A152" s="11">
        <f>$A88</f>
        <v/>
      </c>
      <c r="B152" s="15">
        <f>$I88+(1-$I88)*$B$22</f>
        <v/>
      </c>
      <c r="C152" s="17">
        <f>C151*B151*IF(AND($C$22&gt;0,$A151&gt;=$C$22),0,1)</f>
        <v/>
      </c>
      <c r="D152" s="17">
        <f>C152*(IF(AND($C$22&gt;0,$A152&gt;=$C$22),B152,0)+(1-$I88)*(1-$B$22))</f>
        <v/>
      </c>
      <c r="E152" s="17">
        <f>SUM(D$95:D152)</f>
        <v/>
      </c>
      <c r="F152" s="15">
        <f>$I88+(1-$I88)*$B$23</f>
        <v/>
      </c>
      <c r="G152" s="17">
        <f>G151*F151*IF(AND($C$23&gt;0,$A151&gt;=$C$23),0,1)</f>
        <v/>
      </c>
      <c r="H152" s="17">
        <f>G152*(IF(AND($C$23&gt;0,$A152&gt;=$C$23),F152,0)+(1-$I88)*(1-$B$23))</f>
        <v/>
      </c>
      <c r="I152" s="17">
        <f>SUM(H$95:H152)</f>
        <v/>
      </c>
      <c r="J152" s="15">
        <f>$I88+(1-$I88)*$B$24</f>
        <v/>
      </c>
      <c r="K152" s="17">
        <f>K151*J151*IF(AND($C$24&gt;0,$A151&gt;=$C$24),0,1)</f>
        <v/>
      </c>
      <c r="L152" s="17">
        <f>K152*(IF(AND($C$24&gt;0,$A152&gt;=$C$24),J152,0)+(1-$I88)*(1-$B$24))</f>
        <v/>
      </c>
      <c r="M152" s="17">
        <f>SUM(L$95:L152)</f>
        <v/>
      </c>
      <c r="N152" s="15">
        <f>$I88+(1-$I88)*$B$25</f>
        <v/>
      </c>
      <c r="O152" s="17">
        <f>O151*N151*IF(AND($C$25&gt;0,$A151&gt;=$C$25),0,1)</f>
        <v/>
      </c>
      <c r="P152" s="17">
        <f>O152*(IF(AND($C$25&gt;0,$A152&gt;=$C$25),N152,0)+(1-$I88)*(1-$B$25))</f>
        <v/>
      </c>
      <c r="Q152" s="17">
        <f>SUM(P$95:P152)</f>
        <v/>
      </c>
      <c r="R152" s="15">
        <f>$I88+(1-$I88)*$B$26</f>
        <v/>
      </c>
      <c r="S152" s="17">
        <f>S151*R151*IF(AND($C$26&gt;0,$A151&gt;=$C$26),0,1)</f>
        <v/>
      </c>
      <c r="T152" s="17">
        <f>S152*(IF(AND($C$26&gt;0,$A152&gt;=$C$26),R152,0)+(1-$I88)*(1-$B$26))</f>
        <v/>
      </c>
      <c r="U152" s="17">
        <f>SUM(T$95:T152)</f>
        <v/>
      </c>
    </row>
    <row r="153">
      <c r="A153" s="11">
        <f>$A89</f>
        <v/>
      </c>
      <c r="B153" s="15">
        <f>$I89+(1-$I89)*$B$22</f>
        <v/>
      </c>
      <c r="C153" s="17">
        <f>C152*B152*IF(AND($C$22&gt;0,$A152&gt;=$C$22),0,1)</f>
        <v/>
      </c>
      <c r="D153" s="17">
        <f>C153*(IF(AND($C$22&gt;0,$A153&gt;=$C$22),B153,0)+(1-$I89)*(1-$B$22))</f>
        <v/>
      </c>
      <c r="E153" s="17">
        <f>SUM(D$95:D153)</f>
        <v/>
      </c>
      <c r="F153" s="15">
        <f>$I89+(1-$I89)*$B$23</f>
        <v/>
      </c>
      <c r="G153" s="17">
        <f>G152*F152*IF(AND($C$23&gt;0,$A152&gt;=$C$23),0,1)</f>
        <v/>
      </c>
      <c r="H153" s="17">
        <f>G153*(IF(AND($C$23&gt;0,$A153&gt;=$C$23),F153,0)+(1-$I89)*(1-$B$23))</f>
        <v/>
      </c>
      <c r="I153" s="17">
        <f>SUM(H$95:H153)</f>
        <v/>
      </c>
      <c r="J153" s="15">
        <f>$I89+(1-$I89)*$B$24</f>
        <v/>
      </c>
      <c r="K153" s="17">
        <f>K152*J152*IF(AND($C$24&gt;0,$A152&gt;=$C$24),0,1)</f>
        <v/>
      </c>
      <c r="L153" s="17">
        <f>K153*(IF(AND($C$24&gt;0,$A153&gt;=$C$24),J153,0)+(1-$I89)*(1-$B$24))</f>
        <v/>
      </c>
      <c r="M153" s="17">
        <f>SUM(L$95:L153)</f>
        <v/>
      </c>
      <c r="N153" s="15">
        <f>$I89+(1-$I89)*$B$25</f>
        <v/>
      </c>
      <c r="O153" s="17">
        <f>O152*N152*IF(AND($C$25&gt;0,$A152&gt;=$C$25),0,1)</f>
        <v/>
      </c>
      <c r="P153" s="17">
        <f>O153*(IF(AND($C$25&gt;0,$A153&gt;=$C$25),N153,0)+(1-$I89)*(1-$B$25))</f>
        <v/>
      </c>
      <c r="Q153" s="17">
        <f>SUM(P$95:P153)</f>
        <v/>
      </c>
      <c r="R153" s="15">
        <f>$I89+(1-$I89)*$B$26</f>
        <v/>
      </c>
      <c r="S153" s="17">
        <f>S152*R152*IF(AND($C$26&gt;0,$A152&gt;=$C$26),0,1)</f>
        <v/>
      </c>
      <c r="T153" s="17">
        <f>S153*(IF(AND($C$26&gt;0,$A153&gt;=$C$26),R153,0)+(1-$I89)*(1-$B$26))</f>
        <v/>
      </c>
      <c r="U153" s="17">
        <f>SUM(T$95:T153)</f>
        <v/>
      </c>
    </row>
    <row r="154">
      <c r="A154" s="11">
        <f>$A90</f>
        <v/>
      </c>
      <c r="B154" s="15">
        <f>$I90+(1-$I90)*$B$22</f>
        <v/>
      </c>
      <c r="C154" s="17">
        <f>C153*B153*IF(AND($C$22&gt;0,$A153&gt;=$C$22),0,1)</f>
        <v/>
      </c>
      <c r="D154" s="17">
        <f>C154*(IF(AND($C$22&gt;0,$A154&gt;=$C$22),B154,0)+(1-$I90)*(1-$B$22))</f>
        <v/>
      </c>
      <c r="E154" s="17">
        <f>SUM(D$95:D154)</f>
        <v/>
      </c>
      <c r="F154" s="15">
        <f>$I90+(1-$I90)*$B$23</f>
        <v/>
      </c>
      <c r="G154" s="17">
        <f>G153*F153*IF(AND($C$23&gt;0,$A153&gt;=$C$23),0,1)</f>
        <v/>
      </c>
      <c r="H154" s="17">
        <f>G154*(IF(AND($C$23&gt;0,$A154&gt;=$C$23),F154,0)+(1-$I90)*(1-$B$23))</f>
        <v/>
      </c>
      <c r="I154" s="17">
        <f>SUM(H$95:H154)</f>
        <v/>
      </c>
      <c r="J154" s="15">
        <f>$I90+(1-$I90)*$B$24</f>
        <v/>
      </c>
      <c r="K154" s="17">
        <f>K153*J153*IF(AND($C$24&gt;0,$A153&gt;=$C$24),0,1)</f>
        <v/>
      </c>
      <c r="L154" s="17">
        <f>K154*(IF(AND($C$24&gt;0,$A154&gt;=$C$24),J154,0)+(1-$I90)*(1-$B$24))</f>
        <v/>
      </c>
      <c r="M154" s="17">
        <f>SUM(L$95:L154)</f>
        <v/>
      </c>
      <c r="N154" s="15">
        <f>$I90+(1-$I90)*$B$25</f>
        <v/>
      </c>
      <c r="O154" s="17">
        <f>O153*N153*IF(AND($C$25&gt;0,$A153&gt;=$C$25),0,1)</f>
        <v/>
      </c>
      <c r="P154" s="17">
        <f>O154*(IF(AND($C$25&gt;0,$A154&gt;=$C$25),N154,0)+(1-$I90)*(1-$B$25))</f>
        <v/>
      </c>
      <c r="Q154" s="17">
        <f>SUM(P$95:P154)</f>
        <v/>
      </c>
      <c r="R154" s="15">
        <f>$I90+(1-$I90)*$B$26</f>
        <v/>
      </c>
      <c r="S154" s="17">
        <f>S153*R153*IF(AND($C$26&gt;0,$A153&gt;=$C$26),0,1)</f>
        <v/>
      </c>
      <c r="T154" s="17">
        <f>S154*(IF(AND($C$26&gt;0,$A154&gt;=$C$26),R154,0)+(1-$I90)*(1-$B$26))</f>
        <v/>
      </c>
      <c r="U154" s="17">
        <f>SUM(T$95:T154)</f>
        <v/>
      </c>
    </row>
    <row r="156">
      <c r="A156" s="7" t="inlineStr">
        <is>
          <t>RUN EXPECTATION BY PLAYER TYPE (derived)</t>
        </is>
      </c>
      <c r="B156" s="8" t="n"/>
      <c r="C156" s="8" t="n"/>
      <c r="D156" s="8" t="n"/>
      <c r="E156" s="8" t="n"/>
      <c r="F156" s="8" t="n"/>
    </row>
    <row r="157">
      <c r="A157" s="3" t="inlineStr">
        <is>
          <t>Rewards banked in a run are LOST on an un-continued Pig (deck p7), so "pays anything" is not the same as "reaches a stage". A segment that never cashes out and never continues walks away with nothing almost every run, however rich the ladder is.</t>
        </is>
      </c>
    </row>
    <row r="158">
      <c r="A158" s="9" t="inlineStr">
        <is>
          <t>Metric</t>
        </is>
      </c>
      <c r="B158" s="9" t="inlineStr">
        <is>
          <t>0-9</t>
        </is>
      </c>
      <c r="C158" s="9" t="inlineStr">
        <is>
          <t>10-19</t>
        </is>
      </c>
      <c r="D158" s="9" t="inlineStr">
        <is>
          <t>20-39</t>
        </is>
      </c>
      <c r="E158" s="9" t="inlineStr">
        <is>
          <t>40-99</t>
        </is>
      </c>
      <c r="F158" s="9" t="inlineStr">
        <is>
          <t>100+</t>
        </is>
      </c>
    </row>
    <row r="159">
      <c r="A159" s="4" t="inlineStr">
        <is>
          <t>P(reach Major Milestone)</t>
        </is>
      </c>
      <c r="B159" s="17">
        <f>IFERROR(INDEX(C95:C154,MATCH($B$10,$A95:$A154,0)),0)</f>
        <v/>
      </c>
      <c r="C159" s="17">
        <f>IFERROR(INDEX(G95:G154,MATCH($B$10,$A95:$A154,0)),0)</f>
        <v/>
      </c>
      <c r="D159" s="17">
        <f>IFERROR(INDEX(K95:K154,MATCH($B$10,$A95:$A154,0)),0)</f>
        <v/>
      </c>
      <c r="E159" s="17">
        <f>IFERROR(INDEX(O95:O154,MATCH($B$10,$A95:$A154,0)),0)</f>
        <v/>
      </c>
      <c r="F159" s="17">
        <f>IFERROR(INDEX(S95:S154,MATCH($B$10,$A95:$A154,0)),0)</f>
        <v/>
      </c>
    </row>
    <row r="160">
      <c r="A160" s="4" t="inlineStr">
        <is>
          <t>P(reach Final Stage)</t>
        </is>
      </c>
      <c r="B160" s="18">
        <f>IFERROR(INDEX(C95:C154,MATCH($B$11,$A95:$A154,0)),0)</f>
        <v/>
      </c>
      <c r="C160" s="18">
        <f>IFERROR(INDEX(G95:G154,MATCH($B$11,$A95:$A154,0)),0)</f>
        <v/>
      </c>
      <c r="D160" s="18">
        <f>IFERROR(INDEX(K95:K154,MATCH($B$11,$A95:$A154,0)),0)</f>
        <v/>
      </c>
      <c r="E160" s="18">
        <f>IFERROR(INDEX(O95:O154,MATCH($B$11,$A95:$A154,0)),0)</f>
        <v/>
      </c>
      <c r="F160" s="18">
        <f>IFERROR(INDEX(S95:S154,MATCH($B$11,$A95:$A154,0)),0)</f>
        <v/>
      </c>
    </row>
    <row r="161">
      <c r="A161" s="4" t="inlineStr">
        <is>
          <t>P(run pays NOTHING)</t>
        </is>
      </c>
      <c r="B161" s="15">
        <f>SUMPRODUCT(C95:C154,(1-$I$31:$I$90),(1-$B$22))</f>
        <v/>
      </c>
      <c r="C161" s="15">
        <f>SUMPRODUCT(G95:G154,(1-$I$31:$I$90),(1-$B$23))</f>
        <v/>
      </c>
      <c r="D161" s="15">
        <f>SUMPRODUCT(K95:K154,(1-$I$31:$I$90),(1-$B$24))</f>
        <v/>
      </c>
      <c r="E161" s="15">
        <f>SUMPRODUCT(O95:O154,(1-$I$31:$I$90),(1-$B$25))</f>
        <v/>
      </c>
      <c r="F161" s="15">
        <f>SUMPRODUCT(S95:S154,(1-$I$31:$I$90),(1-$B$26))</f>
        <v/>
      </c>
    </row>
    <row r="162">
      <c r="A162" s="4" t="inlineStr">
        <is>
          <t>P(run pays ANYTHING)</t>
        </is>
      </c>
      <c r="B162" s="15">
        <f>1-B161</f>
        <v/>
      </c>
      <c r="C162" s="15">
        <f>1-C161</f>
        <v/>
      </c>
      <c r="D162" s="15">
        <f>1-D161</f>
        <v/>
      </c>
      <c r="E162" s="15">
        <f>1-E161</f>
        <v/>
      </c>
      <c r="F162" s="15">
        <f>1-F161</f>
        <v/>
      </c>
    </row>
    <row r="163">
      <c r="A163" s="4" t="inlineStr">
        <is>
          <t>Expected stage reached</t>
        </is>
      </c>
      <c r="B163" s="19">
        <f>SUM(C95:C154)</f>
        <v/>
      </c>
      <c r="C163" s="19">
        <f>SUM(G95:G154)</f>
        <v/>
      </c>
      <c r="D163" s="19">
        <f>SUM(K95:K154)</f>
        <v/>
      </c>
      <c r="E163" s="19">
        <f>SUM(O95:O154)</f>
        <v/>
      </c>
      <c r="F163" s="19">
        <f>SUM(S95:S154)</f>
        <v/>
      </c>
    </row>
    <row r="164">
      <c r="A164" s="4" t="inlineStr">
        <is>
          <t>Expected continues per run</t>
        </is>
      </c>
      <c r="B164" s="20">
        <f>SUMPRODUCT(C95:C154,(1-$I$31:$I$90),$B$22)</f>
        <v/>
      </c>
      <c r="C164" s="20">
        <f>SUMPRODUCT(G95:G154,(1-$I$31:$I$90),$B$23)</f>
        <v/>
      </c>
      <c r="D164" s="20">
        <f>SUMPRODUCT(K95:K154,(1-$I$31:$I$90),$B$24)</f>
        <v/>
      </c>
      <c r="E164" s="20">
        <f>SUMPRODUCT(O95:O154,(1-$I$31:$I$90),$B$25)</f>
        <v/>
      </c>
      <c r="F164" s="20">
        <f>SUMPRODUCT(S95:S154,(1-$I$31:$I$90),$B$26)</f>
        <v/>
      </c>
    </row>
    <row r="165">
      <c r="A165" s="4" t="inlineStr">
        <is>
          <t>Stage reached at percentile</t>
        </is>
      </c>
      <c r="B165" s="21">
        <f>MIN(60,COUNTIF(E95:E154,"&lt;"&amp;$AI$2)+1)</f>
        <v/>
      </c>
      <c r="C165" s="21">
        <f>MIN(60,COUNTIF(I95:I154,"&lt;"&amp;$AI$2)+1)</f>
        <v/>
      </c>
      <c r="D165" s="21">
        <f>MIN(60,COUNTIF(M95:M154,"&lt;"&amp;$AI$2)+1)</f>
        <v/>
      </c>
      <c r="E165" s="21">
        <f>MIN(60,COUNTIF(Q95:Q154,"&lt;"&amp;$AI$2)+1)</f>
        <v/>
      </c>
      <c r="F165" s="21">
        <f>MIN(60,COUNTIF(U95:U154,"&lt;"&amp;$AI$2)+1)</f>
        <v/>
      </c>
    </row>
    <row r="167">
      <c r="A167" s="7" t="inlineStr">
        <is>
          <t>CUMULATIVE REWARD AT THE REACHED STAGE (derived)</t>
        </is>
      </c>
      <c r="B167" s="8" t="n"/>
      <c r="C167" s="8" t="n"/>
      <c r="D167" s="8" t="n"/>
      <c r="E167" s="8" t="n"/>
      <c r="F167" s="8" t="n"/>
    </row>
    <row r="168">
      <c r="A168" s="3" t="inlineStr">
        <is>
          <t>Everything a segment has banked by its reached stage: every node up to it, each weighted by the odds that door held a reward rather than an empty. One SUMPRODUCT per resource — no tier bookkeeping, because rewards live on the nodes now.</t>
        </is>
      </c>
    </row>
    <row r="169">
      <c r="A169" s="9" t="inlineStr">
        <is>
          <t>Resource</t>
        </is>
      </c>
      <c r="B169" s="9" t="inlineStr">
        <is>
          <t>0-9</t>
        </is>
      </c>
      <c r="C169" s="9" t="inlineStr">
        <is>
          <t>10-19</t>
        </is>
      </c>
      <c r="D169" s="9" t="inlineStr">
        <is>
          <t>20-39</t>
        </is>
      </c>
      <c r="E169" s="9" t="inlineStr">
        <is>
          <t>40-99</t>
        </is>
      </c>
      <c r="F169" s="9" t="inlineStr">
        <is>
          <t>100+</t>
        </is>
      </c>
    </row>
    <row r="170">
      <c r="A170" s="10" t="inlineStr">
        <is>
          <t>Coins</t>
        </is>
      </c>
      <c r="B170" s="19">
        <f>SUMPRODUCT(($A$31:$A$90&lt;=B$165)*$J$31:$J$90*K$31:K$90)</f>
        <v/>
      </c>
      <c r="C170" s="19">
        <f>SUMPRODUCT(($A$31:$A$90&lt;=C$165)*$J$31:$J$90*K$31:K$90)</f>
        <v/>
      </c>
      <c r="D170" s="19">
        <f>SUMPRODUCT(($A$31:$A$90&lt;=D$165)*$J$31:$J$90*K$31:K$90)</f>
        <v/>
      </c>
      <c r="E170" s="19">
        <f>SUMPRODUCT(($A$31:$A$90&lt;=E$165)*$J$31:$J$90*K$31:K$90)</f>
        <v/>
      </c>
      <c r="F170" s="19">
        <f>SUMPRODUCT(($A$31:$A$90&lt;=F$165)*$J$31:$J$90*K$31:K$90)</f>
        <v/>
      </c>
    </row>
    <row r="171">
      <c r="A171" s="10" t="inlineStr">
        <is>
          <t>SPT</t>
        </is>
      </c>
      <c r="B171" s="19">
        <f>SUMPRODUCT(($A$31:$A$90&lt;=B$165)*$J$31:$J$90*L$31:L$90)</f>
        <v/>
      </c>
      <c r="C171" s="19">
        <f>SUMPRODUCT(($A$31:$A$90&lt;=C$165)*$J$31:$J$90*L$31:L$90)</f>
        <v/>
      </c>
      <c r="D171" s="19">
        <f>SUMPRODUCT(($A$31:$A$90&lt;=D$165)*$J$31:$J$90*L$31:L$90)</f>
        <v/>
      </c>
      <c r="E171" s="19">
        <f>SUMPRODUCT(($A$31:$A$90&lt;=E$165)*$J$31:$J$90*L$31:L$90)</f>
        <v/>
      </c>
      <c r="F171" s="19">
        <f>SUMPRODUCT(($A$31:$A$90&lt;=F$165)*$J$31:$J$90*L$31:L$90)</f>
        <v/>
      </c>
    </row>
    <row r="172">
      <c r="A172" s="10" t="inlineStr">
        <is>
          <t>SPT x2</t>
        </is>
      </c>
      <c r="B172" s="19">
        <f>SUMPRODUCT(($A$31:$A$90&lt;=B$165)*$J$31:$J$90*M$31:M$90)</f>
        <v/>
      </c>
      <c r="C172" s="19">
        <f>SUMPRODUCT(($A$31:$A$90&lt;=C$165)*$J$31:$J$90*M$31:M$90)</f>
        <v/>
      </c>
      <c r="D172" s="19">
        <f>SUMPRODUCT(($A$31:$A$90&lt;=D$165)*$J$31:$J$90*M$31:M$90)</f>
        <v/>
      </c>
      <c r="E172" s="19">
        <f>SUMPRODUCT(($A$31:$A$90&lt;=E$165)*$J$31:$J$90*M$31:M$90)</f>
        <v/>
      </c>
      <c r="F172" s="19">
        <f>SUMPRODUCT(($A$31:$A$90&lt;=F$165)*$J$31:$J$90*M$31:M$90)</f>
        <v/>
      </c>
    </row>
    <row r="173">
      <c r="A173" s="10" t="inlineStr">
        <is>
          <t>Red</t>
        </is>
      </c>
      <c r="B173" s="19">
        <f>SUMPRODUCT(($A$31:$A$90&lt;=B$165)*$J$31:$J$90*N$31:N$90)</f>
        <v/>
      </c>
      <c r="C173" s="19">
        <f>SUMPRODUCT(($A$31:$A$90&lt;=C$165)*$J$31:$J$90*N$31:N$90)</f>
        <v/>
      </c>
      <c r="D173" s="19">
        <f>SUMPRODUCT(($A$31:$A$90&lt;=D$165)*$J$31:$J$90*N$31:N$90)</f>
        <v/>
      </c>
      <c r="E173" s="19">
        <f>SUMPRODUCT(($A$31:$A$90&lt;=E$165)*$J$31:$J$90*N$31:N$90)</f>
        <v/>
      </c>
      <c r="F173" s="19">
        <f>SUMPRODUCT(($A$31:$A$90&lt;=F$165)*$J$31:$J$90*N$31:N$90)</f>
        <v/>
      </c>
    </row>
    <row r="174">
      <c r="A174" s="10" t="inlineStr">
        <is>
          <t>Chuck</t>
        </is>
      </c>
      <c r="B174" s="19">
        <f>SUMPRODUCT(($A$31:$A$90&lt;=B$165)*$J$31:$J$90*O$31:O$90)</f>
        <v/>
      </c>
      <c r="C174" s="19">
        <f>SUMPRODUCT(($A$31:$A$90&lt;=C$165)*$J$31:$J$90*O$31:O$90)</f>
        <v/>
      </c>
      <c r="D174" s="19">
        <f>SUMPRODUCT(($A$31:$A$90&lt;=D$165)*$J$31:$J$90*O$31:O$90)</f>
        <v/>
      </c>
      <c r="E174" s="19">
        <f>SUMPRODUCT(($A$31:$A$90&lt;=E$165)*$J$31:$J$90*O$31:O$90)</f>
        <v/>
      </c>
      <c r="F174" s="19">
        <f>SUMPRODUCT(($A$31:$A$90&lt;=F$165)*$J$31:$J$90*O$31:O$90)</f>
        <v/>
      </c>
    </row>
    <row r="175">
      <c r="A175" s="10" t="inlineStr">
        <is>
          <t>Bomb</t>
        </is>
      </c>
      <c r="B175" s="19">
        <f>SUMPRODUCT(($A$31:$A$90&lt;=B$165)*$J$31:$J$90*P$31:P$90)</f>
        <v/>
      </c>
      <c r="C175" s="19">
        <f>SUMPRODUCT(($A$31:$A$90&lt;=C$165)*$J$31:$J$90*P$31:P$90)</f>
        <v/>
      </c>
      <c r="D175" s="19">
        <f>SUMPRODUCT(($A$31:$A$90&lt;=D$165)*$J$31:$J$90*P$31:P$90)</f>
        <v/>
      </c>
      <c r="E175" s="19">
        <f>SUMPRODUCT(($A$31:$A$90&lt;=E$165)*$J$31:$J$90*P$31:P$90)</f>
        <v/>
      </c>
      <c r="F175" s="19">
        <f>SUMPRODUCT(($A$31:$A$90&lt;=F$165)*$J$31:$J$90*P$31:P$90)</f>
        <v/>
      </c>
    </row>
    <row r="176">
      <c r="A176" s="10" t="inlineStr">
        <is>
          <t>Slingshot</t>
        </is>
      </c>
      <c r="B176" s="19">
        <f>SUMPRODUCT(($A$31:$A$90&lt;=B$165)*$J$31:$J$90*Q$31:Q$90)</f>
        <v/>
      </c>
      <c r="C176" s="19">
        <f>SUMPRODUCT(($A$31:$A$90&lt;=C$165)*$J$31:$J$90*Q$31:Q$90)</f>
        <v/>
      </c>
      <c r="D176" s="19">
        <f>SUMPRODUCT(($A$31:$A$90&lt;=D$165)*$J$31:$J$90*Q$31:Q$90)</f>
        <v/>
      </c>
      <c r="E176" s="19">
        <f>SUMPRODUCT(($A$31:$A$90&lt;=E$165)*$J$31:$J$90*Q$31:Q$90)</f>
        <v/>
      </c>
      <c r="F176" s="19">
        <f>SUMPRODUCT(($A$31:$A$90&lt;=F$165)*$J$31:$J$90*Q$31:Q$90)</f>
        <v/>
      </c>
    </row>
    <row r="177">
      <c r="A177" s="10" t="inlineStr">
        <is>
          <t>Shuffle</t>
        </is>
      </c>
      <c r="B177" s="19">
        <f>SUMPRODUCT(($A$31:$A$90&lt;=B$165)*$J$31:$J$90*R$31:R$90)</f>
        <v/>
      </c>
      <c r="C177" s="19">
        <f>SUMPRODUCT(($A$31:$A$90&lt;=C$165)*$J$31:$J$90*R$31:R$90)</f>
        <v/>
      </c>
      <c r="D177" s="19">
        <f>SUMPRODUCT(($A$31:$A$90&lt;=D$165)*$J$31:$J$90*R$31:R$90)</f>
        <v/>
      </c>
      <c r="E177" s="19">
        <f>SUMPRODUCT(($A$31:$A$90&lt;=E$165)*$J$31:$J$90*R$31:R$90)</f>
        <v/>
      </c>
      <c r="F177" s="19">
        <f>SUMPRODUCT(($A$31:$A$90&lt;=F$165)*$J$31:$J$90*R$31:R$90)</f>
        <v/>
      </c>
    </row>
    <row r="178">
      <c r="A178" s="10" t="inlineStr">
        <is>
          <t>Comet</t>
        </is>
      </c>
      <c r="B178" s="19">
        <f>SUMPRODUCT(($A$31:$A$90&lt;=B$165)*$J$31:$J$90*S$31:S$90)</f>
        <v/>
      </c>
      <c r="C178" s="19">
        <f>SUMPRODUCT(($A$31:$A$90&lt;=C$165)*$J$31:$J$90*S$31:S$90)</f>
        <v/>
      </c>
      <c r="D178" s="19">
        <f>SUMPRODUCT(($A$31:$A$90&lt;=D$165)*$J$31:$J$90*S$31:S$90)</f>
        <v/>
      </c>
      <c r="E178" s="19">
        <f>SUMPRODUCT(($A$31:$A$90&lt;=E$165)*$J$31:$J$90*S$31:S$90)</f>
        <v/>
      </c>
      <c r="F178" s="19">
        <f>SUMPRODUCT(($A$31:$A$90&lt;=F$165)*$J$31:$J$90*S$31:S$90)</f>
        <v/>
      </c>
    </row>
    <row r="179">
      <c r="A179" s="10" t="inlineStr">
        <is>
          <t>Unlimited Lives</t>
        </is>
      </c>
      <c r="B179" s="19">
        <f>SUMPRODUCT(($A$31:$A$90&lt;=B$165)*$J$31:$J$90*T$31:T$90)</f>
        <v/>
      </c>
      <c r="C179" s="19">
        <f>SUMPRODUCT(($A$31:$A$90&lt;=C$165)*$J$31:$J$90*T$31:T$90)</f>
        <v/>
      </c>
      <c r="D179" s="19">
        <f>SUMPRODUCT(($A$31:$A$90&lt;=D$165)*$J$31:$J$90*T$31:T$90)</f>
        <v/>
      </c>
      <c r="E179" s="19">
        <f>SUMPRODUCT(($A$31:$A$90&lt;=E$165)*$J$31:$J$90*T$31:T$90)</f>
        <v/>
      </c>
      <c r="F179" s="19">
        <f>SUMPRODUCT(($A$31:$A$90&lt;=F$165)*$J$31:$J$90*T$31:T$90)</f>
        <v/>
      </c>
    </row>
    <row r="180">
      <c r="A180" s="10" t="inlineStr">
        <is>
          <t>Unlimited Red</t>
        </is>
      </c>
      <c r="B180" s="19">
        <f>SUMPRODUCT(($A$31:$A$90&lt;=B$165)*$J$31:$J$90*U$31:U$90)</f>
        <v/>
      </c>
      <c r="C180" s="19">
        <f>SUMPRODUCT(($A$31:$A$90&lt;=C$165)*$J$31:$J$90*U$31:U$90)</f>
        <v/>
      </c>
      <c r="D180" s="19">
        <f>SUMPRODUCT(($A$31:$A$90&lt;=D$165)*$J$31:$J$90*U$31:U$90)</f>
        <v/>
      </c>
      <c r="E180" s="19">
        <f>SUMPRODUCT(($A$31:$A$90&lt;=E$165)*$J$31:$J$90*U$31:U$90)</f>
        <v/>
      </c>
      <c r="F180" s="19">
        <f>SUMPRODUCT(($A$31:$A$90&lt;=F$165)*$J$31:$J$90*U$31:U$90)</f>
        <v/>
      </c>
    </row>
    <row r="181">
      <c r="A181" s="10" t="inlineStr">
        <is>
          <t>Unlimited Chuck</t>
        </is>
      </c>
      <c r="B181" s="19">
        <f>SUMPRODUCT(($A$31:$A$90&lt;=B$165)*$J$31:$J$90*V$31:V$90)</f>
        <v/>
      </c>
      <c r="C181" s="19">
        <f>SUMPRODUCT(($A$31:$A$90&lt;=C$165)*$J$31:$J$90*V$31:V$90)</f>
        <v/>
      </c>
      <c r="D181" s="19">
        <f>SUMPRODUCT(($A$31:$A$90&lt;=D$165)*$J$31:$J$90*V$31:V$90)</f>
        <v/>
      </c>
      <c r="E181" s="19">
        <f>SUMPRODUCT(($A$31:$A$90&lt;=E$165)*$J$31:$J$90*V$31:V$90)</f>
        <v/>
      </c>
      <c r="F181" s="19">
        <f>SUMPRODUCT(($A$31:$A$90&lt;=F$165)*$J$31:$J$90*V$31:V$90)</f>
        <v/>
      </c>
    </row>
    <row r="182">
      <c r="A182" s="10" t="inlineStr">
        <is>
          <t>Unlimited Bomb</t>
        </is>
      </c>
      <c r="B182" s="19">
        <f>SUMPRODUCT(($A$31:$A$90&lt;=B$165)*$J$31:$J$90*W$31:W$90)</f>
        <v/>
      </c>
      <c r="C182" s="19">
        <f>SUMPRODUCT(($A$31:$A$90&lt;=C$165)*$J$31:$J$90*W$31:W$90)</f>
        <v/>
      </c>
      <c r="D182" s="19">
        <f>SUMPRODUCT(($A$31:$A$90&lt;=D$165)*$J$31:$J$90*W$31:W$90)</f>
        <v/>
      </c>
      <c r="E182" s="19">
        <f>SUMPRODUCT(($A$31:$A$90&lt;=E$165)*$J$31:$J$90*W$31:W$90)</f>
        <v/>
      </c>
      <c r="F182" s="19">
        <f>SUMPRODUCT(($A$31:$A$90&lt;=F$165)*$J$31:$J$90*W$31:W$90)</f>
        <v/>
      </c>
    </row>
    <row r="183">
      <c r="A183" s="10" t="inlineStr">
        <is>
          <t>COOP Token</t>
        </is>
      </c>
      <c r="B183" s="19">
        <f>SUMPRODUCT(($A$31:$A$90&lt;=B$165)*$J$31:$J$90*X$31:X$90)</f>
        <v/>
      </c>
      <c r="C183" s="19">
        <f>SUMPRODUCT(($A$31:$A$90&lt;=C$165)*$J$31:$J$90*X$31:X$90)</f>
        <v/>
      </c>
      <c r="D183" s="19">
        <f>SUMPRODUCT(($A$31:$A$90&lt;=D$165)*$J$31:$J$90*X$31:X$90)</f>
        <v/>
      </c>
      <c r="E183" s="19">
        <f>SUMPRODUCT(($A$31:$A$90&lt;=E$165)*$J$31:$J$90*X$31:X$90)</f>
        <v/>
      </c>
      <c r="F183" s="19">
        <f>SUMPRODUCT(($A$31:$A$90&lt;=F$165)*$J$31:$J$90*X$31:X$90)</f>
        <v/>
      </c>
    </row>
    <row r="184">
      <c r="A184" s="10" t="inlineStr">
        <is>
          <t>Avatar</t>
        </is>
      </c>
      <c r="B184" s="19">
        <f>SUMPRODUCT(($A$31:$A$90&lt;=B$165)*$J$31:$J$90*Y$31:Y$90)</f>
        <v/>
      </c>
      <c r="C184" s="19">
        <f>SUMPRODUCT(($A$31:$A$90&lt;=C$165)*$J$31:$J$90*Y$31:Y$90)</f>
        <v/>
      </c>
      <c r="D184" s="19">
        <f>SUMPRODUCT(($A$31:$A$90&lt;=D$165)*$J$31:$J$90*Y$31:Y$90)</f>
        <v/>
      </c>
      <c r="E184" s="19">
        <f>SUMPRODUCT(($A$31:$A$90&lt;=E$165)*$J$31:$J$90*Y$31:Y$90)</f>
        <v/>
      </c>
      <c r="F184" s="19">
        <f>SUMPRODUCT(($A$31:$A$90&lt;=F$165)*$J$31:$J$90*Y$31:Y$90)</f>
        <v/>
      </c>
    </row>
    <row r="185">
      <c r="A185" s="10" t="inlineStr">
        <is>
          <t>1-star Dly</t>
        </is>
      </c>
      <c r="B185" s="19">
        <f>SUMPRODUCT(($A$31:$A$90&lt;=B$165)*$J$31:$J$90*Z$31:Z$90)</f>
        <v/>
      </c>
      <c r="C185" s="19">
        <f>SUMPRODUCT(($A$31:$A$90&lt;=C$165)*$J$31:$J$90*Z$31:Z$90)</f>
        <v/>
      </c>
      <c r="D185" s="19">
        <f>SUMPRODUCT(($A$31:$A$90&lt;=D$165)*$J$31:$J$90*Z$31:Z$90)</f>
        <v/>
      </c>
      <c r="E185" s="19">
        <f>SUMPRODUCT(($A$31:$A$90&lt;=E$165)*$J$31:$J$90*Z$31:Z$90)</f>
        <v/>
      </c>
      <c r="F185" s="19">
        <f>SUMPRODUCT(($A$31:$A$90&lt;=F$165)*$J$31:$J$90*Z$31:Z$90)</f>
        <v/>
      </c>
    </row>
    <row r="186">
      <c r="A186" s="10" t="inlineStr">
        <is>
          <t>2-star Dly</t>
        </is>
      </c>
      <c r="B186" s="19">
        <f>SUMPRODUCT(($A$31:$A$90&lt;=B$165)*$J$31:$J$90*AA$31:AA$90)</f>
        <v/>
      </c>
      <c r="C186" s="19">
        <f>SUMPRODUCT(($A$31:$A$90&lt;=C$165)*$J$31:$J$90*AA$31:AA$90)</f>
        <v/>
      </c>
      <c r="D186" s="19">
        <f>SUMPRODUCT(($A$31:$A$90&lt;=D$165)*$J$31:$J$90*AA$31:AA$90)</f>
        <v/>
      </c>
      <c r="E186" s="19">
        <f>SUMPRODUCT(($A$31:$A$90&lt;=E$165)*$J$31:$J$90*AA$31:AA$90)</f>
        <v/>
      </c>
      <c r="F186" s="19">
        <f>SUMPRODUCT(($A$31:$A$90&lt;=F$165)*$J$31:$J$90*AA$31:AA$90)</f>
        <v/>
      </c>
    </row>
    <row r="187">
      <c r="A187" s="10" t="inlineStr">
        <is>
          <t>3-star Dly</t>
        </is>
      </c>
      <c r="B187" s="19">
        <f>SUMPRODUCT(($A$31:$A$90&lt;=B$165)*$J$31:$J$90*AB$31:AB$90)</f>
        <v/>
      </c>
      <c r="C187" s="19">
        <f>SUMPRODUCT(($A$31:$A$90&lt;=C$165)*$J$31:$J$90*AB$31:AB$90)</f>
        <v/>
      </c>
      <c r="D187" s="19">
        <f>SUMPRODUCT(($A$31:$A$90&lt;=D$165)*$J$31:$J$90*AB$31:AB$90)</f>
        <v/>
      </c>
      <c r="E187" s="19">
        <f>SUMPRODUCT(($A$31:$A$90&lt;=E$165)*$J$31:$J$90*AB$31:AB$90)</f>
        <v/>
      </c>
      <c r="F187" s="19">
        <f>SUMPRODUCT(($A$31:$A$90&lt;=F$165)*$J$31:$J$90*AB$31:AB$90)</f>
        <v/>
      </c>
    </row>
    <row r="188">
      <c r="A188" s="10" t="inlineStr">
        <is>
          <t>4-star Dly</t>
        </is>
      </c>
      <c r="B188" s="19">
        <f>SUMPRODUCT(($A$31:$A$90&lt;=B$165)*$J$31:$J$90*AC$31:AC$90)</f>
        <v/>
      </c>
      <c r="C188" s="19">
        <f>SUMPRODUCT(($A$31:$A$90&lt;=C$165)*$J$31:$J$90*AC$31:AC$90)</f>
        <v/>
      </c>
      <c r="D188" s="19">
        <f>SUMPRODUCT(($A$31:$A$90&lt;=D$165)*$J$31:$J$90*AC$31:AC$90)</f>
        <v/>
      </c>
      <c r="E188" s="19">
        <f>SUMPRODUCT(($A$31:$A$90&lt;=E$165)*$J$31:$J$90*AC$31:AC$90)</f>
        <v/>
      </c>
      <c r="F188" s="19">
        <f>SUMPRODUCT(($A$31:$A$90&lt;=F$165)*$J$31:$J$90*AC$31:AC$90)</f>
        <v/>
      </c>
    </row>
    <row r="189">
      <c r="A189" s="10" t="inlineStr">
        <is>
          <t>5-star Dly</t>
        </is>
      </c>
      <c r="B189" s="19">
        <f>SUMPRODUCT(($A$31:$A$90&lt;=B$165)*$J$31:$J$90*AD$31:AD$90)</f>
        <v/>
      </c>
      <c r="C189" s="19">
        <f>SUMPRODUCT(($A$31:$A$90&lt;=C$165)*$J$31:$J$90*AD$31:AD$90)</f>
        <v/>
      </c>
      <c r="D189" s="19">
        <f>SUMPRODUCT(($A$31:$A$90&lt;=D$165)*$J$31:$J$90*AD$31:AD$90)</f>
        <v/>
      </c>
      <c r="E189" s="19">
        <f>SUMPRODUCT(($A$31:$A$90&lt;=E$165)*$J$31:$J$90*AD$31:AD$90)</f>
        <v/>
      </c>
      <c r="F189" s="19">
        <f>SUMPRODUCT(($A$31:$A$90&lt;=F$165)*$J$31:$J$90*AD$31:AD$90)</f>
        <v/>
      </c>
    </row>
    <row r="190">
      <c r="A190" s="10" t="inlineStr">
        <is>
          <t>6-star Dly</t>
        </is>
      </c>
      <c r="B190" s="19">
        <f>SUMPRODUCT(($A$31:$A$90&lt;=B$165)*$J$31:$J$90*AE$31:AE$90)</f>
        <v/>
      </c>
      <c r="C190" s="19">
        <f>SUMPRODUCT(($A$31:$A$90&lt;=C$165)*$J$31:$J$90*AE$31:AE$90)</f>
        <v/>
      </c>
      <c r="D190" s="19">
        <f>SUMPRODUCT(($A$31:$A$90&lt;=D$165)*$J$31:$J$90*AE$31:AE$90)</f>
        <v/>
      </c>
      <c r="E190" s="19">
        <f>SUMPRODUCT(($A$31:$A$90&lt;=E$165)*$J$31:$J$90*AE$31:AE$90)</f>
        <v/>
      </c>
      <c r="F190" s="19">
        <f>SUMPRODUCT(($A$31:$A$90&lt;=F$165)*$J$31:$J$90*AE$31:AE$90)</f>
        <v/>
      </c>
    </row>
    <row r="192">
      <c r="A192" s="7" t="inlineStr">
        <is>
          <t>CONTINUE COST LADDER (this is a COIN SINK, not a faucet)</t>
        </is>
      </c>
      <c r="B192" s="8" t="n"/>
      <c r="C192" s="8" t="n"/>
      <c r="D192" s="8" t="n"/>
    </row>
    <row r="193">
      <c r="A193" s="3" t="inlineStr">
        <is>
          <t>Deck p8/p24: costs MUST escalate after each consecutive continue within the same run; the curve is configurable and undefined. Unlimited continues (user, 2026-09-02).</t>
        </is>
      </c>
    </row>
    <row r="194">
      <c r="A194" s="9" t="inlineStr">
        <is>
          <t>Continue #</t>
        </is>
      </c>
      <c r="B194" s="9" t="inlineStr">
        <is>
          <t>Cost (Coins)</t>
        </is>
      </c>
      <c r="C194" s="9" t="inlineStr">
        <is>
          <t>Cumulative</t>
        </is>
      </c>
      <c r="D194" s="9" t="inlineStr">
        <is>
          <t>Note</t>
        </is>
      </c>
    </row>
    <row r="195">
      <c r="A195" s="11" t="n">
        <v>1</v>
      </c>
      <c r="B195" s="6" t="n">
        <v>0</v>
      </c>
      <c r="C195" s="13">
        <f>SUM($B$195:$B195)</f>
        <v/>
      </c>
      <c r="D195" s="3" t="inlineStr">
        <is>
          <t>first continue in a run</t>
        </is>
      </c>
    </row>
    <row r="196">
      <c r="A196" s="11" t="n">
        <v>2</v>
      </c>
      <c r="B196" s="6" t="n">
        <v>0</v>
      </c>
      <c r="C196" s="13">
        <f>SUM($B$195:$B196)</f>
        <v/>
      </c>
    </row>
    <row r="197">
      <c r="A197" s="11" t="n">
        <v>3</v>
      </c>
      <c r="B197" s="6" t="n">
        <v>0</v>
      </c>
      <c r="C197" s="13">
        <f>SUM($B$195:$B197)</f>
        <v/>
      </c>
    </row>
    <row r="198">
      <c r="A198" s="11" t="n">
        <v>4</v>
      </c>
      <c r="B198" s="6" t="n">
        <v>0</v>
      </c>
      <c r="C198" s="13">
        <f>SUM($B$195:$B198)</f>
        <v/>
      </c>
    </row>
    <row r="199">
      <c r="A199" s="11" t="n">
        <v>5</v>
      </c>
      <c r="B199" s="6" t="n">
        <v>0</v>
      </c>
      <c r="C199" s="13">
        <f>SUM($B$195:$B199)</f>
        <v/>
      </c>
    </row>
    <row r="200">
      <c r="A200" s="11" t="n">
        <v>6</v>
      </c>
      <c r="B200" s="6" t="n">
        <v>0</v>
      </c>
      <c r="C200" s="13">
        <f>SUM($B$195:$B200)</f>
        <v/>
      </c>
    </row>
    <row r="201">
      <c r="A201" s="11" t="n">
        <v>7</v>
      </c>
      <c r="B201" s="6" t="n">
        <v>0</v>
      </c>
      <c r="C201" s="13">
        <f>SUM($B$195:$B201)</f>
        <v/>
      </c>
    </row>
    <row r="202">
      <c r="A202" s="11" t="n">
        <v>8</v>
      </c>
      <c r="B202" s="6" t="n">
        <v>0</v>
      </c>
      <c r="C202" s="13">
        <f>SUM($B$195:$B202)</f>
        <v/>
      </c>
    </row>
    <row r="203">
      <c r="A203" s="11" t="n">
        <v>9</v>
      </c>
      <c r="B203" s="6" t="n">
        <v>0</v>
      </c>
      <c r="C203" s="13">
        <f>SUM($B$195:$B203)</f>
        <v/>
      </c>
    </row>
    <row r="204">
      <c r="A204" s="11" t="n">
        <v>10</v>
      </c>
      <c r="B204" s="6" t="n">
        <v>0</v>
      </c>
      <c r="C204" s="13">
        <f>SUM($B$195:$B204)</f>
        <v/>
      </c>
    </row>
    <row r="206">
      <c r="A206" s="7" t="inlineStr">
        <is>
          <t>REWARD POOL MAP (deck p7 -&gt; the 19-resource sim universe)</t>
        </is>
      </c>
      <c r="B206" s="8" t="n"/>
      <c r="C206" s="8" t="n"/>
    </row>
    <row r="207">
      <c r="A207" s="3" t="inlineStr">
        <is>
          <t>Why some deck rewards have no column above: they are outside the resource universe. Recorded so the omission reads as a decision, not an oversight.</t>
        </is>
      </c>
    </row>
    <row r="208">
      <c r="A208" s="9" t="inlineStr">
        <is>
          <t>Deck reward</t>
        </is>
      </c>
      <c r="B208" s="9" t="inlineStr">
        <is>
          <t>Sim resource</t>
        </is>
      </c>
      <c r="C208" s="9" t="inlineStr">
        <is>
          <t>Modelled?</t>
        </is>
      </c>
    </row>
    <row r="209">
      <c r="A209" s="11" t="inlineStr">
        <is>
          <t>Coins</t>
        </is>
      </c>
      <c r="B209" s="11" t="inlineStr">
        <is>
          <t>Coins</t>
        </is>
      </c>
      <c r="C209" s="3" t="inlineStr">
        <is>
          <t>yes</t>
        </is>
      </c>
    </row>
    <row r="210">
      <c r="A210" s="11" t="inlineStr">
        <is>
          <t>Boosters</t>
        </is>
      </c>
      <c r="B210" s="11" t="inlineStr">
        <is>
          <t>Red / Chuck / Bomb</t>
        </is>
      </c>
      <c r="C210" s="3" t="inlineStr">
        <is>
          <t>yes</t>
        </is>
      </c>
    </row>
    <row r="211">
      <c r="A211" s="11" t="inlineStr">
        <is>
          <t>Power-ups</t>
        </is>
      </c>
      <c r="B211" s="11" t="inlineStr">
        <is>
          <t>Slingshot / Shuffle / Comet</t>
        </is>
      </c>
      <c r="C211" s="3" t="inlineStr">
        <is>
          <t>yes</t>
        </is>
      </c>
    </row>
    <row r="212">
      <c r="A212" s="11" t="inlineStr">
        <is>
          <t>Unlimited Lives</t>
        </is>
      </c>
      <c r="B212" s="11" t="inlineStr">
        <is>
          <t>Unlimited Lives</t>
        </is>
      </c>
      <c r="C212" s="3" t="inlineStr">
        <is>
          <t>yes</t>
        </is>
      </c>
    </row>
    <row r="213">
      <c r="A213" s="11" t="inlineStr">
        <is>
          <t>Event Tokens</t>
        </is>
      </c>
      <c r="B213" s="11" t="inlineStr">
        <is>
          <t>SPT / SPT x2</t>
        </is>
      </c>
      <c r="C213" s="3" t="inlineStr">
        <is>
          <t>yes — feeds the Season Pass tier coupling (D16)</t>
        </is>
      </c>
    </row>
    <row r="214">
      <c r="A214" s="11" t="inlineStr">
        <is>
          <t>Dream Album Envelopes</t>
        </is>
      </c>
      <c r="B214" s="11" t="inlineStr">
        <is>
          <t>1-star Dly .. 6-star Dly</t>
        </is>
      </c>
      <c r="C214" s="3" t="inlineStr">
        <is>
          <t>yes — routes through packLane_, inherits the D26 cutoff</t>
        </is>
      </c>
    </row>
    <row r="215">
      <c r="A215" s="11" t="inlineStr">
        <is>
          <t>Avatars</t>
        </is>
      </c>
      <c r="B215" s="11" t="inlineStr">
        <is>
          <t>Avatar</t>
        </is>
      </c>
      <c r="C215" s="3" t="inlineStr">
        <is>
          <t>column exists; no economy value in the model</t>
        </is>
      </c>
    </row>
    <row r="216">
      <c r="A216" s="11" t="inlineStr">
        <is>
          <t>Album Badges</t>
        </is>
      </c>
      <c r="B216" s="11" t="inlineStr">
        <is>
          <t>—</t>
        </is>
      </c>
      <c r="C216" s="3" t="inlineStr">
        <is>
          <t>NO — no sim resource</t>
        </is>
      </c>
    </row>
    <row r="217">
      <c r="A217" s="11" t="inlineStr">
        <is>
          <t>Event Tickets</t>
        </is>
      </c>
      <c r="B217" s="11" t="inlineStr">
        <is>
          <t>—</t>
        </is>
      </c>
      <c r="C217" s="3" t="inlineStr">
        <is>
          <t>NO — tickets are this feature's own entry currency, outside the 19</t>
        </is>
      </c>
    </row>
    <row r="218">
      <c r="A218" s="11" t="inlineStr">
        <is>
          <t>Skins</t>
        </is>
      </c>
      <c r="B218" s="11" t="inlineStr">
        <is>
          <t>—</t>
        </is>
      </c>
      <c r="C218" s="3" t="inlineStr">
        <is>
          <t>NO — deck lists as FUTURE</t>
        </is>
      </c>
    </row>
    <row r="219">
      <c r="A219" s="11" t="inlineStr">
        <is>
          <t>Frames</t>
        </is>
      </c>
      <c r="B219" s="11" t="inlineStr">
        <is>
          <t>—</t>
        </is>
      </c>
      <c r="C219" s="3" t="inlineStr">
        <is>
          <t>NO — deck lists as FUTURE</t>
        </is>
      </c>
    </row>
  </sheetData>
  <conditionalFormatting sqref="A31:AE90">
    <cfRule type="expression" priority="1" dxfId="0">
      <formula>$F31=0</formula>
    </cfRule>
  </conditionalFormatting>
  <conditionalFormatting sqref="H31:H90">
    <cfRule type="cellIs" priority="2" operator="equal" dxfId="1">
      <formula>"MISMATCH"</formula>
    </cfRule>
  </conditionalFormatting>
  <conditionalFormatting sqref="K31:AE90">
    <cfRule type="cellIs" priority="3" operator="greaterThan" dxfId="2">
      <formula>0</formula>
    </cfRule>
  </conditionalFormatting>
  <conditionalFormatting sqref="B195:B204">
    <cfRule type="cellIs" priority="4" operator="greaterThan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2026-09-01T22:27:24Z</dcterms:created>
  <dcterms:modified xsi:type="dcterms:W3CDTF">2026-09-01T22:27:24Z</dcterms:modified>
</cp:coreProperties>
</file>