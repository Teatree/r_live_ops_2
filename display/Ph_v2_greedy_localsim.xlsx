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h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+0%;-0%;0%"/>
    <numFmt numFmtId="167" formatCode="#,##0.00;[Red]-#,##0.00"/>
    <numFmt numFmtId="168" formatCode="#,##0.00;-#,##0.00"/>
    <numFmt numFmtId="169" formatCode="[$$]#,##0.00"/>
    <numFmt numFmtId="170" formatCode="0.0"/>
  </numFmts>
  <fonts count="55">
    <font>
      <name val="Arial"/>
      <color rgb="FF000000"/>
      <sz val="10"/>
      <scheme val="minor"/>
    </font>
    <font>
      <name val="Arial"/>
      <b val="1"/>
      <color theme="1"/>
      <sz val="14"/>
    </font>
    <font>
      <name val="Calibri"/>
      <color theme="1"/>
      <sz val="11"/>
    </font>
    <font>
      <name val="Arial"/>
      <b val="1"/>
      <color rgb="FFFFFFFF"/>
      <sz val="11"/>
    </font>
    <font/>
    <font>
      <name val="Arial"/>
      <color theme="1"/>
      <sz val="10"/>
    </font>
    <font>
      <name val="Arial"/>
      <color rgb="FF000000"/>
      <sz val="10"/>
    </font>
    <font>
      <name val="Arial"/>
      <color rgb="FF000000"/>
      <sz val="11"/>
    </font>
    <font>
      <name val="Arial"/>
      <color theme="1"/>
      <scheme val="minor"/>
    </font>
    <font>
      <name val="Arial"/>
      <b val="1"/>
      <color theme="1"/>
      <sz val="10"/>
    </font>
    <font>
      <name val="Arial"/>
      <i val="1"/>
      <color rgb="FF666666"/>
      <sz val="9"/>
    </font>
    <font>
      <name val="Arial"/>
      <b val="1"/>
      <color rgb="FF000000"/>
      <sz val="10"/>
    </font>
    <font>
      <name val="Arial"/>
      <color rgb="FFFF0000"/>
      <sz val="11"/>
    </font>
    <font>
      <name val="Arial"/>
      <b val="1"/>
      <color rgb="FFFF0000"/>
      <sz val="11"/>
    </font>
    <font>
      <name val="Arial"/>
      <color theme="1"/>
    </font>
    <font>
      <name val="Calibri"/>
      <b val="1"/>
      <color rgb="FFFF0000"/>
      <sz val="11"/>
    </font>
    <font>
      <name val="Arial"/>
      <b val="1"/>
      <color rgb="FFFFFFFF"/>
      <sz val="12"/>
    </font>
    <font>
      <name val="Arial"/>
      <b val="1"/>
      <color theme="1"/>
      <sz val="12"/>
    </font>
    <font>
      <name val="Arial"/>
      <b val="1"/>
      <color theme="1"/>
      <sz val="11"/>
    </font>
    <font>
      <name val="Arial"/>
      <color theme="1"/>
      <sz val="11"/>
    </font>
    <font>
      <name val="Arial"/>
      <color rgb="FFBFBFBF"/>
      <sz val="11"/>
    </font>
    <font>
      <name val="Calibri"/>
      <color rgb="FF000000"/>
      <sz val="11"/>
    </font>
    <font>
      <name val="Arial"/>
      <color rgb="FFFF0000"/>
      <sz val="10"/>
    </font>
    <font>
      <name val="Arial"/>
      <color rgb="FF000000"/>
    </font>
    <font>
      <name val="Arial"/>
      <b val="1"/>
      <color theme="1"/>
      <sz val="9"/>
    </font>
    <font>
      <name val="Arial"/>
      <color rgb="FF808080"/>
      <sz val="8"/>
    </font>
    <font>
      <name val="Arial"/>
      <color theme="1"/>
      <sz val="9"/>
    </font>
    <font>
      <name val="Carlito"/>
      <color theme="1"/>
      <sz val="11"/>
    </font>
    <font>
      <name val="Calibri"/>
      <b val="1"/>
      <color rgb="FFFFFFFF"/>
      <sz val="11"/>
    </font>
    <font>
      <name val="Calibri"/>
      <color rgb="FF222222"/>
      <sz val="7"/>
    </font>
    <font>
      <name val="Calibri"/>
      <color rgb="FF222222"/>
      <sz val="11"/>
    </font>
    <font>
      <name val="Arial"/>
      <i val="1"/>
      <color theme="1"/>
      <scheme val="minor"/>
    </font>
    <font>
      <name val="Arial"/>
      <color theme="1"/>
      <sz val="9"/>
      <scheme val="minor"/>
    </font>
    <font>
      <name val="Arial"/>
      <b val="1"/>
      <color theme="1"/>
      <scheme val="minor"/>
    </font>
    <font>
      <name val="Arial"/>
      <b val="1"/>
      <color theme="1"/>
      <sz val="13"/>
    </font>
    <font>
      <name val="Arial"/>
      <b val="1"/>
      <color rgb="FFFFFFFF"/>
      <sz val="10"/>
    </font>
    <font>
      <name val="Arial"/>
      <color rgb="FF808080"/>
      <sz val="9"/>
    </font>
    <font>
      <name val="Arial"/>
      <b val="1"/>
      <color rgb="FF000000"/>
      <sz val="9"/>
    </font>
    <font>
      <name val="Calibri"/>
      <b val="1"/>
      <color theme="1"/>
      <sz val="10"/>
    </font>
    <font>
      <name val="Calibri"/>
      <color theme="1"/>
      <sz val="10"/>
    </font>
    <font>
      <name val="Calibri"/>
      <i val="1"/>
      <color rgb="FF888888"/>
      <sz val="9"/>
    </font>
    <font>
      <name val="Calibri"/>
      <i val="1"/>
      <color theme="1"/>
      <sz val="10"/>
    </font>
    <font>
      <name val="Calibri"/>
      <color rgb="FF999999"/>
      <sz val="10"/>
    </font>
    <font>
      <name val="Calibri"/>
      <color theme="1"/>
    </font>
    <font>
      <name val="Calibri"/>
      <i val="1"/>
      <color theme="1"/>
    </font>
    <font>
      <name val="Calibri"/>
      <color rgb="FF999999"/>
    </font>
    <font>
      <name val="Arial"/>
      <i val="1"/>
      <color rgb="FFCCCCCC"/>
      <scheme val="minor"/>
    </font>
    <font>
      <color rgb="FFFF0000"/>
      <u val="single"/>
    </font>
    <font>
      <name val="Arial"/>
      <i val="1"/>
      <color theme="1"/>
      <sz val="12"/>
      <scheme val="minor"/>
    </font>
    <font>
      <name val="Arial"/>
      <color rgb="FFFF0000"/>
      <scheme val="minor"/>
    </font>
    <font>
      <name val="Arial"/>
      <i val="1"/>
      <color rgb="FFB7B7B7"/>
    </font>
    <font>
      <name val="Arial"/>
      <b val="1"/>
      <color rgb="FFFFFFFF"/>
    </font>
    <font>
      <name val="Arial"/>
      <i val="1"/>
      <color rgb="FF999999"/>
      <sz val="9"/>
    </font>
    <font>
      <name val="Arial"/>
      <i val="1"/>
      <color theme="1"/>
      <sz val="11"/>
    </font>
    <font>
      <name val="Calibri"/>
      <b val="1"/>
      <color rgb="FF000000"/>
      <sz val="11"/>
    </font>
  </fonts>
  <fills count="38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  <bgColor rgb="FF305496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</fills>
  <borders count="47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3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bottom" wrapText="1"/>
    </xf>
    <xf numFmtId="0" fontId="4" fillId="0" borderId="3" pivotButton="0" quotePrefix="0" xfId="0"/>
    <xf numFmtId="0" fontId="3" fillId="2" borderId="4" applyAlignment="1" pivotButton="0" quotePrefix="0" xfId="0">
      <alignment horizontal="center" wrapText="1"/>
    </xf>
    <xf numFmtId="0" fontId="3" fillId="2" borderId="5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5" fillId="0" borderId="4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bottom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right" vertical="bottom"/>
    </xf>
    <xf numFmtId="0" fontId="2" fillId="0" borderId="3" applyAlignment="1" pivotButton="0" quotePrefix="0" xfId="0">
      <alignment horizontal="left" vertical="bottom"/>
    </xf>
    <xf numFmtId="0" fontId="7" fillId="4" borderId="8" applyAlignment="1" pivotButton="0" quotePrefix="0" xfId="0">
      <alignment horizontal="center" vertical="bottom" wrapText="1"/>
    </xf>
    <xf numFmtId="0" fontId="7" fillId="4" borderId="9" applyAlignment="1" pivotButton="0" quotePrefix="0" xfId="0">
      <alignment horizontal="center" vertical="bottom" wrapText="1"/>
    </xf>
    <xf numFmtId="0" fontId="7" fillId="4" borderId="0" applyAlignment="1" pivotButton="0" quotePrefix="0" xfId="0">
      <alignment horizontal="center" vertical="bottom" wrapText="1"/>
    </xf>
    <xf numFmtId="0" fontId="7" fillId="4" borderId="10" applyAlignment="1" pivotButton="0" quotePrefix="0" xfId="0">
      <alignment horizontal="center" vertical="bottom" wrapText="1"/>
    </xf>
    <xf numFmtId="0" fontId="2" fillId="5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/>
    </xf>
    <xf numFmtId="0" fontId="2" fillId="0" borderId="0" applyAlignment="1" pivotButton="0" quotePrefix="0" xfId="0">
      <alignment vertical="bottom"/>
    </xf>
    <xf numFmtId="0" fontId="5" fillId="0" borderId="11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bottom" wrapText="1"/>
    </xf>
    <xf numFmtId="0" fontId="7" fillId="4" borderId="3" applyAlignment="1" pivotButton="0" quotePrefix="0" xfId="0">
      <alignment horizontal="center" vertical="bottom" wrapText="1"/>
    </xf>
    <xf numFmtId="0" fontId="5" fillId="0" borderId="14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7" fillId="4" borderId="17" applyAlignment="1" pivotButton="0" quotePrefix="0" xfId="0">
      <alignment horizontal="center" vertical="bottom" wrapText="1"/>
    </xf>
    <xf numFmtId="0" fontId="7" fillId="4" borderId="18" applyAlignment="1" pivotButton="0" quotePrefix="0" xfId="0">
      <alignment horizontal="center" vertical="bottom" wrapText="1"/>
    </xf>
    <xf numFmtId="0" fontId="7" fillId="4" borderId="19" applyAlignment="1" pivotButton="0" quotePrefix="0" xfId="0">
      <alignment horizontal="center" vertical="bottom" wrapText="1"/>
    </xf>
    <xf numFmtId="0" fontId="9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2" fontId="6" fillId="0" borderId="5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pivotButton="0" quotePrefix="0" xfId="0"/>
    <xf numFmtId="0" fontId="1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1" fillId="6" borderId="2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 wrapText="1"/>
    </xf>
    <xf numFmtId="0" fontId="3" fillId="7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wrapText="1"/>
    </xf>
    <xf numFmtId="0" fontId="6" fillId="4" borderId="6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bottom" wrapText="1"/>
    </xf>
    <xf numFmtId="0" fontId="6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bottom"/>
    </xf>
    <xf numFmtId="0" fontId="7" fillId="4" borderId="8" applyAlignment="1" pivotButton="0" quotePrefix="0" xfId="0">
      <alignment horizontal="center" vertical="bottom" wrapText="1"/>
    </xf>
    <xf numFmtId="0" fontId="12" fillId="4" borderId="9" applyAlignment="1" pivotButton="0" quotePrefix="0" xfId="0">
      <alignment horizontal="center" vertical="bottom" wrapText="1"/>
    </xf>
    <xf numFmtId="0" fontId="7" fillId="4" borderId="9" applyAlignment="1" pivotButton="0" quotePrefix="0" xfId="0">
      <alignment horizontal="center" vertical="bottom" wrapText="1"/>
    </xf>
    <xf numFmtId="0" fontId="7" fillId="4" borderId="10" applyAlignment="1" pivotButton="0" quotePrefix="0" xfId="0">
      <alignment horizontal="center" vertical="bottom" wrapText="1"/>
    </xf>
    <xf numFmtId="0" fontId="6" fillId="4" borderId="12" applyAlignment="1" pivotButton="0" quotePrefix="0" xfId="0">
      <alignment horizontal="center" vertical="center" wrapText="1"/>
    </xf>
    <xf numFmtId="0" fontId="12" fillId="4" borderId="13" applyAlignment="1" pivotButton="0" quotePrefix="0" xfId="0">
      <alignment horizontal="center" vertical="bottom" wrapText="1"/>
    </xf>
    <xf numFmtId="0" fontId="7" fillId="4" borderId="2" applyAlignment="1" pivotButton="0" quotePrefix="0" xfId="0">
      <alignment horizontal="center" vertical="bottom" wrapText="1"/>
    </xf>
    <xf numFmtId="0" fontId="12" fillId="4" borderId="0" applyAlignment="1" pivotButton="0" quotePrefix="0" xfId="0">
      <alignment horizontal="center" vertical="bottom" wrapText="1"/>
    </xf>
    <xf numFmtId="0" fontId="7" fillId="4" borderId="0" applyAlignment="1" pivotButton="0" quotePrefix="0" xfId="0">
      <alignment horizontal="center" vertical="bottom" wrapText="1"/>
    </xf>
    <xf numFmtId="0" fontId="7" fillId="4" borderId="3" applyAlignment="1" pivotButton="0" quotePrefix="0" xfId="0">
      <alignment horizontal="center" vertical="bottom" wrapText="1"/>
    </xf>
    <xf numFmtId="0" fontId="6" fillId="4" borderId="15" applyAlignment="1" pivotButton="0" quotePrefix="0" xfId="0">
      <alignment horizontal="center" vertical="center" wrapText="1"/>
    </xf>
    <xf numFmtId="0" fontId="13" fillId="4" borderId="16" applyAlignment="1" pivotButton="0" quotePrefix="0" xfId="0">
      <alignment horizontal="center" vertical="bottom" wrapText="1"/>
    </xf>
    <xf numFmtId="0" fontId="7" fillId="4" borderId="17" applyAlignment="1" pivotButton="0" quotePrefix="0" xfId="0">
      <alignment horizontal="center" vertical="bottom" wrapText="1"/>
    </xf>
    <xf numFmtId="0" fontId="7" fillId="4" borderId="18" applyAlignment="1" pivotButton="0" quotePrefix="0" xfId="0">
      <alignment horizontal="center" vertical="bottom" wrapText="1"/>
    </xf>
    <xf numFmtId="0" fontId="12" fillId="4" borderId="18" applyAlignment="1" pivotButton="0" quotePrefix="0" xfId="0">
      <alignment horizontal="center" vertical="bottom" wrapText="1"/>
    </xf>
    <xf numFmtId="0" fontId="7" fillId="4" borderId="19" applyAlignment="1" pivotButton="0" quotePrefix="0" xfId="0">
      <alignment horizontal="center" vertical="bottom" wrapText="1"/>
    </xf>
    <xf numFmtId="0" fontId="14" fillId="0" borderId="5" applyAlignment="1" pivotButton="0" quotePrefix="0" xfId="0">
      <alignment horizontal="center" wrapText="1"/>
    </xf>
    <xf numFmtId="2" fontId="14" fillId="0" borderId="5" applyAlignment="1" pivotButton="0" quotePrefix="0" xfId="0">
      <alignment horizontal="center" wrapText="1"/>
    </xf>
    <xf numFmtId="0" fontId="2" fillId="0" borderId="0" applyAlignment="1" pivotButton="0" quotePrefix="0" xfId="0">
      <alignment vertical="bottom"/>
    </xf>
    <xf numFmtId="164" fontId="14" fillId="0" borderId="5" applyAlignment="1" pivotButton="0" quotePrefix="0" xfId="0">
      <alignment horizontal="center" wrapText="1"/>
    </xf>
    <xf numFmtId="0" fontId="15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 wrapText="1"/>
    </xf>
    <xf numFmtId="0" fontId="16" fillId="2" borderId="0" applyAlignment="1" pivotButton="0" quotePrefix="0" xfId="0">
      <alignment horizontal="left"/>
    </xf>
    <xf numFmtId="0" fontId="17" fillId="2" borderId="0" applyAlignment="1" pivotButton="0" quotePrefix="0" xfId="0">
      <alignment horizontal="left"/>
    </xf>
    <xf numFmtId="0" fontId="5" fillId="0" borderId="8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8" fillId="9" borderId="20" applyAlignment="1" pivotButton="0" quotePrefix="0" xfId="0">
      <alignment horizontal="center"/>
    </xf>
    <xf numFmtId="0" fontId="18" fillId="9" borderId="2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center" wrapText="1"/>
    </xf>
    <xf numFmtId="0" fontId="6" fillId="3" borderId="21" applyAlignment="1" pivotButton="0" quotePrefix="0" xfId="0">
      <alignment horizontal="center" vertical="center" wrapText="1"/>
    </xf>
    <xf numFmtId="0" fontId="18" fillId="10" borderId="20" applyAlignment="1" pivotButton="0" quotePrefix="0" xfId="0">
      <alignment horizontal="center" vertical="bottom"/>
    </xf>
    <xf numFmtId="0" fontId="19" fillId="0" borderId="20" applyAlignment="1" pivotButton="0" quotePrefix="0" xfId="0">
      <alignment horizontal="center" vertical="bottom"/>
    </xf>
    <xf numFmtId="0" fontId="20" fillId="0" borderId="20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bottom"/>
    </xf>
    <xf numFmtId="0" fontId="22" fillId="10" borderId="1" applyAlignment="1" pivotButton="0" quotePrefix="0" xfId="0">
      <alignment horizontal="center" vertical="center" wrapText="1"/>
    </xf>
    <xf numFmtId="0" fontId="6" fillId="10" borderId="21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bottom"/>
    </xf>
    <xf numFmtId="0" fontId="22" fillId="10" borderId="21" applyAlignment="1" pivotButton="0" quotePrefix="0" xfId="0">
      <alignment horizontal="center" vertical="center" wrapText="1"/>
    </xf>
    <xf numFmtId="0" fontId="6" fillId="10" borderId="22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 wrapText="1"/>
    </xf>
    <xf numFmtId="0" fontId="3" fillId="11" borderId="12" applyAlignment="1" pivotButton="0" quotePrefix="0" xfId="0">
      <alignment horizontal="left" vertical="center"/>
    </xf>
    <xf numFmtId="0" fontId="3" fillId="11" borderId="12" applyAlignment="1" pivotButton="0" quotePrefix="0" xfId="0">
      <alignment horizontal="left" vertical="center"/>
    </xf>
    <xf numFmtId="0" fontId="18" fillId="4" borderId="12" applyAlignment="1" pivotButton="0" quotePrefix="0" xfId="0">
      <alignment horizontal="left" vertical="center"/>
    </xf>
    <xf numFmtId="0" fontId="18" fillId="4" borderId="23" applyAlignment="1" pivotButton="0" quotePrefix="0" xfId="0">
      <alignment horizontal="left" vertical="center"/>
    </xf>
    <xf numFmtId="0" fontId="18" fillId="4" borderId="24" applyAlignment="1" pivotButton="0" quotePrefix="0" xfId="0">
      <alignment horizontal="left" vertical="center"/>
    </xf>
    <xf numFmtId="0" fontId="18" fillId="12" borderId="25" applyAlignment="1" pivotButton="0" quotePrefix="0" xfId="0">
      <alignment horizontal="center" vertical="bottom" wrapText="1"/>
    </xf>
    <xf numFmtId="0" fontId="18" fillId="12" borderId="26" applyAlignment="1" pivotButton="0" quotePrefix="0" xfId="0">
      <alignment horizontal="center" vertical="bottom" wrapText="1"/>
    </xf>
    <xf numFmtId="0" fontId="18" fillId="12" borderId="27" applyAlignment="1" pivotButton="0" quotePrefix="0" xfId="0">
      <alignment horizontal="center" vertical="bottom" textRotation="180"/>
    </xf>
    <xf numFmtId="0" fontId="18" fillId="12" borderId="25" applyAlignment="1" pivotButton="0" quotePrefix="0" xfId="0">
      <alignment horizontal="center" vertical="bottom" textRotation="180"/>
    </xf>
    <xf numFmtId="0" fontId="18" fillId="12" borderId="26" applyAlignment="1" pivotButton="0" quotePrefix="0" xfId="0">
      <alignment horizontal="center" vertical="bottom" textRotation="180"/>
    </xf>
    <xf numFmtId="0" fontId="19" fillId="0" borderId="25" applyAlignment="1" pivotButton="0" quotePrefix="0" xfId="0">
      <alignment horizontal="center" vertical="center"/>
    </xf>
    <xf numFmtId="0" fontId="19" fillId="0" borderId="26" applyAlignment="1" pivotButton="0" quotePrefix="0" xfId="0">
      <alignment horizontal="center" vertical="center"/>
    </xf>
    <xf numFmtId="0" fontId="19" fillId="0" borderId="2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13" borderId="25" applyAlignment="1" pivotButton="0" quotePrefix="0" xfId="0">
      <alignment horizontal="left" vertical="center"/>
    </xf>
    <xf numFmtId="0" fontId="18" fillId="13" borderId="25" applyAlignment="1" pivotButton="0" quotePrefix="0" xfId="0">
      <alignment horizontal="center" vertical="center"/>
    </xf>
    <xf numFmtId="0" fontId="18" fillId="13" borderId="26" applyAlignment="1" pivotButton="0" quotePrefix="0" xfId="0">
      <alignment horizontal="center" vertical="center"/>
    </xf>
    <xf numFmtId="0" fontId="18" fillId="13" borderId="27" applyAlignment="1" pivotButton="0" quotePrefix="0" xfId="0">
      <alignment horizontal="center" vertical="center"/>
    </xf>
    <xf numFmtId="0" fontId="23" fillId="0" borderId="0" applyAlignment="1" pivotButton="0" quotePrefix="0" xfId="0">
      <alignment vertical="bottom"/>
    </xf>
    <xf numFmtId="0" fontId="3" fillId="11" borderId="0" applyAlignment="1" pivotButton="0" quotePrefix="0" xfId="0">
      <alignment horizontal="left"/>
    </xf>
    <xf numFmtId="0" fontId="3" fillId="11" borderId="0" applyAlignment="1" pivotButton="0" quotePrefix="0" xfId="0">
      <alignment horizontal="left"/>
    </xf>
    <xf numFmtId="0" fontId="18" fillId="13" borderId="0" applyAlignment="1" pivotButton="0" quotePrefix="0" xfId="0">
      <alignment horizontal="left"/>
    </xf>
    <xf numFmtId="0" fontId="19" fillId="4" borderId="0" applyAlignment="1" pivotButton="0" quotePrefix="0" xfId="0">
      <alignment horizontal="center"/>
    </xf>
    <xf numFmtId="0" fontId="18" fillId="12" borderId="26" applyAlignment="1" pivotButton="0" quotePrefix="0" xfId="0">
      <alignment horizontal="center" vertical="bottom"/>
    </xf>
    <xf numFmtId="0" fontId="18" fillId="12" borderId="27" applyAlignment="1" pivotButton="0" quotePrefix="0" xfId="0">
      <alignment horizontal="center" vertical="bottom" textRotation="180"/>
    </xf>
    <xf numFmtId="0" fontId="18" fillId="12" borderId="25" applyAlignment="1" pivotButton="0" quotePrefix="0" xfId="0">
      <alignment horizontal="center" vertical="bottom" textRotation="180"/>
    </xf>
    <xf numFmtId="0" fontId="19" fillId="0" borderId="26" applyAlignment="1" pivotButton="0" quotePrefix="0" xfId="0">
      <alignment horizontal="left"/>
    </xf>
    <xf numFmtId="0" fontId="19" fillId="14" borderId="27" applyAlignment="1" pivotButton="0" quotePrefix="0" xfId="0">
      <alignment horizontal="center"/>
    </xf>
    <xf numFmtId="0" fontId="19" fillId="0" borderId="25" applyAlignment="1" pivotButton="0" quotePrefix="0" xfId="0">
      <alignment horizontal="center"/>
    </xf>
    <xf numFmtId="0" fontId="19" fillId="14" borderId="25" applyAlignment="1" pivotButton="0" quotePrefix="0" xfId="0">
      <alignment horizontal="center"/>
    </xf>
    <xf numFmtId="0" fontId="19" fillId="15" borderId="26" applyAlignment="1" pivotButton="0" quotePrefix="0" xfId="0">
      <alignment horizontal="left"/>
    </xf>
    <xf numFmtId="0" fontId="19" fillId="15" borderId="25" applyAlignment="1" pivotButton="0" quotePrefix="0" xfId="0">
      <alignment horizontal="center"/>
    </xf>
    <xf numFmtId="0" fontId="19" fillId="0" borderId="27" applyAlignment="1" pivotButton="0" quotePrefix="0" xfId="0">
      <alignment horizontal="center"/>
    </xf>
    <xf numFmtId="0" fontId="19" fillId="15" borderId="27" applyAlignment="1" pivotButton="0" quotePrefix="0" xfId="0">
      <alignment horizontal="center"/>
    </xf>
    <xf numFmtId="0" fontId="18" fillId="13" borderId="12" applyAlignment="1" pivotButton="0" quotePrefix="0" xfId="0">
      <alignment horizontal="left" vertical="center"/>
    </xf>
    <xf numFmtId="0" fontId="19" fillId="4" borderId="12" applyAlignment="1" pivotButton="0" quotePrefix="0" xfId="0">
      <alignment horizontal="center" vertical="center"/>
    </xf>
    <xf numFmtId="0" fontId="18" fillId="12" borderId="25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19" fillId="0" borderId="27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24" fillId="4" borderId="5" applyAlignment="1" pivotButton="0" quotePrefix="0" xfId="0">
      <alignment horizontal="center"/>
    </xf>
    <xf numFmtId="0" fontId="19" fillId="4" borderId="12" applyAlignment="1" pivotButton="0" quotePrefix="0" xfId="0">
      <alignment horizontal="center" vertical="center"/>
    </xf>
    <xf numFmtId="0" fontId="24" fillId="5" borderId="5" applyAlignment="1" pivotButton="0" quotePrefix="0" xfId="0">
      <alignment horizontal="center"/>
    </xf>
    <xf numFmtId="0" fontId="2" fillId="10" borderId="5" applyAlignment="1" pivotButton="0" quotePrefix="0" xfId="0">
      <alignment horizontal="center"/>
    </xf>
    <xf numFmtId="1" fontId="2" fillId="10" borderId="5" applyAlignment="1" pivotButton="0" quotePrefix="0" xfId="0">
      <alignment horizontal="center"/>
    </xf>
    <xf numFmtId="0" fontId="2" fillId="10" borderId="5" applyAlignment="1" pivotButton="0" quotePrefix="0" xfId="0">
      <alignment horizontal="left"/>
    </xf>
    <xf numFmtId="0" fontId="19" fillId="0" borderId="26" applyAlignment="1" pivotButton="0" quotePrefix="0" xfId="0">
      <alignment horizontal="left" vertical="center"/>
    </xf>
    <xf numFmtId="0" fontId="19" fillId="0" borderId="25" applyAlignment="1" pivotButton="0" quotePrefix="0" xfId="0">
      <alignment horizontal="center" vertical="center"/>
    </xf>
    <xf numFmtId="9" fontId="24" fillId="4" borderId="5" pivotButton="0" quotePrefix="0" xfId="0"/>
    <xf numFmtId="0" fontId="24" fillId="5" borderId="5" pivotButton="0" quotePrefix="0" xfId="0"/>
    <xf numFmtId="0" fontId="2" fillId="0" borderId="5" pivotButton="0" quotePrefix="0" xfId="0"/>
    <xf numFmtId="0" fontId="2" fillId="4" borderId="5" pivotButton="0" quotePrefix="0" xfId="0"/>
    <xf numFmtId="165" fontId="2" fillId="10" borderId="5" pivotButton="0" quotePrefix="0" xfId="0"/>
    <xf numFmtId="0" fontId="25" fillId="0" borderId="0" pivotButton="0" quotePrefix="0" xfId="0"/>
    <xf numFmtId="0" fontId="19" fillId="0" borderId="27" applyAlignment="1" pivotButton="0" quotePrefix="0" xfId="0">
      <alignment horizontal="center" vertical="center"/>
    </xf>
    <xf numFmtId="0" fontId="19" fillId="0" borderId="25" applyAlignment="1" pivotButton="0" quotePrefix="0" xfId="0">
      <alignment horizontal="left" vertical="center"/>
    </xf>
    <xf numFmtId="0" fontId="24" fillId="4" borderId="5" applyAlignment="1" pivotButton="0" quotePrefix="0" xfId="0">
      <alignment horizontal="center"/>
    </xf>
    <xf numFmtId="0" fontId="1" fillId="0" borderId="0" pivotButton="0" quotePrefix="0" xfId="0"/>
    <xf numFmtId="0" fontId="3" fillId="11" borderId="12" applyAlignment="1" pivotButton="0" quotePrefix="0" xfId="0">
      <alignment horizontal="left" vertical="center"/>
    </xf>
    <xf numFmtId="0" fontId="18" fillId="13" borderId="12" applyAlignment="1" pivotButton="0" quotePrefix="0" xfId="0">
      <alignment horizontal="left" vertical="center"/>
    </xf>
    <xf numFmtId="0" fontId="19" fillId="4" borderId="12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0" fontId="19" fillId="4" borderId="25" applyAlignment="1" pivotButton="0" quotePrefix="0" xfId="0">
      <alignment horizontal="center" vertical="center"/>
    </xf>
    <xf numFmtId="0" fontId="18" fillId="12" borderId="25" applyAlignment="1" pivotButton="0" quotePrefix="0" xfId="0">
      <alignment horizontal="center" vertical="bottom" textRotation="180"/>
    </xf>
    <xf numFmtId="0" fontId="8" fillId="0" borderId="0" pivotButton="0" quotePrefix="0" xfId="0"/>
    <xf numFmtId="0" fontId="19" fillId="4" borderId="12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2" fontId="8" fillId="0" borderId="0" pivotButton="0" quotePrefix="0" xfId="0"/>
    <xf numFmtId="2" fontId="3" fillId="11" borderId="12" applyAlignment="1" pivotButton="0" quotePrefix="0" xfId="0">
      <alignment horizontal="left" vertical="center"/>
    </xf>
    <xf numFmtId="0" fontId="3" fillId="11" borderId="29" applyAlignment="1" pivotButton="0" quotePrefix="0" xfId="0">
      <alignment horizontal="left" vertical="center"/>
    </xf>
    <xf numFmtId="2" fontId="3" fillId="11" borderId="29" applyAlignment="1" pivotButton="0" quotePrefix="0" xfId="0">
      <alignment horizontal="left" vertical="center"/>
    </xf>
    <xf numFmtId="0" fontId="18" fillId="16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2" fontId="18" fillId="0" borderId="0" applyAlignment="1" pivotButton="0" quotePrefix="0" xfId="0">
      <alignment horizontal="left" vertical="center"/>
    </xf>
    <xf numFmtId="0" fontId="18" fillId="12" borderId="30" applyAlignment="1" pivotButton="0" quotePrefix="0" xfId="0">
      <alignment horizontal="center" vertical="bottom" wrapText="1"/>
    </xf>
    <xf numFmtId="0" fontId="18" fillId="12" borderId="30" applyAlignment="1" pivotButton="0" quotePrefix="0" xfId="0">
      <alignment horizontal="center" vertical="bottom" wrapText="1"/>
    </xf>
    <xf numFmtId="2" fontId="18" fillId="12" borderId="30" applyAlignment="1" pivotButton="0" quotePrefix="0" xfId="0">
      <alignment horizontal="center" vertical="bottom" wrapText="1"/>
    </xf>
    <xf numFmtId="0" fontId="18" fillId="12" borderId="30" applyAlignment="1" pivotButton="0" quotePrefix="0" xfId="0">
      <alignment horizontal="center" vertical="bottom" textRotation="180"/>
    </xf>
    <xf numFmtId="0" fontId="18" fillId="12" borderId="30" applyAlignment="1" pivotButton="0" quotePrefix="0" xfId="0">
      <alignment horizontal="center" vertical="bottom" textRotation="180"/>
    </xf>
    <xf numFmtId="2" fontId="19" fillId="0" borderId="25" applyAlignment="1" pivotButton="0" quotePrefix="0" xfId="0">
      <alignment horizontal="center" vertical="center"/>
    </xf>
    <xf numFmtId="0" fontId="18" fillId="12" borderId="25" applyAlignment="1" pivotButton="0" quotePrefix="0" xfId="0">
      <alignment horizontal="center" vertical="bottom" wrapText="1"/>
    </xf>
    <xf numFmtId="2" fontId="18" fillId="12" borderId="25" applyAlignment="1" pivotButton="0" quotePrefix="0" xfId="0">
      <alignment horizontal="center" vertical="bottom" wrapText="1"/>
    </xf>
    <xf numFmtId="0" fontId="19" fillId="4" borderId="12" applyAlignment="1" pivotButton="0" quotePrefix="0" xfId="0">
      <alignment horizontal="center" vertical="center" wrapText="1"/>
    </xf>
    <xf numFmtId="0" fontId="18" fillId="12" borderId="31" applyAlignment="1" pivotButton="0" quotePrefix="0" xfId="0">
      <alignment horizontal="center" vertical="bottom" textRotation="180"/>
    </xf>
    <xf numFmtId="0" fontId="19" fillId="0" borderId="31" applyAlignment="1" pivotButton="0" quotePrefix="0" xfId="0">
      <alignment horizontal="center" vertical="center"/>
    </xf>
    <xf numFmtId="3" fontId="2" fillId="10" borderId="5" pivotButton="0" quotePrefix="0" xfId="0"/>
    <xf numFmtId="0" fontId="26" fillId="10" borderId="5" pivotButton="0" quotePrefix="0" xfId="0"/>
    <xf numFmtId="0" fontId="25" fillId="0" borderId="0" pivotButton="0" quotePrefix="0" xfId="0"/>
    <xf numFmtId="0" fontId="18" fillId="13" borderId="12" applyAlignment="1" pivotButton="0" quotePrefix="0" xfId="0">
      <alignment horizontal="left" vertical="center"/>
    </xf>
    <xf numFmtId="0" fontId="3" fillId="11" borderId="29" applyAlignment="1" pivotButton="0" quotePrefix="0" xfId="0">
      <alignment horizontal="left" vertical="center"/>
    </xf>
    <xf numFmtId="0" fontId="18" fillId="12" borderId="0" applyAlignment="1" pivotButton="0" quotePrefix="0" xfId="0">
      <alignment horizontal="center" vertical="bottom" wrapText="1"/>
    </xf>
    <xf numFmtId="0" fontId="18" fillId="12" borderId="2" applyAlignment="1" pivotButton="0" quotePrefix="0" xfId="0">
      <alignment horizontal="center" vertical="bottom" textRotation="180"/>
    </xf>
    <xf numFmtId="0" fontId="18" fillId="12" borderId="0" applyAlignment="1" pivotButton="0" quotePrefix="0" xfId="0">
      <alignment horizontal="center" vertical="bottom" textRotation="180"/>
    </xf>
    <xf numFmtId="0" fontId="18" fillId="12" borderId="32" applyAlignment="1" pivotButton="0" quotePrefix="0" xfId="0">
      <alignment horizontal="center" vertical="bottom" textRotation="180"/>
    </xf>
    <xf numFmtId="0" fontId="19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32" applyAlignment="1" pivotButton="0" quotePrefix="0" xfId="0">
      <alignment horizontal="center" vertical="center"/>
    </xf>
    <xf numFmtId="0" fontId="18" fillId="12" borderId="26" applyAlignment="1" pivotButton="0" quotePrefix="0" xfId="0">
      <alignment horizontal="center" vertical="bottom" wrapText="1"/>
    </xf>
    <xf numFmtId="0" fontId="18" fillId="12" borderId="31" applyAlignment="1" pivotButton="0" quotePrefix="0" xfId="0">
      <alignment horizontal="center" vertical="bottom" textRotation="180"/>
    </xf>
    <xf numFmtId="0" fontId="19" fillId="0" borderId="26" applyAlignment="1" pivotButton="0" quotePrefix="0" xfId="0">
      <alignment horizontal="center" vertical="center"/>
    </xf>
    <xf numFmtId="0" fontId="19" fillId="0" borderId="31" applyAlignment="1" pivotButton="0" quotePrefix="0" xfId="0">
      <alignment horizontal="center" vertical="center"/>
    </xf>
    <xf numFmtId="0" fontId="6" fillId="0" borderId="0" pivotButton="0" quotePrefix="0" xfId="0"/>
    <xf numFmtId="0" fontId="3" fillId="11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center" vertical="center"/>
    </xf>
    <xf numFmtId="0" fontId="18" fillId="12" borderId="26" applyAlignment="1" pivotButton="0" quotePrefix="0" xfId="0">
      <alignment horizontal="center" vertical="bottom"/>
    </xf>
    <xf numFmtId="0" fontId="18" fillId="12" borderId="31" applyAlignment="1" pivotButton="0" quotePrefix="0" xfId="0">
      <alignment horizontal="center" vertical="bottom" textRotation="180"/>
    </xf>
    <xf numFmtId="0" fontId="19" fillId="0" borderId="26" applyAlignment="1" pivotButton="0" quotePrefix="0" xfId="0">
      <alignment horizontal="center" vertical="center"/>
    </xf>
    <xf numFmtId="0" fontId="19" fillId="0" borderId="31" applyAlignment="1" pivotButton="0" quotePrefix="0" xfId="0">
      <alignment horizontal="center" vertical="center"/>
    </xf>
    <xf numFmtId="0" fontId="1" fillId="0" borderId="0" pivotButton="0" quotePrefix="0" xfId="0"/>
    <xf numFmtId="0" fontId="3" fillId="11" borderId="0" applyAlignment="1" pivotButton="0" quotePrefix="0" xfId="0">
      <alignment horizontal="left" vertical="center"/>
    </xf>
    <xf numFmtId="0" fontId="27" fillId="17" borderId="33" pivotButton="0" quotePrefix="0" xfId="0"/>
    <xf numFmtId="0" fontId="28" fillId="18" borderId="34" applyAlignment="1" pivotButton="0" quotePrefix="0" xfId="0">
      <alignment horizontal="center" wrapText="1"/>
    </xf>
    <xf numFmtId="0" fontId="4" fillId="0" borderId="35" pivotButton="0" quotePrefix="0" xfId="0"/>
    <xf numFmtId="0" fontId="4" fillId="0" borderId="36" pivotButton="0" quotePrefix="0" xfId="0"/>
    <xf numFmtId="0" fontId="29" fillId="19" borderId="33" applyAlignment="1" pivotButton="0" quotePrefix="0" xfId="0">
      <alignment horizontal="center" wrapText="1"/>
    </xf>
    <xf numFmtId="0" fontId="30" fillId="19" borderId="33" applyAlignment="1" pivotButton="0" quotePrefix="0" xfId="0">
      <alignment horizontal="center" wrapText="1"/>
    </xf>
    <xf numFmtId="0" fontId="30" fillId="20" borderId="34" applyAlignment="1" pivotButton="0" quotePrefix="0" xfId="0">
      <alignment horizontal="center" wrapText="1"/>
    </xf>
    <xf numFmtId="0" fontId="30" fillId="21" borderId="33" applyAlignment="1" pivotButton="0" quotePrefix="0" xfId="0">
      <alignment horizontal="center" wrapText="1"/>
    </xf>
    <xf numFmtId="0" fontId="30" fillId="21" borderId="33" applyAlignment="1" pivotButton="0" quotePrefix="0" xfId="0">
      <alignment horizontal="center" vertical="bottom" wrapText="1"/>
    </xf>
    <xf numFmtId="0" fontId="14" fillId="17" borderId="33" applyAlignment="1" pivotButton="0" quotePrefix="0" xfId="0">
      <alignment vertical="bottom"/>
    </xf>
    <xf numFmtId="0" fontId="30" fillId="21" borderId="34" applyAlignment="1" pivotButton="0" quotePrefix="0" xfId="0">
      <alignment horizontal="center" wrapText="1"/>
    </xf>
    <xf numFmtId="0" fontId="30" fillId="22" borderId="33" applyAlignment="1" pivotButton="0" quotePrefix="0" xfId="0">
      <alignment horizontal="center" wrapText="1"/>
    </xf>
    <xf numFmtId="0" fontId="30" fillId="23" borderId="34" applyAlignment="1" pivotButton="0" quotePrefix="0" xfId="0">
      <alignment horizontal="center" wrapText="1"/>
    </xf>
    <xf numFmtId="0" fontId="30" fillId="24" borderId="34" applyAlignment="1" pivotButton="0" quotePrefix="0" xfId="0">
      <alignment horizontal="center" wrapText="1"/>
    </xf>
    <xf numFmtId="0" fontId="30" fillId="23" borderId="33" applyAlignment="1" pivotButton="0" quotePrefix="0" xfId="0">
      <alignment horizontal="center" wrapText="1"/>
    </xf>
    <xf numFmtId="0" fontId="30" fillId="17" borderId="34" applyAlignment="1" pivotButton="0" quotePrefix="0" xfId="0">
      <alignment horizontal="center" wrapText="1"/>
    </xf>
    <xf numFmtId="0" fontId="30" fillId="17" borderId="33" applyAlignment="1" pivotButton="0" quotePrefix="0" xfId="0">
      <alignment horizontal="center" wrapText="1"/>
    </xf>
    <xf numFmtId="0" fontId="31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32" fillId="0" borderId="0" applyAlignment="1" pivotButton="0" quotePrefix="0" xfId="0">
      <alignment horizontal="center"/>
    </xf>
    <xf numFmtId="0" fontId="33" fillId="0" borderId="0" pivotButton="0" quotePrefix="0" xfId="0"/>
    <xf numFmtId="0" fontId="31" fillId="0" borderId="0" pivotButton="0" quotePrefix="0" xfId="0"/>
    <xf numFmtId="0" fontId="8" fillId="0" borderId="0" applyAlignment="1" pivotButton="0" quotePrefix="0" xfId="0">
      <alignment horizontal="center" wrapText="1"/>
    </xf>
    <xf numFmtId="0" fontId="18" fillId="12" borderId="32" applyAlignment="1" pivotButton="0" quotePrefix="0" xfId="0">
      <alignment horizontal="center" vertical="bottom" wrapText="1"/>
    </xf>
    <xf numFmtId="0" fontId="19" fillId="0" borderId="0" applyAlignment="1" pivotButton="0" quotePrefix="0" xfId="0">
      <alignment horizontal="right" vertical="center"/>
    </xf>
    <xf numFmtId="0" fontId="34" fillId="0" borderId="0" pivotButton="0" quotePrefix="0" xfId="0"/>
    <xf numFmtId="0" fontId="31" fillId="0" borderId="0" pivotButton="0" quotePrefix="0" xfId="0"/>
    <xf numFmtId="0" fontId="3" fillId="25" borderId="12" pivotButton="0" quotePrefix="0" xfId="0"/>
    <xf numFmtId="0" fontId="3" fillId="26" borderId="12" pivotButton="0" quotePrefix="0" xfId="0"/>
    <xf numFmtId="0" fontId="3" fillId="27" borderId="12" pivotButton="0" quotePrefix="0" xfId="0"/>
    <xf numFmtId="0" fontId="3" fillId="28" borderId="12" pivotButton="0" quotePrefix="0" xfId="0"/>
    <xf numFmtId="0" fontId="24" fillId="9" borderId="5" applyAlignment="1" pivotButton="0" quotePrefix="0" xfId="0">
      <alignment horizontal="center"/>
    </xf>
    <xf numFmtId="0" fontId="24" fillId="29" borderId="5" applyAlignment="1" pivotButton="0" quotePrefix="0" xfId="0">
      <alignment horizontal="center"/>
    </xf>
    <xf numFmtId="0" fontId="24" fillId="10" borderId="5" applyAlignment="1" pivotButton="0" quotePrefix="0" xfId="0">
      <alignment horizontal="center"/>
    </xf>
    <xf numFmtId="0" fontId="35" fillId="30" borderId="12" pivotButton="0" quotePrefix="0" xfId="0"/>
    <xf numFmtId="0" fontId="19" fillId="0" borderId="0" applyAlignment="1" pivotButton="0" quotePrefix="0" xfId="0">
      <alignment horizontal="center"/>
    </xf>
    <xf numFmtId="165" fontId="19" fillId="0" borderId="0" applyAlignment="1" pivotButton="0" quotePrefix="0" xfId="0">
      <alignment horizontal="center"/>
    </xf>
    <xf numFmtId="165" fontId="19" fillId="0" borderId="0" applyAlignment="1" pivotButton="0" quotePrefix="0" xfId="0">
      <alignment horizontal="center"/>
    </xf>
    <xf numFmtId="166" fontId="19" fillId="0" borderId="0" applyAlignment="1" pivotButton="0" quotePrefix="0" xfId="0">
      <alignment horizontal="center"/>
    </xf>
    <xf numFmtId="0" fontId="17" fillId="0" borderId="0" pivotButton="0" quotePrefix="0" xfId="0"/>
    <xf numFmtId="0" fontId="9" fillId="0" borderId="0" pivotButton="0" quotePrefix="0" xfId="0"/>
    <xf numFmtId="0" fontId="9" fillId="4" borderId="12" pivotButton="0" quotePrefix="0" xfId="0"/>
    <xf numFmtId="0" fontId="36" fillId="0" borderId="0" pivotButton="0" quotePrefix="0" xfId="0"/>
    <xf numFmtId="0" fontId="9" fillId="31" borderId="12" applyAlignment="1" pivotButton="0" quotePrefix="0" xfId="0">
      <alignment horizontal="center"/>
    </xf>
    <xf numFmtId="0" fontId="18" fillId="0" borderId="0" pivotButton="0" quotePrefix="0" xfId="0"/>
    <xf numFmtId="0" fontId="24" fillId="0" borderId="5" pivotButton="0" quotePrefix="0" xfId="0"/>
    <xf numFmtId="167" fontId="2" fillId="32" borderId="5" pivotButton="0" quotePrefix="0" xfId="0"/>
    <xf numFmtId="168" fontId="2" fillId="0" borderId="5" pivotButton="0" quotePrefix="0" xfId="0"/>
    <xf numFmtId="0" fontId="24" fillId="33" borderId="5" pivotButton="0" quotePrefix="0" xfId="0"/>
    <xf numFmtId="167" fontId="2" fillId="10" borderId="5" pivotButton="0" quotePrefix="0" xfId="0"/>
    <xf numFmtId="0" fontId="24" fillId="4" borderId="5" pivotButton="0" quotePrefix="0" xfId="0"/>
    <xf numFmtId="0" fontId="37" fillId="0" borderId="0" pivotButton="0" quotePrefix="0" xfId="0"/>
    <xf numFmtId="0" fontId="34" fillId="0" borderId="0" pivotButton="0" quotePrefix="0" xfId="0"/>
    <xf numFmtId="0" fontId="9" fillId="4" borderId="5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24" fillId="9" borderId="5" applyAlignment="1" pivotButton="0" quotePrefix="0" xfId="0">
      <alignment horizontal="center" textRotation="180"/>
    </xf>
    <xf numFmtId="0" fontId="24" fillId="29" borderId="5" applyAlignment="1" pivotButton="0" quotePrefix="0" xfId="0">
      <alignment horizontal="center" textRotation="180"/>
    </xf>
    <xf numFmtId="0" fontId="24" fillId="10" borderId="5" applyAlignment="1" pivotButton="0" quotePrefix="0" xfId="0">
      <alignment horizontal="center" textRotation="180"/>
    </xf>
    <xf numFmtId="0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168" fontId="5" fillId="0" borderId="0" applyAlignment="1" pivotButton="0" quotePrefix="0" xfId="0">
      <alignment horizontal="center"/>
    </xf>
    <xf numFmtId="0" fontId="2" fillId="5" borderId="5" pivotButton="0" quotePrefix="0" xfId="0"/>
    <xf numFmtId="4" fontId="9" fillId="9" borderId="5" applyAlignment="1" pivotButton="0" quotePrefix="0" xfId="0">
      <alignment horizontal="center"/>
    </xf>
    <xf numFmtId="4" fontId="9" fillId="29" borderId="5" applyAlignment="1" pivotButton="0" quotePrefix="0" xfId="0">
      <alignment horizontal="center"/>
    </xf>
    <xf numFmtId="168" fontId="9" fillId="10" borderId="5" applyAlignment="1" pivotButton="0" quotePrefix="0" xfId="0">
      <alignment horizontal="center"/>
    </xf>
    <xf numFmtId="0" fontId="37" fillId="0" borderId="0" pivotButton="0" quotePrefix="0" xfId="0"/>
    <xf numFmtId="0" fontId="36" fillId="0" borderId="0" pivotButton="0" quotePrefix="0" xfId="0"/>
    <xf numFmtId="0" fontId="18" fillId="13" borderId="0" applyAlignment="1" pivotButton="0" quotePrefix="0" xfId="0">
      <alignment horizontal="right" vertical="center"/>
    </xf>
    <xf numFmtId="0" fontId="8" fillId="5" borderId="0" pivotButton="0" quotePrefix="0" xfId="0"/>
    <xf numFmtId="0" fontId="18" fillId="12" borderId="26" applyAlignment="1" pivotButton="0" quotePrefix="0" xfId="0">
      <alignment horizontal="center" vertical="bottom" textRotation="180"/>
    </xf>
    <xf numFmtId="0" fontId="8" fillId="0" borderId="0" applyAlignment="1" pivotButton="0" quotePrefix="0" xfId="0">
      <alignment horizontal="left"/>
    </xf>
    <xf numFmtId="0" fontId="28" fillId="34" borderId="23" applyAlignment="1" pivotButton="0" quotePrefix="0" xfId="0">
      <alignment vertical="center"/>
    </xf>
    <xf numFmtId="0" fontId="4" fillId="0" borderId="37" pivotButton="0" quotePrefix="0" xfId="0"/>
    <xf numFmtId="0" fontId="4" fillId="0" borderId="38" pivotButton="0" quotePrefix="0" xfId="0"/>
    <xf numFmtId="0" fontId="38" fillId="0" borderId="18" applyAlignment="1" pivotButton="0" quotePrefix="0" xfId="0">
      <alignment vertical="center" wrapText="1"/>
    </xf>
    <xf numFmtId="0" fontId="38" fillId="0" borderId="18" applyAlignment="1" pivotButton="0" quotePrefix="0" xfId="0">
      <alignment horizontal="center" vertical="center" wrapText="1"/>
    </xf>
    <xf numFmtId="0" fontId="38" fillId="0" borderId="18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center" wrapText="1"/>
    </xf>
    <xf numFmtId="0" fontId="39" fillId="35" borderId="12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 wrapText="1"/>
    </xf>
    <xf numFmtId="0" fontId="41" fillId="36" borderId="39" applyAlignment="1" pivotButton="0" quotePrefix="0" xfId="0">
      <alignment horizontal="left" vertical="center"/>
    </xf>
    <xf numFmtId="0" fontId="40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vertical="center" wrapText="1"/>
    </xf>
    <xf numFmtId="0" fontId="41" fillId="36" borderId="12" applyAlignment="1" pivotButton="0" quotePrefix="0" xfId="0">
      <alignment horizontal="center" vertical="center"/>
    </xf>
    <xf numFmtId="0" fontId="41" fillId="36" borderId="12" applyAlignment="1" pivotButton="0" quotePrefix="0" xfId="0">
      <alignment horizontal="left" vertical="center"/>
    </xf>
    <xf numFmtId="0" fontId="28" fillId="34" borderId="40" applyAlignment="1" pivotButton="0" quotePrefix="0" xfId="0">
      <alignment vertical="center"/>
    </xf>
    <xf numFmtId="0" fontId="28" fillId="34" borderId="41" applyAlignment="1" pivotButton="0" quotePrefix="0" xfId="0">
      <alignment vertical="center"/>
    </xf>
    <xf numFmtId="0" fontId="28" fillId="34" borderId="42" applyAlignment="1" pivotButton="0" quotePrefix="0" xfId="0">
      <alignment vertical="center"/>
    </xf>
    <xf numFmtId="0" fontId="38" fillId="0" borderId="18" applyAlignment="1" pivotButton="0" quotePrefix="0" xfId="0">
      <alignment vertical="center" wrapText="1"/>
    </xf>
    <xf numFmtId="0" fontId="42" fillId="37" borderId="39" applyAlignment="1" pivotButton="0" quotePrefix="0" xfId="0">
      <alignment horizontal="center" vertical="center"/>
    </xf>
    <xf numFmtId="2" fontId="43" fillId="35" borderId="39" applyAlignment="1" pivotButton="0" quotePrefix="0" xfId="0">
      <alignment horizontal="center"/>
    </xf>
    <xf numFmtId="2" fontId="44" fillId="36" borderId="12" applyAlignment="1" pivotButton="0" quotePrefix="0" xfId="0">
      <alignment horizontal="center"/>
    </xf>
    <xf numFmtId="2" fontId="41" fillId="36" borderId="12" applyAlignment="1" pivotButton="0" quotePrefix="0" xfId="0">
      <alignment horizontal="center" vertical="center"/>
    </xf>
    <xf numFmtId="0" fontId="42" fillId="37" borderId="12" applyAlignment="1" pivotButton="0" quotePrefix="0" xfId="0">
      <alignment horizontal="center" vertical="center"/>
    </xf>
    <xf numFmtId="2" fontId="43" fillId="35" borderId="12" applyAlignment="1" pivotButton="0" quotePrefix="0" xfId="0">
      <alignment horizontal="center"/>
    </xf>
    <xf numFmtId="0" fontId="43" fillId="0" borderId="0" applyAlignment="1" pivotButton="0" quotePrefix="0" xfId="0">
      <alignment wrapText="1"/>
    </xf>
    <xf numFmtId="2" fontId="45" fillId="37" borderId="12" applyAlignment="1" pivotButton="0" quotePrefix="0" xfId="0">
      <alignment horizontal="center"/>
    </xf>
    <xf numFmtId="0" fontId="14" fillId="0" borderId="0" applyAlignment="1" pivotButton="0" quotePrefix="0" xfId="0">
      <alignment vertical="bottom"/>
    </xf>
    <xf numFmtId="0" fontId="39" fillId="0" borderId="18" applyAlignment="1" pivotButton="0" quotePrefix="0" xfId="0">
      <alignment vertical="center" wrapText="1"/>
    </xf>
    <xf numFmtId="0" fontId="42" fillId="37" borderId="15" applyAlignment="1" pivotButton="0" quotePrefix="0" xfId="0">
      <alignment horizontal="center" vertical="center"/>
    </xf>
    <xf numFmtId="2" fontId="44" fillId="36" borderId="15" applyAlignment="1" pivotButton="0" quotePrefix="0" xfId="0">
      <alignment horizontal="center"/>
    </xf>
    <xf numFmtId="2" fontId="41" fillId="36" borderId="15" applyAlignment="1" pivotButton="0" quotePrefix="0" xfId="0">
      <alignment horizontal="center" vertical="center"/>
    </xf>
    <xf numFmtId="2" fontId="41" fillId="36" borderId="39" applyAlignment="1" pivotButton="0" quotePrefix="0" xfId="0">
      <alignment horizontal="center" vertical="center"/>
    </xf>
    <xf numFmtId="0" fontId="39" fillId="35" borderId="12" applyAlignment="1" pivotButton="0" quotePrefix="0" xfId="0">
      <alignment horizontal="center" vertical="center"/>
    </xf>
    <xf numFmtId="0" fontId="46" fillId="0" borderId="0" pivotButton="0" quotePrefix="0" xfId="0"/>
    <xf numFmtId="164" fontId="39" fillId="35" borderId="12" applyAlignment="1" pivotButton="0" quotePrefix="0" xfId="0">
      <alignment horizontal="center" vertical="center"/>
    </xf>
    <xf numFmtId="164" fontId="39" fillId="35" borderId="12" applyAlignment="1" pivotButton="0" quotePrefix="0" xfId="0">
      <alignment horizontal="center" vertical="center"/>
    </xf>
    <xf numFmtId="164" fontId="41" fillId="36" borderId="12" applyAlignment="1" pivotButton="0" quotePrefix="0" xfId="0">
      <alignment horizontal="center" vertical="center"/>
    </xf>
    <xf numFmtId="0" fontId="47" fillId="0" borderId="0" pivotButton="0" quotePrefix="0" xfId="0"/>
    <xf numFmtId="0" fontId="28" fillId="34" borderId="23" applyAlignment="1" pivotButton="0" quotePrefix="0" xfId="0">
      <alignment vertical="center"/>
    </xf>
    <xf numFmtId="0" fontId="39" fillId="0" borderId="0" applyAlignment="1" pivotButton="0" quotePrefix="0" xfId="0">
      <alignment horizontal="right" vertical="center" wrapText="1"/>
    </xf>
    <xf numFmtId="0" fontId="48" fillId="0" borderId="0" pivotButton="0" quotePrefix="0" xfId="0"/>
    <xf numFmtId="0" fontId="49" fillId="0" borderId="0" pivotButton="0" quotePrefix="0" xfId="0"/>
    <xf numFmtId="0" fontId="33" fillId="0" borderId="0" applyAlignment="1" pivotButton="0" quotePrefix="0" xfId="0">
      <alignment horizontal="center"/>
    </xf>
    <xf numFmtId="0" fontId="33" fillId="0" borderId="2" applyAlignment="1" pivotButton="0" quotePrefix="0" xfId="0">
      <alignment horizontal="center"/>
    </xf>
    <xf numFmtId="10" fontId="8" fillId="0" borderId="3" applyAlignment="1" pivotButton="0" quotePrefix="0" xfId="0">
      <alignment horizontal="center"/>
    </xf>
    <xf numFmtId="0" fontId="8" fillId="0" borderId="2" applyAlignment="1" pivotButton="0" quotePrefix="0" xfId="0">
      <alignment horizontal="right"/>
    </xf>
    <xf numFmtId="0" fontId="8" fillId="0" borderId="3" pivotButton="0" quotePrefix="0" xfId="0"/>
    <xf numFmtId="10" fontId="33" fillId="0" borderId="3" applyAlignment="1" pivotButton="0" quotePrefix="0" xfId="0">
      <alignment horizontal="center"/>
    </xf>
    <xf numFmtId="0" fontId="33" fillId="0" borderId="3" applyAlignment="1" pivotButton="0" quotePrefix="0" xfId="0">
      <alignment horizontal="center"/>
    </xf>
    <xf numFmtId="0" fontId="39" fillId="35" borderId="12" applyAlignment="1" pivotButton="0" quotePrefix="0" xfId="0">
      <alignment vertical="center"/>
    </xf>
    <xf numFmtId="0" fontId="41" fillId="36" borderId="12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/>
    </xf>
    <xf numFmtId="0" fontId="8" fillId="4" borderId="0" applyAlignment="1" pivotButton="0" quotePrefix="0" xfId="0">
      <alignment horizontal="center"/>
    </xf>
    <xf numFmtId="0" fontId="8" fillId="0" borderId="2" applyAlignment="1" pivotButton="0" quotePrefix="0" xfId="0">
      <alignment horizontal="right"/>
    </xf>
    <xf numFmtId="0" fontId="8" fillId="4" borderId="3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right"/>
    </xf>
    <xf numFmtId="10" fontId="8" fillId="0" borderId="3" pivotButton="0" quotePrefix="0" xfId="0"/>
    <xf numFmtId="0" fontId="8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28" fillId="34" borderId="37" applyAlignment="1" pivotButton="0" quotePrefix="0" xfId="0">
      <alignment vertical="center"/>
    </xf>
    <xf numFmtId="0" fontId="38" fillId="0" borderId="17" applyAlignment="1" pivotButton="0" quotePrefix="0" xfId="0">
      <alignment horizontal="right" vertical="center" wrapText="1"/>
    </xf>
    <xf numFmtId="0" fontId="39" fillId="35" borderId="23" applyAlignment="1" pivotButton="0" quotePrefix="0" xfId="0">
      <alignment horizontal="center" vertical="center"/>
    </xf>
    <xf numFmtId="0" fontId="39" fillId="35" borderId="43" applyAlignment="1" pivotButton="0" quotePrefix="0" xfId="0">
      <alignment horizontal="right" vertical="center"/>
    </xf>
    <xf numFmtId="0" fontId="39" fillId="35" borderId="37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/>
    </xf>
    <xf numFmtId="0" fontId="33" fillId="0" borderId="18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8" fillId="10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10" fontId="8" fillId="10" borderId="0" applyAlignment="1" pivotButton="0" quotePrefix="0" xfId="0">
      <alignment horizontal="center"/>
    </xf>
    <xf numFmtId="1" fontId="33" fillId="0" borderId="0" applyAlignment="1" pivotButton="0" quotePrefix="0" xfId="0">
      <alignment horizontal="center"/>
    </xf>
    <xf numFmtId="0" fontId="33" fillId="0" borderId="17" applyAlignment="1" pivotButton="0" quotePrefix="0" xfId="0">
      <alignment horizontal="center"/>
    </xf>
    <xf numFmtId="10" fontId="33" fillId="0" borderId="19" applyAlignment="1" pivotButton="0" quotePrefix="0" xfId="0">
      <alignment horizontal="center"/>
    </xf>
    <xf numFmtId="0" fontId="8" fillId="0" borderId="19" applyAlignment="1" pivotButton="0" quotePrefix="0" xfId="0">
      <alignment horizontal="center"/>
    </xf>
    <xf numFmtId="0" fontId="33" fillId="0" borderId="19" applyAlignment="1" pivotButton="0" quotePrefix="0" xfId="0">
      <alignment horizontal="center"/>
    </xf>
    <xf numFmtId="0" fontId="8" fillId="10" borderId="3" applyAlignment="1" pivotButton="0" quotePrefix="0" xfId="0">
      <alignment horizontal="center"/>
    </xf>
    <xf numFmtId="10" fontId="8" fillId="10" borderId="3" applyAlignment="1" pivotButton="0" quotePrefix="0" xfId="0">
      <alignment horizontal="center"/>
    </xf>
    <xf numFmtId="0" fontId="39" fillId="35" borderId="12" applyAlignment="1" pivotButton="0" quotePrefix="0" xfId="0">
      <alignment vertical="center"/>
    </xf>
    <xf numFmtId="0" fontId="4" fillId="0" borderId="18" pivotButton="0" quotePrefix="0" xfId="0"/>
    <xf numFmtId="0" fontId="28" fillId="34" borderId="44" applyAlignment="1" pivotButton="0" quotePrefix="0" xfId="0">
      <alignment vertical="center"/>
    </xf>
    <xf numFmtId="0" fontId="33" fillId="0" borderId="18" pivotButton="0" quotePrefix="0" xfId="0"/>
    <xf numFmtId="0" fontId="8" fillId="10" borderId="0" pivotButton="0" quotePrefix="0" xfId="0"/>
    <xf numFmtId="0" fontId="8" fillId="0" borderId="0" applyAlignment="1" pivotButton="0" quotePrefix="0" xfId="0">
      <alignment/>
    </xf>
    <xf numFmtId="0" fontId="8" fillId="34" borderId="0" pivotButton="0" quotePrefix="0" xfId="0"/>
    <xf numFmtId="0" fontId="14" fillId="0" borderId="18" applyAlignment="1" pivotButton="0" quotePrefix="0" xfId="0">
      <alignment horizontal="center" vertical="bottom"/>
    </xf>
    <xf numFmtId="0" fontId="14" fillId="0" borderId="17" applyAlignment="1" pivotButton="0" quotePrefix="0" xfId="0">
      <alignment horizontal="center" vertical="bottom"/>
    </xf>
    <xf numFmtId="0" fontId="14" fillId="0" borderId="14" applyAlignment="1" pivotButton="0" quotePrefix="0" xfId="0">
      <alignment horizontal="center" vertical="bottom"/>
    </xf>
    <xf numFmtId="0" fontId="41" fillId="36" borderId="12" applyAlignment="1" pivotButton="0" quotePrefix="0" xfId="0">
      <alignment horizontal="center" vertical="center"/>
    </xf>
    <xf numFmtId="0" fontId="41" fillId="36" borderId="12" applyAlignment="1" pivotButton="0" quotePrefix="0" xfId="0">
      <alignment horizontal="left" vertical="center"/>
    </xf>
    <xf numFmtId="0" fontId="41" fillId="36" borderId="1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bottom"/>
    </xf>
    <xf numFmtId="10" fontId="14" fillId="0" borderId="0" applyAlignment="1" pivotButton="0" quotePrefix="0" xfId="0">
      <alignment horizontal="center" vertical="bottom"/>
    </xf>
    <xf numFmtId="0" fontId="8" fillId="0" borderId="5" applyAlignment="1" pivotButton="0" quotePrefix="0" xfId="0">
      <alignment horizontal="center"/>
    </xf>
    <xf numFmtId="0" fontId="5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right" vertical="bottom"/>
    </xf>
    <xf numFmtId="169" fontId="14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/>
    </xf>
    <xf numFmtId="0" fontId="51" fillId="27" borderId="12" pivotButton="0" quotePrefix="0" xfId="0"/>
    <xf numFmtId="0" fontId="24" fillId="29" borderId="12" pivotButton="0" quotePrefix="0" xfId="0"/>
    <xf numFmtId="0" fontId="26" fillId="4" borderId="12" applyAlignment="1" pivotButton="0" quotePrefix="0" xfId="0">
      <alignment horizontal="center"/>
    </xf>
    <xf numFmtId="0" fontId="52" fillId="0" borderId="0" pivotButton="0" quotePrefix="0" xfId="0"/>
    <xf numFmtId="0" fontId="26" fillId="4" borderId="12" applyAlignment="1" pivotButton="0" quotePrefix="0" xfId="0">
      <alignment horizontal="center"/>
    </xf>
    <xf numFmtId="0" fontId="26" fillId="8" borderId="12" applyAlignment="1" pivotButton="0" quotePrefix="0" xfId="0">
      <alignment horizontal="center"/>
    </xf>
    <xf numFmtId="0" fontId="26" fillId="10" borderId="12" pivotButton="0" quotePrefix="0" xfId="0"/>
    <xf numFmtId="0" fontId="51" fillId="11" borderId="12" pivotButton="0" quotePrefix="0" xfId="0"/>
    <xf numFmtId="0" fontId="19" fillId="10" borderId="12" pivotButton="0" quotePrefix="0" xfId="0"/>
    <xf numFmtId="0" fontId="53" fillId="10" borderId="12" pivotButton="0" quotePrefix="0" xfId="0"/>
    <xf numFmtId="0" fontId="54" fillId="0" borderId="0" applyAlignment="1" pivotButton="0" quotePrefix="0" xfId="0">
      <alignment vertical="bottom" wrapText="1"/>
    </xf>
    <xf numFmtId="0" fontId="33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21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right" vertical="bottom"/>
    </xf>
    <xf numFmtId="4" fontId="21" fillId="0" borderId="0" applyAlignment="1" pivotButton="0" quotePrefix="0" xfId="0">
      <alignment horizontal="right" vertical="bottom"/>
    </xf>
    <xf numFmtId="170" fontId="33" fillId="0" borderId="0" applyAlignment="1" pivotButton="0" quotePrefix="0" xfId="0">
      <alignment wrapText="1"/>
    </xf>
    <xf numFmtId="170" fontId="8" fillId="0" borderId="0" pivotButton="0" quotePrefix="0" xfId="0"/>
    <xf numFmtId="170" fontId="8" fillId="0" borderId="0" pivotButton="0" quotePrefix="0" xfId="0"/>
    <xf numFmtId="0" fontId="33" fillId="0" borderId="0" applyAlignment="1" pivotButton="0" quotePrefix="0" xfId="0">
      <alignment horizontal="center" wrapText="1"/>
    </xf>
    <xf numFmtId="0" fontId="0" fillId="0" borderId="0" pivotButton="0" quotePrefix="0" xfId="0"/>
  </cellXfs>
  <cellStyles count="1">
    <cellStyle name="Normal" xfId="0" builtinId="0"/>
  </cellStyles>
  <dxfs count="10">
    <dxf>
      <font>
        <b val="1"/>
      </font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 val="1"/>
        <i val="1"/>
        <color rgb="FFB7B7B7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B45F06"/>
    <outlinePr summaryBelow="1" summaryRight="1"/>
    <pageSetUpPr/>
  </sheetPr>
  <dimension ref="A1:AX108"/>
  <sheetViews>
    <sheetView workbookViewId="0">
      <selection activeCell="A1" sqref="A1"/>
    </sheetView>
  </sheetViews>
  <sheetFormatPr baseColWidth="8" defaultColWidth="12.63" defaultRowHeight="15" customHeight="1"/>
  <cols>
    <col width="26.5" customWidth="1" style="397" min="1" max="1"/>
    <col width="19.63" customWidth="1" style="397" min="2" max="2"/>
    <col width="18" customWidth="1" style="397" min="3" max="3"/>
    <col width="14" customWidth="1" style="397" min="4" max="4"/>
    <col width="11" customWidth="1" style="397" min="5" max="5"/>
    <col width="10" customWidth="1" style="397" min="6" max="6"/>
    <col width="9" customWidth="1" style="397" min="7" max="7"/>
    <col width="6" customWidth="1" style="397" min="8" max="28"/>
    <col width="7.63" customWidth="1" style="397" min="29" max="32"/>
    <col width="2.5" customWidth="1" style="397" min="33" max="33"/>
    <col width="9.630000000000001" customWidth="1" style="397" min="34" max="34"/>
    <col width="10" customWidth="1" style="397" min="35" max="44"/>
    <col width="7.63" customWidth="1" style="397" min="45" max="45"/>
    <col width="5.25" customWidth="1" style="397" min="46" max="46"/>
    <col width="7" customWidth="1" style="397" min="47" max="47"/>
  </cols>
  <sheetData>
    <row r="1" ht="21.75" customHeight="1" s="397">
      <c r="A1" s="39" t="inlineStr">
        <is>
          <t>Photoshoot</t>
        </is>
      </c>
      <c r="AH1" s="250" t="inlineStr">
        <is>
          <t>Player Reach Simulation (per event day) - SIMULATED - GREEDY (reward-item-first)</t>
        </is>
      </c>
    </row>
    <row r="2" ht="19.5" customHeight="1" s="397">
      <c r="A2" s="92" t="inlineStr">
        <is>
          <t>Config Panel</t>
        </is>
      </c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  <c r="O2" s="92" t="n"/>
      <c r="P2" s="92" t="n"/>
      <c r="Q2" s="92" t="n"/>
      <c r="R2" s="92" t="n"/>
      <c r="S2" s="92" t="n"/>
      <c r="T2" s="92" t="n"/>
      <c r="U2" s="92" t="n"/>
      <c r="V2" s="92" t="n"/>
      <c r="W2" s="92" t="n"/>
      <c r="X2" s="92" t="n"/>
      <c r="Y2" s="92" t="n"/>
      <c r="Z2" s="92" t="n"/>
      <c r="AA2" s="92" t="n"/>
      <c r="AB2" s="92" t="n"/>
      <c r="AH2" s="131" t="inlineStr">
        <is>
          <t>Percentile</t>
        </is>
      </c>
      <c r="AI2" s="148" t="inlineStr">
        <is>
          <t>Avg</t>
        </is>
      </c>
    </row>
    <row r="3">
      <c r="A3" s="181" t="inlineStr">
        <is>
          <t>EventDuration (days)</t>
        </is>
      </c>
      <c r="B3" s="133" t="n">
        <v>3</v>
      </c>
      <c r="AH3" s="131" t="inlineStr">
        <is>
          <t>Payer</t>
        </is>
      </c>
      <c r="AI3" s="148" t="inlineStr">
        <is>
          <t>NONPAYER</t>
        </is>
      </c>
    </row>
    <row r="4">
      <c r="A4" s="181" t="inlineStr">
        <is>
          <t>requiredPlayerLevel</t>
        </is>
      </c>
      <c r="B4" s="133" t="n">
        <v>1</v>
      </c>
      <c r="AU4" s="141" t="inlineStr">
        <is>
          <t>Cum item price</t>
        </is>
      </c>
      <c r="AW4" t="inlineStr">
        <is>
          <t>Set #</t>
        </is>
      </c>
      <c r="AX4" t="inlineStr">
        <is>
          <t>Greedy cum. cost</t>
        </is>
      </c>
    </row>
    <row r="5">
      <c r="A5" s="181" t="inlineStr">
        <is>
          <t>requiredSagaLevel</t>
        </is>
      </c>
      <c r="B5" s="133" t="n">
        <v>17</v>
      </c>
      <c r="AH5" s="134" t="inlineStr">
        <is>
          <t>Day_of_event</t>
        </is>
      </c>
      <c r="AI5" s="134" t="inlineStr">
        <is>
          <t>0-9_ms</t>
        </is>
      </c>
      <c r="AJ5" s="134" t="inlineStr">
        <is>
          <t>0-9_reward</t>
        </is>
      </c>
      <c r="AK5" s="134" t="inlineStr">
        <is>
          <t>10-19_ms</t>
        </is>
      </c>
      <c r="AL5" s="134" t="inlineStr">
        <is>
          <t>10-19_reward</t>
        </is>
      </c>
      <c r="AM5" s="134" t="inlineStr">
        <is>
          <t>20-39_ms</t>
        </is>
      </c>
      <c r="AN5" s="134" t="inlineStr">
        <is>
          <t>20-39_reward</t>
        </is>
      </c>
      <c r="AO5" s="134" t="inlineStr">
        <is>
          <t>40-99_ms</t>
        </is>
      </c>
      <c r="AP5" s="134" t="inlineStr">
        <is>
          <t>40-99_reward</t>
        </is>
      </c>
      <c r="AQ5" s="134" t="inlineStr">
        <is>
          <t>100_ms</t>
        </is>
      </c>
      <c r="AR5" s="134" t="inlineStr">
        <is>
          <t>100_reward</t>
        </is>
      </c>
      <c r="AT5" s="142" t="n">
        <v>1</v>
      </c>
      <c r="AU5" s="178">
        <f>SUM($F$25:$F25)</f>
        <v/>
      </c>
      <c r="AW5" t="n">
        <v>1</v>
      </c>
      <c r="AX5" t="n">
        <v>155</v>
      </c>
    </row>
    <row r="6">
      <c r="A6" s="181" t="inlineStr">
        <is>
          <t>lastTierUnlockRequirement</t>
        </is>
      </c>
      <c r="B6" s="133">
        <f>TRUE()</f>
        <v/>
      </c>
      <c r="AH6" s="135">
        <f>IF(1&lt;=$B$3,1,"")</f>
        <v/>
      </c>
      <c r="AI6" s="136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/>
      </c>
      <c r="AJ6" s="137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6" s="136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/>
      </c>
      <c r="AL6" s="137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6" s="136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/>
      </c>
      <c r="AN6" s="137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6" s="136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/>
      </c>
      <c r="AP6" s="137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6" s="136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/>
      </c>
      <c r="AR6" s="137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T6" s="142" t="n">
        <v>2</v>
      </c>
      <c r="AU6" s="178">
        <f>SUM($F$25:$F26)</f>
        <v/>
      </c>
      <c r="AW6" t="n">
        <v>2</v>
      </c>
      <c r="AX6" t="n">
        <v>395</v>
      </c>
    </row>
    <row r="7">
      <c r="A7" s="181" t="inlineStr">
        <is>
          <t>manualRewardClaiming</t>
        </is>
      </c>
      <c r="B7" s="133">
        <f>FALSE()</f>
        <v/>
      </c>
      <c r="AH7" s="135">
        <f>IF(2&lt;=$B$3,2,"")</f>
        <v/>
      </c>
      <c r="AI7" s="136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/>
      </c>
      <c r="AJ7" s="137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7" s="136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/>
      </c>
      <c r="AL7" s="137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7" s="136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/>
      </c>
      <c r="AN7" s="137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7" s="136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/>
      </c>
      <c r="AP7" s="137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7" s="136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/>
      </c>
      <c r="AR7" s="137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T7" s="142" t="n">
        <v>3</v>
      </c>
      <c r="AU7" s="178">
        <f>SUM($F$25:$F27)</f>
        <v/>
      </c>
      <c r="AW7" t="n">
        <v>3</v>
      </c>
      <c r="AX7" t="n">
        <v>640</v>
      </c>
    </row>
    <row r="8">
      <c r="A8" s="181" t="inlineStr">
        <is>
          <t>assetBundle</t>
        </is>
      </c>
      <c r="B8" s="175" t="inlineStr">
        <is>
          <t>event-photoshoot-generic</t>
        </is>
      </c>
      <c r="AH8" s="135">
        <f>IF(3&lt;=$B$3,3,"")</f>
        <v/>
      </c>
      <c r="AI8" s="136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/>
      </c>
      <c r="AJ8" s="137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8" s="136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/>
      </c>
      <c r="AL8" s="137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8" s="136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/>
      </c>
      <c r="AN8" s="137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8" s="136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/>
      </c>
      <c r="AP8" s="137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8" s="136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/>
      </c>
      <c r="AR8" s="137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T8" s="142" t="n">
        <v>4</v>
      </c>
      <c r="AU8" s="178">
        <f>SUM($F$25:$F28)</f>
        <v/>
      </c>
      <c r="AW8" t="n">
        <v>4</v>
      </c>
      <c r="AX8" t="n">
        <v>985</v>
      </c>
    </row>
    <row r="9">
      <c r="A9" s="181" t="inlineStr">
        <is>
          <t>numberOfItems</t>
        </is>
      </c>
      <c r="B9" s="133" t="n">
        <v>30</v>
      </c>
      <c r="AH9" s="135">
        <f>IF(4&lt;=$B$3,4,"")</f>
        <v/>
      </c>
      <c r="AI9" s="136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137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136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137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136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137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136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137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136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137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T9" s="142" t="n">
        <v>5</v>
      </c>
      <c r="AU9" s="178">
        <f>SUM($F$25:$F29)</f>
        <v/>
      </c>
      <c r="AW9" t="n">
        <v>5</v>
      </c>
      <c r="AX9" t="n">
        <v>1415</v>
      </c>
    </row>
    <row r="10">
      <c r="A10" s="181" t="inlineStr">
        <is>
          <t>numberOfMilestoneTiers</t>
        </is>
      </c>
      <c r="B10" s="133" t="n">
        <v>10</v>
      </c>
      <c r="AH10" s="135">
        <f>IF(5&lt;=$B$3,5,"")</f>
        <v/>
      </c>
      <c r="AI10" s="136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137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136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137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136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137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136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137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136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137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T10" s="142" t="n">
        <v>6</v>
      </c>
      <c r="AU10" s="178">
        <f>SUM($F$25:$F30)</f>
        <v/>
      </c>
      <c r="AW10" t="n">
        <v>6</v>
      </c>
      <c r="AX10" t="n">
        <v>1845</v>
      </c>
    </row>
    <row r="11">
      <c r="A11" s="181" t="inlineStr">
        <is>
          <t>numberOfEndlessLanes</t>
        </is>
      </c>
      <c r="B11" s="133" t="n">
        <v>3</v>
      </c>
      <c r="AH11" s="135">
        <f>IF(6&lt;=$B$3,6,"")</f>
        <v/>
      </c>
      <c r="AI11" s="136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137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136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137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136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137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136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137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136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137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T11" s="142" t="n">
        <v>7</v>
      </c>
      <c r="AU11" s="178">
        <f>SUM($F$25:$F31)</f>
        <v/>
      </c>
      <c r="AW11" t="n">
        <v>7</v>
      </c>
      <c r="AX11" t="n">
        <v>2555</v>
      </c>
    </row>
    <row r="12">
      <c r="A12" s="181" t="inlineStr">
        <is>
          <t>endlessRewardsPerLane</t>
        </is>
      </c>
      <c r="B12" s="133" t="n">
        <v>15</v>
      </c>
      <c r="AH12" s="135">
        <f>IF(7&lt;=$B$3,7,"")</f>
        <v/>
      </c>
      <c r="AI12" s="136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137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136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137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136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137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136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137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136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137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T12" s="142" t="n">
        <v>8</v>
      </c>
      <c r="AU12" s="178">
        <f>SUM($F$25:$F32)</f>
        <v/>
      </c>
      <c r="AW12" t="n">
        <v>8</v>
      </c>
      <c r="AX12" t="n">
        <v>3415</v>
      </c>
    </row>
    <row r="13">
      <c r="A13" s="181" t="inlineStr">
        <is>
          <t>itemLevelUnlocks (per set)</t>
        </is>
      </c>
      <c r="B13" s="133" t="inlineStr">
        <is>
          <t>0, 1, 1, 1, 1, 1, 1, 1, 1, 1</t>
        </is>
      </c>
      <c r="AT13" s="142" t="n">
        <v>9</v>
      </c>
      <c r="AU13" s="178">
        <f>SUM($F$25:$F33)</f>
        <v/>
      </c>
      <c r="AW13" t="n">
        <v>9</v>
      </c>
      <c r="AX13" t="n">
        <v>4675</v>
      </c>
    </row>
    <row r="14">
      <c r="AT14" s="142" t="n">
        <v>10</v>
      </c>
      <c r="AU14" s="178">
        <f>SUM($F$25:$F34)</f>
        <v/>
      </c>
      <c r="AW14" t="n">
        <v>10</v>
      </c>
      <c r="AX14" t="n">
        <v>6735</v>
      </c>
    </row>
    <row r="15" ht="19.5" customHeight="1" s="397">
      <c r="A15" s="92" t="inlineStr">
        <is>
          <t>Streak Multipliers (first-try win streak → token earn multiplier)</t>
        </is>
      </c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  <c r="AA15" s="92" t="n"/>
      <c r="AB15" s="92" t="n"/>
      <c r="AT15" s="142" t="n">
        <v>11</v>
      </c>
      <c r="AU15" s="178">
        <f>SUM($F$25:$F35)</f>
        <v/>
      </c>
    </row>
    <row r="16" ht="21.75" customHeight="1" s="397">
      <c r="A16" s="173" t="inlineStr">
        <is>
          <t>Tier</t>
        </is>
      </c>
      <c r="B16" s="173" t="inlineStr">
        <is>
          <t>Token Multiplier</t>
        </is>
      </c>
      <c r="AT16" s="142" t="n">
        <v>12</v>
      </c>
      <c r="AU16" s="178">
        <f>SUM($F$25:$F36)</f>
        <v/>
      </c>
      <c r="AW16" t="inlineStr">
        <is>
      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      </is>
      </c>
    </row>
    <row r="17">
      <c r="A17" s="139" t="n">
        <v>1</v>
      </c>
      <c r="B17" s="139" t="inlineStr">
        <is>
          <t>1x</t>
        </is>
      </c>
      <c r="AT17" s="142" t="n">
        <v>13</v>
      </c>
      <c r="AU17" s="178">
        <f>SUM($F$25:$F37)</f>
        <v/>
      </c>
    </row>
    <row r="18">
      <c r="A18" s="139" t="n">
        <v>2</v>
      </c>
      <c r="B18" s="139" t="inlineStr">
        <is>
          <t>2x</t>
        </is>
      </c>
      <c r="AT18" s="142" t="n">
        <v>14</v>
      </c>
      <c r="AU18" s="178">
        <f>SUM($F$25:$F38)</f>
        <v/>
      </c>
    </row>
    <row r="19">
      <c r="A19" s="139" t="n">
        <v>3</v>
      </c>
      <c r="B19" s="139" t="inlineStr">
        <is>
          <t>4x</t>
        </is>
      </c>
      <c r="AT19" s="142" t="n">
        <v>15</v>
      </c>
      <c r="AU19" s="178">
        <f>SUM($F$25:$F39)</f>
        <v/>
      </c>
    </row>
    <row r="20">
      <c r="A20" s="139" t="n">
        <v>4</v>
      </c>
      <c r="B20" s="139" t="inlineStr">
        <is>
          <t>6x</t>
        </is>
      </c>
      <c r="AT20" s="142" t="n">
        <v>16</v>
      </c>
      <c r="AU20" s="178">
        <f>SUM($F$25:$F40)</f>
        <v/>
      </c>
    </row>
    <row r="21" ht="15.75" customHeight="1" s="397">
      <c r="A21" s="139" t="n">
        <v>5</v>
      </c>
      <c r="B21" s="139" t="inlineStr">
        <is>
          <t>10x</t>
        </is>
      </c>
      <c r="AT21" s="142" t="n">
        <v>17</v>
      </c>
      <c r="AU21" s="178">
        <f>SUM($F$25:$F41)</f>
        <v/>
      </c>
    </row>
    <row r="22" ht="15.75" customHeight="1" s="397">
      <c r="AT22" s="142" t="n">
        <v>18</v>
      </c>
      <c r="AU22" s="178">
        <f>SUM($F$25:$F42)</f>
        <v/>
      </c>
    </row>
    <row r="23" ht="19.5" customHeight="1" s="397">
      <c r="A23" s="92" t="inlineStr">
        <is>
          <t>Goals and Rewards (30 items × 10 milestone tiers)</t>
        </is>
      </c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  <c r="AA23" s="92" t="n"/>
      <c r="AB23" s="92" t="n"/>
      <c r="AT23" s="142" t="n">
        <v>19</v>
      </c>
      <c r="AU23" s="178">
        <f>SUM($F$25:$F43)</f>
        <v/>
      </c>
    </row>
    <row r="24" ht="90" customHeight="1" s="397">
      <c r="A24" s="173" t="inlineStr">
        <is>
          <t>Item Id</t>
        </is>
      </c>
      <c r="B24" s="173" t="inlineStr">
        <is>
          <t>Set #</t>
        </is>
      </c>
      <c r="C24" s="173" t="inlineStr">
        <is>
          <t>Set Name</t>
        </is>
      </c>
      <c r="D24" s="173" t="inlineStr">
        <is>
          <t>Item name</t>
        </is>
      </c>
      <c r="E24" s="173" t="inlineStr">
        <is>
          <t>Items to unlock
set (from doc)</t>
        </is>
      </c>
      <c r="F24" s="173" t="inlineStr">
        <is>
          <t>itemPrices
(tokens)</t>
        </is>
      </c>
      <c r="G24" s="190" t="inlineStr">
        <is>
          <t>Items
Unlocked</t>
        </is>
      </c>
      <c r="H24" s="191" t="inlineStr">
        <is>
          <t>Coins</t>
        </is>
      </c>
      <c r="I24" s="116" t="inlineStr">
        <is>
          <t>SPT</t>
        </is>
      </c>
      <c r="J24" s="116" t="inlineStr">
        <is>
          <t>SPT x2</t>
        </is>
      </c>
      <c r="K24" s="116" t="inlineStr">
        <is>
          <t>Red</t>
        </is>
      </c>
      <c r="L24" s="116" t="inlineStr">
        <is>
          <t>Chuck</t>
        </is>
      </c>
      <c r="M24" s="116" t="inlineStr">
        <is>
          <t>Bomb</t>
        </is>
      </c>
      <c r="N24" s="116" t="inlineStr">
        <is>
          <t>Slingshot</t>
        </is>
      </c>
      <c r="O24" s="116" t="inlineStr">
        <is>
          <t>Shuffle</t>
        </is>
      </c>
      <c r="P24" s="116" t="inlineStr">
        <is>
          <t>Comet</t>
        </is>
      </c>
      <c r="Q24" s="116" t="inlineStr">
        <is>
          <t>Unlimited Lives</t>
        </is>
      </c>
      <c r="R24" s="116" t="inlineStr">
        <is>
          <t>Unlimited Red</t>
        </is>
      </c>
      <c r="S24" s="116" t="inlineStr">
        <is>
          <t>Unlimited Chuck</t>
        </is>
      </c>
      <c r="T24" s="116" t="inlineStr">
        <is>
          <t>Unlimited Bomb</t>
        </is>
      </c>
      <c r="U24" s="116" t="inlineStr">
        <is>
          <t>COOP Token</t>
        </is>
      </c>
      <c r="V24" s="116" t="inlineStr">
        <is>
          <t>Avatar</t>
        </is>
      </c>
      <c r="W24" s="116" t="inlineStr">
        <is>
          <t>1-star Dly</t>
        </is>
      </c>
      <c r="X24" s="116" t="inlineStr">
        <is>
          <t>2-star Dly</t>
        </is>
      </c>
      <c r="Y24" s="116" t="inlineStr">
        <is>
          <t>3-star Dly</t>
        </is>
      </c>
      <c r="Z24" s="116" t="inlineStr">
        <is>
          <t>4-star Dly</t>
        </is>
      </c>
      <c r="AA24" s="116" t="inlineStr">
        <is>
          <t>5-star Dly</t>
        </is>
      </c>
      <c r="AB24" s="116" t="inlineStr">
        <is>
          <t>6-star Dly</t>
        </is>
      </c>
      <c r="AT24" s="142" t="n">
        <v>20</v>
      </c>
      <c r="AU24" s="178">
        <f>SUM($F$25:$F44)</f>
        <v/>
      </c>
    </row>
    <row r="25" ht="15.75" customHeight="1" s="397">
      <c r="A25" s="139" t="n">
        <v>1</v>
      </c>
      <c r="B25" s="139" t="n">
        <v>1</v>
      </c>
      <c r="C25" s="147" t="inlineStr">
        <is>
          <t>Red's Headgear</t>
        </is>
      </c>
      <c r="D25" s="147" t="inlineStr">
        <is>
          <t>Headgear 1</t>
        </is>
      </c>
      <c r="E25" s="139" t="n">
        <v>0</v>
      </c>
      <c r="F25" s="139" t="n">
        <v>80</v>
      </c>
      <c r="G25" s="192">
        <f>A25</f>
        <v/>
      </c>
      <c r="H25" s="193" t="n">
        <v>0</v>
      </c>
      <c r="I25" s="139" t="n">
        <v>0</v>
      </c>
      <c r="J25" s="139" t="n">
        <v>0</v>
      </c>
      <c r="K25" s="139" t="n">
        <v>0</v>
      </c>
      <c r="L25" s="139" t="n">
        <v>0</v>
      </c>
      <c r="M25" s="139" t="n">
        <v>0</v>
      </c>
      <c r="N25" s="139" t="n">
        <v>0</v>
      </c>
      <c r="O25" s="139" t="n">
        <v>0</v>
      </c>
      <c r="P25" s="139" t="n">
        <v>0</v>
      </c>
      <c r="Q25" s="139" t="n">
        <v>0</v>
      </c>
      <c r="R25" s="139" t="n">
        <v>0</v>
      </c>
      <c r="S25" s="139" t="n">
        <v>0</v>
      </c>
      <c r="T25" s="139" t="n">
        <v>0</v>
      </c>
      <c r="U25" s="139" t="n">
        <v>0</v>
      </c>
      <c r="V25" s="139" t="n">
        <v>0</v>
      </c>
      <c r="W25" s="139" t="n">
        <v>0</v>
      </c>
      <c r="X25" s="139" t="n">
        <v>0</v>
      </c>
      <c r="Y25" s="139" t="n">
        <v>0</v>
      </c>
      <c r="Z25" s="139" t="n">
        <v>0</v>
      </c>
      <c r="AA25" s="139" t="n">
        <v>0</v>
      </c>
      <c r="AB25" s="139" t="n">
        <v>0</v>
      </c>
      <c r="AT25" s="142" t="n">
        <v>21</v>
      </c>
      <c r="AU25" s="178">
        <f>SUM($F$25:$F45)</f>
        <v/>
      </c>
    </row>
    <row r="26" ht="15.75" customHeight="1" s="397">
      <c r="A26" s="139" t="n">
        <v>2</v>
      </c>
      <c r="B26" s="139" t="n">
        <v>1</v>
      </c>
      <c r="C26" s="147" t="inlineStr">
        <is>
          <t>Red's Headgear</t>
        </is>
      </c>
      <c r="D26" s="147" t="inlineStr">
        <is>
          <t>Headgear 2</t>
        </is>
      </c>
      <c r="E26" s="139" t="n">
        <v>0</v>
      </c>
      <c r="F26" s="139" t="n">
        <v>130</v>
      </c>
      <c r="G26" s="192">
        <f>A26</f>
        <v/>
      </c>
      <c r="H26" s="193" t="n">
        <v>0</v>
      </c>
      <c r="I26" s="139" t="n">
        <v>0</v>
      </c>
      <c r="J26" s="139" t="n">
        <v>0</v>
      </c>
      <c r="K26" s="139" t="n">
        <v>0</v>
      </c>
      <c r="L26" s="139" t="n">
        <v>0</v>
      </c>
      <c r="M26" s="139" t="n">
        <v>0</v>
      </c>
      <c r="N26" s="139" t="n">
        <v>0</v>
      </c>
      <c r="O26" s="139" t="n">
        <v>0</v>
      </c>
      <c r="P26" s="139" t="n">
        <v>0</v>
      </c>
      <c r="Q26" s="139" t="n">
        <v>0</v>
      </c>
      <c r="R26" s="139" t="n">
        <v>0</v>
      </c>
      <c r="S26" s="139" t="n">
        <v>0</v>
      </c>
      <c r="T26" s="139" t="n">
        <v>0</v>
      </c>
      <c r="U26" s="139" t="n">
        <v>0</v>
      </c>
      <c r="V26" s="139" t="n">
        <v>0</v>
      </c>
      <c r="W26" s="139" t="n">
        <v>0</v>
      </c>
      <c r="X26" s="139" t="n">
        <v>0</v>
      </c>
      <c r="Y26" s="139" t="n">
        <v>0</v>
      </c>
      <c r="Z26" s="139" t="n">
        <v>0</v>
      </c>
      <c r="AA26" s="139" t="n">
        <v>0</v>
      </c>
      <c r="AB26" s="139" t="n">
        <v>0</v>
      </c>
      <c r="AT26" s="142" t="n">
        <v>22</v>
      </c>
      <c r="AU26" s="178">
        <f>SUM($F$25:$F46)</f>
        <v/>
      </c>
    </row>
    <row r="27" ht="15.75" customHeight="1" s="397">
      <c r="A27" s="139" t="n">
        <v>3</v>
      </c>
      <c r="B27" s="139" t="n">
        <v>1</v>
      </c>
      <c r="C27" s="147" t="inlineStr">
        <is>
          <t>Red's Headgear</t>
        </is>
      </c>
      <c r="D27" s="147" t="inlineStr">
        <is>
          <t>Headgear 3</t>
        </is>
      </c>
      <c r="E27" s="139" t="n">
        <v>0</v>
      </c>
      <c r="F27" s="139" t="n">
        <v>155</v>
      </c>
      <c r="G27" s="192">
        <f>A27</f>
        <v/>
      </c>
      <c r="H27" s="193" t="n">
        <v>0</v>
      </c>
      <c r="I27" s="139" t="n">
        <v>0</v>
      </c>
      <c r="J27" s="139" t="n">
        <v>0</v>
      </c>
      <c r="K27" s="139" t="n">
        <v>0</v>
      </c>
      <c r="L27" s="139" t="n">
        <v>1</v>
      </c>
      <c r="M27" s="139" t="n">
        <v>0</v>
      </c>
      <c r="N27" s="139" t="n">
        <v>0</v>
      </c>
      <c r="O27" s="139" t="n">
        <v>0</v>
      </c>
      <c r="P27" s="139" t="n">
        <v>0</v>
      </c>
      <c r="Q27" s="139" t="n">
        <v>0</v>
      </c>
      <c r="R27" s="139" t="n">
        <v>0</v>
      </c>
      <c r="S27" s="139" t="n">
        <v>0</v>
      </c>
      <c r="T27" s="139" t="n">
        <v>0</v>
      </c>
      <c r="U27" s="139" t="n">
        <v>0</v>
      </c>
      <c r="V27" s="139" t="n">
        <v>0</v>
      </c>
      <c r="W27" s="139" t="n">
        <v>0</v>
      </c>
      <c r="X27" s="139" t="n">
        <v>0</v>
      </c>
      <c r="Y27" s="139" t="n">
        <v>0</v>
      </c>
      <c r="Z27" s="139" t="n">
        <v>0</v>
      </c>
      <c r="AA27" s="139" t="n">
        <v>0</v>
      </c>
      <c r="AB27" s="139" t="n">
        <v>0</v>
      </c>
      <c r="AT27" s="142" t="n">
        <v>23</v>
      </c>
      <c r="AU27" s="178">
        <f>SUM($F$25:$F47)</f>
        <v/>
      </c>
    </row>
    <row r="28" ht="15.75" customHeight="1" s="397">
      <c r="A28" s="139" t="n">
        <v>4</v>
      </c>
      <c r="B28" s="139" t="n">
        <v>2</v>
      </c>
      <c r="C28" s="147" t="inlineStr">
        <is>
          <t>Red's Body</t>
        </is>
      </c>
      <c r="D28" s="147" t="inlineStr">
        <is>
          <t>Body 1</t>
        </is>
      </c>
      <c r="E28" s="139" t="n">
        <v>2</v>
      </c>
      <c r="F28" s="139" t="n">
        <v>80</v>
      </c>
      <c r="G28" s="192">
        <f>A28</f>
        <v/>
      </c>
      <c r="H28" s="193" t="n">
        <v>0</v>
      </c>
      <c r="I28" s="139" t="n">
        <v>0</v>
      </c>
      <c r="J28" s="139" t="n">
        <v>0</v>
      </c>
      <c r="K28" s="139" t="n">
        <v>0</v>
      </c>
      <c r="L28" s="139" t="n">
        <v>0</v>
      </c>
      <c r="M28" s="139" t="n">
        <v>0</v>
      </c>
      <c r="N28" s="139" t="n">
        <v>0</v>
      </c>
      <c r="O28" s="139" t="n">
        <v>0</v>
      </c>
      <c r="P28" s="139" t="n">
        <v>0</v>
      </c>
      <c r="Q28" s="139" t="n">
        <v>0</v>
      </c>
      <c r="R28" s="139" t="n">
        <v>0</v>
      </c>
      <c r="S28" s="139" t="n">
        <v>0</v>
      </c>
      <c r="T28" s="139" t="n">
        <v>0</v>
      </c>
      <c r="U28" s="139" t="n">
        <v>0</v>
      </c>
      <c r="V28" s="139" t="n">
        <v>0</v>
      </c>
      <c r="W28" s="139" t="n">
        <v>0</v>
      </c>
      <c r="X28" s="139" t="n">
        <v>0</v>
      </c>
      <c r="Y28" s="139" t="n">
        <v>0</v>
      </c>
      <c r="Z28" s="139" t="n">
        <v>0</v>
      </c>
      <c r="AA28" s="139" t="n">
        <v>0</v>
      </c>
      <c r="AB28" s="139" t="n">
        <v>0</v>
      </c>
      <c r="AT28" s="142" t="n">
        <v>24</v>
      </c>
      <c r="AU28" s="178">
        <f>SUM($F$25:$F48)</f>
        <v/>
      </c>
    </row>
    <row r="29" ht="15.75" customHeight="1" s="397">
      <c r="A29" s="139" t="n">
        <v>5</v>
      </c>
      <c r="B29" s="139" t="n">
        <v>2</v>
      </c>
      <c r="C29" s="147" t="inlineStr">
        <is>
          <t>Red's Body</t>
        </is>
      </c>
      <c r="D29" s="147" t="inlineStr">
        <is>
          <t>Body 2</t>
        </is>
      </c>
      <c r="E29" s="139" t="n">
        <v>2</v>
      </c>
      <c r="F29" s="139" t="n">
        <v>130</v>
      </c>
      <c r="G29" s="192">
        <f>A29</f>
        <v/>
      </c>
      <c r="H29" s="193" t="n">
        <v>0</v>
      </c>
      <c r="I29" s="139" t="n">
        <v>0</v>
      </c>
      <c r="J29" s="139" t="n">
        <v>0</v>
      </c>
      <c r="K29" s="139" t="n">
        <v>0</v>
      </c>
      <c r="L29" s="139" t="n">
        <v>0</v>
      </c>
      <c r="M29" s="139" t="n">
        <v>0</v>
      </c>
      <c r="N29" s="139" t="n">
        <v>0</v>
      </c>
      <c r="O29" s="139" t="n">
        <v>0</v>
      </c>
      <c r="P29" s="139" t="n">
        <v>0</v>
      </c>
      <c r="Q29" s="139" t="n">
        <v>0</v>
      </c>
      <c r="R29" s="139" t="n">
        <v>0</v>
      </c>
      <c r="S29" s="139" t="n">
        <v>0</v>
      </c>
      <c r="T29" s="139" t="n">
        <v>0</v>
      </c>
      <c r="U29" s="139" t="n">
        <v>0</v>
      </c>
      <c r="V29" s="139" t="n">
        <v>0</v>
      </c>
      <c r="W29" s="139" t="n">
        <v>0</v>
      </c>
      <c r="X29" s="139" t="n">
        <v>0</v>
      </c>
      <c r="Y29" s="139" t="n">
        <v>0</v>
      </c>
      <c r="Z29" s="139" t="n">
        <v>0</v>
      </c>
      <c r="AA29" s="139" t="n">
        <v>0</v>
      </c>
      <c r="AB29" s="139" t="n">
        <v>0</v>
      </c>
      <c r="AT29" s="142" t="n">
        <v>25</v>
      </c>
      <c r="AU29" s="178">
        <f>SUM($F$25:$F49)</f>
        <v/>
      </c>
    </row>
    <row r="30" ht="15.75" customHeight="1" s="397">
      <c r="A30" s="139" t="n">
        <v>6</v>
      </c>
      <c r="B30" s="139" t="n">
        <v>2</v>
      </c>
      <c r="C30" s="147" t="inlineStr">
        <is>
          <t>Red's Body</t>
        </is>
      </c>
      <c r="D30" s="147" t="inlineStr">
        <is>
          <t>Body 3</t>
        </is>
      </c>
      <c r="E30" s="139" t="n">
        <v>2</v>
      </c>
      <c r="F30" s="139" t="n">
        <v>160</v>
      </c>
      <c r="G30" s="192">
        <f>A30</f>
        <v/>
      </c>
      <c r="H30" s="193" t="n">
        <v>0</v>
      </c>
      <c r="I30" s="139" t="n">
        <v>0</v>
      </c>
      <c r="J30" s="139" t="n">
        <v>0</v>
      </c>
      <c r="K30" s="139" t="n">
        <v>0</v>
      </c>
      <c r="L30" s="139" t="n">
        <v>0</v>
      </c>
      <c r="M30" s="139" t="n">
        <v>0</v>
      </c>
      <c r="N30" s="139" t="n">
        <v>0</v>
      </c>
      <c r="O30" s="139" t="n">
        <v>0</v>
      </c>
      <c r="P30" s="139" t="n">
        <v>0</v>
      </c>
      <c r="Q30" s="139" t="n">
        <v>30</v>
      </c>
      <c r="R30" s="139" t="n">
        <v>0</v>
      </c>
      <c r="S30" s="139" t="n">
        <v>0</v>
      </c>
      <c r="T30" s="139" t="n">
        <v>0</v>
      </c>
      <c r="U30" s="139" t="n">
        <v>0</v>
      </c>
      <c r="V30" s="139" t="n">
        <v>0</v>
      </c>
      <c r="W30" s="139" t="n">
        <v>0</v>
      </c>
      <c r="X30" s="139" t="n">
        <v>0</v>
      </c>
      <c r="Y30" s="139" t="n">
        <v>0</v>
      </c>
      <c r="Z30" s="139" t="n">
        <v>0</v>
      </c>
      <c r="AA30" s="139" t="n">
        <v>0</v>
      </c>
      <c r="AB30" s="139" t="n">
        <v>0</v>
      </c>
      <c r="AT30" s="142" t="n">
        <v>26</v>
      </c>
      <c r="AU30" s="178">
        <f>SUM($F$25:$F50)</f>
        <v/>
      </c>
    </row>
    <row r="31" ht="15.75" customHeight="1" s="397">
      <c r="A31" s="139" t="n">
        <v>7</v>
      </c>
      <c r="B31" s="139" t="n">
        <v>3</v>
      </c>
      <c r="C31" s="147" t="inlineStr">
        <is>
          <t>Chuck's Headgear</t>
        </is>
      </c>
      <c r="D31" s="147" t="inlineStr">
        <is>
          <t>Headgear 1</t>
        </is>
      </c>
      <c r="E31" s="139" t="n">
        <v>4</v>
      </c>
      <c r="F31" s="139" t="n">
        <v>80</v>
      </c>
      <c r="G31" s="192">
        <f>A31</f>
        <v/>
      </c>
      <c r="H31" s="193" t="n">
        <v>0</v>
      </c>
      <c r="I31" s="139" t="n">
        <v>0</v>
      </c>
      <c r="J31" s="139" t="n">
        <v>0</v>
      </c>
      <c r="K31" s="139" t="n">
        <v>0</v>
      </c>
      <c r="L31" s="139" t="n">
        <v>0</v>
      </c>
      <c r="M31" s="139" t="n">
        <v>0</v>
      </c>
      <c r="N31" s="139" t="n">
        <v>0</v>
      </c>
      <c r="O31" s="139" t="n">
        <v>0</v>
      </c>
      <c r="P31" s="139" t="n">
        <v>0</v>
      </c>
      <c r="Q31" s="139" t="n">
        <v>0</v>
      </c>
      <c r="R31" s="139" t="n">
        <v>0</v>
      </c>
      <c r="S31" s="139" t="n">
        <v>0</v>
      </c>
      <c r="T31" s="139" t="n">
        <v>0</v>
      </c>
      <c r="U31" s="139" t="n">
        <v>0</v>
      </c>
      <c r="V31" s="139" t="n">
        <v>0</v>
      </c>
      <c r="W31" s="139" t="n">
        <v>0</v>
      </c>
      <c r="X31" s="139" t="n">
        <v>0</v>
      </c>
      <c r="Y31" s="139" t="n">
        <v>0</v>
      </c>
      <c r="Z31" s="139" t="n">
        <v>0</v>
      </c>
      <c r="AA31" s="139" t="n">
        <v>0</v>
      </c>
      <c r="AB31" s="139" t="n">
        <v>0</v>
      </c>
      <c r="AT31" s="142" t="n">
        <v>27</v>
      </c>
      <c r="AU31" s="178">
        <f>SUM($F$25:$F51)</f>
        <v/>
      </c>
    </row>
    <row r="32" ht="15.75" customHeight="1" s="397">
      <c r="A32" s="139" t="n">
        <v>8</v>
      </c>
      <c r="B32" s="139" t="n">
        <v>3</v>
      </c>
      <c r="C32" s="147" t="inlineStr">
        <is>
          <t>Chuck's Headgear</t>
        </is>
      </c>
      <c r="D32" s="147" t="inlineStr">
        <is>
          <t>Headgear 2</t>
        </is>
      </c>
      <c r="E32" s="139" t="n">
        <v>4</v>
      </c>
      <c r="F32" s="139" t="n">
        <v>135</v>
      </c>
      <c r="G32" s="192">
        <f>A32</f>
        <v/>
      </c>
      <c r="H32" s="193" t="n">
        <v>0</v>
      </c>
      <c r="I32" s="139" t="n">
        <v>0</v>
      </c>
      <c r="J32" s="139" t="n">
        <v>0</v>
      </c>
      <c r="K32" s="139" t="n">
        <v>0</v>
      </c>
      <c r="L32" s="139" t="n">
        <v>0</v>
      </c>
      <c r="M32" s="139" t="n">
        <v>0</v>
      </c>
      <c r="N32" s="139" t="n">
        <v>0</v>
      </c>
      <c r="O32" s="139" t="n">
        <v>0</v>
      </c>
      <c r="P32" s="139" t="n">
        <v>0</v>
      </c>
      <c r="Q32" s="139" t="n">
        <v>0</v>
      </c>
      <c r="R32" s="139" t="n">
        <v>0</v>
      </c>
      <c r="S32" s="139" t="n">
        <v>0</v>
      </c>
      <c r="T32" s="139" t="n">
        <v>0</v>
      </c>
      <c r="U32" s="139" t="n">
        <v>0</v>
      </c>
      <c r="V32" s="139" t="n">
        <v>0</v>
      </c>
      <c r="W32" s="139" t="n">
        <v>0</v>
      </c>
      <c r="X32" s="139" t="n">
        <v>0</v>
      </c>
      <c r="Y32" s="139" t="n">
        <v>0</v>
      </c>
      <c r="Z32" s="139" t="n">
        <v>0</v>
      </c>
      <c r="AA32" s="139" t="n">
        <v>0</v>
      </c>
      <c r="AB32" s="139" t="n">
        <v>0</v>
      </c>
      <c r="AT32" s="142" t="n">
        <v>28</v>
      </c>
      <c r="AU32" s="178">
        <f>SUM($F$25:$F52)</f>
        <v/>
      </c>
    </row>
    <row r="33" ht="15.75" customHeight="1" s="397">
      <c r="A33" s="139" t="n">
        <v>9</v>
      </c>
      <c r="B33" s="139" t="n">
        <v>3</v>
      </c>
      <c r="C33" s="147" t="inlineStr">
        <is>
          <t>Chuck's Headgear</t>
        </is>
      </c>
      <c r="D33" s="147" t="inlineStr">
        <is>
          <t>Headgear 3</t>
        </is>
      </c>
      <c r="E33" s="139" t="n">
        <v>4</v>
      </c>
      <c r="F33" s="139" t="n">
        <v>165</v>
      </c>
      <c r="G33" s="192">
        <f>A33</f>
        <v/>
      </c>
      <c r="H33" s="193" t="n">
        <v>25</v>
      </c>
      <c r="I33" s="139" t="n">
        <v>0</v>
      </c>
      <c r="J33" s="139" t="n">
        <v>0</v>
      </c>
      <c r="K33" s="139" t="n">
        <v>0</v>
      </c>
      <c r="L33" s="139" t="n">
        <v>0</v>
      </c>
      <c r="M33" s="139" t="n">
        <v>0</v>
      </c>
      <c r="N33" s="139" t="n">
        <v>0</v>
      </c>
      <c r="O33" s="139" t="n">
        <v>0</v>
      </c>
      <c r="P33" s="139" t="n">
        <v>0</v>
      </c>
      <c r="Q33" s="139" t="n">
        <v>0</v>
      </c>
      <c r="R33" s="139" t="n">
        <v>0</v>
      </c>
      <c r="S33" s="139" t="n">
        <v>0</v>
      </c>
      <c r="T33" s="139" t="n">
        <v>0</v>
      </c>
      <c r="U33" s="139" t="n">
        <v>0</v>
      </c>
      <c r="V33" s="139" t="n">
        <v>0</v>
      </c>
      <c r="W33" s="139" t="n">
        <v>0</v>
      </c>
      <c r="X33" s="139" t="n">
        <v>0</v>
      </c>
      <c r="Y33" s="139" t="n">
        <v>0</v>
      </c>
      <c r="Z33" s="139" t="n">
        <v>0</v>
      </c>
      <c r="AA33" s="139" t="n">
        <v>0</v>
      </c>
      <c r="AB33" s="139" t="n">
        <v>0</v>
      </c>
      <c r="AT33" s="142" t="n">
        <v>29</v>
      </c>
      <c r="AU33" s="178">
        <f>SUM($F$25:$F53)</f>
        <v/>
      </c>
    </row>
    <row r="34" ht="15.75" customHeight="1" s="397">
      <c r="A34" s="139" t="n">
        <v>10</v>
      </c>
      <c r="B34" s="139" t="n">
        <v>4</v>
      </c>
      <c r="C34" s="147" t="inlineStr">
        <is>
          <t>Bomb's Headgear</t>
        </is>
      </c>
      <c r="D34" s="147" t="inlineStr">
        <is>
          <t>Headgear 1</t>
        </is>
      </c>
      <c r="E34" s="139" t="n">
        <v>6</v>
      </c>
      <c r="F34" s="139" t="n">
        <v>165</v>
      </c>
      <c r="G34" s="192">
        <f>A34</f>
        <v/>
      </c>
      <c r="H34" s="193" t="n">
        <v>0</v>
      </c>
      <c r="I34" s="139" t="n">
        <v>0</v>
      </c>
      <c r="J34" s="139" t="n">
        <v>0</v>
      </c>
      <c r="K34" s="139" t="n">
        <v>0</v>
      </c>
      <c r="L34" s="139" t="n">
        <v>0</v>
      </c>
      <c r="M34" s="139" t="n">
        <v>0</v>
      </c>
      <c r="N34" s="139" t="n">
        <v>0</v>
      </c>
      <c r="O34" s="139" t="n">
        <v>0</v>
      </c>
      <c r="P34" s="139" t="n">
        <v>0</v>
      </c>
      <c r="Q34" s="139" t="n">
        <v>0</v>
      </c>
      <c r="R34" s="139" t="n">
        <v>0</v>
      </c>
      <c r="S34" s="139" t="n">
        <v>0</v>
      </c>
      <c r="T34" s="139" t="n">
        <v>0</v>
      </c>
      <c r="U34" s="139" t="n">
        <v>0</v>
      </c>
      <c r="V34" s="139" t="n">
        <v>0</v>
      </c>
      <c r="W34" s="139" t="n">
        <v>0</v>
      </c>
      <c r="X34" s="139" t="n">
        <v>0</v>
      </c>
      <c r="Y34" s="139" t="n">
        <v>0</v>
      </c>
      <c r="Z34" s="139" t="n">
        <v>0</v>
      </c>
      <c r="AA34" s="139" t="n">
        <v>0</v>
      </c>
      <c r="AB34" s="139" t="n">
        <v>0</v>
      </c>
      <c r="AT34" s="142" t="n">
        <v>30</v>
      </c>
      <c r="AU34" s="178">
        <f>SUM($F$25:$F54)</f>
        <v/>
      </c>
    </row>
    <row r="35" ht="15.75" customHeight="1" s="397">
      <c r="A35" s="139" t="n">
        <v>11</v>
      </c>
      <c r="B35" s="139" t="n">
        <v>4</v>
      </c>
      <c r="C35" s="147" t="inlineStr">
        <is>
          <t>Bomb's Headgear</t>
        </is>
      </c>
      <c r="D35" s="147" t="inlineStr">
        <is>
          <t>Headgear 2</t>
        </is>
      </c>
      <c r="E35" s="139" t="n">
        <v>6</v>
      </c>
      <c r="F35" s="139" t="n">
        <v>230</v>
      </c>
      <c r="G35" s="192">
        <f>A35</f>
        <v/>
      </c>
      <c r="H35" s="193" t="n">
        <v>0</v>
      </c>
      <c r="I35" s="139" t="n">
        <v>0</v>
      </c>
      <c r="J35" s="139" t="n">
        <v>0</v>
      </c>
      <c r="K35" s="139" t="n">
        <v>0</v>
      </c>
      <c r="L35" s="139" t="n">
        <v>0</v>
      </c>
      <c r="M35" s="139" t="n">
        <v>0</v>
      </c>
      <c r="N35" s="139" t="n">
        <v>0</v>
      </c>
      <c r="O35" s="139" t="n">
        <v>0</v>
      </c>
      <c r="P35" s="139" t="n">
        <v>0</v>
      </c>
      <c r="Q35" s="139" t="n">
        <v>0</v>
      </c>
      <c r="R35" s="139" t="n">
        <v>0</v>
      </c>
      <c r="S35" s="139" t="n">
        <v>0</v>
      </c>
      <c r="T35" s="139" t="n">
        <v>0</v>
      </c>
      <c r="U35" s="139" t="n">
        <v>0</v>
      </c>
      <c r="V35" s="139" t="n">
        <v>0</v>
      </c>
      <c r="W35" s="139" t="n">
        <v>0</v>
      </c>
      <c r="X35" s="139" t="n">
        <v>0</v>
      </c>
      <c r="Y35" s="139" t="n">
        <v>0</v>
      </c>
      <c r="Z35" s="139" t="n">
        <v>0</v>
      </c>
      <c r="AA35" s="139" t="n">
        <v>0</v>
      </c>
      <c r="AB35" s="139" t="n">
        <v>0</v>
      </c>
    </row>
    <row r="36" ht="15.75" customHeight="1" s="397">
      <c r="A36" s="139" t="n">
        <v>12</v>
      </c>
      <c r="B36" s="139" t="n">
        <v>4</v>
      </c>
      <c r="C36" s="147" t="inlineStr">
        <is>
          <t>Bomb's Headgear</t>
        </is>
      </c>
      <c r="D36" s="147" t="inlineStr">
        <is>
          <t>Headgear 3</t>
        </is>
      </c>
      <c r="E36" s="139" t="n">
        <v>6</v>
      </c>
      <c r="F36" s="139" t="n">
        <v>265</v>
      </c>
      <c r="G36" s="192">
        <f>A36</f>
        <v/>
      </c>
      <c r="H36" s="193" t="n">
        <v>0</v>
      </c>
      <c r="I36" s="139" t="n">
        <v>0</v>
      </c>
      <c r="J36" s="139" t="n">
        <v>0</v>
      </c>
      <c r="K36" s="139" t="n">
        <v>0</v>
      </c>
      <c r="L36" s="139" t="n">
        <v>0</v>
      </c>
      <c r="M36" s="139" t="n">
        <v>0</v>
      </c>
      <c r="N36" s="139" t="n">
        <v>0</v>
      </c>
      <c r="O36" s="139" t="n">
        <v>0</v>
      </c>
      <c r="P36" s="139" t="n">
        <v>0</v>
      </c>
      <c r="Q36" s="139" t="n">
        <v>30</v>
      </c>
      <c r="R36" s="139" t="n">
        <v>15</v>
      </c>
      <c r="S36" s="139" t="n">
        <v>0</v>
      </c>
      <c r="T36" s="139" t="n">
        <v>0</v>
      </c>
      <c r="U36" s="139" t="n">
        <v>0</v>
      </c>
      <c r="V36" s="139" t="n">
        <v>0</v>
      </c>
      <c r="W36" s="139" t="n">
        <v>0</v>
      </c>
      <c r="X36" s="139" t="n">
        <v>0</v>
      </c>
      <c r="Y36" s="139" t="n">
        <v>0</v>
      </c>
      <c r="Z36" s="139" t="n">
        <v>0</v>
      </c>
      <c r="AA36" s="139" t="n">
        <v>0</v>
      </c>
      <c r="AB36" s="139" t="n">
        <v>0</v>
      </c>
      <c r="AT36" s="180" t="inlineStr">
        <is>
          <t>simplified: items bought sequentially in item-id order (choice ignored)</t>
        </is>
      </c>
    </row>
    <row r="37" ht="15.75" customHeight="1" s="397">
      <c r="A37" s="139" t="n">
        <v>13</v>
      </c>
      <c r="B37" s="139" t="n">
        <v>5</v>
      </c>
      <c r="C37" s="147" t="inlineStr">
        <is>
          <t>Chuck's Body</t>
        </is>
      </c>
      <c r="D37" s="147" t="inlineStr">
        <is>
          <t>Body 1</t>
        </is>
      </c>
      <c r="E37" s="139" t="n">
        <v>8</v>
      </c>
      <c r="F37" s="139" t="n">
        <v>180</v>
      </c>
      <c r="G37" s="192">
        <f>A37</f>
        <v/>
      </c>
      <c r="H37" s="193" t="n">
        <v>0</v>
      </c>
      <c r="I37" s="139" t="n">
        <v>0</v>
      </c>
      <c r="J37" s="139" t="n">
        <v>0</v>
      </c>
      <c r="K37" s="139" t="n">
        <v>0</v>
      </c>
      <c r="L37" s="139" t="n">
        <v>0</v>
      </c>
      <c r="M37" s="139" t="n">
        <v>0</v>
      </c>
      <c r="N37" s="139" t="n">
        <v>0</v>
      </c>
      <c r="O37" s="139" t="n">
        <v>0</v>
      </c>
      <c r="P37" s="139" t="n">
        <v>0</v>
      </c>
      <c r="Q37" s="139" t="n">
        <v>0</v>
      </c>
      <c r="R37" s="139" t="n">
        <v>0</v>
      </c>
      <c r="S37" s="139" t="n">
        <v>0</v>
      </c>
      <c r="T37" s="139" t="n">
        <v>0</v>
      </c>
      <c r="U37" s="139" t="n">
        <v>0</v>
      </c>
      <c r="V37" s="139" t="n">
        <v>0</v>
      </c>
      <c r="W37" s="139" t="n">
        <v>0</v>
      </c>
      <c r="X37" s="139" t="n">
        <v>0</v>
      </c>
      <c r="Y37" s="139" t="n">
        <v>0</v>
      </c>
      <c r="Z37" s="139" t="n">
        <v>0</v>
      </c>
      <c r="AA37" s="139" t="n">
        <v>0</v>
      </c>
      <c r="AB37" s="139" t="n">
        <v>0</v>
      </c>
    </row>
    <row r="38" ht="15.75" customHeight="1" s="397">
      <c r="A38" s="139" t="n">
        <v>14</v>
      </c>
      <c r="B38" s="139" t="n">
        <v>5</v>
      </c>
      <c r="C38" s="147" t="inlineStr">
        <is>
          <t>Chuck's Body</t>
        </is>
      </c>
      <c r="D38" s="147" t="inlineStr">
        <is>
          <t>Body 2</t>
        </is>
      </c>
      <c r="E38" s="139" t="n">
        <v>8</v>
      </c>
      <c r="F38" s="139" t="n">
        <v>250</v>
      </c>
      <c r="G38" s="192">
        <f>A38</f>
        <v/>
      </c>
      <c r="H38" s="193" t="n">
        <v>0</v>
      </c>
      <c r="I38" s="139" t="n">
        <v>0</v>
      </c>
      <c r="J38" s="139" t="n">
        <v>0</v>
      </c>
      <c r="K38" s="139" t="n">
        <v>0</v>
      </c>
      <c r="L38" s="139" t="n">
        <v>0</v>
      </c>
      <c r="M38" s="139" t="n">
        <v>0</v>
      </c>
      <c r="N38" s="139" t="n">
        <v>0</v>
      </c>
      <c r="O38" s="139" t="n">
        <v>0</v>
      </c>
      <c r="P38" s="139" t="n">
        <v>0</v>
      </c>
      <c r="Q38" s="139" t="n">
        <v>0</v>
      </c>
      <c r="R38" s="139" t="n">
        <v>0</v>
      </c>
      <c r="S38" s="139" t="n">
        <v>0</v>
      </c>
      <c r="T38" s="139" t="n">
        <v>0</v>
      </c>
      <c r="U38" s="139" t="n">
        <v>0</v>
      </c>
      <c r="V38" s="139" t="n">
        <v>0</v>
      </c>
      <c r="W38" s="139" t="n">
        <v>0</v>
      </c>
      <c r="X38" s="139" t="n">
        <v>0</v>
      </c>
      <c r="Y38" s="139" t="n">
        <v>0</v>
      </c>
      <c r="Z38" s="139" t="n">
        <v>0</v>
      </c>
      <c r="AA38" s="139" t="n">
        <v>0</v>
      </c>
      <c r="AB38" s="139" t="n">
        <v>0</v>
      </c>
    </row>
    <row r="39" ht="15.75" customHeight="1" s="397">
      <c r="A39" s="139" t="n">
        <v>15</v>
      </c>
      <c r="B39" s="139" t="n">
        <v>5</v>
      </c>
      <c r="C39" s="147" t="inlineStr">
        <is>
          <t>Chuck's Body</t>
        </is>
      </c>
      <c r="D39" s="147" t="inlineStr">
        <is>
          <t>Body 3</t>
        </is>
      </c>
      <c r="E39" s="139" t="n">
        <v>8</v>
      </c>
      <c r="F39" s="139" t="n">
        <v>300</v>
      </c>
      <c r="G39" s="192">
        <f>A39</f>
        <v/>
      </c>
      <c r="H39" s="193" t="n">
        <v>0</v>
      </c>
      <c r="I39" s="139" t="n">
        <v>0</v>
      </c>
      <c r="J39" s="139" t="n">
        <v>0</v>
      </c>
      <c r="K39" s="139" t="n">
        <v>1</v>
      </c>
      <c r="L39" s="139" t="n">
        <v>0</v>
      </c>
      <c r="M39" s="139" t="n">
        <v>0</v>
      </c>
      <c r="N39" s="139" t="n">
        <v>0</v>
      </c>
      <c r="O39" s="139" t="n">
        <v>0</v>
      </c>
      <c r="P39" s="139" t="n">
        <v>0</v>
      </c>
      <c r="Q39" s="139" t="n">
        <v>0</v>
      </c>
      <c r="R39" s="139" t="n">
        <v>0</v>
      </c>
      <c r="S39" s="139" t="n">
        <v>0</v>
      </c>
      <c r="T39" s="139" t="n">
        <v>0</v>
      </c>
      <c r="U39" s="139" t="n">
        <v>0</v>
      </c>
      <c r="V39" s="139" t="n">
        <v>0</v>
      </c>
      <c r="W39" s="139" t="n">
        <v>0</v>
      </c>
      <c r="X39" s="139" t="n">
        <v>0</v>
      </c>
      <c r="Y39" s="139" t="n">
        <v>0</v>
      </c>
      <c r="Z39" s="139" t="n">
        <v>0</v>
      </c>
      <c r="AA39" s="139" t="n">
        <v>0</v>
      </c>
      <c r="AB39" s="139" t="n">
        <v>0</v>
      </c>
    </row>
    <row r="40" ht="15.75" customHeight="1" s="397">
      <c r="A40" s="139" t="n">
        <v>16</v>
      </c>
      <c r="B40" s="139" t="n">
        <v>6</v>
      </c>
      <c r="C40" s="147" t="inlineStr">
        <is>
          <t>Bomb's Body</t>
        </is>
      </c>
      <c r="D40" s="147" t="inlineStr">
        <is>
          <t>Body 1</t>
        </is>
      </c>
      <c r="E40" s="139" t="n">
        <v>10</v>
      </c>
      <c r="F40" s="139" t="n">
        <v>180</v>
      </c>
      <c r="G40" s="192">
        <f>A40</f>
        <v/>
      </c>
      <c r="H40" s="193" t="n">
        <v>0</v>
      </c>
      <c r="I40" s="139" t="n">
        <v>0</v>
      </c>
      <c r="J40" s="139" t="n">
        <v>0</v>
      </c>
      <c r="K40" s="139" t="n">
        <v>0</v>
      </c>
      <c r="L40" s="139" t="n">
        <v>0</v>
      </c>
      <c r="M40" s="139" t="n">
        <v>0</v>
      </c>
      <c r="N40" s="139" t="n">
        <v>0</v>
      </c>
      <c r="O40" s="139" t="n">
        <v>0</v>
      </c>
      <c r="P40" s="139" t="n">
        <v>0</v>
      </c>
      <c r="Q40" s="139" t="n">
        <v>0</v>
      </c>
      <c r="R40" s="139" t="n">
        <v>0</v>
      </c>
      <c r="S40" s="139" t="n">
        <v>0</v>
      </c>
      <c r="T40" s="139" t="n">
        <v>0</v>
      </c>
      <c r="U40" s="139" t="n">
        <v>0</v>
      </c>
      <c r="V40" s="139" t="n">
        <v>0</v>
      </c>
      <c r="W40" s="139" t="n">
        <v>0</v>
      </c>
      <c r="X40" s="139" t="n">
        <v>0</v>
      </c>
      <c r="Y40" s="139" t="n">
        <v>0</v>
      </c>
      <c r="Z40" s="139" t="n">
        <v>0</v>
      </c>
      <c r="AA40" s="139" t="n">
        <v>0</v>
      </c>
      <c r="AB40" s="139" t="n">
        <v>0</v>
      </c>
    </row>
    <row r="41" ht="15.75" customHeight="1" s="397">
      <c r="A41" s="139" t="n">
        <v>17</v>
      </c>
      <c r="B41" s="139" t="n">
        <v>6</v>
      </c>
      <c r="C41" s="147" t="inlineStr">
        <is>
          <t>Bomb's Body</t>
        </is>
      </c>
      <c r="D41" s="147" t="inlineStr">
        <is>
          <t>Body 2</t>
        </is>
      </c>
      <c r="E41" s="139" t="n">
        <v>10</v>
      </c>
      <c r="F41" s="139" t="n">
        <v>260</v>
      </c>
      <c r="G41" s="192">
        <f>A41</f>
        <v/>
      </c>
      <c r="H41" s="193" t="n">
        <v>0</v>
      </c>
      <c r="I41" s="139" t="n">
        <v>0</v>
      </c>
      <c r="J41" s="139" t="n">
        <v>0</v>
      </c>
      <c r="K41" s="139" t="n">
        <v>0</v>
      </c>
      <c r="L41" s="139" t="n">
        <v>0</v>
      </c>
      <c r="M41" s="139" t="n">
        <v>0</v>
      </c>
      <c r="N41" s="139" t="n">
        <v>0</v>
      </c>
      <c r="O41" s="139" t="n">
        <v>0</v>
      </c>
      <c r="P41" s="139" t="n">
        <v>0</v>
      </c>
      <c r="Q41" s="139" t="n">
        <v>0</v>
      </c>
      <c r="R41" s="139" t="n">
        <v>0</v>
      </c>
      <c r="S41" s="139" t="n">
        <v>0</v>
      </c>
      <c r="T41" s="139" t="n">
        <v>0</v>
      </c>
      <c r="U41" s="139" t="n">
        <v>0</v>
      </c>
      <c r="V41" s="139" t="n">
        <v>0</v>
      </c>
      <c r="W41" s="139" t="n">
        <v>0</v>
      </c>
      <c r="X41" s="139" t="n">
        <v>0</v>
      </c>
      <c r="Y41" s="139" t="n">
        <v>0</v>
      </c>
      <c r="Z41" s="139" t="n">
        <v>0</v>
      </c>
      <c r="AA41" s="139" t="n">
        <v>0</v>
      </c>
      <c r="AB41" s="139" t="n">
        <v>0</v>
      </c>
    </row>
    <row r="42" ht="15.75" customHeight="1" s="397">
      <c r="A42" s="139" t="n">
        <v>18</v>
      </c>
      <c r="B42" s="139" t="n">
        <v>6</v>
      </c>
      <c r="C42" s="147" t="inlineStr">
        <is>
          <t>Bomb's Body</t>
        </is>
      </c>
      <c r="D42" s="147" t="inlineStr">
        <is>
          <t>Body 3</t>
        </is>
      </c>
      <c r="E42" s="139" t="n">
        <v>10</v>
      </c>
      <c r="F42" s="139" t="n">
        <v>300</v>
      </c>
      <c r="G42" s="192">
        <f>A42</f>
        <v/>
      </c>
      <c r="H42" s="193" t="n">
        <v>0</v>
      </c>
      <c r="I42" s="139" t="n">
        <v>0</v>
      </c>
      <c r="J42" s="139" t="n">
        <v>0</v>
      </c>
      <c r="K42" s="139" t="n">
        <v>0</v>
      </c>
      <c r="L42" s="139" t="n">
        <v>0</v>
      </c>
      <c r="M42" s="139" t="n">
        <v>0</v>
      </c>
      <c r="N42" s="139" t="n">
        <v>0</v>
      </c>
      <c r="O42" s="139" t="n">
        <v>0</v>
      </c>
      <c r="P42" s="139" t="n">
        <v>0</v>
      </c>
      <c r="Q42" s="139" t="n">
        <v>30</v>
      </c>
      <c r="R42" s="139" t="n">
        <v>0</v>
      </c>
      <c r="S42" s="139" t="n">
        <v>15</v>
      </c>
      <c r="T42" s="139" t="n">
        <v>0</v>
      </c>
      <c r="U42" s="139" t="n">
        <v>0</v>
      </c>
      <c r="V42" s="139" t="n">
        <v>0</v>
      </c>
      <c r="W42" s="139" t="n">
        <v>0</v>
      </c>
      <c r="X42" s="139" t="n">
        <v>0</v>
      </c>
      <c r="Y42" s="139" t="n">
        <v>0</v>
      </c>
      <c r="Z42" s="139" t="n">
        <v>0</v>
      </c>
      <c r="AA42" s="139" t="n">
        <v>0</v>
      </c>
      <c r="AB42" s="139" t="n">
        <v>0</v>
      </c>
    </row>
    <row r="43" ht="15.75" customHeight="1" s="397">
      <c r="A43" s="139" t="n">
        <v>19</v>
      </c>
      <c r="B43" s="139" t="n">
        <v>7</v>
      </c>
      <c r="C43" s="147" t="inlineStr">
        <is>
          <t>Chuck's accessories</t>
        </is>
      </c>
      <c r="D43" s="147" t="inlineStr">
        <is>
          <t>Accessory 1</t>
        </is>
      </c>
      <c r="E43" s="139" t="n">
        <v>13</v>
      </c>
      <c r="F43" s="139" t="n">
        <v>300</v>
      </c>
      <c r="G43" s="192">
        <f>A43</f>
        <v/>
      </c>
      <c r="H43" s="193" t="n">
        <v>0</v>
      </c>
      <c r="I43" s="139" t="n">
        <v>0</v>
      </c>
      <c r="J43" s="139" t="n">
        <v>0</v>
      </c>
      <c r="K43" s="139" t="n">
        <v>0</v>
      </c>
      <c r="L43" s="139" t="n">
        <v>0</v>
      </c>
      <c r="M43" s="139" t="n">
        <v>0</v>
      </c>
      <c r="N43" s="139" t="n">
        <v>0</v>
      </c>
      <c r="O43" s="139" t="n">
        <v>0</v>
      </c>
      <c r="P43" s="139" t="n">
        <v>0</v>
      </c>
      <c r="Q43" s="139" t="n">
        <v>0</v>
      </c>
      <c r="R43" s="139" t="n">
        <v>0</v>
      </c>
      <c r="S43" s="139" t="n">
        <v>0</v>
      </c>
      <c r="T43" s="139" t="n">
        <v>0</v>
      </c>
      <c r="U43" s="139" t="n">
        <v>0</v>
      </c>
      <c r="V43" s="139" t="n">
        <v>0</v>
      </c>
      <c r="W43" s="139" t="n">
        <v>0</v>
      </c>
      <c r="X43" s="139" t="n">
        <v>0</v>
      </c>
      <c r="Y43" s="139" t="n">
        <v>0</v>
      </c>
      <c r="Z43" s="139" t="n">
        <v>0</v>
      </c>
      <c r="AA43" s="139" t="n">
        <v>0</v>
      </c>
      <c r="AB43" s="139" t="n">
        <v>0</v>
      </c>
    </row>
    <row r="44" ht="15.75" customHeight="1" s="397">
      <c r="A44" s="139" t="n">
        <v>20</v>
      </c>
      <c r="B44" s="139" t="n">
        <v>7</v>
      </c>
      <c r="C44" s="147" t="inlineStr">
        <is>
          <t>Chuck's accessories</t>
        </is>
      </c>
      <c r="D44" s="147" t="inlineStr">
        <is>
          <t>Accessory 2</t>
        </is>
      </c>
      <c r="E44" s="139" t="n">
        <v>13</v>
      </c>
      <c r="F44" s="139" t="n">
        <v>375</v>
      </c>
      <c r="G44" s="192">
        <f>A44</f>
        <v/>
      </c>
      <c r="H44" s="193" t="n">
        <v>0</v>
      </c>
      <c r="I44" s="139" t="n">
        <v>0</v>
      </c>
      <c r="J44" s="139" t="n">
        <v>0</v>
      </c>
      <c r="K44" s="139" t="n">
        <v>0</v>
      </c>
      <c r="L44" s="139" t="n">
        <v>0</v>
      </c>
      <c r="M44" s="139" t="n">
        <v>0</v>
      </c>
      <c r="N44" s="139" t="n">
        <v>0</v>
      </c>
      <c r="O44" s="139" t="n">
        <v>0</v>
      </c>
      <c r="P44" s="139" t="n">
        <v>0</v>
      </c>
      <c r="Q44" s="139" t="n">
        <v>0</v>
      </c>
      <c r="R44" s="139" t="n">
        <v>0</v>
      </c>
      <c r="S44" s="139" t="n">
        <v>0</v>
      </c>
      <c r="T44" s="139" t="n">
        <v>0</v>
      </c>
      <c r="U44" s="139" t="n">
        <v>0</v>
      </c>
      <c r="V44" s="139" t="n">
        <v>0</v>
      </c>
      <c r="W44" s="139" t="n">
        <v>0</v>
      </c>
      <c r="X44" s="139" t="n">
        <v>0</v>
      </c>
      <c r="Y44" s="139" t="n">
        <v>0</v>
      </c>
      <c r="Z44" s="139" t="n">
        <v>0</v>
      </c>
      <c r="AA44" s="139" t="n">
        <v>0</v>
      </c>
      <c r="AB44" s="139" t="n">
        <v>0</v>
      </c>
    </row>
    <row r="45" ht="15.75" customHeight="1" s="397">
      <c r="A45" s="139" t="n">
        <v>21</v>
      </c>
      <c r="B45" s="139" t="n">
        <v>7</v>
      </c>
      <c r="C45" s="147" t="inlineStr">
        <is>
          <t>Chuck's accessories</t>
        </is>
      </c>
      <c r="D45" s="147" t="inlineStr">
        <is>
          <t>Accessory 3</t>
        </is>
      </c>
      <c r="E45" s="139" t="n">
        <v>13</v>
      </c>
      <c r="F45" s="139" t="n">
        <v>410</v>
      </c>
      <c r="G45" s="192">
        <f>A45</f>
        <v/>
      </c>
      <c r="H45" s="193" t="n">
        <v>25</v>
      </c>
      <c r="I45" s="139" t="n">
        <v>0</v>
      </c>
      <c r="J45" s="139" t="n">
        <v>0</v>
      </c>
      <c r="K45" s="139" t="n">
        <v>0</v>
      </c>
      <c r="L45" s="139" t="n">
        <v>0</v>
      </c>
      <c r="M45" s="139" t="n">
        <v>0</v>
      </c>
      <c r="N45" s="139" t="n">
        <v>0</v>
      </c>
      <c r="O45" s="139" t="n">
        <v>0</v>
      </c>
      <c r="P45" s="139" t="n">
        <v>0</v>
      </c>
      <c r="Q45" s="139" t="n">
        <v>0</v>
      </c>
      <c r="R45" s="139" t="n">
        <v>0</v>
      </c>
      <c r="S45" s="139" t="n">
        <v>0</v>
      </c>
      <c r="T45" s="139" t="n">
        <v>0</v>
      </c>
      <c r="U45" s="139" t="n">
        <v>0</v>
      </c>
      <c r="V45" s="139" t="n">
        <v>0</v>
      </c>
      <c r="W45" s="139" t="n">
        <v>0</v>
      </c>
      <c r="X45" s="139" t="n">
        <v>0</v>
      </c>
      <c r="Y45" s="139" t="n">
        <v>0</v>
      </c>
      <c r="Z45" s="139" t="n">
        <v>0</v>
      </c>
      <c r="AA45" s="139" t="n">
        <v>0</v>
      </c>
      <c r="AB45" s="139" t="n">
        <v>0</v>
      </c>
    </row>
    <row r="46" ht="15.75" customHeight="1" s="397">
      <c r="A46" s="139" t="n">
        <v>22</v>
      </c>
      <c r="B46" s="139" t="n">
        <v>8</v>
      </c>
      <c r="C46" s="147" t="inlineStr">
        <is>
          <t>Bomb's accessories</t>
        </is>
      </c>
      <c r="D46" s="147" t="inlineStr">
        <is>
          <t>Accessory 1</t>
        </is>
      </c>
      <c r="E46" s="139" t="n">
        <v>16</v>
      </c>
      <c r="F46" s="139" t="n">
        <v>385</v>
      </c>
      <c r="G46" s="192">
        <f>A46</f>
        <v/>
      </c>
      <c r="H46" s="193" t="n">
        <v>0</v>
      </c>
      <c r="I46" s="139" t="n">
        <v>0</v>
      </c>
      <c r="J46" s="139" t="n">
        <v>0</v>
      </c>
      <c r="K46" s="139" t="n">
        <v>0</v>
      </c>
      <c r="L46" s="139" t="n">
        <v>0</v>
      </c>
      <c r="M46" s="139" t="n">
        <v>0</v>
      </c>
      <c r="N46" s="139" t="n">
        <v>0</v>
      </c>
      <c r="O46" s="139" t="n">
        <v>0</v>
      </c>
      <c r="P46" s="139" t="n">
        <v>0</v>
      </c>
      <c r="Q46" s="139" t="n">
        <v>0</v>
      </c>
      <c r="R46" s="139" t="n">
        <v>0</v>
      </c>
      <c r="S46" s="139" t="n">
        <v>0</v>
      </c>
      <c r="T46" s="139" t="n">
        <v>0</v>
      </c>
      <c r="U46" s="139" t="n">
        <v>0</v>
      </c>
      <c r="V46" s="139" t="n">
        <v>0</v>
      </c>
      <c r="W46" s="139" t="n">
        <v>0</v>
      </c>
      <c r="X46" s="139" t="n">
        <v>0</v>
      </c>
      <c r="Y46" s="139" t="n">
        <v>0</v>
      </c>
      <c r="Z46" s="139" t="n">
        <v>0</v>
      </c>
      <c r="AA46" s="139" t="n">
        <v>0</v>
      </c>
      <c r="AB46" s="139" t="n">
        <v>0</v>
      </c>
    </row>
    <row r="47" ht="15.75" customHeight="1" s="397">
      <c r="A47" s="139" t="n">
        <v>23</v>
      </c>
      <c r="B47" s="139" t="n">
        <v>8</v>
      </c>
      <c r="C47" s="147" t="inlineStr">
        <is>
          <t>Bomb's accessories</t>
        </is>
      </c>
      <c r="D47" s="147" t="inlineStr">
        <is>
          <t>Accessory 2</t>
        </is>
      </c>
      <c r="E47" s="139" t="n">
        <v>16</v>
      </c>
      <c r="F47" s="139" t="n">
        <v>475</v>
      </c>
      <c r="G47" s="192">
        <f>A47</f>
        <v/>
      </c>
      <c r="H47" s="193" t="n">
        <v>0</v>
      </c>
      <c r="I47" s="139" t="n">
        <v>0</v>
      </c>
      <c r="J47" s="139" t="n">
        <v>0</v>
      </c>
      <c r="K47" s="139" t="n">
        <v>0</v>
      </c>
      <c r="L47" s="139" t="n">
        <v>0</v>
      </c>
      <c r="M47" s="139" t="n">
        <v>0</v>
      </c>
      <c r="N47" s="139" t="n">
        <v>0</v>
      </c>
      <c r="O47" s="139" t="n">
        <v>0</v>
      </c>
      <c r="P47" s="139" t="n">
        <v>0</v>
      </c>
      <c r="Q47" s="139" t="n">
        <v>0</v>
      </c>
      <c r="R47" s="139" t="n">
        <v>0</v>
      </c>
      <c r="S47" s="139" t="n">
        <v>0</v>
      </c>
      <c r="T47" s="139" t="n">
        <v>0</v>
      </c>
      <c r="U47" s="139" t="n">
        <v>0</v>
      </c>
      <c r="V47" s="139" t="n">
        <v>0</v>
      </c>
      <c r="W47" s="139" t="n">
        <v>0</v>
      </c>
      <c r="X47" s="139" t="n">
        <v>0</v>
      </c>
      <c r="Y47" s="139" t="n">
        <v>0</v>
      </c>
      <c r="Z47" s="139" t="n">
        <v>0</v>
      </c>
      <c r="AA47" s="139" t="n">
        <v>0</v>
      </c>
      <c r="AB47" s="139" t="n">
        <v>0</v>
      </c>
    </row>
    <row r="48" ht="15.75" customHeight="1" s="397">
      <c r="A48" s="139" t="n">
        <v>24</v>
      </c>
      <c r="B48" s="139" t="n">
        <v>8</v>
      </c>
      <c r="C48" s="147" t="inlineStr">
        <is>
          <t>Bomb's accessories</t>
        </is>
      </c>
      <c r="D48" s="147" t="inlineStr">
        <is>
          <t>Accessory 3</t>
        </is>
      </c>
      <c r="E48" s="139" t="n">
        <v>16</v>
      </c>
      <c r="F48" s="139" t="n">
        <v>500</v>
      </c>
      <c r="G48" s="192">
        <f>A48</f>
        <v/>
      </c>
      <c r="H48" s="193" t="n">
        <v>0</v>
      </c>
      <c r="I48" s="139" t="n">
        <v>0</v>
      </c>
      <c r="J48" s="139" t="n">
        <v>0</v>
      </c>
      <c r="K48" s="139" t="n">
        <v>0</v>
      </c>
      <c r="L48" s="139" t="n">
        <v>0</v>
      </c>
      <c r="M48" s="139" t="n">
        <v>0</v>
      </c>
      <c r="N48" s="139" t="n">
        <v>0</v>
      </c>
      <c r="O48" s="139" t="n">
        <v>0</v>
      </c>
      <c r="P48" s="139" t="n">
        <v>0</v>
      </c>
      <c r="Q48" s="139" t="n">
        <v>60</v>
      </c>
      <c r="R48" s="139" t="n">
        <v>0</v>
      </c>
      <c r="S48" s="139" t="n">
        <v>0</v>
      </c>
      <c r="T48" s="139" t="n">
        <v>15</v>
      </c>
      <c r="U48" s="139" t="n">
        <v>0</v>
      </c>
      <c r="V48" s="139" t="n">
        <v>0</v>
      </c>
      <c r="W48" s="139" t="n">
        <v>0</v>
      </c>
      <c r="X48" s="139" t="n">
        <v>0</v>
      </c>
      <c r="Y48" s="139" t="n">
        <v>0</v>
      </c>
      <c r="Z48" s="139" t="n">
        <v>0</v>
      </c>
      <c r="AA48" s="139" t="n">
        <v>0</v>
      </c>
      <c r="AB48" s="139" t="n">
        <v>0</v>
      </c>
    </row>
    <row r="49" ht="15.75" customHeight="1" s="397">
      <c r="A49" s="139" t="n">
        <v>25</v>
      </c>
      <c r="B49" s="139" t="n">
        <v>9</v>
      </c>
      <c r="C49" s="147" t="inlineStr">
        <is>
          <t>Red's accessories</t>
        </is>
      </c>
      <c r="D49" s="147" t="inlineStr">
        <is>
          <t>Accessory 1</t>
        </is>
      </c>
      <c r="E49" s="139" t="n">
        <v>20</v>
      </c>
      <c r="F49" s="139" t="n">
        <v>400</v>
      </c>
      <c r="G49" s="192">
        <f>A49</f>
        <v/>
      </c>
      <c r="H49" s="193" t="n">
        <v>0</v>
      </c>
      <c r="I49" s="139" t="n">
        <v>0</v>
      </c>
      <c r="J49" s="139" t="n">
        <v>0</v>
      </c>
      <c r="K49" s="139" t="n">
        <v>0</v>
      </c>
      <c r="L49" s="139" t="n">
        <v>0</v>
      </c>
      <c r="M49" s="139" t="n">
        <v>0</v>
      </c>
      <c r="N49" s="139" t="n">
        <v>0</v>
      </c>
      <c r="O49" s="139" t="n">
        <v>0</v>
      </c>
      <c r="P49" s="139" t="n">
        <v>0</v>
      </c>
      <c r="Q49" s="139" t="n">
        <v>0</v>
      </c>
      <c r="R49" s="139" t="n">
        <v>0</v>
      </c>
      <c r="S49" s="139" t="n">
        <v>0</v>
      </c>
      <c r="T49" s="139" t="n">
        <v>0</v>
      </c>
      <c r="U49" s="139" t="n">
        <v>0</v>
      </c>
      <c r="V49" s="139" t="n">
        <v>0</v>
      </c>
      <c r="W49" s="139" t="n">
        <v>0</v>
      </c>
      <c r="X49" s="139" t="n">
        <v>0</v>
      </c>
      <c r="Y49" s="139" t="n">
        <v>0</v>
      </c>
      <c r="Z49" s="139" t="n">
        <v>0</v>
      </c>
      <c r="AA49" s="139" t="n">
        <v>0</v>
      </c>
      <c r="AB49" s="139" t="n">
        <v>0</v>
      </c>
    </row>
    <row r="50" ht="15.75" customHeight="1" s="397">
      <c r="A50" s="139" t="n">
        <v>26</v>
      </c>
      <c r="B50" s="139" t="n">
        <v>9</v>
      </c>
      <c r="C50" s="147" t="inlineStr">
        <is>
          <t>Red's accessories</t>
        </is>
      </c>
      <c r="D50" s="147" t="inlineStr">
        <is>
          <t>Accessory 2</t>
        </is>
      </c>
      <c r="E50" s="139" t="n">
        <v>20</v>
      </c>
      <c r="F50" s="139" t="n">
        <v>480</v>
      </c>
      <c r="G50" s="192">
        <f>A50</f>
        <v/>
      </c>
      <c r="H50" s="193" t="n">
        <v>0</v>
      </c>
      <c r="I50" s="139" t="n">
        <v>0</v>
      </c>
      <c r="J50" s="139" t="n">
        <v>0</v>
      </c>
      <c r="K50" s="139" t="n">
        <v>0</v>
      </c>
      <c r="L50" s="139" t="n">
        <v>0</v>
      </c>
      <c r="M50" s="139" t="n">
        <v>0</v>
      </c>
      <c r="N50" s="139" t="n">
        <v>0</v>
      </c>
      <c r="O50" s="139" t="n">
        <v>0</v>
      </c>
      <c r="P50" s="139" t="n">
        <v>0</v>
      </c>
      <c r="Q50" s="139" t="n">
        <v>0</v>
      </c>
      <c r="R50" s="139" t="n">
        <v>0</v>
      </c>
      <c r="S50" s="139" t="n">
        <v>0</v>
      </c>
      <c r="T50" s="139" t="n">
        <v>0</v>
      </c>
      <c r="U50" s="139" t="n">
        <v>0</v>
      </c>
      <c r="V50" s="139" t="n">
        <v>0</v>
      </c>
      <c r="W50" s="139" t="n">
        <v>0</v>
      </c>
      <c r="X50" s="139" t="n">
        <v>0</v>
      </c>
      <c r="Y50" s="139" t="n">
        <v>0</v>
      </c>
      <c r="Z50" s="139" t="n">
        <v>0</v>
      </c>
      <c r="AA50" s="139" t="n">
        <v>0</v>
      </c>
      <c r="AB50" s="139" t="n">
        <v>0</v>
      </c>
    </row>
    <row r="51" ht="15.75" customHeight="1" s="397">
      <c r="A51" s="139" t="n">
        <v>27</v>
      </c>
      <c r="B51" s="139" t="n">
        <v>9</v>
      </c>
      <c r="C51" s="147" t="inlineStr">
        <is>
          <t>Red's accessories</t>
        </is>
      </c>
      <c r="D51" s="147" t="inlineStr">
        <is>
          <t>Accessory 3</t>
        </is>
      </c>
      <c r="E51" s="139" t="n">
        <v>20</v>
      </c>
      <c r="F51" s="139" t="n">
        <v>520</v>
      </c>
      <c r="G51" s="192">
        <f>A51</f>
        <v/>
      </c>
      <c r="H51" s="193" t="n">
        <v>0</v>
      </c>
      <c r="I51" s="139" t="n">
        <v>0</v>
      </c>
      <c r="J51" s="139" t="n">
        <v>0</v>
      </c>
      <c r="K51" s="139" t="n">
        <v>0</v>
      </c>
      <c r="L51" s="139" t="n">
        <v>0</v>
      </c>
      <c r="M51" s="139" t="n">
        <v>0</v>
      </c>
      <c r="N51" s="139" t="n">
        <v>0</v>
      </c>
      <c r="O51" s="139" t="n">
        <v>1</v>
      </c>
      <c r="P51" s="139" t="n">
        <v>0</v>
      </c>
      <c r="Q51" s="139" t="n">
        <v>0</v>
      </c>
      <c r="R51" s="139" t="n">
        <v>0</v>
      </c>
      <c r="S51" s="139" t="n">
        <v>0</v>
      </c>
      <c r="T51" s="139" t="n">
        <v>0</v>
      </c>
      <c r="U51" s="139" t="n">
        <v>0</v>
      </c>
      <c r="V51" s="139" t="n">
        <v>0</v>
      </c>
      <c r="W51" s="139" t="n">
        <v>0</v>
      </c>
      <c r="X51" s="139" t="n">
        <v>0</v>
      </c>
      <c r="Y51" s="139" t="n">
        <v>0</v>
      </c>
      <c r="Z51" s="139" t="n">
        <v>0</v>
      </c>
      <c r="AA51" s="139" t="n">
        <v>0</v>
      </c>
      <c r="AB51" s="139" t="n">
        <v>0</v>
      </c>
    </row>
    <row r="52" ht="15.75" customHeight="1" s="397">
      <c r="A52" s="139" t="n">
        <v>28</v>
      </c>
      <c r="B52" s="139" t="n">
        <v>10</v>
      </c>
      <c r="C52" s="147" t="inlineStr">
        <is>
          <t>Photo finishes</t>
        </is>
      </c>
      <c r="D52" s="147" t="inlineStr">
        <is>
          <t>Photo filter</t>
        </is>
      </c>
      <c r="E52" s="139" t="n">
        <v>25</v>
      </c>
      <c r="F52" s="139" t="n">
        <v>600</v>
      </c>
      <c r="G52" s="192">
        <f>A52</f>
        <v/>
      </c>
      <c r="H52" s="193" t="n">
        <v>0</v>
      </c>
      <c r="I52" s="139" t="n">
        <v>0</v>
      </c>
      <c r="J52" s="139" t="n">
        <v>0</v>
      </c>
      <c r="K52" s="139" t="n">
        <v>0</v>
      </c>
      <c r="L52" s="139" t="n">
        <v>0</v>
      </c>
      <c r="M52" s="139" t="n">
        <v>0</v>
      </c>
      <c r="N52" s="139" t="n">
        <v>0</v>
      </c>
      <c r="O52" s="139" t="n">
        <v>0</v>
      </c>
      <c r="P52" s="139" t="n">
        <v>0</v>
      </c>
      <c r="Q52" s="139" t="n">
        <v>0</v>
      </c>
      <c r="R52" s="139" t="n">
        <v>0</v>
      </c>
      <c r="S52" s="139" t="n">
        <v>0</v>
      </c>
      <c r="T52" s="139" t="n">
        <v>0</v>
      </c>
      <c r="U52" s="139" t="n">
        <v>0</v>
      </c>
      <c r="V52" s="139" t="n">
        <v>0</v>
      </c>
      <c r="W52" s="139" t="n">
        <v>0</v>
      </c>
      <c r="X52" s="139" t="n">
        <v>0</v>
      </c>
      <c r="Y52" s="139" t="n">
        <v>0</v>
      </c>
      <c r="Z52" s="139" t="n">
        <v>0</v>
      </c>
      <c r="AA52" s="139" t="n">
        <v>0</v>
      </c>
      <c r="AB52" s="139" t="n">
        <v>0</v>
      </c>
    </row>
    <row r="53" ht="15.75" customHeight="1" s="397">
      <c r="A53" s="139" t="n">
        <v>29</v>
      </c>
      <c r="B53" s="139" t="n">
        <v>10</v>
      </c>
      <c r="C53" s="147" t="inlineStr">
        <is>
          <t>Photo finishes</t>
        </is>
      </c>
      <c r="D53" s="147" t="inlineStr">
        <is>
          <t>Particles</t>
        </is>
      </c>
      <c r="E53" s="139" t="n">
        <v>25</v>
      </c>
      <c r="F53" s="139" t="n">
        <v>600</v>
      </c>
      <c r="G53" s="192">
        <f>A53</f>
        <v/>
      </c>
      <c r="H53" s="193" t="n">
        <v>0</v>
      </c>
      <c r="I53" s="139" t="n">
        <v>0</v>
      </c>
      <c r="J53" s="139" t="n">
        <v>0</v>
      </c>
      <c r="K53" s="139" t="n">
        <v>0</v>
      </c>
      <c r="L53" s="139" t="n">
        <v>0</v>
      </c>
      <c r="M53" s="139" t="n">
        <v>0</v>
      </c>
      <c r="N53" s="139" t="n">
        <v>0</v>
      </c>
      <c r="O53" s="139" t="n">
        <v>0</v>
      </c>
      <c r="P53" s="139" t="n">
        <v>0</v>
      </c>
      <c r="Q53" s="139" t="n">
        <v>0</v>
      </c>
      <c r="R53" s="139" t="n">
        <v>0</v>
      </c>
      <c r="S53" s="139" t="n">
        <v>0</v>
      </c>
      <c r="T53" s="139" t="n">
        <v>0</v>
      </c>
      <c r="U53" s="139" t="n">
        <v>0</v>
      </c>
      <c r="V53" s="139" t="n">
        <v>0</v>
      </c>
      <c r="W53" s="139" t="n">
        <v>0</v>
      </c>
      <c r="X53" s="139" t="n">
        <v>0</v>
      </c>
      <c r="Y53" s="139" t="n">
        <v>0</v>
      </c>
      <c r="Z53" s="139" t="n">
        <v>0</v>
      </c>
      <c r="AA53" s="139" t="n">
        <v>0</v>
      </c>
      <c r="AB53" s="139" t="n">
        <v>0</v>
      </c>
    </row>
    <row r="54" ht="15.75" customHeight="1" s="397">
      <c r="A54" s="139" t="n">
        <v>30</v>
      </c>
      <c r="B54" s="139" t="n">
        <v>10</v>
      </c>
      <c r="C54" s="147" t="inlineStr">
        <is>
          <t>Photo finishes</t>
        </is>
      </c>
      <c r="D54" s="147" t="inlineStr">
        <is>
          <t>Add Text</t>
        </is>
      </c>
      <c r="E54" s="139" t="n">
        <v>25</v>
      </c>
      <c r="F54" s="139" t="n">
        <v>600</v>
      </c>
      <c r="G54" s="192">
        <f>A54</f>
        <v/>
      </c>
      <c r="H54" s="193" t="n">
        <v>50</v>
      </c>
      <c r="I54" s="139" t="n">
        <v>0</v>
      </c>
      <c r="J54" s="139" t="n">
        <v>0</v>
      </c>
      <c r="K54" s="139" t="n">
        <v>0</v>
      </c>
      <c r="L54" s="139" t="n">
        <v>0</v>
      </c>
      <c r="M54" s="139" t="n">
        <v>1</v>
      </c>
      <c r="N54" s="139" t="n">
        <v>0</v>
      </c>
      <c r="O54" s="139" t="n">
        <v>0</v>
      </c>
      <c r="P54" s="139" t="n">
        <v>0</v>
      </c>
      <c r="Q54" s="139" t="n">
        <v>120</v>
      </c>
      <c r="R54" s="139" t="n">
        <v>0</v>
      </c>
      <c r="S54" s="139" t="n">
        <v>0</v>
      </c>
      <c r="T54" s="139" t="n">
        <v>0</v>
      </c>
      <c r="U54" s="139" t="n">
        <v>0</v>
      </c>
      <c r="V54" s="139" t="n">
        <v>0</v>
      </c>
      <c r="W54" s="139" t="n">
        <v>0</v>
      </c>
      <c r="X54" s="139" t="n">
        <v>0</v>
      </c>
      <c r="Y54" s="139" t="n">
        <v>0</v>
      </c>
      <c r="Z54" s="139" t="n">
        <v>0</v>
      </c>
      <c r="AA54" s="139" t="n">
        <v>0</v>
      </c>
      <c r="AB54" s="139" t="n">
        <v>0</v>
      </c>
    </row>
    <row r="55" ht="15.75" customHeight="1" s="397"/>
    <row r="56" ht="19.5" customHeight="1" s="397">
      <c r="A56" s="92" t="inlineStr">
        <is>
          <t>Endless Rewards - Lane 1 (post-completion shop)</t>
        </is>
      </c>
      <c r="B56" s="92" t="n"/>
      <c r="C56" s="92" t="n"/>
      <c r="D56" s="92" t="n"/>
      <c r="E56" s="92" t="n"/>
      <c r="F56" s="92" t="n"/>
      <c r="G56" s="92" t="n"/>
      <c r="H56" s="92" t="n"/>
      <c r="I56" s="92" t="n"/>
      <c r="J56" s="92" t="n"/>
      <c r="K56" s="92" t="n"/>
      <c r="L56" s="92" t="n"/>
      <c r="M56" s="92" t="n"/>
      <c r="N56" s="92" t="n"/>
      <c r="O56" s="92" t="n"/>
      <c r="P56" s="92" t="n"/>
      <c r="Q56" s="92" t="n"/>
      <c r="R56" s="92" t="n"/>
      <c r="S56" s="92" t="n"/>
      <c r="T56" s="92" t="n"/>
      <c r="U56" s="92" t="n"/>
      <c r="V56" s="92" t="n"/>
      <c r="W56" s="92" t="n"/>
      <c r="X56" s="92" t="n"/>
      <c r="Y56" s="92" t="n"/>
      <c r="Z56" s="92" t="n"/>
      <c r="AA56" s="92" t="n"/>
      <c r="AB56" s="92" t="n"/>
    </row>
    <row r="57" ht="90" customHeight="1" s="397">
      <c r="A57" s="173" t="inlineStr">
        <is>
          <t>Reward #</t>
        </is>
      </c>
      <c r="B57" s="173" t="inlineStr">
        <is>
          <t>Price
(tokens)</t>
        </is>
      </c>
      <c r="H57" s="191" t="inlineStr">
        <is>
          <t>Coins</t>
        </is>
      </c>
      <c r="I57" s="116" t="inlineStr">
        <is>
          <t>SPT</t>
        </is>
      </c>
      <c r="J57" s="116" t="inlineStr">
        <is>
          <t>SPT x2</t>
        </is>
      </c>
      <c r="K57" s="116" t="inlineStr">
        <is>
          <t>Red</t>
        </is>
      </c>
      <c r="L57" s="116" t="inlineStr">
        <is>
          <t>Chuck</t>
        </is>
      </c>
      <c r="M57" s="116" t="inlineStr">
        <is>
          <t>Bomb</t>
        </is>
      </c>
      <c r="N57" s="116" t="inlineStr">
        <is>
          <t>Slingshot</t>
        </is>
      </c>
      <c r="O57" s="116" t="inlineStr">
        <is>
          <t>Shuffle</t>
        </is>
      </c>
      <c r="P57" s="116" t="inlineStr">
        <is>
          <t>Comet</t>
        </is>
      </c>
      <c r="Q57" s="116" t="inlineStr">
        <is>
          <t>Unlimited Lives</t>
        </is>
      </c>
      <c r="R57" s="116" t="inlineStr">
        <is>
          <t>Unlimited Red</t>
        </is>
      </c>
      <c r="S57" s="116" t="inlineStr">
        <is>
          <t>Unlimited Chuck</t>
        </is>
      </c>
      <c r="T57" s="116" t="inlineStr">
        <is>
          <t>Unlimited Bomb</t>
        </is>
      </c>
      <c r="U57" s="116" t="inlineStr">
        <is>
          <t>COOP Token</t>
        </is>
      </c>
      <c r="V57" s="116" t="inlineStr">
        <is>
          <t>Avatar</t>
        </is>
      </c>
      <c r="W57" s="116" t="inlineStr">
        <is>
          <t>1-star Dly</t>
        </is>
      </c>
      <c r="X57" s="116" t="inlineStr">
        <is>
          <t>2-star Dly</t>
        </is>
      </c>
      <c r="Y57" s="116" t="inlineStr">
        <is>
          <t>3-star Dly</t>
        </is>
      </c>
      <c r="Z57" s="116" t="inlineStr">
        <is>
          <t>4-star Dly</t>
        </is>
      </c>
      <c r="AA57" s="116" t="inlineStr">
        <is>
          <t>5-star Dly</t>
        </is>
      </c>
      <c r="AB57" s="116" t="inlineStr">
        <is>
          <t>6-star Dly</t>
        </is>
      </c>
    </row>
    <row r="58" ht="15.75" customHeight="1" s="397">
      <c r="A58" s="139" t="n">
        <v>1</v>
      </c>
      <c r="B58" s="139" t="n">
        <v>840</v>
      </c>
      <c r="H58" s="193" t="n">
        <v>0</v>
      </c>
      <c r="I58" s="139" t="n">
        <v>0</v>
      </c>
      <c r="J58" s="139" t="n">
        <v>0</v>
      </c>
      <c r="K58" s="139" t="n">
        <v>0</v>
      </c>
      <c r="L58" s="139" t="n">
        <v>0</v>
      </c>
      <c r="M58" s="139" t="n">
        <v>1</v>
      </c>
      <c r="N58" s="139" t="n">
        <v>0</v>
      </c>
      <c r="O58" s="139" t="n">
        <v>0</v>
      </c>
      <c r="P58" s="139" t="n">
        <v>0</v>
      </c>
      <c r="Q58" s="139" t="n">
        <v>0</v>
      </c>
      <c r="R58" s="139" t="n">
        <v>0</v>
      </c>
      <c r="S58" s="139" t="n">
        <v>0</v>
      </c>
      <c r="T58" s="139" t="n">
        <v>0</v>
      </c>
      <c r="U58" s="139" t="n">
        <v>0</v>
      </c>
      <c r="V58" s="139" t="n">
        <v>0</v>
      </c>
      <c r="W58" s="139" t="n">
        <v>0</v>
      </c>
      <c r="X58" s="139" t="n">
        <v>0</v>
      </c>
      <c r="Y58" s="139" t="n">
        <v>0</v>
      </c>
      <c r="Z58" s="139" t="n">
        <v>0</v>
      </c>
      <c r="AA58" s="139" t="n">
        <v>0</v>
      </c>
      <c r="AB58" s="139" t="n">
        <v>0</v>
      </c>
    </row>
    <row r="59" ht="15.75" customHeight="1" s="397">
      <c r="A59" s="139" t="n">
        <v>2</v>
      </c>
      <c r="B59" s="139" t="n">
        <v>840</v>
      </c>
      <c r="C59" s="156" t="n"/>
      <c r="D59" s="156" t="n"/>
      <c r="E59" s="156" t="n"/>
      <c r="F59" s="156" t="n"/>
      <c r="G59" s="156" t="n"/>
      <c r="H59" s="193" t="n">
        <v>0</v>
      </c>
      <c r="I59" s="139" t="n">
        <v>0</v>
      </c>
      <c r="J59" s="139" t="n">
        <v>0</v>
      </c>
      <c r="K59" s="139" t="n">
        <v>2</v>
      </c>
      <c r="L59" s="139" t="n">
        <v>0</v>
      </c>
      <c r="M59" s="139" t="n">
        <v>0</v>
      </c>
      <c r="N59" s="139" t="n">
        <v>0</v>
      </c>
      <c r="O59" s="139" t="n">
        <v>0</v>
      </c>
      <c r="P59" s="139" t="n">
        <v>0</v>
      </c>
      <c r="Q59" s="139" t="n">
        <v>0</v>
      </c>
      <c r="R59" s="139" t="n">
        <v>0</v>
      </c>
      <c r="S59" s="139" t="n">
        <v>0</v>
      </c>
      <c r="T59" s="139" t="n">
        <v>0</v>
      </c>
      <c r="U59" s="139" t="n">
        <v>0</v>
      </c>
      <c r="V59" s="139" t="n">
        <v>0</v>
      </c>
      <c r="W59" s="139" t="n">
        <v>0</v>
      </c>
      <c r="X59" s="139" t="n">
        <v>0</v>
      </c>
      <c r="Y59" s="139" t="n">
        <v>0</v>
      </c>
      <c r="Z59" s="139" t="n">
        <v>0</v>
      </c>
      <c r="AA59" s="139" t="n">
        <v>0</v>
      </c>
      <c r="AB59" s="139" t="n">
        <v>0</v>
      </c>
    </row>
    <row r="60" ht="15.75" customHeight="1" s="397">
      <c r="A60" s="139" t="n">
        <v>3</v>
      </c>
      <c r="B60" s="139" t="n">
        <v>830</v>
      </c>
      <c r="H60" s="193" t="n">
        <v>0</v>
      </c>
      <c r="I60" s="139" t="n">
        <v>0</v>
      </c>
      <c r="J60" s="139" t="n">
        <v>0</v>
      </c>
      <c r="K60" s="139" t="n">
        <v>0</v>
      </c>
      <c r="L60" s="139" t="n">
        <v>1</v>
      </c>
      <c r="M60" s="139" t="n">
        <v>0</v>
      </c>
      <c r="N60" s="139" t="n">
        <v>0</v>
      </c>
      <c r="O60" s="139" t="n">
        <v>0</v>
      </c>
      <c r="P60" s="139" t="n">
        <v>0</v>
      </c>
      <c r="Q60" s="139" t="n">
        <v>0</v>
      </c>
      <c r="R60" s="139" t="n">
        <v>0</v>
      </c>
      <c r="S60" s="139" t="n">
        <v>0</v>
      </c>
      <c r="T60" s="139" t="n">
        <v>0</v>
      </c>
      <c r="U60" s="139" t="n">
        <v>0</v>
      </c>
      <c r="V60" s="139" t="n">
        <v>0</v>
      </c>
      <c r="W60" s="139" t="n">
        <v>0</v>
      </c>
      <c r="X60" s="139" t="n">
        <v>0</v>
      </c>
      <c r="Y60" s="139" t="n">
        <v>0</v>
      </c>
      <c r="Z60" s="139" t="n">
        <v>0</v>
      </c>
      <c r="AA60" s="139" t="n">
        <v>0</v>
      </c>
      <c r="AB60" s="139" t="n">
        <v>0</v>
      </c>
    </row>
    <row r="61" ht="15.75" customHeight="1" s="397">
      <c r="A61" s="139" t="n">
        <v>4</v>
      </c>
      <c r="B61" s="139" t="n">
        <v>800</v>
      </c>
      <c r="C61" s="156" t="n"/>
      <c r="D61" s="156" t="n"/>
      <c r="E61" s="156" t="n"/>
      <c r="F61" s="156" t="n"/>
      <c r="G61" s="156" t="n"/>
      <c r="H61" s="193" t="n">
        <v>25</v>
      </c>
      <c r="I61" s="139" t="n">
        <v>0</v>
      </c>
      <c r="J61" s="139" t="n">
        <v>0</v>
      </c>
      <c r="K61" s="139" t="n">
        <v>0</v>
      </c>
      <c r="L61" s="139" t="n">
        <v>0</v>
      </c>
      <c r="M61" s="139" t="n">
        <v>0</v>
      </c>
      <c r="N61" s="139" t="n">
        <v>0</v>
      </c>
      <c r="O61" s="139" t="n">
        <v>0</v>
      </c>
      <c r="P61" s="139" t="n">
        <v>0</v>
      </c>
      <c r="Q61" s="139" t="n">
        <v>0</v>
      </c>
      <c r="R61" s="139" t="n">
        <v>0</v>
      </c>
      <c r="S61" s="139" t="n">
        <v>0</v>
      </c>
      <c r="T61" s="139" t="n">
        <v>0</v>
      </c>
      <c r="U61" s="139" t="n">
        <v>0</v>
      </c>
      <c r="V61" s="139" t="n">
        <v>0</v>
      </c>
      <c r="W61" s="139" t="n">
        <v>0</v>
      </c>
      <c r="X61" s="139" t="n">
        <v>0</v>
      </c>
      <c r="Y61" s="139" t="n">
        <v>0</v>
      </c>
      <c r="Z61" s="139" t="n">
        <v>0</v>
      </c>
      <c r="AA61" s="139" t="n">
        <v>0</v>
      </c>
      <c r="AB61" s="139" t="n">
        <v>0</v>
      </c>
    </row>
    <row r="62" ht="15.75" customHeight="1" s="397">
      <c r="A62" s="139" t="n">
        <v>5</v>
      </c>
      <c r="B62" s="139" t="n">
        <v>810</v>
      </c>
      <c r="H62" s="193" t="n">
        <v>0</v>
      </c>
      <c r="I62" s="139" t="n">
        <v>0</v>
      </c>
      <c r="J62" s="139" t="n">
        <v>0</v>
      </c>
      <c r="K62" s="139" t="n">
        <v>1</v>
      </c>
      <c r="L62" s="139" t="n">
        <v>0</v>
      </c>
      <c r="M62" s="139" t="n">
        <v>0</v>
      </c>
      <c r="N62" s="139" t="n">
        <v>0</v>
      </c>
      <c r="O62" s="139" t="n">
        <v>0</v>
      </c>
      <c r="P62" s="139" t="n">
        <v>0</v>
      </c>
      <c r="Q62" s="139" t="n">
        <v>0</v>
      </c>
      <c r="R62" s="139" t="n">
        <v>0</v>
      </c>
      <c r="S62" s="139" t="n">
        <v>0</v>
      </c>
      <c r="T62" s="139" t="n">
        <v>0</v>
      </c>
      <c r="U62" s="139" t="n">
        <v>0</v>
      </c>
      <c r="V62" s="139" t="n">
        <v>0</v>
      </c>
      <c r="W62" s="139" t="n">
        <v>0</v>
      </c>
      <c r="X62" s="139" t="n">
        <v>0</v>
      </c>
      <c r="Y62" s="139" t="n">
        <v>0</v>
      </c>
      <c r="Z62" s="139" t="n">
        <v>0</v>
      </c>
      <c r="AA62" s="139" t="n">
        <v>0</v>
      </c>
      <c r="AB62" s="139" t="n">
        <v>0</v>
      </c>
    </row>
    <row r="63" ht="15.75" customHeight="1" s="397">
      <c r="A63" s="139" t="n">
        <v>6</v>
      </c>
      <c r="B63" s="139" t="n">
        <v>880</v>
      </c>
      <c r="C63" s="156" t="n"/>
      <c r="D63" s="156" t="n"/>
      <c r="E63" s="156" t="n"/>
      <c r="F63" s="156" t="n"/>
      <c r="G63" s="156" t="n"/>
      <c r="H63" s="193" t="n">
        <v>0</v>
      </c>
      <c r="I63" s="139" t="n">
        <v>0</v>
      </c>
      <c r="J63" s="139" t="n">
        <v>0</v>
      </c>
      <c r="K63" s="139" t="n">
        <v>0</v>
      </c>
      <c r="L63" s="139" t="n">
        <v>2</v>
      </c>
      <c r="M63" s="139" t="n">
        <v>0</v>
      </c>
      <c r="N63" s="139" t="n">
        <v>0</v>
      </c>
      <c r="O63" s="139" t="n">
        <v>0</v>
      </c>
      <c r="P63" s="139" t="n">
        <v>0</v>
      </c>
      <c r="Q63" s="139" t="n">
        <v>0</v>
      </c>
      <c r="R63" s="139" t="n">
        <v>0</v>
      </c>
      <c r="S63" s="139" t="n">
        <v>0</v>
      </c>
      <c r="T63" s="139" t="n">
        <v>0</v>
      </c>
      <c r="U63" s="139" t="n">
        <v>0</v>
      </c>
      <c r="V63" s="139" t="n">
        <v>0</v>
      </c>
      <c r="W63" s="139" t="n">
        <v>0</v>
      </c>
      <c r="X63" s="139" t="n">
        <v>0</v>
      </c>
      <c r="Y63" s="139" t="n">
        <v>0</v>
      </c>
      <c r="Z63" s="139" t="n">
        <v>0</v>
      </c>
      <c r="AA63" s="139" t="n">
        <v>0</v>
      </c>
      <c r="AB63" s="139" t="n">
        <v>0</v>
      </c>
    </row>
    <row r="64" ht="15.75" customHeight="1" s="397">
      <c r="A64" s="139" t="n">
        <v>7</v>
      </c>
      <c r="B64" s="139" t="n">
        <v>840</v>
      </c>
      <c r="H64" s="193" t="n">
        <v>0</v>
      </c>
      <c r="I64" s="139" t="n">
        <v>0</v>
      </c>
      <c r="J64" s="139" t="n">
        <v>0</v>
      </c>
      <c r="K64" s="139" t="n">
        <v>0</v>
      </c>
      <c r="L64" s="139" t="n">
        <v>0</v>
      </c>
      <c r="M64" s="139" t="n">
        <v>1</v>
      </c>
      <c r="N64" s="139" t="n">
        <v>0</v>
      </c>
      <c r="O64" s="139" t="n">
        <v>0</v>
      </c>
      <c r="P64" s="139" t="n">
        <v>0</v>
      </c>
      <c r="Q64" s="139" t="n">
        <v>0</v>
      </c>
      <c r="R64" s="139" t="n">
        <v>0</v>
      </c>
      <c r="S64" s="139" t="n">
        <v>0</v>
      </c>
      <c r="T64" s="139" t="n">
        <v>0</v>
      </c>
      <c r="U64" s="139" t="n">
        <v>0</v>
      </c>
      <c r="V64" s="139" t="n">
        <v>0</v>
      </c>
      <c r="W64" s="139" t="n">
        <v>0</v>
      </c>
      <c r="X64" s="139" t="n">
        <v>0</v>
      </c>
      <c r="Y64" s="139" t="n">
        <v>0</v>
      </c>
      <c r="Z64" s="139" t="n">
        <v>0</v>
      </c>
      <c r="AA64" s="139" t="n">
        <v>0</v>
      </c>
      <c r="AB64" s="139" t="n">
        <v>0</v>
      </c>
    </row>
    <row r="65" ht="15.75" customHeight="1" s="397">
      <c r="A65" s="139" t="n">
        <v>8</v>
      </c>
      <c r="B65" s="139" t="n">
        <v>880</v>
      </c>
      <c r="C65" s="156" t="n"/>
      <c r="D65" s="156" t="n"/>
      <c r="E65" s="156" t="n"/>
      <c r="F65" s="156" t="n"/>
      <c r="G65" s="156" t="n"/>
      <c r="H65" s="193" t="n">
        <v>0</v>
      </c>
      <c r="I65" s="139" t="n">
        <v>0</v>
      </c>
      <c r="J65" s="139" t="n">
        <v>0</v>
      </c>
      <c r="K65" s="139" t="n">
        <v>3</v>
      </c>
      <c r="L65" s="139" t="n">
        <v>0</v>
      </c>
      <c r="M65" s="139" t="n">
        <v>0</v>
      </c>
      <c r="N65" s="139" t="n">
        <v>0</v>
      </c>
      <c r="O65" s="139" t="n">
        <v>0</v>
      </c>
      <c r="P65" s="139" t="n">
        <v>0</v>
      </c>
      <c r="Q65" s="139" t="n">
        <v>0</v>
      </c>
      <c r="R65" s="139" t="n">
        <v>0</v>
      </c>
      <c r="S65" s="139" t="n">
        <v>0</v>
      </c>
      <c r="T65" s="139" t="n">
        <v>0</v>
      </c>
      <c r="U65" s="139" t="n">
        <v>0</v>
      </c>
      <c r="V65" s="139" t="n">
        <v>0</v>
      </c>
      <c r="W65" s="139" t="n">
        <v>0</v>
      </c>
      <c r="X65" s="139" t="n">
        <v>0</v>
      </c>
      <c r="Y65" s="139" t="n">
        <v>0</v>
      </c>
      <c r="Z65" s="139" t="n">
        <v>0</v>
      </c>
      <c r="AA65" s="139" t="n">
        <v>0</v>
      </c>
      <c r="AB65" s="139" t="n">
        <v>0</v>
      </c>
    </row>
    <row r="66" ht="15.75" customHeight="1" s="397">
      <c r="A66" s="139" t="n">
        <v>9</v>
      </c>
      <c r="B66" s="139" t="n">
        <v>840</v>
      </c>
      <c r="H66" s="193" t="n">
        <v>0</v>
      </c>
      <c r="I66" s="139" t="n">
        <v>0</v>
      </c>
      <c r="J66" s="139" t="n">
        <v>0</v>
      </c>
      <c r="K66" s="139" t="n">
        <v>0</v>
      </c>
      <c r="L66" s="139" t="n">
        <v>0</v>
      </c>
      <c r="M66" s="139" t="n">
        <v>1</v>
      </c>
      <c r="N66" s="139" t="n">
        <v>0</v>
      </c>
      <c r="O66" s="139" t="n">
        <v>0</v>
      </c>
      <c r="P66" s="139" t="n">
        <v>0</v>
      </c>
      <c r="Q66" s="139" t="n">
        <v>0</v>
      </c>
      <c r="R66" s="139" t="n">
        <v>0</v>
      </c>
      <c r="S66" s="139" t="n">
        <v>0</v>
      </c>
      <c r="T66" s="139" t="n">
        <v>0</v>
      </c>
      <c r="U66" s="139" t="n">
        <v>0</v>
      </c>
      <c r="V66" s="139" t="n">
        <v>0</v>
      </c>
      <c r="W66" s="139" t="n">
        <v>0</v>
      </c>
      <c r="X66" s="139" t="n">
        <v>0</v>
      </c>
      <c r="Y66" s="139" t="n">
        <v>0</v>
      </c>
      <c r="Z66" s="139" t="n">
        <v>0</v>
      </c>
      <c r="AA66" s="139" t="n">
        <v>0</v>
      </c>
      <c r="AB66" s="139" t="n">
        <v>0</v>
      </c>
    </row>
    <row r="67" ht="15.75" customHeight="1" s="397">
      <c r="A67" s="139" t="n">
        <v>10</v>
      </c>
      <c r="B67" s="139" t="n">
        <v>930</v>
      </c>
      <c r="C67" s="156" t="n"/>
      <c r="D67" s="156" t="n"/>
      <c r="E67" s="156" t="n"/>
      <c r="F67" s="156" t="n"/>
      <c r="G67" s="156" t="n"/>
      <c r="H67" s="193" t="n">
        <v>0</v>
      </c>
      <c r="I67" s="139" t="n">
        <v>0</v>
      </c>
      <c r="J67" s="139" t="n">
        <v>0</v>
      </c>
      <c r="K67" s="139" t="n">
        <v>0</v>
      </c>
      <c r="L67" s="139" t="n">
        <v>3</v>
      </c>
      <c r="M67" s="139" t="n">
        <v>0</v>
      </c>
      <c r="N67" s="139" t="n">
        <v>0</v>
      </c>
      <c r="O67" s="139" t="n">
        <v>0</v>
      </c>
      <c r="P67" s="139" t="n">
        <v>0</v>
      </c>
      <c r="Q67" s="139" t="n">
        <v>0</v>
      </c>
      <c r="R67" s="139" t="n">
        <v>0</v>
      </c>
      <c r="S67" s="139" t="n">
        <v>0</v>
      </c>
      <c r="T67" s="139" t="n">
        <v>0</v>
      </c>
      <c r="U67" s="139" t="n">
        <v>0</v>
      </c>
      <c r="V67" s="139" t="n">
        <v>0</v>
      </c>
      <c r="W67" s="139" t="n">
        <v>0</v>
      </c>
      <c r="X67" s="139" t="n">
        <v>0</v>
      </c>
      <c r="Y67" s="139" t="n">
        <v>0</v>
      </c>
      <c r="Z67" s="139" t="n">
        <v>0</v>
      </c>
      <c r="AA67" s="139" t="n">
        <v>0</v>
      </c>
      <c r="AB67" s="139" t="n">
        <v>0</v>
      </c>
    </row>
    <row r="68" ht="15.75" customHeight="1" s="397">
      <c r="A68" s="139" t="n">
        <v>11</v>
      </c>
      <c r="B68" s="139" t="n">
        <v>980</v>
      </c>
      <c r="H68" s="193" t="n">
        <v>0</v>
      </c>
      <c r="I68" s="139" t="n">
        <v>0</v>
      </c>
      <c r="J68" s="139" t="n">
        <v>0</v>
      </c>
      <c r="K68" s="139" t="n">
        <v>0</v>
      </c>
      <c r="L68" s="139" t="n">
        <v>0</v>
      </c>
      <c r="M68" s="139" t="n">
        <v>3</v>
      </c>
      <c r="N68" s="139" t="n">
        <v>0</v>
      </c>
      <c r="O68" s="139" t="n">
        <v>0</v>
      </c>
      <c r="P68" s="139" t="n">
        <v>0</v>
      </c>
      <c r="Q68" s="139" t="n">
        <v>0</v>
      </c>
      <c r="R68" s="139" t="n">
        <v>0</v>
      </c>
      <c r="S68" s="139" t="n">
        <v>0</v>
      </c>
      <c r="T68" s="139" t="n">
        <v>0</v>
      </c>
      <c r="U68" s="139" t="n">
        <v>0</v>
      </c>
      <c r="V68" s="139" t="n">
        <v>0</v>
      </c>
      <c r="W68" s="139" t="n">
        <v>0</v>
      </c>
      <c r="X68" s="139" t="n">
        <v>0</v>
      </c>
      <c r="Y68" s="139" t="n">
        <v>0</v>
      </c>
      <c r="Z68" s="139" t="n">
        <v>0</v>
      </c>
      <c r="AA68" s="139" t="n">
        <v>0</v>
      </c>
      <c r="AB68" s="139" t="n">
        <v>0</v>
      </c>
    </row>
    <row r="69" ht="15.75" customHeight="1" s="397">
      <c r="A69" s="139" t="n">
        <v>12</v>
      </c>
      <c r="B69" s="139" t="n">
        <v>840</v>
      </c>
      <c r="C69" s="156" t="n"/>
      <c r="D69" s="156" t="n"/>
      <c r="E69" s="156" t="n"/>
      <c r="F69" s="156" t="n"/>
      <c r="G69" s="156" t="n"/>
      <c r="H69" s="193" t="n">
        <v>0</v>
      </c>
      <c r="I69" s="139" t="n">
        <v>0</v>
      </c>
      <c r="J69" s="139" t="n">
        <v>0</v>
      </c>
      <c r="K69" s="139" t="n">
        <v>2</v>
      </c>
      <c r="L69" s="139" t="n">
        <v>0</v>
      </c>
      <c r="M69" s="139" t="n">
        <v>0</v>
      </c>
      <c r="N69" s="139" t="n">
        <v>0</v>
      </c>
      <c r="O69" s="139" t="n">
        <v>0</v>
      </c>
      <c r="P69" s="139" t="n">
        <v>0</v>
      </c>
      <c r="Q69" s="139" t="n">
        <v>0</v>
      </c>
      <c r="R69" s="139" t="n">
        <v>0</v>
      </c>
      <c r="S69" s="139" t="n">
        <v>0</v>
      </c>
      <c r="T69" s="139" t="n">
        <v>0</v>
      </c>
      <c r="U69" s="139" t="n">
        <v>0</v>
      </c>
      <c r="V69" s="139" t="n">
        <v>0</v>
      </c>
      <c r="W69" s="139" t="n">
        <v>0</v>
      </c>
      <c r="X69" s="139" t="n">
        <v>0</v>
      </c>
      <c r="Y69" s="139" t="n">
        <v>0</v>
      </c>
      <c r="Z69" s="139" t="n">
        <v>0</v>
      </c>
      <c r="AA69" s="139" t="n">
        <v>0</v>
      </c>
      <c r="AB69" s="139" t="n">
        <v>0</v>
      </c>
    </row>
    <row r="70" ht="15.75" customHeight="1" s="397">
      <c r="A70" s="139" t="n">
        <v>13</v>
      </c>
      <c r="B70" s="139" t="n">
        <v>1110</v>
      </c>
      <c r="H70" s="193" t="n">
        <v>0</v>
      </c>
      <c r="I70" s="139" t="n">
        <v>0</v>
      </c>
      <c r="J70" s="139" t="n">
        <v>0</v>
      </c>
      <c r="K70" s="139" t="n">
        <v>0</v>
      </c>
      <c r="L70" s="139" t="n">
        <v>0</v>
      </c>
      <c r="M70" s="139" t="n">
        <v>5</v>
      </c>
      <c r="N70" s="139" t="n">
        <v>0</v>
      </c>
      <c r="O70" s="139" t="n">
        <v>0</v>
      </c>
      <c r="P70" s="139" t="n">
        <v>0</v>
      </c>
      <c r="Q70" s="139" t="n">
        <v>0</v>
      </c>
      <c r="R70" s="139" t="n">
        <v>0</v>
      </c>
      <c r="S70" s="139" t="n">
        <v>0</v>
      </c>
      <c r="T70" s="139" t="n">
        <v>0</v>
      </c>
      <c r="U70" s="139" t="n">
        <v>0</v>
      </c>
      <c r="V70" s="139" t="n">
        <v>0</v>
      </c>
      <c r="W70" s="139" t="n">
        <v>0</v>
      </c>
      <c r="X70" s="139" t="n">
        <v>0</v>
      </c>
      <c r="Y70" s="139" t="n">
        <v>0</v>
      </c>
      <c r="Z70" s="139" t="n">
        <v>0</v>
      </c>
      <c r="AA70" s="139" t="n">
        <v>0</v>
      </c>
      <c r="AB70" s="139" t="n">
        <v>0</v>
      </c>
    </row>
    <row r="71" ht="15.75" customHeight="1" s="397">
      <c r="A71" s="139" t="n">
        <v>14</v>
      </c>
      <c r="B71" s="139" t="n">
        <v>830</v>
      </c>
      <c r="C71" s="156" t="n"/>
      <c r="D71" s="156" t="n"/>
      <c r="E71" s="156" t="n"/>
      <c r="F71" s="156" t="n"/>
      <c r="G71" s="156" t="n"/>
      <c r="H71" s="193" t="n">
        <v>50</v>
      </c>
      <c r="I71" s="139" t="n">
        <v>0</v>
      </c>
      <c r="J71" s="139" t="n">
        <v>0</v>
      </c>
      <c r="K71" s="139" t="n">
        <v>0</v>
      </c>
      <c r="L71" s="139" t="n">
        <v>0</v>
      </c>
      <c r="M71" s="139" t="n">
        <v>0</v>
      </c>
      <c r="N71" s="139" t="n">
        <v>0</v>
      </c>
      <c r="O71" s="139" t="n">
        <v>0</v>
      </c>
      <c r="P71" s="139" t="n">
        <v>0</v>
      </c>
      <c r="Q71" s="139" t="n">
        <v>0</v>
      </c>
      <c r="R71" s="139" t="n">
        <v>0</v>
      </c>
      <c r="S71" s="139" t="n">
        <v>0</v>
      </c>
      <c r="T71" s="139" t="n">
        <v>0</v>
      </c>
      <c r="U71" s="139" t="n">
        <v>0</v>
      </c>
      <c r="V71" s="139" t="n">
        <v>0</v>
      </c>
      <c r="W71" s="139" t="n">
        <v>0</v>
      </c>
      <c r="X71" s="139" t="n">
        <v>0</v>
      </c>
      <c r="Y71" s="139" t="n">
        <v>0</v>
      </c>
      <c r="Z71" s="139" t="n">
        <v>0</v>
      </c>
      <c r="AA71" s="139" t="n">
        <v>0</v>
      </c>
      <c r="AB71" s="139" t="n">
        <v>0</v>
      </c>
    </row>
    <row r="72" ht="15.75" customHeight="1" s="397">
      <c r="A72" s="139" t="n">
        <v>15</v>
      </c>
      <c r="B72" s="139" t="n">
        <v>880</v>
      </c>
      <c r="H72" s="193" t="n">
        <v>0</v>
      </c>
      <c r="I72" s="139" t="n">
        <v>0</v>
      </c>
      <c r="J72" s="139" t="n">
        <v>0</v>
      </c>
      <c r="K72" s="139" t="n">
        <v>0</v>
      </c>
      <c r="L72" s="139" t="n">
        <v>2</v>
      </c>
      <c r="M72" s="139" t="n">
        <v>0</v>
      </c>
      <c r="N72" s="139" t="n">
        <v>0</v>
      </c>
      <c r="O72" s="139" t="n">
        <v>0</v>
      </c>
      <c r="P72" s="139" t="n">
        <v>0</v>
      </c>
      <c r="Q72" s="139" t="n">
        <v>0</v>
      </c>
      <c r="R72" s="139" t="n">
        <v>0</v>
      </c>
      <c r="S72" s="139" t="n">
        <v>0</v>
      </c>
      <c r="T72" s="139" t="n">
        <v>0</v>
      </c>
      <c r="U72" s="139" t="n">
        <v>0</v>
      </c>
      <c r="V72" s="139" t="n">
        <v>0</v>
      </c>
      <c r="W72" s="139" t="n">
        <v>0</v>
      </c>
      <c r="X72" s="139" t="n">
        <v>0</v>
      </c>
      <c r="Y72" s="139" t="n">
        <v>0</v>
      </c>
      <c r="Z72" s="139" t="n">
        <v>0</v>
      </c>
      <c r="AA72" s="139" t="n">
        <v>0</v>
      </c>
      <c r="AB72" s="139" t="n">
        <v>0</v>
      </c>
    </row>
    <row r="73" ht="15.75" customHeight="1" s="397"/>
    <row r="74" ht="19.5" customHeight="1" s="397">
      <c r="A74" s="92" t="inlineStr">
        <is>
          <t>Endless Rewards - Lane 2 (post-completion shop)</t>
        </is>
      </c>
      <c r="B74" s="92" t="n"/>
      <c r="C74" s="92" t="n"/>
      <c r="D74" s="92" t="n"/>
      <c r="E74" s="92" t="n"/>
      <c r="F74" s="92" t="n"/>
      <c r="G74" s="92" t="n"/>
      <c r="H74" s="92" t="n"/>
      <c r="I74" s="92" t="n"/>
      <c r="J74" s="92" t="n"/>
      <c r="K74" s="92" t="n"/>
      <c r="L74" s="92" t="n"/>
      <c r="M74" s="92" t="n"/>
      <c r="N74" s="92" t="n"/>
      <c r="O74" s="92" t="n"/>
      <c r="P74" s="92" t="n"/>
      <c r="Q74" s="92" t="n"/>
      <c r="R74" s="92" t="n"/>
      <c r="S74" s="92" t="n"/>
      <c r="T74" s="92" t="n"/>
      <c r="U74" s="92" t="n"/>
      <c r="V74" s="92" t="n"/>
      <c r="W74" s="92" t="n"/>
      <c r="X74" s="92" t="n"/>
      <c r="Y74" s="92" t="n"/>
      <c r="Z74" s="92" t="n"/>
      <c r="AA74" s="92" t="n"/>
      <c r="AB74" s="92" t="n"/>
    </row>
    <row r="75" ht="90" customHeight="1" s="397">
      <c r="A75" s="173" t="inlineStr">
        <is>
          <t>Reward #</t>
        </is>
      </c>
      <c r="B75" s="173" t="inlineStr">
        <is>
          <t>Price
(tokens)</t>
        </is>
      </c>
      <c r="H75" s="191" t="inlineStr">
        <is>
          <t>Coins</t>
        </is>
      </c>
      <c r="I75" s="116" t="inlineStr">
        <is>
          <t>SPT</t>
        </is>
      </c>
      <c r="J75" s="116" t="inlineStr">
        <is>
          <t>SPT x2</t>
        </is>
      </c>
      <c r="K75" s="116" t="inlineStr">
        <is>
          <t>Red</t>
        </is>
      </c>
      <c r="L75" s="116" t="inlineStr">
        <is>
          <t>Chuck</t>
        </is>
      </c>
      <c r="M75" s="116" t="inlineStr">
        <is>
          <t>Bomb</t>
        </is>
      </c>
      <c r="N75" s="116" t="inlineStr">
        <is>
          <t>Slingshot</t>
        </is>
      </c>
      <c r="O75" s="116" t="inlineStr">
        <is>
          <t>Shuffle</t>
        </is>
      </c>
      <c r="P75" s="116" t="inlineStr">
        <is>
          <t>Comet</t>
        </is>
      </c>
      <c r="Q75" s="116" t="inlineStr">
        <is>
          <t>Unlimited Lives</t>
        </is>
      </c>
      <c r="R75" s="116" t="inlineStr">
        <is>
          <t>Unlimited Red</t>
        </is>
      </c>
      <c r="S75" s="116" t="inlineStr">
        <is>
          <t>Unlimited Chuck</t>
        </is>
      </c>
      <c r="T75" s="116" t="inlineStr">
        <is>
          <t>Unlimited Bomb</t>
        </is>
      </c>
      <c r="U75" s="116" t="inlineStr">
        <is>
          <t>COOP Token</t>
        </is>
      </c>
      <c r="V75" s="116" t="inlineStr">
        <is>
          <t>Avatar</t>
        </is>
      </c>
      <c r="W75" s="116" t="inlineStr">
        <is>
          <t>1-star Dly</t>
        </is>
      </c>
      <c r="X75" s="116" t="inlineStr">
        <is>
          <t>2-star Dly</t>
        </is>
      </c>
      <c r="Y75" s="116" t="inlineStr">
        <is>
          <t>3-star Dly</t>
        </is>
      </c>
      <c r="Z75" s="116" t="inlineStr">
        <is>
          <t>4-star Dly</t>
        </is>
      </c>
      <c r="AA75" s="116" t="inlineStr">
        <is>
          <t>5-star Dly</t>
        </is>
      </c>
      <c r="AB75" s="116" t="inlineStr">
        <is>
          <t>6-star Dly</t>
        </is>
      </c>
    </row>
    <row r="76" ht="15.75" customHeight="1" s="397">
      <c r="A76" s="139" t="n">
        <v>1</v>
      </c>
      <c r="B76" s="139" t="n">
        <v>830</v>
      </c>
      <c r="H76" s="193" t="n">
        <v>0</v>
      </c>
      <c r="I76" s="139" t="n">
        <v>0</v>
      </c>
      <c r="J76" s="139" t="n">
        <v>0</v>
      </c>
      <c r="K76" s="139" t="n">
        <v>0</v>
      </c>
      <c r="L76" s="139" t="n">
        <v>0</v>
      </c>
      <c r="M76" s="139" t="n">
        <v>0</v>
      </c>
      <c r="N76" s="139" t="n">
        <v>1</v>
      </c>
      <c r="O76" s="139" t="n">
        <v>0</v>
      </c>
      <c r="P76" s="139" t="n">
        <v>0</v>
      </c>
      <c r="Q76" s="139" t="n">
        <v>0</v>
      </c>
      <c r="R76" s="139" t="n">
        <v>0</v>
      </c>
      <c r="S76" s="139" t="n">
        <v>0</v>
      </c>
      <c r="T76" s="139" t="n">
        <v>0</v>
      </c>
      <c r="U76" s="139" t="n">
        <v>0</v>
      </c>
      <c r="V76" s="139" t="n">
        <v>0</v>
      </c>
      <c r="W76" s="139" t="n">
        <v>0</v>
      </c>
      <c r="X76" s="139" t="n">
        <v>0</v>
      </c>
      <c r="Y76" s="139" t="n">
        <v>0</v>
      </c>
      <c r="Z76" s="139" t="n">
        <v>0</v>
      </c>
      <c r="AA76" s="139" t="n">
        <v>0</v>
      </c>
      <c r="AB76" s="139" t="n">
        <v>0</v>
      </c>
    </row>
    <row r="77" ht="15.75" customHeight="1" s="397">
      <c r="A77" s="139" t="n">
        <v>2</v>
      </c>
      <c r="B77" s="139" t="n">
        <v>800</v>
      </c>
      <c r="C77" s="156" t="n"/>
      <c r="D77" s="156" t="n"/>
      <c r="E77" s="156" t="n"/>
      <c r="F77" s="156" t="n"/>
      <c r="G77" s="156" t="n"/>
      <c r="H77" s="193" t="n">
        <v>25</v>
      </c>
      <c r="I77" s="139" t="n">
        <v>0</v>
      </c>
      <c r="J77" s="139" t="n">
        <v>0</v>
      </c>
      <c r="K77" s="139" t="n">
        <v>0</v>
      </c>
      <c r="L77" s="139" t="n">
        <v>0</v>
      </c>
      <c r="M77" s="139" t="n">
        <v>0</v>
      </c>
      <c r="N77" s="139" t="n">
        <v>0</v>
      </c>
      <c r="O77" s="139" t="n">
        <v>0</v>
      </c>
      <c r="P77" s="139" t="n">
        <v>0</v>
      </c>
      <c r="Q77" s="139" t="n">
        <v>0</v>
      </c>
      <c r="R77" s="139" t="n">
        <v>0</v>
      </c>
      <c r="S77" s="139" t="n">
        <v>0</v>
      </c>
      <c r="T77" s="139" t="n">
        <v>0</v>
      </c>
      <c r="U77" s="139" t="n">
        <v>0</v>
      </c>
      <c r="V77" s="139" t="n">
        <v>0</v>
      </c>
      <c r="W77" s="139" t="n">
        <v>0</v>
      </c>
      <c r="X77" s="139" t="n">
        <v>0</v>
      </c>
      <c r="Y77" s="139" t="n">
        <v>0</v>
      </c>
      <c r="Z77" s="139" t="n">
        <v>0</v>
      </c>
      <c r="AA77" s="139" t="n">
        <v>0</v>
      </c>
      <c r="AB77" s="139" t="n">
        <v>0</v>
      </c>
    </row>
    <row r="78" ht="15.75" customHeight="1" s="397">
      <c r="A78" s="139" t="n">
        <v>3</v>
      </c>
      <c r="B78" s="139" t="n">
        <v>910</v>
      </c>
      <c r="H78" s="193" t="n">
        <v>0</v>
      </c>
      <c r="I78" s="139" t="n">
        <v>0</v>
      </c>
      <c r="J78" s="139" t="n">
        <v>0</v>
      </c>
      <c r="K78" s="139" t="n">
        <v>0</v>
      </c>
      <c r="L78" s="139" t="n">
        <v>0</v>
      </c>
      <c r="M78" s="139" t="n">
        <v>0</v>
      </c>
      <c r="N78" s="139" t="n">
        <v>0</v>
      </c>
      <c r="O78" s="139" t="n">
        <v>2</v>
      </c>
      <c r="P78" s="139" t="n">
        <v>0</v>
      </c>
      <c r="Q78" s="139" t="n">
        <v>0</v>
      </c>
      <c r="R78" s="139" t="n">
        <v>0</v>
      </c>
      <c r="S78" s="139" t="n">
        <v>0</v>
      </c>
      <c r="T78" s="139" t="n">
        <v>0</v>
      </c>
      <c r="U78" s="139" t="n">
        <v>0</v>
      </c>
      <c r="V78" s="139" t="n">
        <v>0</v>
      </c>
      <c r="W78" s="139" t="n">
        <v>0</v>
      </c>
      <c r="X78" s="139" t="n">
        <v>0</v>
      </c>
      <c r="Y78" s="139" t="n">
        <v>0</v>
      </c>
      <c r="Z78" s="139" t="n">
        <v>0</v>
      </c>
      <c r="AA78" s="139" t="n">
        <v>0</v>
      </c>
      <c r="AB78" s="139" t="n">
        <v>0</v>
      </c>
    </row>
    <row r="79" ht="15.75" customHeight="1" s="397">
      <c r="A79" s="139" t="n">
        <v>4</v>
      </c>
      <c r="B79" s="139" t="n">
        <v>940</v>
      </c>
      <c r="C79" s="156" t="n"/>
      <c r="D79" s="156" t="n"/>
      <c r="E79" s="156" t="n"/>
      <c r="F79" s="156" t="n"/>
      <c r="G79" s="156" t="n"/>
      <c r="H79" s="193" t="n">
        <v>0</v>
      </c>
      <c r="I79" s="139" t="n">
        <v>0</v>
      </c>
      <c r="J79" s="139" t="n">
        <v>0</v>
      </c>
      <c r="K79" s="139" t="n">
        <v>0</v>
      </c>
      <c r="L79" s="139" t="n">
        <v>0</v>
      </c>
      <c r="M79" s="139" t="n">
        <v>0</v>
      </c>
      <c r="N79" s="139" t="n">
        <v>0</v>
      </c>
      <c r="O79" s="139" t="n">
        <v>0</v>
      </c>
      <c r="P79" s="139" t="n">
        <v>1</v>
      </c>
      <c r="Q79" s="139" t="n">
        <v>0</v>
      </c>
      <c r="R79" s="139" t="n">
        <v>0</v>
      </c>
      <c r="S79" s="139" t="n">
        <v>0</v>
      </c>
      <c r="T79" s="139" t="n">
        <v>0</v>
      </c>
      <c r="U79" s="139" t="n">
        <v>0</v>
      </c>
      <c r="V79" s="139" t="n">
        <v>0</v>
      </c>
      <c r="W79" s="139" t="n">
        <v>0</v>
      </c>
      <c r="X79" s="139" t="n">
        <v>0</v>
      </c>
      <c r="Y79" s="139" t="n">
        <v>0</v>
      </c>
      <c r="Z79" s="139" t="n">
        <v>0</v>
      </c>
      <c r="AA79" s="139" t="n">
        <v>0</v>
      </c>
      <c r="AB79" s="139" t="n">
        <v>0</v>
      </c>
    </row>
    <row r="80" ht="15.75" customHeight="1" s="397">
      <c r="A80" s="139" t="n">
        <v>5</v>
      </c>
      <c r="B80" s="139" t="n">
        <v>910</v>
      </c>
      <c r="H80" s="193" t="n">
        <v>0</v>
      </c>
      <c r="I80" s="139" t="n">
        <v>0</v>
      </c>
      <c r="J80" s="139" t="n">
        <v>0</v>
      </c>
      <c r="K80" s="139" t="n">
        <v>0</v>
      </c>
      <c r="L80" s="139" t="n">
        <v>0</v>
      </c>
      <c r="M80" s="139" t="n">
        <v>0</v>
      </c>
      <c r="N80" s="139" t="n">
        <v>0</v>
      </c>
      <c r="O80" s="139" t="n">
        <v>2</v>
      </c>
      <c r="P80" s="139" t="n">
        <v>0</v>
      </c>
      <c r="Q80" s="139" t="n">
        <v>0</v>
      </c>
      <c r="R80" s="139" t="n">
        <v>0</v>
      </c>
      <c r="S80" s="139" t="n">
        <v>0</v>
      </c>
      <c r="T80" s="139" t="n">
        <v>0</v>
      </c>
      <c r="U80" s="139" t="n">
        <v>0</v>
      </c>
      <c r="V80" s="139" t="n">
        <v>0</v>
      </c>
      <c r="W80" s="139" t="n">
        <v>0</v>
      </c>
      <c r="X80" s="139" t="n">
        <v>0</v>
      </c>
      <c r="Y80" s="139" t="n">
        <v>0</v>
      </c>
      <c r="Z80" s="139" t="n">
        <v>0</v>
      </c>
      <c r="AA80" s="139" t="n">
        <v>0</v>
      </c>
      <c r="AB80" s="139" t="n">
        <v>0</v>
      </c>
    </row>
    <row r="81" ht="15.75" customHeight="1" s="397">
      <c r="A81" s="139" t="n">
        <v>6</v>
      </c>
      <c r="B81" s="139" t="n">
        <v>880</v>
      </c>
      <c r="C81" s="156" t="n"/>
      <c r="D81" s="156" t="n"/>
      <c r="E81" s="156" t="n"/>
      <c r="F81" s="156" t="n"/>
      <c r="G81" s="156" t="n"/>
      <c r="H81" s="193" t="n">
        <v>0</v>
      </c>
      <c r="I81" s="139" t="n">
        <v>0</v>
      </c>
      <c r="J81" s="139" t="n">
        <v>0</v>
      </c>
      <c r="K81" s="139" t="n">
        <v>0</v>
      </c>
      <c r="L81" s="139" t="n">
        <v>0</v>
      </c>
      <c r="M81" s="139" t="n">
        <v>0</v>
      </c>
      <c r="N81" s="139" t="n">
        <v>2</v>
      </c>
      <c r="O81" s="139" t="n">
        <v>0</v>
      </c>
      <c r="P81" s="139" t="n">
        <v>0</v>
      </c>
      <c r="Q81" s="139" t="n">
        <v>0</v>
      </c>
      <c r="R81" s="139" t="n">
        <v>0</v>
      </c>
      <c r="S81" s="139" t="n">
        <v>0</v>
      </c>
      <c r="T81" s="139" t="n">
        <v>0</v>
      </c>
      <c r="U81" s="139" t="n">
        <v>0</v>
      </c>
      <c r="V81" s="139" t="n">
        <v>0</v>
      </c>
      <c r="W81" s="139" t="n">
        <v>0</v>
      </c>
      <c r="X81" s="139" t="n">
        <v>0</v>
      </c>
      <c r="Y81" s="139" t="n">
        <v>0</v>
      </c>
      <c r="Z81" s="139" t="n">
        <v>0</v>
      </c>
      <c r="AA81" s="139" t="n">
        <v>0</v>
      </c>
      <c r="AB81" s="139" t="n">
        <v>0</v>
      </c>
    </row>
    <row r="82" ht="15.75" customHeight="1" s="397">
      <c r="A82" s="139" t="n">
        <v>7</v>
      </c>
      <c r="B82" s="139" t="n">
        <v>940</v>
      </c>
      <c r="H82" s="193" t="n">
        <v>0</v>
      </c>
      <c r="I82" s="139" t="n">
        <v>0</v>
      </c>
      <c r="J82" s="139" t="n">
        <v>0</v>
      </c>
      <c r="K82" s="139" t="n">
        <v>0</v>
      </c>
      <c r="L82" s="139" t="n">
        <v>0</v>
      </c>
      <c r="M82" s="139" t="n">
        <v>0</v>
      </c>
      <c r="N82" s="139" t="n">
        <v>0</v>
      </c>
      <c r="O82" s="139" t="n">
        <v>0</v>
      </c>
      <c r="P82" s="139" t="n">
        <v>1</v>
      </c>
      <c r="Q82" s="139" t="n">
        <v>0</v>
      </c>
      <c r="R82" s="139" t="n">
        <v>0</v>
      </c>
      <c r="S82" s="139" t="n">
        <v>0</v>
      </c>
      <c r="T82" s="139" t="n">
        <v>0</v>
      </c>
      <c r="U82" s="139" t="n">
        <v>0</v>
      </c>
      <c r="V82" s="139" t="n">
        <v>0</v>
      </c>
      <c r="W82" s="139" t="n">
        <v>0</v>
      </c>
      <c r="X82" s="139" t="n">
        <v>0</v>
      </c>
      <c r="Y82" s="139" t="n">
        <v>0</v>
      </c>
      <c r="Z82" s="139" t="n">
        <v>0</v>
      </c>
      <c r="AA82" s="139" t="n">
        <v>0</v>
      </c>
      <c r="AB82" s="139" t="n">
        <v>0</v>
      </c>
    </row>
    <row r="83" ht="15.75" customHeight="1" s="397">
      <c r="A83" s="139" t="n">
        <v>8</v>
      </c>
      <c r="B83" s="139" t="n">
        <v>980</v>
      </c>
      <c r="C83" s="156" t="n"/>
      <c r="D83" s="156" t="n"/>
      <c r="E83" s="156" t="n"/>
      <c r="F83" s="156" t="n"/>
      <c r="G83" s="156" t="n"/>
      <c r="H83" s="193" t="n">
        <v>0</v>
      </c>
      <c r="I83" s="139" t="n">
        <v>0</v>
      </c>
      <c r="J83" s="139" t="n">
        <v>0</v>
      </c>
      <c r="K83" s="139" t="n">
        <v>0</v>
      </c>
      <c r="L83" s="139" t="n">
        <v>0</v>
      </c>
      <c r="M83" s="139" t="n">
        <v>0</v>
      </c>
      <c r="N83" s="139" t="n">
        <v>0</v>
      </c>
      <c r="O83" s="139" t="n">
        <v>3</v>
      </c>
      <c r="P83" s="139" t="n">
        <v>0</v>
      </c>
      <c r="Q83" s="139" t="n">
        <v>0</v>
      </c>
      <c r="R83" s="139" t="n">
        <v>0</v>
      </c>
      <c r="S83" s="139" t="n">
        <v>0</v>
      </c>
      <c r="T83" s="139" t="n">
        <v>0</v>
      </c>
      <c r="U83" s="139" t="n">
        <v>0</v>
      </c>
      <c r="V83" s="139" t="n">
        <v>0</v>
      </c>
      <c r="W83" s="139" t="n">
        <v>0</v>
      </c>
      <c r="X83" s="139" t="n">
        <v>0</v>
      </c>
      <c r="Y83" s="139" t="n">
        <v>0</v>
      </c>
      <c r="Z83" s="139" t="n">
        <v>0</v>
      </c>
      <c r="AA83" s="139" t="n">
        <v>0</v>
      </c>
      <c r="AB83" s="139" t="n">
        <v>0</v>
      </c>
    </row>
    <row r="84" ht="15.75" customHeight="1" s="397">
      <c r="A84" s="139" t="n">
        <v>9</v>
      </c>
      <c r="B84" s="139" t="n">
        <v>830</v>
      </c>
      <c r="H84" s="193" t="n">
        <v>0</v>
      </c>
      <c r="I84" s="139" t="n">
        <v>0</v>
      </c>
      <c r="J84" s="139" t="n">
        <v>0</v>
      </c>
      <c r="K84" s="139" t="n">
        <v>0</v>
      </c>
      <c r="L84" s="139" t="n">
        <v>0</v>
      </c>
      <c r="M84" s="139" t="n">
        <v>0</v>
      </c>
      <c r="N84" s="139" t="n">
        <v>1</v>
      </c>
      <c r="O84" s="139" t="n">
        <v>0</v>
      </c>
      <c r="P84" s="139" t="n">
        <v>0</v>
      </c>
      <c r="Q84" s="139" t="n">
        <v>0</v>
      </c>
      <c r="R84" s="139" t="n">
        <v>0</v>
      </c>
      <c r="S84" s="139" t="n">
        <v>0</v>
      </c>
      <c r="T84" s="139" t="n">
        <v>0</v>
      </c>
      <c r="U84" s="139" t="n">
        <v>0</v>
      </c>
      <c r="V84" s="139" t="n">
        <v>0</v>
      </c>
      <c r="W84" s="139" t="n">
        <v>0</v>
      </c>
      <c r="X84" s="139" t="n">
        <v>0</v>
      </c>
      <c r="Y84" s="139" t="n">
        <v>0</v>
      </c>
      <c r="Z84" s="139" t="n">
        <v>0</v>
      </c>
      <c r="AA84" s="139" t="n">
        <v>0</v>
      </c>
      <c r="AB84" s="139" t="n">
        <v>0</v>
      </c>
    </row>
    <row r="85" ht="15.75" customHeight="1" s="397">
      <c r="A85" s="139" t="n">
        <v>10</v>
      </c>
      <c r="B85" s="139" t="n">
        <v>810</v>
      </c>
      <c r="C85" s="156" t="n"/>
      <c r="D85" s="156" t="n"/>
      <c r="E85" s="156" t="n"/>
      <c r="F85" s="156" t="n"/>
      <c r="G85" s="156" t="n"/>
      <c r="H85" s="193" t="n">
        <v>35</v>
      </c>
      <c r="I85" s="139" t="n">
        <v>0</v>
      </c>
      <c r="J85" s="139" t="n">
        <v>0</v>
      </c>
      <c r="K85" s="139" t="n">
        <v>0</v>
      </c>
      <c r="L85" s="139" t="n">
        <v>0</v>
      </c>
      <c r="M85" s="139" t="n">
        <v>0</v>
      </c>
      <c r="N85" s="139" t="n">
        <v>0</v>
      </c>
      <c r="O85" s="139" t="n">
        <v>0</v>
      </c>
      <c r="P85" s="139" t="n">
        <v>0</v>
      </c>
      <c r="Q85" s="139" t="n">
        <v>0</v>
      </c>
      <c r="R85" s="139" t="n">
        <v>0</v>
      </c>
      <c r="S85" s="139" t="n">
        <v>0</v>
      </c>
      <c r="T85" s="139" t="n">
        <v>0</v>
      </c>
      <c r="U85" s="139" t="n">
        <v>0</v>
      </c>
      <c r="V85" s="139" t="n">
        <v>0</v>
      </c>
      <c r="W85" s="139" t="n">
        <v>0</v>
      </c>
      <c r="X85" s="139" t="n">
        <v>0</v>
      </c>
      <c r="Y85" s="139" t="n">
        <v>0</v>
      </c>
      <c r="Z85" s="139" t="n">
        <v>0</v>
      </c>
      <c r="AA85" s="139" t="n">
        <v>0</v>
      </c>
      <c r="AB85" s="139" t="n">
        <v>0</v>
      </c>
    </row>
    <row r="86" ht="15.75" customHeight="1" s="397">
      <c r="A86" s="139" t="n">
        <v>11</v>
      </c>
      <c r="B86" s="139" t="n">
        <v>1110</v>
      </c>
      <c r="H86" s="193" t="n">
        <v>0</v>
      </c>
      <c r="I86" s="139" t="n">
        <v>0</v>
      </c>
      <c r="J86" s="139" t="n">
        <v>0</v>
      </c>
      <c r="K86" s="139" t="n">
        <v>0</v>
      </c>
      <c r="L86" s="139" t="n">
        <v>0</v>
      </c>
      <c r="M86" s="139" t="n">
        <v>0</v>
      </c>
      <c r="N86" s="139" t="n">
        <v>0</v>
      </c>
      <c r="O86" s="139" t="n">
        <v>0</v>
      </c>
      <c r="P86" s="139" t="n">
        <v>2</v>
      </c>
      <c r="Q86" s="139" t="n">
        <v>0</v>
      </c>
      <c r="R86" s="139" t="n">
        <v>0</v>
      </c>
      <c r="S86" s="139" t="n">
        <v>0</v>
      </c>
      <c r="T86" s="139" t="n">
        <v>0</v>
      </c>
      <c r="U86" s="139" t="n">
        <v>0</v>
      </c>
      <c r="V86" s="139" t="n">
        <v>0</v>
      </c>
      <c r="W86" s="139" t="n">
        <v>0</v>
      </c>
      <c r="X86" s="139" t="n">
        <v>0</v>
      </c>
      <c r="Y86" s="139" t="n">
        <v>0</v>
      </c>
      <c r="Z86" s="139" t="n">
        <v>0</v>
      </c>
      <c r="AA86" s="139" t="n">
        <v>0</v>
      </c>
      <c r="AB86" s="139" t="n">
        <v>0</v>
      </c>
    </row>
    <row r="87" ht="15.75" customHeight="1" s="397">
      <c r="A87" s="139" t="n">
        <v>12</v>
      </c>
      <c r="B87" s="139" t="n">
        <v>880</v>
      </c>
      <c r="C87" s="156" t="n"/>
      <c r="D87" s="156" t="n"/>
      <c r="E87" s="156" t="n"/>
      <c r="F87" s="156" t="n"/>
      <c r="G87" s="156" t="n"/>
      <c r="H87" s="193" t="n">
        <v>0</v>
      </c>
      <c r="I87" s="139" t="n">
        <v>0</v>
      </c>
      <c r="J87" s="139" t="n">
        <v>0</v>
      </c>
      <c r="K87" s="139" t="n">
        <v>0</v>
      </c>
      <c r="L87" s="139" t="n">
        <v>0</v>
      </c>
      <c r="M87" s="139" t="n">
        <v>0</v>
      </c>
      <c r="N87" s="139" t="n">
        <v>2</v>
      </c>
      <c r="O87" s="139" t="n">
        <v>0</v>
      </c>
      <c r="P87" s="139" t="n">
        <v>0</v>
      </c>
      <c r="Q87" s="139" t="n">
        <v>0</v>
      </c>
      <c r="R87" s="139" t="n">
        <v>0</v>
      </c>
      <c r="S87" s="139" t="n">
        <v>0</v>
      </c>
      <c r="T87" s="139" t="n">
        <v>0</v>
      </c>
      <c r="U87" s="139" t="n">
        <v>0</v>
      </c>
      <c r="V87" s="139" t="n">
        <v>0</v>
      </c>
      <c r="W87" s="139" t="n">
        <v>0</v>
      </c>
      <c r="X87" s="139" t="n">
        <v>0</v>
      </c>
      <c r="Y87" s="139" t="n">
        <v>0</v>
      </c>
      <c r="Z87" s="139" t="n">
        <v>0</v>
      </c>
      <c r="AA87" s="139" t="n">
        <v>0</v>
      </c>
      <c r="AB87" s="139" t="n">
        <v>0</v>
      </c>
    </row>
    <row r="88" ht="15.75" customHeight="1" s="397">
      <c r="A88" s="139" t="n">
        <v>13</v>
      </c>
      <c r="B88" s="139" t="n">
        <v>910</v>
      </c>
      <c r="H88" s="193" t="n">
        <v>0</v>
      </c>
      <c r="I88" s="139" t="n">
        <v>0</v>
      </c>
      <c r="J88" s="139" t="n">
        <v>0</v>
      </c>
      <c r="K88" s="139" t="n">
        <v>0</v>
      </c>
      <c r="L88" s="139" t="n">
        <v>0</v>
      </c>
      <c r="M88" s="139" t="n">
        <v>0</v>
      </c>
      <c r="N88" s="139" t="n">
        <v>0</v>
      </c>
      <c r="O88" s="139" t="n">
        <v>2</v>
      </c>
      <c r="P88" s="139" t="n">
        <v>0</v>
      </c>
      <c r="Q88" s="139" t="n">
        <v>0</v>
      </c>
      <c r="R88" s="139" t="n">
        <v>0</v>
      </c>
      <c r="S88" s="139" t="n">
        <v>0</v>
      </c>
      <c r="T88" s="139" t="n">
        <v>0</v>
      </c>
      <c r="U88" s="139" t="n">
        <v>0</v>
      </c>
      <c r="V88" s="139" t="n">
        <v>0</v>
      </c>
      <c r="W88" s="139" t="n">
        <v>0</v>
      </c>
      <c r="X88" s="139" t="n">
        <v>0</v>
      </c>
      <c r="Y88" s="139" t="n">
        <v>0</v>
      </c>
      <c r="Z88" s="139" t="n">
        <v>0</v>
      </c>
      <c r="AA88" s="139" t="n">
        <v>0</v>
      </c>
      <c r="AB88" s="139" t="n">
        <v>0</v>
      </c>
    </row>
    <row r="89" ht="15.75" customHeight="1" s="397">
      <c r="A89" s="139" t="n">
        <v>14</v>
      </c>
      <c r="B89" s="139" t="n">
        <v>1110</v>
      </c>
      <c r="C89" s="156" t="n"/>
      <c r="D89" s="156" t="n"/>
      <c r="E89" s="156" t="n"/>
      <c r="F89" s="156" t="n"/>
      <c r="G89" s="156" t="n"/>
      <c r="H89" s="193" t="n">
        <v>0</v>
      </c>
      <c r="I89" s="139" t="n">
        <v>0</v>
      </c>
      <c r="J89" s="139" t="n">
        <v>0</v>
      </c>
      <c r="K89" s="139" t="n">
        <v>0</v>
      </c>
      <c r="L89" s="139" t="n">
        <v>0</v>
      </c>
      <c r="M89" s="139" t="n">
        <v>0</v>
      </c>
      <c r="N89" s="139" t="n">
        <v>0</v>
      </c>
      <c r="O89" s="139" t="n">
        <v>0</v>
      </c>
      <c r="P89" s="139" t="n">
        <v>2</v>
      </c>
      <c r="Q89" s="139" t="n">
        <v>0</v>
      </c>
      <c r="R89" s="139" t="n">
        <v>0</v>
      </c>
      <c r="S89" s="139" t="n">
        <v>0</v>
      </c>
      <c r="T89" s="139" t="n">
        <v>0</v>
      </c>
      <c r="U89" s="139" t="n">
        <v>0</v>
      </c>
      <c r="V89" s="139" t="n">
        <v>0</v>
      </c>
      <c r="W89" s="139" t="n">
        <v>0</v>
      </c>
      <c r="X89" s="139" t="n">
        <v>0</v>
      </c>
      <c r="Y89" s="139" t="n">
        <v>0</v>
      </c>
      <c r="Z89" s="139" t="n">
        <v>0</v>
      </c>
      <c r="AA89" s="139" t="n">
        <v>0</v>
      </c>
      <c r="AB89" s="139" t="n">
        <v>0</v>
      </c>
    </row>
    <row r="90" ht="15.75" customHeight="1" s="397">
      <c r="A90" s="139" t="n">
        <v>15</v>
      </c>
      <c r="B90" s="139" t="n">
        <v>840</v>
      </c>
      <c r="H90" s="193" t="n">
        <v>0</v>
      </c>
      <c r="I90" s="139" t="n">
        <v>0</v>
      </c>
      <c r="J90" s="139" t="n">
        <v>0</v>
      </c>
      <c r="K90" s="139" t="n">
        <v>0</v>
      </c>
      <c r="L90" s="139" t="n">
        <v>0</v>
      </c>
      <c r="M90" s="139" t="n">
        <v>0</v>
      </c>
      <c r="N90" s="139" t="n">
        <v>0</v>
      </c>
      <c r="O90" s="139" t="n">
        <v>1</v>
      </c>
      <c r="P90" s="139" t="n">
        <v>0</v>
      </c>
      <c r="Q90" s="139" t="n">
        <v>0</v>
      </c>
      <c r="R90" s="139" t="n">
        <v>0</v>
      </c>
      <c r="S90" s="139" t="n">
        <v>0</v>
      </c>
      <c r="T90" s="139" t="n">
        <v>0</v>
      </c>
      <c r="U90" s="139" t="n">
        <v>0</v>
      </c>
      <c r="V90" s="139" t="n">
        <v>0</v>
      </c>
      <c r="W90" s="139" t="n">
        <v>0</v>
      </c>
      <c r="X90" s="139" t="n">
        <v>0</v>
      </c>
      <c r="Y90" s="139" t="n">
        <v>0</v>
      </c>
      <c r="Z90" s="139" t="n">
        <v>0</v>
      </c>
      <c r="AA90" s="139" t="n">
        <v>0</v>
      </c>
      <c r="AB90" s="139" t="n">
        <v>0</v>
      </c>
    </row>
    <row r="91" ht="15.75" customHeight="1" s="397"/>
    <row r="92" ht="19.5" customHeight="1" s="397">
      <c r="A92" s="92" t="inlineStr">
        <is>
          <t>Endless Rewards - Lane 3 (post-completion shop)</t>
        </is>
      </c>
      <c r="B92" s="92" t="n"/>
      <c r="C92" s="92" t="n"/>
      <c r="D92" s="92" t="n"/>
      <c r="E92" s="92" t="n"/>
      <c r="F92" s="92" t="n"/>
      <c r="G92" s="92" t="n"/>
      <c r="H92" s="92" t="n"/>
      <c r="I92" s="92" t="n"/>
      <c r="J92" s="92" t="n"/>
      <c r="K92" s="92" t="n"/>
      <c r="L92" s="92" t="n"/>
      <c r="M92" s="92" t="n"/>
      <c r="N92" s="92" t="n"/>
      <c r="O92" s="92" t="n"/>
      <c r="P92" s="92" t="n"/>
      <c r="Q92" s="92" t="n"/>
      <c r="R92" s="92" t="n"/>
      <c r="S92" s="92" t="n"/>
      <c r="T92" s="92" t="n"/>
      <c r="U92" s="92" t="n"/>
      <c r="V92" s="92" t="n"/>
      <c r="W92" s="92" t="n"/>
      <c r="X92" s="92" t="n"/>
      <c r="Y92" s="92" t="n"/>
      <c r="Z92" s="92" t="n"/>
      <c r="AA92" s="92" t="n"/>
      <c r="AB92" s="92" t="n"/>
    </row>
    <row r="93" ht="90" customHeight="1" s="397">
      <c r="A93" s="173" t="inlineStr">
        <is>
          <t>Reward #</t>
        </is>
      </c>
      <c r="B93" s="173" t="inlineStr">
        <is>
          <t>Price
(tokens)</t>
        </is>
      </c>
      <c r="H93" s="191" t="inlineStr">
        <is>
          <t>Coins</t>
        </is>
      </c>
      <c r="I93" s="116" t="inlineStr">
        <is>
          <t>SPT</t>
        </is>
      </c>
      <c r="J93" s="116" t="inlineStr">
        <is>
          <t>SPT x2</t>
        </is>
      </c>
      <c r="K93" s="116" t="inlineStr">
        <is>
          <t>Red</t>
        </is>
      </c>
      <c r="L93" s="116" t="inlineStr">
        <is>
          <t>Chuck</t>
        </is>
      </c>
      <c r="M93" s="116" t="inlineStr">
        <is>
          <t>Bomb</t>
        </is>
      </c>
      <c r="N93" s="116" t="inlineStr">
        <is>
          <t>Slingshot</t>
        </is>
      </c>
      <c r="O93" s="116" t="inlineStr">
        <is>
          <t>Shuffle</t>
        </is>
      </c>
      <c r="P93" s="116" t="inlineStr">
        <is>
          <t>Comet</t>
        </is>
      </c>
      <c r="Q93" s="116" t="inlineStr">
        <is>
          <t>Unlimited Lives</t>
        </is>
      </c>
      <c r="R93" s="116" t="inlineStr">
        <is>
          <t>Unlimited Red</t>
        </is>
      </c>
      <c r="S93" s="116" t="inlineStr">
        <is>
          <t>Unlimited Chuck</t>
        </is>
      </c>
      <c r="T93" s="116" t="inlineStr">
        <is>
          <t>Unlimited Bomb</t>
        </is>
      </c>
      <c r="U93" s="116" t="inlineStr">
        <is>
          <t>COOP Token</t>
        </is>
      </c>
      <c r="V93" s="116" t="inlineStr">
        <is>
          <t>Avatar</t>
        </is>
      </c>
      <c r="W93" s="116" t="inlineStr">
        <is>
          <t>1-star Dly</t>
        </is>
      </c>
      <c r="X93" s="116" t="inlineStr">
        <is>
          <t>2-star Dly</t>
        </is>
      </c>
      <c r="Y93" s="116" t="inlineStr">
        <is>
          <t>3-star Dly</t>
        </is>
      </c>
      <c r="Z93" s="116" t="inlineStr">
        <is>
          <t>4-star Dly</t>
        </is>
      </c>
      <c r="AA93" s="116" t="inlineStr">
        <is>
          <t>5-star Dly</t>
        </is>
      </c>
      <c r="AB93" s="116" t="inlineStr">
        <is>
          <t>6-star Dly</t>
        </is>
      </c>
    </row>
    <row r="94" ht="15.75" customHeight="1" s="397">
      <c r="A94" s="139" t="n">
        <v>1</v>
      </c>
      <c r="B94" s="139" t="n">
        <v>940</v>
      </c>
      <c r="H94" s="193" t="n">
        <v>0</v>
      </c>
      <c r="I94" s="139" t="n">
        <v>0</v>
      </c>
      <c r="J94" s="139" t="n">
        <v>0</v>
      </c>
      <c r="K94" s="139" t="n">
        <v>0</v>
      </c>
      <c r="L94" s="139" t="n">
        <v>0</v>
      </c>
      <c r="M94" s="139" t="n">
        <v>0</v>
      </c>
      <c r="N94" s="139" t="n">
        <v>0</v>
      </c>
      <c r="O94" s="139" t="n">
        <v>0</v>
      </c>
      <c r="P94" s="139" t="n">
        <v>0</v>
      </c>
      <c r="Q94" s="139" t="n">
        <v>0</v>
      </c>
      <c r="R94" s="139" t="n">
        <v>0</v>
      </c>
      <c r="S94" s="139" t="n">
        <v>10</v>
      </c>
      <c r="T94" s="139" t="n">
        <v>0</v>
      </c>
      <c r="U94" s="139" t="n">
        <v>0</v>
      </c>
      <c r="V94" s="139" t="n">
        <v>0</v>
      </c>
      <c r="W94" s="139" t="n">
        <v>0</v>
      </c>
      <c r="X94" s="139" t="n">
        <v>0</v>
      </c>
      <c r="Y94" s="139" t="n">
        <v>0</v>
      </c>
      <c r="Z94" s="139" t="n">
        <v>0</v>
      </c>
      <c r="AA94" s="139" t="n">
        <v>0</v>
      </c>
      <c r="AB94" s="139" t="n">
        <v>0</v>
      </c>
    </row>
    <row r="95" ht="15.75" customHeight="1" s="397">
      <c r="A95" s="139" t="n">
        <v>2</v>
      </c>
      <c r="B95" s="139" t="n">
        <v>950</v>
      </c>
      <c r="C95" s="156" t="n"/>
      <c r="D95" s="156" t="n"/>
      <c r="E95" s="156" t="n"/>
      <c r="F95" s="156" t="n"/>
      <c r="G95" s="156" t="n"/>
      <c r="H95" s="193" t="n">
        <v>0</v>
      </c>
      <c r="I95" s="139" t="n">
        <v>0</v>
      </c>
      <c r="J95" s="139" t="n">
        <v>0</v>
      </c>
      <c r="K95" s="139" t="n">
        <v>0</v>
      </c>
      <c r="L95" s="139" t="n">
        <v>0</v>
      </c>
      <c r="M95" s="139" t="n">
        <v>0</v>
      </c>
      <c r="N95" s="139" t="n">
        <v>0</v>
      </c>
      <c r="O95" s="139" t="n">
        <v>0</v>
      </c>
      <c r="P95" s="139" t="n">
        <v>0</v>
      </c>
      <c r="Q95" s="139" t="n">
        <v>0</v>
      </c>
      <c r="R95" s="139" t="n">
        <v>0</v>
      </c>
      <c r="S95" s="139" t="n">
        <v>0</v>
      </c>
      <c r="T95" s="139" t="n">
        <v>10</v>
      </c>
      <c r="U95" s="139" t="n">
        <v>0</v>
      </c>
      <c r="V95" s="139" t="n">
        <v>0</v>
      </c>
      <c r="W95" s="139" t="n">
        <v>0</v>
      </c>
      <c r="X95" s="139" t="n">
        <v>0</v>
      </c>
      <c r="Y95" s="139" t="n">
        <v>0</v>
      </c>
      <c r="Z95" s="139" t="n">
        <v>0</v>
      </c>
      <c r="AA95" s="139" t="n">
        <v>0</v>
      </c>
      <c r="AB95" s="139" t="n">
        <v>0</v>
      </c>
    </row>
    <row r="96" ht="15.75" customHeight="1" s="397">
      <c r="A96" s="139" t="n">
        <v>3</v>
      </c>
      <c r="B96" s="139" t="n">
        <v>840</v>
      </c>
      <c r="H96" s="193" t="n">
        <v>0</v>
      </c>
      <c r="I96" s="139" t="n">
        <v>0</v>
      </c>
      <c r="J96" s="139" t="n">
        <v>0</v>
      </c>
      <c r="K96" s="139" t="n">
        <v>0</v>
      </c>
      <c r="L96" s="139" t="n">
        <v>0</v>
      </c>
      <c r="M96" s="139" t="n">
        <v>0</v>
      </c>
      <c r="N96" s="139" t="n">
        <v>0</v>
      </c>
      <c r="O96" s="139" t="n">
        <v>0</v>
      </c>
      <c r="P96" s="139" t="n">
        <v>0</v>
      </c>
      <c r="Q96" s="139" t="n">
        <v>15</v>
      </c>
      <c r="R96" s="139" t="n">
        <v>0</v>
      </c>
      <c r="S96" s="139" t="n">
        <v>0</v>
      </c>
      <c r="T96" s="139" t="n">
        <v>0</v>
      </c>
      <c r="U96" s="139" t="n">
        <v>0</v>
      </c>
      <c r="V96" s="139" t="n">
        <v>0</v>
      </c>
      <c r="W96" s="139" t="n">
        <v>0</v>
      </c>
      <c r="X96" s="139" t="n">
        <v>0</v>
      </c>
      <c r="Y96" s="139" t="n">
        <v>0</v>
      </c>
      <c r="Z96" s="139" t="n">
        <v>0</v>
      </c>
      <c r="AA96" s="139" t="n">
        <v>0</v>
      </c>
      <c r="AB96" s="139" t="n">
        <v>0</v>
      </c>
    </row>
    <row r="97" ht="15.75" customHeight="1" s="397">
      <c r="A97" s="139" t="n">
        <v>4</v>
      </c>
      <c r="B97" s="139" t="n">
        <v>940</v>
      </c>
      <c r="C97" s="156" t="n"/>
      <c r="D97" s="156" t="n"/>
      <c r="E97" s="156" t="n"/>
      <c r="F97" s="156" t="n"/>
      <c r="G97" s="156" t="n"/>
      <c r="H97" s="193" t="n">
        <v>0</v>
      </c>
      <c r="I97" s="139" t="n">
        <v>0</v>
      </c>
      <c r="J97" s="139" t="n">
        <v>0</v>
      </c>
      <c r="K97" s="139" t="n">
        <v>0</v>
      </c>
      <c r="L97" s="139" t="n">
        <v>0</v>
      </c>
      <c r="M97" s="139" t="n">
        <v>0</v>
      </c>
      <c r="N97" s="139" t="n">
        <v>0</v>
      </c>
      <c r="O97" s="139" t="n">
        <v>0</v>
      </c>
      <c r="P97" s="139" t="n">
        <v>0</v>
      </c>
      <c r="Q97" s="139" t="n">
        <v>0</v>
      </c>
      <c r="R97" s="139" t="n">
        <v>10</v>
      </c>
      <c r="S97" s="139" t="n">
        <v>0</v>
      </c>
      <c r="T97" s="139" t="n">
        <v>0</v>
      </c>
      <c r="U97" s="139" t="n">
        <v>0</v>
      </c>
      <c r="V97" s="139" t="n">
        <v>0</v>
      </c>
      <c r="W97" s="139" t="n">
        <v>0</v>
      </c>
      <c r="X97" s="139" t="n">
        <v>0</v>
      </c>
      <c r="Y97" s="139" t="n">
        <v>0</v>
      </c>
      <c r="Z97" s="139" t="n">
        <v>0</v>
      </c>
      <c r="AA97" s="139" t="n">
        <v>0</v>
      </c>
      <c r="AB97" s="139" t="n">
        <v>0</v>
      </c>
    </row>
    <row r="98" ht="15.75" customHeight="1" s="397">
      <c r="A98" s="139" t="n">
        <v>5</v>
      </c>
      <c r="B98" s="139" t="n">
        <v>900</v>
      </c>
      <c r="H98" s="193" t="n">
        <v>0</v>
      </c>
      <c r="I98" s="139" t="n">
        <v>0</v>
      </c>
      <c r="J98" s="139" t="n">
        <v>0</v>
      </c>
      <c r="K98" s="139" t="n">
        <v>0</v>
      </c>
      <c r="L98" s="139" t="n">
        <v>0</v>
      </c>
      <c r="M98" s="139" t="n">
        <v>0</v>
      </c>
      <c r="N98" s="139" t="n">
        <v>0</v>
      </c>
      <c r="O98" s="139" t="n">
        <v>0</v>
      </c>
      <c r="P98" s="139" t="n">
        <v>0</v>
      </c>
      <c r="Q98" s="139" t="n">
        <v>30</v>
      </c>
      <c r="R98" s="139" t="n">
        <v>0</v>
      </c>
      <c r="S98" s="139" t="n">
        <v>0</v>
      </c>
      <c r="T98" s="139" t="n">
        <v>0</v>
      </c>
      <c r="U98" s="139" t="n">
        <v>0</v>
      </c>
      <c r="V98" s="139" t="n">
        <v>0</v>
      </c>
      <c r="W98" s="139" t="n">
        <v>0</v>
      </c>
      <c r="X98" s="139" t="n">
        <v>0</v>
      </c>
      <c r="Y98" s="139" t="n">
        <v>0</v>
      </c>
      <c r="Z98" s="139" t="n">
        <v>0</v>
      </c>
      <c r="AA98" s="139" t="n">
        <v>0</v>
      </c>
      <c r="AB98" s="139" t="n">
        <v>0</v>
      </c>
    </row>
    <row r="99" ht="15.75" customHeight="1" s="397">
      <c r="A99" s="139" t="n">
        <v>6</v>
      </c>
      <c r="B99" s="139" t="n">
        <v>810</v>
      </c>
      <c r="C99" s="156" t="n"/>
      <c r="D99" s="156" t="n"/>
      <c r="E99" s="156" t="n"/>
      <c r="F99" s="156" t="n"/>
      <c r="G99" s="156" t="n"/>
      <c r="H99" s="193" t="n">
        <v>30</v>
      </c>
      <c r="I99" s="139" t="n">
        <v>0</v>
      </c>
      <c r="J99" s="139" t="n">
        <v>0</v>
      </c>
      <c r="K99" s="139" t="n">
        <v>0</v>
      </c>
      <c r="L99" s="139" t="n">
        <v>0</v>
      </c>
      <c r="M99" s="139" t="n">
        <v>0</v>
      </c>
      <c r="N99" s="139" t="n">
        <v>0</v>
      </c>
      <c r="O99" s="139" t="n">
        <v>0</v>
      </c>
      <c r="P99" s="139" t="n">
        <v>0</v>
      </c>
      <c r="Q99" s="139" t="n">
        <v>0</v>
      </c>
      <c r="R99" s="139" t="n">
        <v>0</v>
      </c>
      <c r="S99" s="139" t="n">
        <v>0</v>
      </c>
      <c r="T99" s="139" t="n">
        <v>0</v>
      </c>
      <c r="U99" s="139" t="n">
        <v>0</v>
      </c>
      <c r="V99" s="139" t="n">
        <v>0</v>
      </c>
      <c r="W99" s="139" t="n">
        <v>0</v>
      </c>
      <c r="X99" s="139" t="n">
        <v>0</v>
      </c>
      <c r="Y99" s="139" t="n">
        <v>0</v>
      </c>
      <c r="Z99" s="139" t="n">
        <v>0</v>
      </c>
      <c r="AA99" s="139" t="n">
        <v>0</v>
      </c>
      <c r="AB99" s="139" t="n">
        <v>0</v>
      </c>
    </row>
    <row r="100" ht="15.75" customHeight="1" s="397">
      <c r="A100" s="139" t="n">
        <v>7</v>
      </c>
      <c r="B100" s="139" t="n">
        <v>990</v>
      </c>
      <c r="H100" s="193" t="n">
        <v>0</v>
      </c>
      <c r="I100" s="139" t="n">
        <v>0</v>
      </c>
      <c r="J100" s="139" t="n">
        <v>0</v>
      </c>
      <c r="K100" s="139" t="n">
        <v>0</v>
      </c>
      <c r="L100" s="139" t="n">
        <v>0</v>
      </c>
      <c r="M100" s="139" t="n">
        <v>0</v>
      </c>
      <c r="N100" s="139" t="n">
        <v>0</v>
      </c>
      <c r="O100" s="139" t="n">
        <v>0</v>
      </c>
      <c r="P100" s="139" t="n">
        <v>0</v>
      </c>
      <c r="Q100" s="139" t="n">
        <v>0</v>
      </c>
      <c r="R100" s="139" t="n">
        <v>0</v>
      </c>
      <c r="S100" s="139" t="n">
        <v>15</v>
      </c>
      <c r="T100" s="139" t="n">
        <v>0</v>
      </c>
      <c r="U100" s="139" t="n">
        <v>0</v>
      </c>
      <c r="V100" s="139" t="n">
        <v>0</v>
      </c>
      <c r="W100" s="139" t="n">
        <v>0</v>
      </c>
      <c r="X100" s="139" t="n">
        <v>0</v>
      </c>
      <c r="Y100" s="139" t="n">
        <v>0</v>
      </c>
      <c r="Z100" s="139" t="n">
        <v>0</v>
      </c>
      <c r="AA100" s="139" t="n">
        <v>0</v>
      </c>
      <c r="AB100" s="139" t="n">
        <v>0</v>
      </c>
    </row>
    <row r="101" ht="15.75" customHeight="1" s="397">
      <c r="A101" s="139" t="n">
        <v>8</v>
      </c>
      <c r="B101" s="139" t="n">
        <v>980</v>
      </c>
      <c r="C101" s="156" t="n"/>
      <c r="D101" s="156" t="n"/>
      <c r="E101" s="156" t="n"/>
      <c r="F101" s="156" t="n"/>
      <c r="G101" s="156" t="n"/>
      <c r="H101" s="193" t="n">
        <v>0</v>
      </c>
      <c r="I101" s="139" t="n">
        <v>0</v>
      </c>
      <c r="J101" s="139" t="n">
        <v>0</v>
      </c>
      <c r="K101" s="139" t="n">
        <v>0</v>
      </c>
      <c r="L101" s="139" t="n">
        <v>0</v>
      </c>
      <c r="M101" s="139" t="n">
        <v>0</v>
      </c>
      <c r="N101" s="139" t="n">
        <v>0</v>
      </c>
      <c r="O101" s="139" t="n">
        <v>0</v>
      </c>
      <c r="P101" s="139" t="n">
        <v>0</v>
      </c>
      <c r="Q101" s="139" t="n">
        <v>0</v>
      </c>
      <c r="R101" s="139" t="n">
        <v>15</v>
      </c>
      <c r="S101" s="139" t="n">
        <v>0</v>
      </c>
      <c r="T101" s="139" t="n">
        <v>0</v>
      </c>
      <c r="U101" s="139" t="n">
        <v>0</v>
      </c>
      <c r="V101" s="139" t="n">
        <v>0</v>
      </c>
      <c r="W101" s="139" t="n">
        <v>0</v>
      </c>
      <c r="X101" s="139" t="n">
        <v>0</v>
      </c>
      <c r="Y101" s="139" t="n">
        <v>0</v>
      </c>
      <c r="Z101" s="139" t="n">
        <v>0</v>
      </c>
      <c r="AA101" s="139" t="n">
        <v>0</v>
      </c>
      <c r="AB101" s="139" t="n">
        <v>0</v>
      </c>
    </row>
    <row r="102" ht="15.75" customHeight="1" s="397">
      <c r="A102" s="139" t="n">
        <v>9</v>
      </c>
      <c r="B102" s="139" t="n">
        <v>900</v>
      </c>
      <c r="H102" s="193" t="n">
        <v>0</v>
      </c>
      <c r="I102" s="139" t="n">
        <v>0</v>
      </c>
      <c r="J102" s="139" t="n">
        <v>0</v>
      </c>
      <c r="K102" s="139" t="n">
        <v>0</v>
      </c>
      <c r="L102" s="139" t="n">
        <v>0</v>
      </c>
      <c r="M102" s="139" t="n">
        <v>0</v>
      </c>
      <c r="N102" s="139" t="n">
        <v>0</v>
      </c>
      <c r="O102" s="139" t="n">
        <v>0</v>
      </c>
      <c r="P102" s="139" t="n">
        <v>0</v>
      </c>
      <c r="Q102" s="139" t="n">
        <v>30</v>
      </c>
      <c r="R102" s="139" t="n">
        <v>0</v>
      </c>
      <c r="S102" s="139" t="n">
        <v>0</v>
      </c>
      <c r="T102" s="139" t="n">
        <v>0</v>
      </c>
      <c r="U102" s="139" t="n">
        <v>0</v>
      </c>
      <c r="V102" s="139" t="n">
        <v>0</v>
      </c>
      <c r="W102" s="139" t="n">
        <v>0</v>
      </c>
      <c r="X102" s="139" t="n">
        <v>0</v>
      </c>
      <c r="Y102" s="139" t="n">
        <v>0</v>
      </c>
      <c r="Z102" s="139" t="n">
        <v>0</v>
      </c>
      <c r="AA102" s="139" t="n">
        <v>0</v>
      </c>
      <c r="AB102" s="139" t="n">
        <v>0</v>
      </c>
    </row>
    <row r="103" ht="15.75" customHeight="1" s="397">
      <c r="A103" s="139" t="n">
        <v>10</v>
      </c>
      <c r="B103" s="139" t="n">
        <v>950</v>
      </c>
      <c r="C103" s="156" t="n"/>
      <c r="D103" s="156" t="n"/>
      <c r="E103" s="156" t="n"/>
      <c r="F103" s="156" t="n"/>
      <c r="G103" s="156" t="n"/>
      <c r="H103" s="193" t="n">
        <v>0</v>
      </c>
      <c r="I103" s="139" t="n">
        <v>0</v>
      </c>
      <c r="J103" s="139" t="n">
        <v>0</v>
      </c>
      <c r="K103" s="139" t="n">
        <v>0</v>
      </c>
      <c r="L103" s="139" t="n">
        <v>0</v>
      </c>
      <c r="M103" s="139" t="n">
        <v>0</v>
      </c>
      <c r="N103" s="139" t="n">
        <v>0</v>
      </c>
      <c r="O103" s="139" t="n">
        <v>0</v>
      </c>
      <c r="P103" s="139" t="n">
        <v>0</v>
      </c>
      <c r="Q103" s="139" t="n">
        <v>0</v>
      </c>
      <c r="R103" s="139" t="n">
        <v>0</v>
      </c>
      <c r="S103" s="139" t="n">
        <v>0</v>
      </c>
      <c r="T103" s="139" t="n">
        <v>10</v>
      </c>
      <c r="U103" s="139" t="n">
        <v>0</v>
      </c>
      <c r="V103" s="139" t="n">
        <v>0</v>
      </c>
      <c r="W103" s="139" t="n">
        <v>0</v>
      </c>
      <c r="X103" s="139" t="n">
        <v>0</v>
      </c>
      <c r="Y103" s="139" t="n">
        <v>0</v>
      </c>
      <c r="Z103" s="139" t="n">
        <v>0</v>
      </c>
      <c r="AA103" s="139" t="n">
        <v>0</v>
      </c>
      <c r="AB103" s="139" t="n">
        <v>0</v>
      </c>
    </row>
    <row r="104" ht="15.75" customHeight="1" s="397">
      <c r="A104" s="139" t="n">
        <v>11</v>
      </c>
      <c r="B104" s="139" t="n">
        <v>990</v>
      </c>
      <c r="H104" s="193" t="n">
        <v>0</v>
      </c>
      <c r="I104" s="139" t="n">
        <v>0</v>
      </c>
      <c r="J104" s="139" t="n">
        <v>0</v>
      </c>
      <c r="K104" s="139" t="n">
        <v>0</v>
      </c>
      <c r="L104" s="139" t="n">
        <v>0</v>
      </c>
      <c r="M104" s="139" t="n">
        <v>0</v>
      </c>
      <c r="N104" s="139" t="n">
        <v>0</v>
      </c>
      <c r="O104" s="139" t="n">
        <v>0</v>
      </c>
      <c r="P104" s="139" t="n">
        <v>0</v>
      </c>
      <c r="Q104" s="139" t="n">
        <v>0</v>
      </c>
      <c r="R104" s="139" t="n">
        <v>0</v>
      </c>
      <c r="S104" s="139" t="n">
        <v>15</v>
      </c>
      <c r="T104" s="139" t="n">
        <v>0</v>
      </c>
      <c r="U104" s="139" t="n">
        <v>0</v>
      </c>
      <c r="V104" s="139" t="n">
        <v>0</v>
      </c>
      <c r="W104" s="139" t="n">
        <v>0</v>
      </c>
      <c r="X104" s="139" t="n">
        <v>0</v>
      </c>
      <c r="Y104" s="139" t="n">
        <v>0</v>
      </c>
      <c r="Z104" s="139" t="n">
        <v>0</v>
      </c>
      <c r="AA104" s="139" t="n">
        <v>0</v>
      </c>
      <c r="AB104" s="139" t="n">
        <v>0</v>
      </c>
    </row>
    <row r="105" ht="15.75" customHeight="1" s="397">
      <c r="A105" s="139" t="n">
        <v>12</v>
      </c>
      <c r="B105" s="139" t="n">
        <v>830</v>
      </c>
      <c r="C105" s="156" t="n"/>
      <c r="D105" s="156" t="n"/>
      <c r="E105" s="156" t="n"/>
      <c r="F105" s="156" t="n"/>
      <c r="G105" s="156" t="n"/>
      <c r="H105" s="193" t="n">
        <v>50</v>
      </c>
      <c r="I105" s="139" t="n">
        <v>0</v>
      </c>
      <c r="J105" s="139" t="n">
        <v>0</v>
      </c>
      <c r="K105" s="139" t="n">
        <v>0</v>
      </c>
      <c r="L105" s="139" t="n">
        <v>0</v>
      </c>
      <c r="M105" s="139" t="n">
        <v>0</v>
      </c>
      <c r="N105" s="139" t="n">
        <v>0</v>
      </c>
      <c r="O105" s="139" t="n">
        <v>0</v>
      </c>
      <c r="P105" s="139" t="n">
        <v>0</v>
      </c>
      <c r="Q105" s="139" t="n">
        <v>0</v>
      </c>
      <c r="R105" s="139" t="n">
        <v>0</v>
      </c>
      <c r="S105" s="139" t="n">
        <v>0</v>
      </c>
      <c r="T105" s="139" t="n">
        <v>0</v>
      </c>
      <c r="U105" s="139" t="n">
        <v>0</v>
      </c>
      <c r="V105" s="139" t="n">
        <v>0</v>
      </c>
      <c r="W105" s="139" t="n">
        <v>0</v>
      </c>
      <c r="X105" s="139" t="n">
        <v>0</v>
      </c>
      <c r="Y105" s="139" t="n">
        <v>0</v>
      </c>
      <c r="Z105" s="139" t="n">
        <v>0</v>
      </c>
      <c r="AA105" s="139" t="n">
        <v>0</v>
      </c>
      <c r="AB105" s="139" t="n">
        <v>0</v>
      </c>
    </row>
    <row r="106" ht="15.75" customHeight="1" s="397">
      <c r="A106" s="139" t="n">
        <v>13</v>
      </c>
      <c r="B106" s="139" t="n">
        <v>940</v>
      </c>
      <c r="H106" s="193" t="n">
        <v>0</v>
      </c>
      <c r="I106" s="139" t="n">
        <v>0</v>
      </c>
      <c r="J106" s="139" t="n">
        <v>0</v>
      </c>
      <c r="K106" s="139" t="n">
        <v>0</v>
      </c>
      <c r="L106" s="139" t="n">
        <v>0</v>
      </c>
      <c r="M106" s="139" t="n">
        <v>0</v>
      </c>
      <c r="N106" s="139" t="n">
        <v>0</v>
      </c>
      <c r="O106" s="139" t="n">
        <v>0</v>
      </c>
      <c r="P106" s="139" t="n">
        <v>0</v>
      </c>
      <c r="Q106" s="139" t="n">
        <v>0</v>
      </c>
      <c r="R106" s="139" t="n">
        <v>10</v>
      </c>
      <c r="S106" s="139" t="n">
        <v>0</v>
      </c>
      <c r="T106" s="139" t="n">
        <v>0</v>
      </c>
      <c r="U106" s="139" t="n">
        <v>0</v>
      </c>
      <c r="V106" s="139" t="n">
        <v>0</v>
      </c>
      <c r="W106" s="139" t="n">
        <v>0</v>
      </c>
      <c r="X106" s="139" t="n">
        <v>0</v>
      </c>
      <c r="Y106" s="139" t="n">
        <v>0</v>
      </c>
      <c r="Z106" s="139" t="n">
        <v>0</v>
      </c>
      <c r="AA106" s="139" t="n">
        <v>0</v>
      </c>
      <c r="AB106" s="139" t="n">
        <v>0</v>
      </c>
    </row>
    <row r="107" ht="15.75" customHeight="1" s="397">
      <c r="A107" s="139" t="n">
        <v>14</v>
      </c>
      <c r="B107" s="139" t="n">
        <v>1040</v>
      </c>
      <c r="C107" s="156" t="n"/>
      <c r="D107" s="156" t="n"/>
      <c r="E107" s="156" t="n"/>
      <c r="F107" s="156" t="n"/>
      <c r="G107" s="156" t="n"/>
      <c r="H107" s="193" t="n">
        <v>0</v>
      </c>
      <c r="I107" s="139" t="n">
        <v>0</v>
      </c>
      <c r="J107" s="139" t="n">
        <v>0</v>
      </c>
      <c r="K107" s="139" t="n">
        <v>0</v>
      </c>
      <c r="L107" s="139" t="n">
        <v>0</v>
      </c>
      <c r="M107" s="139" t="n">
        <v>0</v>
      </c>
      <c r="N107" s="139" t="n">
        <v>0</v>
      </c>
      <c r="O107" s="139" t="n">
        <v>0</v>
      </c>
      <c r="P107" s="139" t="n">
        <v>0</v>
      </c>
      <c r="Q107" s="139" t="n">
        <v>0</v>
      </c>
      <c r="R107" s="139" t="n">
        <v>0</v>
      </c>
      <c r="S107" s="139" t="n">
        <v>0</v>
      </c>
      <c r="T107" s="139" t="n">
        <v>15</v>
      </c>
      <c r="U107" s="139" t="n">
        <v>0</v>
      </c>
      <c r="V107" s="139" t="n">
        <v>0</v>
      </c>
      <c r="W107" s="139" t="n">
        <v>0</v>
      </c>
      <c r="X107" s="139" t="n">
        <v>0</v>
      </c>
      <c r="Y107" s="139" t="n">
        <v>0</v>
      </c>
      <c r="Z107" s="139" t="n">
        <v>0</v>
      </c>
      <c r="AA107" s="139" t="n">
        <v>0</v>
      </c>
      <c r="AB107" s="139" t="n">
        <v>0</v>
      </c>
    </row>
    <row r="108" ht="15.75" customHeight="1" s="397">
      <c r="A108" s="139" t="n">
        <v>15</v>
      </c>
      <c r="B108" s="139" t="n">
        <v>1030</v>
      </c>
      <c r="H108" s="193" t="n">
        <v>0</v>
      </c>
      <c r="I108" s="139" t="n">
        <v>0</v>
      </c>
      <c r="J108" s="139" t="n">
        <v>0</v>
      </c>
      <c r="K108" s="139" t="n">
        <v>0</v>
      </c>
      <c r="L108" s="139" t="n">
        <v>0</v>
      </c>
      <c r="M108" s="139" t="n">
        <v>0</v>
      </c>
      <c r="N108" s="139" t="n">
        <v>0</v>
      </c>
      <c r="O108" s="139" t="n">
        <v>0</v>
      </c>
      <c r="P108" s="139" t="n">
        <v>0</v>
      </c>
      <c r="Q108" s="139" t="n">
        <v>60</v>
      </c>
      <c r="R108" s="139" t="n">
        <v>0</v>
      </c>
      <c r="S108" s="139" t="n">
        <v>0</v>
      </c>
      <c r="T108" s="139" t="n">
        <v>0</v>
      </c>
      <c r="U108" s="139" t="n">
        <v>0</v>
      </c>
      <c r="V108" s="139" t="n">
        <v>0</v>
      </c>
      <c r="W108" s="139" t="n">
        <v>0</v>
      </c>
      <c r="X108" s="139" t="n">
        <v>0</v>
      </c>
      <c r="Y108" s="139" t="n">
        <v>0</v>
      </c>
      <c r="Z108" s="139" t="n">
        <v>0</v>
      </c>
      <c r="AA108" s="139" t="n">
        <v>0</v>
      </c>
      <c r="AB108" s="139" t="n">
        <v>0</v>
      </c>
    </row>
    <row r="109" ht="15.75" customHeight="1" s="397"/>
    <row r="110" ht="15.75" customHeight="1" s="397"/>
    <row r="111" ht="15.75" customHeight="1" s="397"/>
    <row r="112" ht="15.75" customHeight="1" s="397"/>
    <row r="113" ht="15.75" customHeight="1" s="397"/>
    <row r="114" ht="15.75" customHeight="1" s="397"/>
    <row r="115" ht="15.75" customHeight="1" s="397"/>
  </sheetData>
  <conditionalFormatting sqref="H25:AB54">
    <cfRule type="cellIs" priority="1" operator="greaterThan" dxfId="1">
      <formula>0</formula>
    </cfRule>
  </conditionalFormatting>
  <conditionalFormatting sqref="A25:AB54">
    <cfRule type="expression" priority="2" dxfId="2">
      <formula>MOD(INT((ROW()-13)/3),2)=0</formula>
    </cfRule>
  </conditionalFormatting>
  <conditionalFormatting sqref="C58:AB72">
    <cfRule type="cellIs" priority="3" operator="greaterThan" dxfId="1">
      <formula>0</formula>
    </cfRule>
  </conditionalFormatting>
  <conditionalFormatting sqref="A58:AB72">
    <cfRule type="expression" priority="4" dxfId="2">
      <formula>ISEVEN($A58)</formula>
    </cfRule>
  </conditionalFormatting>
  <conditionalFormatting sqref="C76:AB90">
    <cfRule type="cellIs" priority="5" operator="greaterThan" dxfId="1">
      <formula>0</formula>
    </cfRule>
  </conditionalFormatting>
  <conditionalFormatting sqref="A76:AB90">
    <cfRule type="expression" priority="6" dxfId="2">
      <formula>ISEVEN($A76)</formula>
    </cfRule>
  </conditionalFormatting>
  <conditionalFormatting sqref="C94:AB108">
    <cfRule type="cellIs" priority="7" operator="greaterThan" dxfId="1">
      <formula>0</formula>
    </cfRule>
  </conditionalFormatting>
  <conditionalFormatting sqref="A94:AB108">
    <cfRule type="expression" priority="8" dxfId="2">
      <formula>ISEVEN($A94)</formula>
    </cfRule>
  </conditionalFormatting>
  <dataValidations count="2">
    <dataValidation sqref="AI2" showDropDown="0" showInputMessage="0" showErrorMessage="0" allowBlank="1" type="list">
      <formula1>"Avg,p25,p50,p75"</formula1>
    </dataValidation>
    <dataValidation sqref="AI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2026-07-07T11:09:09Z</dcterms:created>
  <dcterms:modified xsi:type="dcterms:W3CDTF">2026-07-07T11:09:10Z</dcterms:modified>
</cp:coreProperties>
</file>