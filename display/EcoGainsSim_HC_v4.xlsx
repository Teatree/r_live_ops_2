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;-#,##0.0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color rgb="FF808080"/>
      <sz val="9"/>
    </font>
    <font>
      <name val="Arial"/>
      <b val="1"/>
      <sz val="11"/>
    </font>
    <font>
      <name val="Arial"/>
      <b val="1"/>
      <sz val="9"/>
    </font>
    <font>
      <name val="Arial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pivotButton="0" quotePrefix="0" xfId="0"/>
    <xf numFmtId="164" fontId="0" fillId="5" borderId="1" pivotButton="0" quotePrefix="0" xfId="0"/>
    <xf numFmtId="165" fontId="0" fillId="0" borderId="1" pivotButton="0" quotePrefix="0" xfId="0"/>
    <xf numFmtId="0" fontId="5" fillId="6" borderId="1" pivotButton="0" quotePrefix="0" xfId="0"/>
    <xf numFmtId="164" fontId="0" fillId="7" borderId="1" pivotButton="0" quotePrefix="0" xfId="0"/>
    <xf numFmtId="0" fontId="5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color rgb="FF990000"/>
      </font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T195"/>
  <sheetViews>
    <sheetView showGridLines="0" workbookViewId="0">
      <selection activeCell="A1" sqref="A1"/>
    </sheetView>
  </sheetViews>
  <sheetFormatPr baseColWidth="8" defaultRowHeight="15"/>
  <cols>
    <col width="1.75" customWidth="1" min="1" max="1"/>
    <col width="19.25" customWidth="1" min="2" max="2"/>
    <col width="8.25" customWidth="1" min="3" max="3"/>
    <col width="7.63" customWidth="1" min="42" max="42"/>
  </cols>
  <sheetData>
    <row r="2">
      <c r="B2" s="1" t="inlineStr">
        <is>
          <t>Per-earner gains over the 33-day</t>
        </is>
      </c>
    </row>
    <row r="3">
      <c r="B3" s="2" t="inlineStr">
        <is>
          <t>Payer</t>
        </is>
      </c>
      <c r="C3" s="3" t="inlineStr">
        <is>
          <t>PAYER</t>
        </is>
      </c>
      <c r="D3" s="4" t="inlineStr">
        <is>
          <t>◀ input (global)</t>
        </is>
      </c>
      <c r="J3">
        <f>JOIN(",", {B9,B10,B11,B13,B14,B16,B17,B18,B19,B21,B22,B23,B24,B25,B26,B29,B31})</f>
        <v/>
      </c>
    </row>
    <row r="6" ht="15.75" customHeight="1">
      <c r="B6" s="5" t="inlineStr">
        <is>
          <t>0-9</t>
        </is>
      </c>
      <c r="C6" s="6" t="inlineStr">
        <is>
          <t>0-9 Segment - Over Time Period  (uses 1-9 gains data)</t>
        </is>
      </c>
      <c r="W6" s="6" t="inlineStr">
        <is>
          <t>0-9 Segment - Over Time Period - Difference</t>
        </is>
      </c>
    </row>
    <row r="7" ht="15.75" customHeight="1">
      <c r="B7" s="7" t="inlineStr">
        <is>
          <t>Source</t>
        </is>
      </c>
      <c r="C7" s="8" t="inlineStr">
        <is>
          <t>HC</t>
        </is>
      </c>
      <c r="D7" s="8" t="inlineStr">
        <is>
          <t>Slingshot</t>
        </is>
      </c>
      <c r="E7" s="8" t="inlineStr">
        <is>
          <t>Shuffle</t>
        </is>
      </c>
      <c r="F7" s="8" t="inlineStr">
        <is>
          <t>Comet</t>
        </is>
      </c>
      <c r="G7" s="8" t="inlineStr">
        <is>
          <t>Red</t>
        </is>
      </c>
      <c r="H7" s="8" t="inlineStr">
        <is>
          <t>Chuck</t>
        </is>
      </c>
      <c r="I7" s="8" t="inlineStr">
        <is>
          <t>Bomb</t>
        </is>
      </c>
      <c r="J7" s="8" t="inlineStr">
        <is>
          <t>UL Bomb</t>
        </is>
      </c>
      <c r="K7" s="8" t="inlineStr">
        <is>
          <t>UL Chuck</t>
        </is>
      </c>
      <c r="L7" s="8" t="inlineStr">
        <is>
          <t>UL Red</t>
        </is>
      </c>
      <c r="M7" s="8" t="inlineStr">
        <is>
          <t>Unlimited Lives</t>
        </is>
      </c>
      <c r="N7" s="8" t="inlineStr">
        <is>
          <t>SPT</t>
        </is>
      </c>
      <c r="O7" s="8" t="inlineStr">
        <is>
          <t>SPTx2</t>
        </is>
      </c>
      <c r="P7" s="8" t="inlineStr">
        <is>
          <t>1-star Pack</t>
        </is>
      </c>
      <c r="Q7" s="8" t="inlineStr">
        <is>
          <t>2-star Pack</t>
        </is>
      </c>
      <c r="R7" s="8" t="inlineStr">
        <is>
          <t>3-star Pack</t>
        </is>
      </c>
      <c r="S7" s="8" t="inlineStr">
        <is>
          <t>4-star Pack</t>
        </is>
      </c>
      <c r="T7" s="8" t="inlineStr">
        <is>
          <t>5-star Pack</t>
        </is>
      </c>
      <c r="U7" s="8" t="inlineStr">
        <is>
          <t>6-star Pack</t>
        </is>
      </c>
      <c r="W7" s="8" t="inlineStr">
        <is>
          <t>HC</t>
        </is>
      </c>
      <c r="X7" s="8" t="inlineStr">
        <is>
          <t>Slingshot</t>
        </is>
      </c>
      <c r="Y7" s="8" t="inlineStr">
        <is>
          <t>Shuffle</t>
        </is>
      </c>
      <c r="Z7" s="8" t="inlineStr">
        <is>
          <t>Comet</t>
        </is>
      </c>
      <c r="AA7" s="8" t="inlineStr">
        <is>
          <t>Red</t>
        </is>
      </c>
      <c r="AB7" s="8" t="inlineStr">
        <is>
          <t>Chuck</t>
        </is>
      </c>
      <c r="AC7" s="8" t="inlineStr">
        <is>
          <t>Bomb</t>
        </is>
      </c>
      <c r="AD7" s="8" t="inlineStr">
        <is>
          <t>UL Bomb</t>
        </is>
      </c>
      <c r="AE7" s="8" t="inlineStr">
        <is>
          <t>UL Chuck</t>
        </is>
      </c>
      <c r="AF7" s="8" t="inlineStr">
        <is>
          <t>UL Red</t>
        </is>
      </c>
      <c r="AG7" s="8" t="inlineStr">
        <is>
          <t>Unlimited Lives</t>
        </is>
      </c>
      <c r="AH7" s="8" t="inlineStr">
        <is>
          <t>SPT</t>
        </is>
      </c>
      <c r="AI7" s="8" t="inlineStr">
        <is>
          <t>SPTx2</t>
        </is>
      </c>
      <c r="AJ7" s="8" t="inlineStr">
        <is>
          <t>1-star Pack</t>
        </is>
      </c>
      <c r="AK7" s="8" t="inlineStr">
        <is>
          <t>2-star Pack</t>
        </is>
      </c>
      <c r="AL7" s="8" t="inlineStr">
        <is>
          <t>3-star Pack</t>
        </is>
      </c>
      <c r="AM7" s="8" t="inlineStr">
        <is>
          <t>4-star Pack</t>
        </is>
      </c>
      <c r="AN7" s="8" t="inlineStr">
        <is>
          <t>5-star Pack</t>
        </is>
      </c>
      <c r="AO7" s="8" t="inlineStr">
        <is>
          <t>6-star Pack</t>
        </is>
      </c>
    </row>
    <row r="8" ht="15.75" customHeight="1">
      <c r="B8" s="9" t="inlineStr">
        <is>
          <t>Ads</t>
        </is>
      </c>
      <c r="C8" s="10">
        <f>LET(payer, $C$3, segment, $B$6, ECOGAINS_SIM(payer, segment, sim_refresh!$A$1))</f>
        <v/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W8" s="11">
        <f>LET(payer, $C$3, segment, $B$6, ECOGAINS_DIFF(payer, segment, sim_refresh!$A$1))</f>
        <v/>
      </c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Q8">
        <f>ECOGAINS_CAL_STATS("cal_curr", sim_refresh!$A$1)</f>
        <v/>
      </c>
      <c r="AT8">
        <f>ECOGAINS_CAL_STATS("cal_new", sim_refresh!$A$1)</f>
        <v/>
      </c>
    </row>
    <row r="9" ht="15.75" customHeight="1">
      <c r="B9" s="12" t="inlineStr">
        <is>
          <t>Bomb Challenge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ht="15.75" customHeight="1">
      <c r="B10" s="12" t="inlineStr">
        <is>
          <t>Bomb's Ballet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ht="15.75" customHeight="1">
      <c r="B11" s="12" t="inlineStr">
        <is>
          <t>Chuck Challenge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</row>
    <row r="12" ht="15.75" customHeight="1">
      <c r="B12" s="9" t="inlineStr">
        <is>
          <t>Core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ht="15.75" customHeight="1">
      <c r="B13" s="14" t="inlineStr">
        <is>
          <t>Daily Gift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ht="15.75" customHeight="1">
      <c r="B14" s="14" t="inlineStr">
        <is>
          <t>Daily Night Sky Prize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ht="15.75" customHeight="1">
      <c r="B15" s="9" t="inlineStr">
        <is>
          <t>Flock Flurry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</row>
    <row r="16" ht="15.75" customHeight="1">
      <c r="B16" s="12" t="inlineStr">
        <is>
          <t>Hatchling Hideaway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ht="15.75" customHeight="1">
      <c r="B17" s="12" t="inlineStr">
        <is>
          <t>Jigsaw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ht="15.75" customHeight="1">
      <c r="B18" s="12" t="inlineStr">
        <is>
          <t>Kite Festival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ht="15.75" customHeight="1">
      <c r="B19" s="12" t="inlineStr">
        <is>
          <t>Level Race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</row>
    <row r="20" ht="15.75" customHeight="1">
      <c r="B20" s="9" t="inlineStr">
        <is>
          <t>Other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ht="15.75" customHeight="1">
      <c r="B21" s="12" t="inlineStr">
        <is>
          <t>Photoshoot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ht="15.75" customHeight="1">
      <c r="B22" s="12" t="inlineStr">
        <is>
          <t>Red Challenge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ht="15.75" customHeight="1">
      <c r="B23" s="12" t="inlineStr">
        <is>
          <t>River Rush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</row>
    <row r="24" ht="15.75" customHeight="1">
      <c r="B24" s="14" t="inlineStr">
        <is>
          <t>Saga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ht="15.75" customHeight="1">
      <c r="B25" s="12" t="inlineStr">
        <is>
          <t>Season Pass (Free)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ht="15.75" customHeight="1">
      <c r="B26" s="12" t="inlineStr">
        <is>
          <t>Target Day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ht="15.75" customHeight="1">
      <c r="B27" s="9" t="inlineStr">
        <is>
          <t>Team Event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</row>
    <row r="28" ht="15.75" customHeight="1">
      <c r="B28" s="9" t="inlineStr">
        <is>
          <t>Team Race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ht="15.75" customHeight="1">
      <c r="B29" s="12" t="inlineStr">
        <is>
          <t>Flash Race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ht="15.75" customHeight="1">
      <c r="B30" s="9" t="inlineStr">
        <is>
          <t>FlowerCoop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ht="15.75" customHeight="1">
      <c r="B31" s="12" t="inlineStr">
        <is>
          <t>Rainbow Maker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</row>
    <row r="32" ht="15.75" customHeight="1">
      <c r="B32" s="9" t="inlineStr">
        <is>
          <t>IAPs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</row>
    <row r="35" ht="15.75" customHeight="1">
      <c r="B35" s="5" t="inlineStr">
        <is>
          <t>10-19</t>
        </is>
      </c>
      <c r="C35" s="6" t="inlineStr">
        <is>
          <t>10-19 Segment - Over Time Period</t>
        </is>
      </c>
      <c r="W35" s="6" t="inlineStr">
        <is>
          <t>10-19 Segment - Over Time Period - Difference</t>
        </is>
      </c>
    </row>
    <row r="36" ht="15.75" customHeight="1">
      <c r="B36" s="7" t="inlineStr">
        <is>
          <t>Source</t>
        </is>
      </c>
      <c r="C36" s="8" t="inlineStr">
        <is>
          <t>HC</t>
        </is>
      </c>
      <c r="D36" s="8" t="inlineStr">
        <is>
          <t>Slingshot</t>
        </is>
      </c>
      <c r="E36" s="8" t="inlineStr">
        <is>
          <t>Shuffle</t>
        </is>
      </c>
      <c r="F36" s="8" t="inlineStr">
        <is>
          <t>Comet</t>
        </is>
      </c>
      <c r="G36" s="8" t="inlineStr">
        <is>
          <t>Red</t>
        </is>
      </c>
      <c r="H36" s="8" t="inlineStr">
        <is>
          <t>Chuck</t>
        </is>
      </c>
      <c r="I36" s="8" t="inlineStr">
        <is>
          <t>Bomb</t>
        </is>
      </c>
      <c r="J36" s="8" t="inlineStr">
        <is>
          <t>UL Bomb</t>
        </is>
      </c>
      <c r="K36" s="8" t="inlineStr">
        <is>
          <t>UL Chuck</t>
        </is>
      </c>
      <c r="L36" s="8" t="inlineStr">
        <is>
          <t>UL Red</t>
        </is>
      </c>
      <c r="M36" s="8" t="inlineStr">
        <is>
          <t>Unlimited Lives</t>
        </is>
      </c>
      <c r="N36" s="8" t="inlineStr">
        <is>
          <t>SPT</t>
        </is>
      </c>
      <c r="O36" s="8" t="inlineStr">
        <is>
          <t>SPTx2</t>
        </is>
      </c>
      <c r="P36" s="8" t="inlineStr">
        <is>
          <t>1-star Pack</t>
        </is>
      </c>
      <c r="Q36" s="8" t="inlineStr">
        <is>
          <t>2-star Pack</t>
        </is>
      </c>
      <c r="R36" s="8" t="inlineStr">
        <is>
          <t>3-star Pack</t>
        </is>
      </c>
      <c r="S36" s="8" t="inlineStr">
        <is>
          <t>4-star Pack</t>
        </is>
      </c>
      <c r="T36" s="8" t="inlineStr">
        <is>
          <t>5-star Pack</t>
        </is>
      </c>
      <c r="U36" s="8" t="inlineStr">
        <is>
          <t>6-star Pack</t>
        </is>
      </c>
      <c r="W36" s="8" t="inlineStr">
        <is>
          <t>HC</t>
        </is>
      </c>
      <c r="X36" s="8" t="inlineStr">
        <is>
          <t>Slingshot</t>
        </is>
      </c>
      <c r="Y36" s="8" t="inlineStr">
        <is>
          <t>Shuffle</t>
        </is>
      </c>
      <c r="Z36" s="8" t="inlineStr">
        <is>
          <t>Comet</t>
        </is>
      </c>
      <c r="AA36" s="8" t="inlineStr">
        <is>
          <t>Red</t>
        </is>
      </c>
      <c r="AB36" s="8" t="inlineStr">
        <is>
          <t>Chuck</t>
        </is>
      </c>
      <c r="AC36" s="8" t="inlineStr">
        <is>
          <t>Bomb</t>
        </is>
      </c>
      <c r="AD36" s="8" t="inlineStr">
        <is>
          <t>UL Bomb</t>
        </is>
      </c>
      <c r="AE36" s="8" t="inlineStr">
        <is>
          <t>UL Chuck</t>
        </is>
      </c>
      <c r="AF36" s="8" t="inlineStr">
        <is>
          <t>UL Red</t>
        </is>
      </c>
      <c r="AG36" s="8" t="inlineStr">
        <is>
          <t>Unlimited Lives</t>
        </is>
      </c>
      <c r="AH36" s="8" t="inlineStr">
        <is>
          <t>SPT</t>
        </is>
      </c>
      <c r="AI36" s="8" t="inlineStr">
        <is>
          <t>SPTx2</t>
        </is>
      </c>
      <c r="AJ36" s="8" t="inlineStr">
        <is>
          <t>1-star Pack</t>
        </is>
      </c>
      <c r="AK36" s="8" t="inlineStr">
        <is>
          <t>2-star Pack</t>
        </is>
      </c>
      <c r="AL36" s="8" t="inlineStr">
        <is>
          <t>3-star Pack</t>
        </is>
      </c>
      <c r="AM36" s="8" t="inlineStr">
        <is>
          <t>4-star Pack</t>
        </is>
      </c>
      <c r="AN36" s="8" t="inlineStr">
        <is>
          <t>5-star Pack</t>
        </is>
      </c>
      <c r="AO36" s="8" t="inlineStr">
        <is>
          <t>6-star Pack</t>
        </is>
      </c>
    </row>
    <row r="37" ht="15.75" customHeight="1">
      <c r="B37" s="9" t="inlineStr">
        <is>
          <t>Ads</t>
        </is>
      </c>
      <c r="C37" s="10">
        <f>LET(payer, $C$3, segment, $B$35, ECOGAINS_SIM(payer, segment, sim_refresh!$A$1))</f>
        <v/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W37" s="11">
        <f>LET(payer, $C$3, segment, $B$35, ECOGAINS_DIFF(payer, segment, sim_refresh!$A$1))</f>
        <v/>
      </c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</row>
    <row r="38" ht="15.75" customHeight="1">
      <c r="B38" s="12" t="inlineStr">
        <is>
          <t>Bomb Challenge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ht="15.75" customHeight="1">
      <c r="B39" s="12" t="inlineStr">
        <is>
          <t>Bomb's Ballet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ht="15.75" customHeight="1">
      <c r="B40" s="12" t="inlineStr">
        <is>
          <t>Chuck Challenge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</row>
    <row r="41" ht="15.75" customHeight="1">
      <c r="B41" s="9" t="inlineStr">
        <is>
          <t>Core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</row>
    <row r="42" ht="15.75" customHeight="1">
      <c r="B42" s="14" t="inlineStr">
        <is>
          <t>Daily Gift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ht="15.75" customHeight="1">
      <c r="B43" s="14" t="inlineStr">
        <is>
          <t>Daily Night Sky Prize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ht="15.75" customHeight="1">
      <c r="B44" s="9" t="inlineStr">
        <is>
          <t>Flock Flurry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</row>
    <row r="45" ht="15.75" customHeight="1">
      <c r="B45" s="12" t="inlineStr">
        <is>
          <t>Hatchling Hideaway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</row>
    <row r="46" ht="15.75" customHeight="1">
      <c r="B46" s="12" t="inlineStr">
        <is>
          <t>Jigsaw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ht="15.75" customHeight="1">
      <c r="B47" s="12" t="inlineStr">
        <is>
          <t>Kite Festival</t>
        </is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ht="15.75" customHeight="1">
      <c r="B48" s="12" t="inlineStr">
        <is>
          <t>Level Race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</row>
    <row r="49" ht="15.75" customHeight="1">
      <c r="B49" s="9" t="inlineStr">
        <is>
          <t>Other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</row>
    <row r="50" ht="15.75" customHeight="1">
      <c r="B50" s="12" t="inlineStr">
        <is>
          <t>Photoshoot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ht="15.75" customHeight="1">
      <c r="B51" s="12" t="inlineStr">
        <is>
          <t>Red Challenge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ht="15.75" customHeight="1">
      <c r="B52" s="12" t="inlineStr">
        <is>
          <t>River Rush</t>
        </is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</row>
    <row r="53" ht="15.75" customHeight="1">
      <c r="B53" s="14" t="inlineStr">
        <is>
          <t>Saga</t>
        </is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</row>
    <row r="54" ht="15.75" customHeight="1">
      <c r="B54" s="12" t="inlineStr">
        <is>
          <t>Season Pass (Free)</t>
        </is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ht="15.75" customHeight="1">
      <c r="B55" s="12" t="inlineStr">
        <is>
          <t>Target Day</t>
        </is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ht="15.75" customHeight="1">
      <c r="B56" s="9" t="inlineStr">
        <is>
          <t>Team Event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</row>
    <row r="57" ht="15.75" customHeight="1">
      <c r="B57" s="9" t="inlineStr">
        <is>
          <t>Team Race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</row>
    <row r="58" ht="15.75" customHeight="1">
      <c r="B58" s="12" t="inlineStr">
        <is>
          <t>Flash Race</t>
        </is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ht="15.75" customHeight="1">
      <c r="B59" s="9" t="inlineStr">
        <is>
          <t>FlowerCoop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ht="15.75" customHeight="1">
      <c r="B60" s="12" t="inlineStr">
        <is>
          <t>Rainbow Maker</t>
        </is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</row>
    <row r="61" ht="15.75" customHeight="1">
      <c r="B61" s="9" t="inlineStr">
        <is>
          <t>IAPs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4" ht="15.75" customHeight="1">
      <c r="B64" s="5" t="inlineStr">
        <is>
          <t>20-39</t>
        </is>
      </c>
      <c r="C64" s="6" t="inlineStr">
        <is>
          <t>20-39 Segment - Over Time Period</t>
        </is>
      </c>
      <c r="W64" s="6" t="inlineStr">
        <is>
          <t>20-39 Segment - Over Time Period - Difference</t>
        </is>
      </c>
    </row>
    <row r="65" ht="15.75" customHeight="1">
      <c r="B65" s="7" t="inlineStr">
        <is>
          <t>Source</t>
        </is>
      </c>
      <c r="C65" s="8" t="inlineStr">
        <is>
          <t>HC</t>
        </is>
      </c>
      <c r="D65" s="8" t="inlineStr">
        <is>
          <t>Slingshot</t>
        </is>
      </c>
      <c r="E65" s="8" t="inlineStr">
        <is>
          <t>Shuffle</t>
        </is>
      </c>
      <c r="F65" s="8" t="inlineStr">
        <is>
          <t>Comet</t>
        </is>
      </c>
      <c r="G65" s="8" t="inlineStr">
        <is>
          <t>Red</t>
        </is>
      </c>
      <c r="H65" s="8" t="inlineStr">
        <is>
          <t>Chuck</t>
        </is>
      </c>
      <c r="I65" s="8" t="inlineStr">
        <is>
          <t>Bomb</t>
        </is>
      </c>
      <c r="J65" s="8" t="inlineStr">
        <is>
          <t>UL Bomb</t>
        </is>
      </c>
      <c r="K65" s="8" t="inlineStr">
        <is>
          <t>UL Chuck</t>
        </is>
      </c>
      <c r="L65" s="8" t="inlineStr">
        <is>
          <t>UL Red</t>
        </is>
      </c>
      <c r="M65" s="8" t="inlineStr">
        <is>
          <t>Unlimited Lives</t>
        </is>
      </c>
      <c r="N65" s="8" t="inlineStr">
        <is>
          <t>SPT</t>
        </is>
      </c>
      <c r="O65" s="8" t="inlineStr">
        <is>
          <t>SPTx2</t>
        </is>
      </c>
      <c r="P65" s="8" t="inlineStr">
        <is>
          <t>1-star Pack</t>
        </is>
      </c>
      <c r="Q65" s="8" t="inlineStr">
        <is>
          <t>2-star Pack</t>
        </is>
      </c>
      <c r="R65" s="8" t="inlineStr">
        <is>
          <t>3-star Pack</t>
        </is>
      </c>
      <c r="S65" s="8" t="inlineStr">
        <is>
          <t>4-star Pack</t>
        </is>
      </c>
      <c r="T65" s="8" t="inlineStr">
        <is>
          <t>5-star Pack</t>
        </is>
      </c>
      <c r="U65" s="8" t="inlineStr">
        <is>
          <t>6-star Pack</t>
        </is>
      </c>
      <c r="W65" s="8" t="inlineStr">
        <is>
          <t>HC</t>
        </is>
      </c>
      <c r="X65" s="8" t="inlineStr">
        <is>
          <t>Slingshot</t>
        </is>
      </c>
      <c r="Y65" s="8" t="inlineStr">
        <is>
          <t>Shuffle</t>
        </is>
      </c>
      <c r="Z65" s="8" t="inlineStr">
        <is>
          <t>Comet</t>
        </is>
      </c>
      <c r="AA65" s="8" t="inlineStr">
        <is>
          <t>Red</t>
        </is>
      </c>
      <c r="AB65" s="8" t="inlineStr">
        <is>
          <t>Chuck</t>
        </is>
      </c>
      <c r="AC65" s="8" t="inlineStr">
        <is>
          <t>Bomb</t>
        </is>
      </c>
      <c r="AD65" s="8" t="inlineStr">
        <is>
          <t>UL Bomb</t>
        </is>
      </c>
      <c r="AE65" s="8" t="inlineStr">
        <is>
          <t>UL Chuck</t>
        </is>
      </c>
      <c r="AF65" s="8" t="inlineStr">
        <is>
          <t>UL Red</t>
        </is>
      </c>
      <c r="AG65" s="8" t="inlineStr">
        <is>
          <t>Unlimited Lives</t>
        </is>
      </c>
      <c r="AH65" s="8" t="inlineStr">
        <is>
          <t>SPT</t>
        </is>
      </c>
      <c r="AI65" s="8" t="inlineStr">
        <is>
          <t>SPTx2</t>
        </is>
      </c>
      <c r="AJ65" s="8" t="inlineStr">
        <is>
          <t>1-star Pack</t>
        </is>
      </c>
      <c r="AK65" s="8" t="inlineStr">
        <is>
          <t>2-star Pack</t>
        </is>
      </c>
      <c r="AL65" s="8" t="inlineStr">
        <is>
          <t>3-star Pack</t>
        </is>
      </c>
      <c r="AM65" s="8" t="inlineStr">
        <is>
          <t>4-star Pack</t>
        </is>
      </c>
      <c r="AN65" s="8" t="inlineStr">
        <is>
          <t>5-star Pack</t>
        </is>
      </c>
      <c r="AO65" s="8" t="inlineStr">
        <is>
          <t>6-star Pack</t>
        </is>
      </c>
    </row>
    <row r="66" ht="15.75" customHeight="1">
      <c r="B66" s="9" t="inlineStr">
        <is>
          <t>Ads</t>
        </is>
      </c>
      <c r="C66" s="10">
        <f>LET(payer, $C$3, segment, $B$64, ECOGAINS_SIM(payer, segment, sim_refresh!$A$1))</f>
        <v/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W66" s="11">
        <f>LET(payer, $C$3, segment, $B$64, ECOGAINS_DIFF(payer, segment, sim_refresh!$A$1))</f>
        <v/>
      </c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ht="15.75" customHeight="1">
      <c r="B67" s="12" t="inlineStr">
        <is>
          <t>Bomb Challenge</t>
        </is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ht="15.75" customHeight="1">
      <c r="B68" s="12" t="inlineStr">
        <is>
          <t>Bomb's Ballet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</row>
    <row r="69" ht="15.75" customHeight="1">
      <c r="B69" s="12" t="inlineStr">
        <is>
          <t>Chuck Challenge</t>
        </is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ht="15.75" customHeight="1">
      <c r="B70" s="9" t="inlineStr">
        <is>
          <t>Core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ht="15.75" customHeight="1">
      <c r="B71" s="14" t="inlineStr">
        <is>
          <t>Daily Gift</t>
        </is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ht="15.75" customHeight="1">
      <c r="B72" s="14" t="inlineStr">
        <is>
          <t>Daily Night Sky Prize</t>
        </is>
      </c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</row>
    <row r="73" ht="15.75" customHeight="1">
      <c r="B73" s="9" t="inlineStr">
        <is>
          <t>Flock Flurry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ht="15.75" customHeight="1">
      <c r="B74" s="12" t="inlineStr">
        <is>
          <t>Hatchling Hideaway</t>
        </is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ht="15.75" customHeight="1">
      <c r="B75" s="12" t="inlineStr">
        <is>
          <t>Jigsaw</t>
        </is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ht="15.75" customHeight="1">
      <c r="B76" s="12" t="inlineStr">
        <is>
          <t>Kite Festival</t>
        </is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</row>
    <row r="77" ht="15.75" customHeight="1">
      <c r="B77" s="12" t="inlineStr">
        <is>
          <t>Level Race</t>
        </is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ht="15.75" customHeight="1">
      <c r="B78" s="9" t="inlineStr">
        <is>
          <t>Other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ht="15.75" customHeight="1">
      <c r="B79" s="12" t="inlineStr">
        <is>
          <t>Photoshoot</t>
        </is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ht="15.75" customHeight="1">
      <c r="B80" s="12" t="inlineStr">
        <is>
          <t>Red Challenge</t>
        </is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</row>
    <row r="81" ht="15.75" customHeight="1">
      <c r="B81" s="12" t="inlineStr">
        <is>
          <t>River Rush</t>
        </is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ht="15.75" customHeight="1">
      <c r="B82" s="14" t="inlineStr">
        <is>
          <t>Saga</t>
        </is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ht="15.75" customHeight="1">
      <c r="B83" s="12" t="inlineStr">
        <is>
          <t>Season Pass (Free)</t>
        </is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ht="15.75" customHeight="1">
      <c r="B84" s="12" t="inlineStr">
        <is>
          <t>Target Day</t>
        </is>
      </c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</row>
    <row r="85" ht="15.75" customHeight="1">
      <c r="B85" s="9" t="inlineStr">
        <is>
          <t>Team Event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ht="15.75" customHeight="1">
      <c r="B86" s="9" t="inlineStr">
        <is>
          <t>Team Race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ht="15.75" customHeight="1">
      <c r="B87" s="12" t="inlineStr">
        <is>
          <t>Flash Race</t>
        </is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ht="15.75" customHeight="1">
      <c r="B88" s="9" t="inlineStr">
        <is>
          <t>FlowerCoop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ht="15.75" customHeight="1">
      <c r="B89" s="12" t="inlineStr">
        <is>
          <t>Rainbow Maker</t>
        </is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</row>
    <row r="90" ht="15.75" customHeight="1">
      <c r="B90" s="9" t="inlineStr">
        <is>
          <t>IAPs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3" ht="15.75" customHeight="1">
      <c r="B93" s="5" t="inlineStr">
        <is>
          <t>40-99</t>
        </is>
      </c>
      <c r="C93" s="6" t="inlineStr">
        <is>
          <t>40-99 Segment - Over Time Period</t>
        </is>
      </c>
      <c r="W93" s="6" t="inlineStr">
        <is>
          <t>40-99 Segment - Over Time Period - Difference</t>
        </is>
      </c>
    </row>
    <row r="94" ht="15.75" customHeight="1">
      <c r="B94" s="7" t="inlineStr">
        <is>
          <t>Source</t>
        </is>
      </c>
      <c r="C94" s="8" t="inlineStr">
        <is>
          <t>HC</t>
        </is>
      </c>
      <c r="D94" s="8" t="inlineStr">
        <is>
          <t>Slingshot</t>
        </is>
      </c>
      <c r="E94" s="8" t="inlineStr">
        <is>
          <t>Shuffle</t>
        </is>
      </c>
      <c r="F94" s="8" t="inlineStr">
        <is>
          <t>Comet</t>
        </is>
      </c>
      <c r="G94" s="8" t="inlineStr">
        <is>
          <t>Red</t>
        </is>
      </c>
      <c r="H94" s="8" t="inlineStr">
        <is>
          <t>Chuck</t>
        </is>
      </c>
      <c r="I94" s="8" t="inlineStr">
        <is>
          <t>Bomb</t>
        </is>
      </c>
      <c r="J94" s="8" t="inlineStr">
        <is>
          <t>UL Bomb</t>
        </is>
      </c>
      <c r="K94" s="8" t="inlineStr">
        <is>
          <t>UL Chuck</t>
        </is>
      </c>
      <c r="L94" s="8" t="inlineStr">
        <is>
          <t>UL Red</t>
        </is>
      </c>
      <c r="M94" s="8" t="inlineStr">
        <is>
          <t>Unlimited Lives</t>
        </is>
      </c>
      <c r="N94" s="8" t="inlineStr">
        <is>
          <t>SPT</t>
        </is>
      </c>
      <c r="O94" s="8" t="inlineStr">
        <is>
          <t>SPTx2</t>
        </is>
      </c>
      <c r="P94" s="8" t="inlineStr">
        <is>
          <t>1-star Pack</t>
        </is>
      </c>
      <c r="Q94" s="8" t="inlineStr">
        <is>
          <t>2-star Pack</t>
        </is>
      </c>
      <c r="R94" s="8" t="inlineStr">
        <is>
          <t>3-star Pack</t>
        </is>
      </c>
      <c r="S94" s="8" t="inlineStr">
        <is>
          <t>4-star Pack</t>
        </is>
      </c>
      <c r="T94" s="8" t="inlineStr">
        <is>
          <t>5-star Pack</t>
        </is>
      </c>
      <c r="U94" s="8" t="inlineStr">
        <is>
          <t>6-star Pack</t>
        </is>
      </c>
      <c r="W94" s="8" t="inlineStr">
        <is>
          <t>HC</t>
        </is>
      </c>
      <c r="X94" s="8" t="inlineStr">
        <is>
          <t>Slingshot</t>
        </is>
      </c>
      <c r="Y94" s="8" t="inlineStr">
        <is>
          <t>Shuffle</t>
        </is>
      </c>
      <c r="Z94" s="8" t="inlineStr">
        <is>
          <t>Comet</t>
        </is>
      </c>
      <c r="AA94" s="8" t="inlineStr">
        <is>
          <t>Red</t>
        </is>
      </c>
      <c r="AB94" s="8" t="inlineStr">
        <is>
          <t>Chuck</t>
        </is>
      </c>
      <c r="AC94" s="8" t="inlineStr">
        <is>
          <t>Bomb</t>
        </is>
      </c>
      <c r="AD94" s="8" t="inlineStr">
        <is>
          <t>UL Bomb</t>
        </is>
      </c>
      <c r="AE94" s="8" t="inlineStr">
        <is>
          <t>UL Chuck</t>
        </is>
      </c>
      <c r="AF94" s="8" t="inlineStr">
        <is>
          <t>UL Red</t>
        </is>
      </c>
      <c r="AG94" s="8" t="inlineStr">
        <is>
          <t>Unlimited Lives</t>
        </is>
      </c>
      <c r="AH94" s="8" t="inlineStr">
        <is>
          <t>SPT</t>
        </is>
      </c>
      <c r="AI94" s="8" t="inlineStr">
        <is>
          <t>SPTx2</t>
        </is>
      </c>
      <c r="AJ94" s="8" t="inlineStr">
        <is>
          <t>1-star Pack</t>
        </is>
      </c>
      <c r="AK94" s="8" t="inlineStr">
        <is>
          <t>2-star Pack</t>
        </is>
      </c>
      <c r="AL94" s="8" t="inlineStr">
        <is>
          <t>3-star Pack</t>
        </is>
      </c>
      <c r="AM94" s="8" t="inlineStr">
        <is>
          <t>4-star Pack</t>
        </is>
      </c>
      <c r="AN94" s="8" t="inlineStr">
        <is>
          <t>5-star Pack</t>
        </is>
      </c>
      <c r="AO94" s="8" t="inlineStr">
        <is>
          <t>6-star Pack</t>
        </is>
      </c>
    </row>
    <row r="95" ht="15.75" customHeight="1">
      <c r="B95" s="9" t="inlineStr">
        <is>
          <t>Ads</t>
        </is>
      </c>
      <c r="C95" s="10">
        <f>LET(payer, $C$3, segment, $B$93, ECOGAINS_SIM(payer, segment, sim_refresh!$A$1))</f>
        <v/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W95" s="11">
        <f>LET(payer, $C$3, segment, $B$93, ECOGAINS_DIFF(payer, segment, sim_refresh!$A$1))</f>
        <v/>
      </c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ht="15.75" customHeight="1">
      <c r="B96" s="12" t="inlineStr">
        <is>
          <t>Bomb Challenge</t>
        </is>
      </c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ht="15.75" customHeight="1">
      <c r="B97" s="12" t="inlineStr">
        <is>
          <t>Bomb's Ballet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</row>
    <row r="98" ht="15.75" customHeight="1">
      <c r="B98" s="12" t="inlineStr">
        <is>
          <t>Chuck Challenge</t>
        </is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ht="15.75" customHeight="1">
      <c r="B99" s="9" t="inlineStr">
        <is>
          <t>Core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  <row r="100" ht="15.75" customHeight="1">
      <c r="B100" s="14" t="inlineStr">
        <is>
          <t>Daily Gift</t>
        </is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</row>
    <row r="101" ht="15.75" customHeight="1">
      <c r="B101" s="14" t="inlineStr">
        <is>
          <t>Daily Night Sky Prize</t>
        </is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</row>
    <row r="102" ht="15.75" customHeight="1">
      <c r="B102" s="9" t="inlineStr">
        <is>
          <t>Flock Flurry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</row>
    <row r="103" ht="15.75" customHeight="1">
      <c r="B103" s="12" t="inlineStr">
        <is>
          <t>Hatchling Hideaway</t>
        </is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</row>
    <row r="104" ht="15.75" customHeight="1">
      <c r="B104" s="12" t="inlineStr">
        <is>
          <t>Jigsaw</t>
        </is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</row>
    <row r="105" ht="15.75" customHeight="1">
      <c r="B105" s="12" t="inlineStr">
        <is>
          <t>Kite Festival</t>
        </is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</row>
    <row r="106" ht="15.75" customHeight="1">
      <c r="B106" s="12" t="inlineStr">
        <is>
          <t>Level Race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</row>
    <row r="107" ht="15.75" customHeight="1">
      <c r="B107" s="9" t="inlineStr">
        <is>
          <t>Other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</row>
    <row r="108" ht="15.75" customHeight="1">
      <c r="B108" s="12" t="inlineStr">
        <is>
          <t>Photoshoot</t>
        </is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</row>
    <row r="109" ht="15.75" customHeight="1">
      <c r="B109" s="12" t="inlineStr">
        <is>
          <t>Red Challenge</t>
        </is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</row>
    <row r="110" ht="15.75" customHeight="1">
      <c r="B110" s="12" t="inlineStr">
        <is>
          <t>River Rush</t>
        </is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</row>
    <row r="111" ht="15.75" customHeight="1">
      <c r="B111" s="14" t="inlineStr">
        <is>
          <t>Saga</t>
        </is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</row>
    <row r="112" ht="15.75" customHeight="1">
      <c r="B112" s="12" t="inlineStr">
        <is>
          <t>Season Pass (Free)</t>
        </is>
      </c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</row>
    <row r="113" ht="15.75" customHeight="1">
      <c r="B113" s="12" t="inlineStr">
        <is>
          <t>Target Day</t>
        </is>
      </c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</row>
    <row r="114" ht="15.75" customHeight="1">
      <c r="B114" s="9" t="inlineStr">
        <is>
          <t>Team Event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</row>
    <row r="115" ht="15.75" customHeight="1">
      <c r="B115" s="9" t="inlineStr">
        <is>
          <t>Team Race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</row>
    <row r="116" ht="15.75" customHeight="1">
      <c r="B116" s="12" t="inlineStr">
        <is>
          <t>Flash Race</t>
        </is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</row>
    <row r="117" ht="15.75" customHeight="1">
      <c r="B117" s="9" t="inlineStr">
        <is>
          <t>FlowerCoop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</row>
    <row r="118" ht="15.75" customHeight="1">
      <c r="B118" s="12" t="inlineStr">
        <is>
          <t>Rainbow Maker</t>
        </is>
      </c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</row>
    <row r="119" ht="15.75" customHeight="1">
      <c r="B119" s="9" t="inlineStr">
        <is>
          <t>IAPs</t>
        </is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</row>
    <row r="122" ht="15.75" customHeight="1">
      <c r="B122" s="5" t="inlineStr">
        <is>
          <t>100+</t>
        </is>
      </c>
      <c r="C122" s="6" t="inlineStr">
        <is>
          <t>100+ Segment - Over Time Period</t>
        </is>
      </c>
      <c r="W122" s="6" t="inlineStr">
        <is>
          <t>100+ Segment - Over Time Period - Difference</t>
        </is>
      </c>
    </row>
    <row r="123" ht="15.75" customHeight="1">
      <c r="B123" s="7" t="inlineStr">
        <is>
          <t>Source</t>
        </is>
      </c>
      <c r="C123" s="8" t="inlineStr">
        <is>
          <t>HC</t>
        </is>
      </c>
      <c r="D123" s="8" t="inlineStr">
        <is>
          <t>Slingshot</t>
        </is>
      </c>
      <c r="E123" s="8" t="inlineStr">
        <is>
          <t>Shuffle</t>
        </is>
      </c>
      <c r="F123" s="8" t="inlineStr">
        <is>
          <t>Comet</t>
        </is>
      </c>
      <c r="G123" s="8" t="inlineStr">
        <is>
          <t>Red</t>
        </is>
      </c>
      <c r="H123" s="8" t="inlineStr">
        <is>
          <t>Chuck</t>
        </is>
      </c>
      <c r="I123" s="8" t="inlineStr">
        <is>
          <t>Bomb</t>
        </is>
      </c>
      <c r="J123" s="8" t="inlineStr">
        <is>
          <t>UL Bomb</t>
        </is>
      </c>
      <c r="K123" s="8" t="inlineStr">
        <is>
          <t>UL Chuck</t>
        </is>
      </c>
      <c r="L123" s="8" t="inlineStr">
        <is>
          <t>UL Red</t>
        </is>
      </c>
      <c r="M123" s="8" t="inlineStr">
        <is>
          <t>Unlimited Lives</t>
        </is>
      </c>
      <c r="N123" s="8" t="inlineStr">
        <is>
          <t>SPT</t>
        </is>
      </c>
      <c r="O123" s="8" t="inlineStr">
        <is>
          <t>SPTx2</t>
        </is>
      </c>
      <c r="P123" s="8" t="inlineStr">
        <is>
          <t>1-star Pack</t>
        </is>
      </c>
      <c r="Q123" s="8" t="inlineStr">
        <is>
          <t>2-star Pack</t>
        </is>
      </c>
      <c r="R123" s="8" t="inlineStr">
        <is>
          <t>3-star Pack</t>
        </is>
      </c>
      <c r="S123" s="8" t="inlineStr">
        <is>
          <t>4-star Pack</t>
        </is>
      </c>
      <c r="T123" s="8" t="inlineStr">
        <is>
          <t>5-star Pack</t>
        </is>
      </c>
      <c r="U123" s="8" t="inlineStr">
        <is>
          <t>6-star Pack</t>
        </is>
      </c>
      <c r="W123" s="8" t="inlineStr">
        <is>
          <t>HC</t>
        </is>
      </c>
      <c r="X123" s="8" t="inlineStr">
        <is>
          <t>Slingshot</t>
        </is>
      </c>
      <c r="Y123" s="8" t="inlineStr">
        <is>
          <t>Shuffle</t>
        </is>
      </c>
      <c r="Z123" s="8" t="inlineStr">
        <is>
          <t>Comet</t>
        </is>
      </c>
      <c r="AA123" s="8" t="inlineStr">
        <is>
          <t>Red</t>
        </is>
      </c>
      <c r="AB123" s="8" t="inlineStr">
        <is>
          <t>Chuck</t>
        </is>
      </c>
      <c r="AC123" s="8" t="inlineStr">
        <is>
          <t>Bomb</t>
        </is>
      </c>
      <c r="AD123" s="8" t="inlineStr">
        <is>
          <t>UL Bomb</t>
        </is>
      </c>
      <c r="AE123" s="8" t="inlineStr">
        <is>
          <t>UL Chuck</t>
        </is>
      </c>
      <c r="AF123" s="8" t="inlineStr">
        <is>
          <t>UL Red</t>
        </is>
      </c>
      <c r="AG123" s="8" t="inlineStr">
        <is>
          <t>Unlimited Lives</t>
        </is>
      </c>
      <c r="AH123" s="8" t="inlineStr">
        <is>
          <t>SPT</t>
        </is>
      </c>
      <c r="AI123" s="8" t="inlineStr">
        <is>
          <t>SPTx2</t>
        </is>
      </c>
      <c r="AJ123" s="8" t="inlineStr">
        <is>
          <t>1-star Pack</t>
        </is>
      </c>
      <c r="AK123" s="8" t="inlineStr">
        <is>
          <t>2-star Pack</t>
        </is>
      </c>
      <c r="AL123" s="8" t="inlineStr">
        <is>
          <t>3-star Pack</t>
        </is>
      </c>
      <c r="AM123" s="8" t="inlineStr">
        <is>
          <t>4-star Pack</t>
        </is>
      </c>
      <c r="AN123" s="8" t="inlineStr">
        <is>
          <t>5-star Pack</t>
        </is>
      </c>
      <c r="AO123" s="8" t="inlineStr">
        <is>
          <t>6-star Pack</t>
        </is>
      </c>
    </row>
    <row r="124" ht="15.75" customHeight="1">
      <c r="B124" s="9" t="inlineStr">
        <is>
          <t>Ads</t>
        </is>
      </c>
      <c r="C124" s="10">
        <f>LET(payer, $C$3, segment, $B$122, ECOGAINS_SIM(payer, segment, sim_refresh!$A$1))</f>
        <v/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W124" s="11">
        <f>LET(payer, $C$3, segment, $B$122, ECOGAINS_DIFF(payer, segment, sim_refresh!$A$1))</f>
        <v/>
      </c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</row>
    <row r="125" ht="15.75" customHeight="1">
      <c r="B125" s="12" t="inlineStr">
        <is>
          <t>Bomb Challenge</t>
        </is>
      </c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</row>
    <row r="126" ht="15.75" customHeight="1">
      <c r="B126" s="12" t="inlineStr">
        <is>
          <t>Bomb's Ballet</t>
        </is>
      </c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</row>
    <row r="127" ht="15.75" customHeight="1">
      <c r="B127" s="12" t="inlineStr">
        <is>
          <t>Chuck Challenge</t>
        </is>
      </c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</row>
    <row r="128" ht="15.75" customHeight="1">
      <c r="B128" s="9" t="inlineStr">
        <is>
          <t>Core</t>
        </is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</row>
    <row r="129" ht="15.75" customHeight="1">
      <c r="B129" s="14" t="inlineStr">
        <is>
          <t>Daily Gift</t>
        </is>
      </c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</row>
    <row r="130" ht="15.75" customHeight="1">
      <c r="B130" s="14" t="inlineStr">
        <is>
          <t>Daily Night Sky Prize</t>
        </is>
      </c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</row>
    <row r="131" ht="15.75" customHeight="1">
      <c r="B131" s="9" t="inlineStr">
        <is>
          <t>Flock Flurry</t>
        </is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</row>
    <row r="132" ht="15.75" customHeight="1">
      <c r="B132" s="12" t="inlineStr">
        <is>
          <t>Hatchling Hideaway</t>
        </is>
      </c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</row>
    <row r="133" ht="15.75" customHeight="1">
      <c r="B133" s="12" t="inlineStr">
        <is>
          <t>Jigsaw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</row>
    <row r="134" ht="15.75" customHeight="1">
      <c r="B134" s="12" t="inlineStr">
        <is>
          <t>Kite Festival</t>
        </is>
      </c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</row>
    <row r="135" ht="15.75" customHeight="1">
      <c r="B135" s="12" t="inlineStr">
        <is>
          <t>Level Race</t>
        </is>
      </c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</row>
    <row r="136" ht="15.75" customHeight="1">
      <c r="B136" s="9" t="inlineStr">
        <is>
          <t>Other</t>
        </is>
      </c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</row>
    <row r="137" ht="15.75" customHeight="1">
      <c r="B137" s="12" t="inlineStr">
        <is>
          <t>Photoshoot</t>
        </is>
      </c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</row>
    <row r="138" ht="15.75" customHeight="1">
      <c r="B138" s="12" t="inlineStr">
        <is>
          <t>Red Challenge</t>
        </is>
      </c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</row>
    <row r="139" ht="15.75" customHeight="1">
      <c r="B139" s="12" t="inlineStr">
        <is>
          <t>River Rush</t>
        </is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</row>
    <row r="140" ht="15.75" customHeight="1">
      <c r="B140" s="14" t="inlineStr">
        <is>
          <t>Saga</t>
        </is>
      </c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</row>
    <row r="141" ht="15.75" customHeight="1">
      <c r="B141" s="12" t="inlineStr">
        <is>
          <t>Season Pass (Free)</t>
        </is>
      </c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</row>
    <row r="142" ht="15.75" customHeight="1">
      <c r="B142" s="12" t="inlineStr">
        <is>
          <t>Target Day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</row>
    <row r="143" ht="15.75" customHeight="1">
      <c r="B143" s="9" t="inlineStr">
        <is>
          <t>Team Event</t>
        </is>
      </c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</row>
    <row r="144" ht="15.75" customHeight="1">
      <c r="B144" s="9" t="inlineStr">
        <is>
          <t>Team Race</t>
        </is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</row>
    <row r="145" ht="15.75" customHeight="1">
      <c r="B145" s="12" t="inlineStr">
        <is>
          <t>Flash Race</t>
        </is>
      </c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</row>
    <row r="146" ht="15.75" customHeight="1">
      <c r="B146" s="9" t="inlineStr">
        <is>
          <t>FlowerCoop</t>
        </is>
      </c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</row>
    <row r="147" ht="15.75" customHeight="1">
      <c r="B147" s="12" t="inlineStr">
        <is>
          <t>Rainbow Maker</t>
        </is>
      </c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</row>
    <row r="148" ht="15.75" customHeight="1">
      <c r="B148" s="9" t="inlineStr">
        <is>
          <t>IAPs</t>
        </is>
      </c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</row>
    <row r="151" ht="15.75" customHeight="1">
      <c r="B151" s="5" t="inlineStr">
        <is>
          <t>A. 0</t>
        </is>
      </c>
      <c r="C151" s="6" t="inlineStr">
        <is>
          <t>A. 0 Appendix - carried &amp; annotated (not simulated)</t>
        </is>
      </c>
      <c r="W151" s="6" t="inlineStr">
        <is>
          <t>A. 0 Appendix - Difference (config-only changes)</t>
        </is>
      </c>
    </row>
    <row r="152" ht="15.75" customHeight="1">
      <c r="B152" s="7" t="inlineStr">
        <is>
          <t>Source</t>
        </is>
      </c>
      <c r="C152" s="8" t="inlineStr">
        <is>
          <t>HC</t>
        </is>
      </c>
      <c r="D152" s="8" t="inlineStr">
        <is>
          <t>Slingshot</t>
        </is>
      </c>
      <c r="E152" s="8" t="inlineStr">
        <is>
          <t>Shuffle</t>
        </is>
      </c>
      <c r="F152" s="8" t="inlineStr">
        <is>
          <t>Comet</t>
        </is>
      </c>
      <c r="G152" s="8" t="inlineStr">
        <is>
          <t>Red</t>
        </is>
      </c>
      <c r="H152" s="8" t="inlineStr">
        <is>
          <t>Chuck</t>
        </is>
      </c>
      <c r="I152" s="8" t="inlineStr">
        <is>
          <t>Bomb</t>
        </is>
      </c>
      <c r="J152" s="8" t="inlineStr">
        <is>
          <t>UL Bomb</t>
        </is>
      </c>
      <c r="K152" s="8" t="inlineStr">
        <is>
          <t>UL Chuck</t>
        </is>
      </c>
      <c r="L152" s="8" t="inlineStr">
        <is>
          <t>UL Red</t>
        </is>
      </c>
      <c r="M152" s="8" t="inlineStr">
        <is>
          <t>Unlimited Lives</t>
        </is>
      </c>
      <c r="N152" s="8" t="inlineStr">
        <is>
          <t>SPT</t>
        </is>
      </c>
      <c r="O152" s="8" t="inlineStr">
        <is>
          <t>SPTx2</t>
        </is>
      </c>
      <c r="P152" s="8" t="inlineStr">
        <is>
          <t>1-star Pack</t>
        </is>
      </c>
      <c r="Q152" s="8" t="inlineStr">
        <is>
          <t>2-star Pack</t>
        </is>
      </c>
      <c r="R152" s="8" t="inlineStr">
        <is>
          <t>3-star Pack</t>
        </is>
      </c>
      <c r="S152" s="8" t="inlineStr">
        <is>
          <t>4-star Pack</t>
        </is>
      </c>
      <c r="T152" s="8" t="inlineStr">
        <is>
          <t>5-star Pack</t>
        </is>
      </c>
      <c r="U152" s="8" t="inlineStr">
        <is>
          <t>6-star Pack</t>
        </is>
      </c>
      <c r="W152" s="8" t="inlineStr">
        <is>
          <t>HC</t>
        </is>
      </c>
      <c r="X152" s="8" t="inlineStr">
        <is>
          <t>Slingshot</t>
        </is>
      </c>
      <c r="Y152" s="8" t="inlineStr">
        <is>
          <t>Shuffle</t>
        </is>
      </c>
      <c r="Z152" s="8" t="inlineStr">
        <is>
          <t>Comet</t>
        </is>
      </c>
      <c r="AA152" s="8" t="inlineStr">
        <is>
          <t>Red</t>
        </is>
      </c>
      <c r="AB152" s="8" t="inlineStr">
        <is>
          <t>Chuck</t>
        </is>
      </c>
      <c r="AC152" s="8" t="inlineStr">
        <is>
          <t>Bomb</t>
        </is>
      </c>
      <c r="AD152" s="8" t="inlineStr">
        <is>
          <t>UL Bomb</t>
        </is>
      </c>
      <c r="AE152" s="8" t="inlineStr">
        <is>
          <t>UL Chuck</t>
        </is>
      </c>
      <c r="AF152" s="8" t="inlineStr">
        <is>
          <t>UL Red</t>
        </is>
      </c>
      <c r="AG152" s="8" t="inlineStr">
        <is>
          <t>Unlimited Lives</t>
        </is>
      </c>
      <c r="AH152" s="8" t="inlineStr">
        <is>
          <t>SPT</t>
        </is>
      </c>
      <c r="AI152" s="8" t="inlineStr">
        <is>
          <t>SPTx2</t>
        </is>
      </c>
      <c r="AJ152" s="8" t="inlineStr">
        <is>
          <t>1-star Pack</t>
        </is>
      </c>
      <c r="AK152" s="8" t="inlineStr">
        <is>
          <t>2-star Pack</t>
        </is>
      </c>
      <c r="AL152" s="8" t="inlineStr">
        <is>
          <t>3-star Pack</t>
        </is>
      </c>
      <c r="AM152" s="8" t="inlineStr">
        <is>
          <t>4-star Pack</t>
        </is>
      </c>
      <c r="AN152" s="8" t="inlineStr">
        <is>
          <t>5-star Pack</t>
        </is>
      </c>
      <c r="AO152" s="8" t="inlineStr">
        <is>
          <t>6-star Pack</t>
        </is>
      </c>
    </row>
    <row r="153" ht="15.75" customHeight="1">
      <c r="B153" s="9" t="inlineStr">
        <is>
          <t>Ads</t>
        </is>
      </c>
      <c r="C153" s="10">
        <f>LET(payer, $C$3, segment, $B$151, ECOGAINS_SIM(payer, segment, sim_refresh!$A$1))</f>
        <v/>
      </c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W153" s="11">
        <f>LET(payer, $C$3, segment, $B$151, ECOGAINS_DIFF(payer, segment, sim_refresh!$A$1))</f>
        <v/>
      </c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</row>
    <row r="154" ht="15.75" customHeight="1">
      <c r="B154" s="9" t="inlineStr">
        <is>
          <t>Bomb Challenge</t>
        </is>
      </c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</row>
    <row r="155" ht="15.75" customHeight="1">
      <c r="B155" s="9" t="inlineStr">
        <is>
          <t>Bomb's Ballet</t>
        </is>
      </c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</row>
    <row r="156" ht="15.75" customHeight="1">
      <c r="B156" s="9" t="inlineStr">
        <is>
          <t>Chuck Challenge</t>
        </is>
      </c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</row>
    <row r="157" ht="15.75" customHeight="1">
      <c r="B157" s="9" t="inlineStr">
        <is>
          <t>Core</t>
        </is>
      </c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</row>
    <row r="158" ht="15.75" customHeight="1">
      <c r="B158" s="14" t="inlineStr">
        <is>
          <t>Daily Gift</t>
        </is>
      </c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</row>
    <row r="159" ht="15.75" customHeight="1">
      <c r="B159" s="9" t="inlineStr">
        <is>
          <t>Daily Night Sky Prize</t>
        </is>
      </c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</row>
    <row r="160" ht="15.75" customHeight="1">
      <c r="B160" s="9" t="inlineStr">
        <is>
          <t>Flock Flurry</t>
        </is>
      </c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</row>
    <row r="161" ht="15.75" customHeight="1">
      <c r="B161" s="9" t="inlineStr">
        <is>
          <t>Hatchling Hideaway</t>
        </is>
      </c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</row>
    <row r="162" ht="15.75" customHeight="1">
      <c r="B162" s="9" t="inlineStr">
        <is>
          <t>Jigsaw</t>
        </is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</row>
    <row r="163" ht="15.75" customHeight="1">
      <c r="B163" s="9" t="inlineStr">
        <is>
          <t>Kite Festival</t>
        </is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</row>
    <row r="164" ht="15.75" customHeight="1">
      <c r="B164" s="9" t="inlineStr">
        <is>
          <t>Level Race</t>
        </is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</row>
    <row r="165" ht="15.75" customHeight="1">
      <c r="B165" s="9" t="inlineStr">
        <is>
          <t>Other</t>
        </is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</row>
    <row r="166" ht="15.75" customHeight="1">
      <c r="B166" s="9" t="inlineStr">
        <is>
          <t>Photoshoot</t>
        </is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</row>
    <row r="167" ht="15.75" customHeight="1">
      <c r="B167" s="9" t="inlineStr">
        <is>
          <t>Red Challenge</t>
        </is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</row>
    <row r="168" ht="15.75" customHeight="1">
      <c r="B168" s="12" t="inlineStr">
        <is>
          <t>River Rush</t>
        </is>
      </c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</row>
    <row r="169" ht="15.75" customHeight="1">
      <c r="B169" s="14" t="inlineStr">
        <is>
          <t>Saga</t>
        </is>
      </c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</row>
    <row r="170" ht="15.75" customHeight="1">
      <c r="B170" s="9" t="inlineStr">
        <is>
          <t>Season Pass (Free)</t>
        </is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</row>
    <row r="171" ht="15.75" customHeight="1">
      <c r="B171" s="9" t="inlineStr">
        <is>
          <t>Target Day</t>
        </is>
      </c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</row>
    <row r="172" ht="15.75" customHeight="1">
      <c r="B172" s="9" t="inlineStr">
        <is>
          <t>Team Event</t>
        </is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</row>
    <row r="173" ht="15.75" customHeight="1">
      <c r="B173" s="9" t="inlineStr">
        <is>
          <t>Team Race</t>
        </is>
      </c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</row>
    <row r="174" ht="15.75" customHeight="1">
      <c r="B174" s="9" t="inlineStr">
        <is>
          <t>Flash Race</t>
        </is>
      </c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</row>
    <row r="175" ht="15.75" customHeight="1">
      <c r="B175" s="9" t="inlineStr">
        <is>
          <t>FlowerCoop</t>
        </is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</row>
    <row r="176" ht="15.75" customHeight="1">
      <c r="B176" s="9" t="inlineStr">
        <is>
          <t>Rainbow Maker</t>
        </is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</row>
    <row r="177" ht="15.75" customHeight="1">
      <c r="B177" s="9" t="inlineStr">
        <is>
          <t>IAPs</t>
        </is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</row>
    <row r="181">
      <c r="B181" s="15" t="inlineStr">
        <is>
          <t>LEGEND / ASSUMPTIONS (EcoGainsSim_v4)</t>
        </is>
      </c>
    </row>
    <row r="182">
      <c r="B182" s="4" t="inlineStr">
        <is>
          <t>Colors: blue = measured (carried) · gray = simulated · yellow label = always-on/daily sim · pink label = calendar-event sim · diff: red &lt; 0 &lt; green.</t>
        </is>
      </c>
    </row>
    <row r="183">
      <c r="B183" s="4" t="inlineStr">
        <is>
      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      </is>
      </c>
    </row>
    <row r="184">
      <c r="B184" s="4" t="inlineStr">
        <is>
          <t>Rainbow Maker &amp; Night Sky magnitudes are tail-sensitive: milestones past p90 are priced by linear extrapolation (conservative S=0-beyond-p90 bounds available in the offline harness).</t>
        </is>
      </c>
    </row>
    <row r="185">
      <c r="B185" s="4" t="inlineStr">
        <is>
          <t>Target Day: pure leaderboard (milestones pay 0 by design); D=1 rank-invariance assumed — same assumption as the bird challenges. Rainbow Maker's clipped 2-day instance scales the matchables axis x(2/4).</t>
        </is>
      </c>
    </row>
    <row r="186">
      <c r="B186" s="4" t="inlineStr">
        <is>
          <t>Photoshoot: single instance in both calendars, so T is placement-sensitive. River Rush: simulated 0 because cal_new has no instances (removal) — re-add instances and it re-prices.</t>
        </is>
      </c>
    </row>
    <row r="187">
      <c r="B187" s="4" t="inlineStr">
        <is>
          <t>A. 0 block: no behaviour data (these players barely play) — everything carried except config-only changes: Saga HC x ratio, Daily Gift HC x ratio (0-9 streaks as PROXY, slightly overstates), River Rush -&gt; 0. RM/NS not simulated for A. 0.</t>
        </is>
      </c>
    </row>
    <row r="188">
      <c r="B188" s="4" t="inlineStr">
        <is>
      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      </is>
      </c>
    </row>
    <row r="189">
      <c r="B189" s="4" t="inlineStr">
        <is>
          <t>Kite Festival is priced as a LEADERBOARD (since 2026-07-06): payouts are zero-sum per league of 60, so duration does not move them; D=1 and the row GROWS ~x1.3 via cadence.</t>
        </is>
      </c>
    </row>
    <row r="190">
      <c r="B190" s="4" t="inlineStr">
        <is>
      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      </is>
      </c>
    </row>
    <row r="191">
      <c r="B191" s="4" t="inlineStr">
        <is>
      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      </is>
      </c>
    </row>
    <row r="192">
      <c r="B192" s="4" t="inlineStr">
        <is>
      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      </is>
      </c>
    </row>
    <row r="193">
      <c r="B193" s="4" t="inlineStr">
        <is>
      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      </is>
      </c>
    </row>
    <row r="194">
      <c r="B194" s="4" t="inlineStr">
        <is>
      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      </is>
      </c>
    </row>
    <row r="195">
      <c r="B195" s="4" t="inlineStr">
        <is>
          <t>After editing a calendar: menu EcoGainsSim ▸ Precompute calendars (writes hidden cal_parsed; engine prefers it). Sanity canary: the Kite Festival row must GROW ~x1.3 vs measured. If every event row equals measured, the calendar read failed.</t>
        </is>
      </c>
    </row>
  </sheetData>
  <conditionalFormatting sqref="W8:AO3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W37:AO6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W66:AO90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W95:AO119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W124:AO14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W153:AO177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2026-08-03T10:42:05Z</dcterms:created>
  <dcterms:modified xsi:type="dcterms:W3CDTF">2026-08-03T10:42:06Z</dcterms:modified>
</cp:coreProperties>
</file>