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coGainsSim_Dail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"/>
    <numFmt numFmtId="165" formatCode="#,##0.00;[Red]-#,##0.0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sz val="10"/>
    </font>
    <font>
      <name val="Arial"/>
      <color rgb="FF808080"/>
      <sz val="9"/>
    </font>
    <font>
      <name val="Arial"/>
      <color rgb="FF808080"/>
      <sz val="8"/>
    </font>
    <font>
      <name val="Arial"/>
      <b val="1"/>
      <color rgb="FFFFFFFF"/>
      <sz val="11"/>
    </font>
    <font>
      <name val="Arial"/>
      <b val="1"/>
      <sz val="9"/>
    </font>
    <font>
      <name val="Arial"/>
      <sz val="10"/>
    </font>
    <font>
      <name val="Arial"/>
      <b val="1"/>
      <color rgb="FF000000"/>
      <sz val="9"/>
    </font>
  </fonts>
  <fills count="12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E75B6"/>
      </patternFill>
    </fill>
    <fill>
      <patternFill patternType="solid">
        <fgColor rgb="FFCFE2F3"/>
      </patternFill>
    </fill>
    <fill>
      <patternFill patternType="solid">
        <fgColor rgb="FF548235"/>
      </patternFill>
    </fill>
    <fill>
      <patternFill patternType="solid">
        <fgColor rgb="FFE2EFDA"/>
      </patternFill>
    </fill>
    <fill>
      <patternFill patternType="solid">
        <fgColor rgb="FF666666"/>
      </patternFill>
    </fill>
    <fill>
      <patternFill patternType="solid">
        <fgColor rgb="FFEFEFEF"/>
      </patternFill>
    </fill>
    <fill>
      <patternFill patternType="solid">
        <fgColor rgb="FF7030A0"/>
      </patternFill>
    </fill>
    <fill>
      <patternFill patternType="solid">
        <fgColor rgb="FFE9DEF3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/>
    </xf>
    <xf numFmtId="0" fontId="3" fillId="0" borderId="0" pivotButton="0" quotePrefix="0" xfId="0"/>
    <xf numFmtId="0" fontId="5" fillId="3" borderId="0" pivotButton="0" quotePrefix="0" xfId="0"/>
    <xf numFmtId="0" fontId="5" fillId="5" borderId="0" pivotButton="0" quotePrefix="0" xfId="0"/>
    <xf numFmtId="0" fontId="5" fillId="7" borderId="0" pivotButton="0" quotePrefix="0" xfId="0"/>
    <xf numFmtId="0" fontId="5" fillId="9" borderId="0" pivotButton="0" quotePrefix="0" xfId="0"/>
    <xf numFmtId="0" fontId="6" fillId="11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0" fontId="6" fillId="11" borderId="1" pivotButton="0" quotePrefix="0" xfId="0"/>
    <xf numFmtId="0" fontId="0" fillId="11" borderId="1" pivotButton="0" quotePrefix="0" xfId="0"/>
    <xf numFmtId="4" fontId="2" fillId="4" borderId="1" applyAlignment="1" pivotButton="0" quotePrefix="0" xfId="0">
      <alignment horizontal="center"/>
    </xf>
    <xf numFmtId="4" fontId="2" fillId="6" borderId="1" applyAlignment="1" pivotButton="0" quotePrefix="0" xfId="0">
      <alignment horizontal="center"/>
    </xf>
    <xf numFmtId="164" fontId="2" fillId="8" borderId="1" applyAlignment="1" pivotButton="0" quotePrefix="0" xfId="0">
      <alignment horizontal="center"/>
    </xf>
    <xf numFmtId="4" fontId="2" fillId="10" borderId="1" applyAlignment="1" pivotButton="0" quotePrefix="0" xfId="0">
      <alignment horizontal="center"/>
    </xf>
    <xf numFmtId="165" fontId="2" fillId="10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dxfs count="3">
    <dxf>
      <font>
        <color rgb="FF990000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D9EAD3"/>
        </patternFill>
      </fill>
    </dxf>
    <dxf>
      <fill>
        <patternFill patternType="solid">
          <fgColor rgb="FFFEF8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X51"/>
  <sheetViews>
    <sheetView showGridLines="0" workbookViewId="0">
      <selection activeCell="A1" sqref="A1"/>
    </sheetView>
  </sheetViews>
  <sheetFormatPr baseColWidth="8" defaultRowHeight="15"/>
  <cols>
    <col width="1.75" customWidth="1" min="1" max="1"/>
    <col width="5.5" customWidth="1" min="2" max="2"/>
    <col width="5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2.8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2.8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2.8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2.8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2.88" customWidth="1" min="73" max="73"/>
    <col width="8" customWidth="1" min="74" max="74"/>
    <col width="8" customWidth="1" min="75" max="75"/>
    <col width="8" customWidth="1" min="76" max="76"/>
    <col width="8" customWidth="1" min="77" max="77"/>
    <col width="8" customWidth="1" min="78" max="78"/>
    <col width="8" customWidth="1" min="79" max="79"/>
    <col width="8" customWidth="1" min="80" max="80"/>
    <col width="8" customWidth="1" min="81" max="81"/>
    <col width="8" customWidth="1" min="82" max="82"/>
    <col width="8" customWidth="1" min="83" max="83"/>
    <col width="8" customWidth="1" min="84" max="84"/>
    <col width="8" customWidth="1" min="85" max="85"/>
    <col width="8" customWidth="1" min="86" max="86"/>
    <col width="2.88" customWidth="1" min="87" max="87"/>
    <col width="8" customWidth="1" min="88" max="88"/>
    <col width="8" customWidth="1" min="89" max="89"/>
    <col width="8" customWidth="1" min="90" max="90"/>
    <col width="8" customWidth="1" min="91" max="91"/>
    <col width="8" customWidth="1" min="92" max="92"/>
    <col width="8" customWidth="1" min="93" max="93"/>
    <col width="8" customWidth="1" min="94" max="94"/>
    <col width="8" customWidth="1" min="95" max="95"/>
    <col width="8" customWidth="1" min="96" max="96"/>
    <col width="8" customWidth="1" min="97" max="97"/>
    <col width="8" customWidth="1" min="98" max="98"/>
    <col width="8" customWidth="1" min="99" max="99"/>
    <col width="8" customWidth="1" min="100" max="100"/>
    <col width="2.88" customWidth="1" min="101" max="101"/>
    <col width="21" customWidth="1" min="102" max="102"/>
  </cols>
  <sheetData>
    <row r="1">
      <c r="B1" s="1" t="inlineStr">
        <is>
          <t>DAILY RESOURCE GAINS + NET — 33-day calendar, per earner (day 1 = Wednesday)</t>
        </is>
      </c>
      <c r="CX1" s="2" t="inlineStr">
        <is>
          <t>source dropdown list</t>
        </is>
      </c>
    </row>
    <row r="2">
      <c r="CX2" s="2" t="inlineStr">
        <is>
          <t>ALL</t>
        </is>
      </c>
    </row>
    <row r="3">
      <c r="B3" s="3" t="inlineStr">
        <is>
          <t>Payer</t>
        </is>
      </c>
      <c r="C3" s="4" t="inlineStr">
        <is>
          <t>NONPAYER</t>
        </is>
      </c>
      <c r="D3" s="5" t="inlineStr">
        <is>
          <t>◀ filters (dropdowns) — the whole table re-simulates on change</t>
        </is>
      </c>
      <c r="CX3" s="2" t="inlineStr">
        <is>
          <t>Ads</t>
        </is>
      </c>
    </row>
    <row r="4">
      <c r="B4" s="3" t="inlineStr">
        <is>
          <t>Segment</t>
        </is>
      </c>
      <c r="C4" s="4" t="inlineStr">
        <is>
          <t>0-9</t>
        </is>
      </c>
      <c r="CX4" s="2" t="inlineStr">
        <is>
          <t>Bomb Challenge</t>
        </is>
      </c>
    </row>
    <row r="5">
      <c r="B5" s="3" t="inlineStr">
        <is>
          <t>Source</t>
        </is>
      </c>
      <c r="C5" s="4" t="inlineStr">
        <is>
          <t>ALL</t>
        </is>
      </c>
      <c r="CX5" s="2" t="inlineStr">
        <is>
          <t>Bomb's Ballet</t>
        </is>
      </c>
    </row>
    <row r="6">
      <c r="CX6" s="2" t="inlineStr">
        <is>
          <t>Chuck Challenge</t>
        </is>
      </c>
    </row>
    <row r="7">
      <c r="D7" s="6" t="inlineStr">
        <is>
          <t>◄ CURRENT (cal_curr, measured) ►</t>
        </is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◄ NEW (cal_new, simulated) ►</t>
        </is>
      </c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F7" s="8" t="inlineStr">
        <is>
          <t>Δ  NEW − CURRENT (same day)</t>
        </is>
      </c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T7" s="9" t="inlineStr">
        <is>
          <t>◄ ACTUAL SPEND / earner (data_econ_daily) ►</t>
        </is>
      </c>
      <c r="AU7" s="9" t="n"/>
      <c r="AV7" s="9" t="n"/>
      <c r="AW7" s="9" t="n"/>
      <c r="AX7" s="9" t="n"/>
      <c r="AY7" s="9" t="n"/>
      <c r="AZ7" s="9" t="n"/>
      <c r="BA7" s="9" t="n"/>
      <c r="BB7" s="9" t="n"/>
      <c r="BC7" s="9" t="n"/>
      <c r="BD7" s="9" t="n"/>
      <c r="BE7" s="9" t="n"/>
      <c r="BF7" s="9" t="n"/>
      <c r="BH7" s="9" t="inlineStr">
        <is>
          <t>◄ CURRENT NET / earner (gain − spend) ►</t>
        </is>
      </c>
      <c r="BI7" s="9" t="n"/>
      <c r="BJ7" s="9" t="n"/>
      <c r="BK7" s="9" t="n"/>
      <c r="BL7" s="9" t="n"/>
      <c r="BM7" s="9" t="n"/>
      <c r="BN7" s="9" t="n"/>
      <c r="BO7" s="9" t="n"/>
      <c r="BP7" s="9" t="n"/>
      <c r="BQ7" s="9" t="n"/>
      <c r="BR7" s="9" t="n"/>
      <c r="BS7" s="9" t="n"/>
      <c r="BT7" s="9" t="n"/>
      <c r="BV7" s="9" t="inlineStr">
        <is>
          <t>◄ NEW NET / earner (gain + sim Δ − spend) ►</t>
        </is>
      </c>
      <c r="BW7" s="9" t="n"/>
      <c r="BX7" s="9" t="n"/>
      <c r="BY7" s="9" t="n"/>
      <c r="BZ7" s="9" t="n"/>
      <c r="CA7" s="9" t="n"/>
      <c r="CB7" s="9" t="n"/>
      <c r="CC7" s="9" t="n"/>
      <c r="CD7" s="9" t="n"/>
      <c r="CE7" s="9" t="n"/>
      <c r="CF7" s="9" t="n"/>
      <c r="CG7" s="9" t="n"/>
      <c r="CH7" s="9" t="n"/>
      <c r="CJ7" s="8" t="inlineStr">
        <is>
          <t>Δ  NET (new − cur; == sim Δ)</t>
        </is>
      </c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X7" s="2" t="inlineStr">
        <is>
          <t>Core</t>
        </is>
      </c>
    </row>
    <row r="8">
      <c r="B8" s="10" t="inlineStr">
        <is>
          <t>Day</t>
        </is>
      </c>
      <c r="C8" s="10" t="inlineStr">
        <is>
          <t>DoW</t>
        </is>
      </c>
      <c r="D8" s="11" t="inlineStr">
        <is>
          <t>HC</t>
        </is>
      </c>
      <c r="E8" s="11" t="inlineStr">
        <is>
          <t>Slingshot</t>
        </is>
      </c>
      <c r="F8" s="11" t="inlineStr">
        <is>
          <t>Shuffle</t>
        </is>
      </c>
      <c r="G8" s="11" t="inlineStr">
        <is>
          <t>Comet</t>
        </is>
      </c>
      <c r="H8" s="11" t="inlineStr">
        <is>
          <t>Red</t>
        </is>
      </c>
      <c r="I8" s="11" t="inlineStr">
        <is>
          <t>Chuck</t>
        </is>
      </c>
      <c r="J8" s="11" t="inlineStr">
        <is>
          <t>Bomb</t>
        </is>
      </c>
      <c r="K8" s="11" t="inlineStr">
        <is>
          <t>UL Bomb</t>
        </is>
      </c>
      <c r="L8" s="11" t="inlineStr">
        <is>
          <t>UL Chuck</t>
        </is>
      </c>
      <c r="M8" s="11" t="inlineStr">
        <is>
          <t>UL Red</t>
        </is>
      </c>
      <c r="N8" s="11" t="inlineStr">
        <is>
          <t>Unlimited Lives</t>
        </is>
      </c>
      <c r="O8" s="11" t="inlineStr">
        <is>
          <t>SPT</t>
        </is>
      </c>
      <c r="P8" s="11" t="inlineStr">
        <is>
          <t>SPTx2</t>
        </is>
      </c>
      <c r="R8" s="12" t="inlineStr">
        <is>
          <t>HC</t>
        </is>
      </c>
      <c r="S8" s="12" t="inlineStr">
        <is>
          <t>Slingshot</t>
        </is>
      </c>
      <c r="T8" s="12" t="inlineStr">
        <is>
          <t>Shuffle</t>
        </is>
      </c>
      <c r="U8" s="12" t="inlineStr">
        <is>
          <t>Comet</t>
        </is>
      </c>
      <c r="V8" s="12" t="inlineStr">
        <is>
          <t>Red</t>
        </is>
      </c>
      <c r="W8" s="12" t="inlineStr">
        <is>
          <t>Chuck</t>
        </is>
      </c>
      <c r="X8" s="12" t="inlineStr">
        <is>
          <t>Bomb</t>
        </is>
      </c>
      <c r="Y8" s="12" t="inlineStr">
        <is>
          <t>UL Bomb</t>
        </is>
      </c>
      <c r="Z8" s="12" t="inlineStr">
        <is>
          <t>UL Chuck</t>
        </is>
      </c>
      <c r="AA8" s="12" t="inlineStr">
        <is>
          <t>UL Red</t>
        </is>
      </c>
      <c r="AB8" s="12" t="inlineStr">
        <is>
          <t>Unlimited Lives</t>
        </is>
      </c>
      <c r="AC8" s="12" t="inlineStr">
        <is>
          <t>SPT</t>
        </is>
      </c>
      <c r="AD8" s="12" t="inlineStr">
        <is>
          <t>SPTx2</t>
        </is>
      </c>
      <c r="AF8" s="13" t="inlineStr">
        <is>
          <t>HC</t>
        </is>
      </c>
      <c r="AG8" s="13" t="inlineStr">
        <is>
          <t>Slingshot</t>
        </is>
      </c>
      <c r="AH8" s="13" t="inlineStr">
        <is>
          <t>Shuffle</t>
        </is>
      </c>
      <c r="AI8" s="13" t="inlineStr">
        <is>
          <t>Comet</t>
        </is>
      </c>
      <c r="AJ8" s="13" t="inlineStr">
        <is>
          <t>Red</t>
        </is>
      </c>
      <c r="AK8" s="13" t="inlineStr">
        <is>
          <t>Chuck</t>
        </is>
      </c>
      <c r="AL8" s="13" t="inlineStr">
        <is>
          <t>Bomb</t>
        </is>
      </c>
      <c r="AM8" s="13" t="inlineStr">
        <is>
          <t>UL Bomb</t>
        </is>
      </c>
      <c r="AN8" s="13" t="inlineStr">
        <is>
          <t>UL Chuck</t>
        </is>
      </c>
      <c r="AO8" s="13" t="inlineStr">
        <is>
          <t>UL Red</t>
        </is>
      </c>
      <c r="AP8" s="13" t="inlineStr">
        <is>
          <t>Unlimited Lives</t>
        </is>
      </c>
      <c r="AQ8" s="13" t="inlineStr">
        <is>
          <t>SPT</t>
        </is>
      </c>
      <c r="AR8" s="13" t="inlineStr">
        <is>
          <t>SPTx2</t>
        </is>
      </c>
      <c r="AT8" s="14" t="inlineStr">
        <is>
          <t>HC</t>
        </is>
      </c>
      <c r="AU8" s="14" t="inlineStr">
        <is>
          <t>Slingshot</t>
        </is>
      </c>
      <c r="AV8" s="14" t="inlineStr">
        <is>
          <t>Shuffle</t>
        </is>
      </c>
      <c r="AW8" s="14" t="inlineStr">
        <is>
          <t>Comet</t>
        </is>
      </c>
      <c r="AX8" s="14" t="inlineStr">
        <is>
          <t>Red</t>
        </is>
      </c>
      <c r="AY8" s="14" t="inlineStr">
        <is>
          <t>Chuck</t>
        </is>
      </c>
      <c r="AZ8" s="14" t="inlineStr">
        <is>
          <t>Bomb</t>
        </is>
      </c>
      <c r="BA8" s="14" t="inlineStr">
        <is>
          <t>UL Bomb</t>
        </is>
      </c>
      <c r="BB8" s="14" t="inlineStr">
        <is>
          <t>UL Chuck</t>
        </is>
      </c>
      <c r="BC8" s="14" t="inlineStr">
        <is>
          <t>UL Red</t>
        </is>
      </c>
      <c r="BD8" s="14" t="inlineStr">
        <is>
          <t>Unlimited Lives</t>
        </is>
      </c>
      <c r="BE8" s="14" t="inlineStr">
        <is>
          <t>SPT</t>
        </is>
      </c>
      <c r="BF8" s="14" t="inlineStr">
        <is>
          <t>SPTx2</t>
        </is>
      </c>
      <c r="BH8" s="14" t="inlineStr">
        <is>
          <t>HC</t>
        </is>
      </c>
      <c r="BI8" s="14" t="inlineStr">
        <is>
          <t>Slingshot</t>
        </is>
      </c>
      <c r="BJ8" s="14" t="inlineStr">
        <is>
          <t>Shuffle</t>
        </is>
      </c>
      <c r="BK8" s="14" t="inlineStr">
        <is>
          <t>Comet</t>
        </is>
      </c>
      <c r="BL8" s="14" t="inlineStr">
        <is>
          <t>Red</t>
        </is>
      </c>
      <c r="BM8" s="14" t="inlineStr">
        <is>
          <t>Chuck</t>
        </is>
      </c>
      <c r="BN8" s="14" t="inlineStr">
        <is>
          <t>Bomb</t>
        </is>
      </c>
      <c r="BO8" s="14" t="inlineStr">
        <is>
          <t>UL Bomb</t>
        </is>
      </c>
      <c r="BP8" s="14" t="inlineStr">
        <is>
          <t>UL Chuck</t>
        </is>
      </c>
      <c r="BQ8" s="14" t="inlineStr">
        <is>
          <t>UL Red</t>
        </is>
      </c>
      <c r="BR8" s="14" t="inlineStr">
        <is>
          <t>Unlimited Lives</t>
        </is>
      </c>
      <c r="BS8" s="14" t="inlineStr">
        <is>
          <t>SPT</t>
        </is>
      </c>
      <c r="BT8" s="14" t="inlineStr">
        <is>
          <t>SPTx2</t>
        </is>
      </c>
      <c r="BV8" s="14" t="inlineStr">
        <is>
          <t>HC</t>
        </is>
      </c>
      <c r="BW8" s="14" t="inlineStr">
        <is>
          <t>Slingshot</t>
        </is>
      </c>
      <c r="BX8" s="14" t="inlineStr">
        <is>
          <t>Shuffle</t>
        </is>
      </c>
      <c r="BY8" s="14" t="inlineStr">
        <is>
          <t>Comet</t>
        </is>
      </c>
      <c r="BZ8" s="14" t="inlineStr">
        <is>
          <t>Red</t>
        </is>
      </c>
      <c r="CA8" s="14" t="inlineStr">
        <is>
          <t>Chuck</t>
        </is>
      </c>
      <c r="CB8" s="14" t="inlineStr">
        <is>
          <t>Bomb</t>
        </is>
      </c>
      <c r="CC8" s="14" t="inlineStr">
        <is>
          <t>UL Bomb</t>
        </is>
      </c>
      <c r="CD8" s="14" t="inlineStr">
        <is>
          <t>UL Chuck</t>
        </is>
      </c>
      <c r="CE8" s="14" t="inlineStr">
        <is>
          <t>UL Red</t>
        </is>
      </c>
      <c r="CF8" s="14" t="inlineStr">
        <is>
          <t>Unlimited Lives</t>
        </is>
      </c>
      <c r="CG8" s="14" t="inlineStr">
        <is>
          <t>SPT</t>
        </is>
      </c>
      <c r="CH8" s="14" t="inlineStr">
        <is>
          <t>SPTx2</t>
        </is>
      </c>
      <c r="CJ8" s="13" t="inlineStr">
        <is>
          <t>HC</t>
        </is>
      </c>
      <c r="CK8" s="13" t="inlineStr">
        <is>
          <t>Slingshot</t>
        </is>
      </c>
      <c r="CL8" s="13" t="inlineStr">
        <is>
          <t>Shuffle</t>
        </is>
      </c>
      <c r="CM8" s="13" t="inlineStr">
        <is>
          <t>Comet</t>
        </is>
      </c>
      <c r="CN8" s="13" t="inlineStr">
        <is>
          <t>Red</t>
        </is>
      </c>
      <c r="CO8" s="13" t="inlineStr">
        <is>
          <t>Chuck</t>
        </is>
      </c>
      <c r="CP8" s="13" t="inlineStr">
        <is>
          <t>Bomb</t>
        </is>
      </c>
      <c r="CQ8" s="13" t="inlineStr">
        <is>
          <t>UL Bomb</t>
        </is>
      </c>
      <c r="CR8" s="13" t="inlineStr">
        <is>
          <t>UL Chuck</t>
        </is>
      </c>
      <c r="CS8" s="13" t="inlineStr">
        <is>
          <t>UL Red</t>
        </is>
      </c>
      <c r="CT8" s="13" t="inlineStr">
        <is>
          <t>Unlimited Lives</t>
        </is>
      </c>
      <c r="CU8" s="13" t="inlineStr">
        <is>
          <t>SPT</t>
        </is>
      </c>
      <c r="CV8" s="13" t="inlineStr">
        <is>
          <t>SPTx2</t>
        </is>
      </c>
      <c r="CX8" s="2" t="inlineStr">
        <is>
          <t>Daily Gift</t>
        </is>
      </c>
    </row>
    <row r="9">
      <c r="B9" s="15" t="n">
        <v>1</v>
      </c>
      <c r="C9" s="15" t="inlineStr">
        <is>
          <t>Wed</t>
        </is>
      </c>
      <c r="D9" s="16">
        <f>LET(payer,$C$3, segment,$C$4, source,$C$5, ECOGAINS_DAILY(payer, segment, source, "CURRENT", sim_refresh!$A$1))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R9" s="16">
        <f>LET(payer,$C$3, segment,$C$4, source,$C$5, ECOGAINS_DAILY(payer, segment, source, "NEW", sim_refresh!$A$1))</f>
        <v/>
      </c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F9" s="17">
        <f>LET(payer,$C$3, segment,$C$4, source,$C$5, ECOGAINS_DAILY(payer, segment, source, "DIFF", sim_refresh!$A$1))</f>
        <v/>
      </c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T9" s="16">
        <f>LET(payer,$C$3, segment,$C$4, source,$C$5, ECOGAINS_DAILY(payer, segment, source, "SPEND", sim_refresh!$A$1))</f>
        <v/>
      </c>
      <c r="AU9" s="16" t="n"/>
      <c r="AV9" s="16" t="n"/>
      <c r="AW9" s="16" t="n"/>
      <c r="AX9" s="16" t="n"/>
      <c r="AY9" s="16" t="n"/>
      <c r="AZ9" s="16" t="n"/>
      <c r="BA9" s="16" t="n"/>
      <c r="BB9" s="16" t="n"/>
      <c r="BC9" s="16" t="n"/>
      <c r="BD9" s="16" t="n"/>
      <c r="BE9" s="16" t="n"/>
      <c r="BF9" s="16" t="n"/>
      <c r="BH9" s="18">
        <f>LET(payer,$C$3, segment,$C$4, source,$C$5, ECOGAINS_DAILY(payer, segment, source, "CURNET", sim_refresh!$A$1))</f>
        <v/>
      </c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V9" s="18">
        <f>LET(payer,$C$3, segment,$C$4, source,$C$5, ECOGAINS_DAILY(payer, segment, source, "NEWNET", sim_refresh!$A$1))</f>
        <v/>
      </c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J9" s="17">
        <f>IFERROR(BV9-BH9,"")</f>
        <v/>
      </c>
      <c r="CK9" s="17">
        <f>IFERROR(BW9-BI9,"")</f>
        <v/>
      </c>
      <c r="CL9" s="17">
        <f>IFERROR(BX9-BJ9,"")</f>
        <v/>
      </c>
      <c r="CM9" s="17">
        <f>IFERROR(BY9-BK9,"")</f>
        <v/>
      </c>
      <c r="CN9" s="17">
        <f>IFERROR(BZ9-BL9,"")</f>
        <v/>
      </c>
      <c r="CO9" s="17">
        <f>IFERROR(CA9-BM9,"")</f>
        <v/>
      </c>
      <c r="CP9" s="17">
        <f>IFERROR(CB9-BN9,"")</f>
        <v/>
      </c>
      <c r="CQ9" s="17">
        <f>IFERROR(CC9-BO9,"")</f>
        <v/>
      </c>
      <c r="CR9" s="17">
        <f>IFERROR(CD9-BP9,"")</f>
        <v/>
      </c>
      <c r="CS9" s="17">
        <f>IFERROR(CE9-BQ9,"")</f>
        <v/>
      </c>
      <c r="CT9" s="17">
        <f>IFERROR(CF9-BR9,"")</f>
        <v/>
      </c>
      <c r="CU9" s="17">
        <f>IFERROR(CG9-BS9,"")</f>
        <v/>
      </c>
      <c r="CV9" s="17">
        <f>IFERROR(CH9-BT9,"")</f>
        <v/>
      </c>
      <c r="CX9" s="2" t="inlineStr">
        <is>
          <t>Daily Night Sky Prize</t>
        </is>
      </c>
    </row>
    <row r="10">
      <c r="B10" s="15" t="n">
        <v>2</v>
      </c>
      <c r="C10" s="15" t="inlineStr">
        <is>
          <t>Thu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T10" s="16" t="n"/>
      <c r="AU10" s="16" t="n"/>
      <c r="AV10" s="16" t="n"/>
      <c r="AW10" s="16" t="n"/>
      <c r="AX10" s="16" t="n"/>
      <c r="AY10" s="16" t="n"/>
      <c r="AZ10" s="16" t="n"/>
      <c r="BA10" s="16" t="n"/>
      <c r="BB10" s="16" t="n"/>
      <c r="BC10" s="16" t="n"/>
      <c r="BD10" s="16" t="n"/>
      <c r="BE10" s="16" t="n"/>
      <c r="BF10" s="16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J10" s="17">
        <f>IFERROR(BV10-BH10,"")</f>
        <v/>
      </c>
      <c r="CK10" s="17">
        <f>IFERROR(BW10-BI10,"")</f>
        <v/>
      </c>
      <c r="CL10" s="17">
        <f>IFERROR(BX10-BJ10,"")</f>
        <v/>
      </c>
      <c r="CM10" s="17">
        <f>IFERROR(BY10-BK10,"")</f>
        <v/>
      </c>
      <c r="CN10" s="17">
        <f>IFERROR(BZ10-BL10,"")</f>
        <v/>
      </c>
      <c r="CO10" s="17">
        <f>IFERROR(CA10-BM10,"")</f>
        <v/>
      </c>
      <c r="CP10" s="17">
        <f>IFERROR(CB10-BN10,"")</f>
        <v/>
      </c>
      <c r="CQ10" s="17">
        <f>IFERROR(CC10-BO10,"")</f>
        <v/>
      </c>
      <c r="CR10" s="17">
        <f>IFERROR(CD10-BP10,"")</f>
        <v/>
      </c>
      <c r="CS10" s="17">
        <f>IFERROR(CE10-BQ10,"")</f>
        <v/>
      </c>
      <c r="CT10" s="17">
        <f>IFERROR(CF10-BR10,"")</f>
        <v/>
      </c>
      <c r="CU10" s="17">
        <f>IFERROR(CG10-BS10,"")</f>
        <v/>
      </c>
      <c r="CV10" s="17">
        <f>IFERROR(CH10-BT10,"")</f>
        <v/>
      </c>
      <c r="CX10" s="2" t="inlineStr">
        <is>
          <t>Flock Flurry</t>
        </is>
      </c>
    </row>
    <row r="11">
      <c r="B11" s="15" t="n">
        <v>3</v>
      </c>
      <c r="C11" s="15" t="inlineStr">
        <is>
          <t>Fri</t>
        </is>
      </c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J11" s="17">
        <f>IFERROR(BV11-BH11,"")</f>
        <v/>
      </c>
      <c r="CK11" s="17">
        <f>IFERROR(BW11-BI11,"")</f>
        <v/>
      </c>
      <c r="CL11" s="17">
        <f>IFERROR(BX11-BJ11,"")</f>
        <v/>
      </c>
      <c r="CM11" s="17">
        <f>IFERROR(BY11-BK11,"")</f>
        <v/>
      </c>
      <c r="CN11" s="17">
        <f>IFERROR(BZ11-BL11,"")</f>
        <v/>
      </c>
      <c r="CO11" s="17">
        <f>IFERROR(CA11-BM11,"")</f>
        <v/>
      </c>
      <c r="CP11" s="17">
        <f>IFERROR(CB11-BN11,"")</f>
        <v/>
      </c>
      <c r="CQ11" s="17">
        <f>IFERROR(CC11-BO11,"")</f>
        <v/>
      </c>
      <c r="CR11" s="17">
        <f>IFERROR(CD11-BP11,"")</f>
        <v/>
      </c>
      <c r="CS11" s="17">
        <f>IFERROR(CE11-BQ11,"")</f>
        <v/>
      </c>
      <c r="CT11" s="17">
        <f>IFERROR(CF11-BR11,"")</f>
        <v/>
      </c>
      <c r="CU11" s="17">
        <f>IFERROR(CG11-BS11,"")</f>
        <v/>
      </c>
      <c r="CV11" s="17">
        <f>IFERROR(CH11-BT11,"")</f>
        <v/>
      </c>
      <c r="CX11" s="2" t="inlineStr">
        <is>
          <t>Hatchling Hideaway</t>
        </is>
      </c>
    </row>
    <row r="12">
      <c r="B12" s="15" t="n">
        <v>4</v>
      </c>
      <c r="C12" s="15" t="inlineStr">
        <is>
          <t>Sat</t>
        </is>
      </c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T12" s="16" t="n"/>
      <c r="AU12" s="16" t="n"/>
      <c r="AV12" s="16" t="n"/>
      <c r="AW12" s="16" t="n"/>
      <c r="AX12" s="16" t="n"/>
      <c r="AY12" s="16" t="n"/>
      <c r="AZ12" s="16" t="n"/>
      <c r="BA12" s="16" t="n"/>
      <c r="BB12" s="16" t="n"/>
      <c r="BC12" s="16" t="n"/>
      <c r="BD12" s="16" t="n"/>
      <c r="BE12" s="16" t="n"/>
      <c r="BF12" s="16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J12" s="17">
        <f>IFERROR(BV12-BH12,"")</f>
        <v/>
      </c>
      <c r="CK12" s="17">
        <f>IFERROR(BW12-BI12,"")</f>
        <v/>
      </c>
      <c r="CL12" s="17">
        <f>IFERROR(BX12-BJ12,"")</f>
        <v/>
      </c>
      <c r="CM12" s="17">
        <f>IFERROR(BY12-BK12,"")</f>
        <v/>
      </c>
      <c r="CN12" s="17">
        <f>IFERROR(BZ12-BL12,"")</f>
        <v/>
      </c>
      <c r="CO12" s="17">
        <f>IFERROR(CA12-BM12,"")</f>
        <v/>
      </c>
      <c r="CP12" s="17">
        <f>IFERROR(CB12-BN12,"")</f>
        <v/>
      </c>
      <c r="CQ12" s="17">
        <f>IFERROR(CC12-BO12,"")</f>
        <v/>
      </c>
      <c r="CR12" s="17">
        <f>IFERROR(CD12-BP12,"")</f>
        <v/>
      </c>
      <c r="CS12" s="17">
        <f>IFERROR(CE12-BQ12,"")</f>
        <v/>
      </c>
      <c r="CT12" s="17">
        <f>IFERROR(CF12-BR12,"")</f>
        <v/>
      </c>
      <c r="CU12" s="17">
        <f>IFERROR(CG12-BS12,"")</f>
        <v/>
      </c>
      <c r="CV12" s="17">
        <f>IFERROR(CH12-BT12,"")</f>
        <v/>
      </c>
      <c r="CX12" s="2" t="inlineStr">
        <is>
          <t>Jigsaw</t>
        </is>
      </c>
    </row>
    <row r="13">
      <c r="B13" s="15" t="n">
        <v>5</v>
      </c>
      <c r="C13" s="15" t="inlineStr">
        <is>
          <t>Sun</t>
        </is>
      </c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T13" s="16" t="n"/>
      <c r="AU13" s="16" t="n"/>
      <c r="AV13" s="16" t="n"/>
      <c r="AW13" s="16" t="n"/>
      <c r="AX13" s="16" t="n"/>
      <c r="AY13" s="16" t="n"/>
      <c r="AZ13" s="16" t="n"/>
      <c r="BA13" s="16" t="n"/>
      <c r="BB13" s="16" t="n"/>
      <c r="BC13" s="16" t="n"/>
      <c r="BD13" s="16" t="n"/>
      <c r="BE13" s="16" t="n"/>
      <c r="BF13" s="16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J13" s="17">
        <f>IFERROR(BV13-BH13,"")</f>
        <v/>
      </c>
      <c r="CK13" s="17">
        <f>IFERROR(BW13-BI13,"")</f>
        <v/>
      </c>
      <c r="CL13" s="17">
        <f>IFERROR(BX13-BJ13,"")</f>
        <v/>
      </c>
      <c r="CM13" s="17">
        <f>IFERROR(BY13-BK13,"")</f>
        <v/>
      </c>
      <c r="CN13" s="17">
        <f>IFERROR(BZ13-BL13,"")</f>
        <v/>
      </c>
      <c r="CO13" s="17">
        <f>IFERROR(CA13-BM13,"")</f>
        <v/>
      </c>
      <c r="CP13" s="17">
        <f>IFERROR(CB13-BN13,"")</f>
        <v/>
      </c>
      <c r="CQ13" s="17">
        <f>IFERROR(CC13-BO13,"")</f>
        <v/>
      </c>
      <c r="CR13" s="17">
        <f>IFERROR(CD13-BP13,"")</f>
        <v/>
      </c>
      <c r="CS13" s="17">
        <f>IFERROR(CE13-BQ13,"")</f>
        <v/>
      </c>
      <c r="CT13" s="17">
        <f>IFERROR(CF13-BR13,"")</f>
        <v/>
      </c>
      <c r="CU13" s="17">
        <f>IFERROR(CG13-BS13,"")</f>
        <v/>
      </c>
      <c r="CV13" s="17">
        <f>IFERROR(CH13-BT13,"")</f>
        <v/>
      </c>
      <c r="CX13" s="2" t="inlineStr">
        <is>
          <t>Kite Festival</t>
        </is>
      </c>
    </row>
    <row r="14">
      <c r="B14" s="15" t="n">
        <v>6</v>
      </c>
      <c r="C14" s="15" t="inlineStr">
        <is>
          <t>Mon</t>
        </is>
      </c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T14" s="16" t="n"/>
      <c r="AU14" s="16" t="n"/>
      <c r="AV14" s="16" t="n"/>
      <c r="AW14" s="16" t="n"/>
      <c r="AX14" s="16" t="n"/>
      <c r="AY14" s="16" t="n"/>
      <c r="AZ14" s="16" t="n"/>
      <c r="BA14" s="16" t="n"/>
      <c r="BB14" s="16" t="n"/>
      <c r="BC14" s="16" t="n"/>
      <c r="BD14" s="16" t="n"/>
      <c r="BE14" s="16" t="n"/>
      <c r="BF14" s="16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J14" s="17">
        <f>IFERROR(BV14-BH14,"")</f>
        <v/>
      </c>
      <c r="CK14" s="17">
        <f>IFERROR(BW14-BI14,"")</f>
        <v/>
      </c>
      <c r="CL14" s="17">
        <f>IFERROR(BX14-BJ14,"")</f>
        <v/>
      </c>
      <c r="CM14" s="17">
        <f>IFERROR(BY14-BK14,"")</f>
        <v/>
      </c>
      <c r="CN14" s="17">
        <f>IFERROR(BZ14-BL14,"")</f>
        <v/>
      </c>
      <c r="CO14" s="17">
        <f>IFERROR(CA14-BM14,"")</f>
        <v/>
      </c>
      <c r="CP14" s="17">
        <f>IFERROR(CB14-BN14,"")</f>
        <v/>
      </c>
      <c r="CQ14" s="17">
        <f>IFERROR(CC14-BO14,"")</f>
        <v/>
      </c>
      <c r="CR14" s="17">
        <f>IFERROR(CD14-BP14,"")</f>
        <v/>
      </c>
      <c r="CS14" s="17">
        <f>IFERROR(CE14-BQ14,"")</f>
        <v/>
      </c>
      <c r="CT14" s="17">
        <f>IFERROR(CF14-BR14,"")</f>
        <v/>
      </c>
      <c r="CU14" s="17">
        <f>IFERROR(CG14-BS14,"")</f>
        <v/>
      </c>
      <c r="CV14" s="17">
        <f>IFERROR(CH14-BT14,"")</f>
        <v/>
      </c>
      <c r="CX14" s="2" t="inlineStr">
        <is>
          <t>Level Race</t>
        </is>
      </c>
    </row>
    <row r="15">
      <c r="B15" s="15" t="n">
        <v>7</v>
      </c>
      <c r="C15" s="15" t="inlineStr">
        <is>
          <t>Tue</t>
        </is>
      </c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T15" s="16" t="n"/>
      <c r="AU15" s="16" t="n"/>
      <c r="AV15" s="16" t="n"/>
      <c r="AW15" s="16" t="n"/>
      <c r="AX15" s="16" t="n"/>
      <c r="AY15" s="16" t="n"/>
      <c r="AZ15" s="16" t="n"/>
      <c r="BA15" s="16" t="n"/>
      <c r="BB15" s="16" t="n"/>
      <c r="BC15" s="16" t="n"/>
      <c r="BD15" s="16" t="n"/>
      <c r="BE15" s="16" t="n"/>
      <c r="BF15" s="16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J15" s="17">
        <f>IFERROR(BV15-BH15,"")</f>
        <v/>
      </c>
      <c r="CK15" s="17">
        <f>IFERROR(BW15-BI15,"")</f>
        <v/>
      </c>
      <c r="CL15" s="17">
        <f>IFERROR(BX15-BJ15,"")</f>
        <v/>
      </c>
      <c r="CM15" s="17">
        <f>IFERROR(BY15-BK15,"")</f>
        <v/>
      </c>
      <c r="CN15" s="17">
        <f>IFERROR(BZ15-BL15,"")</f>
        <v/>
      </c>
      <c r="CO15" s="17">
        <f>IFERROR(CA15-BM15,"")</f>
        <v/>
      </c>
      <c r="CP15" s="17">
        <f>IFERROR(CB15-BN15,"")</f>
        <v/>
      </c>
      <c r="CQ15" s="17">
        <f>IFERROR(CC15-BO15,"")</f>
        <v/>
      </c>
      <c r="CR15" s="17">
        <f>IFERROR(CD15-BP15,"")</f>
        <v/>
      </c>
      <c r="CS15" s="17">
        <f>IFERROR(CE15-BQ15,"")</f>
        <v/>
      </c>
      <c r="CT15" s="17">
        <f>IFERROR(CF15-BR15,"")</f>
        <v/>
      </c>
      <c r="CU15" s="17">
        <f>IFERROR(CG15-BS15,"")</f>
        <v/>
      </c>
      <c r="CV15" s="17">
        <f>IFERROR(CH15-BT15,"")</f>
        <v/>
      </c>
      <c r="CX15" s="2" t="inlineStr">
        <is>
          <t>Other</t>
        </is>
      </c>
    </row>
    <row r="16">
      <c r="B16" s="15" t="n">
        <v>8</v>
      </c>
      <c r="C16" s="15" t="inlineStr">
        <is>
          <t>Wed</t>
        </is>
      </c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T16" s="16" t="n"/>
      <c r="AU16" s="16" t="n"/>
      <c r="AV16" s="16" t="n"/>
      <c r="AW16" s="16" t="n"/>
      <c r="AX16" s="16" t="n"/>
      <c r="AY16" s="16" t="n"/>
      <c r="AZ16" s="16" t="n"/>
      <c r="BA16" s="16" t="n"/>
      <c r="BB16" s="16" t="n"/>
      <c r="BC16" s="16" t="n"/>
      <c r="BD16" s="16" t="n"/>
      <c r="BE16" s="16" t="n"/>
      <c r="BF16" s="16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J16" s="17">
        <f>IFERROR(BV16-BH16,"")</f>
        <v/>
      </c>
      <c r="CK16" s="17">
        <f>IFERROR(BW16-BI16,"")</f>
        <v/>
      </c>
      <c r="CL16" s="17">
        <f>IFERROR(BX16-BJ16,"")</f>
        <v/>
      </c>
      <c r="CM16" s="17">
        <f>IFERROR(BY16-BK16,"")</f>
        <v/>
      </c>
      <c r="CN16" s="17">
        <f>IFERROR(BZ16-BL16,"")</f>
        <v/>
      </c>
      <c r="CO16" s="17">
        <f>IFERROR(CA16-BM16,"")</f>
        <v/>
      </c>
      <c r="CP16" s="17">
        <f>IFERROR(CB16-BN16,"")</f>
        <v/>
      </c>
      <c r="CQ16" s="17">
        <f>IFERROR(CC16-BO16,"")</f>
        <v/>
      </c>
      <c r="CR16" s="17">
        <f>IFERROR(CD16-BP16,"")</f>
        <v/>
      </c>
      <c r="CS16" s="17">
        <f>IFERROR(CE16-BQ16,"")</f>
        <v/>
      </c>
      <c r="CT16" s="17">
        <f>IFERROR(CF16-BR16,"")</f>
        <v/>
      </c>
      <c r="CU16" s="17">
        <f>IFERROR(CG16-BS16,"")</f>
        <v/>
      </c>
      <c r="CV16" s="17">
        <f>IFERROR(CH16-BT16,"")</f>
        <v/>
      </c>
      <c r="CX16" s="2" t="inlineStr">
        <is>
          <t>Photoshoot</t>
        </is>
      </c>
    </row>
    <row r="17">
      <c r="B17" s="15" t="n">
        <v>9</v>
      </c>
      <c r="C17" s="15" t="inlineStr">
        <is>
          <t>Thu</t>
        </is>
      </c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T17" s="16" t="n"/>
      <c r="AU17" s="16" t="n"/>
      <c r="AV17" s="16" t="n"/>
      <c r="AW17" s="16" t="n"/>
      <c r="AX17" s="16" t="n"/>
      <c r="AY17" s="16" t="n"/>
      <c r="AZ17" s="16" t="n"/>
      <c r="BA17" s="16" t="n"/>
      <c r="BB17" s="16" t="n"/>
      <c r="BC17" s="16" t="n"/>
      <c r="BD17" s="16" t="n"/>
      <c r="BE17" s="16" t="n"/>
      <c r="BF17" s="16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J17" s="17">
        <f>IFERROR(BV17-BH17,"")</f>
        <v/>
      </c>
      <c r="CK17" s="17">
        <f>IFERROR(BW17-BI17,"")</f>
        <v/>
      </c>
      <c r="CL17" s="17">
        <f>IFERROR(BX17-BJ17,"")</f>
        <v/>
      </c>
      <c r="CM17" s="17">
        <f>IFERROR(BY17-BK17,"")</f>
        <v/>
      </c>
      <c r="CN17" s="17">
        <f>IFERROR(BZ17-BL17,"")</f>
        <v/>
      </c>
      <c r="CO17" s="17">
        <f>IFERROR(CA17-BM17,"")</f>
        <v/>
      </c>
      <c r="CP17" s="17">
        <f>IFERROR(CB17-BN17,"")</f>
        <v/>
      </c>
      <c r="CQ17" s="17">
        <f>IFERROR(CC17-BO17,"")</f>
        <v/>
      </c>
      <c r="CR17" s="17">
        <f>IFERROR(CD17-BP17,"")</f>
        <v/>
      </c>
      <c r="CS17" s="17">
        <f>IFERROR(CE17-BQ17,"")</f>
        <v/>
      </c>
      <c r="CT17" s="17">
        <f>IFERROR(CF17-BR17,"")</f>
        <v/>
      </c>
      <c r="CU17" s="17">
        <f>IFERROR(CG17-BS17,"")</f>
        <v/>
      </c>
      <c r="CV17" s="17">
        <f>IFERROR(CH17-BT17,"")</f>
        <v/>
      </c>
      <c r="CX17" s="2" t="inlineStr">
        <is>
          <t>Red Challenge</t>
        </is>
      </c>
    </row>
    <row r="18">
      <c r="B18" s="15" t="n">
        <v>10</v>
      </c>
      <c r="C18" s="15" t="inlineStr">
        <is>
          <t>Fri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T18" s="16" t="n"/>
      <c r="AU18" s="16" t="n"/>
      <c r="AV18" s="16" t="n"/>
      <c r="AW18" s="16" t="n"/>
      <c r="AX18" s="16" t="n"/>
      <c r="AY18" s="16" t="n"/>
      <c r="AZ18" s="16" t="n"/>
      <c r="BA18" s="16" t="n"/>
      <c r="BB18" s="16" t="n"/>
      <c r="BC18" s="16" t="n"/>
      <c r="BD18" s="16" t="n"/>
      <c r="BE18" s="16" t="n"/>
      <c r="BF18" s="16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J18" s="17">
        <f>IFERROR(BV18-BH18,"")</f>
        <v/>
      </c>
      <c r="CK18" s="17">
        <f>IFERROR(BW18-BI18,"")</f>
        <v/>
      </c>
      <c r="CL18" s="17">
        <f>IFERROR(BX18-BJ18,"")</f>
        <v/>
      </c>
      <c r="CM18" s="17">
        <f>IFERROR(BY18-BK18,"")</f>
        <v/>
      </c>
      <c r="CN18" s="17">
        <f>IFERROR(BZ18-BL18,"")</f>
        <v/>
      </c>
      <c r="CO18" s="17">
        <f>IFERROR(CA18-BM18,"")</f>
        <v/>
      </c>
      <c r="CP18" s="17">
        <f>IFERROR(CB18-BN18,"")</f>
        <v/>
      </c>
      <c r="CQ18" s="17">
        <f>IFERROR(CC18-BO18,"")</f>
        <v/>
      </c>
      <c r="CR18" s="17">
        <f>IFERROR(CD18-BP18,"")</f>
        <v/>
      </c>
      <c r="CS18" s="17">
        <f>IFERROR(CE18-BQ18,"")</f>
        <v/>
      </c>
      <c r="CT18" s="17">
        <f>IFERROR(CF18-BR18,"")</f>
        <v/>
      </c>
      <c r="CU18" s="17">
        <f>IFERROR(CG18-BS18,"")</f>
        <v/>
      </c>
      <c r="CV18" s="17">
        <f>IFERROR(CH18-BT18,"")</f>
        <v/>
      </c>
      <c r="CX18" s="2" t="inlineStr">
        <is>
          <t>River Rush</t>
        </is>
      </c>
    </row>
    <row r="19">
      <c r="B19" s="15" t="n">
        <v>11</v>
      </c>
      <c r="C19" s="15" t="inlineStr">
        <is>
          <t>Sat</t>
        </is>
      </c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T19" s="16" t="n"/>
      <c r="AU19" s="16" t="n"/>
      <c r="AV19" s="16" t="n"/>
      <c r="AW19" s="16" t="n"/>
      <c r="AX19" s="16" t="n"/>
      <c r="AY19" s="16" t="n"/>
      <c r="AZ19" s="16" t="n"/>
      <c r="BA19" s="16" t="n"/>
      <c r="BB19" s="16" t="n"/>
      <c r="BC19" s="16" t="n"/>
      <c r="BD19" s="16" t="n"/>
      <c r="BE19" s="16" t="n"/>
      <c r="BF19" s="16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J19" s="17">
        <f>IFERROR(BV19-BH19,"")</f>
        <v/>
      </c>
      <c r="CK19" s="17">
        <f>IFERROR(BW19-BI19,"")</f>
        <v/>
      </c>
      <c r="CL19" s="17">
        <f>IFERROR(BX19-BJ19,"")</f>
        <v/>
      </c>
      <c r="CM19" s="17">
        <f>IFERROR(BY19-BK19,"")</f>
        <v/>
      </c>
      <c r="CN19" s="17">
        <f>IFERROR(BZ19-BL19,"")</f>
        <v/>
      </c>
      <c r="CO19" s="17">
        <f>IFERROR(CA19-BM19,"")</f>
        <v/>
      </c>
      <c r="CP19" s="17">
        <f>IFERROR(CB19-BN19,"")</f>
        <v/>
      </c>
      <c r="CQ19" s="17">
        <f>IFERROR(CC19-BO19,"")</f>
        <v/>
      </c>
      <c r="CR19" s="17">
        <f>IFERROR(CD19-BP19,"")</f>
        <v/>
      </c>
      <c r="CS19" s="17">
        <f>IFERROR(CE19-BQ19,"")</f>
        <v/>
      </c>
      <c r="CT19" s="17">
        <f>IFERROR(CF19-BR19,"")</f>
        <v/>
      </c>
      <c r="CU19" s="17">
        <f>IFERROR(CG19-BS19,"")</f>
        <v/>
      </c>
      <c r="CV19" s="17">
        <f>IFERROR(CH19-BT19,"")</f>
        <v/>
      </c>
      <c r="CX19" s="2" t="inlineStr">
        <is>
          <t>Saga</t>
        </is>
      </c>
    </row>
    <row r="20">
      <c r="B20" s="15" t="n">
        <v>12</v>
      </c>
      <c r="C20" s="15" t="inlineStr">
        <is>
          <t>Sun</t>
        </is>
      </c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T20" s="16" t="n"/>
      <c r="AU20" s="16" t="n"/>
      <c r="AV20" s="16" t="n"/>
      <c r="AW20" s="16" t="n"/>
      <c r="AX20" s="16" t="n"/>
      <c r="AY20" s="16" t="n"/>
      <c r="AZ20" s="16" t="n"/>
      <c r="BA20" s="16" t="n"/>
      <c r="BB20" s="16" t="n"/>
      <c r="BC20" s="16" t="n"/>
      <c r="BD20" s="16" t="n"/>
      <c r="BE20" s="16" t="n"/>
      <c r="BF20" s="16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J20" s="17">
        <f>IFERROR(BV20-BH20,"")</f>
        <v/>
      </c>
      <c r="CK20" s="17">
        <f>IFERROR(BW20-BI20,"")</f>
        <v/>
      </c>
      <c r="CL20" s="17">
        <f>IFERROR(BX20-BJ20,"")</f>
        <v/>
      </c>
      <c r="CM20" s="17">
        <f>IFERROR(BY20-BK20,"")</f>
        <v/>
      </c>
      <c r="CN20" s="17">
        <f>IFERROR(BZ20-BL20,"")</f>
        <v/>
      </c>
      <c r="CO20" s="17">
        <f>IFERROR(CA20-BM20,"")</f>
        <v/>
      </c>
      <c r="CP20" s="17">
        <f>IFERROR(CB20-BN20,"")</f>
        <v/>
      </c>
      <c r="CQ20" s="17">
        <f>IFERROR(CC20-BO20,"")</f>
        <v/>
      </c>
      <c r="CR20" s="17">
        <f>IFERROR(CD20-BP20,"")</f>
        <v/>
      </c>
      <c r="CS20" s="17">
        <f>IFERROR(CE20-BQ20,"")</f>
        <v/>
      </c>
      <c r="CT20" s="17">
        <f>IFERROR(CF20-BR20,"")</f>
        <v/>
      </c>
      <c r="CU20" s="17">
        <f>IFERROR(CG20-BS20,"")</f>
        <v/>
      </c>
      <c r="CV20" s="17">
        <f>IFERROR(CH20-BT20,"")</f>
        <v/>
      </c>
      <c r="CX20" s="2" t="inlineStr">
        <is>
          <t>Season Pass (Free)</t>
        </is>
      </c>
    </row>
    <row r="21">
      <c r="B21" s="15" t="n">
        <v>13</v>
      </c>
      <c r="C21" s="15" t="inlineStr">
        <is>
          <t>Mon</t>
        </is>
      </c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T21" s="16" t="n"/>
      <c r="AU21" s="16" t="n"/>
      <c r="AV21" s="16" t="n"/>
      <c r="AW21" s="16" t="n"/>
      <c r="AX21" s="16" t="n"/>
      <c r="AY21" s="16" t="n"/>
      <c r="AZ21" s="16" t="n"/>
      <c r="BA21" s="16" t="n"/>
      <c r="BB21" s="16" t="n"/>
      <c r="BC21" s="16" t="n"/>
      <c r="BD21" s="16" t="n"/>
      <c r="BE21" s="16" t="n"/>
      <c r="BF21" s="16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J21" s="17">
        <f>IFERROR(BV21-BH21,"")</f>
        <v/>
      </c>
      <c r="CK21" s="17">
        <f>IFERROR(BW21-BI21,"")</f>
        <v/>
      </c>
      <c r="CL21" s="17">
        <f>IFERROR(BX21-BJ21,"")</f>
        <v/>
      </c>
      <c r="CM21" s="17">
        <f>IFERROR(BY21-BK21,"")</f>
        <v/>
      </c>
      <c r="CN21" s="17">
        <f>IFERROR(BZ21-BL21,"")</f>
        <v/>
      </c>
      <c r="CO21" s="17">
        <f>IFERROR(CA21-BM21,"")</f>
        <v/>
      </c>
      <c r="CP21" s="17">
        <f>IFERROR(CB21-BN21,"")</f>
        <v/>
      </c>
      <c r="CQ21" s="17">
        <f>IFERROR(CC21-BO21,"")</f>
        <v/>
      </c>
      <c r="CR21" s="17">
        <f>IFERROR(CD21-BP21,"")</f>
        <v/>
      </c>
      <c r="CS21" s="17">
        <f>IFERROR(CE21-BQ21,"")</f>
        <v/>
      </c>
      <c r="CT21" s="17">
        <f>IFERROR(CF21-BR21,"")</f>
        <v/>
      </c>
      <c r="CU21" s="17">
        <f>IFERROR(CG21-BS21,"")</f>
        <v/>
      </c>
      <c r="CV21" s="17">
        <f>IFERROR(CH21-BT21,"")</f>
        <v/>
      </c>
      <c r="CX21" s="2" t="inlineStr">
        <is>
          <t>Target Day</t>
        </is>
      </c>
    </row>
    <row r="22">
      <c r="B22" s="15" t="n">
        <v>14</v>
      </c>
      <c r="C22" s="15" t="inlineStr">
        <is>
          <t>Tue</t>
        </is>
      </c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T22" s="16" t="n"/>
      <c r="AU22" s="16" t="n"/>
      <c r="AV22" s="16" t="n"/>
      <c r="AW22" s="16" t="n"/>
      <c r="AX22" s="16" t="n"/>
      <c r="AY22" s="16" t="n"/>
      <c r="AZ22" s="16" t="n"/>
      <c r="BA22" s="16" t="n"/>
      <c r="BB22" s="16" t="n"/>
      <c r="BC22" s="16" t="n"/>
      <c r="BD22" s="16" t="n"/>
      <c r="BE22" s="16" t="n"/>
      <c r="BF22" s="16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J22" s="17">
        <f>IFERROR(BV22-BH22,"")</f>
        <v/>
      </c>
      <c r="CK22" s="17">
        <f>IFERROR(BW22-BI22,"")</f>
        <v/>
      </c>
      <c r="CL22" s="17">
        <f>IFERROR(BX22-BJ22,"")</f>
        <v/>
      </c>
      <c r="CM22" s="17">
        <f>IFERROR(BY22-BK22,"")</f>
        <v/>
      </c>
      <c r="CN22" s="17">
        <f>IFERROR(BZ22-BL22,"")</f>
        <v/>
      </c>
      <c r="CO22" s="17">
        <f>IFERROR(CA22-BM22,"")</f>
        <v/>
      </c>
      <c r="CP22" s="17">
        <f>IFERROR(CB22-BN22,"")</f>
        <v/>
      </c>
      <c r="CQ22" s="17">
        <f>IFERROR(CC22-BO22,"")</f>
        <v/>
      </c>
      <c r="CR22" s="17">
        <f>IFERROR(CD22-BP22,"")</f>
        <v/>
      </c>
      <c r="CS22" s="17">
        <f>IFERROR(CE22-BQ22,"")</f>
        <v/>
      </c>
      <c r="CT22" s="17">
        <f>IFERROR(CF22-BR22,"")</f>
        <v/>
      </c>
      <c r="CU22" s="17">
        <f>IFERROR(CG22-BS22,"")</f>
        <v/>
      </c>
      <c r="CV22" s="17">
        <f>IFERROR(CH22-BT22,"")</f>
        <v/>
      </c>
      <c r="CX22" s="2" t="inlineStr">
        <is>
          <t>Team Event</t>
        </is>
      </c>
    </row>
    <row r="23">
      <c r="B23" s="15" t="n">
        <v>15</v>
      </c>
      <c r="C23" s="15" t="inlineStr">
        <is>
          <t>Wed</t>
        </is>
      </c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T23" s="16" t="n"/>
      <c r="AU23" s="16" t="n"/>
      <c r="AV23" s="16" t="n"/>
      <c r="AW23" s="16" t="n"/>
      <c r="AX23" s="16" t="n"/>
      <c r="AY23" s="16" t="n"/>
      <c r="AZ23" s="16" t="n"/>
      <c r="BA23" s="16" t="n"/>
      <c r="BB23" s="16" t="n"/>
      <c r="BC23" s="16" t="n"/>
      <c r="BD23" s="16" t="n"/>
      <c r="BE23" s="16" t="n"/>
      <c r="BF23" s="16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J23" s="17">
        <f>IFERROR(BV23-BH23,"")</f>
        <v/>
      </c>
      <c r="CK23" s="17">
        <f>IFERROR(BW23-BI23,"")</f>
        <v/>
      </c>
      <c r="CL23" s="17">
        <f>IFERROR(BX23-BJ23,"")</f>
        <v/>
      </c>
      <c r="CM23" s="17">
        <f>IFERROR(BY23-BK23,"")</f>
        <v/>
      </c>
      <c r="CN23" s="17">
        <f>IFERROR(BZ23-BL23,"")</f>
        <v/>
      </c>
      <c r="CO23" s="17">
        <f>IFERROR(CA23-BM23,"")</f>
        <v/>
      </c>
      <c r="CP23" s="17">
        <f>IFERROR(CB23-BN23,"")</f>
        <v/>
      </c>
      <c r="CQ23" s="17">
        <f>IFERROR(CC23-BO23,"")</f>
        <v/>
      </c>
      <c r="CR23" s="17">
        <f>IFERROR(CD23-BP23,"")</f>
        <v/>
      </c>
      <c r="CS23" s="17">
        <f>IFERROR(CE23-BQ23,"")</f>
        <v/>
      </c>
      <c r="CT23" s="17">
        <f>IFERROR(CF23-BR23,"")</f>
        <v/>
      </c>
      <c r="CU23" s="17">
        <f>IFERROR(CG23-BS23,"")</f>
        <v/>
      </c>
      <c r="CV23" s="17">
        <f>IFERROR(CH23-BT23,"")</f>
        <v/>
      </c>
      <c r="CX23" s="2" t="inlineStr">
        <is>
          <t>Team Race</t>
        </is>
      </c>
    </row>
    <row r="24">
      <c r="B24" s="15" t="n">
        <v>16</v>
      </c>
      <c r="C24" s="15" t="inlineStr">
        <is>
          <t>Thu</t>
        </is>
      </c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T24" s="16" t="n"/>
      <c r="AU24" s="16" t="n"/>
      <c r="AV24" s="16" t="n"/>
      <c r="AW24" s="16" t="n"/>
      <c r="AX24" s="16" t="n"/>
      <c r="AY24" s="16" t="n"/>
      <c r="AZ24" s="16" t="n"/>
      <c r="BA24" s="16" t="n"/>
      <c r="BB24" s="16" t="n"/>
      <c r="BC24" s="16" t="n"/>
      <c r="BD24" s="16" t="n"/>
      <c r="BE24" s="16" t="n"/>
      <c r="BF24" s="16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J24" s="17">
        <f>IFERROR(BV24-BH24,"")</f>
        <v/>
      </c>
      <c r="CK24" s="17">
        <f>IFERROR(BW24-BI24,"")</f>
        <v/>
      </c>
      <c r="CL24" s="17">
        <f>IFERROR(BX24-BJ24,"")</f>
        <v/>
      </c>
      <c r="CM24" s="17">
        <f>IFERROR(BY24-BK24,"")</f>
        <v/>
      </c>
      <c r="CN24" s="17">
        <f>IFERROR(BZ24-BL24,"")</f>
        <v/>
      </c>
      <c r="CO24" s="17">
        <f>IFERROR(CA24-BM24,"")</f>
        <v/>
      </c>
      <c r="CP24" s="17">
        <f>IFERROR(CB24-BN24,"")</f>
        <v/>
      </c>
      <c r="CQ24" s="17">
        <f>IFERROR(CC24-BO24,"")</f>
        <v/>
      </c>
      <c r="CR24" s="17">
        <f>IFERROR(CD24-BP24,"")</f>
        <v/>
      </c>
      <c r="CS24" s="17">
        <f>IFERROR(CE24-BQ24,"")</f>
        <v/>
      </c>
      <c r="CT24" s="17">
        <f>IFERROR(CF24-BR24,"")</f>
        <v/>
      </c>
      <c r="CU24" s="17">
        <f>IFERROR(CG24-BS24,"")</f>
        <v/>
      </c>
      <c r="CV24" s="17">
        <f>IFERROR(CH24-BT24,"")</f>
        <v/>
      </c>
      <c r="CX24" s="2" t="inlineStr">
        <is>
          <t>Flash Race</t>
        </is>
      </c>
    </row>
    <row r="25">
      <c r="B25" s="15" t="n">
        <v>17</v>
      </c>
      <c r="C25" s="15" t="inlineStr">
        <is>
          <t>Fri</t>
        </is>
      </c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T25" s="16" t="n"/>
      <c r="AU25" s="16" t="n"/>
      <c r="AV25" s="16" t="n"/>
      <c r="AW25" s="16" t="n"/>
      <c r="AX25" s="16" t="n"/>
      <c r="AY25" s="16" t="n"/>
      <c r="AZ25" s="16" t="n"/>
      <c r="BA25" s="16" t="n"/>
      <c r="BB25" s="16" t="n"/>
      <c r="BC25" s="16" t="n"/>
      <c r="BD25" s="16" t="n"/>
      <c r="BE25" s="16" t="n"/>
      <c r="BF25" s="16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J25" s="17">
        <f>IFERROR(BV25-BH25,"")</f>
        <v/>
      </c>
      <c r="CK25" s="17">
        <f>IFERROR(BW25-BI25,"")</f>
        <v/>
      </c>
      <c r="CL25" s="17">
        <f>IFERROR(BX25-BJ25,"")</f>
        <v/>
      </c>
      <c r="CM25" s="17">
        <f>IFERROR(BY25-BK25,"")</f>
        <v/>
      </c>
      <c r="CN25" s="17">
        <f>IFERROR(BZ25-BL25,"")</f>
        <v/>
      </c>
      <c r="CO25" s="17">
        <f>IFERROR(CA25-BM25,"")</f>
        <v/>
      </c>
      <c r="CP25" s="17">
        <f>IFERROR(CB25-BN25,"")</f>
        <v/>
      </c>
      <c r="CQ25" s="17">
        <f>IFERROR(CC25-BO25,"")</f>
        <v/>
      </c>
      <c r="CR25" s="17">
        <f>IFERROR(CD25-BP25,"")</f>
        <v/>
      </c>
      <c r="CS25" s="17">
        <f>IFERROR(CE25-BQ25,"")</f>
        <v/>
      </c>
      <c r="CT25" s="17">
        <f>IFERROR(CF25-BR25,"")</f>
        <v/>
      </c>
      <c r="CU25" s="17">
        <f>IFERROR(CG25-BS25,"")</f>
        <v/>
      </c>
      <c r="CV25" s="17">
        <f>IFERROR(CH25-BT25,"")</f>
        <v/>
      </c>
      <c r="CX25" s="2" t="inlineStr">
        <is>
          <t>FlowerCoop</t>
        </is>
      </c>
    </row>
    <row r="26">
      <c r="B26" s="15" t="n">
        <v>18</v>
      </c>
      <c r="C26" s="15" t="inlineStr">
        <is>
          <t>Sat</t>
        </is>
      </c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T26" s="16" t="n"/>
      <c r="AU26" s="16" t="n"/>
      <c r="AV26" s="16" t="n"/>
      <c r="AW26" s="16" t="n"/>
      <c r="AX26" s="16" t="n"/>
      <c r="AY26" s="16" t="n"/>
      <c r="AZ26" s="16" t="n"/>
      <c r="BA26" s="16" t="n"/>
      <c r="BB26" s="16" t="n"/>
      <c r="BC26" s="16" t="n"/>
      <c r="BD26" s="16" t="n"/>
      <c r="BE26" s="16" t="n"/>
      <c r="BF26" s="16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J26" s="17">
        <f>IFERROR(BV26-BH26,"")</f>
        <v/>
      </c>
      <c r="CK26" s="17">
        <f>IFERROR(BW26-BI26,"")</f>
        <v/>
      </c>
      <c r="CL26" s="17">
        <f>IFERROR(BX26-BJ26,"")</f>
        <v/>
      </c>
      <c r="CM26" s="17">
        <f>IFERROR(BY26-BK26,"")</f>
        <v/>
      </c>
      <c r="CN26" s="17">
        <f>IFERROR(BZ26-BL26,"")</f>
        <v/>
      </c>
      <c r="CO26" s="17">
        <f>IFERROR(CA26-BM26,"")</f>
        <v/>
      </c>
      <c r="CP26" s="17">
        <f>IFERROR(CB26-BN26,"")</f>
        <v/>
      </c>
      <c r="CQ26" s="17">
        <f>IFERROR(CC26-BO26,"")</f>
        <v/>
      </c>
      <c r="CR26" s="17">
        <f>IFERROR(CD26-BP26,"")</f>
        <v/>
      </c>
      <c r="CS26" s="17">
        <f>IFERROR(CE26-BQ26,"")</f>
        <v/>
      </c>
      <c r="CT26" s="17">
        <f>IFERROR(CF26-BR26,"")</f>
        <v/>
      </c>
      <c r="CU26" s="17">
        <f>IFERROR(CG26-BS26,"")</f>
        <v/>
      </c>
      <c r="CV26" s="17">
        <f>IFERROR(CH26-BT26,"")</f>
        <v/>
      </c>
      <c r="CX26" s="2" t="inlineStr">
        <is>
          <t>Rainbow Maker</t>
        </is>
      </c>
    </row>
    <row r="27">
      <c r="B27" s="15" t="n">
        <v>19</v>
      </c>
      <c r="C27" s="15" t="inlineStr">
        <is>
          <t>Sun</t>
        </is>
      </c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T27" s="16" t="n"/>
      <c r="AU27" s="16" t="n"/>
      <c r="AV27" s="16" t="n"/>
      <c r="AW27" s="16" t="n"/>
      <c r="AX27" s="16" t="n"/>
      <c r="AY27" s="16" t="n"/>
      <c r="AZ27" s="16" t="n"/>
      <c r="BA27" s="16" t="n"/>
      <c r="BB27" s="16" t="n"/>
      <c r="BC27" s="16" t="n"/>
      <c r="BD27" s="16" t="n"/>
      <c r="BE27" s="16" t="n"/>
      <c r="BF27" s="16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J27" s="17">
        <f>IFERROR(BV27-BH27,"")</f>
        <v/>
      </c>
      <c r="CK27" s="17">
        <f>IFERROR(BW27-BI27,"")</f>
        <v/>
      </c>
      <c r="CL27" s="17">
        <f>IFERROR(BX27-BJ27,"")</f>
        <v/>
      </c>
      <c r="CM27" s="17">
        <f>IFERROR(BY27-BK27,"")</f>
        <v/>
      </c>
      <c r="CN27" s="17">
        <f>IFERROR(BZ27-BL27,"")</f>
        <v/>
      </c>
      <c r="CO27" s="17">
        <f>IFERROR(CA27-BM27,"")</f>
        <v/>
      </c>
      <c r="CP27" s="17">
        <f>IFERROR(CB27-BN27,"")</f>
        <v/>
      </c>
      <c r="CQ27" s="17">
        <f>IFERROR(CC27-BO27,"")</f>
        <v/>
      </c>
      <c r="CR27" s="17">
        <f>IFERROR(CD27-BP27,"")</f>
        <v/>
      </c>
      <c r="CS27" s="17">
        <f>IFERROR(CE27-BQ27,"")</f>
        <v/>
      </c>
      <c r="CT27" s="17">
        <f>IFERROR(CF27-BR27,"")</f>
        <v/>
      </c>
      <c r="CU27" s="17">
        <f>IFERROR(CG27-BS27,"")</f>
        <v/>
      </c>
      <c r="CV27" s="17">
        <f>IFERROR(CH27-BT27,"")</f>
        <v/>
      </c>
      <c r="CX27" s="2" t="inlineStr">
        <is>
          <t>IAPs</t>
        </is>
      </c>
    </row>
    <row r="28">
      <c r="B28" s="15" t="n">
        <v>20</v>
      </c>
      <c r="C28" s="15" t="inlineStr">
        <is>
          <t>Mon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T28" s="16" t="n"/>
      <c r="AU28" s="16" t="n"/>
      <c r="AV28" s="16" t="n"/>
      <c r="AW28" s="16" t="n"/>
      <c r="AX28" s="16" t="n"/>
      <c r="AY28" s="16" t="n"/>
      <c r="AZ28" s="16" t="n"/>
      <c r="BA28" s="16" t="n"/>
      <c r="BB28" s="16" t="n"/>
      <c r="BC28" s="16" t="n"/>
      <c r="BD28" s="16" t="n"/>
      <c r="BE28" s="16" t="n"/>
      <c r="BF28" s="16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J28" s="17">
        <f>IFERROR(BV28-BH28,"")</f>
        <v/>
      </c>
      <c r="CK28" s="17">
        <f>IFERROR(BW28-BI28,"")</f>
        <v/>
      </c>
      <c r="CL28" s="17">
        <f>IFERROR(BX28-BJ28,"")</f>
        <v/>
      </c>
      <c r="CM28" s="17">
        <f>IFERROR(BY28-BK28,"")</f>
        <v/>
      </c>
      <c r="CN28" s="17">
        <f>IFERROR(BZ28-BL28,"")</f>
        <v/>
      </c>
      <c r="CO28" s="17">
        <f>IFERROR(CA28-BM28,"")</f>
        <v/>
      </c>
      <c r="CP28" s="17">
        <f>IFERROR(CB28-BN28,"")</f>
        <v/>
      </c>
      <c r="CQ28" s="17">
        <f>IFERROR(CC28-BO28,"")</f>
        <v/>
      </c>
      <c r="CR28" s="17">
        <f>IFERROR(CD28-BP28,"")</f>
        <v/>
      </c>
      <c r="CS28" s="17">
        <f>IFERROR(CE28-BQ28,"")</f>
        <v/>
      </c>
      <c r="CT28" s="17">
        <f>IFERROR(CF28-BR28,"")</f>
        <v/>
      </c>
      <c r="CU28" s="17">
        <f>IFERROR(CG28-BS28,"")</f>
        <v/>
      </c>
      <c r="CV28" s="17">
        <f>IFERROR(CH28-BT28,"")</f>
        <v/>
      </c>
    </row>
    <row r="29">
      <c r="B29" s="15" t="n">
        <v>21</v>
      </c>
      <c r="C29" s="15" t="inlineStr">
        <is>
          <t>Tue</t>
        </is>
      </c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T29" s="16" t="n"/>
      <c r="AU29" s="16" t="n"/>
      <c r="AV29" s="16" t="n"/>
      <c r="AW29" s="16" t="n"/>
      <c r="AX29" s="16" t="n"/>
      <c r="AY29" s="16" t="n"/>
      <c r="AZ29" s="16" t="n"/>
      <c r="BA29" s="16" t="n"/>
      <c r="BB29" s="16" t="n"/>
      <c r="BC29" s="16" t="n"/>
      <c r="BD29" s="16" t="n"/>
      <c r="BE29" s="16" t="n"/>
      <c r="BF29" s="16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J29" s="17">
        <f>IFERROR(BV29-BH29,"")</f>
        <v/>
      </c>
      <c r="CK29" s="17">
        <f>IFERROR(BW29-BI29,"")</f>
        <v/>
      </c>
      <c r="CL29" s="17">
        <f>IFERROR(BX29-BJ29,"")</f>
        <v/>
      </c>
      <c r="CM29" s="17">
        <f>IFERROR(BY29-BK29,"")</f>
        <v/>
      </c>
      <c r="CN29" s="17">
        <f>IFERROR(BZ29-BL29,"")</f>
        <v/>
      </c>
      <c r="CO29" s="17">
        <f>IFERROR(CA29-BM29,"")</f>
        <v/>
      </c>
      <c r="CP29" s="17">
        <f>IFERROR(CB29-BN29,"")</f>
        <v/>
      </c>
      <c r="CQ29" s="17">
        <f>IFERROR(CC29-BO29,"")</f>
        <v/>
      </c>
      <c r="CR29" s="17">
        <f>IFERROR(CD29-BP29,"")</f>
        <v/>
      </c>
      <c r="CS29" s="17">
        <f>IFERROR(CE29-BQ29,"")</f>
        <v/>
      </c>
      <c r="CT29" s="17">
        <f>IFERROR(CF29-BR29,"")</f>
        <v/>
      </c>
      <c r="CU29" s="17">
        <f>IFERROR(CG29-BS29,"")</f>
        <v/>
      </c>
      <c r="CV29" s="17">
        <f>IFERROR(CH29-BT29,"")</f>
        <v/>
      </c>
    </row>
    <row r="30">
      <c r="B30" s="15" t="n">
        <v>22</v>
      </c>
      <c r="C30" s="15" t="inlineStr">
        <is>
          <t>Wed</t>
        </is>
      </c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T30" s="16" t="n"/>
      <c r="AU30" s="16" t="n"/>
      <c r="AV30" s="16" t="n"/>
      <c r="AW30" s="16" t="n"/>
      <c r="AX30" s="16" t="n"/>
      <c r="AY30" s="16" t="n"/>
      <c r="AZ30" s="16" t="n"/>
      <c r="BA30" s="16" t="n"/>
      <c r="BB30" s="16" t="n"/>
      <c r="BC30" s="16" t="n"/>
      <c r="BD30" s="16" t="n"/>
      <c r="BE30" s="16" t="n"/>
      <c r="BF30" s="16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J30" s="17">
        <f>IFERROR(BV30-BH30,"")</f>
        <v/>
      </c>
      <c r="CK30" s="17">
        <f>IFERROR(BW30-BI30,"")</f>
        <v/>
      </c>
      <c r="CL30" s="17">
        <f>IFERROR(BX30-BJ30,"")</f>
        <v/>
      </c>
      <c r="CM30" s="17">
        <f>IFERROR(BY30-BK30,"")</f>
        <v/>
      </c>
      <c r="CN30" s="17">
        <f>IFERROR(BZ30-BL30,"")</f>
        <v/>
      </c>
      <c r="CO30" s="17">
        <f>IFERROR(CA30-BM30,"")</f>
        <v/>
      </c>
      <c r="CP30" s="17">
        <f>IFERROR(CB30-BN30,"")</f>
        <v/>
      </c>
      <c r="CQ30" s="17">
        <f>IFERROR(CC30-BO30,"")</f>
        <v/>
      </c>
      <c r="CR30" s="17">
        <f>IFERROR(CD30-BP30,"")</f>
        <v/>
      </c>
      <c r="CS30" s="17">
        <f>IFERROR(CE30-BQ30,"")</f>
        <v/>
      </c>
      <c r="CT30" s="17">
        <f>IFERROR(CF30-BR30,"")</f>
        <v/>
      </c>
      <c r="CU30" s="17">
        <f>IFERROR(CG30-BS30,"")</f>
        <v/>
      </c>
      <c r="CV30" s="17">
        <f>IFERROR(CH30-BT30,"")</f>
        <v/>
      </c>
    </row>
    <row r="31">
      <c r="B31" s="15" t="n">
        <v>23</v>
      </c>
      <c r="C31" s="15" t="inlineStr">
        <is>
          <t>Thu</t>
        </is>
      </c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T31" s="16" t="n"/>
      <c r="AU31" s="16" t="n"/>
      <c r="AV31" s="16" t="n"/>
      <c r="AW31" s="16" t="n"/>
      <c r="AX31" s="16" t="n"/>
      <c r="AY31" s="16" t="n"/>
      <c r="AZ31" s="16" t="n"/>
      <c r="BA31" s="16" t="n"/>
      <c r="BB31" s="16" t="n"/>
      <c r="BC31" s="16" t="n"/>
      <c r="BD31" s="16" t="n"/>
      <c r="BE31" s="16" t="n"/>
      <c r="BF31" s="16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J31" s="17">
        <f>IFERROR(BV31-BH31,"")</f>
        <v/>
      </c>
      <c r="CK31" s="17">
        <f>IFERROR(BW31-BI31,"")</f>
        <v/>
      </c>
      <c r="CL31" s="17">
        <f>IFERROR(BX31-BJ31,"")</f>
        <v/>
      </c>
      <c r="CM31" s="17">
        <f>IFERROR(BY31-BK31,"")</f>
        <v/>
      </c>
      <c r="CN31" s="17">
        <f>IFERROR(BZ31-BL31,"")</f>
        <v/>
      </c>
      <c r="CO31" s="17">
        <f>IFERROR(CA31-BM31,"")</f>
        <v/>
      </c>
      <c r="CP31" s="17">
        <f>IFERROR(CB31-BN31,"")</f>
        <v/>
      </c>
      <c r="CQ31" s="17">
        <f>IFERROR(CC31-BO31,"")</f>
        <v/>
      </c>
      <c r="CR31" s="17">
        <f>IFERROR(CD31-BP31,"")</f>
        <v/>
      </c>
      <c r="CS31" s="17">
        <f>IFERROR(CE31-BQ31,"")</f>
        <v/>
      </c>
      <c r="CT31" s="17">
        <f>IFERROR(CF31-BR31,"")</f>
        <v/>
      </c>
      <c r="CU31" s="17">
        <f>IFERROR(CG31-BS31,"")</f>
        <v/>
      </c>
      <c r="CV31" s="17">
        <f>IFERROR(CH31-BT31,"")</f>
        <v/>
      </c>
    </row>
    <row r="32">
      <c r="B32" s="15" t="n">
        <v>24</v>
      </c>
      <c r="C32" s="15" t="inlineStr">
        <is>
          <t>Fri</t>
        </is>
      </c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T32" s="16" t="n"/>
      <c r="AU32" s="16" t="n"/>
      <c r="AV32" s="16" t="n"/>
      <c r="AW32" s="16" t="n"/>
      <c r="AX32" s="16" t="n"/>
      <c r="AY32" s="16" t="n"/>
      <c r="AZ32" s="16" t="n"/>
      <c r="BA32" s="16" t="n"/>
      <c r="BB32" s="16" t="n"/>
      <c r="BC32" s="16" t="n"/>
      <c r="BD32" s="16" t="n"/>
      <c r="BE32" s="16" t="n"/>
      <c r="BF32" s="16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J32" s="17">
        <f>IFERROR(BV32-BH32,"")</f>
        <v/>
      </c>
      <c r="CK32" s="17">
        <f>IFERROR(BW32-BI32,"")</f>
        <v/>
      </c>
      <c r="CL32" s="17">
        <f>IFERROR(BX32-BJ32,"")</f>
        <v/>
      </c>
      <c r="CM32" s="17">
        <f>IFERROR(BY32-BK32,"")</f>
        <v/>
      </c>
      <c r="CN32" s="17">
        <f>IFERROR(BZ32-BL32,"")</f>
        <v/>
      </c>
      <c r="CO32" s="17">
        <f>IFERROR(CA32-BM32,"")</f>
        <v/>
      </c>
      <c r="CP32" s="17">
        <f>IFERROR(CB32-BN32,"")</f>
        <v/>
      </c>
      <c r="CQ32" s="17">
        <f>IFERROR(CC32-BO32,"")</f>
        <v/>
      </c>
      <c r="CR32" s="17">
        <f>IFERROR(CD32-BP32,"")</f>
        <v/>
      </c>
      <c r="CS32" s="17">
        <f>IFERROR(CE32-BQ32,"")</f>
        <v/>
      </c>
      <c r="CT32" s="17">
        <f>IFERROR(CF32-BR32,"")</f>
        <v/>
      </c>
      <c r="CU32" s="17">
        <f>IFERROR(CG32-BS32,"")</f>
        <v/>
      </c>
      <c r="CV32" s="17">
        <f>IFERROR(CH32-BT32,"")</f>
        <v/>
      </c>
    </row>
    <row r="33">
      <c r="B33" s="15" t="n">
        <v>25</v>
      </c>
      <c r="C33" s="15" t="inlineStr">
        <is>
          <t>Sat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T33" s="16" t="n"/>
      <c r="AU33" s="16" t="n"/>
      <c r="AV33" s="16" t="n"/>
      <c r="AW33" s="16" t="n"/>
      <c r="AX33" s="16" t="n"/>
      <c r="AY33" s="16" t="n"/>
      <c r="AZ33" s="16" t="n"/>
      <c r="BA33" s="16" t="n"/>
      <c r="BB33" s="16" t="n"/>
      <c r="BC33" s="16" t="n"/>
      <c r="BD33" s="16" t="n"/>
      <c r="BE33" s="16" t="n"/>
      <c r="BF33" s="16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J33" s="17">
        <f>IFERROR(BV33-BH33,"")</f>
        <v/>
      </c>
      <c r="CK33" s="17">
        <f>IFERROR(BW33-BI33,"")</f>
        <v/>
      </c>
      <c r="CL33" s="17">
        <f>IFERROR(BX33-BJ33,"")</f>
        <v/>
      </c>
      <c r="CM33" s="17">
        <f>IFERROR(BY33-BK33,"")</f>
        <v/>
      </c>
      <c r="CN33" s="17">
        <f>IFERROR(BZ33-BL33,"")</f>
        <v/>
      </c>
      <c r="CO33" s="17">
        <f>IFERROR(CA33-BM33,"")</f>
        <v/>
      </c>
      <c r="CP33" s="17">
        <f>IFERROR(CB33-BN33,"")</f>
        <v/>
      </c>
      <c r="CQ33" s="17">
        <f>IFERROR(CC33-BO33,"")</f>
        <v/>
      </c>
      <c r="CR33" s="17">
        <f>IFERROR(CD33-BP33,"")</f>
        <v/>
      </c>
      <c r="CS33" s="17">
        <f>IFERROR(CE33-BQ33,"")</f>
        <v/>
      </c>
      <c r="CT33" s="17">
        <f>IFERROR(CF33-BR33,"")</f>
        <v/>
      </c>
      <c r="CU33" s="17">
        <f>IFERROR(CG33-BS33,"")</f>
        <v/>
      </c>
      <c r="CV33" s="17">
        <f>IFERROR(CH33-BT33,"")</f>
        <v/>
      </c>
    </row>
    <row r="34">
      <c r="B34" s="15" t="n">
        <v>26</v>
      </c>
      <c r="C34" s="15" t="inlineStr">
        <is>
          <t>Sun</t>
        </is>
      </c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T34" s="16" t="n"/>
      <c r="AU34" s="16" t="n"/>
      <c r="AV34" s="16" t="n"/>
      <c r="AW34" s="16" t="n"/>
      <c r="AX34" s="16" t="n"/>
      <c r="AY34" s="16" t="n"/>
      <c r="AZ34" s="16" t="n"/>
      <c r="BA34" s="16" t="n"/>
      <c r="BB34" s="16" t="n"/>
      <c r="BC34" s="16" t="n"/>
      <c r="BD34" s="16" t="n"/>
      <c r="BE34" s="16" t="n"/>
      <c r="BF34" s="16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J34" s="17">
        <f>IFERROR(BV34-BH34,"")</f>
        <v/>
      </c>
      <c r="CK34" s="17">
        <f>IFERROR(BW34-BI34,"")</f>
        <v/>
      </c>
      <c r="CL34" s="17">
        <f>IFERROR(BX34-BJ34,"")</f>
        <v/>
      </c>
      <c r="CM34" s="17">
        <f>IFERROR(BY34-BK34,"")</f>
        <v/>
      </c>
      <c r="CN34" s="17">
        <f>IFERROR(BZ34-BL34,"")</f>
        <v/>
      </c>
      <c r="CO34" s="17">
        <f>IFERROR(CA34-BM34,"")</f>
        <v/>
      </c>
      <c r="CP34" s="17">
        <f>IFERROR(CB34-BN34,"")</f>
        <v/>
      </c>
      <c r="CQ34" s="17">
        <f>IFERROR(CC34-BO34,"")</f>
        <v/>
      </c>
      <c r="CR34" s="17">
        <f>IFERROR(CD34-BP34,"")</f>
        <v/>
      </c>
      <c r="CS34" s="17">
        <f>IFERROR(CE34-BQ34,"")</f>
        <v/>
      </c>
      <c r="CT34" s="17">
        <f>IFERROR(CF34-BR34,"")</f>
        <v/>
      </c>
      <c r="CU34" s="17">
        <f>IFERROR(CG34-BS34,"")</f>
        <v/>
      </c>
      <c r="CV34" s="17">
        <f>IFERROR(CH34-BT34,"")</f>
        <v/>
      </c>
    </row>
    <row r="35">
      <c r="B35" s="15" t="n">
        <v>27</v>
      </c>
      <c r="C35" s="15" t="inlineStr">
        <is>
          <t>Mon</t>
        </is>
      </c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T35" s="16" t="n"/>
      <c r="AU35" s="16" t="n"/>
      <c r="AV35" s="16" t="n"/>
      <c r="AW35" s="16" t="n"/>
      <c r="AX35" s="16" t="n"/>
      <c r="AY35" s="16" t="n"/>
      <c r="AZ35" s="16" t="n"/>
      <c r="BA35" s="16" t="n"/>
      <c r="BB35" s="16" t="n"/>
      <c r="BC35" s="16" t="n"/>
      <c r="BD35" s="16" t="n"/>
      <c r="BE35" s="16" t="n"/>
      <c r="BF35" s="16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J35" s="17">
        <f>IFERROR(BV35-BH35,"")</f>
        <v/>
      </c>
      <c r="CK35" s="17">
        <f>IFERROR(BW35-BI35,"")</f>
        <v/>
      </c>
      <c r="CL35" s="17">
        <f>IFERROR(BX35-BJ35,"")</f>
        <v/>
      </c>
      <c r="CM35" s="17">
        <f>IFERROR(BY35-BK35,"")</f>
        <v/>
      </c>
      <c r="CN35" s="17">
        <f>IFERROR(BZ35-BL35,"")</f>
        <v/>
      </c>
      <c r="CO35" s="17">
        <f>IFERROR(CA35-BM35,"")</f>
        <v/>
      </c>
      <c r="CP35" s="17">
        <f>IFERROR(CB35-BN35,"")</f>
        <v/>
      </c>
      <c r="CQ35" s="17">
        <f>IFERROR(CC35-BO35,"")</f>
        <v/>
      </c>
      <c r="CR35" s="17">
        <f>IFERROR(CD35-BP35,"")</f>
        <v/>
      </c>
      <c r="CS35" s="17">
        <f>IFERROR(CE35-BQ35,"")</f>
        <v/>
      </c>
      <c r="CT35" s="17">
        <f>IFERROR(CF35-BR35,"")</f>
        <v/>
      </c>
      <c r="CU35" s="17">
        <f>IFERROR(CG35-BS35,"")</f>
        <v/>
      </c>
      <c r="CV35" s="17">
        <f>IFERROR(CH35-BT35,"")</f>
        <v/>
      </c>
    </row>
    <row r="36">
      <c r="B36" s="15" t="n">
        <v>28</v>
      </c>
      <c r="C36" s="15" t="inlineStr">
        <is>
          <t>Tue</t>
        </is>
      </c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T36" s="16" t="n"/>
      <c r="AU36" s="16" t="n"/>
      <c r="AV36" s="16" t="n"/>
      <c r="AW36" s="16" t="n"/>
      <c r="AX36" s="16" t="n"/>
      <c r="AY36" s="16" t="n"/>
      <c r="AZ36" s="16" t="n"/>
      <c r="BA36" s="16" t="n"/>
      <c r="BB36" s="16" t="n"/>
      <c r="BC36" s="16" t="n"/>
      <c r="BD36" s="16" t="n"/>
      <c r="BE36" s="16" t="n"/>
      <c r="BF36" s="16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J36" s="17">
        <f>IFERROR(BV36-BH36,"")</f>
        <v/>
      </c>
      <c r="CK36" s="17">
        <f>IFERROR(BW36-BI36,"")</f>
        <v/>
      </c>
      <c r="CL36" s="17">
        <f>IFERROR(BX36-BJ36,"")</f>
        <v/>
      </c>
      <c r="CM36" s="17">
        <f>IFERROR(BY36-BK36,"")</f>
        <v/>
      </c>
      <c r="CN36" s="17">
        <f>IFERROR(BZ36-BL36,"")</f>
        <v/>
      </c>
      <c r="CO36" s="17">
        <f>IFERROR(CA36-BM36,"")</f>
        <v/>
      </c>
      <c r="CP36" s="17">
        <f>IFERROR(CB36-BN36,"")</f>
        <v/>
      </c>
      <c r="CQ36" s="17">
        <f>IFERROR(CC36-BO36,"")</f>
        <v/>
      </c>
      <c r="CR36" s="17">
        <f>IFERROR(CD36-BP36,"")</f>
        <v/>
      </c>
      <c r="CS36" s="17">
        <f>IFERROR(CE36-BQ36,"")</f>
        <v/>
      </c>
      <c r="CT36" s="17">
        <f>IFERROR(CF36-BR36,"")</f>
        <v/>
      </c>
      <c r="CU36" s="17">
        <f>IFERROR(CG36-BS36,"")</f>
        <v/>
      </c>
      <c r="CV36" s="17">
        <f>IFERROR(CH36-BT36,"")</f>
        <v/>
      </c>
    </row>
    <row r="37">
      <c r="B37" s="15" t="n">
        <v>29</v>
      </c>
      <c r="C37" s="15" t="inlineStr">
        <is>
          <t>Wed</t>
        </is>
      </c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T37" s="16" t="n"/>
      <c r="AU37" s="16" t="n"/>
      <c r="AV37" s="16" t="n"/>
      <c r="AW37" s="16" t="n"/>
      <c r="AX37" s="16" t="n"/>
      <c r="AY37" s="16" t="n"/>
      <c r="AZ37" s="16" t="n"/>
      <c r="BA37" s="16" t="n"/>
      <c r="BB37" s="16" t="n"/>
      <c r="BC37" s="16" t="n"/>
      <c r="BD37" s="16" t="n"/>
      <c r="BE37" s="16" t="n"/>
      <c r="BF37" s="16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J37" s="17">
        <f>IFERROR(BV37-BH37,"")</f>
        <v/>
      </c>
      <c r="CK37" s="17">
        <f>IFERROR(BW37-BI37,"")</f>
        <v/>
      </c>
      <c r="CL37" s="17">
        <f>IFERROR(BX37-BJ37,"")</f>
        <v/>
      </c>
      <c r="CM37" s="17">
        <f>IFERROR(BY37-BK37,"")</f>
        <v/>
      </c>
      <c r="CN37" s="17">
        <f>IFERROR(BZ37-BL37,"")</f>
        <v/>
      </c>
      <c r="CO37" s="17">
        <f>IFERROR(CA37-BM37,"")</f>
        <v/>
      </c>
      <c r="CP37" s="17">
        <f>IFERROR(CB37-BN37,"")</f>
        <v/>
      </c>
      <c r="CQ37" s="17">
        <f>IFERROR(CC37-BO37,"")</f>
        <v/>
      </c>
      <c r="CR37" s="17">
        <f>IFERROR(CD37-BP37,"")</f>
        <v/>
      </c>
      <c r="CS37" s="17">
        <f>IFERROR(CE37-BQ37,"")</f>
        <v/>
      </c>
      <c r="CT37" s="17">
        <f>IFERROR(CF37-BR37,"")</f>
        <v/>
      </c>
      <c r="CU37" s="17">
        <f>IFERROR(CG37-BS37,"")</f>
        <v/>
      </c>
      <c r="CV37" s="17">
        <f>IFERROR(CH37-BT37,"")</f>
        <v/>
      </c>
    </row>
    <row r="38">
      <c r="B38" s="15" t="n">
        <v>30</v>
      </c>
      <c r="C38" s="15" t="inlineStr">
        <is>
          <t>Thu</t>
        </is>
      </c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T38" s="16" t="n"/>
      <c r="AU38" s="16" t="n"/>
      <c r="AV38" s="16" t="n"/>
      <c r="AW38" s="16" t="n"/>
      <c r="AX38" s="16" t="n"/>
      <c r="AY38" s="16" t="n"/>
      <c r="AZ38" s="16" t="n"/>
      <c r="BA38" s="16" t="n"/>
      <c r="BB38" s="16" t="n"/>
      <c r="BC38" s="16" t="n"/>
      <c r="BD38" s="16" t="n"/>
      <c r="BE38" s="16" t="n"/>
      <c r="BF38" s="16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J38" s="17">
        <f>IFERROR(BV38-BH38,"")</f>
        <v/>
      </c>
      <c r="CK38" s="17">
        <f>IFERROR(BW38-BI38,"")</f>
        <v/>
      </c>
      <c r="CL38" s="17">
        <f>IFERROR(BX38-BJ38,"")</f>
        <v/>
      </c>
      <c r="CM38" s="17">
        <f>IFERROR(BY38-BK38,"")</f>
        <v/>
      </c>
      <c r="CN38" s="17">
        <f>IFERROR(BZ38-BL38,"")</f>
        <v/>
      </c>
      <c r="CO38" s="17">
        <f>IFERROR(CA38-BM38,"")</f>
        <v/>
      </c>
      <c r="CP38" s="17">
        <f>IFERROR(CB38-BN38,"")</f>
        <v/>
      </c>
      <c r="CQ38" s="17">
        <f>IFERROR(CC38-BO38,"")</f>
        <v/>
      </c>
      <c r="CR38" s="17">
        <f>IFERROR(CD38-BP38,"")</f>
        <v/>
      </c>
      <c r="CS38" s="17">
        <f>IFERROR(CE38-BQ38,"")</f>
        <v/>
      </c>
      <c r="CT38" s="17">
        <f>IFERROR(CF38-BR38,"")</f>
        <v/>
      </c>
      <c r="CU38" s="17">
        <f>IFERROR(CG38-BS38,"")</f>
        <v/>
      </c>
      <c r="CV38" s="17">
        <f>IFERROR(CH38-BT38,"")</f>
        <v/>
      </c>
    </row>
    <row r="39">
      <c r="B39" s="15" t="n">
        <v>31</v>
      </c>
      <c r="C39" s="15" t="inlineStr">
        <is>
          <t>Fri</t>
        </is>
      </c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T39" s="16" t="n"/>
      <c r="AU39" s="16" t="n"/>
      <c r="AV39" s="16" t="n"/>
      <c r="AW39" s="16" t="n"/>
      <c r="AX39" s="16" t="n"/>
      <c r="AY39" s="16" t="n"/>
      <c r="AZ39" s="16" t="n"/>
      <c r="BA39" s="16" t="n"/>
      <c r="BB39" s="16" t="n"/>
      <c r="BC39" s="16" t="n"/>
      <c r="BD39" s="16" t="n"/>
      <c r="BE39" s="16" t="n"/>
      <c r="BF39" s="16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J39" s="17">
        <f>IFERROR(BV39-BH39,"")</f>
        <v/>
      </c>
      <c r="CK39" s="17">
        <f>IFERROR(BW39-BI39,"")</f>
        <v/>
      </c>
      <c r="CL39" s="17">
        <f>IFERROR(BX39-BJ39,"")</f>
        <v/>
      </c>
      <c r="CM39" s="17">
        <f>IFERROR(BY39-BK39,"")</f>
        <v/>
      </c>
      <c r="CN39" s="17">
        <f>IFERROR(BZ39-BL39,"")</f>
        <v/>
      </c>
      <c r="CO39" s="17">
        <f>IFERROR(CA39-BM39,"")</f>
        <v/>
      </c>
      <c r="CP39" s="17">
        <f>IFERROR(CB39-BN39,"")</f>
        <v/>
      </c>
      <c r="CQ39" s="17">
        <f>IFERROR(CC39-BO39,"")</f>
        <v/>
      </c>
      <c r="CR39" s="17">
        <f>IFERROR(CD39-BP39,"")</f>
        <v/>
      </c>
      <c r="CS39" s="17">
        <f>IFERROR(CE39-BQ39,"")</f>
        <v/>
      </c>
      <c r="CT39" s="17">
        <f>IFERROR(CF39-BR39,"")</f>
        <v/>
      </c>
      <c r="CU39" s="17">
        <f>IFERROR(CG39-BS39,"")</f>
        <v/>
      </c>
      <c r="CV39" s="17">
        <f>IFERROR(CH39-BT39,"")</f>
        <v/>
      </c>
    </row>
    <row r="40">
      <c r="B40" s="15" t="n">
        <v>32</v>
      </c>
      <c r="C40" s="15" t="inlineStr">
        <is>
          <t>Sat</t>
        </is>
      </c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T40" s="16" t="n"/>
      <c r="AU40" s="16" t="n"/>
      <c r="AV40" s="16" t="n"/>
      <c r="AW40" s="16" t="n"/>
      <c r="AX40" s="16" t="n"/>
      <c r="AY40" s="16" t="n"/>
      <c r="AZ40" s="16" t="n"/>
      <c r="BA40" s="16" t="n"/>
      <c r="BB40" s="16" t="n"/>
      <c r="BC40" s="16" t="n"/>
      <c r="BD40" s="16" t="n"/>
      <c r="BE40" s="16" t="n"/>
      <c r="BF40" s="16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J40" s="17">
        <f>IFERROR(BV40-BH40,"")</f>
        <v/>
      </c>
      <c r="CK40" s="17">
        <f>IFERROR(BW40-BI40,"")</f>
        <v/>
      </c>
      <c r="CL40" s="17">
        <f>IFERROR(BX40-BJ40,"")</f>
        <v/>
      </c>
      <c r="CM40" s="17">
        <f>IFERROR(BY40-BK40,"")</f>
        <v/>
      </c>
      <c r="CN40" s="17">
        <f>IFERROR(BZ40-BL40,"")</f>
        <v/>
      </c>
      <c r="CO40" s="17">
        <f>IFERROR(CA40-BM40,"")</f>
        <v/>
      </c>
      <c r="CP40" s="17">
        <f>IFERROR(CB40-BN40,"")</f>
        <v/>
      </c>
      <c r="CQ40" s="17">
        <f>IFERROR(CC40-BO40,"")</f>
        <v/>
      </c>
      <c r="CR40" s="17">
        <f>IFERROR(CD40-BP40,"")</f>
        <v/>
      </c>
      <c r="CS40" s="17">
        <f>IFERROR(CE40-BQ40,"")</f>
        <v/>
      </c>
      <c r="CT40" s="17">
        <f>IFERROR(CF40-BR40,"")</f>
        <v/>
      </c>
      <c r="CU40" s="17">
        <f>IFERROR(CG40-BS40,"")</f>
        <v/>
      </c>
      <c r="CV40" s="17">
        <f>IFERROR(CH40-BT40,"")</f>
        <v/>
      </c>
    </row>
    <row r="41">
      <c r="B41" s="15" t="n">
        <v>33</v>
      </c>
      <c r="C41" s="15" t="inlineStr">
        <is>
          <t>Sun</t>
        </is>
      </c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T41" s="16" t="n"/>
      <c r="AU41" s="16" t="n"/>
      <c r="AV41" s="16" t="n"/>
      <c r="AW41" s="16" t="n"/>
      <c r="AX41" s="16" t="n"/>
      <c r="AY41" s="16" t="n"/>
      <c r="AZ41" s="16" t="n"/>
      <c r="BA41" s="16" t="n"/>
      <c r="BB41" s="16" t="n"/>
      <c r="BC41" s="16" t="n"/>
      <c r="BD41" s="16" t="n"/>
      <c r="BE41" s="16" t="n"/>
      <c r="BF41" s="16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J41" s="17">
        <f>IFERROR(BV41-BH41,"")</f>
        <v/>
      </c>
      <c r="CK41" s="17">
        <f>IFERROR(BW41-BI41,"")</f>
        <v/>
      </c>
      <c r="CL41" s="17">
        <f>IFERROR(BX41-BJ41,"")</f>
        <v/>
      </c>
      <c r="CM41" s="17">
        <f>IFERROR(BY41-BK41,"")</f>
        <v/>
      </c>
      <c r="CN41" s="17">
        <f>IFERROR(BZ41-BL41,"")</f>
        <v/>
      </c>
      <c r="CO41" s="17">
        <f>IFERROR(CA41-BM41,"")</f>
        <v/>
      </c>
      <c r="CP41" s="17">
        <f>IFERROR(CB41-BN41,"")</f>
        <v/>
      </c>
      <c r="CQ41" s="17">
        <f>IFERROR(CC41-BO41,"")</f>
        <v/>
      </c>
      <c r="CR41" s="17">
        <f>IFERROR(CD41-BP41,"")</f>
        <v/>
      </c>
      <c r="CS41" s="17">
        <f>IFERROR(CE41-BQ41,"")</f>
        <v/>
      </c>
      <c r="CT41" s="17">
        <f>IFERROR(CF41-BR41,"")</f>
        <v/>
      </c>
      <c r="CU41" s="17">
        <f>IFERROR(CG41-BS41,"")</f>
        <v/>
      </c>
      <c r="CV41" s="17">
        <f>IFERROR(CH41-BT41,"")</f>
        <v/>
      </c>
    </row>
    <row r="42">
      <c r="B42" s="19" t="inlineStr">
        <is>
          <t>TOTAL</t>
        </is>
      </c>
      <c r="C42" s="20" t="n"/>
      <c r="D42" s="21">
        <f>SUM(D9:D41)</f>
        <v/>
      </c>
      <c r="E42" s="21">
        <f>SUM(E9:E41)</f>
        <v/>
      </c>
      <c r="F42" s="21">
        <f>SUM(F9:F41)</f>
        <v/>
      </c>
      <c r="G42" s="21">
        <f>SUM(G9:G41)</f>
        <v/>
      </c>
      <c r="H42" s="21">
        <f>SUM(H9:H41)</f>
        <v/>
      </c>
      <c r="I42" s="21">
        <f>SUM(I9:I41)</f>
        <v/>
      </c>
      <c r="J42" s="21">
        <f>SUM(J9:J41)</f>
        <v/>
      </c>
      <c r="K42" s="21">
        <f>SUM(K9:K41)</f>
        <v/>
      </c>
      <c r="L42" s="21">
        <f>SUM(L9:L41)</f>
        <v/>
      </c>
      <c r="M42" s="21">
        <f>SUM(M9:M41)</f>
        <v/>
      </c>
      <c r="N42" s="21">
        <f>SUM(N9:N41)</f>
        <v/>
      </c>
      <c r="O42" s="21">
        <f>SUM(O9:O41)</f>
        <v/>
      </c>
      <c r="P42" s="21">
        <f>SUM(P9:P41)</f>
        <v/>
      </c>
      <c r="R42" s="22">
        <f>SUM(R9:R41)</f>
        <v/>
      </c>
      <c r="S42" s="22">
        <f>SUM(S9:S41)</f>
        <v/>
      </c>
      <c r="T42" s="22">
        <f>SUM(T9:T41)</f>
        <v/>
      </c>
      <c r="U42" s="22">
        <f>SUM(U9:U41)</f>
        <v/>
      </c>
      <c r="V42" s="22">
        <f>SUM(V9:V41)</f>
        <v/>
      </c>
      <c r="W42" s="22">
        <f>SUM(W9:W41)</f>
        <v/>
      </c>
      <c r="X42" s="22">
        <f>SUM(X9:X41)</f>
        <v/>
      </c>
      <c r="Y42" s="22">
        <f>SUM(Y9:Y41)</f>
        <v/>
      </c>
      <c r="Z42" s="22">
        <f>SUM(Z9:Z41)</f>
        <v/>
      </c>
      <c r="AA42" s="22">
        <f>SUM(AA9:AA41)</f>
        <v/>
      </c>
      <c r="AB42" s="22">
        <f>SUM(AB9:AB41)</f>
        <v/>
      </c>
      <c r="AC42" s="22">
        <f>SUM(AC9:AC41)</f>
        <v/>
      </c>
      <c r="AD42" s="22">
        <f>SUM(AD9:AD41)</f>
        <v/>
      </c>
      <c r="AF42" s="23">
        <f>SUM(AF9:AF41)</f>
        <v/>
      </c>
      <c r="AG42" s="23">
        <f>SUM(AG9:AG41)</f>
        <v/>
      </c>
      <c r="AH42" s="23">
        <f>SUM(AH9:AH41)</f>
        <v/>
      </c>
      <c r="AI42" s="23">
        <f>SUM(AI9:AI41)</f>
        <v/>
      </c>
      <c r="AJ42" s="23">
        <f>SUM(AJ9:AJ41)</f>
        <v/>
      </c>
      <c r="AK42" s="23">
        <f>SUM(AK9:AK41)</f>
        <v/>
      </c>
      <c r="AL42" s="23">
        <f>SUM(AL9:AL41)</f>
        <v/>
      </c>
      <c r="AM42" s="23">
        <f>SUM(AM9:AM41)</f>
        <v/>
      </c>
      <c r="AN42" s="23">
        <f>SUM(AN9:AN41)</f>
        <v/>
      </c>
      <c r="AO42" s="23">
        <f>SUM(AO9:AO41)</f>
        <v/>
      </c>
      <c r="AP42" s="23">
        <f>SUM(AP9:AP41)</f>
        <v/>
      </c>
      <c r="AQ42" s="23">
        <f>SUM(AQ9:AQ41)</f>
        <v/>
      </c>
      <c r="AR42" s="23">
        <f>SUM(AR9:AR41)</f>
        <v/>
      </c>
      <c r="AT42" s="24">
        <f>IF(COUNT(AT9:AT41)=0,"",SUM(AT9:AT41))</f>
        <v/>
      </c>
      <c r="AU42" s="24">
        <f>IF(COUNT(AU9:AU41)=0,"",SUM(AU9:AU41))</f>
        <v/>
      </c>
      <c r="AV42" s="24">
        <f>IF(COUNT(AV9:AV41)=0,"",SUM(AV9:AV41))</f>
        <v/>
      </c>
      <c r="AW42" s="24">
        <f>IF(COUNT(AW9:AW41)=0,"",SUM(AW9:AW41))</f>
        <v/>
      </c>
      <c r="AX42" s="24">
        <f>IF(COUNT(AX9:AX41)=0,"",SUM(AX9:AX41))</f>
        <v/>
      </c>
      <c r="AY42" s="24">
        <f>IF(COUNT(AY9:AY41)=0,"",SUM(AY9:AY41))</f>
        <v/>
      </c>
      <c r="AZ42" s="24">
        <f>IF(COUNT(AZ9:AZ41)=0,"",SUM(AZ9:AZ41))</f>
        <v/>
      </c>
      <c r="BA42" s="24">
        <f>IF(COUNT(BA9:BA41)=0,"",SUM(BA9:BA41))</f>
        <v/>
      </c>
      <c r="BB42" s="24">
        <f>IF(COUNT(BB9:BB41)=0,"",SUM(BB9:BB41))</f>
        <v/>
      </c>
      <c r="BC42" s="24">
        <f>IF(COUNT(BC9:BC41)=0,"",SUM(BC9:BC41))</f>
        <v/>
      </c>
      <c r="BD42" s="24">
        <f>IF(COUNT(BD9:BD41)=0,"",SUM(BD9:BD41))</f>
        <v/>
      </c>
      <c r="BE42" s="24">
        <f>IF(COUNT(BE9:BE41)=0,"",SUM(BE9:BE41))</f>
        <v/>
      </c>
      <c r="BF42" s="24">
        <f>IF(COUNT(BF9:BF41)=0,"",SUM(BF9:BF41))</f>
        <v/>
      </c>
      <c r="BH42" s="25">
        <f>IF(COUNT(BH9:BH41)=0,"",SUM(BH9:BH41))</f>
        <v/>
      </c>
      <c r="BI42" s="25">
        <f>IF(COUNT(BI9:BI41)=0,"",SUM(BI9:BI41))</f>
        <v/>
      </c>
      <c r="BJ42" s="25">
        <f>IF(COUNT(BJ9:BJ41)=0,"",SUM(BJ9:BJ41))</f>
        <v/>
      </c>
      <c r="BK42" s="25">
        <f>IF(COUNT(BK9:BK41)=0,"",SUM(BK9:BK41))</f>
        <v/>
      </c>
      <c r="BL42" s="25">
        <f>IF(COUNT(BL9:BL41)=0,"",SUM(BL9:BL41))</f>
        <v/>
      </c>
      <c r="BM42" s="25">
        <f>IF(COUNT(BM9:BM41)=0,"",SUM(BM9:BM41))</f>
        <v/>
      </c>
      <c r="BN42" s="25">
        <f>IF(COUNT(BN9:BN41)=0,"",SUM(BN9:BN41))</f>
        <v/>
      </c>
      <c r="BO42" s="25">
        <f>IF(COUNT(BO9:BO41)=0,"",SUM(BO9:BO41))</f>
        <v/>
      </c>
      <c r="BP42" s="25">
        <f>IF(COUNT(BP9:BP41)=0,"",SUM(BP9:BP41))</f>
        <v/>
      </c>
      <c r="BQ42" s="25">
        <f>IF(COUNT(BQ9:BQ41)=0,"",SUM(BQ9:BQ41))</f>
        <v/>
      </c>
      <c r="BR42" s="25">
        <f>IF(COUNT(BR9:BR41)=0,"",SUM(BR9:BR41))</f>
        <v/>
      </c>
      <c r="BS42" s="25">
        <f>IF(COUNT(BS9:BS41)=0,"",SUM(BS9:BS41))</f>
        <v/>
      </c>
      <c r="BT42" s="25">
        <f>IF(COUNT(BT9:BT41)=0,"",SUM(BT9:BT41))</f>
        <v/>
      </c>
      <c r="BV42" s="25">
        <f>IF(COUNT(BV9:BV41)=0,"",SUM(BV9:BV41))</f>
        <v/>
      </c>
      <c r="BW42" s="25">
        <f>IF(COUNT(BW9:BW41)=0,"",SUM(BW9:BW41))</f>
        <v/>
      </c>
      <c r="BX42" s="25">
        <f>IF(COUNT(BX9:BX41)=0,"",SUM(BX9:BX41))</f>
        <v/>
      </c>
      <c r="BY42" s="25">
        <f>IF(COUNT(BY9:BY41)=0,"",SUM(BY9:BY41))</f>
        <v/>
      </c>
      <c r="BZ42" s="25">
        <f>IF(COUNT(BZ9:BZ41)=0,"",SUM(BZ9:BZ41))</f>
        <v/>
      </c>
      <c r="CA42" s="25">
        <f>IF(COUNT(CA9:CA41)=0,"",SUM(CA9:CA41))</f>
        <v/>
      </c>
      <c r="CB42" s="25">
        <f>IF(COUNT(CB9:CB41)=0,"",SUM(CB9:CB41))</f>
        <v/>
      </c>
      <c r="CC42" s="25">
        <f>IF(COUNT(CC9:CC41)=0,"",SUM(CC9:CC41))</f>
        <v/>
      </c>
      <c r="CD42" s="25">
        <f>IF(COUNT(CD9:CD41)=0,"",SUM(CD9:CD41))</f>
        <v/>
      </c>
      <c r="CE42" s="25">
        <f>IF(COUNT(CE9:CE41)=0,"",SUM(CE9:CE41))</f>
        <v/>
      </c>
      <c r="CF42" s="25">
        <f>IF(COUNT(CF9:CF41)=0,"",SUM(CF9:CF41))</f>
        <v/>
      </c>
      <c r="CG42" s="25">
        <f>IF(COUNT(CG9:CG41)=0,"",SUM(CG9:CG41))</f>
        <v/>
      </c>
      <c r="CH42" s="25">
        <f>IF(COUNT(CH9:CH41)=0,"",SUM(CH9:CH41))</f>
        <v/>
      </c>
      <c r="CJ42" s="23">
        <f>IF(COUNT(CJ9:CJ41)=0,"",SUM(CJ9:CJ41))</f>
        <v/>
      </c>
      <c r="CK42" s="23">
        <f>IF(COUNT(CK9:CK41)=0,"",SUM(CK9:CK41))</f>
        <v/>
      </c>
      <c r="CL42" s="23">
        <f>IF(COUNT(CL9:CL41)=0,"",SUM(CL9:CL41))</f>
        <v/>
      </c>
      <c r="CM42" s="23">
        <f>IF(COUNT(CM9:CM41)=0,"",SUM(CM9:CM41))</f>
        <v/>
      </c>
      <c r="CN42" s="23">
        <f>IF(COUNT(CN9:CN41)=0,"",SUM(CN9:CN41))</f>
        <v/>
      </c>
      <c r="CO42" s="23">
        <f>IF(COUNT(CO9:CO41)=0,"",SUM(CO9:CO41))</f>
        <v/>
      </c>
      <c r="CP42" s="23">
        <f>IF(COUNT(CP9:CP41)=0,"",SUM(CP9:CP41))</f>
        <v/>
      </c>
      <c r="CQ42" s="23">
        <f>IF(COUNT(CQ9:CQ41)=0,"",SUM(CQ9:CQ41))</f>
        <v/>
      </c>
      <c r="CR42" s="23">
        <f>IF(COUNT(CR9:CR41)=0,"",SUM(CR9:CR41))</f>
        <v/>
      </c>
      <c r="CS42" s="23">
        <f>IF(COUNT(CS9:CS41)=0,"",SUM(CS9:CS41))</f>
        <v/>
      </c>
      <c r="CT42" s="23">
        <f>IF(COUNT(CT9:CT41)=0,"",SUM(CT9:CT41))</f>
        <v/>
      </c>
      <c r="CU42" s="23">
        <f>IF(COUNT(CU9:CU41)=0,"",SUM(CU9:CU41))</f>
        <v/>
      </c>
      <c r="CV42" s="23">
        <f>IF(COUNT(CV9:CV41)=0,"",SUM(CV9:CV41))</f>
        <v/>
      </c>
    </row>
    <row r="44">
      <c r="B44" s="26" t="inlineStr">
        <is>
          <t>LEGEND / ALLOCATION RULES (claim-day realistic — EcoGainsSim_Daily.gs)</t>
        </is>
      </c>
    </row>
    <row r="45">
      <c r="B45" s="5" t="inlineStr">
        <is>
          <t>Window totals are exactly the main sim’s numbers (CURRENT = measured on cal_curr, NEW = simulated on cal_new); this view only places them on days — column TOTALs reconcile with EcoGainsSim_HC.</t>
        </is>
      </c>
    </row>
    <row r="46">
      <c r="B46" s="5" t="inlineStr">
        <is>
          <t>Leaderboard events (Bomb/Chuck/Red Challenge, Level Race, Flash Race, Target Day, Kite) pay on each instance’s LAST day → expect end-day spikes. Instance slices are split by reach.</t>
        </is>
      </c>
    </row>
    <row r="47">
      <c r="B47" s="5" t="inlineStr">
        <is>
          <t>Collections (Hatchling Hideaway, Bomb’s Ballet, Jigsaw, Photoshoot) spread across instance days by the accrual curve’s marginal share; Rainbow Maker spreads ∝ active rate within its instances (no curve — flagged).</t>
        </is>
      </c>
    </row>
    <row r="48">
      <c r="B48" s="5" t="inlineStr">
        <is>
          <t>Core / Saga / Daily Gift pay daily ∝ weekday/weekend active rate; Night Sky over its daily instances. Season Pass (Free) spreads ∝ active rate across its season-lane instances (tier claims are continuous — same treatment as Rainbow Maker). Non-calendar sources (Ads, Teams, Other, IAPs; River Rush current side) are flat ÷33 — their DIFF is uniform.</t>
        </is>
      </c>
    </row>
    <row r="49">
      <c r="B49" s="5" t="inlineStr">
        <is>
          <t>Weekend rows (Fri/Sat/Sun) are tinted. Filters: Payer / Segment / Source — Source=ALL sums every category; pick one to isolate its daily contribution.</t>
        </is>
      </c>
    </row>
    <row r="50">
      <c r="B50" s="5" t="inlineStr">
        <is>
          <t>NET blocks (AT:CH, per EARNER; 13 resources incl. SPT/SPTx2): ACTUAL SPEND and the gain side come from the data_econ_daily sheet (real per-day telemetry, window-earner denominator). CURRENT NET = actual gain − spend; NEW NET = actual gain + the sim’s day shift (NEW − CURRENT) − spend, so spend is held constant and net Δ == the DIFF block.</t>
        </is>
      </c>
    </row>
    <row r="51">
      <c r="B51" s="5" t="inlineStr">
        <is>
          <t>NET blocks are BLANK when Source ≠ ALL (spend is game-wide, not attributable to one event) and until the data_econ_daily sheet exists in the workbook. Their TOTAL row blanks out too (no data ≠ zero net).</t>
        </is>
      </c>
    </row>
  </sheetData>
  <conditionalFormatting sqref="AF9:AR41">
    <cfRule type="cellIs" priority="1" operator="lessThan" dxfId="0" stopIfTrue="1">
      <formula>0</formula>
    </cfRule>
    <cfRule type="cellIs" priority="2" operator="greaterThan" dxfId="1" stopIfTrue="1">
      <formula>0</formula>
    </cfRule>
  </conditionalFormatting>
  <conditionalFormatting sqref="CJ9:CV41">
    <cfRule type="cellIs" priority="3" operator="lessThan" dxfId="0" stopIfTrue="1">
      <formula>0</formula>
    </cfRule>
    <cfRule type="cellIs" priority="4" operator="greaterThan" dxfId="1" stopIfTrue="1">
      <formula>0</formula>
    </cfRule>
  </conditionalFormatting>
  <conditionalFormatting sqref="B9:CV41">
    <cfRule type="expression" priority="5" dxfId="2">
      <formula>OR($C9="Fri",$C9="Sat",$C9="Sun")</formula>
    </cfRule>
  </conditionalFormatting>
  <dataValidations count="3">
    <dataValidation sqref="C3" showDropDown="0" showInputMessage="0" showErrorMessage="0" allowBlank="0" type="list">
      <formula1>"NONPAYER,PAYER"</formula1>
    </dataValidation>
    <dataValidation sqref="C4" showDropDown="0" showInputMessage="0" showErrorMessage="0" allowBlank="0" type="list">
      <formula1>"0-9,10-19,20-39,40-99,100+"</formula1>
    </dataValidation>
    <dataValidation sqref="C5" showDropDown="0" showInputMessage="0" showErrorMessage="0" allowBlank="0" type="list">
      <formula1>=$CX$2:$CX$27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2026-07-10T09:19:46Z</dcterms:created>
  <dcterms:modified xsi:type="dcterms:W3CDTF">2026-07-10T09:19:46Z</dcterms:modified>
</cp:coreProperties>
</file>