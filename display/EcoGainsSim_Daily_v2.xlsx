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FF808080"/>
      <sz val="9"/>
    </font>
    <font>
      <name val="Arial"/>
      <color rgb="FF808080"/>
      <sz val="8"/>
    </font>
    <font>
      <name val="Arial"/>
      <b val="1"/>
      <color rgb="FFFFFFFF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</fonts>
  <fills count="1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CFE2F3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666666"/>
      </patternFill>
    </fill>
    <fill>
      <patternFill patternType="solid">
        <fgColor rgb="FFEFEFEF"/>
      </patternFill>
    </fill>
    <fill>
      <patternFill patternType="solid">
        <fgColor rgb="FF7030A0"/>
      </patternFill>
    </fill>
    <fill>
      <patternFill patternType="solid">
        <fgColor rgb="FFE9D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9" borderId="0" pivotButton="0" quotePrefix="0" xfId="0"/>
    <xf numFmtId="0" fontId="6" fillId="11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6" fillId="11" borderId="1" pivotButton="0" quotePrefix="0" xfId="0"/>
    <xf numFmtId="0" fontId="0" fillId="11" borderId="1" pivotButton="0" quotePrefix="0" xfId="0"/>
    <xf numFmtId="4" fontId="2" fillId="4" borderId="1" applyAlignment="1" pivotButton="0" quotePrefix="0" xfId="0">
      <alignment horizontal="center"/>
    </xf>
    <xf numFmtId="4" fontId="2" fillId="6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4" fontId="2" fillId="10" borderId="1" applyAlignment="1" pivotButton="0" quotePrefix="0" xfId="0">
      <alignment horizontal="center"/>
    </xf>
    <xf numFmtId="165" fontId="2" fillId="1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color rgb="FF990000"/>
      </font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D9EAD3"/>
        </patternFill>
      </fill>
    </dxf>
    <dxf>
      <fill>
        <patternFill patternType="solid">
          <fgColor rgb="FFFEF8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N53"/>
  <sheetViews>
    <sheetView showGridLines="0" workbookViewId="0">
      <selection activeCell="A1" sqref="A1"/>
    </sheetView>
  </sheetViews>
  <sheetFormatPr baseColWidth="8" defaultRowHeight="15"/>
  <cols>
    <col width="1.75" customWidth="1" min="1" max="1"/>
    <col width="5.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2.8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2.8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2.8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2.8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2.8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2.8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2.88" customWidth="1" min="143" max="143"/>
    <col width="21" customWidth="1" min="144" max="144"/>
  </cols>
  <sheetData>
    <row r="1">
      <c r="B1" s="1" t="inlineStr">
        <is>
          <t>DAILY RESOURCE GAINS + NET — 33-day calendar, per earner (day 1 = Wednesday)</t>
        </is>
      </c>
      <c r="EN1" s="2" t="inlineStr">
        <is>
          <t>source dropdown list</t>
        </is>
      </c>
    </row>
    <row r="2">
      <c r="EN2" s="2" t="inlineStr">
        <is>
          <t>ALL</t>
        </is>
      </c>
    </row>
    <row r="3">
      <c r="B3" s="3" t="inlineStr">
        <is>
          <t>Payer</t>
        </is>
      </c>
      <c r="C3" s="4" t="inlineStr">
        <is>
          <t>NONPAYER</t>
        </is>
      </c>
      <c r="D3" s="5" t="inlineStr">
        <is>
          <t>◀ filters (dropdowns) — the whole table re-simulates on change</t>
        </is>
      </c>
      <c r="EN3" s="2" t="inlineStr">
        <is>
          <t>Ads</t>
        </is>
      </c>
    </row>
    <row r="4">
      <c r="B4" s="3" t="inlineStr">
        <is>
          <t>Segment</t>
        </is>
      </c>
      <c r="C4" s="4" t="inlineStr">
        <is>
          <t>0-9</t>
        </is>
      </c>
      <c r="EN4" s="2" t="inlineStr">
        <is>
          <t>Bomb Challenge</t>
        </is>
      </c>
    </row>
    <row r="5">
      <c r="B5" s="3" t="inlineStr">
        <is>
          <t>Source</t>
        </is>
      </c>
      <c r="C5" s="4" t="inlineStr">
        <is>
          <t>ALL</t>
        </is>
      </c>
      <c r="EN5" s="2" t="inlineStr">
        <is>
          <t>Bomb's Ballet</t>
        </is>
      </c>
    </row>
    <row r="6">
      <c r="EN6" s="2" t="inlineStr">
        <is>
          <t>Chuck Challenge</t>
        </is>
      </c>
    </row>
    <row r="7">
      <c r="D7" s="6" t="inlineStr">
        <is>
          <t>◄ CURRENT (cal_curr, measured) ►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X7" s="7" t="inlineStr">
        <is>
          <t>◄ NEW (cal_new, simulated) ►</t>
        </is>
      </c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R7" s="8" t="inlineStr">
        <is>
          <t>Δ  NEW − CURRENT (same day)</t>
        </is>
      </c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L7" s="9" t="inlineStr">
        <is>
          <t>◄ ACTUAL SPEND / earner (data_econ_daily) ►</t>
        </is>
      </c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F7" s="9" t="inlineStr">
        <is>
          <t>◄ CURRENT NET / earner (gain − spend) ►</t>
        </is>
      </c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Z7" s="9" t="inlineStr">
        <is>
          <t>◄ NEW NET / earner (gain + sim Δ − spend) ►</t>
        </is>
      </c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T7" s="8" t="inlineStr">
        <is>
          <t>Δ  NET (new − cur; == sim Δ)</t>
        </is>
      </c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N7" s="2" t="inlineStr">
        <is>
          <t>Core</t>
        </is>
      </c>
    </row>
    <row r="8">
      <c r="B8" s="10" t="inlineStr">
        <is>
          <t>Day</t>
        </is>
      </c>
      <c r="C8" s="10" t="inlineStr">
        <is>
          <t>DoW</t>
        </is>
      </c>
      <c r="D8" s="11" t="inlineStr">
        <is>
          <t>HC</t>
        </is>
      </c>
      <c r="E8" s="11" t="inlineStr">
        <is>
          <t>Slingshot</t>
        </is>
      </c>
      <c r="F8" s="11" t="inlineStr">
        <is>
          <t>Shuffle</t>
        </is>
      </c>
      <c r="G8" s="11" t="inlineStr">
        <is>
          <t>Comet</t>
        </is>
      </c>
      <c r="H8" s="11" t="inlineStr">
        <is>
          <t>Red</t>
        </is>
      </c>
      <c r="I8" s="11" t="inlineStr">
        <is>
          <t>Chuck</t>
        </is>
      </c>
      <c r="J8" s="11" t="inlineStr">
        <is>
          <t>Bomb</t>
        </is>
      </c>
      <c r="K8" s="11" t="inlineStr">
        <is>
          <t>UL Bomb</t>
        </is>
      </c>
      <c r="L8" s="11" t="inlineStr">
        <is>
          <t>UL Chuck</t>
        </is>
      </c>
      <c r="M8" s="11" t="inlineStr">
        <is>
          <t>UL Red</t>
        </is>
      </c>
      <c r="N8" s="11" t="inlineStr">
        <is>
          <t>Unlimited Lives</t>
        </is>
      </c>
      <c r="O8" s="11" t="inlineStr">
        <is>
          <t>SPT</t>
        </is>
      </c>
      <c r="P8" s="11" t="inlineStr">
        <is>
          <t>SPTx2</t>
        </is>
      </c>
      <c r="Q8" s="11" t="inlineStr">
        <is>
          <t>1-star Pack</t>
        </is>
      </c>
      <c r="R8" s="11" t="inlineStr">
        <is>
          <t>2-star Pack</t>
        </is>
      </c>
      <c r="S8" s="11" t="inlineStr">
        <is>
          <t>3-star Pack</t>
        </is>
      </c>
      <c r="T8" s="11" t="inlineStr">
        <is>
          <t>4-star Pack</t>
        </is>
      </c>
      <c r="U8" s="11" t="inlineStr">
        <is>
          <t>5-star Pack</t>
        </is>
      </c>
      <c r="V8" s="11" t="inlineStr">
        <is>
          <t>6-star Pack</t>
        </is>
      </c>
      <c r="X8" s="12" t="inlineStr">
        <is>
          <t>HC</t>
        </is>
      </c>
      <c r="Y8" s="12" t="inlineStr">
        <is>
          <t>Slingshot</t>
        </is>
      </c>
      <c r="Z8" s="12" t="inlineStr">
        <is>
          <t>Shuffle</t>
        </is>
      </c>
      <c r="AA8" s="12" t="inlineStr">
        <is>
          <t>Comet</t>
        </is>
      </c>
      <c r="AB8" s="12" t="inlineStr">
        <is>
          <t>Red</t>
        </is>
      </c>
      <c r="AC8" s="12" t="inlineStr">
        <is>
          <t>Chuck</t>
        </is>
      </c>
      <c r="AD8" s="12" t="inlineStr">
        <is>
          <t>Bomb</t>
        </is>
      </c>
      <c r="AE8" s="12" t="inlineStr">
        <is>
          <t>UL Bomb</t>
        </is>
      </c>
      <c r="AF8" s="12" t="inlineStr">
        <is>
          <t>UL Chuck</t>
        </is>
      </c>
      <c r="AG8" s="12" t="inlineStr">
        <is>
          <t>UL Red</t>
        </is>
      </c>
      <c r="AH8" s="12" t="inlineStr">
        <is>
          <t>Unlimited Lives</t>
        </is>
      </c>
      <c r="AI8" s="12" t="inlineStr">
        <is>
          <t>SPT</t>
        </is>
      </c>
      <c r="AJ8" s="12" t="inlineStr">
        <is>
          <t>SPTx2</t>
        </is>
      </c>
      <c r="AK8" s="12" t="inlineStr">
        <is>
          <t>1-star Pack</t>
        </is>
      </c>
      <c r="AL8" s="12" t="inlineStr">
        <is>
          <t>2-star Pack</t>
        </is>
      </c>
      <c r="AM8" s="12" t="inlineStr">
        <is>
          <t>3-star Pack</t>
        </is>
      </c>
      <c r="AN8" s="12" t="inlineStr">
        <is>
          <t>4-star Pack</t>
        </is>
      </c>
      <c r="AO8" s="12" t="inlineStr">
        <is>
          <t>5-star Pack</t>
        </is>
      </c>
      <c r="AP8" s="12" t="inlineStr">
        <is>
          <t>6-star Pack</t>
        </is>
      </c>
      <c r="AR8" s="13" t="inlineStr">
        <is>
          <t>HC</t>
        </is>
      </c>
      <c r="AS8" s="13" t="inlineStr">
        <is>
          <t>Slingshot</t>
        </is>
      </c>
      <c r="AT8" s="13" t="inlineStr">
        <is>
          <t>Shuffle</t>
        </is>
      </c>
      <c r="AU8" s="13" t="inlineStr">
        <is>
          <t>Comet</t>
        </is>
      </c>
      <c r="AV8" s="13" t="inlineStr">
        <is>
          <t>Red</t>
        </is>
      </c>
      <c r="AW8" s="13" t="inlineStr">
        <is>
          <t>Chuck</t>
        </is>
      </c>
      <c r="AX8" s="13" t="inlineStr">
        <is>
          <t>Bomb</t>
        </is>
      </c>
      <c r="AY8" s="13" t="inlineStr">
        <is>
          <t>UL Bomb</t>
        </is>
      </c>
      <c r="AZ8" s="13" t="inlineStr">
        <is>
          <t>UL Chuck</t>
        </is>
      </c>
      <c r="BA8" s="13" t="inlineStr">
        <is>
          <t>UL Red</t>
        </is>
      </c>
      <c r="BB8" s="13" t="inlineStr">
        <is>
          <t>Unlimited Lives</t>
        </is>
      </c>
      <c r="BC8" s="13" t="inlineStr">
        <is>
          <t>SPT</t>
        </is>
      </c>
      <c r="BD8" s="13" t="inlineStr">
        <is>
          <t>SPTx2</t>
        </is>
      </c>
      <c r="BE8" s="13" t="inlineStr">
        <is>
          <t>1-star Pack</t>
        </is>
      </c>
      <c r="BF8" s="13" t="inlineStr">
        <is>
          <t>2-star Pack</t>
        </is>
      </c>
      <c r="BG8" s="13" t="inlineStr">
        <is>
          <t>3-star Pack</t>
        </is>
      </c>
      <c r="BH8" s="13" t="inlineStr">
        <is>
          <t>4-star Pack</t>
        </is>
      </c>
      <c r="BI8" s="13" t="inlineStr">
        <is>
          <t>5-star Pack</t>
        </is>
      </c>
      <c r="BJ8" s="13" t="inlineStr">
        <is>
          <t>6-star Pack</t>
        </is>
      </c>
      <c r="BL8" s="14" t="inlineStr">
        <is>
          <t>HC</t>
        </is>
      </c>
      <c r="BM8" s="14" t="inlineStr">
        <is>
          <t>Slingshot</t>
        </is>
      </c>
      <c r="BN8" s="14" t="inlineStr">
        <is>
          <t>Shuffle</t>
        </is>
      </c>
      <c r="BO8" s="14" t="inlineStr">
        <is>
          <t>Comet</t>
        </is>
      </c>
      <c r="BP8" s="14" t="inlineStr">
        <is>
          <t>Red</t>
        </is>
      </c>
      <c r="BQ8" s="14" t="inlineStr">
        <is>
          <t>Chuck</t>
        </is>
      </c>
      <c r="BR8" s="14" t="inlineStr">
        <is>
          <t>Bomb</t>
        </is>
      </c>
      <c r="BS8" s="14" t="inlineStr">
        <is>
          <t>UL Bomb</t>
        </is>
      </c>
      <c r="BT8" s="14" t="inlineStr">
        <is>
          <t>UL Chuck</t>
        </is>
      </c>
      <c r="BU8" s="14" t="inlineStr">
        <is>
          <t>UL Red</t>
        </is>
      </c>
      <c r="BV8" s="14" t="inlineStr">
        <is>
          <t>Unlimited Lives</t>
        </is>
      </c>
      <c r="BW8" s="14" t="inlineStr">
        <is>
          <t>SPT</t>
        </is>
      </c>
      <c r="BX8" s="14" t="inlineStr">
        <is>
          <t>SPTx2</t>
        </is>
      </c>
      <c r="BY8" s="14" t="inlineStr">
        <is>
          <t>1-star Pack</t>
        </is>
      </c>
      <c r="BZ8" s="14" t="inlineStr">
        <is>
          <t>2-star Pack</t>
        </is>
      </c>
      <c r="CA8" s="14" t="inlineStr">
        <is>
          <t>3-star Pack</t>
        </is>
      </c>
      <c r="CB8" s="14" t="inlineStr">
        <is>
          <t>4-star Pack</t>
        </is>
      </c>
      <c r="CC8" s="14" t="inlineStr">
        <is>
          <t>5-star Pack</t>
        </is>
      </c>
      <c r="CD8" s="14" t="inlineStr">
        <is>
          <t>6-star Pack</t>
        </is>
      </c>
      <c r="CF8" s="14" t="inlineStr">
        <is>
          <t>HC</t>
        </is>
      </c>
      <c r="CG8" s="14" t="inlineStr">
        <is>
          <t>Slingshot</t>
        </is>
      </c>
      <c r="CH8" s="14" t="inlineStr">
        <is>
          <t>Shuffle</t>
        </is>
      </c>
      <c r="CI8" s="14" t="inlineStr">
        <is>
          <t>Comet</t>
        </is>
      </c>
      <c r="CJ8" s="14" t="inlineStr">
        <is>
          <t>Red</t>
        </is>
      </c>
      <c r="CK8" s="14" t="inlineStr">
        <is>
          <t>Chuck</t>
        </is>
      </c>
      <c r="CL8" s="14" t="inlineStr">
        <is>
          <t>Bomb</t>
        </is>
      </c>
      <c r="CM8" s="14" t="inlineStr">
        <is>
          <t>UL Bomb</t>
        </is>
      </c>
      <c r="CN8" s="14" t="inlineStr">
        <is>
          <t>UL Chuck</t>
        </is>
      </c>
      <c r="CO8" s="14" t="inlineStr">
        <is>
          <t>UL Red</t>
        </is>
      </c>
      <c r="CP8" s="14" t="inlineStr">
        <is>
          <t>Unlimited Lives</t>
        </is>
      </c>
      <c r="CQ8" s="14" t="inlineStr">
        <is>
          <t>SPT</t>
        </is>
      </c>
      <c r="CR8" s="14" t="inlineStr">
        <is>
          <t>SPTx2</t>
        </is>
      </c>
      <c r="CS8" s="14" t="inlineStr">
        <is>
          <t>1-star Pack</t>
        </is>
      </c>
      <c r="CT8" s="14" t="inlineStr">
        <is>
          <t>2-star Pack</t>
        </is>
      </c>
      <c r="CU8" s="14" t="inlineStr">
        <is>
          <t>3-star Pack</t>
        </is>
      </c>
      <c r="CV8" s="14" t="inlineStr">
        <is>
          <t>4-star Pack</t>
        </is>
      </c>
      <c r="CW8" s="14" t="inlineStr">
        <is>
          <t>5-star Pack</t>
        </is>
      </c>
      <c r="CX8" s="14" t="inlineStr">
        <is>
          <t>6-star Pack</t>
        </is>
      </c>
      <c r="CZ8" s="14" t="inlineStr">
        <is>
          <t>HC</t>
        </is>
      </c>
      <c r="DA8" s="14" t="inlineStr">
        <is>
          <t>Slingshot</t>
        </is>
      </c>
      <c r="DB8" s="14" t="inlineStr">
        <is>
          <t>Shuffle</t>
        </is>
      </c>
      <c r="DC8" s="14" t="inlineStr">
        <is>
          <t>Comet</t>
        </is>
      </c>
      <c r="DD8" s="14" t="inlineStr">
        <is>
          <t>Red</t>
        </is>
      </c>
      <c r="DE8" s="14" t="inlineStr">
        <is>
          <t>Chuck</t>
        </is>
      </c>
      <c r="DF8" s="14" t="inlineStr">
        <is>
          <t>Bomb</t>
        </is>
      </c>
      <c r="DG8" s="14" t="inlineStr">
        <is>
          <t>UL Bomb</t>
        </is>
      </c>
      <c r="DH8" s="14" t="inlineStr">
        <is>
          <t>UL Chuck</t>
        </is>
      </c>
      <c r="DI8" s="14" t="inlineStr">
        <is>
          <t>UL Red</t>
        </is>
      </c>
      <c r="DJ8" s="14" t="inlineStr">
        <is>
          <t>Unlimited Lives</t>
        </is>
      </c>
      <c r="DK8" s="14" t="inlineStr">
        <is>
          <t>SPT</t>
        </is>
      </c>
      <c r="DL8" s="14" t="inlineStr">
        <is>
          <t>SPTx2</t>
        </is>
      </c>
      <c r="DM8" s="14" t="inlineStr">
        <is>
          <t>1-star Pack</t>
        </is>
      </c>
      <c r="DN8" s="14" t="inlineStr">
        <is>
          <t>2-star Pack</t>
        </is>
      </c>
      <c r="DO8" s="14" t="inlineStr">
        <is>
          <t>3-star Pack</t>
        </is>
      </c>
      <c r="DP8" s="14" t="inlineStr">
        <is>
          <t>4-star Pack</t>
        </is>
      </c>
      <c r="DQ8" s="14" t="inlineStr">
        <is>
          <t>5-star Pack</t>
        </is>
      </c>
      <c r="DR8" s="14" t="inlineStr">
        <is>
          <t>6-star Pack</t>
        </is>
      </c>
      <c r="DT8" s="13" t="inlineStr">
        <is>
          <t>HC</t>
        </is>
      </c>
      <c r="DU8" s="13" t="inlineStr">
        <is>
          <t>Slingshot</t>
        </is>
      </c>
      <c r="DV8" s="13" t="inlineStr">
        <is>
          <t>Shuffle</t>
        </is>
      </c>
      <c r="DW8" s="13" t="inlineStr">
        <is>
          <t>Comet</t>
        </is>
      </c>
      <c r="DX8" s="13" t="inlineStr">
        <is>
          <t>Red</t>
        </is>
      </c>
      <c r="DY8" s="13" t="inlineStr">
        <is>
          <t>Chuck</t>
        </is>
      </c>
      <c r="DZ8" s="13" t="inlineStr">
        <is>
          <t>Bomb</t>
        </is>
      </c>
      <c r="EA8" s="13" t="inlineStr">
        <is>
          <t>UL Bomb</t>
        </is>
      </c>
      <c r="EB8" s="13" t="inlineStr">
        <is>
          <t>UL Chuck</t>
        </is>
      </c>
      <c r="EC8" s="13" t="inlineStr">
        <is>
          <t>UL Red</t>
        </is>
      </c>
      <c r="ED8" s="13" t="inlineStr">
        <is>
          <t>Unlimited Lives</t>
        </is>
      </c>
      <c r="EE8" s="13" t="inlineStr">
        <is>
          <t>SPT</t>
        </is>
      </c>
      <c r="EF8" s="13" t="inlineStr">
        <is>
          <t>SPTx2</t>
        </is>
      </c>
      <c r="EG8" s="13" t="inlineStr">
        <is>
          <t>1-star Pack</t>
        </is>
      </c>
      <c r="EH8" s="13" t="inlineStr">
        <is>
          <t>2-star Pack</t>
        </is>
      </c>
      <c r="EI8" s="13" t="inlineStr">
        <is>
          <t>3-star Pack</t>
        </is>
      </c>
      <c r="EJ8" s="13" t="inlineStr">
        <is>
          <t>4-star Pack</t>
        </is>
      </c>
      <c r="EK8" s="13" t="inlineStr">
        <is>
          <t>5-star Pack</t>
        </is>
      </c>
      <c r="EL8" s="13" t="inlineStr">
        <is>
          <t>6-star Pack</t>
        </is>
      </c>
      <c r="EN8" s="2" t="inlineStr">
        <is>
          <t>Daily Gift</t>
        </is>
      </c>
    </row>
    <row r="9">
      <c r="B9" s="15" t="n">
        <v>1</v>
      </c>
      <c r="C9" s="15" t="inlineStr">
        <is>
          <t>Wed</t>
        </is>
      </c>
      <c r="D9" s="16">
        <f>LET(payer,$C$3, segment,$C$4, source,$C$5, ECOGAINS_DAILY(payer, segment, source, "CURRENT", sim_refresh!$A$1))</f>
        <v/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X9" s="16">
        <f>LET(payer,$C$3, segment,$C$4, source,$C$5, ECOGAINS_DAILY(payer, segment, source, "NEW", sim_refresh!$A$1))</f>
        <v/>
      </c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R9" s="17">
        <f>LET(payer,$C$3, segment,$C$4, source,$C$5, ECOGAINS_DAILY(payer, segment, source, "DIFF", sim_refresh!$A$1))</f>
        <v/>
      </c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L9" s="16">
        <f>LET(payer,$C$3, segment,$C$4, source,$C$5, ECOGAINS_DAILY(payer, segment, source, "SPEND", sim_refresh!$A$1))</f>
        <v/>
      </c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  <c r="BX9" s="16" t="n"/>
      <c r="BY9" s="16" t="n"/>
      <c r="BZ9" s="16" t="n"/>
      <c r="CA9" s="16" t="n"/>
      <c r="CB9" s="16" t="n"/>
      <c r="CC9" s="16" t="n"/>
      <c r="CD9" s="16" t="n"/>
      <c r="CF9" s="18">
        <f>LET(payer,$C$3, segment,$C$4, source,$C$5, ECOGAINS_DAILY(payer, segment, source, "CURNET", sim_refresh!$A$1))</f>
        <v/>
      </c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Z9" s="18">
        <f>LET(payer,$C$3, segment,$C$4, source,$C$5, ECOGAINS_DAILY(payer, segment, source, "NEWNET", sim_refresh!$A$1))</f>
        <v/>
      </c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T9" s="17">
        <f>IFERROR(CZ9-CF9,"")</f>
        <v/>
      </c>
      <c r="DU9" s="17">
        <f>IFERROR(DA9-CG9,"")</f>
        <v/>
      </c>
      <c r="DV9" s="17">
        <f>IFERROR(DB9-CH9,"")</f>
        <v/>
      </c>
      <c r="DW9" s="17">
        <f>IFERROR(DC9-CI9,"")</f>
        <v/>
      </c>
      <c r="DX9" s="17">
        <f>IFERROR(DD9-CJ9,"")</f>
        <v/>
      </c>
      <c r="DY9" s="17">
        <f>IFERROR(DE9-CK9,"")</f>
        <v/>
      </c>
      <c r="DZ9" s="17">
        <f>IFERROR(DF9-CL9,"")</f>
        <v/>
      </c>
      <c r="EA9" s="17">
        <f>IFERROR(DG9-CM9,"")</f>
        <v/>
      </c>
      <c r="EB9" s="17">
        <f>IFERROR(DH9-CN9,"")</f>
        <v/>
      </c>
      <c r="EC9" s="17">
        <f>IFERROR(DI9-CO9,"")</f>
        <v/>
      </c>
      <c r="ED9" s="17">
        <f>IFERROR(DJ9-CP9,"")</f>
        <v/>
      </c>
      <c r="EE9" s="17">
        <f>IFERROR(DK9-CQ9,"")</f>
        <v/>
      </c>
      <c r="EF9" s="17">
        <f>IFERROR(DL9-CR9,"")</f>
        <v/>
      </c>
      <c r="EG9" s="17">
        <f>IFERROR(DM9-CS9,"")</f>
        <v/>
      </c>
      <c r="EH9" s="17">
        <f>IFERROR(DN9-CT9,"")</f>
        <v/>
      </c>
      <c r="EI9" s="17">
        <f>IFERROR(DO9-CU9,"")</f>
        <v/>
      </c>
      <c r="EJ9" s="17">
        <f>IFERROR(DP9-CV9,"")</f>
        <v/>
      </c>
      <c r="EK9" s="17">
        <f>IFERROR(DQ9-CW9,"")</f>
        <v/>
      </c>
      <c r="EL9" s="17">
        <f>IFERROR(DR9-CX9,"")</f>
        <v/>
      </c>
      <c r="EN9" s="2" t="inlineStr">
        <is>
          <t>Daily Night Sky Prize</t>
        </is>
      </c>
    </row>
    <row r="10">
      <c r="B10" s="15" t="n">
        <v>2</v>
      </c>
      <c r="C10" s="15" t="inlineStr">
        <is>
          <t>Thu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T10" s="17">
        <f>IFERROR(CZ10-CF10,"")</f>
        <v/>
      </c>
      <c r="DU10" s="17">
        <f>IFERROR(DA10-CG10,"")</f>
        <v/>
      </c>
      <c r="DV10" s="17">
        <f>IFERROR(DB10-CH10,"")</f>
        <v/>
      </c>
      <c r="DW10" s="17">
        <f>IFERROR(DC10-CI10,"")</f>
        <v/>
      </c>
      <c r="DX10" s="17">
        <f>IFERROR(DD10-CJ10,"")</f>
        <v/>
      </c>
      <c r="DY10" s="17">
        <f>IFERROR(DE10-CK10,"")</f>
        <v/>
      </c>
      <c r="DZ10" s="17">
        <f>IFERROR(DF10-CL10,"")</f>
        <v/>
      </c>
      <c r="EA10" s="17">
        <f>IFERROR(DG10-CM10,"")</f>
        <v/>
      </c>
      <c r="EB10" s="17">
        <f>IFERROR(DH10-CN10,"")</f>
        <v/>
      </c>
      <c r="EC10" s="17">
        <f>IFERROR(DI10-CO10,"")</f>
        <v/>
      </c>
      <c r="ED10" s="17">
        <f>IFERROR(DJ10-CP10,"")</f>
        <v/>
      </c>
      <c r="EE10" s="17">
        <f>IFERROR(DK10-CQ10,"")</f>
        <v/>
      </c>
      <c r="EF10" s="17">
        <f>IFERROR(DL10-CR10,"")</f>
        <v/>
      </c>
      <c r="EG10" s="17">
        <f>IFERROR(DM10-CS10,"")</f>
        <v/>
      </c>
      <c r="EH10" s="17">
        <f>IFERROR(DN10-CT10,"")</f>
        <v/>
      </c>
      <c r="EI10" s="17">
        <f>IFERROR(DO10-CU10,"")</f>
        <v/>
      </c>
      <c r="EJ10" s="17">
        <f>IFERROR(DP10-CV10,"")</f>
        <v/>
      </c>
      <c r="EK10" s="17">
        <f>IFERROR(DQ10-CW10,"")</f>
        <v/>
      </c>
      <c r="EL10" s="17">
        <f>IFERROR(DR10-CX10,"")</f>
        <v/>
      </c>
      <c r="EN10" s="2" t="inlineStr">
        <is>
          <t>Flock Flurry</t>
        </is>
      </c>
    </row>
    <row r="11">
      <c r="B11" s="15" t="n">
        <v>3</v>
      </c>
      <c r="C11" s="15" t="inlineStr">
        <is>
          <t>Fri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  <c r="BZ11" s="16" t="n"/>
      <c r="CA11" s="16" t="n"/>
      <c r="CB11" s="16" t="n"/>
      <c r="CC11" s="16" t="n"/>
      <c r="CD11" s="16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T11" s="17">
        <f>IFERROR(CZ11-CF11,"")</f>
        <v/>
      </c>
      <c r="DU11" s="17">
        <f>IFERROR(DA11-CG11,"")</f>
        <v/>
      </c>
      <c r="DV11" s="17">
        <f>IFERROR(DB11-CH11,"")</f>
        <v/>
      </c>
      <c r="DW11" s="17">
        <f>IFERROR(DC11-CI11,"")</f>
        <v/>
      </c>
      <c r="DX11" s="17">
        <f>IFERROR(DD11-CJ11,"")</f>
        <v/>
      </c>
      <c r="DY11" s="17">
        <f>IFERROR(DE11-CK11,"")</f>
        <v/>
      </c>
      <c r="DZ11" s="17">
        <f>IFERROR(DF11-CL11,"")</f>
        <v/>
      </c>
      <c r="EA11" s="17">
        <f>IFERROR(DG11-CM11,"")</f>
        <v/>
      </c>
      <c r="EB11" s="17">
        <f>IFERROR(DH11-CN11,"")</f>
        <v/>
      </c>
      <c r="EC11" s="17">
        <f>IFERROR(DI11-CO11,"")</f>
        <v/>
      </c>
      <c r="ED11" s="17">
        <f>IFERROR(DJ11-CP11,"")</f>
        <v/>
      </c>
      <c r="EE11" s="17">
        <f>IFERROR(DK11-CQ11,"")</f>
        <v/>
      </c>
      <c r="EF11" s="17">
        <f>IFERROR(DL11-CR11,"")</f>
        <v/>
      </c>
      <c r="EG11" s="17">
        <f>IFERROR(DM11-CS11,"")</f>
        <v/>
      </c>
      <c r="EH11" s="17">
        <f>IFERROR(DN11-CT11,"")</f>
        <v/>
      </c>
      <c r="EI11" s="17">
        <f>IFERROR(DO11-CU11,"")</f>
        <v/>
      </c>
      <c r="EJ11" s="17">
        <f>IFERROR(DP11-CV11,"")</f>
        <v/>
      </c>
      <c r="EK11" s="17">
        <f>IFERROR(DQ11-CW11,"")</f>
        <v/>
      </c>
      <c r="EL11" s="17">
        <f>IFERROR(DR11-CX11,"")</f>
        <v/>
      </c>
      <c r="EN11" s="2" t="inlineStr">
        <is>
          <t>Hatchling Hideaway</t>
        </is>
      </c>
    </row>
    <row r="12">
      <c r="B12" s="15" t="n">
        <v>4</v>
      </c>
      <c r="C12" s="15" t="inlineStr">
        <is>
          <t>Sat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T12" s="17">
        <f>IFERROR(CZ12-CF12,"")</f>
        <v/>
      </c>
      <c r="DU12" s="17">
        <f>IFERROR(DA12-CG12,"")</f>
        <v/>
      </c>
      <c r="DV12" s="17">
        <f>IFERROR(DB12-CH12,"")</f>
        <v/>
      </c>
      <c r="DW12" s="17">
        <f>IFERROR(DC12-CI12,"")</f>
        <v/>
      </c>
      <c r="DX12" s="17">
        <f>IFERROR(DD12-CJ12,"")</f>
        <v/>
      </c>
      <c r="DY12" s="17">
        <f>IFERROR(DE12-CK12,"")</f>
        <v/>
      </c>
      <c r="DZ12" s="17">
        <f>IFERROR(DF12-CL12,"")</f>
        <v/>
      </c>
      <c r="EA12" s="17">
        <f>IFERROR(DG12-CM12,"")</f>
        <v/>
      </c>
      <c r="EB12" s="17">
        <f>IFERROR(DH12-CN12,"")</f>
        <v/>
      </c>
      <c r="EC12" s="17">
        <f>IFERROR(DI12-CO12,"")</f>
        <v/>
      </c>
      <c r="ED12" s="17">
        <f>IFERROR(DJ12-CP12,"")</f>
        <v/>
      </c>
      <c r="EE12" s="17">
        <f>IFERROR(DK12-CQ12,"")</f>
        <v/>
      </c>
      <c r="EF12" s="17">
        <f>IFERROR(DL12-CR12,"")</f>
        <v/>
      </c>
      <c r="EG12" s="17">
        <f>IFERROR(DM12-CS12,"")</f>
        <v/>
      </c>
      <c r="EH12" s="17">
        <f>IFERROR(DN12-CT12,"")</f>
        <v/>
      </c>
      <c r="EI12" s="17">
        <f>IFERROR(DO12-CU12,"")</f>
        <v/>
      </c>
      <c r="EJ12" s="17">
        <f>IFERROR(DP12-CV12,"")</f>
        <v/>
      </c>
      <c r="EK12" s="17">
        <f>IFERROR(DQ12-CW12,"")</f>
        <v/>
      </c>
      <c r="EL12" s="17">
        <f>IFERROR(DR12-CX12,"")</f>
        <v/>
      </c>
      <c r="EN12" s="2" t="inlineStr">
        <is>
          <t>Jigsaw</t>
        </is>
      </c>
    </row>
    <row r="13">
      <c r="B13" s="15" t="n">
        <v>5</v>
      </c>
      <c r="C13" s="15" t="inlineStr">
        <is>
          <t>Sun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T13" s="17">
        <f>IFERROR(CZ13-CF13,"")</f>
        <v/>
      </c>
      <c r="DU13" s="17">
        <f>IFERROR(DA13-CG13,"")</f>
        <v/>
      </c>
      <c r="DV13" s="17">
        <f>IFERROR(DB13-CH13,"")</f>
        <v/>
      </c>
      <c r="DW13" s="17">
        <f>IFERROR(DC13-CI13,"")</f>
        <v/>
      </c>
      <c r="DX13" s="17">
        <f>IFERROR(DD13-CJ13,"")</f>
        <v/>
      </c>
      <c r="DY13" s="17">
        <f>IFERROR(DE13-CK13,"")</f>
        <v/>
      </c>
      <c r="DZ13" s="17">
        <f>IFERROR(DF13-CL13,"")</f>
        <v/>
      </c>
      <c r="EA13" s="17">
        <f>IFERROR(DG13-CM13,"")</f>
        <v/>
      </c>
      <c r="EB13" s="17">
        <f>IFERROR(DH13-CN13,"")</f>
        <v/>
      </c>
      <c r="EC13" s="17">
        <f>IFERROR(DI13-CO13,"")</f>
        <v/>
      </c>
      <c r="ED13" s="17">
        <f>IFERROR(DJ13-CP13,"")</f>
        <v/>
      </c>
      <c r="EE13" s="17">
        <f>IFERROR(DK13-CQ13,"")</f>
        <v/>
      </c>
      <c r="EF13" s="17">
        <f>IFERROR(DL13-CR13,"")</f>
        <v/>
      </c>
      <c r="EG13" s="17">
        <f>IFERROR(DM13-CS13,"")</f>
        <v/>
      </c>
      <c r="EH13" s="17">
        <f>IFERROR(DN13-CT13,"")</f>
        <v/>
      </c>
      <c r="EI13" s="17">
        <f>IFERROR(DO13-CU13,"")</f>
        <v/>
      </c>
      <c r="EJ13" s="17">
        <f>IFERROR(DP13-CV13,"")</f>
        <v/>
      </c>
      <c r="EK13" s="17">
        <f>IFERROR(DQ13-CW13,"")</f>
        <v/>
      </c>
      <c r="EL13" s="17">
        <f>IFERROR(DR13-CX13,"")</f>
        <v/>
      </c>
      <c r="EN13" s="2" t="inlineStr">
        <is>
          <t>Kite Festival</t>
        </is>
      </c>
    </row>
    <row r="14">
      <c r="B14" s="15" t="n">
        <v>6</v>
      </c>
      <c r="C14" s="15" t="inlineStr">
        <is>
          <t>Mon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  <c r="BX14" s="16" t="n"/>
      <c r="BY14" s="16" t="n"/>
      <c r="BZ14" s="16" t="n"/>
      <c r="CA14" s="16" t="n"/>
      <c r="CB14" s="16" t="n"/>
      <c r="CC14" s="16" t="n"/>
      <c r="CD14" s="16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T14" s="17">
        <f>IFERROR(CZ14-CF14,"")</f>
        <v/>
      </c>
      <c r="DU14" s="17">
        <f>IFERROR(DA14-CG14,"")</f>
        <v/>
      </c>
      <c r="DV14" s="17">
        <f>IFERROR(DB14-CH14,"")</f>
        <v/>
      </c>
      <c r="DW14" s="17">
        <f>IFERROR(DC14-CI14,"")</f>
        <v/>
      </c>
      <c r="DX14" s="17">
        <f>IFERROR(DD14-CJ14,"")</f>
        <v/>
      </c>
      <c r="DY14" s="17">
        <f>IFERROR(DE14-CK14,"")</f>
        <v/>
      </c>
      <c r="DZ14" s="17">
        <f>IFERROR(DF14-CL14,"")</f>
        <v/>
      </c>
      <c r="EA14" s="17">
        <f>IFERROR(DG14-CM14,"")</f>
        <v/>
      </c>
      <c r="EB14" s="17">
        <f>IFERROR(DH14-CN14,"")</f>
        <v/>
      </c>
      <c r="EC14" s="17">
        <f>IFERROR(DI14-CO14,"")</f>
        <v/>
      </c>
      <c r="ED14" s="17">
        <f>IFERROR(DJ14-CP14,"")</f>
        <v/>
      </c>
      <c r="EE14" s="17">
        <f>IFERROR(DK14-CQ14,"")</f>
        <v/>
      </c>
      <c r="EF14" s="17">
        <f>IFERROR(DL14-CR14,"")</f>
        <v/>
      </c>
      <c r="EG14" s="17">
        <f>IFERROR(DM14-CS14,"")</f>
        <v/>
      </c>
      <c r="EH14" s="17">
        <f>IFERROR(DN14-CT14,"")</f>
        <v/>
      </c>
      <c r="EI14" s="17">
        <f>IFERROR(DO14-CU14,"")</f>
        <v/>
      </c>
      <c r="EJ14" s="17">
        <f>IFERROR(DP14-CV14,"")</f>
        <v/>
      </c>
      <c r="EK14" s="17">
        <f>IFERROR(DQ14-CW14,"")</f>
        <v/>
      </c>
      <c r="EL14" s="17">
        <f>IFERROR(DR14-CX14,"")</f>
        <v/>
      </c>
      <c r="EN14" s="2" t="inlineStr">
        <is>
          <t>Level Race</t>
        </is>
      </c>
    </row>
    <row r="15">
      <c r="B15" s="15" t="n">
        <v>7</v>
      </c>
      <c r="C15" s="15" t="inlineStr">
        <is>
          <t>Tue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6" t="n"/>
      <c r="BY15" s="16" t="n"/>
      <c r="BZ15" s="16" t="n"/>
      <c r="CA15" s="16" t="n"/>
      <c r="CB15" s="16" t="n"/>
      <c r="CC15" s="16" t="n"/>
      <c r="CD15" s="16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T15" s="17">
        <f>IFERROR(CZ15-CF15,"")</f>
        <v/>
      </c>
      <c r="DU15" s="17">
        <f>IFERROR(DA15-CG15,"")</f>
        <v/>
      </c>
      <c r="DV15" s="17">
        <f>IFERROR(DB15-CH15,"")</f>
        <v/>
      </c>
      <c r="DW15" s="17">
        <f>IFERROR(DC15-CI15,"")</f>
        <v/>
      </c>
      <c r="DX15" s="17">
        <f>IFERROR(DD15-CJ15,"")</f>
        <v/>
      </c>
      <c r="DY15" s="17">
        <f>IFERROR(DE15-CK15,"")</f>
        <v/>
      </c>
      <c r="DZ15" s="17">
        <f>IFERROR(DF15-CL15,"")</f>
        <v/>
      </c>
      <c r="EA15" s="17">
        <f>IFERROR(DG15-CM15,"")</f>
        <v/>
      </c>
      <c r="EB15" s="17">
        <f>IFERROR(DH15-CN15,"")</f>
        <v/>
      </c>
      <c r="EC15" s="17">
        <f>IFERROR(DI15-CO15,"")</f>
        <v/>
      </c>
      <c r="ED15" s="17">
        <f>IFERROR(DJ15-CP15,"")</f>
        <v/>
      </c>
      <c r="EE15" s="17">
        <f>IFERROR(DK15-CQ15,"")</f>
        <v/>
      </c>
      <c r="EF15" s="17">
        <f>IFERROR(DL15-CR15,"")</f>
        <v/>
      </c>
      <c r="EG15" s="17">
        <f>IFERROR(DM15-CS15,"")</f>
        <v/>
      </c>
      <c r="EH15" s="17">
        <f>IFERROR(DN15-CT15,"")</f>
        <v/>
      </c>
      <c r="EI15" s="17">
        <f>IFERROR(DO15-CU15,"")</f>
        <v/>
      </c>
      <c r="EJ15" s="17">
        <f>IFERROR(DP15-CV15,"")</f>
        <v/>
      </c>
      <c r="EK15" s="17">
        <f>IFERROR(DQ15-CW15,"")</f>
        <v/>
      </c>
      <c r="EL15" s="17">
        <f>IFERROR(DR15-CX15,"")</f>
        <v/>
      </c>
      <c r="EN15" s="2" t="inlineStr">
        <is>
          <t>Other</t>
        </is>
      </c>
    </row>
    <row r="16">
      <c r="B16" s="15" t="n">
        <v>8</v>
      </c>
      <c r="C16" s="15" t="inlineStr">
        <is>
          <t>Wed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  <c r="BZ16" s="16" t="n"/>
      <c r="CA16" s="16" t="n"/>
      <c r="CB16" s="16" t="n"/>
      <c r="CC16" s="16" t="n"/>
      <c r="CD16" s="16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T16" s="17">
        <f>IFERROR(CZ16-CF16,"")</f>
        <v/>
      </c>
      <c r="DU16" s="17">
        <f>IFERROR(DA16-CG16,"")</f>
        <v/>
      </c>
      <c r="DV16" s="17">
        <f>IFERROR(DB16-CH16,"")</f>
        <v/>
      </c>
      <c r="DW16" s="17">
        <f>IFERROR(DC16-CI16,"")</f>
        <v/>
      </c>
      <c r="DX16" s="17">
        <f>IFERROR(DD16-CJ16,"")</f>
        <v/>
      </c>
      <c r="DY16" s="17">
        <f>IFERROR(DE16-CK16,"")</f>
        <v/>
      </c>
      <c r="DZ16" s="17">
        <f>IFERROR(DF16-CL16,"")</f>
        <v/>
      </c>
      <c r="EA16" s="17">
        <f>IFERROR(DG16-CM16,"")</f>
        <v/>
      </c>
      <c r="EB16" s="17">
        <f>IFERROR(DH16-CN16,"")</f>
        <v/>
      </c>
      <c r="EC16" s="17">
        <f>IFERROR(DI16-CO16,"")</f>
        <v/>
      </c>
      <c r="ED16" s="17">
        <f>IFERROR(DJ16-CP16,"")</f>
        <v/>
      </c>
      <c r="EE16" s="17">
        <f>IFERROR(DK16-CQ16,"")</f>
        <v/>
      </c>
      <c r="EF16" s="17">
        <f>IFERROR(DL16-CR16,"")</f>
        <v/>
      </c>
      <c r="EG16" s="17">
        <f>IFERROR(DM16-CS16,"")</f>
        <v/>
      </c>
      <c r="EH16" s="17">
        <f>IFERROR(DN16-CT16,"")</f>
        <v/>
      </c>
      <c r="EI16" s="17">
        <f>IFERROR(DO16-CU16,"")</f>
        <v/>
      </c>
      <c r="EJ16" s="17">
        <f>IFERROR(DP16-CV16,"")</f>
        <v/>
      </c>
      <c r="EK16" s="17">
        <f>IFERROR(DQ16-CW16,"")</f>
        <v/>
      </c>
      <c r="EL16" s="17">
        <f>IFERROR(DR16-CX16,"")</f>
        <v/>
      </c>
      <c r="EN16" s="2" t="inlineStr">
        <is>
          <t>Photoshoot</t>
        </is>
      </c>
    </row>
    <row r="17">
      <c r="B17" s="15" t="n">
        <v>9</v>
      </c>
      <c r="C17" s="15" t="inlineStr">
        <is>
          <t>Thu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L17" s="16" t="n"/>
      <c r="BM17" s="16" t="n"/>
      <c r="BN17" s="16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  <c r="BZ17" s="16" t="n"/>
      <c r="CA17" s="16" t="n"/>
      <c r="CB17" s="16" t="n"/>
      <c r="CC17" s="16" t="n"/>
      <c r="CD17" s="16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T17" s="17">
        <f>IFERROR(CZ17-CF17,"")</f>
        <v/>
      </c>
      <c r="DU17" s="17">
        <f>IFERROR(DA17-CG17,"")</f>
        <v/>
      </c>
      <c r="DV17" s="17">
        <f>IFERROR(DB17-CH17,"")</f>
        <v/>
      </c>
      <c r="DW17" s="17">
        <f>IFERROR(DC17-CI17,"")</f>
        <v/>
      </c>
      <c r="DX17" s="17">
        <f>IFERROR(DD17-CJ17,"")</f>
        <v/>
      </c>
      <c r="DY17" s="17">
        <f>IFERROR(DE17-CK17,"")</f>
        <v/>
      </c>
      <c r="DZ17" s="17">
        <f>IFERROR(DF17-CL17,"")</f>
        <v/>
      </c>
      <c r="EA17" s="17">
        <f>IFERROR(DG17-CM17,"")</f>
        <v/>
      </c>
      <c r="EB17" s="17">
        <f>IFERROR(DH17-CN17,"")</f>
        <v/>
      </c>
      <c r="EC17" s="17">
        <f>IFERROR(DI17-CO17,"")</f>
        <v/>
      </c>
      <c r="ED17" s="17">
        <f>IFERROR(DJ17-CP17,"")</f>
        <v/>
      </c>
      <c r="EE17" s="17">
        <f>IFERROR(DK17-CQ17,"")</f>
        <v/>
      </c>
      <c r="EF17" s="17">
        <f>IFERROR(DL17-CR17,"")</f>
        <v/>
      </c>
      <c r="EG17" s="17">
        <f>IFERROR(DM17-CS17,"")</f>
        <v/>
      </c>
      <c r="EH17" s="17">
        <f>IFERROR(DN17-CT17,"")</f>
        <v/>
      </c>
      <c r="EI17" s="17">
        <f>IFERROR(DO17-CU17,"")</f>
        <v/>
      </c>
      <c r="EJ17" s="17">
        <f>IFERROR(DP17-CV17,"")</f>
        <v/>
      </c>
      <c r="EK17" s="17">
        <f>IFERROR(DQ17-CW17,"")</f>
        <v/>
      </c>
      <c r="EL17" s="17">
        <f>IFERROR(DR17-CX17,"")</f>
        <v/>
      </c>
      <c r="EN17" s="2" t="inlineStr">
        <is>
          <t>Red Challenge</t>
        </is>
      </c>
    </row>
    <row r="18">
      <c r="B18" s="15" t="n">
        <v>10</v>
      </c>
      <c r="C18" s="15" t="inlineStr">
        <is>
          <t>Fri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L18" s="16" t="n"/>
      <c r="BM18" s="16" t="n"/>
      <c r="BN18" s="16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  <c r="BZ18" s="16" t="n"/>
      <c r="CA18" s="16" t="n"/>
      <c r="CB18" s="16" t="n"/>
      <c r="CC18" s="16" t="n"/>
      <c r="CD18" s="16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T18" s="17">
        <f>IFERROR(CZ18-CF18,"")</f>
        <v/>
      </c>
      <c r="DU18" s="17">
        <f>IFERROR(DA18-CG18,"")</f>
        <v/>
      </c>
      <c r="DV18" s="17">
        <f>IFERROR(DB18-CH18,"")</f>
        <v/>
      </c>
      <c r="DW18" s="17">
        <f>IFERROR(DC18-CI18,"")</f>
        <v/>
      </c>
      <c r="DX18" s="17">
        <f>IFERROR(DD18-CJ18,"")</f>
        <v/>
      </c>
      <c r="DY18" s="17">
        <f>IFERROR(DE18-CK18,"")</f>
        <v/>
      </c>
      <c r="DZ18" s="17">
        <f>IFERROR(DF18-CL18,"")</f>
        <v/>
      </c>
      <c r="EA18" s="17">
        <f>IFERROR(DG18-CM18,"")</f>
        <v/>
      </c>
      <c r="EB18" s="17">
        <f>IFERROR(DH18-CN18,"")</f>
        <v/>
      </c>
      <c r="EC18" s="17">
        <f>IFERROR(DI18-CO18,"")</f>
        <v/>
      </c>
      <c r="ED18" s="17">
        <f>IFERROR(DJ18-CP18,"")</f>
        <v/>
      </c>
      <c r="EE18" s="17">
        <f>IFERROR(DK18-CQ18,"")</f>
        <v/>
      </c>
      <c r="EF18" s="17">
        <f>IFERROR(DL18-CR18,"")</f>
        <v/>
      </c>
      <c r="EG18" s="17">
        <f>IFERROR(DM18-CS18,"")</f>
        <v/>
      </c>
      <c r="EH18" s="17">
        <f>IFERROR(DN18-CT18,"")</f>
        <v/>
      </c>
      <c r="EI18" s="17">
        <f>IFERROR(DO18-CU18,"")</f>
        <v/>
      </c>
      <c r="EJ18" s="17">
        <f>IFERROR(DP18-CV18,"")</f>
        <v/>
      </c>
      <c r="EK18" s="17">
        <f>IFERROR(DQ18-CW18,"")</f>
        <v/>
      </c>
      <c r="EL18" s="17">
        <f>IFERROR(DR18-CX18,"")</f>
        <v/>
      </c>
      <c r="EN18" s="2" t="inlineStr">
        <is>
          <t>River Rush</t>
        </is>
      </c>
    </row>
    <row r="19">
      <c r="B19" s="15" t="n">
        <v>11</v>
      </c>
      <c r="C19" s="15" t="inlineStr">
        <is>
          <t>Sat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T19" s="17">
        <f>IFERROR(CZ19-CF19,"")</f>
        <v/>
      </c>
      <c r="DU19" s="17">
        <f>IFERROR(DA19-CG19,"")</f>
        <v/>
      </c>
      <c r="DV19" s="17">
        <f>IFERROR(DB19-CH19,"")</f>
        <v/>
      </c>
      <c r="DW19" s="17">
        <f>IFERROR(DC19-CI19,"")</f>
        <v/>
      </c>
      <c r="DX19" s="17">
        <f>IFERROR(DD19-CJ19,"")</f>
        <v/>
      </c>
      <c r="DY19" s="17">
        <f>IFERROR(DE19-CK19,"")</f>
        <v/>
      </c>
      <c r="DZ19" s="17">
        <f>IFERROR(DF19-CL19,"")</f>
        <v/>
      </c>
      <c r="EA19" s="17">
        <f>IFERROR(DG19-CM19,"")</f>
        <v/>
      </c>
      <c r="EB19" s="17">
        <f>IFERROR(DH19-CN19,"")</f>
        <v/>
      </c>
      <c r="EC19" s="17">
        <f>IFERROR(DI19-CO19,"")</f>
        <v/>
      </c>
      <c r="ED19" s="17">
        <f>IFERROR(DJ19-CP19,"")</f>
        <v/>
      </c>
      <c r="EE19" s="17">
        <f>IFERROR(DK19-CQ19,"")</f>
        <v/>
      </c>
      <c r="EF19" s="17">
        <f>IFERROR(DL19-CR19,"")</f>
        <v/>
      </c>
      <c r="EG19" s="17">
        <f>IFERROR(DM19-CS19,"")</f>
        <v/>
      </c>
      <c r="EH19" s="17">
        <f>IFERROR(DN19-CT19,"")</f>
        <v/>
      </c>
      <c r="EI19" s="17">
        <f>IFERROR(DO19-CU19,"")</f>
        <v/>
      </c>
      <c r="EJ19" s="17">
        <f>IFERROR(DP19-CV19,"")</f>
        <v/>
      </c>
      <c r="EK19" s="17">
        <f>IFERROR(DQ19-CW19,"")</f>
        <v/>
      </c>
      <c r="EL19" s="17">
        <f>IFERROR(DR19-CX19,"")</f>
        <v/>
      </c>
      <c r="EN19" s="2" t="inlineStr">
        <is>
          <t>Saga</t>
        </is>
      </c>
    </row>
    <row r="20">
      <c r="B20" s="15" t="n">
        <v>12</v>
      </c>
      <c r="C20" s="15" t="inlineStr">
        <is>
          <t>Sun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L20" s="16" t="n"/>
      <c r="BM20" s="16" t="n"/>
      <c r="BN20" s="16" t="n"/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  <c r="BX20" s="16" t="n"/>
      <c r="BY20" s="16" t="n"/>
      <c r="BZ20" s="16" t="n"/>
      <c r="CA20" s="16" t="n"/>
      <c r="CB20" s="16" t="n"/>
      <c r="CC20" s="16" t="n"/>
      <c r="CD20" s="16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T20" s="17">
        <f>IFERROR(CZ20-CF20,"")</f>
        <v/>
      </c>
      <c r="DU20" s="17">
        <f>IFERROR(DA20-CG20,"")</f>
        <v/>
      </c>
      <c r="DV20" s="17">
        <f>IFERROR(DB20-CH20,"")</f>
        <v/>
      </c>
      <c r="DW20" s="17">
        <f>IFERROR(DC20-CI20,"")</f>
        <v/>
      </c>
      <c r="DX20" s="17">
        <f>IFERROR(DD20-CJ20,"")</f>
        <v/>
      </c>
      <c r="DY20" s="17">
        <f>IFERROR(DE20-CK20,"")</f>
        <v/>
      </c>
      <c r="DZ20" s="17">
        <f>IFERROR(DF20-CL20,"")</f>
        <v/>
      </c>
      <c r="EA20" s="17">
        <f>IFERROR(DG20-CM20,"")</f>
        <v/>
      </c>
      <c r="EB20" s="17">
        <f>IFERROR(DH20-CN20,"")</f>
        <v/>
      </c>
      <c r="EC20" s="17">
        <f>IFERROR(DI20-CO20,"")</f>
        <v/>
      </c>
      <c r="ED20" s="17">
        <f>IFERROR(DJ20-CP20,"")</f>
        <v/>
      </c>
      <c r="EE20" s="17">
        <f>IFERROR(DK20-CQ20,"")</f>
        <v/>
      </c>
      <c r="EF20" s="17">
        <f>IFERROR(DL20-CR20,"")</f>
        <v/>
      </c>
      <c r="EG20" s="17">
        <f>IFERROR(DM20-CS20,"")</f>
        <v/>
      </c>
      <c r="EH20" s="17">
        <f>IFERROR(DN20-CT20,"")</f>
        <v/>
      </c>
      <c r="EI20" s="17">
        <f>IFERROR(DO20-CU20,"")</f>
        <v/>
      </c>
      <c r="EJ20" s="17">
        <f>IFERROR(DP20-CV20,"")</f>
        <v/>
      </c>
      <c r="EK20" s="17">
        <f>IFERROR(DQ20-CW20,"")</f>
        <v/>
      </c>
      <c r="EL20" s="17">
        <f>IFERROR(DR20-CX20,"")</f>
        <v/>
      </c>
      <c r="EN20" s="2" t="inlineStr">
        <is>
          <t>Season Pass (Free)</t>
        </is>
      </c>
    </row>
    <row r="21">
      <c r="B21" s="15" t="n">
        <v>13</v>
      </c>
      <c r="C21" s="15" t="inlineStr">
        <is>
          <t>Mon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  <c r="BX21" s="16" t="n"/>
      <c r="BY21" s="16" t="n"/>
      <c r="BZ21" s="16" t="n"/>
      <c r="CA21" s="16" t="n"/>
      <c r="CB21" s="16" t="n"/>
      <c r="CC21" s="16" t="n"/>
      <c r="CD21" s="16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T21" s="17">
        <f>IFERROR(CZ21-CF21,"")</f>
        <v/>
      </c>
      <c r="DU21" s="17">
        <f>IFERROR(DA21-CG21,"")</f>
        <v/>
      </c>
      <c r="DV21" s="17">
        <f>IFERROR(DB21-CH21,"")</f>
        <v/>
      </c>
      <c r="DW21" s="17">
        <f>IFERROR(DC21-CI21,"")</f>
        <v/>
      </c>
      <c r="DX21" s="17">
        <f>IFERROR(DD21-CJ21,"")</f>
        <v/>
      </c>
      <c r="DY21" s="17">
        <f>IFERROR(DE21-CK21,"")</f>
        <v/>
      </c>
      <c r="DZ21" s="17">
        <f>IFERROR(DF21-CL21,"")</f>
        <v/>
      </c>
      <c r="EA21" s="17">
        <f>IFERROR(DG21-CM21,"")</f>
        <v/>
      </c>
      <c r="EB21" s="17">
        <f>IFERROR(DH21-CN21,"")</f>
        <v/>
      </c>
      <c r="EC21" s="17">
        <f>IFERROR(DI21-CO21,"")</f>
        <v/>
      </c>
      <c r="ED21" s="17">
        <f>IFERROR(DJ21-CP21,"")</f>
        <v/>
      </c>
      <c r="EE21" s="17">
        <f>IFERROR(DK21-CQ21,"")</f>
        <v/>
      </c>
      <c r="EF21" s="17">
        <f>IFERROR(DL21-CR21,"")</f>
        <v/>
      </c>
      <c r="EG21" s="17">
        <f>IFERROR(DM21-CS21,"")</f>
        <v/>
      </c>
      <c r="EH21" s="17">
        <f>IFERROR(DN21-CT21,"")</f>
        <v/>
      </c>
      <c r="EI21" s="17">
        <f>IFERROR(DO21-CU21,"")</f>
        <v/>
      </c>
      <c r="EJ21" s="17">
        <f>IFERROR(DP21-CV21,"")</f>
        <v/>
      </c>
      <c r="EK21" s="17">
        <f>IFERROR(DQ21-CW21,"")</f>
        <v/>
      </c>
      <c r="EL21" s="17">
        <f>IFERROR(DR21-CX21,"")</f>
        <v/>
      </c>
      <c r="EN21" s="2" t="inlineStr">
        <is>
          <t>Target Day</t>
        </is>
      </c>
    </row>
    <row r="22">
      <c r="B22" s="15" t="n">
        <v>14</v>
      </c>
      <c r="C22" s="15" t="inlineStr">
        <is>
          <t>Tue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  <c r="BX22" s="16" t="n"/>
      <c r="BY22" s="16" t="n"/>
      <c r="BZ22" s="16" t="n"/>
      <c r="CA22" s="16" t="n"/>
      <c r="CB22" s="16" t="n"/>
      <c r="CC22" s="16" t="n"/>
      <c r="CD22" s="16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T22" s="17">
        <f>IFERROR(CZ22-CF22,"")</f>
        <v/>
      </c>
      <c r="DU22" s="17">
        <f>IFERROR(DA22-CG22,"")</f>
        <v/>
      </c>
      <c r="DV22" s="17">
        <f>IFERROR(DB22-CH22,"")</f>
        <v/>
      </c>
      <c r="DW22" s="17">
        <f>IFERROR(DC22-CI22,"")</f>
        <v/>
      </c>
      <c r="DX22" s="17">
        <f>IFERROR(DD22-CJ22,"")</f>
        <v/>
      </c>
      <c r="DY22" s="17">
        <f>IFERROR(DE22-CK22,"")</f>
        <v/>
      </c>
      <c r="DZ22" s="17">
        <f>IFERROR(DF22-CL22,"")</f>
        <v/>
      </c>
      <c r="EA22" s="17">
        <f>IFERROR(DG22-CM22,"")</f>
        <v/>
      </c>
      <c r="EB22" s="17">
        <f>IFERROR(DH22-CN22,"")</f>
        <v/>
      </c>
      <c r="EC22" s="17">
        <f>IFERROR(DI22-CO22,"")</f>
        <v/>
      </c>
      <c r="ED22" s="17">
        <f>IFERROR(DJ22-CP22,"")</f>
        <v/>
      </c>
      <c r="EE22" s="17">
        <f>IFERROR(DK22-CQ22,"")</f>
        <v/>
      </c>
      <c r="EF22" s="17">
        <f>IFERROR(DL22-CR22,"")</f>
        <v/>
      </c>
      <c r="EG22" s="17">
        <f>IFERROR(DM22-CS22,"")</f>
        <v/>
      </c>
      <c r="EH22" s="17">
        <f>IFERROR(DN22-CT22,"")</f>
        <v/>
      </c>
      <c r="EI22" s="17">
        <f>IFERROR(DO22-CU22,"")</f>
        <v/>
      </c>
      <c r="EJ22" s="17">
        <f>IFERROR(DP22-CV22,"")</f>
        <v/>
      </c>
      <c r="EK22" s="17">
        <f>IFERROR(DQ22-CW22,"")</f>
        <v/>
      </c>
      <c r="EL22" s="17">
        <f>IFERROR(DR22-CX22,"")</f>
        <v/>
      </c>
      <c r="EN22" s="2" t="inlineStr">
        <is>
          <t>Team Event</t>
        </is>
      </c>
    </row>
    <row r="23">
      <c r="B23" s="15" t="n">
        <v>15</v>
      </c>
      <c r="C23" s="15" t="inlineStr">
        <is>
          <t>Wed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T23" s="17">
        <f>IFERROR(CZ23-CF23,"")</f>
        <v/>
      </c>
      <c r="DU23" s="17">
        <f>IFERROR(DA23-CG23,"")</f>
        <v/>
      </c>
      <c r="DV23" s="17">
        <f>IFERROR(DB23-CH23,"")</f>
        <v/>
      </c>
      <c r="DW23" s="17">
        <f>IFERROR(DC23-CI23,"")</f>
        <v/>
      </c>
      <c r="DX23" s="17">
        <f>IFERROR(DD23-CJ23,"")</f>
        <v/>
      </c>
      <c r="DY23" s="17">
        <f>IFERROR(DE23-CK23,"")</f>
        <v/>
      </c>
      <c r="DZ23" s="17">
        <f>IFERROR(DF23-CL23,"")</f>
        <v/>
      </c>
      <c r="EA23" s="17">
        <f>IFERROR(DG23-CM23,"")</f>
        <v/>
      </c>
      <c r="EB23" s="17">
        <f>IFERROR(DH23-CN23,"")</f>
        <v/>
      </c>
      <c r="EC23" s="17">
        <f>IFERROR(DI23-CO23,"")</f>
        <v/>
      </c>
      <c r="ED23" s="17">
        <f>IFERROR(DJ23-CP23,"")</f>
        <v/>
      </c>
      <c r="EE23" s="17">
        <f>IFERROR(DK23-CQ23,"")</f>
        <v/>
      </c>
      <c r="EF23" s="17">
        <f>IFERROR(DL23-CR23,"")</f>
        <v/>
      </c>
      <c r="EG23" s="17">
        <f>IFERROR(DM23-CS23,"")</f>
        <v/>
      </c>
      <c r="EH23" s="17">
        <f>IFERROR(DN23-CT23,"")</f>
        <v/>
      </c>
      <c r="EI23" s="17">
        <f>IFERROR(DO23-CU23,"")</f>
        <v/>
      </c>
      <c r="EJ23" s="17">
        <f>IFERROR(DP23-CV23,"")</f>
        <v/>
      </c>
      <c r="EK23" s="17">
        <f>IFERROR(DQ23-CW23,"")</f>
        <v/>
      </c>
      <c r="EL23" s="17">
        <f>IFERROR(DR23-CX23,"")</f>
        <v/>
      </c>
      <c r="EN23" s="2" t="inlineStr">
        <is>
          <t>Team Race</t>
        </is>
      </c>
    </row>
    <row r="24">
      <c r="B24" s="15" t="n">
        <v>16</v>
      </c>
      <c r="C24" s="15" t="inlineStr">
        <is>
          <t>Thu</t>
        </is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16" t="n"/>
      <c r="CD24" s="16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T24" s="17">
        <f>IFERROR(CZ24-CF24,"")</f>
        <v/>
      </c>
      <c r="DU24" s="17">
        <f>IFERROR(DA24-CG24,"")</f>
        <v/>
      </c>
      <c r="DV24" s="17">
        <f>IFERROR(DB24-CH24,"")</f>
        <v/>
      </c>
      <c r="DW24" s="17">
        <f>IFERROR(DC24-CI24,"")</f>
        <v/>
      </c>
      <c r="DX24" s="17">
        <f>IFERROR(DD24-CJ24,"")</f>
        <v/>
      </c>
      <c r="DY24" s="17">
        <f>IFERROR(DE24-CK24,"")</f>
        <v/>
      </c>
      <c r="DZ24" s="17">
        <f>IFERROR(DF24-CL24,"")</f>
        <v/>
      </c>
      <c r="EA24" s="17">
        <f>IFERROR(DG24-CM24,"")</f>
        <v/>
      </c>
      <c r="EB24" s="17">
        <f>IFERROR(DH24-CN24,"")</f>
        <v/>
      </c>
      <c r="EC24" s="17">
        <f>IFERROR(DI24-CO24,"")</f>
        <v/>
      </c>
      <c r="ED24" s="17">
        <f>IFERROR(DJ24-CP24,"")</f>
        <v/>
      </c>
      <c r="EE24" s="17">
        <f>IFERROR(DK24-CQ24,"")</f>
        <v/>
      </c>
      <c r="EF24" s="17">
        <f>IFERROR(DL24-CR24,"")</f>
        <v/>
      </c>
      <c r="EG24" s="17">
        <f>IFERROR(DM24-CS24,"")</f>
        <v/>
      </c>
      <c r="EH24" s="17">
        <f>IFERROR(DN24-CT24,"")</f>
        <v/>
      </c>
      <c r="EI24" s="17">
        <f>IFERROR(DO24-CU24,"")</f>
        <v/>
      </c>
      <c r="EJ24" s="17">
        <f>IFERROR(DP24-CV24,"")</f>
        <v/>
      </c>
      <c r="EK24" s="17">
        <f>IFERROR(DQ24-CW24,"")</f>
        <v/>
      </c>
      <c r="EL24" s="17">
        <f>IFERROR(DR24-CX24,"")</f>
        <v/>
      </c>
      <c r="EN24" s="2" t="inlineStr">
        <is>
          <t>Flash Race</t>
        </is>
      </c>
    </row>
    <row r="25">
      <c r="B25" s="15" t="n">
        <v>17</v>
      </c>
      <c r="C25" s="15" t="inlineStr">
        <is>
          <t>Fri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L25" s="16" t="n"/>
      <c r="BM25" s="16" t="n"/>
      <c r="BN25" s="16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T25" s="17">
        <f>IFERROR(CZ25-CF25,"")</f>
        <v/>
      </c>
      <c r="DU25" s="17">
        <f>IFERROR(DA25-CG25,"")</f>
        <v/>
      </c>
      <c r="DV25" s="17">
        <f>IFERROR(DB25-CH25,"")</f>
        <v/>
      </c>
      <c r="DW25" s="17">
        <f>IFERROR(DC25-CI25,"")</f>
        <v/>
      </c>
      <c r="DX25" s="17">
        <f>IFERROR(DD25-CJ25,"")</f>
        <v/>
      </c>
      <c r="DY25" s="17">
        <f>IFERROR(DE25-CK25,"")</f>
        <v/>
      </c>
      <c r="DZ25" s="17">
        <f>IFERROR(DF25-CL25,"")</f>
        <v/>
      </c>
      <c r="EA25" s="17">
        <f>IFERROR(DG25-CM25,"")</f>
        <v/>
      </c>
      <c r="EB25" s="17">
        <f>IFERROR(DH25-CN25,"")</f>
        <v/>
      </c>
      <c r="EC25" s="17">
        <f>IFERROR(DI25-CO25,"")</f>
        <v/>
      </c>
      <c r="ED25" s="17">
        <f>IFERROR(DJ25-CP25,"")</f>
        <v/>
      </c>
      <c r="EE25" s="17">
        <f>IFERROR(DK25-CQ25,"")</f>
        <v/>
      </c>
      <c r="EF25" s="17">
        <f>IFERROR(DL25-CR25,"")</f>
        <v/>
      </c>
      <c r="EG25" s="17">
        <f>IFERROR(DM25-CS25,"")</f>
        <v/>
      </c>
      <c r="EH25" s="17">
        <f>IFERROR(DN25-CT25,"")</f>
        <v/>
      </c>
      <c r="EI25" s="17">
        <f>IFERROR(DO25-CU25,"")</f>
        <v/>
      </c>
      <c r="EJ25" s="17">
        <f>IFERROR(DP25-CV25,"")</f>
        <v/>
      </c>
      <c r="EK25" s="17">
        <f>IFERROR(DQ25-CW25,"")</f>
        <v/>
      </c>
      <c r="EL25" s="17">
        <f>IFERROR(DR25-CX25,"")</f>
        <v/>
      </c>
      <c r="EN25" s="2" t="inlineStr">
        <is>
          <t>FlowerCoop</t>
        </is>
      </c>
    </row>
    <row r="26">
      <c r="B26" s="15" t="n">
        <v>18</v>
      </c>
      <c r="C26" s="15" t="inlineStr">
        <is>
          <t>Sat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16" t="n"/>
      <c r="CB26" s="16" t="n"/>
      <c r="CC26" s="16" t="n"/>
      <c r="CD26" s="16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T26" s="17">
        <f>IFERROR(CZ26-CF26,"")</f>
        <v/>
      </c>
      <c r="DU26" s="17">
        <f>IFERROR(DA26-CG26,"")</f>
        <v/>
      </c>
      <c r="DV26" s="17">
        <f>IFERROR(DB26-CH26,"")</f>
        <v/>
      </c>
      <c r="DW26" s="17">
        <f>IFERROR(DC26-CI26,"")</f>
        <v/>
      </c>
      <c r="DX26" s="17">
        <f>IFERROR(DD26-CJ26,"")</f>
        <v/>
      </c>
      <c r="DY26" s="17">
        <f>IFERROR(DE26-CK26,"")</f>
        <v/>
      </c>
      <c r="DZ26" s="17">
        <f>IFERROR(DF26-CL26,"")</f>
        <v/>
      </c>
      <c r="EA26" s="17">
        <f>IFERROR(DG26-CM26,"")</f>
        <v/>
      </c>
      <c r="EB26" s="17">
        <f>IFERROR(DH26-CN26,"")</f>
        <v/>
      </c>
      <c r="EC26" s="17">
        <f>IFERROR(DI26-CO26,"")</f>
        <v/>
      </c>
      <c r="ED26" s="17">
        <f>IFERROR(DJ26-CP26,"")</f>
        <v/>
      </c>
      <c r="EE26" s="17">
        <f>IFERROR(DK26-CQ26,"")</f>
        <v/>
      </c>
      <c r="EF26" s="17">
        <f>IFERROR(DL26-CR26,"")</f>
        <v/>
      </c>
      <c r="EG26" s="17">
        <f>IFERROR(DM26-CS26,"")</f>
        <v/>
      </c>
      <c r="EH26" s="17">
        <f>IFERROR(DN26-CT26,"")</f>
        <v/>
      </c>
      <c r="EI26" s="17">
        <f>IFERROR(DO26-CU26,"")</f>
        <v/>
      </c>
      <c r="EJ26" s="17">
        <f>IFERROR(DP26-CV26,"")</f>
        <v/>
      </c>
      <c r="EK26" s="17">
        <f>IFERROR(DQ26-CW26,"")</f>
        <v/>
      </c>
      <c r="EL26" s="17">
        <f>IFERROR(DR26-CX26,"")</f>
        <v/>
      </c>
      <c r="EN26" s="2" t="inlineStr">
        <is>
          <t>Rainbow Maker</t>
        </is>
      </c>
    </row>
    <row r="27">
      <c r="B27" s="15" t="n">
        <v>19</v>
      </c>
      <c r="C27" s="15" t="inlineStr">
        <is>
          <t>Sun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  <c r="BX27" s="16" t="n"/>
      <c r="BY27" s="16" t="n"/>
      <c r="BZ27" s="16" t="n"/>
      <c r="CA27" s="16" t="n"/>
      <c r="CB27" s="16" t="n"/>
      <c r="CC27" s="16" t="n"/>
      <c r="CD27" s="16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T27" s="17">
        <f>IFERROR(CZ27-CF27,"")</f>
        <v/>
      </c>
      <c r="DU27" s="17">
        <f>IFERROR(DA27-CG27,"")</f>
        <v/>
      </c>
      <c r="DV27" s="17">
        <f>IFERROR(DB27-CH27,"")</f>
        <v/>
      </c>
      <c r="DW27" s="17">
        <f>IFERROR(DC27-CI27,"")</f>
        <v/>
      </c>
      <c r="DX27" s="17">
        <f>IFERROR(DD27-CJ27,"")</f>
        <v/>
      </c>
      <c r="DY27" s="17">
        <f>IFERROR(DE27-CK27,"")</f>
        <v/>
      </c>
      <c r="DZ27" s="17">
        <f>IFERROR(DF27-CL27,"")</f>
        <v/>
      </c>
      <c r="EA27" s="17">
        <f>IFERROR(DG27-CM27,"")</f>
        <v/>
      </c>
      <c r="EB27" s="17">
        <f>IFERROR(DH27-CN27,"")</f>
        <v/>
      </c>
      <c r="EC27" s="17">
        <f>IFERROR(DI27-CO27,"")</f>
        <v/>
      </c>
      <c r="ED27" s="17">
        <f>IFERROR(DJ27-CP27,"")</f>
        <v/>
      </c>
      <c r="EE27" s="17">
        <f>IFERROR(DK27-CQ27,"")</f>
        <v/>
      </c>
      <c r="EF27" s="17">
        <f>IFERROR(DL27-CR27,"")</f>
        <v/>
      </c>
      <c r="EG27" s="17">
        <f>IFERROR(DM27-CS27,"")</f>
        <v/>
      </c>
      <c r="EH27" s="17">
        <f>IFERROR(DN27-CT27,"")</f>
        <v/>
      </c>
      <c r="EI27" s="17">
        <f>IFERROR(DO27-CU27,"")</f>
        <v/>
      </c>
      <c r="EJ27" s="17">
        <f>IFERROR(DP27-CV27,"")</f>
        <v/>
      </c>
      <c r="EK27" s="17">
        <f>IFERROR(DQ27-CW27,"")</f>
        <v/>
      </c>
      <c r="EL27" s="17">
        <f>IFERROR(DR27-CX27,"")</f>
        <v/>
      </c>
      <c r="EN27" s="2" t="inlineStr">
        <is>
          <t>IAPs</t>
        </is>
      </c>
    </row>
    <row r="28">
      <c r="B28" s="15" t="n">
        <v>20</v>
      </c>
      <c r="C28" s="15" t="inlineStr">
        <is>
          <t>Mon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  <c r="BX28" s="16" t="n"/>
      <c r="BY28" s="16" t="n"/>
      <c r="BZ28" s="16" t="n"/>
      <c r="CA28" s="16" t="n"/>
      <c r="CB28" s="16" t="n"/>
      <c r="CC28" s="16" t="n"/>
      <c r="CD28" s="16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T28" s="17">
        <f>IFERROR(CZ28-CF28,"")</f>
        <v/>
      </c>
      <c r="DU28" s="17">
        <f>IFERROR(DA28-CG28,"")</f>
        <v/>
      </c>
      <c r="DV28" s="17">
        <f>IFERROR(DB28-CH28,"")</f>
        <v/>
      </c>
      <c r="DW28" s="17">
        <f>IFERROR(DC28-CI28,"")</f>
        <v/>
      </c>
      <c r="DX28" s="17">
        <f>IFERROR(DD28-CJ28,"")</f>
        <v/>
      </c>
      <c r="DY28" s="17">
        <f>IFERROR(DE28-CK28,"")</f>
        <v/>
      </c>
      <c r="DZ28" s="17">
        <f>IFERROR(DF28-CL28,"")</f>
        <v/>
      </c>
      <c r="EA28" s="17">
        <f>IFERROR(DG28-CM28,"")</f>
        <v/>
      </c>
      <c r="EB28" s="17">
        <f>IFERROR(DH28-CN28,"")</f>
        <v/>
      </c>
      <c r="EC28" s="17">
        <f>IFERROR(DI28-CO28,"")</f>
        <v/>
      </c>
      <c r="ED28" s="17">
        <f>IFERROR(DJ28-CP28,"")</f>
        <v/>
      </c>
      <c r="EE28" s="17">
        <f>IFERROR(DK28-CQ28,"")</f>
        <v/>
      </c>
      <c r="EF28" s="17">
        <f>IFERROR(DL28-CR28,"")</f>
        <v/>
      </c>
      <c r="EG28" s="17">
        <f>IFERROR(DM28-CS28,"")</f>
        <v/>
      </c>
      <c r="EH28" s="17">
        <f>IFERROR(DN28-CT28,"")</f>
        <v/>
      </c>
      <c r="EI28" s="17">
        <f>IFERROR(DO28-CU28,"")</f>
        <v/>
      </c>
      <c r="EJ28" s="17">
        <f>IFERROR(DP28-CV28,"")</f>
        <v/>
      </c>
      <c r="EK28" s="17">
        <f>IFERROR(DQ28-CW28,"")</f>
        <v/>
      </c>
      <c r="EL28" s="17">
        <f>IFERROR(DR28-CX28,"")</f>
        <v/>
      </c>
    </row>
    <row r="29">
      <c r="B29" s="15" t="n">
        <v>21</v>
      </c>
      <c r="C29" s="15" t="inlineStr">
        <is>
          <t>Tue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  <c r="BX29" s="16" t="n"/>
      <c r="BY29" s="16" t="n"/>
      <c r="BZ29" s="16" t="n"/>
      <c r="CA29" s="16" t="n"/>
      <c r="CB29" s="16" t="n"/>
      <c r="CC29" s="16" t="n"/>
      <c r="CD29" s="16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T29" s="17">
        <f>IFERROR(CZ29-CF29,"")</f>
        <v/>
      </c>
      <c r="DU29" s="17">
        <f>IFERROR(DA29-CG29,"")</f>
        <v/>
      </c>
      <c r="DV29" s="17">
        <f>IFERROR(DB29-CH29,"")</f>
        <v/>
      </c>
      <c r="DW29" s="17">
        <f>IFERROR(DC29-CI29,"")</f>
        <v/>
      </c>
      <c r="DX29" s="17">
        <f>IFERROR(DD29-CJ29,"")</f>
        <v/>
      </c>
      <c r="DY29" s="17">
        <f>IFERROR(DE29-CK29,"")</f>
        <v/>
      </c>
      <c r="DZ29" s="17">
        <f>IFERROR(DF29-CL29,"")</f>
        <v/>
      </c>
      <c r="EA29" s="17">
        <f>IFERROR(DG29-CM29,"")</f>
        <v/>
      </c>
      <c r="EB29" s="17">
        <f>IFERROR(DH29-CN29,"")</f>
        <v/>
      </c>
      <c r="EC29" s="17">
        <f>IFERROR(DI29-CO29,"")</f>
        <v/>
      </c>
      <c r="ED29" s="17">
        <f>IFERROR(DJ29-CP29,"")</f>
        <v/>
      </c>
      <c r="EE29" s="17">
        <f>IFERROR(DK29-CQ29,"")</f>
        <v/>
      </c>
      <c r="EF29" s="17">
        <f>IFERROR(DL29-CR29,"")</f>
        <v/>
      </c>
      <c r="EG29" s="17">
        <f>IFERROR(DM29-CS29,"")</f>
        <v/>
      </c>
      <c r="EH29" s="17">
        <f>IFERROR(DN29-CT29,"")</f>
        <v/>
      </c>
      <c r="EI29" s="17">
        <f>IFERROR(DO29-CU29,"")</f>
        <v/>
      </c>
      <c r="EJ29" s="17">
        <f>IFERROR(DP29-CV29,"")</f>
        <v/>
      </c>
      <c r="EK29" s="17">
        <f>IFERROR(DQ29-CW29,"")</f>
        <v/>
      </c>
      <c r="EL29" s="17">
        <f>IFERROR(DR29-CX29,"")</f>
        <v/>
      </c>
    </row>
    <row r="30">
      <c r="B30" s="15" t="n">
        <v>22</v>
      </c>
      <c r="C30" s="15" t="inlineStr">
        <is>
          <t>Wed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T30" s="17">
        <f>IFERROR(CZ30-CF30,"")</f>
        <v/>
      </c>
      <c r="DU30" s="17">
        <f>IFERROR(DA30-CG30,"")</f>
        <v/>
      </c>
      <c r="DV30" s="17">
        <f>IFERROR(DB30-CH30,"")</f>
        <v/>
      </c>
      <c r="DW30" s="17">
        <f>IFERROR(DC30-CI30,"")</f>
        <v/>
      </c>
      <c r="DX30" s="17">
        <f>IFERROR(DD30-CJ30,"")</f>
        <v/>
      </c>
      <c r="DY30" s="17">
        <f>IFERROR(DE30-CK30,"")</f>
        <v/>
      </c>
      <c r="DZ30" s="17">
        <f>IFERROR(DF30-CL30,"")</f>
        <v/>
      </c>
      <c r="EA30" s="17">
        <f>IFERROR(DG30-CM30,"")</f>
        <v/>
      </c>
      <c r="EB30" s="17">
        <f>IFERROR(DH30-CN30,"")</f>
        <v/>
      </c>
      <c r="EC30" s="17">
        <f>IFERROR(DI30-CO30,"")</f>
        <v/>
      </c>
      <c r="ED30" s="17">
        <f>IFERROR(DJ30-CP30,"")</f>
        <v/>
      </c>
      <c r="EE30" s="17">
        <f>IFERROR(DK30-CQ30,"")</f>
        <v/>
      </c>
      <c r="EF30" s="17">
        <f>IFERROR(DL30-CR30,"")</f>
        <v/>
      </c>
      <c r="EG30" s="17">
        <f>IFERROR(DM30-CS30,"")</f>
        <v/>
      </c>
      <c r="EH30" s="17">
        <f>IFERROR(DN30-CT30,"")</f>
        <v/>
      </c>
      <c r="EI30" s="17">
        <f>IFERROR(DO30-CU30,"")</f>
        <v/>
      </c>
      <c r="EJ30" s="17">
        <f>IFERROR(DP30-CV30,"")</f>
        <v/>
      </c>
      <c r="EK30" s="17">
        <f>IFERROR(DQ30-CW30,"")</f>
        <v/>
      </c>
      <c r="EL30" s="17">
        <f>IFERROR(DR30-CX30,"")</f>
        <v/>
      </c>
    </row>
    <row r="31">
      <c r="B31" s="15" t="n">
        <v>23</v>
      </c>
      <c r="C31" s="15" t="inlineStr">
        <is>
          <t>Thu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  <c r="BX31" s="16" t="n"/>
      <c r="BY31" s="16" t="n"/>
      <c r="BZ31" s="16" t="n"/>
      <c r="CA31" s="16" t="n"/>
      <c r="CB31" s="16" t="n"/>
      <c r="CC31" s="16" t="n"/>
      <c r="CD31" s="16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T31" s="17">
        <f>IFERROR(CZ31-CF31,"")</f>
        <v/>
      </c>
      <c r="DU31" s="17">
        <f>IFERROR(DA31-CG31,"")</f>
        <v/>
      </c>
      <c r="DV31" s="17">
        <f>IFERROR(DB31-CH31,"")</f>
        <v/>
      </c>
      <c r="DW31" s="17">
        <f>IFERROR(DC31-CI31,"")</f>
        <v/>
      </c>
      <c r="DX31" s="17">
        <f>IFERROR(DD31-CJ31,"")</f>
        <v/>
      </c>
      <c r="DY31" s="17">
        <f>IFERROR(DE31-CK31,"")</f>
        <v/>
      </c>
      <c r="DZ31" s="17">
        <f>IFERROR(DF31-CL31,"")</f>
        <v/>
      </c>
      <c r="EA31" s="17">
        <f>IFERROR(DG31-CM31,"")</f>
        <v/>
      </c>
      <c r="EB31" s="17">
        <f>IFERROR(DH31-CN31,"")</f>
        <v/>
      </c>
      <c r="EC31" s="17">
        <f>IFERROR(DI31-CO31,"")</f>
        <v/>
      </c>
      <c r="ED31" s="17">
        <f>IFERROR(DJ31-CP31,"")</f>
        <v/>
      </c>
      <c r="EE31" s="17">
        <f>IFERROR(DK31-CQ31,"")</f>
        <v/>
      </c>
      <c r="EF31" s="17">
        <f>IFERROR(DL31-CR31,"")</f>
        <v/>
      </c>
      <c r="EG31" s="17">
        <f>IFERROR(DM31-CS31,"")</f>
        <v/>
      </c>
      <c r="EH31" s="17">
        <f>IFERROR(DN31-CT31,"")</f>
        <v/>
      </c>
      <c r="EI31" s="17">
        <f>IFERROR(DO31-CU31,"")</f>
        <v/>
      </c>
      <c r="EJ31" s="17">
        <f>IFERROR(DP31-CV31,"")</f>
        <v/>
      </c>
      <c r="EK31" s="17">
        <f>IFERROR(DQ31-CW31,"")</f>
        <v/>
      </c>
      <c r="EL31" s="17">
        <f>IFERROR(DR31-CX31,"")</f>
        <v/>
      </c>
    </row>
    <row r="32">
      <c r="B32" s="15" t="n">
        <v>24</v>
      </c>
      <c r="C32" s="15" t="inlineStr">
        <is>
          <t>Fri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T32" s="17">
        <f>IFERROR(CZ32-CF32,"")</f>
        <v/>
      </c>
      <c r="DU32" s="17">
        <f>IFERROR(DA32-CG32,"")</f>
        <v/>
      </c>
      <c r="DV32" s="17">
        <f>IFERROR(DB32-CH32,"")</f>
        <v/>
      </c>
      <c r="DW32" s="17">
        <f>IFERROR(DC32-CI32,"")</f>
        <v/>
      </c>
      <c r="DX32" s="17">
        <f>IFERROR(DD32-CJ32,"")</f>
        <v/>
      </c>
      <c r="DY32" s="17">
        <f>IFERROR(DE32-CK32,"")</f>
        <v/>
      </c>
      <c r="DZ32" s="17">
        <f>IFERROR(DF32-CL32,"")</f>
        <v/>
      </c>
      <c r="EA32" s="17">
        <f>IFERROR(DG32-CM32,"")</f>
        <v/>
      </c>
      <c r="EB32" s="17">
        <f>IFERROR(DH32-CN32,"")</f>
        <v/>
      </c>
      <c r="EC32" s="17">
        <f>IFERROR(DI32-CO32,"")</f>
        <v/>
      </c>
      <c r="ED32" s="17">
        <f>IFERROR(DJ32-CP32,"")</f>
        <v/>
      </c>
      <c r="EE32" s="17">
        <f>IFERROR(DK32-CQ32,"")</f>
        <v/>
      </c>
      <c r="EF32" s="17">
        <f>IFERROR(DL32-CR32,"")</f>
        <v/>
      </c>
      <c r="EG32" s="17">
        <f>IFERROR(DM32-CS32,"")</f>
        <v/>
      </c>
      <c r="EH32" s="17">
        <f>IFERROR(DN32-CT32,"")</f>
        <v/>
      </c>
      <c r="EI32" s="17">
        <f>IFERROR(DO32-CU32,"")</f>
        <v/>
      </c>
      <c r="EJ32" s="17">
        <f>IFERROR(DP32-CV32,"")</f>
        <v/>
      </c>
      <c r="EK32" s="17">
        <f>IFERROR(DQ32-CW32,"")</f>
        <v/>
      </c>
      <c r="EL32" s="17">
        <f>IFERROR(DR32-CX32,"")</f>
        <v/>
      </c>
    </row>
    <row r="33">
      <c r="B33" s="15" t="n">
        <v>25</v>
      </c>
      <c r="C33" s="15" t="inlineStr">
        <is>
          <t>Sat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  <c r="BX33" s="16" t="n"/>
      <c r="BY33" s="16" t="n"/>
      <c r="BZ33" s="16" t="n"/>
      <c r="CA33" s="16" t="n"/>
      <c r="CB33" s="16" t="n"/>
      <c r="CC33" s="16" t="n"/>
      <c r="CD33" s="16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T33" s="17">
        <f>IFERROR(CZ33-CF33,"")</f>
        <v/>
      </c>
      <c r="DU33" s="17">
        <f>IFERROR(DA33-CG33,"")</f>
        <v/>
      </c>
      <c r="DV33" s="17">
        <f>IFERROR(DB33-CH33,"")</f>
        <v/>
      </c>
      <c r="DW33" s="17">
        <f>IFERROR(DC33-CI33,"")</f>
        <v/>
      </c>
      <c r="DX33" s="17">
        <f>IFERROR(DD33-CJ33,"")</f>
        <v/>
      </c>
      <c r="DY33" s="17">
        <f>IFERROR(DE33-CK33,"")</f>
        <v/>
      </c>
      <c r="DZ33" s="17">
        <f>IFERROR(DF33-CL33,"")</f>
        <v/>
      </c>
      <c r="EA33" s="17">
        <f>IFERROR(DG33-CM33,"")</f>
        <v/>
      </c>
      <c r="EB33" s="17">
        <f>IFERROR(DH33-CN33,"")</f>
        <v/>
      </c>
      <c r="EC33" s="17">
        <f>IFERROR(DI33-CO33,"")</f>
        <v/>
      </c>
      <c r="ED33" s="17">
        <f>IFERROR(DJ33-CP33,"")</f>
        <v/>
      </c>
      <c r="EE33" s="17">
        <f>IFERROR(DK33-CQ33,"")</f>
        <v/>
      </c>
      <c r="EF33" s="17">
        <f>IFERROR(DL33-CR33,"")</f>
        <v/>
      </c>
      <c r="EG33" s="17">
        <f>IFERROR(DM33-CS33,"")</f>
        <v/>
      </c>
      <c r="EH33" s="17">
        <f>IFERROR(DN33-CT33,"")</f>
        <v/>
      </c>
      <c r="EI33" s="17">
        <f>IFERROR(DO33-CU33,"")</f>
        <v/>
      </c>
      <c r="EJ33" s="17">
        <f>IFERROR(DP33-CV33,"")</f>
        <v/>
      </c>
      <c r="EK33" s="17">
        <f>IFERROR(DQ33-CW33,"")</f>
        <v/>
      </c>
      <c r="EL33" s="17">
        <f>IFERROR(DR33-CX33,"")</f>
        <v/>
      </c>
    </row>
    <row r="34">
      <c r="B34" s="15" t="n">
        <v>26</v>
      </c>
      <c r="C34" s="15" t="inlineStr">
        <is>
          <t>Sun</t>
        </is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  <c r="BX34" s="16" t="n"/>
      <c r="BY34" s="16" t="n"/>
      <c r="BZ34" s="16" t="n"/>
      <c r="CA34" s="16" t="n"/>
      <c r="CB34" s="16" t="n"/>
      <c r="CC34" s="16" t="n"/>
      <c r="CD34" s="16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T34" s="17">
        <f>IFERROR(CZ34-CF34,"")</f>
        <v/>
      </c>
      <c r="DU34" s="17">
        <f>IFERROR(DA34-CG34,"")</f>
        <v/>
      </c>
      <c r="DV34" s="17">
        <f>IFERROR(DB34-CH34,"")</f>
        <v/>
      </c>
      <c r="DW34" s="17">
        <f>IFERROR(DC34-CI34,"")</f>
        <v/>
      </c>
      <c r="DX34" s="17">
        <f>IFERROR(DD34-CJ34,"")</f>
        <v/>
      </c>
      <c r="DY34" s="17">
        <f>IFERROR(DE34-CK34,"")</f>
        <v/>
      </c>
      <c r="DZ34" s="17">
        <f>IFERROR(DF34-CL34,"")</f>
        <v/>
      </c>
      <c r="EA34" s="17">
        <f>IFERROR(DG34-CM34,"")</f>
        <v/>
      </c>
      <c r="EB34" s="17">
        <f>IFERROR(DH34-CN34,"")</f>
        <v/>
      </c>
      <c r="EC34" s="17">
        <f>IFERROR(DI34-CO34,"")</f>
        <v/>
      </c>
      <c r="ED34" s="17">
        <f>IFERROR(DJ34-CP34,"")</f>
        <v/>
      </c>
      <c r="EE34" s="17">
        <f>IFERROR(DK34-CQ34,"")</f>
        <v/>
      </c>
      <c r="EF34" s="17">
        <f>IFERROR(DL34-CR34,"")</f>
        <v/>
      </c>
      <c r="EG34" s="17">
        <f>IFERROR(DM34-CS34,"")</f>
        <v/>
      </c>
      <c r="EH34" s="17">
        <f>IFERROR(DN34-CT34,"")</f>
        <v/>
      </c>
      <c r="EI34" s="17">
        <f>IFERROR(DO34-CU34,"")</f>
        <v/>
      </c>
      <c r="EJ34" s="17">
        <f>IFERROR(DP34-CV34,"")</f>
        <v/>
      </c>
      <c r="EK34" s="17">
        <f>IFERROR(DQ34-CW34,"")</f>
        <v/>
      </c>
      <c r="EL34" s="17">
        <f>IFERROR(DR34-CX34,"")</f>
        <v/>
      </c>
    </row>
    <row r="35">
      <c r="B35" s="15" t="n">
        <v>27</v>
      </c>
      <c r="C35" s="15" t="inlineStr">
        <is>
          <t>Mon</t>
        </is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16" t="n"/>
      <c r="CA35" s="16" t="n"/>
      <c r="CB35" s="16" t="n"/>
      <c r="CC35" s="16" t="n"/>
      <c r="CD35" s="16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T35" s="17">
        <f>IFERROR(CZ35-CF35,"")</f>
        <v/>
      </c>
      <c r="DU35" s="17">
        <f>IFERROR(DA35-CG35,"")</f>
        <v/>
      </c>
      <c r="DV35" s="17">
        <f>IFERROR(DB35-CH35,"")</f>
        <v/>
      </c>
      <c r="DW35" s="17">
        <f>IFERROR(DC35-CI35,"")</f>
        <v/>
      </c>
      <c r="DX35" s="17">
        <f>IFERROR(DD35-CJ35,"")</f>
        <v/>
      </c>
      <c r="DY35" s="17">
        <f>IFERROR(DE35-CK35,"")</f>
        <v/>
      </c>
      <c r="DZ35" s="17">
        <f>IFERROR(DF35-CL35,"")</f>
        <v/>
      </c>
      <c r="EA35" s="17">
        <f>IFERROR(DG35-CM35,"")</f>
        <v/>
      </c>
      <c r="EB35" s="17">
        <f>IFERROR(DH35-CN35,"")</f>
        <v/>
      </c>
      <c r="EC35" s="17">
        <f>IFERROR(DI35-CO35,"")</f>
        <v/>
      </c>
      <c r="ED35" s="17">
        <f>IFERROR(DJ35-CP35,"")</f>
        <v/>
      </c>
      <c r="EE35" s="17">
        <f>IFERROR(DK35-CQ35,"")</f>
        <v/>
      </c>
      <c r="EF35" s="17">
        <f>IFERROR(DL35-CR35,"")</f>
        <v/>
      </c>
      <c r="EG35" s="17">
        <f>IFERROR(DM35-CS35,"")</f>
        <v/>
      </c>
      <c r="EH35" s="17">
        <f>IFERROR(DN35-CT35,"")</f>
        <v/>
      </c>
      <c r="EI35" s="17">
        <f>IFERROR(DO35-CU35,"")</f>
        <v/>
      </c>
      <c r="EJ35" s="17">
        <f>IFERROR(DP35-CV35,"")</f>
        <v/>
      </c>
      <c r="EK35" s="17">
        <f>IFERROR(DQ35-CW35,"")</f>
        <v/>
      </c>
      <c r="EL35" s="17">
        <f>IFERROR(DR35-CX35,"")</f>
        <v/>
      </c>
    </row>
    <row r="36">
      <c r="B36" s="15" t="n">
        <v>28</v>
      </c>
      <c r="C36" s="15" t="inlineStr">
        <is>
          <t>Tue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16" t="n"/>
      <c r="CA36" s="16" t="n"/>
      <c r="CB36" s="16" t="n"/>
      <c r="CC36" s="16" t="n"/>
      <c r="CD36" s="16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T36" s="17">
        <f>IFERROR(CZ36-CF36,"")</f>
        <v/>
      </c>
      <c r="DU36" s="17">
        <f>IFERROR(DA36-CG36,"")</f>
        <v/>
      </c>
      <c r="DV36" s="17">
        <f>IFERROR(DB36-CH36,"")</f>
        <v/>
      </c>
      <c r="DW36" s="17">
        <f>IFERROR(DC36-CI36,"")</f>
        <v/>
      </c>
      <c r="DX36" s="17">
        <f>IFERROR(DD36-CJ36,"")</f>
        <v/>
      </c>
      <c r="DY36" s="17">
        <f>IFERROR(DE36-CK36,"")</f>
        <v/>
      </c>
      <c r="DZ36" s="17">
        <f>IFERROR(DF36-CL36,"")</f>
        <v/>
      </c>
      <c r="EA36" s="17">
        <f>IFERROR(DG36-CM36,"")</f>
        <v/>
      </c>
      <c r="EB36" s="17">
        <f>IFERROR(DH36-CN36,"")</f>
        <v/>
      </c>
      <c r="EC36" s="17">
        <f>IFERROR(DI36-CO36,"")</f>
        <v/>
      </c>
      <c r="ED36" s="17">
        <f>IFERROR(DJ36-CP36,"")</f>
        <v/>
      </c>
      <c r="EE36" s="17">
        <f>IFERROR(DK36-CQ36,"")</f>
        <v/>
      </c>
      <c r="EF36" s="17">
        <f>IFERROR(DL36-CR36,"")</f>
        <v/>
      </c>
      <c r="EG36" s="17">
        <f>IFERROR(DM36-CS36,"")</f>
        <v/>
      </c>
      <c r="EH36" s="17">
        <f>IFERROR(DN36-CT36,"")</f>
        <v/>
      </c>
      <c r="EI36" s="17">
        <f>IFERROR(DO36-CU36,"")</f>
        <v/>
      </c>
      <c r="EJ36" s="17">
        <f>IFERROR(DP36-CV36,"")</f>
        <v/>
      </c>
      <c r="EK36" s="17">
        <f>IFERROR(DQ36-CW36,"")</f>
        <v/>
      </c>
      <c r="EL36" s="17">
        <f>IFERROR(DR36-CX36,"")</f>
        <v/>
      </c>
    </row>
    <row r="37">
      <c r="B37" s="15" t="n">
        <v>29</v>
      </c>
      <c r="C37" s="15" t="inlineStr">
        <is>
          <t>Wed</t>
        </is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  <c r="BX37" s="16" t="n"/>
      <c r="BY37" s="16" t="n"/>
      <c r="BZ37" s="16" t="n"/>
      <c r="CA37" s="16" t="n"/>
      <c r="CB37" s="16" t="n"/>
      <c r="CC37" s="16" t="n"/>
      <c r="CD37" s="16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T37" s="17">
        <f>IFERROR(CZ37-CF37,"")</f>
        <v/>
      </c>
      <c r="DU37" s="17">
        <f>IFERROR(DA37-CG37,"")</f>
        <v/>
      </c>
      <c r="DV37" s="17">
        <f>IFERROR(DB37-CH37,"")</f>
        <v/>
      </c>
      <c r="DW37" s="17">
        <f>IFERROR(DC37-CI37,"")</f>
        <v/>
      </c>
      <c r="DX37" s="17">
        <f>IFERROR(DD37-CJ37,"")</f>
        <v/>
      </c>
      <c r="DY37" s="17">
        <f>IFERROR(DE37-CK37,"")</f>
        <v/>
      </c>
      <c r="DZ37" s="17">
        <f>IFERROR(DF37-CL37,"")</f>
        <v/>
      </c>
      <c r="EA37" s="17">
        <f>IFERROR(DG37-CM37,"")</f>
        <v/>
      </c>
      <c r="EB37" s="17">
        <f>IFERROR(DH37-CN37,"")</f>
        <v/>
      </c>
      <c r="EC37" s="17">
        <f>IFERROR(DI37-CO37,"")</f>
        <v/>
      </c>
      <c r="ED37" s="17">
        <f>IFERROR(DJ37-CP37,"")</f>
        <v/>
      </c>
      <c r="EE37" s="17">
        <f>IFERROR(DK37-CQ37,"")</f>
        <v/>
      </c>
      <c r="EF37" s="17">
        <f>IFERROR(DL37-CR37,"")</f>
        <v/>
      </c>
      <c r="EG37" s="17">
        <f>IFERROR(DM37-CS37,"")</f>
        <v/>
      </c>
      <c r="EH37" s="17">
        <f>IFERROR(DN37-CT37,"")</f>
        <v/>
      </c>
      <c r="EI37" s="17">
        <f>IFERROR(DO37-CU37,"")</f>
        <v/>
      </c>
      <c r="EJ37" s="17">
        <f>IFERROR(DP37-CV37,"")</f>
        <v/>
      </c>
      <c r="EK37" s="17">
        <f>IFERROR(DQ37-CW37,"")</f>
        <v/>
      </c>
      <c r="EL37" s="17">
        <f>IFERROR(DR37-CX37,"")</f>
        <v/>
      </c>
    </row>
    <row r="38">
      <c r="B38" s="15" t="n">
        <v>30</v>
      </c>
      <c r="C38" s="15" t="inlineStr">
        <is>
          <t>Thu</t>
        </is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T38" s="17">
        <f>IFERROR(CZ38-CF38,"")</f>
        <v/>
      </c>
      <c r="DU38" s="17">
        <f>IFERROR(DA38-CG38,"")</f>
        <v/>
      </c>
      <c r="DV38" s="17">
        <f>IFERROR(DB38-CH38,"")</f>
        <v/>
      </c>
      <c r="DW38" s="17">
        <f>IFERROR(DC38-CI38,"")</f>
        <v/>
      </c>
      <c r="DX38" s="17">
        <f>IFERROR(DD38-CJ38,"")</f>
        <v/>
      </c>
      <c r="DY38" s="17">
        <f>IFERROR(DE38-CK38,"")</f>
        <v/>
      </c>
      <c r="DZ38" s="17">
        <f>IFERROR(DF38-CL38,"")</f>
        <v/>
      </c>
      <c r="EA38" s="17">
        <f>IFERROR(DG38-CM38,"")</f>
        <v/>
      </c>
      <c r="EB38" s="17">
        <f>IFERROR(DH38-CN38,"")</f>
        <v/>
      </c>
      <c r="EC38" s="17">
        <f>IFERROR(DI38-CO38,"")</f>
        <v/>
      </c>
      <c r="ED38" s="17">
        <f>IFERROR(DJ38-CP38,"")</f>
        <v/>
      </c>
      <c r="EE38" s="17">
        <f>IFERROR(DK38-CQ38,"")</f>
        <v/>
      </c>
      <c r="EF38" s="17">
        <f>IFERROR(DL38-CR38,"")</f>
        <v/>
      </c>
      <c r="EG38" s="17">
        <f>IFERROR(DM38-CS38,"")</f>
        <v/>
      </c>
      <c r="EH38" s="17">
        <f>IFERROR(DN38-CT38,"")</f>
        <v/>
      </c>
      <c r="EI38" s="17">
        <f>IFERROR(DO38-CU38,"")</f>
        <v/>
      </c>
      <c r="EJ38" s="17">
        <f>IFERROR(DP38-CV38,"")</f>
        <v/>
      </c>
      <c r="EK38" s="17">
        <f>IFERROR(DQ38-CW38,"")</f>
        <v/>
      </c>
      <c r="EL38" s="17">
        <f>IFERROR(DR38-CX38,"")</f>
        <v/>
      </c>
    </row>
    <row r="39">
      <c r="B39" s="15" t="n">
        <v>31</v>
      </c>
      <c r="C39" s="15" t="inlineStr">
        <is>
          <t>Fri</t>
        </is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6" t="n"/>
      <c r="CA39" s="16" t="n"/>
      <c r="CB39" s="16" t="n"/>
      <c r="CC39" s="16" t="n"/>
      <c r="CD39" s="16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T39" s="17">
        <f>IFERROR(CZ39-CF39,"")</f>
        <v/>
      </c>
      <c r="DU39" s="17">
        <f>IFERROR(DA39-CG39,"")</f>
        <v/>
      </c>
      <c r="DV39" s="17">
        <f>IFERROR(DB39-CH39,"")</f>
        <v/>
      </c>
      <c r="DW39" s="17">
        <f>IFERROR(DC39-CI39,"")</f>
        <v/>
      </c>
      <c r="DX39" s="17">
        <f>IFERROR(DD39-CJ39,"")</f>
        <v/>
      </c>
      <c r="DY39" s="17">
        <f>IFERROR(DE39-CK39,"")</f>
        <v/>
      </c>
      <c r="DZ39" s="17">
        <f>IFERROR(DF39-CL39,"")</f>
        <v/>
      </c>
      <c r="EA39" s="17">
        <f>IFERROR(DG39-CM39,"")</f>
        <v/>
      </c>
      <c r="EB39" s="17">
        <f>IFERROR(DH39-CN39,"")</f>
        <v/>
      </c>
      <c r="EC39" s="17">
        <f>IFERROR(DI39-CO39,"")</f>
        <v/>
      </c>
      <c r="ED39" s="17">
        <f>IFERROR(DJ39-CP39,"")</f>
        <v/>
      </c>
      <c r="EE39" s="17">
        <f>IFERROR(DK39-CQ39,"")</f>
        <v/>
      </c>
      <c r="EF39" s="17">
        <f>IFERROR(DL39-CR39,"")</f>
        <v/>
      </c>
      <c r="EG39" s="17">
        <f>IFERROR(DM39-CS39,"")</f>
        <v/>
      </c>
      <c r="EH39" s="17">
        <f>IFERROR(DN39-CT39,"")</f>
        <v/>
      </c>
      <c r="EI39" s="17">
        <f>IFERROR(DO39-CU39,"")</f>
        <v/>
      </c>
      <c r="EJ39" s="17">
        <f>IFERROR(DP39-CV39,"")</f>
        <v/>
      </c>
      <c r="EK39" s="17">
        <f>IFERROR(DQ39-CW39,"")</f>
        <v/>
      </c>
      <c r="EL39" s="17">
        <f>IFERROR(DR39-CX39,"")</f>
        <v/>
      </c>
    </row>
    <row r="40">
      <c r="B40" s="15" t="n">
        <v>32</v>
      </c>
      <c r="C40" s="15" t="inlineStr">
        <is>
          <t>Sat</t>
        </is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6" t="n"/>
      <c r="CA40" s="16" t="n"/>
      <c r="CB40" s="16" t="n"/>
      <c r="CC40" s="16" t="n"/>
      <c r="CD40" s="16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T40" s="17">
        <f>IFERROR(CZ40-CF40,"")</f>
        <v/>
      </c>
      <c r="DU40" s="17">
        <f>IFERROR(DA40-CG40,"")</f>
        <v/>
      </c>
      <c r="DV40" s="17">
        <f>IFERROR(DB40-CH40,"")</f>
        <v/>
      </c>
      <c r="DW40" s="17">
        <f>IFERROR(DC40-CI40,"")</f>
        <v/>
      </c>
      <c r="DX40" s="17">
        <f>IFERROR(DD40-CJ40,"")</f>
        <v/>
      </c>
      <c r="DY40" s="17">
        <f>IFERROR(DE40-CK40,"")</f>
        <v/>
      </c>
      <c r="DZ40" s="17">
        <f>IFERROR(DF40-CL40,"")</f>
        <v/>
      </c>
      <c r="EA40" s="17">
        <f>IFERROR(DG40-CM40,"")</f>
        <v/>
      </c>
      <c r="EB40" s="17">
        <f>IFERROR(DH40-CN40,"")</f>
        <v/>
      </c>
      <c r="EC40" s="17">
        <f>IFERROR(DI40-CO40,"")</f>
        <v/>
      </c>
      <c r="ED40" s="17">
        <f>IFERROR(DJ40-CP40,"")</f>
        <v/>
      </c>
      <c r="EE40" s="17">
        <f>IFERROR(DK40-CQ40,"")</f>
        <v/>
      </c>
      <c r="EF40" s="17">
        <f>IFERROR(DL40-CR40,"")</f>
        <v/>
      </c>
      <c r="EG40" s="17">
        <f>IFERROR(DM40-CS40,"")</f>
        <v/>
      </c>
      <c r="EH40" s="17">
        <f>IFERROR(DN40-CT40,"")</f>
        <v/>
      </c>
      <c r="EI40" s="17">
        <f>IFERROR(DO40-CU40,"")</f>
        <v/>
      </c>
      <c r="EJ40" s="17">
        <f>IFERROR(DP40-CV40,"")</f>
        <v/>
      </c>
      <c r="EK40" s="17">
        <f>IFERROR(DQ40-CW40,"")</f>
        <v/>
      </c>
      <c r="EL40" s="17">
        <f>IFERROR(DR40-CX40,"")</f>
        <v/>
      </c>
    </row>
    <row r="41">
      <c r="B41" s="15" t="n">
        <v>33</v>
      </c>
      <c r="C41" s="15" t="inlineStr">
        <is>
          <t>Sun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6" t="n"/>
      <c r="CA41" s="16" t="n"/>
      <c r="CB41" s="16" t="n"/>
      <c r="CC41" s="16" t="n"/>
      <c r="CD41" s="16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T41" s="17">
        <f>IFERROR(CZ41-CF41,"")</f>
        <v/>
      </c>
      <c r="DU41" s="17">
        <f>IFERROR(DA41-CG41,"")</f>
        <v/>
      </c>
      <c r="DV41" s="17">
        <f>IFERROR(DB41-CH41,"")</f>
        <v/>
      </c>
      <c r="DW41" s="17">
        <f>IFERROR(DC41-CI41,"")</f>
        <v/>
      </c>
      <c r="DX41" s="17">
        <f>IFERROR(DD41-CJ41,"")</f>
        <v/>
      </c>
      <c r="DY41" s="17">
        <f>IFERROR(DE41-CK41,"")</f>
        <v/>
      </c>
      <c r="DZ41" s="17">
        <f>IFERROR(DF41-CL41,"")</f>
        <v/>
      </c>
      <c r="EA41" s="17">
        <f>IFERROR(DG41-CM41,"")</f>
        <v/>
      </c>
      <c r="EB41" s="17">
        <f>IFERROR(DH41-CN41,"")</f>
        <v/>
      </c>
      <c r="EC41" s="17">
        <f>IFERROR(DI41-CO41,"")</f>
        <v/>
      </c>
      <c r="ED41" s="17">
        <f>IFERROR(DJ41-CP41,"")</f>
        <v/>
      </c>
      <c r="EE41" s="17">
        <f>IFERROR(DK41-CQ41,"")</f>
        <v/>
      </c>
      <c r="EF41" s="17">
        <f>IFERROR(DL41-CR41,"")</f>
        <v/>
      </c>
      <c r="EG41" s="17">
        <f>IFERROR(DM41-CS41,"")</f>
        <v/>
      </c>
      <c r="EH41" s="17">
        <f>IFERROR(DN41-CT41,"")</f>
        <v/>
      </c>
      <c r="EI41" s="17">
        <f>IFERROR(DO41-CU41,"")</f>
        <v/>
      </c>
      <c r="EJ41" s="17">
        <f>IFERROR(DP41-CV41,"")</f>
        <v/>
      </c>
      <c r="EK41" s="17">
        <f>IFERROR(DQ41-CW41,"")</f>
        <v/>
      </c>
      <c r="EL41" s="17">
        <f>IFERROR(DR41-CX41,"")</f>
        <v/>
      </c>
    </row>
    <row r="42">
      <c r="B42" s="19" t="inlineStr">
        <is>
          <t>TOTAL</t>
        </is>
      </c>
      <c r="C42" s="20" t="n"/>
      <c r="D42" s="21">
        <f>SUM(D9:D41)</f>
        <v/>
      </c>
      <c r="E42" s="21">
        <f>SUM(E9:E41)</f>
        <v/>
      </c>
      <c r="F42" s="21">
        <f>SUM(F9:F41)</f>
        <v/>
      </c>
      <c r="G42" s="21">
        <f>SUM(G9:G41)</f>
        <v/>
      </c>
      <c r="H42" s="21">
        <f>SUM(H9:H41)</f>
        <v/>
      </c>
      <c r="I42" s="21">
        <f>SUM(I9:I41)</f>
        <v/>
      </c>
      <c r="J42" s="21">
        <f>SUM(J9:J41)</f>
        <v/>
      </c>
      <c r="K42" s="21">
        <f>SUM(K9:K41)</f>
        <v/>
      </c>
      <c r="L42" s="21">
        <f>SUM(L9:L41)</f>
        <v/>
      </c>
      <c r="M42" s="21">
        <f>SUM(M9:M41)</f>
        <v/>
      </c>
      <c r="N42" s="21">
        <f>SUM(N9:N41)</f>
        <v/>
      </c>
      <c r="O42" s="21">
        <f>SUM(O9:O41)</f>
        <v/>
      </c>
      <c r="P42" s="21">
        <f>SUM(P9:P41)</f>
        <v/>
      </c>
      <c r="Q42" s="21">
        <f>SUM(Q9:Q41)</f>
        <v/>
      </c>
      <c r="R42" s="21">
        <f>SUM(R9:R41)</f>
        <v/>
      </c>
      <c r="S42" s="21">
        <f>SUM(S9:S41)</f>
        <v/>
      </c>
      <c r="T42" s="21">
        <f>SUM(T9:T41)</f>
        <v/>
      </c>
      <c r="U42" s="21">
        <f>SUM(U9:U41)</f>
        <v/>
      </c>
      <c r="V42" s="21">
        <f>SUM(V9:V41)</f>
        <v/>
      </c>
      <c r="X42" s="22">
        <f>SUM(X9:X41)</f>
        <v/>
      </c>
      <c r="Y42" s="22">
        <f>SUM(Y9:Y41)</f>
        <v/>
      </c>
      <c r="Z42" s="22">
        <f>SUM(Z9:Z41)</f>
        <v/>
      </c>
      <c r="AA42" s="22">
        <f>SUM(AA9:AA41)</f>
        <v/>
      </c>
      <c r="AB42" s="22">
        <f>SUM(AB9:AB41)</f>
        <v/>
      </c>
      <c r="AC42" s="22">
        <f>SUM(AC9:AC41)</f>
        <v/>
      </c>
      <c r="AD42" s="22">
        <f>SUM(AD9:AD41)</f>
        <v/>
      </c>
      <c r="AE42" s="22">
        <f>SUM(AE9:AE41)</f>
        <v/>
      </c>
      <c r="AF42" s="22">
        <f>SUM(AF9:AF41)</f>
        <v/>
      </c>
      <c r="AG42" s="22">
        <f>SUM(AG9:AG41)</f>
        <v/>
      </c>
      <c r="AH42" s="22">
        <f>SUM(AH9:AH41)</f>
        <v/>
      </c>
      <c r="AI42" s="22">
        <f>SUM(AI9:AI41)</f>
        <v/>
      </c>
      <c r="AJ42" s="22">
        <f>SUM(AJ9:AJ41)</f>
        <v/>
      </c>
      <c r="AK42" s="22">
        <f>SUM(AK9:AK41)</f>
        <v/>
      </c>
      <c r="AL42" s="22">
        <f>SUM(AL9:AL41)</f>
        <v/>
      </c>
      <c r="AM42" s="22">
        <f>SUM(AM9:AM41)</f>
        <v/>
      </c>
      <c r="AN42" s="22">
        <f>SUM(AN9:AN41)</f>
        <v/>
      </c>
      <c r="AO42" s="22">
        <f>SUM(AO9:AO41)</f>
        <v/>
      </c>
      <c r="AP42" s="22">
        <f>SUM(AP9:AP41)</f>
        <v/>
      </c>
      <c r="AR42" s="23">
        <f>SUM(AR9:AR41)</f>
        <v/>
      </c>
      <c r="AS42" s="23">
        <f>SUM(AS9:AS41)</f>
        <v/>
      </c>
      <c r="AT42" s="23">
        <f>SUM(AT9:AT41)</f>
        <v/>
      </c>
      <c r="AU42" s="23">
        <f>SUM(AU9:AU41)</f>
        <v/>
      </c>
      <c r="AV42" s="23">
        <f>SUM(AV9:AV41)</f>
        <v/>
      </c>
      <c r="AW42" s="23">
        <f>SUM(AW9:AW41)</f>
        <v/>
      </c>
      <c r="AX42" s="23">
        <f>SUM(AX9:AX41)</f>
        <v/>
      </c>
      <c r="AY42" s="23">
        <f>SUM(AY9:AY41)</f>
        <v/>
      </c>
      <c r="AZ42" s="23">
        <f>SUM(AZ9:AZ41)</f>
        <v/>
      </c>
      <c r="BA42" s="23">
        <f>SUM(BA9:BA41)</f>
        <v/>
      </c>
      <c r="BB42" s="23">
        <f>SUM(BB9:BB41)</f>
        <v/>
      </c>
      <c r="BC42" s="23">
        <f>SUM(BC9:BC41)</f>
        <v/>
      </c>
      <c r="BD42" s="23">
        <f>SUM(BD9:BD41)</f>
        <v/>
      </c>
      <c r="BE42" s="23">
        <f>SUM(BE9:BE41)</f>
        <v/>
      </c>
      <c r="BF42" s="23">
        <f>SUM(BF9:BF41)</f>
        <v/>
      </c>
      <c r="BG42" s="23">
        <f>SUM(BG9:BG41)</f>
        <v/>
      </c>
      <c r="BH42" s="23">
        <f>SUM(BH9:BH41)</f>
        <v/>
      </c>
      <c r="BI42" s="23">
        <f>SUM(BI9:BI41)</f>
        <v/>
      </c>
      <c r="BJ42" s="23">
        <f>SUM(BJ9:BJ41)</f>
        <v/>
      </c>
      <c r="BL42" s="24">
        <f>IF(COUNT(BL9:BL41)=0,"",SUM(BL9:BL41))</f>
        <v/>
      </c>
      <c r="BM42" s="24">
        <f>IF(COUNT(BM9:BM41)=0,"",SUM(BM9:BM41))</f>
        <v/>
      </c>
      <c r="BN42" s="24">
        <f>IF(COUNT(BN9:BN41)=0,"",SUM(BN9:BN41))</f>
        <v/>
      </c>
      <c r="BO42" s="24">
        <f>IF(COUNT(BO9:BO41)=0,"",SUM(BO9:BO41))</f>
        <v/>
      </c>
      <c r="BP42" s="24">
        <f>IF(COUNT(BP9:BP41)=0,"",SUM(BP9:BP41))</f>
        <v/>
      </c>
      <c r="BQ42" s="24">
        <f>IF(COUNT(BQ9:BQ41)=0,"",SUM(BQ9:BQ41))</f>
        <v/>
      </c>
      <c r="BR42" s="24">
        <f>IF(COUNT(BR9:BR41)=0,"",SUM(BR9:BR41))</f>
        <v/>
      </c>
      <c r="BS42" s="24">
        <f>IF(COUNT(BS9:BS41)=0,"",SUM(BS9:BS41))</f>
        <v/>
      </c>
      <c r="BT42" s="24">
        <f>IF(COUNT(BT9:BT41)=0,"",SUM(BT9:BT41))</f>
        <v/>
      </c>
      <c r="BU42" s="24">
        <f>IF(COUNT(BU9:BU41)=0,"",SUM(BU9:BU41))</f>
        <v/>
      </c>
      <c r="BV42" s="24">
        <f>IF(COUNT(BV9:BV41)=0,"",SUM(BV9:BV41))</f>
        <v/>
      </c>
      <c r="BW42" s="24">
        <f>IF(COUNT(BW9:BW41)=0,"",SUM(BW9:BW41))</f>
        <v/>
      </c>
      <c r="BX42" s="24">
        <f>IF(COUNT(BX9:BX41)=0,"",SUM(BX9:BX41))</f>
        <v/>
      </c>
      <c r="BY42" s="24">
        <f>IF(COUNT(BY9:BY41)=0,"",SUM(BY9:BY41))</f>
        <v/>
      </c>
      <c r="BZ42" s="24">
        <f>IF(COUNT(BZ9:BZ41)=0,"",SUM(BZ9:BZ41))</f>
        <v/>
      </c>
      <c r="CA42" s="24">
        <f>IF(COUNT(CA9:CA41)=0,"",SUM(CA9:CA41))</f>
        <v/>
      </c>
      <c r="CB42" s="24">
        <f>IF(COUNT(CB9:CB41)=0,"",SUM(CB9:CB41))</f>
        <v/>
      </c>
      <c r="CC42" s="24">
        <f>IF(COUNT(CC9:CC41)=0,"",SUM(CC9:CC41))</f>
        <v/>
      </c>
      <c r="CD42" s="24">
        <f>IF(COUNT(CD9:CD41)=0,"",SUM(CD9:CD41))</f>
        <v/>
      </c>
      <c r="CF42" s="25">
        <f>IF(COUNT(CF9:CF41)=0,"",SUM(CF9:CF41))</f>
        <v/>
      </c>
      <c r="CG42" s="25">
        <f>IF(COUNT(CG9:CG41)=0,"",SUM(CG9:CG41))</f>
        <v/>
      </c>
      <c r="CH42" s="25">
        <f>IF(COUNT(CH9:CH41)=0,"",SUM(CH9:CH41))</f>
        <v/>
      </c>
      <c r="CI42" s="25">
        <f>IF(COUNT(CI9:CI41)=0,"",SUM(CI9:CI41))</f>
        <v/>
      </c>
      <c r="CJ42" s="25">
        <f>IF(COUNT(CJ9:CJ41)=0,"",SUM(CJ9:CJ41))</f>
        <v/>
      </c>
      <c r="CK42" s="25">
        <f>IF(COUNT(CK9:CK41)=0,"",SUM(CK9:CK41))</f>
        <v/>
      </c>
      <c r="CL42" s="25">
        <f>IF(COUNT(CL9:CL41)=0,"",SUM(CL9:CL41))</f>
        <v/>
      </c>
      <c r="CM42" s="25">
        <f>IF(COUNT(CM9:CM41)=0,"",SUM(CM9:CM41))</f>
        <v/>
      </c>
      <c r="CN42" s="25">
        <f>IF(COUNT(CN9:CN41)=0,"",SUM(CN9:CN41))</f>
        <v/>
      </c>
      <c r="CO42" s="25">
        <f>IF(COUNT(CO9:CO41)=0,"",SUM(CO9:CO41))</f>
        <v/>
      </c>
      <c r="CP42" s="25">
        <f>IF(COUNT(CP9:CP41)=0,"",SUM(CP9:CP41))</f>
        <v/>
      </c>
      <c r="CQ42" s="25">
        <f>IF(COUNT(CQ9:CQ41)=0,"",SUM(CQ9:CQ41))</f>
        <v/>
      </c>
      <c r="CR42" s="25">
        <f>IF(COUNT(CR9:CR41)=0,"",SUM(CR9:CR41))</f>
        <v/>
      </c>
      <c r="CS42" s="25">
        <f>IF(COUNT(CS9:CS41)=0,"",SUM(CS9:CS41))</f>
        <v/>
      </c>
      <c r="CT42" s="25">
        <f>IF(COUNT(CT9:CT41)=0,"",SUM(CT9:CT41))</f>
        <v/>
      </c>
      <c r="CU42" s="25">
        <f>IF(COUNT(CU9:CU41)=0,"",SUM(CU9:CU41))</f>
        <v/>
      </c>
      <c r="CV42" s="25">
        <f>IF(COUNT(CV9:CV41)=0,"",SUM(CV9:CV41))</f>
        <v/>
      </c>
      <c r="CW42" s="25">
        <f>IF(COUNT(CW9:CW41)=0,"",SUM(CW9:CW41))</f>
        <v/>
      </c>
      <c r="CX42" s="25">
        <f>IF(COUNT(CX9:CX41)=0,"",SUM(CX9:CX41))</f>
        <v/>
      </c>
      <c r="CZ42" s="25">
        <f>IF(COUNT(CZ9:CZ41)=0,"",SUM(CZ9:CZ41))</f>
        <v/>
      </c>
      <c r="DA42" s="25">
        <f>IF(COUNT(DA9:DA41)=0,"",SUM(DA9:DA41))</f>
        <v/>
      </c>
      <c r="DB42" s="25">
        <f>IF(COUNT(DB9:DB41)=0,"",SUM(DB9:DB41))</f>
        <v/>
      </c>
      <c r="DC42" s="25">
        <f>IF(COUNT(DC9:DC41)=0,"",SUM(DC9:DC41))</f>
        <v/>
      </c>
      <c r="DD42" s="25">
        <f>IF(COUNT(DD9:DD41)=0,"",SUM(DD9:DD41))</f>
        <v/>
      </c>
      <c r="DE42" s="25">
        <f>IF(COUNT(DE9:DE41)=0,"",SUM(DE9:DE41))</f>
        <v/>
      </c>
      <c r="DF42" s="25">
        <f>IF(COUNT(DF9:DF41)=0,"",SUM(DF9:DF41))</f>
        <v/>
      </c>
      <c r="DG42" s="25">
        <f>IF(COUNT(DG9:DG41)=0,"",SUM(DG9:DG41))</f>
        <v/>
      </c>
      <c r="DH42" s="25">
        <f>IF(COUNT(DH9:DH41)=0,"",SUM(DH9:DH41))</f>
        <v/>
      </c>
      <c r="DI42" s="25">
        <f>IF(COUNT(DI9:DI41)=0,"",SUM(DI9:DI41))</f>
        <v/>
      </c>
      <c r="DJ42" s="25">
        <f>IF(COUNT(DJ9:DJ41)=0,"",SUM(DJ9:DJ41))</f>
        <v/>
      </c>
      <c r="DK42" s="25">
        <f>IF(COUNT(DK9:DK41)=0,"",SUM(DK9:DK41))</f>
        <v/>
      </c>
      <c r="DL42" s="25">
        <f>IF(COUNT(DL9:DL41)=0,"",SUM(DL9:DL41))</f>
        <v/>
      </c>
      <c r="DM42" s="25">
        <f>IF(COUNT(DM9:DM41)=0,"",SUM(DM9:DM41))</f>
        <v/>
      </c>
      <c r="DN42" s="25">
        <f>IF(COUNT(DN9:DN41)=0,"",SUM(DN9:DN41))</f>
        <v/>
      </c>
      <c r="DO42" s="25">
        <f>IF(COUNT(DO9:DO41)=0,"",SUM(DO9:DO41))</f>
        <v/>
      </c>
      <c r="DP42" s="25">
        <f>IF(COUNT(DP9:DP41)=0,"",SUM(DP9:DP41))</f>
        <v/>
      </c>
      <c r="DQ42" s="25">
        <f>IF(COUNT(DQ9:DQ41)=0,"",SUM(DQ9:DQ41))</f>
        <v/>
      </c>
      <c r="DR42" s="25">
        <f>IF(COUNT(DR9:DR41)=0,"",SUM(DR9:DR41))</f>
        <v/>
      </c>
      <c r="DT42" s="23">
        <f>IF(COUNT(DT9:DT41)=0,"",SUM(DT9:DT41))</f>
        <v/>
      </c>
      <c r="DU42" s="23">
        <f>IF(COUNT(DU9:DU41)=0,"",SUM(DU9:DU41))</f>
        <v/>
      </c>
      <c r="DV42" s="23">
        <f>IF(COUNT(DV9:DV41)=0,"",SUM(DV9:DV41))</f>
        <v/>
      </c>
      <c r="DW42" s="23">
        <f>IF(COUNT(DW9:DW41)=0,"",SUM(DW9:DW41))</f>
        <v/>
      </c>
      <c r="DX42" s="23">
        <f>IF(COUNT(DX9:DX41)=0,"",SUM(DX9:DX41))</f>
        <v/>
      </c>
      <c r="DY42" s="23">
        <f>IF(COUNT(DY9:DY41)=0,"",SUM(DY9:DY41))</f>
        <v/>
      </c>
      <c r="DZ42" s="23">
        <f>IF(COUNT(DZ9:DZ41)=0,"",SUM(DZ9:DZ41))</f>
        <v/>
      </c>
      <c r="EA42" s="23">
        <f>IF(COUNT(EA9:EA41)=0,"",SUM(EA9:EA41))</f>
        <v/>
      </c>
      <c r="EB42" s="23">
        <f>IF(COUNT(EB9:EB41)=0,"",SUM(EB9:EB41))</f>
        <v/>
      </c>
      <c r="EC42" s="23">
        <f>IF(COUNT(EC9:EC41)=0,"",SUM(EC9:EC41))</f>
        <v/>
      </c>
      <c r="ED42" s="23">
        <f>IF(COUNT(ED9:ED41)=0,"",SUM(ED9:ED41))</f>
        <v/>
      </c>
      <c r="EE42" s="23">
        <f>IF(COUNT(EE9:EE41)=0,"",SUM(EE9:EE41))</f>
        <v/>
      </c>
      <c r="EF42" s="23">
        <f>IF(COUNT(EF9:EF41)=0,"",SUM(EF9:EF41))</f>
        <v/>
      </c>
      <c r="EG42" s="23">
        <f>IF(COUNT(EG9:EG41)=0,"",SUM(EG9:EG41))</f>
        <v/>
      </c>
      <c r="EH42" s="23">
        <f>IF(COUNT(EH9:EH41)=0,"",SUM(EH9:EH41))</f>
        <v/>
      </c>
      <c r="EI42" s="23">
        <f>IF(COUNT(EI9:EI41)=0,"",SUM(EI9:EI41))</f>
        <v/>
      </c>
      <c r="EJ42" s="23">
        <f>IF(COUNT(EJ9:EJ41)=0,"",SUM(EJ9:EJ41))</f>
        <v/>
      </c>
      <c r="EK42" s="23">
        <f>IF(COUNT(EK9:EK41)=0,"",SUM(EK9:EK41))</f>
        <v/>
      </c>
      <c r="EL42" s="23">
        <f>IF(COUNT(EL9:EL41)=0,"",SUM(EL9:EL41))</f>
        <v/>
      </c>
    </row>
    <row r="44">
      <c r="B44" s="26" t="inlineStr">
        <is>
          <t>LEGEND / ALLOCATION RULES (claim-day realistic — EcoGainsSim_Daily.gs)</t>
        </is>
      </c>
    </row>
    <row r="45">
      <c r="B45" s="5" t="inlineStr">
        <is>
          <t>Window totals are exactly the main sim’s numbers (CURRENT = measured on cal_curr, NEW = simulated on cal_new); this view only places them on days — column TOTALs reconcile with EcoGainsSim_HC.</t>
        </is>
      </c>
    </row>
    <row r="46">
      <c r="B46" s="5" t="inlineStr">
        <is>
          <t>Leaderboard events (Bomb/Chuck/Red Challenge, Level Race, Flash Race, Target Day, Kite) pay on each instance’s LAST day → expect end-day spikes. Instance slices are split by reach.</t>
        </is>
      </c>
    </row>
    <row r="47">
      <c r="B47" s="5" t="inlineStr">
        <is>
          <t>Collections (Hatchling Hideaway, Bomb’s Ballet, Jigsaw, Photoshoot) spread across instance days by the accrual curve’s marginal share; Rainbow Maker spreads ∝ active rate within its instances (no curve — flagged).</t>
        </is>
      </c>
    </row>
    <row r="48">
      <c r="B48" s="5" t="inlineStr">
        <is>
      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      </is>
      </c>
    </row>
    <row r="49">
      <c r="B49" s="5" t="inlineStr">
        <is>
          <t>Weekend rows (Fri/Sat/Sun) are tinted. Filters: Payer / Segment / Source — Source=ALL sums every category; pick one to isolate its daily contribution.</t>
        </is>
      </c>
    </row>
    <row r="50">
      <c r="B50" s="5" t="inlineStr">
        <is>
      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      </is>
      </c>
    </row>
    <row r="51">
      <c r="B51" s="5" t="inlineStr">
        <is>
          <t>NET blocks are BLANK when Source ≠ ALL (spend is game-wide, not attributable to one event) and until the data_econ_daily sheet exists in the workbook. Their TOTAL row blanks out too (no data ≠ zero net).</t>
        </is>
      </c>
    </row>
    <row r="52">
      <c r="B52" s="5" t="inlineStr">
        <is>
          <t>PACKS (19-resource universe since 2026-08-03, D19): the six card-collection pack tiers. Simulated-side only —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— packs are gains-only, so a net pack position does not exist.</t>
        </is>
      </c>
    </row>
    <row r="53">
      <c r="B53" s="5" t="inlineStr">
        <is>
          <t>Team Event / Team Race / Flock Flurry LEFT the flat ÷33 family on 2026-08-03 (D19): they pay packs, which are end-of-instance rank rewards, so they are now placed on their calendar instances. Window totals are unchanged — only the per-day distribution.</t>
        </is>
      </c>
    </row>
  </sheetData>
  <conditionalFormatting sqref="AR9:BJ41">
    <cfRule type="cellIs" priority="1" operator="lessThan" dxfId="0" stopIfTrue="1">
      <formula>0</formula>
    </cfRule>
    <cfRule type="cellIs" priority="2" operator="greaterThan" dxfId="1" stopIfTrue="1">
      <formula>0</formula>
    </cfRule>
  </conditionalFormatting>
  <conditionalFormatting sqref="DT9:EL41">
    <cfRule type="cellIs" priority="3" operator="lessThan" dxfId="0" stopIfTrue="1">
      <formula>0</formula>
    </cfRule>
    <cfRule type="cellIs" priority="4" operator="greaterThan" dxfId="1" stopIfTrue="1">
      <formula>0</formula>
    </cfRule>
  </conditionalFormatting>
  <conditionalFormatting sqref="B9:EL41">
    <cfRule type="expression" priority="5" dxfId="2">
      <formula>OR($C9="Fri",$C9="Sat",$C9="Sun")</formula>
    </cfRule>
  </conditionalFormatting>
  <dataValidations count="3">
    <dataValidation sqref="C3" showDropDown="0" showInputMessage="0" showErrorMessage="0" allowBlank="0" type="list">
      <formula1>"NONPAYER,PAYER"</formula1>
    </dataValidation>
    <dataValidation sqref="C4" showDropDown="0" showInputMessage="0" showErrorMessage="0" allowBlank="0" type="list">
      <formula1>"0-9,10-19,20-39,40-99,100+"</formula1>
    </dataValidation>
    <dataValidation sqref="C5" showDropDown="0" showInputMessage="0" showErrorMessage="0" allowBlank="0" type="list">
      <formula1>=$EN$2:$EN$27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2026-08-03T10:41:18Z</dcterms:created>
  <dcterms:modified xsi:type="dcterms:W3CDTF">2026-08-03T10:41:18Z</dcterms:modified>
</cp:coreProperties>
</file>