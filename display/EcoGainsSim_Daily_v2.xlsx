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Dai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"/>
    <numFmt numFmtId="165" formatCode="#,##0.00;[Red]-#,##0.0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0"/>
    </font>
    <font>
      <name val="Arial"/>
      <color rgb="FF808080"/>
      <sz val="9"/>
    </font>
    <font>
      <name val="Arial"/>
      <color rgb="FF808080"/>
      <sz val="8"/>
    </font>
    <font>
      <name val="Arial"/>
      <b val="1"/>
      <color rgb="FFFFFFFF"/>
      <sz val="11"/>
    </font>
    <font>
      <name val="Arial"/>
      <b val="1"/>
      <sz val="9"/>
    </font>
    <font>
      <name val="Arial"/>
      <sz val="10"/>
    </font>
    <font>
      <name val="Arial"/>
      <b val="1"/>
      <color rgb="FF000000"/>
      <sz val="9"/>
    </font>
  </fonts>
  <fills count="12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CFE2F3"/>
      </patternFill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666666"/>
      </patternFill>
    </fill>
    <fill>
      <patternFill patternType="solid">
        <fgColor rgb="FFEFEFEF"/>
      </patternFill>
    </fill>
    <fill>
      <patternFill patternType="solid">
        <fgColor rgb="FF7030A0"/>
      </patternFill>
    </fill>
    <fill>
      <patternFill patternType="solid">
        <fgColor rgb="FFE9DEF3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0" pivotButton="0" quotePrefix="0" xfId="0"/>
    <xf numFmtId="0" fontId="5" fillId="3" borderId="0" pivotButton="0" quotePrefix="0" xfId="0"/>
    <xf numFmtId="0" fontId="5" fillId="5" borderId="0" pivotButton="0" quotePrefix="0" xfId="0"/>
    <xf numFmtId="0" fontId="5" fillId="7" borderId="0" pivotButton="0" quotePrefix="0" xfId="0"/>
    <xf numFmtId="0" fontId="5" fillId="9" borderId="0" pivotButton="0" quotePrefix="0" xfId="0"/>
    <xf numFmtId="0" fontId="6" fillId="11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0" fontId="6" fillId="11" borderId="1" pivotButton="0" quotePrefix="0" xfId="0"/>
    <xf numFmtId="0" fontId="0" fillId="11" borderId="1" pivotButton="0" quotePrefix="0" xfId="0"/>
    <xf numFmtId="4" fontId="2" fillId="4" borderId="1" applyAlignment="1" pivotButton="0" quotePrefix="0" xfId="0">
      <alignment horizontal="center"/>
    </xf>
    <xf numFmtId="4" fontId="2" fillId="6" borderId="1" applyAlignment="1" pivotButton="0" quotePrefix="0" xfId="0">
      <alignment horizontal="center"/>
    </xf>
    <xf numFmtId="164" fontId="2" fillId="8" borderId="1" applyAlignment="1" pivotButton="0" quotePrefix="0" xfId="0">
      <alignment horizontal="center"/>
    </xf>
    <xf numFmtId="4" fontId="2" fillId="10" borderId="1" applyAlignment="1" pivotButton="0" quotePrefix="0" xfId="0">
      <alignment horizontal="center"/>
    </xf>
    <xf numFmtId="165" fontId="2" fillId="1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color rgb="FF990000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D9EAD3"/>
        </patternFill>
      </fill>
    </dxf>
    <dxf>
      <fill>
        <patternFill patternType="solid">
          <fgColor rgb="FFFEF8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J51"/>
  <sheetViews>
    <sheetView showGridLines="0" workbookViewId="0">
      <selection activeCell="A1" sqref="A1"/>
    </sheetView>
  </sheetViews>
  <sheetFormatPr baseColWidth="8" defaultRowHeight="15"/>
  <cols>
    <col width="1.75" customWidth="1" min="1" max="1"/>
    <col width="5.5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2.8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2.8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2.8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2.8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2.8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2.88" customWidth="1" min="75" max="75"/>
    <col width="8" customWidth="1" min="76" max="76"/>
    <col width="8" customWidth="1" min="77" max="77"/>
    <col width="8" customWidth="1" min="78" max="78"/>
    <col width="8" customWidth="1" min="79" max="79"/>
    <col width="8" customWidth="1" min="80" max="80"/>
    <col width="8" customWidth="1" min="81" max="81"/>
    <col width="8" customWidth="1" min="82" max="82"/>
    <col width="8" customWidth="1" min="83" max="83"/>
    <col width="8" customWidth="1" min="84" max="84"/>
    <col width="8" customWidth="1" min="85" max="85"/>
    <col width="8" customWidth="1" min="86" max="86"/>
    <col width="2.88" customWidth="1" min="87" max="87"/>
    <col width="21" customWidth="1" min="88" max="88"/>
  </cols>
  <sheetData>
    <row r="1">
      <c r="B1" s="1" t="inlineStr">
        <is>
          <t>DAILY RESOURCE GAINS + NET — 33-day calendar, per earner (day 1 = Wednesday)</t>
        </is>
      </c>
      <c r="CJ1" s="2" t="inlineStr">
        <is>
          <t>source dropdown list</t>
        </is>
      </c>
    </row>
    <row r="2">
      <c r="CJ2" s="2" t="inlineStr">
        <is>
          <t>ALL</t>
        </is>
      </c>
    </row>
    <row r="3">
      <c r="B3" s="3" t="inlineStr">
        <is>
          <t>Payer</t>
        </is>
      </c>
      <c r="C3" s="4" t="inlineStr">
        <is>
          <t>NONPAYER</t>
        </is>
      </c>
      <c r="D3" s="5" t="inlineStr">
        <is>
          <t>◀ filters (dropdowns) — the whole table re-simulates on change</t>
        </is>
      </c>
      <c r="CJ3" s="2" t="inlineStr">
        <is>
          <t>Ads</t>
        </is>
      </c>
    </row>
    <row r="4">
      <c r="B4" s="3" t="inlineStr">
        <is>
          <t>Segment</t>
        </is>
      </c>
      <c r="C4" s="4" t="inlineStr">
        <is>
          <t>0-9</t>
        </is>
      </c>
      <c r="CJ4" s="2" t="inlineStr">
        <is>
          <t>Bomb Challenge</t>
        </is>
      </c>
    </row>
    <row r="5">
      <c r="B5" s="3" t="inlineStr">
        <is>
          <t>Source</t>
        </is>
      </c>
      <c r="C5" s="4" t="inlineStr">
        <is>
          <t>ALL</t>
        </is>
      </c>
      <c r="CJ5" s="2" t="inlineStr">
        <is>
          <t>Bomb's Ballet</t>
        </is>
      </c>
    </row>
    <row r="6">
      <c r="CJ6" s="2" t="inlineStr">
        <is>
          <t>Chuck Challenge</t>
        </is>
      </c>
    </row>
    <row r="7">
      <c r="D7" s="6" t="inlineStr">
        <is>
          <t>◄ CURRENT (cal_curr, measured) ►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P7" s="7" t="inlineStr">
        <is>
          <t>◄ NEW (cal_new, simulated) ►</t>
        </is>
      </c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B7" s="8" t="inlineStr">
        <is>
          <t>Δ  NEW − CURRENT (same day)</t>
        </is>
      </c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N7" s="9" t="inlineStr">
        <is>
          <t>◄ ACTUAL SPEND / earner (data_econ_daily) ►</t>
        </is>
      </c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Z7" s="9" t="inlineStr">
        <is>
          <t>◄ CURRENT NET / earner (gain − spend) ►</t>
        </is>
      </c>
      <c r="BA7" s="9" t="n"/>
      <c r="BB7" s="9" t="n"/>
      <c r="BC7" s="9" t="n"/>
      <c r="BD7" s="9" t="n"/>
      <c r="BE7" s="9" t="n"/>
      <c r="BF7" s="9" t="n"/>
      <c r="BG7" s="9" t="n"/>
      <c r="BH7" s="9" t="n"/>
      <c r="BI7" s="9" t="n"/>
      <c r="BJ7" s="9" t="n"/>
      <c r="BL7" s="9" t="inlineStr">
        <is>
          <t>◄ NEW NET / earner (gain + sim Δ − spend) ►</t>
        </is>
      </c>
      <c r="BM7" s="9" t="n"/>
      <c r="BN7" s="9" t="n"/>
      <c r="BO7" s="9" t="n"/>
      <c r="BP7" s="9" t="n"/>
      <c r="BQ7" s="9" t="n"/>
      <c r="BR7" s="9" t="n"/>
      <c r="BS7" s="9" t="n"/>
      <c r="BT7" s="9" t="n"/>
      <c r="BU7" s="9" t="n"/>
      <c r="BV7" s="9" t="n"/>
      <c r="BX7" s="8" t="inlineStr">
        <is>
          <t>Δ  NET (new − cur; == sim Δ)</t>
        </is>
      </c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J7" s="2" t="inlineStr">
        <is>
          <t>Core</t>
        </is>
      </c>
    </row>
    <row r="8">
      <c r="B8" s="10" t="inlineStr">
        <is>
          <t>Day</t>
        </is>
      </c>
      <c r="C8" s="10" t="inlineStr">
        <is>
          <t>DoW</t>
        </is>
      </c>
      <c r="D8" s="11" t="inlineStr">
        <is>
          <t>HC</t>
        </is>
      </c>
      <c r="E8" s="11" t="inlineStr">
        <is>
          <t>Slingshot</t>
        </is>
      </c>
      <c r="F8" s="11" t="inlineStr">
        <is>
          <t>Shuffle</t>
        </is>
      </c>
      <c r="G8" s="11" t="inlineStr">
        <is>
          <t>Comet</t>
        </is>
      </c>
      <c r="H8" s="11" t="inlineStr">
        <is>
          <t>Red</t>
        </is>
      </c>
      <c r="I8" s="11" t="inlineStr">
        <is>
          <t>Chuck</t>
        </is>
      </c>
      <c r="J8" s="11" t="inlineStr">
        <is>
          <t>Bomb</t>
        </is>
      </c>
      <c r="K8" s="11" t="inlineStr">
        <is>
          <t>UL Bomb</t>
        </is>
      </c>
      <c r="L8" s="11" t="inlineStr">
        <is>
          <t>UL Chuck</t>
        </is>
      </c>
      <c r="M8" s="11" t="inlineStr">
        <is>
          <t>UL Red</t>
        </is>
      </c>
      <c r="N8" s="11" t="inlineStr">
        <is>
          <t>Unlimited Lives</t>
        </is>
      </c>
      <c r="P8" s="12" t="inlineStr">
        <is>
          <t>HC</t>
        </is>
      </c>
      <c r="Q8" s="12" t="inlineStr">
        <is>
          <t>Slingshot</t>
        </is>
      </c>
      <c r="R8" s="12" t="inlineStr">
        <is>
          <t>Shuffle</t>
        </is>
      </c>
      <c r="S8" s="12" t="inlineStr">
        <is>
          <t>Comet</t>
        </is>
      </c>
      <c r="T8" s="12" t="inlineStr">
        <is>
          <t>Red</t>
        </is>
      </c>
      <c r="U8" s="12" t="inlineStr">
        <is>
          <t>Chuck</t>
        </is>
      </c>
      <c r="V8" s="12" t="inlineStr">
        <is>
          <t>Bomb</t>
        </is>
      </c>
      <c r="W8" s="12" t="inlineStr">
        <is>
          <t>UL Bomb</t>
        </is>
      </c>
      <c r="X8" s="12" t="inlineStr">
        <is>
          <t>UL Chuck</t>
        </is>
      </c>
      <c r="Y8" s="12" t="inlineStr">
        <is>
          <t>UL Red</t>
        </is>
      </c>
      <c r="Z8" s="12" t="inlineStr">
        <is>
          <t>Unlimited Lives</t>
        </is>
      </c>
      <c r="AB8" s="13" t="inlineStr">
        <is>
          <t>HC</t>
        </is>
      </c>
      <c r="AC8" s="13" t="inlineStr">
        <is>
          <t>Slingshot</t>
        </is>
      </c>
      <c r="AD8" s="13" t="inlineStr">
        <is>
          <t>Shuffle</t>
        </is>
      </c>
      <c r="AE8" s="13" t="inlineStr">
        <is>
          <t>Comet</t>
        </is>
      </c>
      <c r="AF8" s="13" t="inlineStr">
        <is>
          <t>Red</t>
        </is>
      </c>
      <c r="AG8" s="13" t="inlineStr">
        <is>
          <t>Chuck</t>
        </is>
      </c>
      <c r="AH8" s="13" t="inlineStr">
        <is>
          <t>Bomb</t>
        </is>
      </c>
      <c r="AI8" s="13" t="inlineStr">
        <is>
          <t>UL Bomb</t>
        </is>
      </c>
      <c r="AJ8" s="13" t="inlineStr">
        <is>
          <t>UL Chuck</t>
        </is>
      </c>
      <c r="AK8" s="13" t="inlineStr">
        <is>
          <t>UL Red</t>
        </is>
      </c>
      <c r="AL8" s="13" t="inlineStr">
        <is>
          <t>Unlimited Lives</t>
        </is>
      </c>
      <c r="AN8" s="14" t="inlineStr">
        <is>
          <t>HC</t>
        </is>
      </c>
      <c r="AO8" s="14" t="inlineStr">
        <is>
          <t>Slingshot</t>
        </is>
      </c>
      <c r="AP8" s="14" t="inlineStr">
        <is>
          <t>Shuffle</t>
        </is>
      </c>
      <c r="AQ8" s="14" t="inlineStr">
        <is>
          <t>Comet</t>
        </is>
      </c>
      <c r="AR8" s="14" t="inlineStr">
        <is>
          <t>Red</t>
        </is>
      </c>
      <c r="AS8" s="14" t="inlineStr">
        <is>
          <t>Chuck</t>
        </is>
      </c>
      <c r="AT8" s="14" t="inlineStr">
        <is>
          <t>Bomb</t>
        </is>
      </c>
      <c r="AU8" s="14" t="inlineStr">
        <is>
          <t>UL Bomb</t>
        </is>
      </c>
      <c r="AV8" s="14" t="inlineStr">
        <is>
          <t>UL Chuck</t>
        </is>
      </c>
      <c r="AW8" s="14" t="inlineStr">
        <is>
          <t>UL Red</t>
        </is>
      </c>
      <c r="AX8" s="14" t="inlineStr">
        <is>
          <t>Unlimited Lives</t>
        </is>
      </c>
      <c r="AZ8" s="14" t="inlineStr">
        <is>
          <t>HC</t>
        </is>
      </c>
      <c r="BA8" s="14" t="inlineStr">
        <is>
          <t>Slingshot</t>
        </is>
      </c>
      <c r="BB8" s="14" t="inlineStr">
        <is>
          <t>Shuffle</t>
        </is>
      </c>
      <c r="BC8" s="14" t="inlineStr">
        <is>
          <t>Comet</t>
        </is>
      </c>
      <c r="BD8" s="14" t="inlineStr">
        <is>
          <t>Red</t>
        </is>
      </c>
      <c r="BE8" s="14" t="inlineStr">
        <is>
          <t>Chuck</t>
        </is>
      </c>
      <c r="BF8" s="14" t="inlineStr">
        <is>
          <t>Bomb</t>
        </is>
      </c>
      <c r="BG8" s="14" t="inlineStr">
        <is>
          <t>UL Bomb</t>
        </is>
      </c>
      <c r="BH8" s="14" t="inlineStr">
        <is>
          <t>UL Chuck</t>
        </is>
      </c>
      <c r="BI8" s="14" t="inlineStr">
        <is>
          <t>UL Red</t>
        </is>
      </c>
      <c r="BJ8" s="14" t="inlineStr">
        <is>
          <t>Unlimited Lives</t>
        </is>
      </c>
      <c r="BL8" s="14" t="inlineStr">
        <is>
          <t>HC</t>
        </is>
      </c>
      <c r="BM8" s="14" t="inlineStr">
        <is>
          <t>Slingshot</t>
        </is>
      </c>
      <c r="BN8" s="14" t="inlineStr">
        <is>
          <t>Shuffle</t>
        </is>
      </c>
      <c r="BO8" s="14" t="inlineStr">
        <is>
          <t>Comet</t>
        </is>
      </c>
      <c r="BP8" s="14" t="inlineStr">
        <is>
          <t>Red</t>
        </is>
      </c>
      <c r="BQ8" s="14" t="inlineStr">
        <is>
          <t>Chuck</t>
        </is>
      </c>
      <c r="BR8" s="14" t="inlineStr">
        <is>
          <t>Bomb</t>
        </is>
      </c>
      <c r="BS8" s="14" t="inlineStr">
        <is>
          <t>UL Bomb</t>
        </is>
      </c>
      <c r="BT8" s="14" t="inlineStr">
        <is>
          <t>UL Chuck</t>
        </is>
      </c>
      <c r="BU8" s="14" t="inlineStr">
        <is>
          <t>UL Red</t>
        </is>
      </c>
      <c r="BV8" s="14" t="inlineStr">
        <is>
          <t>Unlimited Lives</t>
        </is>
      </c>
      <c r="BX8" s="13" t="inlineStr">
        <is>
          <t>HC</t>
        </is>
      </c>
      <c r="BY8" s="13" t="inlineStr">
        <is>
          <t>Slingshot</t>
        </is>
      </c>
      <c r="BZ8" s="13" t="inlineStr">
        <is>
          <t>Shuffle</t>
        </is>
      </c>
      <c r="CA8" s="13" t="inlineStr">
        <is>
          <t>Comet</t>
        </is>
      </c>
      <c r="CB8" s="13" t="inlineStr">
        <is>
          <t>Red</t>
        </is>
      </c>
      <c r="CC8" s="13" t="inlineStr">
        <is>
          <t>Chuck</t>
        </is>
      </c>
      <c r="CD8" s="13" t="inlineStr">
        <is>
          <t>Bomb</t>
        </is>
      </c>
      <c r="CE8" s="13" t="inlineStr">
        <is>
          <t>UL Bomb</t>
        </is>
      </c>
      <c r="CF8" s="13" t="inlineStr">
        <is>
          <t>UL Chuck</t>
        </is>
      </c>
      <c r="CG8" s="13" t="inlineStr">
        <is>
          <t>UL Red</t>
        </is>
      </c>
      <c r="CH8" s="13" t="inlineStr">
        <is>
          <t>Unlimited Lives</t>
        </is>
      </c>
      <c r="CJ8" s="2" t="inlineStr">
        <is>
          <t>Daily Gift</t>
        </is>
      </c>
    </row>
    <row r="9">
      <c r="B9" s="15" t="n">
        <v>1</v>
      </c>
      <c r="C9" s="15" t="inlineStr">
        <is>
          <t>Wed</t>
        </is>
      </c>
      <c r="D9" s="16">
        <f>LET(payer,$C$3, segment,$C$4, source,$C$5, ECOGAINS_DAILY(payer, segment, source, "CURRENT", sim_refresh!$A$1))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P9" s="16">
        <f>LET(payer,$C$3, segment,$C$4, source,$C$5, ECOGAINS_DAILY(payer, segment, source, "NEW", sim_refresh!$A$1))</f>
        <v/>
      </c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B9" s="17">
        <f>LET(payer,$C$3, segment,$C$4, source,$C$5, ECOGAINS_DAILY(payer, segment, source, "DIFF", sim_refresh!$A$1))</f>
        <v/>
      </c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N9" s="16">
        <f>LET(payer,$C$3, segment,$C$4, source,$C$5, ECOGAINS_DAILY(payer, segment, source, "SPEND", sim_refresh!$A$1))</f>
        <v/>
      </c>
      <c r="AO9" s="16" t="n"/>
      <c r="AP9" s="16" t="n"/>
      <c r="AQ9" s="16" t="n"/>
      <c r="AR9" s="16" t="n"/>
      <c r="AS9" s="16" t="n"/>
      <c r="AT9" s="16" t="n"/>
      <c r="AU9" s="16" t="n"/>
      <c r="AV9" s="16" t="n"/>
      <c r="AW9" s="16" t="n"/>
      <c r="AX9" s="16" t="n"/>
      <c r="AZ9" s="18">
        <f>LET(payer,$C$3, segment,$C$4, source,$C$5, ECOGAINS_DAILY(payer, segment, source, "CURNET", sim_refresh!$A$1))</f>
        <v/>
      </c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L9" s="18">
        <f>LET(payer,$C$3, segment,$C$4, source,$C$5, ECOGAINS_DAILY(payer, segment, source, "NEWNET", sim_refresh!$A$1))</f>
        <v/>
      </c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X9" s="17">
        <f>IFERROR(BL9-AZ9,"")</f>
        <v/>
      </c>
      <c r="BY9" s="17">
        <f>IFERROR(BM9-BA9,"")</f>
        <v/>
      </c>
      <c r="BZ9" s="17">
        <f>IFERROR(BN9-BB9,"")</f>
        <v/>
      </c>
      <c r="CA9" s="17">
        <f>IFERROR(BO9-BC9,"")</f>
        <v/>
      </c>
      <c r="CB9" s="17">
        <f>IFERROR(BP9-BD9,"")</f>
        <v/>
      </c>
      <c r="CC9" s="17">
        <f>IFERROR(BQ9-BE9,"")</f>
        <v/>
      </c>
      <c r="CD9" s="17">
        <f>IFERROR(BR9-BF9,"")</f>
        <v/>
      </c>
      <c r="CE9" s="17">
        <f>IFERROR(BS9-BG9,"")</f>
        <v/>
      </c>
      <c r="CF9" s="17">
        <f>IFERROR(BT9-BH9,"")</f>
        <v/>
      </c>
      <c r="CG9" s="17">
        <f>IFERROR(BU9-BI9,"")</f>
        <v/>
      </c>
      <c r="CH9" s="17">
        <f>IFERROR(BV9-BJ9,"")</f>
        <v/>
      </c>
      <c r="CJ9" s="2" t="inlineStr">
        <is>
          <t>Daily Night Sky Prize</t>
        </is>
      </c>
    </row>
    <row r="10">
      <c r="B10" s="15" t="n">
        <v>2</v>
      </c>
      <c r="C10" s="15" t="inlineStr">
        <is>
          <t>Thu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N10" s="16" t="n"/>
      <c r="AO10" s="16" t="n"/>
      <c r="AP10" s="16" t="n"/>
      <c r="AQ10" s="16" t="n"/>
      <c r="AR10" s="16" t="n"/>
      <c r="AS10" s="16" t="n"/>
      <c r="AT10" s="16" t="n"/>
      <c r="AU10" s="16" t="n"/>
      <c r="AV10" s="16" t="n"/>
      <c r="AW10" s="16" t="n"/>
      <c r="AX10" s="16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X10" s="17">
        <f>IFERROR(BL10-AZ10,"")</f>
        <v/>
      </c>
      <c r="BY10" s="17">
        <f>IFERROR(BM10-BA10,"")</f>
        <v/>
      </c>
      <c r="BZ10" s="17">
        <f>IFERROR(BN10-BB10,"")</f>
        <v/>
      </c>
      <c r="CA10" s="17">
        <f>IFERROR(BO10-BC10,"")</f>
        <v/>
      </c>
      <c r="CB10" s="17">
        <f>IFERROR(BP10-BD10,"")</f>
        <v/>
      </c>
      <c r="CC10" s="17">
        <f>IFERROR(BQ10-BE10,"")</f>
        <v/>
      </c>
      <c r="CD10" s="17">
        <f>IFERROR(BR10-BF10,"")</f>
        <v/>
      </c>
      <c r="CE10" s="17">
        <f>IFERROR(BS10-BG10,"")</f>
        <v/>
      </c>
      <c r="CF10" s="17">
        <f>IFERROR(BT10-BH10,"")</f>
        <v/>
      </c>
      <c r="CG10" s="17">
        <f>IFERROR(BU10-BI10,"")</f>
        <v/>
      </c>
      <c r="CH10" s="17">
        <f>IFERROR(BV10-BJ10,"")</f>
        <v/>
      </c>
      <c r="CJ10" s="2" t="inlineStr">
        <is>
          <t>Flock Flurry</t>
        </is>
      </c>
    </row>
    <row r="11">
      <c r="B11" s="15" t="n">
        <v>3</v>
      </c>
      <c r="C11" s="15" t="inlineStr">
        <is>
          <t>Fri</t>
        </is>
      </c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N11" s="16" t="n"/>
      <c r="AO11" s="16" t="n"/>
      <c r="AP11" s="16" t="n"/>
      <c r="AQ11" s="16" t="n"/>
      <c r="AR11" s="16" t="n"/>
      <c r="AS11" s="16" t="n"/>
      <c r="AT11" s="16" t="n"/>
      <c r="AU11" s="16" t="n"/>
      <c r="AV11" s="16" t="n"/>
      <c r="AW11" s="16" t="n"/>
      <c r="AX11" s="16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X11" s="17">
        <f>IFERROR(BL11-AZ11,"")</f>
        <v/>
      </c>
      <c r="BY11" s="17">
        <f>IFERROR(BM11-BA11,"")</f>
        <v/>
      </c>
      <c r="BZ11" s="17">
        <f>IFERROR(BN11-BB11,"")</f>
        <v/>
      </c>
      <c r="CA11" s="17">
        <f>IFERROR(BO11-BC11,"")</f>
        <v/>
      </c>
      <c r="CB11" s="17">
        <f>IFERROR(BP11-BD11,"")</f>
        <v/>
      </c>
      <c r="CC11" s="17">
        <f>IFERROR(BQ11-BE11,"")</f>
        <v/>
      </c>
      <c r="CD11" s="17">
        <f>IFERROR(BR11-BF11,"")</f>
        <v/>
      </c>
      <c r="CE11" s="17">
        <f>IFERROR(BS11-BG11,"")</f>
        <v/>
      </c>
      <c r="CF11" s="17">
        <f>IFERROR(BT11-BH11,"")</f>
        <v/>
      </c>
      <c r="CG11" s="17">
        <f>IFERROR(BU11-BI11,"")</f>
        <v/>
      </c>
      <c r="CH11" s="17">
        <f>IFERROR(BV11-BJ11,"")</f>
        <v/>
      </c>
      <c r="CJ11" s="2" t="inlineStr">
        <is>
          <t>Hatchling Hideaway</t>
        </is>
      </c>
    </row>
    <row r="12">
      <c r="B12" s="15" t="n">
        <v>4</v>
      </c>
      <c r="C12" s="15" t="inlineStr">
        <is>
          <t>Sat</t>
        </is>
      </c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N12" s="16" t="n"/>
      <c r="AO12" s="16" t="n"/>
      <c r="AP12" s="16" t="n"/>
      <c r="AQ12" s="16" t="n"/>
      <c r="AR12" s="16" t="n"/>
      <c r="AS12" s="16" t="n"/>
      <c r="AT12" s="16" t="n"/>
      <c r="AU12" s="16" t="n"/>
      <c r="AV12" s="16" t="n"/>
      <c r="AW12" s="16" t="n"/>
      <c r="AX12" s="16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X12" s="17">
        <f>IFERROR(BL12-AZ12,"")</f>
        <v/>
      </c>
      <c r="BY12" s="17">
        <f>IFERROR(BM12-BA12,"")</f>
        <v/>
      </c>
      <c r="BZ12" s="17">
        <f>IFERROR(BN12-BB12,"")</f>
        <v/>
      </c>
      <c r="CA12" s="17">
        <f>IFERROR(BO12-BC12,"")</f>
        <v/>
      </c>
      <c r="CB12" s="17">
        <f>IFERROR(BP12-BD12,"")</f>
        <v/>
      </c>
      <c r="CC12" s="17">
        <f>IFERROR(BQ12-BE12,"")</f>
        <v/>
      </c>
      <c r="CD12" s="17">
        <f>IFERROR(BR12-BF12,"")</f>
        <v/>
      </c>
      <c r="CE12" s="17">
        <f>IFERROR(BS12-BG12,"")</f>
        <v/>
      </c>
      <c r="CF12" s="17">
        <f>IFERROR(BT12-BH12,"")</f>
        <v/>
      </c>
      <c r="CG12" s="17">
        <f>IFERROR(BU12-BI12,"")</f>
        <v/>
      </c>
      <c r="CH12" s="17">
        <f>IFERROR(BV12-BJ12,"")</f>
        <v/>
      </c>
      <c r="CJ12" s="2" t="inlineStr">
        <is>
          <t>Jigsaw</t>
        </is>
      </c>
    </row>
    <row r="13">
      <c r="B13" s="15" t="n">
        <v>5</v>
      </c>
      <c r="C13" s="15" t="inlineStr">
        <is>
          <t>Sun</t>
        </is>
      </c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N13" s="16" t="n"/>
      <c r="AO13" s="16" t="n"/>
      <c r="AP13" s="16" t="n"/>
      <c r="AQ13" s="16" t="n"/>
      <c r="AR13" s="16" t="n"/>
      <c r="AS13" s="16" t="n"/>
      <c r="AT13" s="16" t="n"/>
      <c r="AU13" s="16" t="n"/>
      <c r="AV13" s="16" t="n"/>
      <c r="AW13" s="16" t="n"/>
      <c r="AX13" s="16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X13" s="17">
        <f>IFERROR(BL13-AZ13,"")</f>
        <v/>
      </c>
      <c r="BY13" s="17">
        <f>IFERROR(BM13-BA13,"")</f>
        <v/>
      </c>
      <c r="BZ13" s="17">
        <f>IFERROR(BN13-BB13,"")</f>
        <v/>
      </c>
      <c r="CA13" s="17">
        <f>IFERROR(BO13-BC13,"")</f>
        <v/>
      </c>
      <c r="CB13" s="17">
        <f>IFERROR(BP13-BD13,"")</f>
        <v/>
      </c>
      <c r="CC13" s="17">
        <f>IFERROR(BQ13-BE13,"")</f>
        <v/>
      </c>
      <c r="CD13" s="17">
        <f>IFERROR(BR13-BF13,"")</f>
        <v/>
      </c>
      <c r="CE13" s="17">
        <f>IFERROR(BS13-BG13,"")</f>
        <v/>
      </c>
      <c r="CF13" s="17">
        <f>IFERROR(BT13-BH13,"")</f>
        <v/>
      </c>
      <c r="CG13" s="17">
        <f>IFERROR(BU13-BI13,"")</f>
        <v/>
      </c>
      <c r="CH13" s="17">
        <f>IFERROR(BV13-BJ13,"")</f>
        <v/>
      </c>
      <c r="CJ13" s="2" t="inlineStr">
        <is>
          <t>Kite Festival</t>
        </is>
      </c>
    </row>
    <row r="14">
      <c r="B14" s="15" t="n">
        <v>6</v>
      </c>
      <c r="C14" s="15" t="inlineStr">
        <is>
          <t>Mon</t>
        </is>
      </c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N14" s="16" t="n"/>
      <c r="AO14" s="16" t="n"/>
      <c r="AP14" s="16" t="n"/>
      <c r="AQ14" s="16" t="n"/>
      <c r="AR14" s="16" t="n"/>
      <c r="AS14" s="16" t="n"/>
      <c r="AT14" s="16" t="n"/>
      <c r="AU14" s="16" t="n"/>
      <c r="AV14" s="16" t="n"/>
      <c r="AW14" s="16" t="n"/>
      <c r="AX14" s="16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X14" s="17">
        <f>IFERROR(BL14-AZ14,"")</f>
        <v/>
      </c>
      <c r="BY14" s="17">
        <f>IFERROR(BM14-BA14,"")</f>
        <v/>
      </c>
      <c r="BZ14" s="17">
        <f>IFERROR(BN14-BB14,"")</f>
        <v/>
      </c>
      <c r="CA14" s="17">
        <f>IFERROR(BO14-BC14,"")</f>
        <v/>
      </c>
      <c r="CB14" s="17">
        <f>IFERROR(BP14-BD14,"")</f>
        <v/>
      </c>
      <c r="CC14" s="17">
        <f>IFERROR(BQ14-BE14,"")</f>
        <v/>
      </c>
      <c r="CD14" s="17">
        <f>IFERROR(BR14-BF14,"")</f>
        <v/>
      </c>
      <c r="CE14" s="17">
        <f>IFERROR(BS14-BG14,"")</f>
        <v/>
      </c>
      <c r="CF14" s="17">
        <f>IFERROR(BT14-BH14,"")</f>
        <v/>
      </c>
      <c r="CG14" s="17">
        <f>IFERROR(BU14-BI14,"")</f>
        <v/>
      </c>
      <c r="CH14" s="17">
        <f>IFERROR(BV14-BJ14,"")</f>
        <v/>
      </c>
      <c r="CJ14" s="2" t="inlineStr">
        <is>
          <t>Level Race</t>
        </is>
      </c>
    </row>
    <row r="15">
      <c r="B15" s="15" t="n">
        <v>7</v>
      </c>
      <c r="C15" s="15" t="inlineStr">
        <is>
          <t>Tue</t>
        </is>
      </c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N15" s="16" t="n"/>
      <c r="AO15" s="16" t="n"/>
      <c r="AP15" s="16" t="n"/>
      <c r="AQ15" s="16" t="n"/>
      <c r="AR15" s="16" t="n"/>
      <c r="AS15" s="16" t="n"/>
      <c r="AT15" s="16" t="n"/>
      <c r="AU15" s="16" t="n"/>
      <c r="AV15" s="16" t="n"/>
      <c r="AW15" s="16" t="n"/>
      <c r="AX15" s="16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X15" s="17">
        <f>IFERROR(BL15-AZ15,"")</f>
        <v/>
      </c>
      <c r="BY15" s="17">
        <f>IFERROR(BM15-BA15,"")</f>
        <v/>
      </c>
      <c r="BZ15" s="17">
        <f>IFERROR(BN15-BB15,"")</f>
        <v/>
      </c>
      <c r="CA15" s="17">
        <f>IFERROR(BO15-BC15,"")</f>
        <v/>
      </c>
      <c r="CB15" s="17">
        <f>IFERROR(BP15-BD15,"")</f>
        <v/>
      </c>
      <c r="CC15" s="17">
        <f>IFERROR(BQ15-BE15,"")</f>
        <v/>
      </c>
      <c r="CD15" s="17">
        <f>IFERROR(BR15-BF15,"")</f>
        <v/>
      </c>
      <c r="CE15" s="17">
        <f>IFERROR(BS15-BG15,"")</f>
        <v/>
      </c>
      <c r="CF15" s="17">
        <f>IFERROR(BT15-BH15,"")</f>
        <v/>
      </c>
      <c r="CG15" s="17">
        <f>IFERROR(BU15-BI15,"")</f>
        <v/>
      </c>
      <c r="CH15" s="17">
        <f>IFERROR(BV15-BJ15,"")</f>
        <v/>
      </c>
      <c r="CJ15" s="2" t="inlineStr">
        <is>
          <t>Other</t>
        </is>
      </c>
    </row>
    <row r="16">
      <c r="B16" s="15" t="n">
        <v>8</v>
      </c>
      <c r="C16" s="15" t="inlineStr">
        <is>
          <t>Wed</t>
        </is>
      </c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N16" s="16" t="n"/>
      <c r="AO16" s="16" t="n"/>
      <c r="AP16" s="16" t="n"/>
      <c r="AQ16" s="16" t="n"/>
      <c r="AR16" s="16" t="n"/>
      <c r="AS16" s="16" t="n"/>
      <c r="AT16" s="16" t="n"/>
      <c r="AU16" s="16" t="n"/>
      <c r="AV16" s="16" t="n"/>
      <c r="AW16" s="16" t="n"/>
      <c r="AX16" s="16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X16" s="17">
        <f>IFERROR(BL16-AZ16,"")</f>
        <v/>
      </c>
      <c r="BY16" s="17">
        <f>IFERROR(BM16-BA16,"")</f>
        <v/>
      </c>
      <c r="BZ16" s="17">
        <f>IFERROR(BN16-BB16,"")</f>
        <v/>
      </c>
      <c r="CA16" s="17">
        <f>IFERROR(BO16-BC16,"")</f>
        <v/>
      </c>
      <c r="CB16" s="17">
        <f>IFERROR(BP16-BD16,"")</f>
        <v/>
      </c>
      <c r="CC16" s="17">
        <f>IFERROR(BQ16-BE16,"")</f>
        <v/>
      </c>
      <c r="CD16" s="17">
        <f>IFERROR(BR16-BF16,"")</f>
        <v/>
      </c>
      <c r="CE16" s="17">
        <f>IFERROR(BS16-BG16,"")</f>
        <v/>
      </c>
      <c r="CF16" s="17">
        <f>IFERROR(BT16-BH16,"")</f>
        <v/>
      </c>
      <c r="CG16" s="17">
        <f>IFERROR(BU16-BI16,"")</f>
        <v/>
      </c>
      <c r="CH16" s="17">
        <f>IFERROR(BV16-BJ16,"")</f>
        <v/>
      </c>
      <c r="CJ16" s="2" t="inlineStr">
        <is>
          <t>Photoshoot</t>
        </is>
      </c>
    </row>
    <row r="17">
      <c r="B17" s="15" t="n">
        <v>9</v>
      </c>
      <c r="C17" s="15" t="inlineStr">
        <is>
          <t>Thu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N17" s="16" t="n"/>
      <c r="AO17" s="16" t="n"/>
      <c r="AP17" s="16" t="n"/>
      <c r="AQ17" s="16" t="n"/>
      <c r="AR17" s="16" t="n"/>
      <c r="AS17" s="16" t="n"/>
      <c r="AT17" s="16" t="n"/>
      <c r="AU17" s="16" t="n"/>
      <c r="AV17" s="16" t="n"/>
      <c r="AW17" s="16" t="n"/>
      <c r="AX17" s="16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X17" s="17">
        <f>IFERROR(BL17-AZ17,"")</f>
        <v/>
      </c>
      <c r="BY17" s="17">
        <f>IFERROR(BM17-BA17,"")</f>
        <v/>
      </c>
      <c r="BZ17" s="17">
        <f>IFERROR(BN17-BB17,"")</f>
        <v/>
      </c>
      <c r="CA17" s="17">
        <f>IFERROR(BO17-BC17,"")</f>
        <v/>
      </c>
      <c r="CB17" s="17">
        <f>IFERROR(BP17-BD17,"")</f>
        <v/>
      </c>
      <c r="CC17" s="17">
        <f>IFERROR(BQ17-BE17,"")</f>
        <v/>
      </c>
      <c r="CD17" s="17">
        <f>IFERROR(BR17-BF17,"")</f>
        <v/>
      </c>
      <c r="CE17" s="17">
        <f>IFERROR(BS17-BG17,"")</f>
        <v/>
      </c>
      <c r="CF17" s="17">
        <f>IFERROR(BT17-BH17,"")</f>
        <v/>
      </c>
      <c r="CG17" s="17">
        <f>IFERROR(BU17-BI17,"")</f>
        <v/>
      </c>
      <c r="CH17" s="17">
        <f>IFERROR(BV17-BJ17,"")</f>
        <v/>
      </c>
      <c r="CJ17" s="2" t="inlineStr">
        <is>
          <t>Red Challenge</t>
        </is>
      </c>
    </row>
    <row r="18">
      <c r="B18" s="15" t="n">
        <v>10</v>
      </c>
      <c r="C18" s="15" t="inlineStr">
        <is>
          <t>Fri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N18" s="16" t="n"/>
      <c r="AO18" s="16" t="n"/>
      <c r="AP18" s="16" t="n"/>
      <c r="AQ18" s="16" t="n"/>
      <c r="AR18" s="16" t="n"/>
      <c r="AS18" s="16" t="n"/>
      <c r="AT18" s="16" t="n"/>
      <c r="AU18" s="16" t="n"/>
      <c r="AV18" s="16" t="n"/>
      <c r="AW18" s="16" t="n"/>
      <c r="AX18" s="16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X18" s="17">
        <f>IFERROR(BL18-AZ18,"")</f>
        <v/>
      </c>
      <c r="BY18" s="17">
        <f>IFERROR(BM18-BA18,"")</f>
        <v/>
      </c>
      <c r="BZ18" s="17">
        <f>IFERROR(BN18-BB18,"")</f>
        <v/>
      </c>
      <c r="CA18" s="17">
        <f>IFERROR(BO18-BC18,"")</f>
        <v/>
      </c>
      <c r="CB18" s="17">
        <f>IFERROR(BP18-BD18,"")</f>
        <v/>
      </c>
      <c r="CC18" s="17">
        <f>IFERROR(BQ18-BE18,"")</f>
        <v/>
      </c>
      <c r="CD18" s="17">
        <f>IFERROR(BR18-BF18,"")</f>
        <v/>
      </c>
      <c r="CE18" s="17">
        <f>IFERROR(BS18-BG18,"")</f>
        <v/>
      </c>
      <c r="CF18" s="17">
        <f>IFERROR(BT18-BH18,"")</f>
        <v/>
      </c>
      <c r="CG18" s="17">
        <f>IFERROR(BU18-BI18,"")</f>
        <v/>
      </c>
      <c r="CH18" s="17">
        <f>IFERROR(BV18-BJ18,"")</f>
        <v/>
      </c>
      <c r="CJ18" s="2" t="inlineStr">
        <is>
          <t>River Rush</t>
        </is>
      </c>
    </row>
    <row r="19">
      <c r="B19" s="15" t="n">
        <v>11</v>
      </c>
      <c r="C19" s="15" t="inlineStr">
        <is>
          <t>Sat</t>
        </is>
      </c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X19" s="17">
        <f>IFERROR(BL19-AZ19,"")</f>
        <v/>
      </c>
      <c r="BY19" s="17">
        <f>IFERROR(BM19-BA19,"")</f>
        <v/>
      </c>
      <c r="BZ19" s="17">
        <f>IFERROR(BN19-BB19,"")</f>
        <v/>
      </c>
      <c r="CA19" s="17">
        <f>IFERROR(BO19-BC19,"")</f>
        <v/>
      </c>
      <c r="CB19" s="17">
        <f>IFERROR(BP19-BD19,"")</f>
        <v/>
      </c>
      <c r="CC19" s="17">
        <f>IFERROR(BQ19-BE19,"")</f>
        <v/>
      </c>
      <c r="CD19" s="17">
        <f>IFERROR(BR19-BF19,"")</f>
        <v/>
      </c>
      <c r="CE19" s="17">
        <f>IFERROR(BS19-BG19,"")</f>
        <v/>
      </c>
      <c r="CF19" s="17">
        <f>IFERROR(BT19-BH19,"")</f>
        <v/>
      </c>
      <c r="CG19" s="17">
        <f>IFERROR(BU19-BI19,"")</f>
        <v/>
      </c>
      <c r="CH19" s="17">
        <f>IFERROR(BV19-BJ19,"")</f>
        <v/>
      </c>
      <c r="CJ19" s="2" t="inlineStr">
        <is>
          <t>Saga</t>
        </is>
      </c>
    </row>
    <row r="20">
      <c r="B20" s="15" t="n">
        <v>12</v>
      </c>
      <c r="C20" s="15" t="inlineStr">
        <is>
          <t>Sun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N20" s="16" t="n"/>
      <c r="AO20" s="16" t="n"/>
      <c r="AP20" s="16" t="n"/>
      <c r="AQ20" s="16" t="n"/>
      <c r="AR20" s="16" t="n"/>
      <c r="AS20" s="16" t="n"/>
      <c r="AT20" s="16" t="n"/>
      <c r="AU20" s="16" t="n"/>
      <c r="AV20" s="16" t="n"/>
      <c r="AW20" s="16" t="n"/>
      <c r="AX20" s="16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X20" s="17">
        <f>IFERROR(BL20-AZ20,"")</f>
        <v/>
      </c>
      <c r="BY20" s="17">
        <f>IFERROR(BM20-BA20,"")</f>
        <v/>
      </c>
      <c r="BZ20" s="17">
        <f>IFERROR(BN20-BB20,"")</f>
        <v/>
      </c>
      <c r="CA20" s="17">
        <f>IFERROR(BO20-BC20,"")</f>
        <v/>
      </c>
      <c r="CB20" s="17">
        <f>IFERROR(BP20-BD20,"")</f>
        <v/>
      </c>
      <c r="CC20" s="17">
        <f>IFERROR(BQ20-BE20,"")</f>
        <v/>
      </c>
      <c r="CD20" s="17">
        <f>IFERROR(BR20-BF20,"")</f>
        <v/>
      </c>
      <c r="CE20" s="17">
        <f>IFERROR(BS20-BG20,"")</f>
        <v/>
      </c>
      <c r="CF20" s="17">
        <f>IFERROR(BT20-BH20,"")</f>
        <v/>
      </c>
      <c r="CG20" s="17">
        <f>IFERROR(BU20-BI20,"")</f>
        <v/>
      </c>
      <c r="CH20" s="17">
        <f>IFERROR(BV20-BJ20,"")</f>
        <v/>
      </c>
      <c r="CJ20" s="2" t="inlineStr">
        <is>
          <t>Season Pass (Free)</t>
        </is>
      </c>
    </row>
    <row r="21">
      <c r="B21" s="15" t="n">
        <v>13</v>
      </c>
      <c r="C21" s="15" t="inlineStr">
        <is>
          <t>Mon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N21" s="16" t="n"/>
      <c r="AO21" s="16" t="n"/>
      <c r="AP21" s="16" t="n"/>
      <c r="AQ21" s="16" t="n"/>
      <c r="AR21" s="16" t="n"/>
      <c r="AS21" s="16" t="n"/>
      <c r="AT21" s="16" t="n"/>
      <c r="AU21" s="16" t="n"/>
      <c r="AV21" s="16" t="n"/>
      <c r="AW21" s="16" t="n"/>
      <c r="AX21" s="16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X21" s="17">
        <f>IFERROR(BL21-AZ21,"")</f>
        <v/>
      </c>
      <c r="BY21" s="17">
        <f>IFERROR(BM21-BA21,"")</f>
        <v/>
      </c>
      <c r="BZ21" s="17">
        <f>IFERROR(BN21-BB21,"")</f>
        <v/>
      </c>
      <c r="CA21" s="17">
        <f>IFERROR(BO21-BC21,"")</f>
        <v/>
      </c>
      <c r="CB21" s="17">
        <f>IFERROR(BP21-BD21,"")</f>
        <v/>
      </c>
      <c r="CC21" s="17">
        <f>IFERROR(BQ21-BE21,"")</f>
        <v/>
      </c>
      <c r="CD21" s="17">
        <f>IFERROR(BR21-BF21,"")</f>
        <v/>
      </c>
      <c r="CE21" s="17">
        <f>IFERROR(BS21-BG21,"")</f>
        <v/>
      </c>
      <c r="CF21" s="17">
        <f>IFERROR(BT21-BH21,"")</f>
        <v/>
      </c>
      <c r="CG21" s="17">
        <f>IFERROR(BU21-BI21,"")</f>
        <v/>
      </c>
      <c r="CH21" s="17">
        <f>IFERROR(BV21-BJ21,"")</f>
        <v/>
      </c>
      <c r="CJ21" s="2" t="inlineStr">
        <is>
          <t>Target Day</t>
        </is>
      </c>
    </row>
    <row r="22">
      <c r="B22" s="15" t="n">
        <v>14</v>
      </c>
      <c r="C22" s="15" t="inlineStr">
        <is>
          <t>Tue</t>
        </is>
      </c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N22" s="16" t="n"/>
      <c r="AO22" s="16" t="n"/>
      <c r="AP22" s="16" t="n"/>
      <c r="AQ22" s="16" t="n"/>
      <c r="AR22" s="16" t="n"/>
      <c r="AS22" s="16" t="n"/>
      <c r="AT22" s="16" t="n"/>
      <c r="AU22" s="16" t="n"/>
      <c r="AV22" s="16" t="n"/>
      <c r="AW22" s="16" t="n"/>
      <c r="AX22" s="16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X22" s="17">
        <f>IFERROR(BL22-AZ22,"")</f>
        <v/>
      </c>
      <c r="BY22" s="17">
        <f>IFERROR(BM22-BA22,"")</f>
        <v/>
      </c>
      <c r="BZ22" s="17">
        <f>IFERROR(BN22-BB22,"")</f>
        <v/>
      </c>
      <c r="CA22" s="17">
        <f>IFERROR(BO22-BC22,"")</f>
        <v/>
      </c>
      <c r="CB22" s="17">
        <f>IFERROR(BP22-BD22,"")</f>
        <v/>
      </c>
      <c r="CC22" s="17">
        <f>IFERROR(BQ22-BE22,"")</f>
        <v/>
      </c>
      <c r="CD22" s="17">
        <f>IFERROR(BR22-BF22,"")</f>
        <v/>
      </c>
      <c r="CE22" s="17">
        <f>IFERROR(BS22-BG22,"")</f>
        <v/>
      </c>
      <c r="CF22" s="17">
        <f>IFERROR(BT22-BH22,"")</f>
        <v/>
      </c>
      <c r="CG22" s="17">
        <f>IFERROR(BU22-BI22,"")</f>
        <v/>
      </c>
      <c r="CH22" s="17">
        <f>IFERROR(BV22-BJ22,"")</f>
        <v/>
      </c>
      <c r="CJ22" s="2" t="inlineStr">
        <is>
          <t>Team Event</t>
        </is>
      </c>
    </row>
    <row r="23">
      <c r="B23" s="15" t="n">
        <v>15</v>
      </c>
      <c r="C23" s="15" t="inlineStr">
        <is>
          <t>Wed</t>
        </is>
      </c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X23" s="17">
        <f>IFERROR(BL23-AZ23,"")</f>
        <v/>
      </c>
      <c r="BY23" s="17">
        <f>IFERROR(BM23-BA23,"")</f>
        <v/>
      </c>
      <c r="BZ23" s="17">
        <f>IFERROR(BN23-BB23,"")</f>
        <v/>
      </c>
      <c r="CA23" s="17">
        <f>IFERROR(BO23-BC23,"")</f>
        <v/>
      </c>
      <c r="CB23" s="17">
        <f>IFERROR(BP23-BD23,"")</f>
        <v/>
      </c>
      <c r="CC23" s="17">
        <f>IFERROR(BQ23-BE23,"")</f>
        <v/>
      </c>
      <c r="CD23" s="17">
        <f>IFERROR(BR23-BF23,"")</f>
        <v/>
      </c>
      <c r="CE23" s="17">
        <f>IFERROR(BS23-BG23,"")</f>
        <v/>
      </c>
      <c r="CF23" s="17">
        <f>IFERROR(BT23-BH23,"")</f>
        <v/>
      </c>
      <c r="CG23" s="17">
        <f>IFERROR(BU23-BI23,"")</f>
        <v/>
      </c>
      <c r="CH23" s="17">
        <f>IFERROR(BV23-BJ23,"")</f>
        <v/>
      </c>
      <c r="CJ23" s="2" t="inlineStr">
        <is>
          <t>Team Race</t>
        </is>
      </c>
    </row>
    <row r="24">
      <c r="B24" s="15" t="n">
        <v>16</v>
      </c>
      <c r="C24" s="15" t="inlineStr">
        <is>
          <t>Thu</t>
        </is>
      </c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N24" s="16" t="n"/>
      <c r="AO24" s="16" t="n"/>
      <c r="AP24" s="16" t="n"/>
      <c r="AQ24" s="16" t="n"/>
      <c r="AR24" s="16" t="n"/>
      <c r="AS24" s="16" t="n"/>
      <c r="AT24" s="16" t="n"/>
      <c r="AU24" s="16" t="n"/>
      <c r="AV24" s="16" t="n"/>
      <c r="AW24" s="16" t="n"/>
      <c r="AX24" s="16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X24" s="17">
        <f>IFERROR(BL24-AZ24,"")</f>
        <v/>
      </c>
      <c r="BY24" s="17">
        <f>IFERROR(BM24-BA24,"")</f>
        <v/>
      </c>
      <c r="BZ24" s="17">
        <f>IFERROR(BN24-BB24,"")</f>
        <v/>
      </c>
      <c r="CA24" s="17">
        <f>IFERROR(BO24-BC24,"")</f>
        <v/>
      </c>
      <c r="CB24" s="17">
        <f>IFERROR(BP24-BD24,"")</f>
        <v/>
      </c>
      <c r="CC24" s="17">
        <f>IFERROR(BQ24-BE24,"")</f>
        <v/>
      </c>
      <c r="CD24" s="17">
        <f>IFERROR(BR24-BF24,"")</f>
        <v/>
      </c>
      <c r="CE24" s="17">
        <f>IFERROR(BS24-BG24,"")</f>
        <v/>
      </c>
      <c r="CF24" s="17">
        <f>IFERROR(BT24-BH24,"")</f>
        <v/>
      </c>
      <c r="CG24" s="17">
        <f>IFERROR(BU24-BI24,"")</f>
        <v/>
      </c>
      <c r="CH24" s="17">
        <f>IFERROR(BV24-BJ24,"")</f>
        <v/>
      </c>
      <c r="CJ24" s="2" t="inlineStr">
        <is>
          <t>Flash Race</t>
        </is>
      </c>
    </row>
    <row r="25">
      <c r="B25" s="15" t="n">
        <v>17</v>
      </c>
      <c r="C25" s="15" t="inlineStr">
        <is>
          <t>Fri</t>
        </is>
      </c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N25" s="16" t="n"/>
      <c r="AO25" s="16" t="n"/>
      <c r="AP25" s="16" t="n"/>
      <c r="AQ25" s="16" t="n"/>
      <c r="AR25" s="16" t="n"/>
      <c r="AS25" s="16" t="n"/>
      <c r="AT25" s="16" t="n"/>
      <c r="AU25" s="16" t="n"/>
      <c r="AV25" s="16" t="n"/>
      <c r="AW25" s="16" t="n"/>
      <c r="AX25" s="16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X25" s="17">
        <f>IFERROR(BL25-AZ25,"")</f>
        <v/>
      </c>
      <c r="BY25" s="17">
        <f>IFERROR(BM25-BA25,"")</f>
        <v/>
      </c>
      <c r="BZ25" s="17">
        <f>IFERROR(BN25-BB25,"")</f>
        <v/>
      </c>
      <c r="CA25" s="17">
        <f>IFERROR(BO25-BC25,"")</f>
        <v/>
      </c>
      <c r="CB25" s="17">
        <f>IFERROR(BP25-BD25,"")</f>
        <v/>
      </c>
      <c r="CC25" s="17">
        <f>IFERROR(BQ25-BE25,"")</f>
        <v/>
      </c>
      <c r="CD25" s="17">
        <f>IFERROR(BR25-BF25,"")</f>
        <v/>
      </c>
      <c r="CE25" s="17">
        <f>IFERROR(BS25-BG25,"")</f>
        <v/>
      </c>
      <c r="CF25" s="17">
        <f>IFERROR(BT25-BH25,"")</f>
        <v/>
      </c>
      <c r="CG25" s="17">
        <f>IFERROR(BU25-BI25,"")</f>
        <v/>
      </c>
      <c r="CH25" s="17">
        <f>IFERROR(BV25-BJ25,"")</f>
        <v/>
      </c>
      <c r="CJ25" s="2" t="inlineStr">
        <is>
          <t>FlowerCoop</t>
        </is>
      </c>
    </row>
    <row r="26">
      <c r="B26" s="15" t="n">
        <v>18</v>
      </c>
      <c r="C26" s="15" t="inlineStr">
        <is>
          <t>Sat</t>
        </is>
      </c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N26" s="16" t="n"/>
      <c r="AO26" s="16" t="n"/>
      <c r="AP26" s="16" t="n"/>
      <c r="AQ26" s="16" t="n"/>
      <c r="AR26" s="16" t="n"/>
      <c r="AS26" s="16" t="n"/>
      <c r="AT26" s="16" t="n"/>
      <c r="AU26" s="16" t="n"/>
      <c r="AV26" s="16" t="n"/>
      <c r="AW26" s="16" t="n"/>
      <c r="AX26" s="16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X26" s="17">
        <f>IFERROR(BL26-AZ26,"")</f>
        <v/>
      </c>
      <c r="BY26" s="17">
        <f>IFERROR(BM26-BA26,"")</f>
        <v/>
      </c>
      <c r="BZ26" s="17">
        <f>IFERROR(BN26-BB26,"")</f>
        <v/>
      </c>
      <c r="CA26" s="17">
        <f>IFERROR(BO26-BC26,"")</f>
        <v/>
      </c>
      <c r="CB26" s="17">
        <f>IFERROR(BP26-BD26,"")</f>
        <v/>
      </c>
      <c r="CC26" s="17">
        <f>IFERROR(BQ26-BE26,"")</f>
        <v/>
      </c>
      <c r="CD26" s="17">
        <f>IFERROR(BR26-BF26,"")</f>
        <v/>
      </c>
      <c r="CE26" s="17">
        <f>IFERROR(BS26-BG26,"")</f>
        <v/>
      </c>
      <c r="CF26" s="17">
        <f>IFERROR(BT26-BH26,"")</f>
        <v/>
      </c>
      <c r="CG26" s="17">
        <f>IFERROR(BU26-BI26,"")</f>
        <v/>
      </c>
      <c r="CH26" s="17">
        <f>IFERROR(BV26-BJ26,"")</f>
        <v/>
      </c>
      <c r="CJ26" s="2" t="inlineStr">
        <is>
          <t>Rainbow Maker</t>
        </is>
      </c>
    </row>
    <row r="27">
      <c r="B27" s="15" t="n">
        <v>19</v>
      </c>
      <c r="C27" s="15" t="inlineStr">
        <is>
          <t>Sun</t>
        </is>
      </c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N27" s="16" t="n"/>
      <c r="AO27" s="16" t="n"/>
      <c r="AP27" s="16" t="n"/>
      <c r="AQ27" s="16" t="n"/>
      <c r="AR27" s="16" t="n"/>
      <c r="AS27" s="16" t="n"/>
      <c r="AT27" s="16" t="n"/>
      <c r="AU27" s="16" t="n"/>
      <c r="AV27" s="16" t="n"/>
      <c r="AW27" s="16" t="n"/>
      <c r="AX27" s="16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X27" s="17">
        <f>IFERROR(BL27-AZ27,"")</f>
        <v/>
      </c>
      <c r="BY27" s="17">
        <f>IFERROR(BM27-BA27,"")</f>
        <v/>
      </c>
      <c r="BZ27" s="17">
        <f>IFERROR(BN27-BB27,"")</f>
        <v/>
      </c>
      <c r="CA27" s="17">
        <f>IFERROR(BO27-BC27,"")</f>
        <v/>
      </c>
      <c r="CB27" s="17">
        <f>IFERROR(BP27-BD27,"")</f>
        <v/>
      </c>
      <c r="CC27" s="17">
        <f>IFERROR(BQ27-BE27,"")</f>
        <v/>
      </c>
      <c r="CD27" s="17">
        <f>IFERROR(BR27-BF27,"")</f>
        <v/>
      </c>
      <c r="CE27" s="17">
        <f>IFERROR(BS27-BG27,"")</f>
        <v/>
      </c>
      <c r="CF27" s="17">
        <f>IFERROR(BT27-BH27,"")</f>
        <v/>
      </c>
      <c r="CG27" s="17">
        <f>IFERROR(BU27-BI27,"")</f>
        <v/>
      </c>
      <c r="CH27" s="17">
        <f>IFERROR(BV27-BJ27,"")</f>
        <v/>
      </c>
      <c r="CJ27" s="2" t="inlineStr">
        <is>
          <t>IAPs</t>
        </is>
      </c>
    </row>
    <row r="28">
      <c r="B28" s="15" t="n">
        <v>20</v>
      </c>
      <c r="C28" s="15" t="inlineStr">
        <is>
          <t>Mon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N28" s="16" t="n"/>
      <c r="AO28" s="16" t="n"/>
      <c r="AP28" s="16" t="n"/>
      <c r="AQ28" s="16" t="n"/>
      <c r="AR28" s="16" t="n"/>
      <c r="AS28" s="16" t="n"/>
      <c r="AT28" s="16" t="n"/>
      <c r="AU28" s="16" t="n"/>
      <c r="AV28" s="16" t="n"/>
      <c r="AW28" s="16" t="n"/>
      <c r="AX28" s="16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X28" s="17">
        <f>IFERROR(BL28-AZ28,"")</f>
        <v/>
      </c>
      <c r="BY28" s="17">
        <f>IFERROR(BM28-BA28,"")</f>
        <v/>
      </c>
      <c r="BZ28" s="17">
        <f>IFERROR(BN28-BB28,"")</f>
        <v/>
      </c>
      <c r="CA28" s="17">
        <f>IFERROR(BO28-BC28,"")</f>
        <v/>
      </c>
      <c r="CB28" s="17">
        <f>IFERROR(BP28-BD28,"")</f>
        <v/>
      </c>
      <c r="CC28" s="17">
        <f>IFERROR(BQ28-BE28,"")</f>
        <v/>
      </c>
      <c r="CD28" s="17">
        <f>IFERROR(BR28-BF28,"")</f>
        <v/>
      </c>
      <c r="CE28" s="17">
        <f>IFERROR(BS28-BG28,"")</f>
        <v/>
      </c>
      <c r="CF28" s="17">
        <f>IFERROR(BT28-BH28,"")</f>
        <v/>
      </c>
      <c r="CG28" s="17">
        <f>IFERROR(BU28-BI28,"")</f>
        <v/>
      </c>
      <c r="CH28" s="17">
        <f>IFERROR(BV28-BJ28,"")</f>
        <v/>
      </c>
    </row>
    <row r="29">
      <c r="B29" s="15" t="n">
        <v>21</v>
      </c>
      <c r="C29" s="15" t="inlineStr">
        <is>
          <t>Tue</t>
        </is>
      </c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N29" s="16" t="n"/>
      <c r="AO29" s="16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X29" s="17">
        <f>IFERROR(BL29-AZ29,"")</f>
        <v/>
      </c>
      <c r="BY29" s="17">
        <f>IFERROR(BM29-BA29,"")</f>
        <v/>
      </c>
      <c r="BZ29" s="17">
        <f>IFERROR(BN29-BB29,"")</f>
        <v/>
      </c>
      <c r="CA29" s="17">
        <f>IFERROR(BO29-BC29,"")</f>
        <v/>
      </c>
      <c r="CB29" s="17">
        <f>IFERROR(BP29-BD29,"")</f>
        <v/>
      </c>
      <c r="CC29" s="17">
        <f>IFERROR(BQ29-BE29,"")</f>
        <v/>
      </c>
      <c r="CD29" s="17">
        <f>IFERROR(BR29-BF29,"")</f>
        <v/>
      </c>
      <c r="CE29" s="17">
        <f>IFERROR(BS29-BG29,"")</f>
        <v/>
      </c>
      <c r="CF29" s="17">
        <f>IFERROR(BT29-BH29,"")</f>
        <v/>
      </c>
      <c r="CG29" s="17">
        <f>IFERROR(BU29-BI29,"")</f>
        <v/>
      </c>
      <c r="CH29" s="17">
        <f>IFERROR(BV29-BJ29,"")</f>
        <v/>
      </c>
    </row>
    <row r="30">
      <c r="B30" s="15" t="n">
        <v>22</v>
      </c>
      <c r="C30" s="15" t="inlineStr">
        <is>
          <t>Wed</t>
        </is>
      </c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X30" s="17">
        <f>IFERROR(BL30-AZ30,"")</f>
        <v/>
      </c>
      <c r="BY30" s="17">
        <f>IFERROR(BM30-BA30,"")</f>
        <v/>
      </c>
      <c r="BZ30" s="17">
        <f>IFERROR(BN30-BB30,"")</f>
        <v/>
      </c>
      <c r="CA30" s="17">
        <f>IFERROR(BO30-BC30,"")</f>
        <v/>
      </c>
      <c r="CB30" s="17">
        <f>IFERROR(BP30-BD30,"")</f>
        <v/>
      </c>
      <c r="CC30" s="17">
        <f>IFERROR(BQ30-BE30,"")</f>
        <v/>
      </c>
      <c r="CD30" s="17">
        <f>IFERROR(BR30-BF30,"")</f>
        <v/>
      </c>
      <c r="CE30" s="17">
        <f>IFERROR(BS30-BG30,"")</f>
        <v/>
      </c>
      <c r="CF30" s="17">
        <f>IFERROR(BT30-BH30,"")</f>
        <v/>
      </c>
      <c r="CG30" s="17">
        <f>IFERROR(BU30-BI30,"")</f>
        <v/>
      </c>
      <c r="CH30" s="17">
        <f>IFERROR(BV30-BJ30,"")</f>
        <v/>
      </c>
    </row>
    <row r="31">
      <c r="B31" s="15" t="n">
        <v>23</v>
      </c>
      <c r="C31" s="15" t="inlineStr">
        <is>
          <t>Thu</t>
        </is>
      </c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N31" s="16" t="n"/>
      <c r="AO31" s="16" t="n"/>
      <c r="AP31" s="16" t="n"/>
      <c r="AQ31" s="16" t="n"/>
      <c r="AR31" s="16" t="n"/>
      <c r="AS31" s="16" t="n"/>
      <c r="AT31" s="16" t="n"/>
      <c r="AU31" s="16" t="n"/>
      <c r="AV31" s="16" t="n"/>
      <c r="AW31" s="16" t="n"/>
      <c r="AX31" s="16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X31" s="17">
        <f>IFERROR(BL31-AZ31,"")</f>
        <v/>
      </c>
      <c r="BY31" s="17">
        <f>IFERROR(BM31-BA31,"")</f>
        <v/>
      </c>
      <c r="BZ31" s="17">
        <f>IFERROR(BN31-BB31,"")</f>
        <v/>
      </c>
      <c r="CA31" s="17">
        <f>IFERROR(BO31-BC31,"")</f>
        <v/>
      </c>
      <c r="CB31" s="17">
        <f>IFERROR(BP31-BD31,"")</f>
        <v/>
      </c>
      <c r="CC31" s="17">
        <f>IFERROR(BQ31-BE31,"")</f>
        <v/>
      </c>
      <c r="CD31" s="17">
        <f>IFERROR(BR31-BF31,"")</f>
        <v/>
      </c>
      <c r="CE31" s="17">
        <f>IFERROR(BS31-BG31,"")</f>
        <v/>
      </c>
      <c r="CF31" s="17">
        <f>IFERROR(BT31-BH31,"")</f>
        <v/>
      </c>
      <c r="CG31" s="17">
        <f>IFERROR(BU31-BI31,"")</f>
        <v/>
      </c>
      <c r="CH31" s="17">
        <f>IFERROR(BV31-BJ31,"")</f>
        <v/>
      </c>
    </row>
    <row r="32">
      <c r="B32" s="15" t="n">
        <v>24</v>
      </c>
      <c r="C32" s="15" t="inlineStr">
        <is>
          <t>Fri</t>
        </is>
      </c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X32" s="17">
        <f>IFERROR(BL32-AZ32,"")</f>
        <v/>
      </c>
      <c r="BY32" s="17">
        <f>IFERROR(BM32-BA32,"")</f>
        <v/>
      </c>
      <c r="BZ32" s="17">
        <f>IFERROR(BN32-BB32,"")</f>
        <v/>
      </c>
      <c r="CA32" s="17">
        <f>IFERROR(BO32-BC32,"")</f>
        <v/>
      </c>
      <c r="CB32" s="17">
        <f>IFERROR(BP32-BD32,"")</f>
        <v/>
      </c>
      <c r="CC32" s="17">
        <f>IFERROR(BQ32-BE32,"")</f>
        <v/>
      </c>
      <c r="CD32" s="17">
        <f>IFERROR(BR32-BF32,"")</f>
        <v/>
      </c>
      <c r="CE32" s="17">
        <f>IFERROR(BS32-BG32,"")</f>
        <v/>
      </c>
      <c r="CF32" s="17">
        <f>IFERROR(BT32-BH32,"")</f>
        <v/>
      </c>
      <c r="CG32" s="17">
        <f>IFERROR(BU32-BI32,"")</f>
        <v/>
      </c>
      <c r="CH32" s="17">
        <f>IFERROR(BV32-BJ32,"")</f>
        <v/>
      </c>
    </row>
    <row r="33">
      <c r="B33" s="15" t="n">
        <v>25</v>
      </c>
      <c r="C33" s="15" t="inlineStr">
        <is>
          <t>Sat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X33" s="17">
        <f>IFERROR(BL33-AZ33,"")</f>
        <v/>
      </c>
      <c r="BY33" s="17">
        <f>IFERROR(BM33-BA33,"")</f>
        <v/>
      </c>
      <c r="BZ33" s="17">
        <f>IFERROR(BN33-BB33,"")</f>
        <v/>
      </c>
      <c r="CA33" s="17">
        <f>IFERROR(BO33-BC33,"")</f>
        <v/>
      </c>
      <c r="CB33" s="17">
        <f>IFERROR(BP33-BD33,"")</f>
        <v/>
      </c>
      <c r="CC33" s="17">
        <f>IFERROR(BQ33-BE33,"")</f>
        <v/>
      </c>
      <c r="CD33" s="17">
        <f>IFERROR(BR33-BF33,"")</f>
        <v/>
      </c>
      <c r="CE33" s="17">
        <f>IFERROR(BS33-BG33,"")</f>
        <v/>
      </c>
      <c r="CF33" s="17">
        <f>IFERROR(BT33-BH33,"")</f>
        <v/>
      </c>
      <c r="CG33" s="17">
        <f>IFERROR(BU33-BI33,"")</f>
        <v/>
      </c>
      <c r="CH33" s="17">
        <f>IFERROR(BV33-BJ33,"")</f>
        <v/>
      </c>
    </row>
    <row r="34">
      <c r="B34" s="15" t="n">
        <v>26</v>
      </c>
      <c r="C34" s="15" t="inlineStr">
        <is>
          <t>Sun</t>
        </is>
      </c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X34" s="17">
        <f>IFERROR(BL34-AZ34,"")</f>
        <v/>
      </c>
      <c r="BY34" s="17">
        <f>IFERROR(BM34-BA34,"")</f>
        <v/>
      </c>
      <c r="BZ34" s="17">
        <f>IFERROR(BN34-BB34,"")</f>
        <v/>
      </c>
      <c r="CA34" s="17">
        <f>IFERROR(BO34-BC34,"")</f>
        <v/>
      </c>
      <c r="CB34" s="17">
        <f>IFERROR(BP34-BD34,"")</f>
        <v/>
      </c>
      <c r="CC34" s="17">
        <f>IFERROR(BQ34-BE34,"")</f>
        <v/>
      </c>
      <c r="CD34" s="17">
        <f>IFERROR(BR34-BF34,"")</f>
        <v/>
      </c>
      <c r="CE34" s="17">
        <f>IFERROR(BS34-BG34,"")</f>
        <v/>
      </c>
      <c r="CF34" s="17">
        <f>IFERROR(BT34-BH34,"")</f>
        <v/>
      </c>
      <c r="CG34" s="17">
        <f>IFERROR(BU34-BI34,"")</f>
        <v/>
      </c>
      <c r="CH34" s="17">
        <f>IFERROR(BV34-BJ34,"")</f>
        <v/>
      </c>
    </row>
    <row r="35">
      <c r="B35" s="15" t="n">
        <v>27</v>
      </c>
      <c r="C35" s="15" t="inlineStr">
        <is>
          <t>Mon</t>
        </is>
      </c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N35" s="16" t="n"/>
      <c r="AO35" s="16" t="n"/>
      <c r="AP35" s="16" t="n"/>
      <c r="AQ35" s="16" t="n"/>
      <c r="AR35" s="16" t="n"/>
      <c r="AS35" s="16" t="n"/>
      <c r="AT35" s="16" t="n"/>
      <c r="AU35" s="16" t="n"/>
      <c r="AV35" s="16" t="n"/>
      <c r="AW35" s="16" t="n"/>
      <c r="AX35" s="16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X35" s="17">
        <f>IFERROR(BL35-AZ35,"")</f>
        <v/>
      </c>
      <c r="BY35" s="17">
        <f>IFERROR(BM35-BA35,"")</f>
        <v/>
      </c>
      <c r="BZ35" s="17">
        <f>IFERROR(BN35-BB35,"")</f>
        <v/>
      </c>
      <c r="CA35" s="17">
        <f>IFERROR(BO35-BC35,"")</f>
        <v/>
      </c>
      <c r="CB35" s="17">
        <f>IFERROR(BP35-BD35,"")</f>
        <v/>
      </c>
      <c r="CC35" s="17">
        <f>IFERROR(BQ35-BE35,"")</f>
        <v/>
      </c>
      <c r="CD35" s="17">
        <f>IFERROR(BR35-BF35,"")</f>
        <v/>
      </c>
      <c r="CE35" s="17">
        <f>IFERROR(BS35-BG35,"")</f>
        <v/>
      </c>
      <c r="CF35" s="17">
        <f>IFERROR(BT35-BH35,"")</f>
        <v/>
      </c>
      <c r="CG35" s="17">
        <f>IFERROR(BU35-BI35,"")</f>
        <v/>
      </c>
      <c r="CH35" s="17">
        <f>IFERROR(BV35-BJ35,"")</f>
        <v/>
      </c>
    </row>
    <row r="36">
      <c r="B36" s="15" t="n">
        <v>28</v>
      </c>
      <c r="C36" s="15" t="inlineStr">
        <is>
          <t>Tue</t>
        </is>
      </c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N36" s="16" t="n"/>
      <c r="AO36" s="16" t="n"/>
      <c r="AP36" s="16" t="n"/>
      <c r="AQ36" s="16" t="n"/>
      <c r="AR36" s="16" t="n"/>
      <c r="AS36" s="16" t="n"/>
      <c r="AT36" s="16" t="n"/>
      <c r="AU36" s="16" t="n"/>
      <c r="AV36" s="16" t="n"/>
      <c r="AW36" s="16" t="n"/>
      <c r="AX36" s="16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X36" s="17">
        <f>IFERROR(BL36-AZ36,"")</f>
        <v/>
      </c>
      <c r="BY36" s="17">
        <f>IFERROR(BM36-BA36,"")</f>
        <v/>
      </c>
      <c r="BZ36" s="17">
        <f>IFERROR(BN36-BB36,"")</f>
        <v/>
      </c>
      <c r="CA36" s="17">
        <f>IFERROR(BO36-BC36,"")</f>
        <v/>
      </c>
      <c r="CB36" s="17">
        <f>IFERROR(BP36-BD36,"")</f>
        <v/>
      </c>
      <c r="CC36" s="17">
        <f>IFERROR(BQ36-BE36,"")</f>
        <v/>
      </c>
      <c r="CD36" s="17">
        <f>IFERROR(BR36-BF36,"")</f>
        <v/>
      </c>
      <c r="CE36" s="17">
        <f>IFERROR(BS36-BG36,"")</f>
        <v/>
      </c>
      <c r="CF36" s="17">
        <f>IFERROR(BT36-BH36,"")</f>
        <v/>
      </c>
      <c r="CG36" s="17">
        <f>IFERROR(BU36-BI36,"")</f>
        <v/>
      </c>
      <c r="CH36" s="17">
        <f>IFERROR(BV36-BJ36,"")</f>
        <v/>
      </c>
    </row>
    <row r="37">
      <c r="B37" s="15" t="n">
        <v>29</v>
      </c>
      <c r="C37" s="15" t="inlineStr">
        <is>
          <t>Wed</t>
        </is>
      </c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X37" s="17">
        <f>IFERROR(BL37-AZ37,"")</f>
        <v/>
      </c>
      <c r="BY37" s="17">
        <f>IFERROR(BM37-BA37,"")</f>
        <v/>
      </c>
      <c r="BZ37" s="17">
        <f>IFERROR(BN37-BB37,"")</f>
        <v/>
      </c>
      <c r="CA37" s="17">
        <f>IFERROR(BO37-BC37,"")</f>
        <v/>
      </c>
      <c r="CB37" s="17">
        <f>IFERROR(BP37-BD37,"")</f>
        <v/>
      </c>
      <c r="CC37" s="17">
        <f>IFERROR(BQ37-BE37,"")</f>
        <v/>
      </c>
      <c r="CD37" s="17">
        <f>IFERROR(BR37-BF37,"")</f>
        <v/>
      </c>
      <c r="CE37" s="17">
        <f>IFERROR(BS37-BG37,"")</f>
        <v/>
      </c>
      <c r="CF37" s="17">
        <f>IFERROR(BT37-BH37,"")</f>
        <v/>
      </c>
      <c r="CG37" s="17">
        <f>IFERROR(BU37-BI37,"")</f>
        <v/>
      </c>
      <c r="CH37" s="17">
        <f>IFERROR(BV37-BJ37,"")</f>
        <v/>
      </c>
    </row>
    <row r="38">
      <c r="B38" s="15" t="n">
        <v>30</v>
      </c>
      <c r="C38" s="15" t="inlineStr">
        <is>
          <t>Thu</t>
        </is>
      </c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N38" s="16" t="n"/>
      <c r="AO38" s="16" t="n"/>
      <c r="AP38" s="16" t="n"/>
      <c r="AQ38" s="16" t="n"/>
      <c r="AR38" s="16" t="n"/>
      <c r="AS38" s="16" t="n"/>
      <c r="AT38" s="16" t="n"/>
      <c r="AU38" s="16" t="n"/>
      <c r="AV38" s="16" t="n"/>
      <c r="AW38" s="16" t="n"/>
      <c r="AX38" s="16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X38" s="17">
        <f>IFERROR(BL38-AZ38,"")</f>
        <v/>
      </c>
      <c r="BY38" s="17">
        <f>IFERROR(BM38-BA38,"")</f>
        <v/>
      </c>
      <c r="BZ38" s="17">
        <f>IFERROR(BN38-BB38,"")</f>
        <v/>
      </c>
      <c r="CA38" s="17">
        <f>IFERROR(BO38-BC38,"")</f>
        <v/>
      </c>
      <c r="CB38" s="17">
        <f>IFERROR(BP38-BD38,"")</f>
        <v/>
      </c>
      <c r="CC38" s="17">
        <f>IFERROR(BQ38-BE38,"")</f>
        <v/>
      </c>
      <c r="CD38" s="17">
        <f>IFERROR(BR38-BF38,"")</f>
        <v/>
      </c>
      <c r="CE38" s="17">
        <f>IFERROR(BS38-BG38,"")</f>
        <v/>
      </c>
      <c r="CF38" s="17">
        <f>IFERROR(BT38-BH38,"")</f>
        <v/>
      </c>
      <c r="CG38" s="17">
        <f>IFERROR(BU38-BI38,"")</f>
        <v/>
      </c>
      <c r="CH38" s="17">
        <f>IFERROR(BV38-BJ38,"")</f>
        <v/>
      </c>
    </row>
    <row r="39">
      <c r="B39" s="15" t="n">
        <v>31</v>
      </c>
      <c r="C39" s="15" t="inlineStr">
        <is>
          <t>Fri</t>
        </is>
      </c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N39" s="16" t="n"/>
      <c r="AO39" s="16" t="n"/>
      <c r="AP39" s="16" t="n"/>
      <c r="AQ39" s="16" t="n"/>
      <c r="AR39" s="16" t="n"/>
      <c r="AS39" s="16" t="n"/>
      <c r="AT39" s="16" t="n"/>
      <c r="AU39" s="16" t="n"/>
      <c r="AV39" s="16" t="n"/>
      <c r="AW39" s="16" t="n"/>
      <c r="AX39" s="16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X39" s="17">
        <f>IFERROR(BL39-AZ39,"")</f>
        <v/>
      </c>
      <c r="BY39" s="17">
        <f>IFERROR(BM39-BA39,"")</f>
        <v/>
      </c>
      <c r="BZ39" s="17">
        <f>IFERROR(BN39-BB39,"")</f>
        <v/>
      </c>
      <c r="CA39" s="17">
        <f>IFERROR(BO39-BC39,"")</f>
        <v/>
      </c>
      <c r="CB39" s="17">
        <f>IFERROR(BP39-BD39,"")</f>
        <v/>
      </c>
      <c r="CC39" s="17">
        <f>IFERROR(BQ39-BE39,"")</f>
        <v/>
      </c>
      <c r="CD39" s="17">
        <f>IFERROR(BR39-BF39,"")</f>
        <v/>
      </c>
      <c r="CE39" s="17">
        <f>IFERROR(BS39-BG39,"")</f>
        <v/>
      </c>
      <c r="CF39" s="17">
        <f>IFERROR(BT39-BH39,"")</f>
        <v/>
      </c>
      <c r="CG39" s="17">
        <f>IFERROR(BU39-BI39,"")</f>
        <v/>
      </c>
      <c r="CH39" s="17">
        <f>IFERROR(BV39-BJ39,"")</f>
        <v/>
      </c>
    </row>
    <row r="40">
      <c r="B40" s="15" t="n">
        <v>32</v>
      </c>
      <c r="C40" s="15" t="inlineStr">
        <is>
          <t>Sat</t>
        </is>
      </c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X40" s="17">
        <f>IFERROR(BL40-AZ40,"")</f>
        <v/>
      </c>
      <c r="BY40" s="17">
        <f>IFERROR(BM40-BA40,"")</f>
        <v/>
      </c>
      <c r="BZ40" s="17">
        <f>IFERROR(BN40-BB40,"")</f>
        <v/>
      </c>
      <c r="CA40" s="17">
        <f>IFERROR(BO40-BC40,"")</f>
        <v/>
      </c>
      <c r="CB40" s="17">
        <f>IFERROR(BP40-BD40,"")</f>
        <v/>
      </c>
      <c r="CC40" s="17">
        <f>IFERROR(BQ40-BE40,"")</f>
        <v/>
      </c>
      <c r="CD40" s="17">
        <f>IFERROR(BR40-BF40,"")</f>
        <v/>
      </c>
      <c r="CE40" s="17">
        <f>IFERROR(BS40-BG40,"")</f>
        <v/>
      </c>
      <c r="CF40" s="17">
        <f>IFERROR(BT40-BH40,"")</f>
        <v/>
      </c>
      <c r="CG40" s="17">
        <f>IFERROR(BU40-BI40,"")</f>
        <v/>
      </c>
      <c r="CH40" s="17">
        <f>IFERROR(BV40-BJ40,"")</f>
        <v/>
      </c>
    </row>
    <row r="41">
      <c r="B41" s="15" t="n">
        <v>33</v>
      </c>
      <c r="C41" s="15" t="inlineStr">
        <is>
          <t>Sun</t>
        </is>
      </c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X41" s="17">
        <f>IFERROR(BL41-AZ41,"")</f>
        <v/>
      </c>
      <c r="BY41" s="17">
        <f>IFERROR(BM41-BA41,"")</f>
        <v/>
      </c>
      <c r="BZ41" s="17">
        <f>IFERROR(BN41-BB41,"")</f>
        <v/>
      </c>
      <c r="CA41" s="17">
        <f>IFERROR(BO41-BC41,"")</f>
        <v/>
      </c>
      <c r="CB41" s="17">
        <f>IFERROR(BP41-BD41,"")</f>
        <v/>
      </c>
      <c r="CC41" s="17">
        <f>IFERROR(BQ41-BE41,"")</f>
        <v/>
      </c>
      <c r="CD41" s="17">
        <f>IFERROR(BR41-BF41,"")</f>
        <v/>
      </c>
      <c r="CE41" s="17">
        <f>IFERROR(BS41-BG41,"")</f>
        <v/>
      </c>
      <c r="CF41" s="17">
        <f>IFERROR(BT41-BH41,"")</f>
        <v/>
      </c>
      <c r="CG41" s="17">
        <f>IFERROR(BU41-BI41,"")</f>
        <v/>
      </c>
      <c r="CH41" s="17">
        <f>IFERROR(BV41-BJ41,"")</f>
        <v/>
      </c>
    </row>
    <row r="42">
      <c r="B42" s="19" t="inlineStr">
        <is>
          <t>TOTAL</t>
        </is>
      </c>
      <c r="C42" s="20" t="n"/>
      <c r="D42" s="21">
        <f>SUM(D9:D41)</f>
        <v/>
      </c>
      <c r="E42" s="21">
        <f>SUM(E9:E41)</f>
        <v/>
      </c>
      <c r="F42" s="21">
        <f>SUM(F9:F41)</f>
        <v/>
      </c>
      <c r="G42" s="21">
        <f>SUM(G9:G41)</f>
        <v/>
      </c>
      <c r="H42" s="21">
        <f>SUM(H9:H41)</f>
        <v/>
      </c>
      <c r="I42" s="21">
        <f>SUM(I9:I41)</f>
        <v/>
      </c>
      <c r="J42" s="21">
        <f>SUM(J9:J41)</f>
        <v/>
      </c>
      <c r="K42" s="21">
        <f>SUM(K9:K41)</f>
        <v/>
      </c>
      <c r="L42" s="21">
        <f>SUM(L9:L41)</f>
        <v/>
      </c>
      <c r="M42" s="21">
        <f>SUM(M9:M41)</f>
        <v/>
      </c>
      <c r="N42" s="21">
        <f>SUM(N9:N41)</f>
        <v/>
      </c>
      <c r="P42" s="22">
        <f>SUM(P9:P41)</f>
        <v/>
      </c>
      <c r="Q42" s="22">
        <f>SUM(Q9:Q41)</f>
        <v/>
      </c>
      <c r="R42" s="22">
        <f>SUM(R9:R41)</f>
        <v/>
      </c>
      <c r="S42" s="22">
        <f>SUM(S9:S41)</f>
        <v/>
      </c>
      <c r="T42" s="22">
        <f>SUM(T9:T41)</f>
        <v/>
      </c>
      <c r="U42" s="22">
        <f>SUM(U9:U41)</f>
        <v/>
      </c>
      <c r="V42" s="22">
        <f>SUM(V9:V41)</f>
        <v/>
      </c>
      <c r="W42" s="22">
        <f>SUM(W9:W41)</f>
        <v/>
      </c>
      <c r="X42" s="22">
        <f>SUM(X9:X41)</f>
        <v/>
      </c>
      <c r="Y42" s="22">
        <f>SUM(Y9:Y41)</f>
        <v/>
      </c>
      <c r="Z42" s="22">
        <f>SUM(Z9:Z41)</f>
        <v/>
      </c>
      <c r="AB42" s="23">
        <f>SUM(AB9:AB41)</f>
        <v/>
      </c>
      <c r="AC42" s="23">
        <f>SUM(AC9:AC41)</f>
        <v/>
      </c>
      <c r="AD42" s="23">
        <f>SUM(AD9:AD41)</f>
        <v/>
      </c>
      <c r="AE42" s="23">
        <f>SUM(AE9:AE41)</f>
        <v/>
      </c>
      <c r="AF42" s="23">
        <f>SUM(AF9:AF41)</f>
        <v/>
      </c>
      <c r="AG42" s="23">
        <f>SUM(AG9:AG41)</f>
        <v/>
      </c>
      <c r="AH42" s="23">
        <f>SUM(AH9:AH41)</f>
        <v/>
      </c>
      <c r="AI42" s="23">
        <f>SUM(AI9:AI41)</f>
        <v/>
      </c>
      <c r="AJ42" s="23">
        <f>SUM(AJ9:AJ41)</f>
        <v/>
      </c>
      <c r="AK42" s="23">
        <f>SUM(AK9:AK41)</f>
        <v/>
      </c>
      <c r="AL42" s="23">
        <f>SUM(AL9:AL41)</f>
        <v/>
      </c>
      <c r="AN42" s="24">
        <f>IF(COUNT(AN9:AN41)=0,"",SUM(AN9:AN41))</f>
        <v/>
      </c>
      <c r="AO42" s="24">
        <f>IF(COUNT(AO9:AO41)=0,"",SUM(AO9:AO41))</f>
        <v/>
      </c>
      <c r="AP42" s="24">
        <f>IF(COUNT(AP9:AP41)=0,"",SUM(AP9:AP41))</f>
        <v/>
      </c>
      <c r="AQ42" s="24">
        <f>IF(COUNT(AQ9:AQ41)=0,"",SUM(AQ9:AQ41))</f>
        <v/>
      </c>
      <c r="AR42" s="24">
        <f>IF(COUNT(AR9:AR41)=0,"",SUM(AR9:AR41))</f>
        <v/>
      </c>
      <c r="AS42" s="24">
        <f>IF(COUNT(AS9:AS41)=0,"",SUM(AS9:AS41))</f>
        <v/>
      </c>
      <c r="AT42" s="24">
        <f>IF(COUNT(AT9:AT41)=0,"",SUM(AT9:AT41))</f>
        <v/>
      </c>
      <c r="AU42" s="24">
        <f>IF(COUNT(AU9:AU41)=0,"",SUM(AU9:AU41))</f>
        <v/>
      </c>
      <c r="AV42" s="24">
        <f>IF(COUNT(AV9:AV41)=0,"",SUM(AV9:AV41))</f>
        <v/>
      </c>
      <c r="AW42" s="24">
        <f>IF(COUNT(AW9:AW41)=0,"",SUM(AW9:AW41))</f>
        <v/>
      </c>
      <c r="AX42" s="24">
        <f>IF(COUNT(AX9:AX41)=0,"",SUM(AX9:AX41))</f>
        <v/>
      </c>
      <c r="AZ42" s="25">
        <f>IF(COUNT(AZ9:AZ41)=0,"",SUM(AZ9:AZ41))</f>
        <v/>
      </c>
      <c r="BA42" s="25">
        <f>IF(COUNT(BA9:BA41)=0,"",SUM(BA9:BA41))</f>
        <v/>
      </c>
      <c r="BB42" s="25">
        <f>IF(COUNT(BB9:BB41)=0,"",SUM(BB9:BB41))</f>
        <v/>
      </c>
      <c r="BC42" s="25">
        <f>IF(COUNT(BC9:BC41)=0,"",SUM(BC9:BC41))</f>
        <v/>
      </c>
      <c r="BD42" s="25">
        <f>IF(COUNT(BD9:BD41)=0,"",SUM(BD9:BD41))</f>
        <v/>
      </c>
      <c r="BE42" s="25">
        <f>IF(COUNT(BE9:BE41)=0,"",SUM(BE9:BE41))</f>
        <v/>
      </c>
      <c r="BF42" s="25">
        <f>IF(COUNT(BF9:BF41)=0,"",SUM(BF9:BF41))</f>
        <v/>
      </c>
      <c r="BG42" s="25">
        <f>IF(COUNT(BG9:BG41)=0,"",SUM(BG9:BG41))</f>
        <v/>
      </c>
      <c r="BH42" s="25">
        <f>IF(COUNT(BH9:BH41)=0,"",SUM(BH9:BH41))</f>
        <v/>
      </c>
      <c r="BI42" s="25">
        <f>IF(COUNT(BI9:BI41)=0,"",SUM(BI9:BI41))</f>
        <v/>
      </c>
      <c r="BJ42" s="25">
        <f>IF(COUNT(BJ9:BJ41)=0,"",SUM(BJ9:BJ41))</f>
        <v/>
      </c>
      <c r="BL42" s="25">
        <f>IF(COUNT(BL9:BL41)=0,"",SUM(BL9:BL41))</f>
        <v/>
      </c>
      <c r="BM42" s="25">
        <f>IF(COUNT(BM9:BM41)=0,"",SUM(BM9:BM41))</f>
        <v/>
      </c>
      <c r="BN42" s="25">
        <f>IF(COUNT(BN9:BN41)=0,"",SUM(BN9:BN41))</f>
        <v/>
      </c>
      <c r="BO42" s="25">
        <f>IF(COUNT(BO9:BO41)=0,"",SUM(BO9:BO41))</f>
        <v/>
      </c>
      <c r="BP42" s="25">
        <f>IF(COUNT(BP9:BP41)=0,"",SUM(BP9:BP41))</f>
        <v/>
      </c>
      <c r="BQ42" s="25">
        <f>IF(COUNT(BQ9:BQ41)=0,"",SUM(BQ9:BQ41))</f>
        <v/>
      </c>
      <c r="BR42" s="25">
        <f>IF(COUNT(BR9:BR41)=0,"",SUM(BR9:BR41))</f>
        <v/>
      </c>
      <c r="BS42" s="25">
        <f>IF(COUNT(BS9:BS41)=0,"",SUM(BS9:BS41))</f>
        <v/>
      </c>
      <c r="BT42" s="25">
        <f>IF(COUNT(BT9:BT41)=0,"",SUM(BT9:BT41))</f>
        <v/>
      </c>
      <c r="BU42" s="25">
        <f>IF(COUNT(BU9:BU41)=0,"",SUM(BU9:BU41))</f>
        <v/>
      </c>
      <c r="BV42" s="25">
        <f>IF(COUNT(BV9:BV41)=0,"",SUM(BV9:BV41))</f>
        <v/>
      </c>
      <c r="BX42" s="23">
        <f>IF(COUNT(BX9:BX41)=0,"",SUM(BX9:BX41))</f>
        <v/>
      </c>
      <c r="BY42" s="23">
        <f>IF(COUNT(BY9:BY41)=0,"",SUM(BY9:BY41))</f>
        <v/>
      </c>
      <c r="BZ42" s="23">
        <f>IF(COUNT(BZ9:BZ41)=0,"",SUM(BZ9:BZ41))</f>
        <v/>
      </c>
      <c r="CA42" s="23">
        <f>IF(COUNT(CA9:CA41)=0,"",SUM(CA9:CA41))</f>
        <v/>
      </c>
      <c r="CB42" s="23">
        <f>IF(COUNT(CB9:CB41)=0,"",SUM(CB9:CB41))</f>
        <v/>
      </c>
      <c r="CC42" s="23">
        <f>IF(COUNT(CC9:CC41)=0,"",SUM(CC9:CC41))</f>
        <v/>
      </c>
      <c r="CD42" s="23">
        <f>IF(COUNT(CD9:CD41)=0,"",SUM(CD9:CD41))</f>
        <v/>
      </c>
      <c r="CE42" s="23">
        <f>IF(COUNT(CE9:CE41)=0,"",SUM(CE9:CE41))</f>
        <v/>
      </c>
      <c r="CF42" s="23">
        <f>IF(COUNT(CF9:CF41)=0,"",SUM(CF9:CF41))</f>
        <v/>
      </c>
      <c r="CG42" s="23">
        <f>IF(COUNT(CG9:CG41)=0,"",SUM(CG9:CG41))</f>
        <v/>
      </c>
      <c r="CH42" s="23">
        <f>IF(COUNT(CH9:CH41)=0,"",SUM(CH9:CH41))</f>
        <v/>
      </c>
    </row>
    <row r="44">
      <c r="B44" s="26" t="inlineStr">
        <is>
          <t>LEGEND / ALLOCATION RULES (claim-day realistic — EcoGainsSim_Daily.gs)</t>
        </is>
      </c>
    </row>
    <row r="45">
      <c r="B45" s="5" t="inlineStr">
        <is>
          <t>Window totals are exactly the main sim’s numbers (CURRENT = measured on cal_curr, NEW = simulated on cal_new); this view only places them on days — column TOTALs reconcile with EcoGainsSim_HC.</t>
        </is>
      </c>
    </row>
    <row r="46">
      <c r="B46" s="5" t="inlineStr">
        <is>
          <t>Leaderboard events (Bomb/Chuck/Red Challenge, Level Race, Flash Race, Target Day, Kite) pay on each instance’s LAST day → expect end-day spikes. Instance slices are split by reach.</t>
        </is>
      </c>
    </row>
    <row r="47">
      <c r="B47" s="5" t="inlineStr">
        <is>
          <t>Collections (Hatchling Hideaway, Bomb’s Ballet, Jigsaw, Photoshoot) spread across instance days by the accrual curve’s marginal share; Rainbow Maker spreads ∝ active rate within its instances (no curve — flagged).</t>
        </is>
      </c>
    </row>
    <row r="48">
      <c r="B48" s="5" t="inlineStr">
        <is>
          <t>Core / Saga / Daily Gift pay daily ∝ weekday/weekend active rate; Night Sky over its daily instances. Non-calendar sources (Ads, Teams, Season Pass, Other, IAPs; River Rush current side) are flat ÷33 — their DIFF is uniform.</t>
        </is>
      </c>
    </row>
    <row r="49">
      <c r="B49" s="5" t="inlineStr">
        <is>
          <t>Weekend rows (Fri/Sat/Sun) are tinted. Filters: Payer / Segment / Source — Source=ALL sums every category; pick one to isolate its daily contribution.</t>
        </is>
      </c>
    </row>
    <row r="50">
      <c r="B50" s="5" t="inlineStr">
        <is>
          <t>NET blocks (AN:CH, per EARNER): ACTUAL SPEND and the gain side come from the data_econ_daily sheet (real per-day telemetry, window-earner denominator). CURRENT NET = actual gain − spend; NEW NET = actual gain + the sim’s day shift (NEW − CURRENT) − spend, so spend is held constant and net Δ == the DIFF block.</t>
        </is>
      </c>
    </row>
    <row r="51">
      <c r="B51" s="5" t="inlineStr">
        <is>
          <t>NET blocks are BLANK when Source ≠ ALL (spend is game-wide, not attributable to one event) and until the data_econ_daily sheet exists in the workbook. Their TOTAL row blanks out too (no data ≠ zero net).</t>
        </is>
      </c>
    </row>
  </sheetData>
  <conditionalFormatting sqref="AB9:AL41">
    <cfRule type="cellIs" priority="1" operator="lessThan" dxfId="0" stopIfTrue="1">
      <formula>0</formula>
    </cfRule>
    <cfRule type="cellIs" priority="2" operator="greaterThan" dxfId="1" stopIfTrue="1">
      <formula>0</formula>
    </cfRule>
  </conditionalFormatting>
  <conditionalFormatting sqref="BX9:CH41">
    <cfRule type="cellIs" priority="3" operator="lessThan" dxfId="0" stopIfTrue="1">
      <formula>0</formula>
    </cfRule>
    <cfRule type="cellIs" priority="4" operator="greaterThan" dxfId="1" stopIfTrue="1">
      <formula>0</formula>
    </cfRule>
  </conditionalFormatting>
  <conditionalFormatting sqref="B9:CH41">
    <cfRule type="expression" priority="5" dxfId="2">
      <formula>OR($C9="Fri",$C9="Sat",$C9="Sun")</formula>
    </cfRule>
  </conditionalFormatting>
  <dataValidations count="3">
    <dataValidation sqref="C3" showDropDown="0" showInputMessage="0" showErrorMessage="0" allowBlank="0" type="list">
      <formula1>"NONPAYER,PAYER"</formula1>
    </dataValidation>
    <dataValidation sqref="C4" showDropDown="0" showInputMessage="0" showErrorMessage="0" allowBlank="0" type="list">
      <formula1>"0-9,10-19,20-39,40-99,100+"</formula1>
    </dataValidation>
    <dataValidation sqref="C5" showDropDown="0" showInputMessage="0" showErrorMessage="0" allowBlank="0" type="list">
      <formula1>=$CJ$2:$CJ$27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2026-07-09T19:37:34Z</dcterms:created>
  <dcterms:modified xsi:type="dcterms:W3CDTF">2026-07-09T19:37:34Z</dcterms:modified>
</cp:coreProperties>
</file>