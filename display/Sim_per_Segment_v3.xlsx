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 per 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%;-0%;0%"/>
    <numFmt numFmtId="166" formatCode="#,##0.0;[Red]-#,##0.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FFFFFFFF"/>
      <sz val="11"/>
    </font>
    <font>
      <name val="Arial"/>
      <b val="1"/>
      <sz val="9"/>
    </font>
    <font>
      <name val="Arial"/>
      <b val="1"/>
      <color rgb="FFFFFFFF"/>
      <sz val="10"/>
    </font>
    <font>
      <name val="Arial"/>
      <sz val="11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666666"/>
      </patternFill>
    </fill>
    <fill>
      <patternFill patternType="solid">
        <fgColor rgb="FF7030A0"/>
      </patternFill>
    </fill>
    <fill>
      <patternFill patternType="solid">
        <fgColor rgb="FFD9D9D9"/>
      </patternFill>
    </fill>
    <fill>
      <patternFill patternType="solid">
        <fgColor rgb="FFCFE2F3"/>
      </patternFill>
    </fill>
    <fill>
      <patternFill patternType="solid">
        <fgColor rgb="FFE2EFDA"/>
      </patternFill>
    </fill>
    <fill>
      <patternFill patternType="solid">
        <fgColor rgb="FFEFEFEF"/>
      </patternFill>
    </fill>
    <fill>
      <patternFill patternType="solid">
        <fgColor rgb="FFE9DEF3"/>
      </patternFill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4" fillId="12" borderId="0" pivotButton="0" quotePrefix="0" xfId="0"/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6" fillId="13" borderId="0" applyAlignment="1" pivotButton="0" quotePrefix="0" xfId="0">
      <alignment horizontal="center"/>
    </xf>
    <xf numFmtId="164" fontId="5" fillId="13" borderId="0" applyAlignment="1" pivotButton="0" quotePrefix="0" xfId="0">
      <alignment horizontal="center"/>
    </xf>
    <xf numFmtId="165" fontId="5" fillId="13" borderId="0" applyAlignment="1" pivotButton="0" quotePrefix="0" xfId="0">
      <alignment horizontal="center"/>
    </xf>
    <xf numFmtId="166" fontId="5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2.88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2.88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2.88" customWidth="1" min="20" max="20"/>
    <col width="8.5" customWidth="1" min="21" max="21"/>
    <col width="8.5" customWidth="1" min="22" max="22"/>
    <col width="8.5" customWidth="1" min="23" max="23"/>
    <col width="8.5" customWidth="1" min="24" max="24"/>
  </cols>
  <sheetData>
    <row r="1">
      <c r="A1" s="1" t="inlineStr">
        <is>
          <t>RESOURCE GAINS + NET (33 day period)</t>
        </is>
      </c>
    </row>
    <row r="3">
      <c r="B3" s="2" t="inlineStr">
        <is>
          <t>◆ HC</t>
        </is>
      </c>
    </row>
    <row r="4">
      <c r="C4" s="3" t="inlineStr">
        <is>
          <t>◄ CURRENT (actuals: data + calc) ►</t>
        </is>
      </c>
      <c r="D4" s="3" t="n"/>
      <c r="E4" s="3" t="n"/>
      <c r="F4" s="3" t="n"/>
      <c r="G4" s="3" t="n"/>
      <c r="I4" s="4" t="inlineStr">
        <is>
          <t>◄ SIMULATED (EcoGainsSim v4) ►</t>
        </is>
      </c>
      <c r="J4" s="4" t="n"/>
      <c r="K4" s="4" t="n"/>
      <c r="L4" s="4" t="n"/>
      <c r="M4" s="4" t="n"/>
      <c r="O4" s="5" t="inlineStr">
        <is>
          <t>Δ</t>
        </is>
      </c>
      <c r="P4" s="5" t="n"/>
      <c r="Q4" s="5" t="n"/>
      <c r="R4" s="5" t="n"/>
      <c r="S4" s="5" t="n"/>
      <c r="U4" s="6" t="inlineStr">
        <is>
          <t>◄ NET / earner (spend held constant) ►</t>
        </is>
      </c>
      <c r="V4" s="6" t="n"/>
      <c r="W4" s="6" t="n"/>
      <c r="X4" s="6" t="n"/>
    </row>
    <row r="5">
      <c r="B5" s="7" t="inlineStr">
        <is>
          <t>Segment</t>
        </is>
      </c>
      <c r="C5" s="8" t="inlineStr">
        <is>
          <t>PAID</t>
        </is>
      </c>
      <c r="D5" s="8" t="inlineStr">
        <is>
          <t>ADS</t>
        </is>
      </c>
      <c r="E5" s="8" t="inlineStr">
        <is>
          <t>CORE</t>
        </is>
      </c>
      <c r="F5" s="8" t="inlineStr">
        <is>
          <t>META</t>
        </is>
      </c>
      <c r="G5" s="8" t="inlineStr">
        <is>
          <t>Total</t>
        </is>
      </c>
      <c r="I5" s="9" t="inlineStr">
        <is>
          <t>PAID</t>
        </is>
      </c>
      <c r="J5" s="9" t="inlineStr">
        <is>
          <t>ADS</t>
        </is>
      </c>
      <c r="K5" s="9" t="inlineStr">
        <is>
          <t>CORE</t>
        </is>
      </c>
      <c r="L5" s="9" t="inlineStr">
        <is>
          <t>META</t>
        </is>
      </c>
      <c r="M5" s="9" t="inlineStr">
        <is>
          <t>Total</t>
        </is>
      </c>
      <c r="O5" s="10" t="inlineStr">
        <is>
          <t>PAID</t>
        </is>
      </c>
      <c r="P5" s="10" t="inlineStr">
        <is>
          <t>ADS</t>
        </is>
      </c>
      <c r="Q5" s="10" t="inlineStr">
        <is>
          <t>CORE</t>
        </is>
      </c>
      <c r="R5" s="10" t="inlineStr">
        <is>
          <t>META</t>
        </is>
      </c>
      <c r="S5" s="10" t="inlineStr">
        <is>
          <t>Total</t>
        </is>
      </c>
      <c r="U5" s="11" t="inlineStr">
        <is>
          <t>cur spend</t>
        </is>
      </c>
      <c r="V5" s="11" t="inlineStr">
        <is>
          <t>cur net</t>
        </is>
      </c>
      <c r="W5" s="11" t="inlineStr">
        <is>
          <t>new net</t>
        </is>
      </c>
      <c r="X5" s="11" t="inlineStr">
        <is>
          <t>net Δ</t>
        </is>
      </c>
    </row>
    <row r="6">
      <c r="B6" s="12" t="inlineStr">
        <is>
          <t>NONPAYER</t>
        </is>
      </c>
    </row>
    <row r="7">
      <c r="B7" s="13" t="inlineStr">
        <is>
          <t>0-9</t>
        </is>
      </c>
      <c r="C7" s="14" t="n">
        <v>0</v>
      </c>
      <c r="D7" s="14" t="n">
        <v>18.76</v>
      </c>
      <c r="E7" s="14" t="n">
        <v>233.28</v>
      </c>
      <c r="F7" s="14" t="n">
        <v>112.93</v>
      </c>
      <c r="G7" s="14">
        <f>SUM(C7:F7)</f>
        <v/>
      </c>
      <c r="I7" s="14" t="n">
        <v>0</v>
      </c>
      <c r="J7" s="14" t="n">
        <v>18.76</v>
      </c>
      <c r="K7" s="14" t="n">
        <v>176.54</v>
      </c>
      <c r="L7" s="14" t="n">
        <v>168.63</v>
      </c>
      <c r="M7" s="14">
        <f>SUM(I7:L7)</f>
        <v/>
      </c>
      <c r="O7" s="15">
        <f>IFERROR(I7/C7-1,"")</f>
        <v/>
      </c>
      <c r="P7" s="15">
        <f>IFERROR(J7/D7-1,"")</f>
        <v/>
      </c>
      <c r="Q7" s="15">
        <f>IFERROR(K7/E7-1,"")</f>
        <v/>
      </c>
      <c r="R7" s="15">
        <f>IFERROR(L7/F7-1,"")</f>
        <v/>
      </c>
      <c r="S7" s="15">
        <f>IFERROR(M7/G7-1,"")</f>
        <v/>
      </c>
      <c r="U7" s="16" t="n"/>
      <c r="V7" s="16" t="n"/>
      <c r="W7" s="16" t="n"/>
      <c r="X7" s="16">
        <f>IFERROR(W7-V7,"")</f>
        <v/>
      </c>
    </row>
    <row r="8">
      <c r="B8" s="13" t="inlineStr">
        <is>
          <t>10-19</t>
        </is>
      </c>
      <c r="C8" s="14" t="n">
        <v>0</v>
      </c>
      <c r="D8" s="14" t="n">
        <v>23.59</v>
      </c>
      <c r="E8" s="14" t="n">
        <v>324.21</v>
      </c>
      <c r="F8" s="14" t="n">
        <v>214.65</v>
      </c>
      <c r="G8" s="14">
        <f>SUM(C8:F8)</f>
        <v/>
      </c>
      <c r="I8" s="14" t="n">
        <v>0</v>
      </c>
      <c r="J8" s="14" t="n">
        <v>23.59</v>
      </c>
      <c r="K8" s="14" t="n">
        <v>333.62</v>
      </c>
      <c r="L8" s="14" t="n">
        <v>359.91</v>
      </c>
      <c r="M8" s="14">
        <f>SUM(I8:L8)</f>
        <v/>
      </c>
      <c r="O8" s="15">
        <f>IFERROR(I8/C8-1,"")</f>
        <v/>
      </c>
      <c r="P8" s="15">
        <f>IFERROR(J8/D8-1,"")</f>
        <v/>
      </c>
      <c r="Q8" s="15">
        <f>IFERROR(K8/E8-1,"")</f>
        <v/>
      </c>
      <c r="R8" s="15">
        <f>IFERROR(L8/F8-1,"")</f>
        <v/>
      </c>
      <c r="S8" s="15">
        <f>IFERROR(M8/G8-1,"")</f>
        <v/>
      </c>
      <c r="U8" s="16" t="n"/>
      <c r="V8" s="16" t="n"/>
      <c r="W8" s="16" t="n"/>
      <c r="X8" s="16">
        <f>IFERROR(W8-V8,"")</f>
        <v/>
      </c>
    </row>
    <row r="9">
      <c r="B9" s="13" t="inlineStr">
        <is>
          <t>20-39</t>
        </is>
      </c>
      <c r="C9" s="14" t="n">
        <v>0</v>
      </c>
      <c r="D9" s="14" t="n">
        <v>22.59</v>
      </c>
      <c r="E9" s="14" t="n">
        <v>469.48</v>
      </c>
      <c r="F9" s="14" t="n">
        <v>362.63</v>
      </c>
      <c r="G9" s="14">
        <f>SUM(C9:F9)</f>
        <v/>
      </c>
      <c r="I9" s="14" t="n">
        <v>0</v>
      </c>
      <c r="J9" s="14" t="n">
        <v>22.59</v>
      </c>
      <c r="K9" s="14" t="n">
        <v>530.99</v>
      </c>
      <c r="L9" s="14" t="n">
        <v>565.02</v>
      </c>
      <c r="M9" s="14">
        <f>SUM(I9:L9)</f>
        <v/>
      </c>
      <c r="O9" s="15">
        <f>IFERROR(I9/C9-1,"")</f>
        <v/>
      </c>
      <c r="P9" s="15">
        <f>IFERROR(J9/D9-1,"")</f>
        <v/>
      </c>
      <c r="Q9" s="15">
        <f>IFERROR(K9/E9-1,"")</f>
        <v/>
      </c>
      <c r="R9" s="15">
        <f>IFERROR(L9/F9-1,"")</f>
        <v/>
      </c>
      <c r="S9" s="15">
        <f>IFERROR(M9/G9-1,"")</f>
        <v/>
      </c>
      <c r="U9" s="16" t="n"/>
      <c r="V9" s="16" t="n"/>
      <c r="W9" s="16" t="n"/>
      <c r="X9" s="16">
        <f>IFERROR(W9-V9,"")</f>
        <v/>
      </c>
    </row>
    <row r="10">
      <c r="B10" s="13" t="inlineStr">
        <is>
          <t>40-99</t>
        </is>
      </c>
      <c r="C10" s="14" t="n">
        <v>0</v>
      </c>
      <c r="D10" s="14" t="n">
        <v>29.92</v>
      </c>
      <c r="E10" s="14" t="n">
        <v>897.76</v>
      </c>
      <c r="F10" s="14" t="n">
        <v>703.13</v>
      </c>
      <c r="G10" s="14">
        <f>SUM(C10:F10)</f>
        <v/>
      </c>
      <c r="I10" s="14" t="n">
        <v>0</v>
      </c>
      <c r="J10" s="14" t="n">
        <v>29.92</v>
      </c>
      <c r="K10" s="14" t="n">
        <v>1001.1</v>
      </c>
      <c r="L10" s="14" t="n">
        <v>1006.31</v>
      </c>
      <c r="M10" s="14">
        <f>SUM(I10:L10)</f>
        <v/>
      </c>
      <c r="O10" s="15">
        <f>IFERROR(I10/C10-1,"")</f>
        <v/>
      </c>
      <c r="P10" s="15">
        <f>IFERROR(J10/D10-1,"")</f>
        <v/>
      </c>
      <c r="Q10" s="15">
        <f>IFERROR(K10/E10-1,"")</f>
        <v/>
      </c>
      <c r="R10" s="15">
        <f>IFERROR(L10/F10-1,"")</f>
        <v/>
      </c>
      <c r="S10" s="15">
        <f>IFERROR(M10/G10-1,"")</f>
        <v/>
      </c>
      <c r="U10" s="16" t="n"/>
      <c r="V10" s="16" t="n"/>
      <c r="W10" s="16" t="n"/>
      <c r="X10" s="16">
        <f>IFERROR(W10-V10,"")</f>
        <v/>
      </c>
    </row>
    <row r="11">
      <c r="B11" s="13" t="inlineStr">
        <is>
          <t>100+</t>
        </is>
      </c>
      <c r="C11" s="14" t="n">
        <v>0</v>
      </c>
      <c r="D11" s="14" t="n">
        <v>39.15</v>
      </c>
      <c r="E11" s="14" t="n">
        <v>1451.85</v>
      </c>
      <c r="F11" s="14" t="n">
        <v>829.8099999999999</v>
      </c>
      <c r="G11" s="14">
        <f>SUM(C11:F11)</f>
        <v/>
      </c>
      <c r="I11" s="14" t="n">
        <v>0</v>
      </c>
      <c r="J11" s="14" t="n">
        <v>39.15</v>
      </c>
      <c r="K11" s="14" t="n">
        <v>1316.41</v>
      </c>
      <c r="L11" s="14" t="n">
        <v>1495.51</v>
      </c>
      <c r="M11" s="14">
        <f>SUM(I11:L11)</f>
        <v/>
      </c>
      <c r="O11" s="15">
        <f>IFERROR(I11/C11-1,"")</f>
        <v/>
      </c>
      <c r="P11" s="15">
        <f>IFERROR(J11/D11-1,"")</f>
        <v/>
      </c>
      <c r="Q11" s="15">
        <f>IFERROR(K11/E11-1,"")</f>
        <v/>
      </c>
      <c r="R11" s="15">
        <f>IFERROR(L11/F11-1,"")</f>
        <v/>
      </c>
      <c r="S11" s="15">
        <f>IFERROR(M11/G11-1,"")</f>
        <v/>
      </c>
      <c r="U11" s="16" t="n"/>
      <c r="V11" s="16" t="n"/>
      <c r="W11" s="16" t="n"/>
      <c r="X11" s="16">
        <f>IFERROR(W11-V11,"")</f>
        <v/>
      </c>
    </row>
    <row r="12">
      <c r="B12" s="17" t="inlineStr">
        <is>
          <t>overall</t>
        </is>
      </c>
      <c r="C12" s="18" t="n">
        <v>0</v>
      </c>
      <c r="D12" s="18" t="n">
        <v>21.8901</v>
      </c>
      <c r="E12" s="18" t="n">
        <v>370.792</v>
      </c>
      <c r="F12" s="18" t="n">
        <v>241.6529</v>
      </c>
      <c r="G12" s="18">
        <f>SUM(C12:F12)</f>
        <v/>
      </c>
      <c r="I12" s="18" t="n">
        <v>0</v>
      </c>
      <c r="J12" s="18" t="n">
        <v>21.8901</v>
      </c>
      <c r="K12" s="18" t="n">
        <v>363.1251</v>
      </c>
      <c r="L12" s="18" t="n">
        <v>374.6754</v>
      </c>
      <c r="M12" s="18">
        <f>SUM(I12:L12)</f>
        <v/>
      </c>
      <c r="O12" s="19">
        <f>IFERROR(I12/C12-1,"")</f>
        <v/>
      </c>
      <c r="P12" s="19">
        <f>IFERROR(J12/D12-1,"")</f>
        <v/>
      </c>
      <c r="Q12" s="19">
        <f>IFERROR(K12/E12-1,"")</f>
        <v/>
      </c>
      <c r="R12" s="19">
        <f>IFERROR(L12/F12-1,"")</f>
        <v/>
      </c>
      <c r="S12" s="19">
        <f>IFERROR(M12/G12-1,"")</f>
        <v/>
      </c>
      <c r="U12" s="20" t="n"/>
      <c r="V12" s="20" t="n"/>
      <c r="W12" s="20" t="n"/>
      <c r="X12" s="20">
        <f>IFERROR(W12-V12,"")</f>
        <v/>
      </c>
    </row>
    <row r="13">
      <c r="B13" s="12" t="inlineStr">
        <is>
          <t>PAYER</t>
        </is>
      </c>
    </row>
    <row r="14">
      <c r="B14" s="13" t="inlineStr">
        <is>
          <t>0-9</t>
        </is>
      </c>
      <c r="C14" s="14" t="n">
        <v>0</v>
      </c>
      <c r="D14" s="14" t="n">
        <v>35.31</v>
      </c>
      <c r="E14" s="14" t="n">
        <v>291.15</v>
      </c>
      <c r="F14" s="14" t="n">
        <v>176.02</v>
      </c>
      <c r="G14" s="14">
        <f>SUM(C14:F14)</f>
        <v/>
      </c>
      <c r="I14" s="14" t="n">
        <v>0</v>
      </c>
      <c r="J14" s="14" t="n">
        <v>35.31</v>
      </c>
      <c r="K14" s="14" t="n">
        <v>212.3</v>
      </c>
      <c r="L14" s="14" t="n">
        <v>243.45</v>
      </c>
      <c r="M14" s="14">
        <f>SUM(I14:L14)</f>
        <v/>
      </c>
      <c r="O14" s="15">
        <f>IFERROR(I14/C14-1,"")</f>
        <v/>
      </c>
      <c r="P14" s="15">
        <f>IFERROR(J14/D14-1,"")</f>
        <v/>
      </c>
      <c r="Q14" s="15">
        <f>IFERROR(K14/E14-1,"")</f>
        <v/>
      </c>
      <c r="R14" s="15">
        <f>IFERROR(L14/F14-1,"")</f>
        <v/>
      </c>
      <c r="S14" s="15">
        <f>IFERROR(M14/G14-1,"")</f>
        <v/>
      </c>
      <c r="U14" s="16" t="n"/>
      <c r="V14" s="16" t="n"/>
      <c r="W14" s="16" t="n"/>
      <c r="X14" s="16">
        <f>IFERROR(W14-V14,"")</f>
        <v/>
      </c>
    </row>
    <row r="15">
      <c r="B15" s="13" t="inlineStr">
        <is>
          <t>10-19</t>
        </is>
      </c>
      <c r="C15" s="14" t="n">
        <v>0</v>
      </c>
      <c r="D15" s="14" t="n">
        <v>28.24</v>
      </c>
      <c r="E15" s="14" t="n">
        <v>312.21</v>
      </c>
      <c r="F15" s="14" t="n">
        <v>250.36</v>
      </c>
      <c r="G15" s="14">
        <f>SUM(C15:F15)</f>
        <v/>
      </c>
      <c r="I15" s="14" t="n">
        <v>0</v>
      </c>
      <c r="J15" s="14" t="n">
        <v>28.24</v>
      </c>
      <c r="K15" s="14" t="n">
        <v>320.76</v>
      </c>
      <c r="L15" s="14" t="n">
        <v>403.19</v>
      </c>
      <c r="M15" s="14">
        <f>SUM(I15:L15)</f>
        <v/>
      </c>
      <c r="O15" s="15">
        <f>IFERROR(I15/C15-1,"")</f>
        <v/>
      </c>
      <c r="P15" s="15">
        <f>IFERROR(J15/D15-1,"")</f>
        <v/>
      </c>
      <c r="Q15" s="15">
        <f>IFERROR(K15/E15-1,"")</f>
        <v/>
      </c>
      <c r="R15" s="15">
        <f>IFERROR(L15/F15-1,"")</f>
        <v/>
      </c>
      <c r="S15" s="15">
        <f>IFERROR(M15/G15-1,"")</f>
        <v/>
      </c>
      <c r="U15" s="16" t="n"/>
      <c r="V15" s="16" t="n"/>
      <c r="W15" s="16" t="n"/>
      <c r="X15" s="16">
        <f>IFERROR(W15-V15,"")</f>
        <v/>
      </c>
    </row>
    <row r="16">
      <c r="B16" s="13" t="inlineStr">
        <is>
          <t>20-39</t>
        </is>
      </c>
      <c r="C16" s="14" t="n">
        <v>0</v>
      </c>
      <c r="D16" s="14" t="n">
        <v>23.91</v>
      </c>
      <c r="E16" s="14" t="n">
        <v>420.37</v>
      </c>
      <c r="F16" s="14" t="n">
        <v>380.35</v>
      </c>
      <c r="G16" s="14">
        <f>SUM(C16:F16)</f>
        <v/>
      </c>
      <c r="I16" s="14" t="n">
        <v>0</v>
      </c>
      <c r="J16" s="14" t="n">
        <v>23.91</v>
      </c>
      <c r="K16" s="14" t="n">
        <v>490.02</v>
      </c>
      <c r="L16" s="14" t="n">
        <v>579.71</v>
      </c>
      <c r="M16" s="14">
        <f>SUM(I16:L16)</f>
        <v/>
      </c>
      <c r="O16" s="15">
        <f>IFERROR(I16/C16-1,"")</f>
        <v/>
      </c>
      <c r="P16" s="15">
        <f>IFERROR(J16/D16-1,"")</f>
        <v/>
      </c>
      <c r="Q16" s="15">
        <f>IFERROR(K16/E16-1,"")</f>
        <v/>
      </c>
      <c r="R16" s="15">
        <f>IFERROR(L16/F16-1,"")</f>
        <v/>
      </c>
      <c r="S16" s="15">
        <f>IFERROR(M16/G16-1,"")</f>
        <v/>
      </c>
      <c r="U16" s="16" t="n"/>
      <c r="V16" s="16" t="n"/>
      <c r="W16" s="16" t="n"/>
      <c r="X16" s="16">
        <f>IFERROR(W16-V16,"")</f>
        <v/>
      </c>
    </row>
    <row r="17">
      <c r="B17" s="13" t="inlineStr">
        <is>
          <t>40-99</t>
        </is>
      </c>
      <c r="C17" s="14" t="n">
        <v>0</v>
      </c>
      <c r="D17" s="14" t="n">
        <v>24.96</v>
      </c>
      <c r="E17" s="14" t="n">
        <v>743.95</v>
      </c>
      <c r="F17" s="14" t="n">
        <v>664.9299999999999</v>
      </c>
      <c r="G17" s="14">
        <f>SUM(C17:F17)</f>
        <v/>
      </c>
      <c r="I17" s="14" t="n">
        <v>0</v>
      </c>
      <c r="J17" s="14" t="n">
        <v>24.96</v>
      </c>
      <c r="K17" s="14" t="n">
        <v>853.67</v>
      </c>
      <c r="L17" s="14" t="n">
        <v>944.8200000000001</v>
      </c>
      <c r="M17" s="14">
        <f>SUM(I17:L17)</f>
        <v/>
      </c>
      <c r="O17" s="15">
        <f>IFERROR(I17/C17-1,"")</f>
        <v/>
      </c>
      <c r="P17" s="15">
        <f>IFERROR(J17/D17-1,"")</f>
        <v/>
      </c>
      <c r="Q17" s="15">
        <f>IFERROR(K17/E17-1,"")</f>
        <v/>
      </c>
      <c r="R17" s="15">
        <f>IFERROR(L17/F17-1,"")</f>
        <v/>
      </c>
      <c r="S17" s="15">
        <f>IFERROR(M17/G17-1,"")</f>
        <v/>
      </c>
      <c r="U17" s="16" t="n"/>
      <c r="V17" s="16" t="n"/>
      <c r="W17" s="16" t="n"/>
      <c r="X17" s="16">
        <f>IFERROR(W17-V17,"")</f>
        <v/>
      </c>
    </row>
    <row r="18">
      <c r="B18" s="13" t="inlineStr">
        <is>
          <t>100+</t>
        </is>
      </c>
      <c r="C18" s="14" t="n">
        <v>0</v>
      </c>
      <c r="D18" s="14" t="n">
        <v>23.8</v>
      </c>
      <c r="E18" s="14" t="n">
        <v>1257.04</v>
      </c>
      <c r="F18" s="14" t="n">
        <v>810.4</v>
      </c>
      <c r="G18" s="14">
        <f>SUM(C18:F18)</f>
        <v/>
      </c>
      <c r="I18" s="14" t="n">
        <v>0</v>
      </c>
      <c r="J18" s="14" t="n">
        <v>23.8</v>
      </c>
      <c r="K18" s="14" t="n">
        <v>1220.45</v>
      </c>
      <c r="L18" s="14" t="n">
        <v>1546.55</v>
      </c>
      <c r="M18" s="14">
        <f>SUM(I18:L18)</f>
        <v/>
      </c>
      <c r="O18" s="15">
        <f>IFERROR(I18/C18-1,"")</f>
        <v/>
      </c>
      <c r="P18" s="15">
        <f>IFERROR(J18/D18-1,"")</f>
        <v/>
      </c>
      <c r="Q18" s="15">
        <f>IFERROR(K18/E18-1,"")</f>
        <v/>
      </c>
      <c r="R18" s="15">
        <f>IFERROR(L18/F18-1,"")</f>
        <v/>
      </c>
      <c r="S18" s="15">
        <f>IFERROR(M18/G18-1,"")</f>
        <v/>
      </c>
      <c r="U18" s="16" t="n"/>
      <c r="V18" s="16" t="n"/>
      <c r="W18" s="16" t="n"/>
      <c r="X18" s="16">
        <f>IFERROR(W18-V18,"")</f>
        <v/>
      </c>
    </row>
    <row r="19">
      <c r="B19" s="17" t="inlineStr">
        <is>
          <t>overall</t>
        </is>
      </c>
      <c r="C19" s="18" t="n">
        <v>0</v>
      </c>
      <c r="D19" s="18" t="n">
        <v>30.9284</v>
      </c>
      <c r="E19" s="18" t="n">
        <v>363.3005</v>
      </c>
      <c r="F19" s="18" t="n">
        <v>271.31</v>
      </c>
      <c r="G19" s="18">
        <f>SUM(C19:F19)</f>
        <v/>
      </c>
      <c r="I19" s="18" t="n">
        <v>0</v>
      </c>
      <c r="J19" s="18" t="n">
        <v>30.9284</v>
      </c>
      <c r="K19" s="18" t="n">
        <v>343.4372</v>
      </c>
      <c r="L19" s="18" t="n">
        <v>403.9433</v>
      </c>
      <c r="M19" s="18">
        <f>SUM(I19:L19)</f>
        <v/>
      </c>
      <c r="O19" s="19">
        <f>IFERROR(I19/C19-1,"")</f>
        <v/>
      </c>
      <c r="P19" s="19">
        <f>IFERROR(J19/D19-1,"")</f>
        <v/>
      </c>
      <c r="Q19" s="19">
        <f>IFERROR(K19/E19-1,"")</f>
        <v/>
      </c>
      <c r="R19" s="19">
        <f>IFERROR(L19/F19-1,"")</f>
        <v/>
      </c>
      <c r="S19" s="19">
        <f>IFERROR(M19/G19-1,"")</f>
        <v/>
      </c>
      <c r="U19" s="20" t="n"/>
      <c r="V19" s="20" t="n"/>
      <c r="W19" s="20" t="n"/>
      <c r="X19" s="20">
        <f>IFERROR(W19-V19,"")</f>
        <v/>
      </c>
    </row>
    <row r="22">
      <c r="B22" s="2" t="inlineStr">
        <is>
          <t>◆ Slingshot</t>
        </is>
      </c>
    </row>
    <row r="23">
      <c r="C23" s="3" t="inlineStr">
        <is>
          <t>◄ CURRENT (actuals: data + calc) ►</t>
        </is>
      </c>
      <c r="D23" s="3" t="n"/>
      <c r="E23" s="3" t="n"/>
      <c r="F23" s="3" t="n"/>
      <c r="G23" s="3" t="n"/>
      <c r="I23" s="4" t="inlineStr">
        <is>
          <t>◄ SIMULATED (EcoGainsSim v4) ►</t>
        </is>
      </c>
      <c r="J23" s="4" t="n"/>
      <c r="K23" s="4" t="n"/>
      <c r="L23" s="4" t="n"/>
      <c r="M23" s="4" t="n"/>
      <c r="O23" s="5" t="inlineStr">
        <is>
          <t>Δ</t>
        </is>
      </c>
      <c r="P23" s="5" t="n"/>
      <c r="Q23" s="5" t="n"/>
      <c r="R23" s="5" t="n"/>
      <c r="S23" s="5" t="n"/>
      <c r="U23" s="6" t="inlineStr">
        <is>
          <t>◄ NET / earner (spend held constant) ►</t>
        </is>
      </c>
      <c r="V23" s="6" t="n"/>
      <c r="W23" s="6" t="n"/>
      <c r="X23" s="6" t="n"/>
    </row>
    <row r="24">
      <c r="B24" s="7" t="inlineStr">
        <is>
          <t>Segment</t>
        </is>
      </c>
      <c r="C24" s="8" t="inlineStr">
        <is>
          <t>PAID</t>
        </is>
      </c>
      <c r="D24" s="8" t="inlineStr">
        <is>
          <t>ADS</t>
        </is>
      </c>
      <c r="E24" s="8" t="inlineStr">
        <is>
          <t>CORE</t>
        </is>
      </c>
      <c r="F24" s="8" t="inlineStr">
        <is>
          <t>META</t>
        </is>
      </c>
      <c r="G24" s="8" t="inlineStr">
        <is>
          <t>Total</t>
        </is>
      </c>
      <c r="I24" s="9" t="inlineStr">
        <is>
          <t>PAID</t>
        </is>
      </c>
      <c r="J24" s="9" t="inlineStr">
        <is>
          <t>ADS</t>
        </is>
      </c>
      <c r="K24" s="9" t="inlineStr">
        <is>
          <t>CORE</t>
        </is>
      </c>
      <c r="L24" s="9" t="inlineStr">
        <is>
          <t>META</t>
        </is>
      </c>
      <c r="M24" s="9" t="inlineStr">
        <is>
          <t>Total</t>
        </is>
      </c>
      <c r="O24" s="10" t="inlineStr">
        <is>
          <t>PAID</t>
        </is>
      </c>
      <c r="P24" s="10" t="inlineStr">
        <is>
          <t>ADS</t>
        </is>
      </c>
      <c r="Q24" s="10" t="inlineStr">
        <is>
          <t>CORE</t>
        </is>
      </c>
      <c r="R24" s="10" t="inlineStr">
        <is>
          <t>META</t>
        </is>
      </c>
      <c r="S24" s="10" t="inlineStr">
        <is>
          <t>Total</t>
        </is>
      </c>
      <c r="U24" s="11" t="inlineStr">
        <is>
          <t>cur spend</t>
        </is>
      </c>
      <c r="V24" s="11" t="inlineStr">
        <is>
          <t>cur net</t>
        </is>
      </c>
      <c r="W24" s="11" t="inlineStr">
        <is>
          <t>new net</t>
        </is>
      </c>
      <c r="X24" s="11" t="inlineStr">
        <is>
          <t>net Δ</t>
        </is>
      </c>
    </row>
    <row r="25">
      <c r="B25" s="12" t="inlineStr">
        <is>
          <t>NONPAYER</t>
        </is>
      </c>
    </row>
    <row r="26">
      <c r="B26" s="13" t="inlineStr">
        <is>
          <t>0-9</t>
        </is>
      </c>
      <c r="C26" s="14" t="n">
        <v>0</v>
      </c>
      <c r="D26" s="14" t="n">
        <v>0.57</v>
      </c>
      <c r="E26" s="14" t="n">
        <v>2.88</v>
      </c>
      <c r="F26" s="14" t="n">
        <v>2.18</v>
      </c>
      <c r="G26" s="14">
        <f>SUM(C26:F26)</f>
        <v/>
      </c>
      <c r="I26" s="14" t="n">
        <v>0</v>
      </c>
      <c r="J26" s="14" t="n">
        <v>0.57</v>
      </c>
      <c r="K26" s="14" t="n">
        <v>3.39</v>
      </c>
      <c r="L26" s="14" t="n">
        <v>5.65</v>
      </c>
      <c r="M26" s="14">
        <f>SUM(I26:L26)</f>
        <v/>
      </c>
      <c r="O26" s="15">
        <f>IFERROR(I26/C26-1,"")</f>
        <v/>
      </c>
      <c r="P26" s="15">
        <f>IFERROR(J26/D26-1,"")</f>
        <v/>
      </c>
      <c r="Q26" s="15">
        <f>IFERROR(K26/E26-1,"")</f>
        <v/>
      </c>
      <c r="R26" s="15">
        <f>IFERROR(L26/F26-1,"")</f>
        <v/>
      </c>
      <c r="S26" s="15">
        <f>IFERROR(M26/G26-1,"")</f>
        <v/>
      </c>
      <c r="U26" s="16" t="n"/>
      <c r="V26" s="16" t="n"/>
      <c r="W26" s="16" t="n"/>
      <c r="X26" s="16">
        <f>IFERROR(W26-V26,"")</f>
        <v/>
      </c>
    </row>
    <row r="27">
      <c r="B27" s="13" t="inlineStr">
        <is>
          <t>10-19</t>
        </is>
      </c>
      <c r="C27" s="14" t="n">
        <v>0</v>
      </c>
      <c r="D27" s="14" t="n">
        <v>0.63</v>
      </c>
      <c r="E27" s="14" t="n">
        <v>3.66</v>
      </c>
      <c r="F27" s="14" t="n">
        <v>3.22</v>
      </c>
      <c r="G27" s="14">
        <f>SUM(C27:F27)</f>
        <v/>
      </c>
      <c r="I27" s="14" t="n">
        <v>0</v>
      </c>
      <c r="J27" s="14" t="n">
        <v>0.63</v>
      </c>
      <c r="K27" s="14" t="n">
        <v>3.46</v>
      </c>
      <c r="L27" s="14" t="n">
        <v>12.65</v>
      </c>
      <c r="M27" s="14">
        <f>SUM(I27:L27)</f>
        <v/>
      </c>
      <c r="O27" s="15">
        <f>IFERROR(I27/C27-1,"")</f>
        <v/>
      </c>
      <c r="P27" s="15">
        <f>IFERROR(J27/D27-1,"")</f>
        <v/>
      </c>
      <c r="Q27" s="15">
        <f>IFERROR(K27/E27-1,"")</f>
        <v/>
      </c>
      <c r="R27" s="15">
        <f>IFERROR(L27/F27-1,"")</f>
        <v/>
      </c>
      <c r="S27" s="15">
        <f>IFERROR(M27/G27-1,"")</f>
        <v/>
      </c>
      <c r="U27" s="16" t="n"/>
      <c r="V27" s="16" t="n"/>
      <c r="W27" s="16" t="n"/>
      <c r="X27" s="16">
        <f>IFERROR(W27-V27,"")</f>
        <v/>
      </c>
    </row>
    <row r="28">
      <c r="B28" s="13" t="inlineStr">
        <is>
          <t>20-39</t>
        </is>
      </c>
      <c r="C28" s="14" t="n">
        <v>0</v>
      </c>
      <c r="D28" s="14" t="n">
        <v>0.57</v>
      </c>
      <c r="E28" s="14" t="n">
        <v>5.11</v>
      </c>
      <c r="F28" s="14" t="n">
        <v>3.82</v>
      </c>
      <c r="G28" s="14">
        <f>SUM(C28:F28)</f>
        <v/>
      </c>
      <c r="I28" s="14" t="n">
        <v>0</v>
      </c>
      <c r="J28" s="14" t="n">
        <v>0.57</v>
      </c>
      <c r="K28" s="14" t="n">
        <v>5.23</v>
      </c>
      <c r="L28" s="14" t="n">
        <v>16.63</v>
      </c>
      <c r="M28" s="14">
        <f>SUM(I28:L28)</f>
        <v/>
      </c>
      <c r="O28" s="15">
        <f>IFERROR(I28/C28-1,"")</f>
        <v/>
      </c>
      <c r="P28" s="15">
        <f>IFERROR(J28/D28-1,"")</f>
        <v/>
      </c>
      <c r="Q28" s="15">
        <f>IFERROR(K28/E28-1,"")</f>
        <v/>
      </c>
      <c r="R28" s="15">
        <f>IFERROR(L28/F28-1,"")</f>
        <v/>
      </c>
      <c r="S28" s="15">
        <f>IFERROR(M28/G28-1,"")</f>
        <v/>
      </c>
      <c r="U28" s="16" t="n"/>
      <c r="V28" s="16" t="n"/>
      <c r="W28" s="16" t="n"/>
      <c r="X28" s="16">
        <f>IFERROR(W28-V28,"")</f>
        <v/>
      </c>
    </row>
    <row r="29">
      <c r="B29" s="13" t="inlineStr">
        <is>
          <t>40-99</t>
        </is>
      </c>
      <c r="C29" s="14" t="n">
        <v>0</v>
      </c>
      <c r="D29" s="14" t="n">
        <v>0.7</v>
      </c>
      <c r="E29" s="14" t="n">
        <v>9.24</v>
      </c>
      <c r="F29" s="14" t="n">
        <v>5.2</v>
      </c>
      <c r="G29" s="14">
        <f>SUM(C29:F29)</f>
        <v/>
      </c>
      <c r="I29" s="14" t="n">
        <v>0</v>
      </c>
      <c r="J29" s="14" t="n">
        <v>0.7</v>
      </c>
      <c r="K29" s="14" t="n">
        <v>8.33</v>
      </c>
      <c r="L29" s="14" t="n">
        <v>23.99</v>
      </c>
      <c r="M29" s="14">
        <f>SUM(I29:L29)</f>
        <v/>
      </c>
      <c r="O29" s="15">
        <f>IFERROR(I29/C29-1,"")</f>
        <v/>
      </c>
      <c r="P29" s="15">
        <f>IFERROR(J29/D29-1,"")</f>
        <v/>
      </c>
      <c r="Q29" s="15">
        <f>IFERROR(K29/E29-1,"")</f>
        <v/>
      </c>
      <c r="R29" s="15">
        <f>IFERROR(L29/F29-1,"")</f>
        <v/>
      </c>
      <c r="S29" s="15">
        <f>IFERROR(M29/G29-1,"")</f>
        <v/>
      </c>
      <c r="U29" s="16" t="n"/>
      <c r="V29" s="16" t="n"/>
      <c r="W29" s="16" t="n"/>
      <c r="X29" s="16">
        <f>IFERROR(W29-V29,"")</f>
        <v/>
      </c>
    </row>
    <row r="30">
      <c r="B30" s="13" t="inlineStr">
        <is>
          <t>100+</t>
        </is>
      </c>
      <c r="C30" s="14" t="n">
        <v>0</v>
      </c>
      <c r="D30" s="14" t="n">
        <v>0.88</v>
      </c>
      <c r="E30" s="14" t="n">
        <v>14.32</v>
      </c>
      <c r="F30" s="14" t="n">
        <v>4.9</v>
      </c>
      <c r="G30" s="14">
        <f>SUM(C30:F30)</f>
        <v/>
      </c>
      <c r="I30" s="14" t="n">
        <v>0</v>
      </c>
      <c r="J30" s="14" t="n">
        <v>0.88</v>
      </c>
      <c r="K30" s="14" t="n">
        <v>13.57</v>
      </c>
      <c r="L30" s="14" t="n">
        <v>25.4</v>
      </c>
      <c r="M30" s="14">
        <f>SUM(I30:L30)</f>
        <v/>
      </c>
      <c r="O30" s="15">
        <f>IFERROR(I30/C30-1,"")</f>
        <v/>
      </c>
      <c r="P30" s="15">
        <f>IFERROR(J30/D30-1,"")</f>
        <v/>
      </c>
      <c r="Q30" s="15">
        <f>IFERROR(K30/E30-1,"")</f>
        <v/>
      </c>
      <c r="R30" s="15">
        <f>IFERROR(L30/F30-1,"")</f>
        <v/>
      </c>
      <c r="S30" s="15">
        <f>IFERROR(M30/G30-1,"")</f>
        <v/>
      </c>
      <c r="U30" s="16" t="n"/>
      <c r="V30" s="16" t="n"/>
      <c r="W30" s="16" t="n"/>
      <c r="X30" s="16">
        <f>IFERROR(W30-V30,"")</f>
        <v/>
      </c>
    </row>
    <row r="31">
      <c r="B31" s="17" t="inlineStr">
        <is>
          <t>overall</t>
        </is>
      </c>
      <c r="C31" s="18" t="n">
        <v>0</v>
      </c>
      <c r="D31" s="18" t="n">
        <v>0.6012</v>
      </c>
      <c r="E31" s="18" t="n">
        <v>4.1648</v>
      </c>
      <c r="F31" s="18" t="n">
        <v>3.017</v>
      </c>
      <c r="G31" s="18">
        <f>SUM(C31:F31)</f>
        <v/>
      </c>
      <c r="I31" s="18" t="n">
        <v>0</v>
      </c>
      <c r="J31" s="18" t="n">
        <v>0.6012</v>
      </c>
      <c r="K31" s="18" t="n">
        <v>4.2874</v>
      </c>
      <c r="L31" s="18" t="n">
        <v>11.1215</v>
      </c>
      <c r="M31" s="18">
        <f>SUM(I31:L31)</f>
        <v/>
      </c>
      <c r="O31" s="19">
        <f>IFERROR(I31/C31-1,"")</f>
        <v/>
      </c>
      <c r="P31" s="19">
        <f>IFERROR(J31/D31-1,"")</f>
        <v/>
      </c>
      <c r="Q31" s="19">
        <f>IFERROR(K31/E31-1,"")</f>
        <v/>
      </c>
      <c r="R31" s="19">
        <f>IFERROR(L31/F31-1,"")</f>
        <v/>
      </c>
      <c r="S31" s="19">
        <f>IFERROR(M31/G31-1,"")</f>
        <v/>
      </c>
      <c r="U31" s="20" t="n"/>
      <c r="V31" s="20" t="n"/>
      <c r="W31" s="20" t="n"/>
      <c r="X31" s="20">
        <f>IFERROR(W31-V31,"")</f>
        <v/>
      </c>
    </row>
    <row r="32">
      <c r="B32" s="12" t="inlineStr">
        <is>
          <t>PAYER</t>
        </is>
      </c>
    </row>
    <row r="33">
      <c r="B33" s="13" t="inlineStr">
        <is>
          <t>0-9</t>
        </is>
      </c>
      <c r="C33" s="14" t="n">
        <v>0</v>
      </c>
      <c r="D33" s="14" t="n">
        <v>0.99</v>
      </c>
      <c r="E33" s="14" t="n">
        <v>3.32</v>
      </c>
      <c r="F33" s="14" t="n">
        <v>3.06</v>
      </c>
      <c r="G33" s="14">
        <f>SUM(C33:F33)</f>
        <v/>
      </c>
      <c r="I33" s="14" t="n">
        <v>0</v>
      </c>
      <c r="J33" s="14" t="n">
        <v>0.99</v>
      </c>
      <c r="K33" s="14" t="n">
        <v>3.26</v>
      </c>
      <c r="L33" s="14" t="n">
        <v>7.47</v>
      </c>
      <c r="M33" s="14">
        <f>SUM(I33:L33)</f>
        <v/>
      </c>
      <c r="O33" s="15">
        <f>IFERROR(I33/C33-1,"")</f>
        <v/>
      </c>
      <c r="P33" s="15">
        <f>IFERROR(J33/D33-1,"")</f>
        <v/>
      </c>
      <c r="Q33" s="15">
        <f>IFERROR(K33/E33-1,"")</f>
        <v/>
      </c>
      <c r="R33" s="15">
        <f>IFERROR(L33/F33-1,"")</f>
        <v/>
      </c>
      <c r="S33" s="15">
        <f>IFERROR(M33/G33-1,"")</f>
        <v/>
      </c>
      <c r="U33" s="16" t="n"/>
      <c r="V33" s="16" t="n"/>
      <c r="W33" s="16" t="n"/>
      <c r="X33" s="16">
        <f>IFERROR(W33-V33,"")</f>
        <v/>
      </c>
    </row>
    <row r="34">
      <c r="B34" s="13" t="inlineStr">
        <is>
          <t>10-19</t>
        </is>
      </c>
      <c r="C34" s="14" t="n">
        <v>0</v>
      </c>
      <c r="D34" s="14" t="n">
        <v>0.74</v>
      </c>
      <c r="E34" s="14" t="n">
        <v>3.45</v>
      </c>
      <c r="F34" s="14" t="n">
        <v>3.97</v>
      </c>
      <c r="G34" s="14">
        <f>SUM(C34:F34)</f>
        <v/>
      </c>
      <c r="I34" s="14" t="n">
        <v>0</v>
      </c>
      <c r="J34" s="14" t="n">
        <v>0.74</v>
      </c>
      <c r="K34" s="14" t="n">
        <v>3.26</v>
      </c>
      <c r="L34" s="14" t="n">
        <v>13.87</v>
      </c>
      <c r="M34" s="14">
        <f>SUM(I34:L34)</f>
        <v/>
      </c>
      <c r="O34" s="15">
        <f>IFERROR(I34/C34-1,"")</f>
        <v/>
      </c>
      <c r="P34" s="15">
        <f>IFERROR(J34/D34-1,"")</f>
        <v/>
      </c>
      <c r="Q34" s="15">
        <f>IFERROR(K34/E34-1,"")</f>
        <v/>
      </c>
      <c r="R34" s="15">
        <f>IFERROR(L34/F34-1,"")</f>
        <v/>
      </c>
      <c r="S34" s="15">
        <f>IFERROR(M34/G34-1,"")</f>
        <v/>
      </c>
      <c r="U34" s="16" t="n"/>
      <c r="V34" s="16" t="n"/>
      <c r="W34" s="16" t="n"/>
      <c r="X34" s="16">
        <f>IFERROR(W34-V34,"")</f>
        <v/>
      </c>
    </row>
    <row r="35">
      <c r="B35" s="13" t="inlineStr">
        <is>
          <t>20-39</t>
        </is>
      </c>
      <c r="C35" s="14" t="n">
        <v>0</v>
      </c>
      <c r="D35" s="14" t="n">
        <v>0.59</v>
      </c>
      <c r="E35" s="14" t="n">
        <v>4.58</v>
      </c>
      <c r="F35" s="14" t="n">
        <v>4.76</v>
      </c>
      <c r="G35" s="14">
        <f>SUM(C35:F35)</f>
        <v/>
      </c>
      <c r="I35" s="14" t="n">
        <v>0</v>
      </c>
      <c r="J35" s="14" t="n">
        <v>0.59</v>
      </c>
      <c r="K35" s="14" t="n">
        <v>4.72</v>
      </c>
      <c r="L35" s="14" t="n">
        <v>17.42</v>
      </c>
      <c r="M35" s="14">
        <f>SUM(I35:L35)</f>
        <v/>
      </c>
      <c r="O35" s="15">
        <f>IFERROR(I35/C35-1,"")</f>
        <v/>
      </c>
      <c r="P35" s="15">
        <f>IFERROR(J35/D35-1,"")</f>
        <v/>
      </c>
      <c r="Q35" s="15">
        <f>IFERROR(K35/E35-1,"")</f>
        <v/>
      </c>
      <c r="R35" s="15">
        <f>IFERROR(L35/F35-1,"")</f>
        <v/>
      </c>
      <c r="S35" s="15">
        <f>IFERROR(M35/G35-1,"")</f>
        <v/>
      </c>
      <c r="U35" s="16" t="n"/>
      <c r="V35" s="16" t="n"/>
      <c r="W35" s="16" t="n"/>
      <c r="X35" s="16">
        <f>IFERROR(W35-V35,"")</f>
        <v/>
      </c>
    </row>
    <row r="36">
      <c r="B36" s="13" t="inlineStr">
        <is>
          <t>40-99</t>
        </is>
      </c>
      <c r="C36" s="14" t="n">
        <v>0</v>
      </c>
      <c r="D36" s="14" t="n">
        <v>0.57</v>
      </c>
      <c r="E36" s="14" t="n">
        <v>7.71</v>
      </c>
      <c r="F36" s="14" t="n">
        <v>6.37</v>
      </c>
      <c r="G36" s="14">
        <f>SUM(C36:F36)</f>
        <v/>
      </c>
      <c r="I36" s="14" t="n">
        <v>0</v>
      </c>
      <c r="J36" s="14" t="n">
        <v>0.57</v>
      </c>
      <c r="K36" s="14" t="n">
        <v>6.94</v>
      </c>
      <c r="L36" s="14" t="n">
        <v>24.15</v>
      </c>
      <c r="M36" s="14">
        <f>SUM(I36:L36)</f>
        <v/>
      </c>
      <c r="O36" s="15">
        <f>IFERROR(I36/C36-1,"")</f>
        <v/>
      </c>
      <c r="P36" s="15">
        <f>IFERROR(J36/D36-1,"")</f>
        <v/>
      </c>
      <c r="Q36" s="15">
        <f>IFERROR(K36/E36-1,"")</f>
        <v/>
      </c>
      <c r="R36" s="15">
        <f>IFERROR(L36/F36-1,"")</f>
        <v/>
      </c>
      <c r="S36" s="15">
        <f>IFERROR(M36/G36-1,"")</f>
        <v/>
      </c>
      <c r="U36" s="16" t="n"/>
      <c r="V36" s="16" t="n"/>
      <c r="W36" s="16" t="n"/>
      <c r="X36" s="16">
        <f>IFERROR(W36-V36,"")</f>
        <v/>
      </c>
    </row>
    <row r="37">
      <c r="B37" s="13" t="inlineStr">
        <is>
          <t>100+</t>
        </is>
      </c>
      <c r="C37" s="14" t="n">
        <v>0</v>
      </c>
      <c r="D37" s="14" t="n">
        <v>0.5</v>
      </c>
      <c r="E37" s="14" t="n">
        <v>12.55</v>
      </c>
      <c r="F37" s="14" t="n">
        <v>6.69</v>
      </c>
      <c r="G37" s="14">
        <f>SUM(C37:F37)</f>
        <v/>
      </c>
      <c r="I37" s="14" t="n">
        <v>0</v>
      </c>
      <c r="J37" s="14" t="n">
        <v>0.5</v>
      </c>
      <c r="K37" s="14" t="n">
        <v>11.85</v>
      </c>
      <c r="L37" s="14" t="n">
        <v>28.66</v>
      </c>
      <c r="M37" s="14">
        <f>SUM(I37:L37)</f>
        <v/>
      </c>
      <c r="O37" s="15">
        <f>IFERROR(I37/C37-1,"")</f>
        <v/>
      </c>
      <c r="P37" s="15">
        <f>IFERROR(J37/D37-1,"")</f>
        <v/>
      </c>
      <c r="Q37" s="15">
        <f>IFERROR(K37/E37-1,"")</f>
        <v/>
      </c>
      <c r="R37" s="15">
        <f>IFERROR(L37/F37-1,"")</f>
        <v/>
      </c>
      <c r="S37" s="15">
        <f>IFERROR(M37/G37-1,"")</f>
        <v/>
      </c>
      <c r="U37" s="16" t="n"/>
      <c r="V37" s="16" t="n"/>
      <c r="W37" s="16" t="n"/>
      <c r="X37" s="16">
        <f>IFERROR(W37-V37,"")</f>
        <v/>
      </c>
    </row>
    <row r="38">
      <c r="B38" s="17" t="inlineStr">
        <is>
          <t>overall</t>
        </is>
      </c>
      <c r="C38" s="18" t="n">
        <v>0</v>
      </c>
      <c r="D38" s="18" t="n">
        <v>0.8303</v>
      </c>
      <c r="E38" s="18" t="n">
        <v>4.0014</v>
      </c>
      <c r="F38" s="18" t="n">
        <v>3.8423</v>
      </c>
      <c r="G38" s="18">
        <f>SUM(C38:F38)</f>
        <v/>
      </c>
      <c r="I38" s="18" t="n">
        <v>0</v>
      </c>
      <c r="J38" s="18" t="n">
        <v>0.8303</v>
      </c>
      <c r="K38" s="18" t="n">
        <v>3.8771</v>
      </c>
      <c r="L38" s="18" t="n">
        <v>12.0884</v>
      </c>
      <c r="M38" s="18">
        <f>SUM(I38:L38)</f>
        <v/>
      </c>
      <c r="O38" s="19">
        <f>IFERROR(I38/C38-1,"")</f>
        <v/>
      </c>
      <c r="P38" s="19">
        <f>IFERROR(J38/D38-1,"")</f>
        <v/>
      </c>
      <c r="Q38" s="19">
        <f>IFERROR(K38/E38-1,"")</f>
        <v/>
      </c>
      <c r="R38" s="19">
        <f>IFERROR(L38/F38-1,"")</f>
        <v/>
      </c>
      <c r="S38" s="19">
        <f>IFERROR(M38/G38-1,"")</f>
        <v/>
      </c>
      <c r="U38" s="20" t="n"/>
      <c r="V38" s="20" t="n"/>
      <c r="W38" s="20" t="n"/>
      <c r="X38" s="20">
        <f>IFERROR(W38-V38,"")</f>
        <v/>
      </c>
    </row>
    <row r="41">
      <c r="B41" s="2" t="inlineStr">
        <is>
          <t>◆ Shuffle</t>
        </is>
      </c>
    </row>
    <row r="42">
      <c r="C42" s="3" t="inlineStr">
        <is>
          <t>◄ CURRENT (actuals: data + calc) ►</t>
        </is>
      </c>
      <c r="D42" s="3" t="n"/>
      <c r="E42" s="3" t="n"/>
      <c r="F42" s="3" t="n"/>
      <c r="G42" s="3" t="n"/>
      <c r="I42" s="4" t="inlineStr">
        <is>
          <t>◄ SIMULATED (EcoGainsSim v4) ►</t>
        </is>
      </c>
      <c r="J42" s="4" t="n"/>
      <c r="K42" s="4" t="n"/>
      <c r="L42" s="4" t="n"/>
      <c r="M42" s="4" t="n"/>
      <c r="O42" s="5" t="inlineStr">
        <is>
          <t>Δ</t>
        </is>
      </c>
      <c r="P42" s="5" t="n"/>
      <c r="Q42" s="5" t="n"/>
      <c r="R42" s="5" t="n"/>
      <c r="S42" s="5" t="n"/>
      <c r="U42" s="6" t="inlineStr">
        <is>
          <t>◄ NET / earner (spend held constant) ►</t>
        </is>
      </c>
      <c r="V42" s="6" t="n"/>
      <c r="W42" s="6" t="n"/>
      <c r="X42" s="6" t="n"/>
    </row>
    <row r="43">
      <c r="B43" s="7" t="inlineStr">
        <is>
          <t>Segment</t>
        </is>
      </c>
      <c r="C43" s="8" t="inlineStr">
        <is>
          <t>PAID</t>
        </is>
      </c>
      <c r="D43" s="8" t="inlineStr">
        <is>
          <t>ADS</t>
        </is>
      </c>
      <c r="E43" s="8" t="inlineStr">
        <is>
          <t>CORE</t>
        </is>
      </c>
      <c r="F43" s="8" t="inlineStr">
        <is>
          <t>META</t>
        </is>
      </c>
      <c r="G43" s="8" t="inlineStr">
        <is>
          <t>Total</t>
        </is>
      </c>
      <c r="I43" s="9" t="inlineStr">
        <is>
          <t>PAID</t>
        </is>
      </c>
      <c r="J43" s="9" t="inlineStr">
        <is>
          <t>ADS</t>
        </is>
      </c>
      <c r="K43" s="9" t="inlineStr">
        <is>
          <t>CORE</t>
        </is>
      </c>
      <c r="L43" s="9" t="inlineStr">
        <is>
          <t>META</t>
        </is>
      </c>
      <c r="M43" s="9" t="inlineStr">
        <is>
          <t>Total</t>
        </is>
      </c>
      <c r="O43" s="10" t="inlineStr">
        <is>
          <t>PAID</t>
        </is>
      </c>
      <c r="P43" s="10" t="inlineStr">
        <is>
          <t>ADS</t>
        </is>
      </c>
      <c r="Q43" s="10" t="inlineStr">
        <is>
          <t>CORE</t>
        </is>
      </c>
      <c r="R43" s="10" t="inlineStr">
        <is>
          <t>META</t>
        </is>
      </c>
      <c r="S43" s="10" t="inlineStr">
        <is>
          <t>Total</t>
        </is>
      </c>
      <c r="U43" s="11" t="inlineStr">
        <is>
          <t>cur spend</t>
        </is>
      </c>
      <c r="V43" s="11" t="inlineStr">
        <is>
          <t>cur net</t>
        </is>
      </c>
      <c r="W43" s="11" t="inlineStr">
        <is>
          <t>new net</t>
        </is>
      </c>
      <c r="X43" s="11" t="inlineStr">
        <is>
          <t>net Δ</t>
        </is>
      </c>
    </row>
    <row r="44">
      <c r="B44" s="12" t="inlineStr">
        <is>
          <t>NONPAYER</t>
        </is>
      </c>
    </row>
    <row r="45">
      <c r="B45" s="13" t="inlineStr">
        <is>
          <t>0-9</t>
        </is>
      </c>
      <c r="C45" s="14" t="n">
        <v>0</v>
      </c>
      <c r="D45" s="14" t="n">
        <v>0.6</v>
      </c>
      <c r="E45" s="14" t="n">
        <v>2.49</v>
      </c>
      <c r="F45" s="14" t="n">
        <v>1.7</v>
      </c>
      <c r="G45" s="14">
        <f>SUM(C45:F45)</f>
        <v/>
      </c>
      <c r="I45" s="14" t="n">
        <v>0</v>
      </c>
      <c r="J45" s="14" t="n">
        <v>0.6</v>
      </c>
      <c r="K45" s="14" t="n">
        <v>2.49</v>
      </c>
      <c r="L45" s="14" t="n">
        <v>1.82</v>
      </c>
      <c r="M45" s="14">
        <f>SUM(I45:L45)</f>
        <v/>
      </c>
      <c r="O45" s="15">
        <f>IFERROR(I45/C45-1,"")</f>
        <v/>
      </c>
      <c r="P45" s="15">
        <f>IFERROR(J45/D45-1,"")</f>
        <v/>
      </c>
      <c r="Q45" s="15">
        <f>IFERROR(K45/E45-1,"")</f>
        <v/>
      </c>
      <c r="R45" s="15">
        <f>IFERROR(L45/F45-1,"")</f>
        <v/>
      </c>
      <c r="S45" s="15">
        <f>IFERROR(M45/G45-1,"")</f>
        <v/>
      </c>
      <c r="U45" s="16" t="n"/>
      <c r="V45" s="16" t="n"/>
      <c r="W45" s="16" t="n"/>
      <c r="X45" s="16">
        <f>IFERROR(W45-V45,"")</f>
        <v/>
      </c>
    </row>
    <row r="46">
      <c r="B46" s="13" t="inlineStr">
        <is>
          <t>10-19</t>
        </is>
      </c>
      <c r="C46" s="14" t="n">
        <v>0</v>
      </c>
      <c r="D46" s="14" t="n">
        <v>0.64</v>
      </c>
      <c r="E46" s="14" t="n">
        <v>3.23</v>
      </c>
      <c r="F46" s="14" t="n">
        <v>3.05</v>
      </c>
      <c r="G46" s="14">
        <f>SUM(C46:F46)</f>
        <v/>
      </c>
      <c r="I46" s="14" t="n">
        <v>0</v>
      </c>
      <c r="J46" s="14" t="n">
        <v>0.64</v>
      </c>
      <c r="K46" s="14" t="n">
        <v>3.23</v>
      </c>
      <c r="L46" s="14" t="n">
        <v>4.71</v>
      </c>
      <c r="M46" s="14">
        <f>SUM(I46:L46)</f>
        <v/>
      </c>
      <c r="O46" s="15">
        <f>IFERROR(I46/C46-1,"")</f>
        <v/>
      </c>
      <c r="P46" s="15">
        <f>IFERROR(J46/D46-1,"")</f>
        <v/>
      </c>
      <c r="Q46" s="15">
        <f>IFERROR(K46/E46-1,"")</f>
        <v/>
      </c>
      <c r="R46" s="15">
        <f>IFERROR(L46/F46-1,"")</f>
        <v/>
      </c>
      <c r="S46" s="15">
        <f>IFERROR(M46/G46-1,"")</f>
        <v/>
      </c>
      <c r="U46" s="16" t="n"/>
      <c r="V46" s="16" t="n"/>
      <c r="W46" s="16" t="n"/>
      <c r="X46" s="16">
        <f>IFERROR(W46-V46,"")</f>
        <v/>
      </c>
    </row>
    <row r="47">
      <c r="B47" s="13" t="inlineStr">
        <is>
          <t>20-39</t>
        </is>
      </c>
      <c r="C47" s="14" t="n">
        <v>0</v>
      </c>
      <c r="D47" s="14" t="n">
        <v>0.55</v>
      </c>
      <c r="E47" s="14" t="n">
        <v>4.54</v>
      </c>
      <c r="F47" s="14" t="n">
        <v>4.19</v>
      </c>
      <c r="G47" s="14">
        <f>SUM(C47:F47)</f>
        <v/>
      </c>
      <c r="I47" s="14" t="n">
        <v>0</v>
      </c>
      <c r="J47" s="14" t="n">
        <v>0.55</v>
      </c>
      <c r="K47" s="14" t="n">
        <v>4.54</v>
      </c>
      <c r="L47" s="14" t="n">
        <v>8</v>
      </c>
      <c r="M47" s="14">
        <f>SUM(I47:L47)</f>
        <v/>
      </c>
      <c r="O47" s="15">
        <f>IFERROR(I47/C47-1,"")</f>
        <v/>
      </c>
      <c r="P47" s="15">
        <f>IFERROR(J47/D47-1,"")</f>
        <v/>
      </c>
      <c r="Q47" s="15">
        <f>IFERROR(K47/E47-1,"")</f>
        <v/>
      </c>
      <c r="R47" s="15">
        <f>IFERROR(L47/F47-1,"")</f>
        <v/>
      </c>
      <c r="S47" s="15">
        <f>IFERROR(M47/G47-1,"")</f>
        <v/>
      </c>
      <c r="U47" s="16" t="n"/>
      <c r="V47" s="16" t="n"/>
      <c r="W47" s="16" t="n"/>
      <c r="X47" s="16">
        <f>IFERROR(W47-V47,"")</f>
        <v/>
      </c>
    </row>
    <row r="48">
      <c r="B48" s="13" t="inlineStr">
        <is>
          <t>40-99</t>
        </is>
      </c>
      <c r="C48" s="14" t="n">
        <v>0</v>
      </c>
      <c r="D48" s="14" t="n">
        <v>0.68</v>
      </c>
      <c r="E48" s="14" t="n">
        <v>8.66</v>
      </c>
      <c r="F48" s="14" t="n">
        <v>5.63</v>
      </c>
      <c r="G48" s="14">
        <f>SUM(C48:F48)</f>
        <v/>
      </c>
      <c r="I48" s="14" t="n">
        <v>0</v>
      </c>
      <c r="J48" s="14" t="n">
        <v>0.68</v>
      </c>
      <c r="K48" s="14" t="n">
        <v>8.66</v>
      </c>
      <c r="L48" s="14" t="n">
        <v>13.59</v>
      </c>
      <c r="M48" s="14">
        <f>SUM(I48:L48)</f>
        <v/>
      </c>
      <c r="O48" s="15">
        <f>IFERROR(I48/C48-1,"")</f>
        <v/>
      </c>
      <c r="P48" s="15">
        <f>IFERROR(J48/D48-1,"")</f>
        <v/>
      </c>
      <c r="Q48" s="15">
        <f>IFERROR(K48/E48-1,"")</f>
        <v/>
      </c>
      <c r="R48" s="15">
        <f>IFERROR(L48/F48-1,"")</f>
        <v/>
      </c>
      <c r="S48" s="15">
        <f>IFERROR(M48/G48-1,"")</f>
        <v/>
      </c>
      <c r="U48" s="16" t="n"/>
      <c r="V48" s="16" t="n"/>
      <c r="W48" s="16" t="n"/>
      <c r="X48" s="16">
        <f>IFERROR(W48-V48,"")</f>
        <v/>
      </c>
    </row>
    <row r="49">
      <c r="B49" s="13" t="inlineStr">
        <is>
          <t>100+</t>
        </is>
      </c>
      <c r="C49" s="14" t="n">
        <v>0</v>
      </c>
      <c r="D49" s="14" t="n">
        <v>0.87</v>
      </c>
      <c r="E49" s="14" t="n">
        <v>14.45</v>
      </c>
      <c r="F49" s="14" t="n">
        <v>4.96</v>
      </c>
      <c r="G49" s="14">
        <f>SUM(C49:F49)</f>
        <v/>
      </c>
      <c r="I49" s="14" t="n">
        <v>0</v>
      </c>
      <c r="J49" s="14" t="n">
        <v>0.87</v>
      </c>
      <c r="K49" s="14" t="n">
        <v>14.45</v>
      </c>
      <c r="L49" s="14" t="n">
        <v>16.44</v>
      </c>
      <c r="M49" s="14">
        <f>SUM(I49:L49)</f>
        <v/>
      </c>
      <c r="O49" s="15">
        <f>IFERROR(I49/C49-1,"")</f>
        <v/>
      </c>
      <c r="P49" s="15">
        <f>IFERROR(J49/D49-1,"")</f>
        <v/>
      </c>
      <c r="Q49" s="15">
        <f>IFERROR(K49/E49-1,"")</f>
        <v/>
      </c>
      <c r="R49" s="15">
        <f>IFERROR(L49/F49-1,"")</f>
        <v/>
      </c>
      <c r="S49" s="15">
        <f>IFERROR(M49/G49-1,"")</f>
        <v/>
      </c>
      <c r="U49" s="16" t="n"/>
      <c r="V49" s="16" t="n"/>
      <c r="W49" s="16" t="n"/>
      <c r="X49" s="16">
        <f>IFERROR(W49-V49,"")</f>
        <v/>
      </c>
    </row>
    <row r="50">
      <c r="B50" s="17" t="inlineStr">
        <is>
          <t>overall</t>
        </is>
      </c>
      <c r="C50" s="18" t="n">
        <v>0</v>
      </c>
      <c r="D50" s="18" t="n">
        <v>0.6129</v>
      </c>
      <c r="E50" s="18" t="n">
        <v>3.7261</v>
      </c>
      <c r="F50" s="18" t="n">
        <v>2.8425</v>
      </c>
      <c r="G50" s="18">
        <f>SUM(C50:F50)</f>
        <v/>
      </c>
      <c r="I50" s="18" t="n">
        <v>0</v>
      </c>
      <c r="J50" s="18" t="n">
        <v>0.6129</v>
      </c>
      <c r="K50" s="18" t="n">
        <v>3.7261</v>
      </c>
      <c r="L50" s="18" t="n">
        <v>4.8083</v>
      </c>
      <c r="M50" s="18">
        <f>SUM(I50:L50)</f>
        <v/>
      </c>
      <c r="O50" s="19">
        <f>IFERROR(I50/C50-1,"")</f>
        <v/>
      </c>
      <c r="P50" s="19">
        <f>IFERROR(J50/D50-1,"")</f>
        <v/>
      </c>
      <c r="Q50" s="19">
        <f>IFERROR(K50/E50-1,"")</f>
        <v/>
      </c>
      <c r="R50" s="19">
        <f>IFERROR(L50/F50-1,"")</f>
        <v/>
      </c>
      <c r="S50" s="19">
        <f>IFERROR(M50/G50-1,"")</f>
        <v/>
      </c>
      <c r="U50" s="20" t="n"/>
      <c r="V50" s="20" t="n"/>
      <c r="W50" s="20" t="n"/>
      <c r="X50" s="20">
        <f>IFERROR(W50-V50,"")</f>
        <v/>
      </c>
    </row>
    <row r="51">
      <c r="B51" s="12" t="inlineStr">
        <is>
          <t>PAYER</t>
        </is>
      </c>
    </row>
    <row r="52">
      <c r="B52" s="13" t="inlineStr">
        <is>
          <t>0-9</t>
        </is>
      </c>
      <c r="C52" s="14" t="n">
        <v>0</v>
      </c>
      <c r="D52" s="14" t="n">
        <v>1.03</v>
      </c>
      <c r="E52" s="14" t="n">
        <v>2.82</v>
      </c>
      <c r="F52" s="14" t="n">
        <v>2.52</v>
      </c>
      <c r="G52" s="14">
        <f>SUM(C52:F52)</f>
        <v/>
      </c>
      <c r="I52" s="14" t="n">
        <v>0</v>
      </c>
      <c r="J52" s="14" t="n">
        <v>1.03</v>
      </c>
      <c r="K52" s="14" t="n">
        <v>2.82</v>
      </c>
      <c r="L52" s="14" t="n">
        <v>2.72</v>
      </c>
      <c r="M52" s="14">
        <f>SUM(I52:L52)</f>
        <v/>
      </c>
      <c r="O52" s="15">
        <f>IFERROR(I52/C52-1,"")</f>
        <v/>
      </c>
      <c r="P52" s="15">
        <f>IFERROR(J52/D52-1,"")</f>
        <v/>
      </c>
      <c r="Q52" s="15">
        <f>IFERROR(K52/E52-1,"")</f>
        <v/>
      </c>
      <c r="R52" s="15">
        <f>IFERROR(L52/F52-1,"")</f>
        <v/>
      </c>
      <c r="S52" s="15">
        <f>IFERROR(M52/G52-1,"")</f>
        <v/>
      </c>
      <c r="U52" s="16" t="n"/>
      <c r="V52" s="16" t="n"/>
      <c r="W52" s="16" t="n"/>
      <c r="X52" s="16">
        <f>IFERROR(W52-V52,"")</f>
        <v/>
      </c>
    </row>
    <row r="53">
      <c r="B53" s="13" t="inlineStr">
        <is>
          <t>10-19</t>
        </is>
      </c>
      <c r="C53" s="14" t="n">
        <v>0</v>
      </c>
      <c r="D53" s="14" t="n">
        <v>0.74</v>
      </c>
      <c r="E53" s="14" t="n">
        <v>3.04</v>
      </c>
      <c r="F53" s="14" t="n">
        <v>3.79</v>
      </c>
      <c r="G53" s="14">
        <f>SUM(C53:F53)</f>
        <v/>
      </c>
      <c r="I53" s="14" t="n">
        <v>0</v>
      </c>
      <c r="J53" s="14" t="n">
        <v>0.74</v>
      </c>
      <c r="K53" s="14" t="n">
        <v>3.04</v>
      </c>
      <c r="L53" s="14" t="n">
        <v>5.62</v>
      </c>
      <c r="M53" s="14">
        <f>SUM(I53:L53)</f>
        <v/>
      </c>
      <c r="O53" s="15">
        <f>IFERROR(I53/C53-1,"")</f>
        <v/>
      </c>
      <c r="P53" s="15">
        <f>IFERROR(J53/D53-1,"")</f>
        <v/>
      </c>
      <c r="Q53" s="15">
        <f>IFERROR(K53/E53-1,"")</f>
        <v/>
      </c>
      <c r="R53" s="15">
        <f>IFERROR(L53/F53-1,"")</f>
        <v/>
      </c>
      <c r="S53" s="15">
        <f>IFERROR(M53/G53-1,"")</f>
        <v/>
      </c>
      <c r="U53" s="16" t="n"/>
      <c r="V53" s="16" t="n"/>
      <c r="W53" s="16" t="n"/>
      <c r="X53" s="16">
        <f>IFERROR(W53-V53,"")</f>
        <v/>
      </c>
    </row>
    <row r="54">
      <c r="B54" s="13" t="inlineStr">
        <is>
          <t>20-39</t>
        </is>
      </c>
      <c r="C54" s="14" t="n">
        <v>0</v>
      </c>
      <c r="D54" s="14" t="n">
        <v>0.59</v>
      </c>
      <c r="E54" s="14" t="n">
        <v>4.05</v>
      </c>
      <c r="F54" s="14" t="n">
        <v>4.89</v>
      </c>
      <c r="G54" s="14">
        <f>SUM(C54:F54)</f>
        <v/>
      </c>
      <c r="I54" s="14" t="n">
        <v>0</v>
      </c>
      <c r="J54" s="14" t="n">
        <v>0.59</v>
      </c>
      <c r="K54" s="14" t="n">
        <v>4.05</v>
      </c>
      <c r="L54" s="14" t="n">
        <v>8.720000000000001</v>
      </c>
      <c r="M54" s="14">
        <f>SUM(I54:L54)</f>
        <v/>
      </c>
      <c r="O54" s="15">
        <f>IFERROR(I54/C54-1,"")</f>
        <v/>
      </c>
      <c r="P54" s="15">
        <f>IFERROR(J54/D54-1,"")</f>
        <v/>
      </c>
      <c r="Q54" s="15">
        <f>IFERROR(K54/E54-1,"")</f>
        <v/>
      </c>
      <c r="R54" s="15">
        <f>IFERROR(L54/F54-1,"")</f>
        <v/>
      </c>
      <c r="S54" s="15">
        <f>IFERROR(M54/G54-1,"")</f>
        <v/>
      </c>
      <c r="U54" s="16" t="n"/>
      <c r="V54" s="16" t="n"/>
      <c r="W54" s="16" t="n"/>
      <c r="X54" s="16">
        <f>IFERROR(W54-V54,"")</f>
        <v/>
      </c>
    </row>
    <row r="55">
      <c r="B55" s="13" t="inlineStr">
        <is>
          <t>40-99</t>
        </is>
      </c>
      <c r="C55" s="14" t="n">
        <v>0</v>
      </c>
      <c r="D55" s="14" t="n">
        <v>0.58</v>
      </c>
      <c r="E55" s="14" t="n">
        <v>7.21</v>
      </c>
      <c r="F55" s="14" t="n">
        <v>6.46</v>
      </c>
      <c r="G55" s="14">
        <f>SUM(C55:F55)</f>
        <v/>
      </c>
      <c r="I55" s="14" t="n">
        <v>0</v>
      </c>
      <c r="J55" s="14" t="n">
        <v>0.58</v>
      </c>
      <c r="K55" s="14" t="n">
        <v>7.21</v>
      </c>
      <c r="L55" s="14" t="n">
        <v>13.99</v>
      </c>
      <c r="M55" s="14">
        <f>SUM(I55:L55)</f>
        <v/>
      </c>
      <c r="O55" s="15">
        <f>IFERROR(I55/C55-1,"")</f>
        <v/>
      </c>
      <c r="P55" s="15">
        <f>IFERROR(J55/D55-1,"")</f>
        <v/>
      </c>
      <c r="Q55" s="15">
        <f>IFERROR(K55/E55-1,"")</f>
        <v/>
      </c>
      <c r="R55" s="15">
        <f>IFERROR(L55/F55-1,"")</f>
        <v/>
      </c>
      <c r="S55" s="15">
        <f>IFERROR(M55/G55-1,"")</f>
        <v/>
      </c>
      <c r="U55" s="16" t="n"/>
      <c r="V55" s="16" t="n"/>
      <c r="W55" s="16" t="n"/>
      <c r="X55" s="16">
        <f>IFERROR(W55-V55,"")</f>
        <v/>
      </c>
    </row>
    <row r="56">
      <c r="B56" s="13" t="inlineStr">
        <is>
          <t>100+</t>
        </is>
      </c>
      <c r="C56" s="14" t="n">
        <v>0</v>
      </c>
      <c r="D56" s="14" t="n">
        <v>0.53</v>
      </c>
      <c r="E56" s="14" t="n">
        <v>12.58</v>
      </c>
      <c r="F56" s="14" t="n">
        <v>6.49</v>
      </c>
      <c r="G56" s="14">
        <f>SUM(C56:F56)</f>
        <v/>
      </c>
      <c r="I56" s="14" t="n">
        <v>0</v>
      </c>
      <c r="J56" s="14" t="n">
        <v>0.53</v>
      </c>
      <c r="K56" s="14" t="n">
        <v>12.58</v>
      </c>
      <c r="L56" s="14" t="n">
        <v>19.18</v>
      </c>
      <c r="M56" s="14">
        <f>SUM(I56:L56)</f>
        <v/>
      </c>
      <c r="O56" s="15">
        <f>IFERROR(I56/C56-1,"")</f>
        <v/>
      </c>
      <c r="P56" s="15">
        <f>IFERROR(J56/D56-1,"")</f>
        <v/>
      </c>
      <c r="Q56" s="15">
        <f>IFERROR(K56/E56-1,"")</f>
        <v/>
      </c>
      <c r="R56" s="15">
        <f>IFERROR(L56/F56-1,"")</f>
        <v/>
      </c>
      <c r="S56" s="15">
        <f>IFERROR(M56/G56-1,"")</f>
        <v/>
      </c>
      <c r="U56" s="16" t="n"/>
      <c r="V56" s="16" t="n"/>
      <c r="W56" s="16" t="n"/>
      <c r="X56" s="16">
        <f>IFERROR(W56-V56,"")</f>
        <v/>
      </c>
    </row>
    <row r="57">
      <c r="B57" s="17" t="inlineStr">
        <is>
          <t>overall</t>
        </is>
      </c>
      <c r="C57" s="18" t="n">
        <v>0</v>
      </c>
      <c r="D57" s="18" t="n">
        <v>0.8521</v>
      </c>
      <c r="E57" s="18" t="n">
        <v>3.5244</v>
      </c>
      <c r="F57" s="18" t="n">
        <v>3.5445</v>
      </c>
      <c r="G57" s="18">
        <f>SUM(C57:F57)</f>
        <v/>
      </c>
      <c r="I57" s="18" t="n">
        <v>0</v>
      </c>
      <c r="J57" s="18" t="n">
        <v>0.8521</v>
      </c>
      <c r="K57" s="18" t="n">
        <v>3.5244</v>
      </c>
      <c r="L57" s="18" t="n">
        <v>5.4169</v>
      </c>
      <c r="M57" s="18">
        <f>SUM(I57:L57)</f>
        <v/>
      </c>
      <c r="O57" s="19">
        <f>IFERROR(I57/C57-1,"")</f>
        <v/>
      </c>
      <c r="P57" s="19">
        <f>IFERROR(J57/D57-1,"")</f>
        <v/>
      </c>
      <c r="Q57" s="19">
        <f>IFERROR(K57/E57-1,"")</f>
        <v/>
      </c>
      <c r="R57" s="19">
        <f>IFERROR(L57/F57-1,"")</f>
        <v/>
      </c>
      <c r="S57" s="19">
        <f>IFERROR(M57/G57-1,"")</f>
        <v/>
      </c>
      <c r="U57" s="20" t="n"/>
      <c r="V57" s="20" t="n"/>
      <c r="W57" s="20" t="n"/>
      <c r="X57" s="20">
        <f>IFERROR(W57-V57,"")</f>
        <v/>
      </c>
    </row>
    <row r="60">
      <c r="B60" s="2" t="inlineStr">
        <is>
          <t>◆ Comet</t>
        </is>
      </c>
    </row>
    <row r="61">
      <c r="C61" s="3" t="inlineStr">
        <is>
          <t>◄ CURRENT (actuals: data + calc) ►</t>
        </is>
      </c>
      <c r="D61" s="3" t="n"/>
      <c r="E61" s="3" t="n"/>
      <c r="F61" s="3" t="n"/>
      <c r="G61" s="3" t="n"/>
      <c r="I61" s="4" t="inlineStr">
        <is>
          <t>◄ SIMULATED (EcoGainsSim v4) ►</t>
        </is>
      </c>
      <c r="J61" s="4" t="n"/>
      <c r="K61" s="4" t="n"/>
      <c r="L61" s="4" t="n"/>
      <c r="M61" s="4" t="n"/>
      <c r="O61" s="5" t="inlineStr">
        <is>
          <t>Δ</t>
        </is>
      </c>
      <c r="P61" s="5" t="n"/>
      <c r="Q61" s="5" t="n"/>
      <c r="R61" s="5" t="n"/>
      <c r="S61" s="5" t="n"/>
      <c r="U61" s="6" t="inlineStr">
        <is>
          <t>◄ NET / earner (spend held constant) ►</t>
        </is>
      </c>
      <c r="V61" s="6" t="n"/>
      <c r="W61" s="6" t="n"/>
      <c r="X61" s="6" t="n"/>
    </row>
    <row r="62">
      <c r="B62" s="7" t="inlineStr">
        <is>
          <t>Segment</t>
        </is>
      </c>
      <c r="C62" s="8" t="inlineStr">
        <is>
          <t>PAID</t>
        </is>
      </c>
      <c r="D62" s="8" t="inlineStr">
        <is>
          <t>ADS</t>
        </is>
      </c>
      <c r="E62" s="8" t="inlineStr">
        <is>
          <t>CORE</t>
        </is>
      </c>
      <c r="F62" s="8" t="inlineStr">
        <is>
          <t>META</t>
        </is>
      </c>
      <c r="G62" s="8" t="inlineStr">
        <is>
          <t>Total</t>
        </is>
      </c>
      <c r="I62" s="9" t="inlineStr">
        <is>
          <t>PAID</t>
        </is>
      </c>
      <c r="J62" s="9" t="inlineStr">
        <is>
          <t>ADS</t>
        </is>
      </c>
      <c r="K62" s="9" t="inlineStr">
        <is>
          <t>CORE</t>
        </is>
      </c>
      <c r="L62" s="9" t="inlineStr">
        <is>
          <t>META</t>
        </is>
      </c>
      <c r="M62" s="9" t="inlineStr">
        <is>
          <t>Total</t>
        </is>
      </c>
      <c r="O62" s="10" t="inlineStr">
        <is>
          <t>PAID</t>
        </is>
      </c>
      <c r="P62" s="10" t="inlineStr">
        <is>
          <t>ADS</t>
        </is>
      </c>
      <c r="Q62" s="10" t="inlineStr">
        <is>
          <t>CORE</t>
        </is>
      </c>
      <c r="R62" s="10" t="inlineStr">
        <is>
          <t>META</t>
        </is>
      </c>
      <c r="S62" s="10" t="inlineStr">
        <is>
          <t>Total</t>
        </is>
      </c>
      <c r="U62" s="11" t="inlineStr">
        <is>
          <t>cur spend</t>
        </is>
      </c>
      <c r="V62" s="11" t="inlineStr">
        <is>
          <t>cur net</t>
        </is>
      </c>
      <c r="W62" s="11" t="inlineStr">
        <is>
          <t>new net</t>
        </is>
      </c>
      <c r="X62" s="11" t="inlineStr">
        <is>
          <t>net Δ</t>
        </is>
      </c>
    </row>
    <row r="63">
      <c r="B63" s="12" t="inlineStr">
        <is>
          <t>NONPAYER</t>
        </is>
      </c>
    </row>
    <row r="64">
      <c r="B64" s="13" t="inlineStr">
        <is>
          <t>0-9</t>
        </is>
      </c>
      <c r="C64" s="14" t="n">
        <v>0</v>
      </c>
      <c r="D64" s="14" t="n">
        <v>0.36</v>
      </c>
      <c r="E64" s="14" t="n">
        <v>1.07</v>
      </c>
      <c r="F64" s="14" t="n">
        <v>1.34</v>
      </c>
      <c r="G64" s="14">
        <f>SUM(C64:F64)</f>
        <v/>
      </c>
      <c r="I64" s="14" t="n">
        <v>0</v>
      </c>
      <c r="J64" s="14" t="n">
        <v>0.36</v>
      </c>
      <c r="K64" s="14" t="n">
        <v>1.07</v>
      </c>
      <c r="L64" s="14" t="n">
        <v>1.24</v>
      </c>
      <c r="M64" s="14">
        <f>SUM(I64:L64)</f>
        <v/>
      </c>
      <c r="O64" s="15">
        <f>IFERROR(I64/C64-1,"")</f>
        <v/>
      </c>
      <c r="P64" s="15">
        <f>IFERROR(J64/D64-1,"")</f>
        <v/>
      </c>
      <c r="Q64" s="15">
        <f>IFERROR(K64/E64-1,"")</f>
        <v/>
      </c>
      <c r="R64" s="15">
        <f>IFERROR(L64/F64-1,"")</f>
        <v/>
      </c>
      <c r="S64" s="15">
        <f>IFERROR(M64/G64-1,"")</f>
        <v/>
      </c>
      <c r="U64" s="16" t="n"/>
      <c r="V64" s="16" t="n"/>
      <c r="W64" s="16" t="n"/>
      <c r="X64" s="16">
        <f>IFERROR(W64-V64,"")</f>
        <v/>
      </c>
    </row>
    <row r="65">
      <c r="B65" s="13" t="inlineStr">
        <is>
          <t>10-19</t>
        </is>
      </c>
      <c r="C65" s="14" t="n">
        <v>0</v>
      </c>
      <c r="D65" s="14" t="n">
        <v>0.36</v>
      </c>
      <c r="E65" s="14" t="n">
        <v>1.57</v>
      </c>
      <c r="F65" s="14" t="n">
        <v>1.67</v>
      </c>
      <c r="G65" s="14">
        <f>SUM(C65:F65)</f>
        <v/>
      </c>
      <c r="I65" s="14" t="n">
        <v>0</v>
      </c>
      <c r="J65" s="14" t="n">
        <v>0.36</v>
      </c>
      <c r="K65" s="14" t="n">
        <v>1.57</v>
      </c>
      <c r="L65" s="14" t="n">
        <v>1.99</v>
      </c>
      <c r="M65" s="14">
        <f>SUM(I65:L65)</f>
        <v/>
      </c>
      <c r="O65" s="15">
        <f>IFERROR(I65/C65-1,"")</f>
        <v/>
      </c>
      <c r="P65" s="15">
        <f>IFERROR(J65/D65-1,"")</f>
        <v/>
      </c>
      <c r="Q65" s="15">
        <f>IFERROR(K65/E65-1,"")</f>
        <v/>
      </c>
      <c r="R65" s="15">
        <f>IFERROR(L65/F65-1,"")</f>
        <v/>
      </c>
      <c r="S65" s="15">
        <f>IFERROR(M65/G65-1,"")</f>
        <v/>
      </c>
      <c r="U65" s="16" t="n"/>
      <c r="V65" s="16" t="n"/>
      <c r="W65" s="16" t="n"/>
      <c r="X65" s="16">
        <f>IFERROR(W65-V65,"")</f>
        <v/>
      </c>
    </row>
    <row r="66">
      <c r="B66" s="13" t="inlineStr">
        <is>
          <t>20-39</t>
        </is>
      </c>
      <c r="C66" s="14" t="n">
        <v>0</v>
      </c>
      <c r="D66" s="14" t="n">
        <v>0.3</v>
      </c>
      <c r="E66" s="14" t="n">
        <v>2.26</v>
      </c>
      <c r="F66" s="14" t="n">
        <v>2.3</v>
      </c>
      <c r="G66" s="14">
        <f>SUM(C66:F66)</f>
        <v/>
      </c>
      <c r="I66" s="14" t="n">
        <v>0</v>
      </c>
      <c r="J66" s="14" t="n">
        <v>0.3</v>
      </c>
      <c r="K66" s="14" t="n">
        <v>2.26</v>
      </c>
      <c r="L66" s="14" t="n">
        <v>3.8</v>
      </c>
      <c r="M66" s="14">
        <f>SUM(I66:L66)</f>
        <v/>
      </c>
      <c r="O66" s="15">
        <f>IFERROR(I66/C66-1,"")</f>
        <v/>
      </c>
      <c r="P66" s="15">
        <f>IFERROR(J66/D66-1,"")</f>
        <v/>
      </c>
      <c r="Q66" s="15">
        <f>IFERROR(K66/E66-1,"")</f>
        <v/>
      </c>
      <c r="R66" s="15">
        <f>IFERROR(L66/F66-1,"")</f>
        <v/>
      </c>
      <c r="S66" s="15">
        <f>IFERROR(M66/G66-1,"")</f>
        <v/>
      </c>
      <c r="U66" s="16" t="n"/>
      <c r="V66" s="16" t="n"/>
      <c r="W66" s="16" t="n"/>
      <c r="X66" s="16">
        <f>IFERROR(W66-V66,"")</f>
        <v/>
      </c>
    </row>
    <row r="67">
      <c r="B67" s="13" t="inlineStr">
        <is>
          <t>40-99</t>
        </is>
      </c>
      <c r="C67" s="14" t="n">
        <v>0</v>
      </c>
      <c r="D67" s="14" t="n">
        <v>0.33</v>
      </c>
      <c r="E67" s="14" t="n">
        <v>4.14</v>
      </c>
      <c r="F67" s="14" t="n">
        <v>4.23</v>
      </c>
      <c r="G67" s="14">
        <f>SUM(C67:F67)</f>
        <v/>
      </c>
      <c r="I67" s="14" t="n">
        <v>0</v>
      </c>
      <c r="J67" s="14" t="n">
        <v>0.33</v>
      </c>
      <c r="K67" s="14" t="n">
        <v>4.14</v>
      </c>
      <c r="L67" s="14" t="n">
        <v>10.11</v>
      </c>
      <c r="M67" s="14">
        <f>SUM(I67:L67)</f>
        <v/>
      </c>
      <c r="O67" s="15">
        <f>IFERROR(I67/C67-1,"")</f>
        <v/>
      </c>
      <c r="P67" s="15">
        <f>IFERROR(J67/D67-1,"")</f>
        <v/>
      </c>
      <c r="Q67" s="15">
        <f>IFERROR(K67/E67-1,"")</f>
        <v/>
      </c>
      <c r="R67" s="15">
        <f>IFERROR(L67/F67-1,"")</f>
        <v/>
      </c>
      <c r="S67" s="15">
        <f>IFERROR(M67/G67-1,"")</f>
        <v/>
      </c>
      <c r="U67" s="16" t="n"/>
      <c r="V67" s="16" t="n"/>
      <c r="W67" s="16" t="n"/>
      <c r="X67" s="16">
        <f>IFERROR(W67-V67,"")</f>
        <v/>
      </c>
    </row>
    <row r="68">
      <c r="B68" s="13" t="inlineStr">
        <is>
          <t>100+</t>
        </is>
      </c>
      <c r="C68" s="14" t="n">
        <v>0</v>
      </c>
      <c r="D68" s="14" t="n">
        <v>0.41</v>
      </c>
      <c r="E68" s="14" t="n">
        <v>6.52</v>
      </c>
      <c r="F68" s="14" t="n">
        <v>4.82</v>
      </c>
      <c r="G68" s="14">
        <f>SUM(C68:F68)</f>
        <v/>
      </c>
      <c r="I68" s="14" t="n">
        <v>0</v>
      </c>
      <c r="J68" s="14" t="n">
        <v>0.41</v>
      </c>
      <c r="K68" s="14" t="n">
        <v>6.52</v>
      </c>
      <c r="L68" s="14" t="n">
        <v>15.17</v>
      </c>
      <c r="M68" s="14">
        <f>SUM(I68:L68)</f>
        <v/>
      </c>
      <c r="O68" s="15">
        <f>IFERROR(I68/C68-1,"")</f>
        <v/>
      </c>
      <c r="P68" s="15">
        <f>IFERROR(J68/D68-1,"")</f>
        <v/>
      </c>
      <c r="Q68" s="15">
        <f>IFERROR(K68/E68-1,"")</f>
        <v/>
      </c>
      <c r="R68" s="15">
        <f>IFERROR(L68/F68-1,"")</f>
        <v/>
      </c>
      <c r="S68" s="15">
        <f>IFERROR(M68/G68-1,"")</f>
        <v/>
      </c>
      <c r="U68" s="16" t="n"/>
      <c r="V68" s="16" t="n"/>
      <c r="W68" s="16" t="n"/>
      <c r="X68" s="16">
        <f>IFERROR(W68-V68,"")</f>
        <v/>
      </c>
    </row>
    <row r="69">
      <c r="B69" s="17" t="inlineStr">
        <is>
          <t>overall</t>
        </is>
      </c>
      <c r="C69" s="18" t="n">
        <v>0</v>
      </c>
      <c r="D69" s="18" t="n">
        <v>0.3483</v>
      </c>
      <c r="E69" s="18" t="n">
        <v>1.7393</v>
      </c>
      <c r="F69" s="18" t="n">
        <v>1.8839</v>
      </c>
      <c r="G69" s="18">
        <f>SUM(C69:F69)</f>
        <v/>
      </c>
      <c r="I69" s="18" t="n">
        <v>0</v>
      </c>
      <c r="J69" s="18" t="n">
        <v>0.3483</v>
      </c>
      <c r="K69" s="18" t="n">
        <v>1.7393</v>
      </c>
      <c r="L69" s="18" t="n">
        <v>2.8262</v>
      </c>
      <c r="M69" s="18">
        <f>SUM(I69:L69)</f>
        <v/>
      </c>
      <c r="O69" s="19">
        <f>IFERROR(I69/C69-1,"")</f>
        <v/>
      </c>
      <c r="P69" s="19">
        <f>IFERROR(J69/D69-1,"")</f>
        <v/>
      </c>
      <c r="Q69" s="19">
        <f>IFERROR(K69/E69-1,"")</f>
        <v/>
      </c>
      <c r="R69" s="19">
        <f>IFERROR(L69/F69-1,"")</f>
        <v/>
      </c>
      <c r="S69" s="19">
        <f>IFERROR(M69/G69-1,"")</f>
        <v/>
      </c>
      <c r="U69" s="20" t="n"/>
      <c r="V69" s="20" t="n"/>
      <c r="W69" s="20" t="n"/>
      <c r="X69" s="20">
        <f>IFERROR(W69-V69,"")</f>
        <v/>
      </c>
    </row>
    <row r="70">
      <c r="B70" s="12" t="inlineStr">
        <is>
          <t>PAYER</t>
        </is>
      </c>
    </row>
    <row r="71">
      <c r="B71" s="13" t="inlineStr">
        <is>
          <t>0-9</t>
        </is>
      </c>
      <c r="C71" s="14" t="n">
        <v>0</v>
      </c>
      <c r="D71" s="14" t="n">
        <v>0.57</v>
      </c>
      <c r="E71" s="14" t="n">
        <v>1.08</v>
      </c>
      <c r="F71" s="14" t="n">
        <v>2</v>
      </c>
      <c r="G71" s="14">
        <f>SUM(C71:F71)</f>
        <v/>
      </c>
      <c r="I71" s="14" t="n">
        <v>0</v>
      </c>
      <c r="J71" s="14" t="n">
        <v>0.57</v>
      </c>
      <c r="K71" s="14" t="n">
        <v>1.08</v>
      </c>
      <c r="L71" s="14" t="n">
        <v>1.89</v>
      </c>
      <c r="M71" s="14">
        <f>SUM(I71:L71)</f>
        <v/>
      </c>
      <c r="O71" s="15">
        <f>IFERROR(I71/C71-1,"")</f>
        <v/>
      </c>
      <c r="P71" s="15">
        <f>IFERROR(J71/D71-1,"")</f>
        <v/>
      </c>
      <c r="Q71" s="15">
        <f>IFERROR(K71/E71-1,"")</f>
        <v/>
      </c>
      <c r="R71" s="15">
        <f>IFERROR(L71/F71-1,"")</f>
        <v/>
      </c>
      <c r="S71" s="15">
        <f>IFERROR(M71/G71-1,"")</f>
        <v/>
      </c>
      <c r="U71" s="16" t="n"/>
      <c r="V71" s="16" t="n"/>
      <c r="W71" s="16" t="n"/>
      <c r="X71" s="16">
        <f>IFERROR(W71-V71,"")</f>
        <v/>
      </c>
    </row>
    <row r="72">
      <c r="B72" s="13" t="inlineStr">
        <is>
          <t>10-19</t>
        </is>
      </c>
      <c r="C72" s="14" t="n">
        <v>0</v>
      </c>
      <c r="D72" s="14" t="n">
        <v>0.41</v>
      </c>
      <c r="E72" s="14" t="n">
        <v>1.42</v>
      </c>
      <c r="F72" s="14" t="n">
        <v>2.48</v>
      </c>
      <c r="G72" s="14">
        <f>SUM(C72:F72)</f>
        <v/>
      </c>
      <c r="I72" s="14" t="n">
        <v>0</v>
      </c>
      <c r="J72" s="14" t="n">
        <v>0.41</v>
      </c>
      <c r="K72" s="14" t="n">
        <v>1.42</v>
      </c>
      <c r="L72" s="14" t="n">
        <v>2.81</v>
      </c>
      <c r="M72" s="14">
        <f>SUM(I72:L72)</f>
        <v/>
      </c>
      <c r="O72" s="15">
        <f>IFERROR(I72/C72-1,"")</f>
        <v/>
      </c>
      <c r="P72" s="15">
        <f>IFERROR(J72/D72-1,"")</f>
        <v/>
      </c>
      <c r="Q72" s="15">
        <f>IFERROR(K72/E72-1,"")</f>
        <v/>
      </c>
      <c r="R72" s="15">
        <f>IFERROR(L72/F72-1,"")</f>
        <v/>
      </c>
      <c r="S72" s="15">
        <f>IFERROR(M72/G72-1,"")</f>
        <v/>
      </c>
      <c r="U72" s="16" t="n"/>
      <c r="V72" s="16" t="n"/>
      <c r="W72" s="16" t="n"/>
      <c r="X72" s="16">
        <f>IFERROR(W72-V72,"")</f>
        <v/>
      </c>
    </row>
    <row r="73">
      <c r="B73" s="13" t="inlineStr">
        <is>
          <t>20-39</t>
        </is>
      </c>
      <c r="C73" s="14" t="n">
        <v>0</v>
      </c>
      <c r="D73" s="14" t="n">
        <v>0.31</v>
      </c>
      <c r="E73" s="14" t="n">
        <v>1.98</v>
      </c>
      <c r="F73" s="14" t="n">
        <v>3.26</v>
      </c>
      <c r="G73" s="14">
        <f>SUM(C73:F73)</f>
        <v/>
      </c>
      <c r="I73" s="14" t="n">
        <v>0</v>
      </c>
      <c r="J73" s="14" t="n">
        <v>0.31</v>
      </c>
      <c r="K73" s="14" t="n">
        <v>1.98</v>
      </c>
      <c r="L73" s="14" t="n">
        <v>4.66</v>
      </c>
      <c r="M73" s="14">
        <f>SUM(I73:L73)</f>
        <v/>
      </c>
      <c r="O73" s="15">
        <f>IFERROR(I73/C73-1,"")</f>
        <v/>
      </c>
      <c r="P73" s="15">
        <f>IFERROR(J73/D73-1,"")</f>
        <v/>
      </c>
      <c r="Q73" s="15">
        <f>IFERROR(K73/E73-1,"")</f>
        <v/>
      </c>
      <c r="R73" s="15">
        <f>IFERROR(L73/F73-1,"")</f>
        <v/>
      </c>
      <c r="S73" s="15">
        <f>IFERROR(M73/G73-1,"")</f>
        <v/>
      </c>
      <c r="U73" s="16" t="n"/>
      <c r="V73" s="16" t="n"/>
      <c r="W73" s="16" t="n"/>
      <c r="X73" s="16">
        <f>IFERROR(W73-V73,"")</f>
        <v/>
      </c>
    </row>
    <row r="74">
      <c r="B74" s="13" t="inlineStr">
        <is>
          <t>40-99</t>
        </is>
      </c>
      <c r="C74" s="14" t="n">
        <v>0</v>
      </c>
      <c r="D74" s="14" t="n">
        <v>0.29</v>
      </c>
      <c r="E74" s="14" t="n">
        <v>3.42</v>
      </c>
      <c r="F74" s="14" t="n">
        <v>5.1</v>
      </c>
      <c r="G74" s="14">
        <f>SUM(C74:F74)</f>
        <v/>
      </c>
      <c r="I74" s="14" t="n">
        <v>0</v>
      </c>
      <c r="J74" s="14" t="n">
        <v>0.29</v>
      </c>
      <c r="K74" s="14" t="n">
        <v>3.42</v>
      </c>
      <c r="L74" s="14" t="n">
        <v>10.5</v>
      </c>
      <c r="M74" s="14">
        <f>SUM(I74:L74)</f>
        <v/>
      </c>
      <c r="O74" s="15">
        <f>IFERROR(I74/C74-1,"")</f>
        <v/>
      </c>
      <c r="P74" s="15">
        <f>IFERROR(J74/D74-1,"")</f>
        <v/>
      </c>
      <c r="Q74" s="15">
        <f>IFERROR(K74/E74-1,"")</f>
        <v/>
      </c>
      <c r="R74" s="15">
        <f>IFERROR(L74/F74-1,"")</f>
        <v/>
      </c>
      <c r="S74" s="15">
        <f>IFERROR(M74/G74-1,"")</f>
        <v/>
      </c>
      <c r="U74" s="16" t="n"/>
      <c r="V74" s="16" t="n"/>
      <c r="W74" s="16" t="n"/>
      <c r="X74" s="16">
        <f>IFERROR(W74-V74,"")</f>
        <v/>
      </c>
    </row>
    <row r="75">
      <c r="B75" s="13" t="inlineStr">
        <is>
          <t>100+</t>
        </is>
      </c>
      <c r="C75" s="14" t="n">
        <v>0</v>
      </c>
      <c r="D75" s="14" t="n">
        <v>0.23</v>
      </c>
      <c r="E75" s="14" t="n">
        <v>5.75</v>
      </c>
      <c r="F75" s="14" t="n">
        <v>6.03</v>
      </c>
      <c r="G75" s="14">
        <f>SUM(C75:F75)</f>
        <v/>
      </c>
      <c r="I75" s="14" t="n">
        <v>0</v>
      </c>
      <c r="J75" s="14" t="n">
        <v>0.23</v>
      </c>
      <c r="K75" s="14" t="n">
        <v>5.75</v>
      </c>
      <c r="L75" s="14" t="n">
        <v>17.3</v>
      </c>
      <c r="M75" s="14">
        <f>SUM(I75:L75)</f>
        <v/>
      </c>
      <c r="O75" s="15">
        <f>IFERROR(I75/C75-1,"")</f>
        <v/>
      </c>
      <c r="P75" s="15">
        <f>IFERROR(J75/D75-1,"")</f>
        <v/>
      </c>
      <c r="Q75" s="15">
        <f>IFERROR(K75/E75-1,"")</f>
        <v/>
      </c>
      <c r="R75" s="15">
        <f>IFERROR(L75/F75-1,"")</f>
        <v/>
      </c>
      <c r="S75" s="15">
        <f>IFERROR(M75/G75-1,"")</f>
        <v/>
      </c>
      <c r="U75" s="16" t="n"/>
      <c r="V75" s="16" t="n"/>
      <c r="W75" s="16" t="n"/>
      <c r="X75" s="16">
        <f>IFERROR(W75-V75,"")</f>
        <v/>
      </c>
    </row>
    <row r="76">
      <c r="B76" s="17" t="inlineStr">
        <is>
          <t>overall</t>
        </is>
      </c>
      <c r="C76" s="18" t="n">
        <v>0</v>
      </c>
      <c r="D76" s="18" t="n">
        <v>0.466</v>
      </c>
      <c r="E76" s="18" t="n">
        <v>1.5395</v>
      </c>
      <c r="F76" s="18" t="n">
        <v>2.6009</v>
      </c>
      <c r="G76" s="18">
        <f>SUM(C76:F76)</f>
        <v/>
      </c>
      <c r="I76" s="18" t="n">
        <v>0</v>
      </c>
      <c r="J76" s="18" t="n">
        <v>0.466</v>
      </c>
      <c r="K76" s="18" t="n">
        <v>1.5395</v>
      </c>
      <c r="L76" s="18" t="n">
        <v>3.3985</v>
      </c>
      <c r="M76" s="18">
        <f>SUM(I76:L76)</f>
        <v/>
      </c>
      <c r="O76" s="19">
        <f>IFERROR(I76/C76-1,"")</f>
        <v/>
      </c>
      <c r="P76" s="19">
        <f>IFERROR(J76/D76-1,"")</f>
        <v/>
      </c>
      <c r="Q76" s="19">
        <f>IFERROR(K76/E76-1,"")</f>
        <v/>
      </c>
      <c r="R76" s="19">
        <f>IFERROR(L76/F76-1,"")</f>
        <v/>
      </c>
      <c r="S76" s="19">
        <f>IFERROR(M76/G76-1,"")</f>
        <v/>
      </c>
      <c r="U76" s="20" t="n"/>
      <c r="V76" s="20" t="n"/>
      <c r="W76" s="20" t="n"/>
      <c r="X76" s="20">
        <f>IFERROR(W76-V76,"")</f>
        <v/>
      </c>
    </row>
    <row r="79">
      <c r="B79" s="2" t="inlineStr">
        <is>
          <t>◆ Red</t>
        </is>
      </c>
    </row>
    <row r="80">
      <c r="C80" s="3" t="inlineStr">
        <is>
          <t>◄ CURRENT (actuals: data + calc) ►</t>
        </is>
      </c>
      <c r="D80" s="3" t="n"/>
      <c r="E80" s="3" t="n"/>
      <c r="F80" s="3" t="n"/>
      <c r="G80" s="3" t="n"/>
      <c r="I80" s="4" t="inlineStr">
        <is>
          <t>◄ SIMULATED (EcoGainsSim v4) ►</t>
        </is>
      </c>
      <c r="J80" s="4" t="n"/>
      <c r="K80" s="4" t="n"/>
      <c r="L80" s="4" t="n"/>
      <c r="M80" s="4" t="n"/>
      <c r="O80" s="5" t="inlineStr">
        <is>
          <t>Δ</t>
        </is>
      </c>
      <c r="P80" s="5" t="n"/>
      <c r="Q80" s="5" t="n"/>
      <c r="R80" s="5" t="n"/>
      <c r="S80" s="5" t="n"/>
      <c r="U80" s="6" t="inlineStr">
        <is>
          <t>◄ NET / earner (spend held constant) ►</t>
        </is>
      </c>
      <c r="V80" s="6" t="n"/>
      <c r="W80" s="6" t="n"/>
      <c r="X80" s="6" t="n"/>
    </row>
    <row r="81">
      <c r="B81" s="7" t="inlineStr">
        <is>
          <t>Segment</t>
        </is>
      </c>
      <c r="C81" s="8" t="inlineStr">
        <is>
          <t>PAID</t>
        </is>
      </c>
      <c r="D81" s="8" t="inlineStr">
        <is>
          <t>ADS</t>
        </is>
      </c>
      <c r="E81" s="8" t="inlineStr">
        <is>
          <t>CORE</t>
        </is>
      </c>
      <c r="F81" s="8" t="inlineStr">
        <is>
          <t>META</t>
        </is>
      </c>
      <c r="G81" s="8" t="inlineStr">
        <is>
          <t>Total</t>
        </is>
      </c>
      <c r="I81" s="9" t="inlineStr">
        <is>
          <t>PAID</t>
        </is>
      </c>
      <c r="J81" s="9" t="inlineStr">
        <is>
          <t>ADS</t>
        </is>
      </c>
      <c r="K81" s="9" t="inlineStr">
        <is>
          <t>CORE</t>
        </is>
      </c>
      <c r="L81" s="9" t="inlineStr">
        <is>
          <t>META</t>
        </is>
      </c>
      <c r="M81" s="9" t="inlineStr">
        <is>
          <t>Total</t>
        </is>
      </c>
      <c r="O81" s="10" t="inlineStr">
        <is>
          <t>PAID</t>
        </is>
      </c>
      <c r="P81" s="10" t="inlineStr">
        <is>
          <t>ADS</t>
        </is>
      </c>
      <c r="Q81" s="10" t="inlineStr">
        <is>
          <t>CORE</t>
        </is>
      </c>
      <c r="R81" s="10" t="inlineStr">
        <is>
          <t>META</t>
        </is>
      </c>
      <c r="S81" s="10" t="inlineStr">
        <is>
          <t>Total</t>
        </is>
      </c>
      <c r="U81" s="11" t="inlineStr">
        <is>
          <t>cur spend</t>
        </is>
      </c>
      <c r="V81" s="11" t="inlineStr">
        <is>
          <t>cur net</t>
        </is>
      </c>
      <c r="W81" s="11" t="inlineStr">
        <is>
          <t>new net</t>
        </is>
      </c>
      <c r="X81" s="11" t="inlineStr">
        <is>
          <t>net Δ</t>
        </is>
      </c>
    </row>
    <row r="82">
      <c r="B82" s="12" t="inlineStr">
        <is>
          <t>NONPAYER</t>
        </is>
      </c>
    </row>
    <row r="83">
      <c r="B83" s="13" t="inlineStr">
        <is>
          <t>0-9</t>
        </is>
      </c>
      <c r="C83" s="14" t="n">
        <v>0</v>
      </c>
      <c r="D83" s="14" t="n">
        <v>0</v>
      </c>
      <c r="E83" s="14" t="n">
        <v>1.98</v>
      </c>
      <c r="F83" s="14" t="n">
        <v>3.96</v>
      </c>
      <c r="G83" s="14">
        <f>SUM(C83:F83)</f>
        <v/>
      </c>
      <c r="I83" s="14" t="n">
        <v>0</v>
      </c>
      <c r="J83" s="14" t="n">
        <v>0</v>
      </c>
      <c r="K83" s="14" t="n">
        <v>4.12</v>
      </c>
      <c r="L83" s="14" t="n">
        <v>9.17</v>
      </c>
      <c r="M83" s="14">
        <f>SUM(I83:L83)</f>
        <v/>
      </c>
      <c r="O83" s="15">
        <f>IFERROR(I83/C83-1,"")</f>
        <v/>
      </c>
      <c r="P83" s="15">
        <f>IFERROR(J83/D83-1,"")</f>
        <v/>
      </c>
      <c r="Q83" s="15">
        <f>IFERROR(K83/E83-1,"")</f>
        <v/>
      </c>
      <c r="R83" s="15">
        <f>IFERROR(L83/F83-1,"")</f>
        <v/>
      </c>
      <c r="S83" s="15">
        <f>IFERROR(M83/G83-1,"")</f>
        <v/>
      </c>
      <c r="U83" s="16" t="n"/>
      <c r="V83" s="16" t="n"/>
      <c r="W83" s="16" t="n"/>
      <c r="X83" s="16">
        <f>IFERROR(W83-V83,"")</f>
        <v/>
      </c>
    </row>
    <row r="84">
      <c r="B84" s="13" t="inlineStr">
        <is>
          <t>10-19</t>
        </is>
      </c>
      <c r="C84" s="14" t="n">
        <v>0</v>
      </c>
      <c r="D84" s="14" t="n">
        <v>0</v>
      </c>
      <c r="E84" s="14" t="n">
        <v>4.08</v>
      </c>
      <c r="F84" s="14" t="n">
        <v>4.61</v>
      </c>
      <c r="G84" s="14">
        <f>SUM(C84:F84)</f>
        <v/>
      </c>
      <c r="I84" s="14" t="n">
        <v>0</v>
      </c>
      <c r="J84" s="14" t="n">
        <v>0</v>
      </c>
      <c r="K84" s="14" t="n">
        <v>6.4</v>
      </c>
      <c r="L84" s="14" t="n">
        <v>14.64</v>
      </c>
      <c r="M84" s="14">
        <f>SUM(I84:L84)</f>
        <v/>
      </c>
      <c r="O84" s="15">
        <f>IFERROR(I84/C84-1,"")</f>
        <v/>
      </c>
      <c r="P84" s="15">
        <f>IFERROR(J84/D84-1,"")</f>
        <v/>
      </c>
      <c r="Q84" s="15">
        <f>IFERROR(K84/E84-1,"")</f>
        <v/>
      </c>
      <c r="R84" s="15">
        <f>IFERROR(L84/F84-1,"")</f>
        <v/>
      </c>
      <c r="S84" s="15">
        <f>IFERROR(M84/G84-1,"")</f>
        <v/>
      </c>
      <c r="U84" s="16" t="n"/>
      <c r="V84" s="16" t="n"/>
      <c r="W84" s="16" t="n"/>
      <c r="X84" s="16">
        <f>IFERROR(W84-V84,"")</f>
        <v/>
      </c>
    </row>
    <row r="85">
      <c r="B85" s="13" t="inlineStr">
        <is>
          <t>20-39</t>
        </is>
      </c>
      <c r="C85" s="14" t="n">
        <v>0</v>
      </c>
      <c r="D85" s="14" t="n">
        <v>0</v>
      </c>
      <c r="E85" s="14" t="n">
        <v>6.81</v>
      </c>
      <c r="F85" s="14" t="n">
        <v>5.45</v>
      </c>
      <c r="G85" s="14">
        <f>SUM(C85:F85)</f>
        <v/>
      </c>
      <c r="I85" s="14" t="n">
        <v>0</v>
      </c>
      <c r="J85" s="14" t="n">
        <v>0</v>
      </c>
      <c r="K85" s="14" t="n">
        <v>8.470000000000001</v>
      </c>
      <c r="L85" s="14" t="n">
        <v>18.24</v>
      </c>
      <c r="M85" s="14">
        <f>SUM(I85:L85)</f>
        <v/>
      </c>
      <c r="O85" s="15">
        <f>IFERROR(I85/C85-1,"")</f>
        <v/>
      </c>
      <c r="P85" s="15">
        <f>IFERROR(J85/D85-1,"")</f>
        <v/>
      </c>
      <c r="Q85" s="15">
        <f>IFERROR(K85/E85-1,"")</f>
        <v/>
      </c>
      <c r="R85" s="15">
        <f>IFERROR(L85/F85-1,"")</f>
        <v/>
      </c>
      <c r="S85" s="15">
        <f>IFERROR(M85/G85-1,"")</f>
        <v/>
      </c>
      <c r="U85" s="16" t="n"/>
      <c r="V85" s="16" t="n"/>
      <c r="W85" s="16" t="n"/>
      <c r="X85" s="16">
        <f>IFERROR(W85-V85,"")</f>
        <v/>
      </c>
    </row>
    <row r="86">
      <c r="B86" s="13" t="inlineStr">
        <is>
          <t>40-99</t>
        </is>
      </c>
      <c r="C86" s="14" t="n">
        <v>0</v>
      </c>
      <c r="D86" s="14" t="n">
        <v>0</v>
      </c>
      <c r="E86" s="14" t="n">
        <v>13.55</v>
      </c>
      <c r="F86" s="14" t="n">
        <v>6.65</v>
      </c>
      <c r="G86" s="14">
        <f>SUM(C86:F86)</f>
        <v/>
      </c>
      <c r="I86" s="14" t="n">
        <v>0</v>
      </c>
      <c r="J86" s="14" t="n">
        <v>0</v>
      </c>
      <c r="K86" s="14" t="n">
        <v>14.48</v>
      </c>
      <c r="L86" s="14" t="n">
        <v>23.35</v>
      </c>
      <c r="M86" s="14">
        <f>SUM(I86:L86)</f>
        <v/>
      </c>
      <c r="O86" s="15">
        <f>IFERROR(I86/C86-1,"")</f>
        <v/>
      </c>
      <c r="P86" s="15">
        <f>IFERROR(J86/D86-1,"")</f>
        <v/>
      </c>
      <c r="Q86" s="15">
        <f>IFERROR(K86/E86-1,"")</f>
        <v/>
      </c>
      <c r="R86" s="15">
        <f>IFERROR(L86/F86-1,"")</f>
        <v/>
      </c>
      <c r="S86" s="15">
        <f>IFERROR(M86/G86-1,"")</f>
        <v/>
      </c>
      <c r="U86" s="16" t="n"/>
      <c r="V86" s="16" t="n"/>
      <c r="W86" s="16" t="n"/>
      <c r="X86" s="16">
        <f>IFERROR(W86-V86,"")</f>
        <v/>
      </c>
    </row>
    <row r="87">
      <c r="B87" s="13" t="inlineStr">
        <is>
          <t>100+</t>
        </is>
      </c>
      <c r="C87" s="14" t="n">
        <v>0</v>
      </c>
      <c r="D87" s="14" t="n">
        <v>0</v>
      </c>
      <c r="E87" s="14" t="n">
        <v>21.49</v>
      </c>
      <c r="F87" s="14" t="n">
        <v>6.37</v>
      </c>
      <c r="G87" s="14">
        <f>SUM(C87:F87)</f>
        <v/>
      </c>
      <c r="I87" s="14" t="n">
        <v>0</v>
      </c>
      <c r="J87" s="14" t="n">
        <v>0</v>
      </c>
      <c r="K87" s="14" t="n">
        <v>21.36</v>
      </c>
      <c r="L87" s="14" t="n">
        <v>20.49</v>
      </c>
      <c r="M87" s="14">
        <f>SUM(I87:L87)</f>
        <v/>
      </c>
      <c r="O87" s="15">
        <f>IFERROR(I87/C87-1,"")</f>
        <v/>
      </c>
      <c r="P87" s="15">
        <f>IFERROR(J87/D87-1,"")</f>
        <v/>
      </c>
      <c r="Q87" s="15">
        <f>IFERROR(K87/E87-1,"")</f>
        <v/>
      </c>
      <c r="R87" s="15">
        <f>IFERROR(L87/F87-1,"")</f>
        <v/>
      </c>
      <c r="S87" s="15">
        <f>IFERROR(M87/G87-1,"")</f>
        <v/>
      </c>
      <c r="U87" s="16" t="n"/>
      <c r="V87" s="16" t="n"/>
      <c r="W87" s="16" t="n"/>
      <c r="X87" s="16">
        <f>IFERROR(W87-V87,"")</f>
        <v/>
      </c>
    </row>
    <row r="88">
      <c r="B88" s="17" t="inlineStr">
        <is>
          <t>overall</t>
        </is>
      </c>
      <c r="C88" s="18" t="n">
        <v>0</v>
      </c>
      <c r="D88" s="18" t="n">
        <v>0</v>
      </c>
      <c r="E88" s="18" t="n">
        <v>4.599</v>
      </c>
      <c r="F88" s="18" t="n">
        <v>4.6395</v>
      </c>
      <c r="G88" s="18">
        <f>SUM(C88:F88)</f>
        <v/>
      </c>
      <c r="I88" s="18" t="n">
        <v>0</v>
      </c>
      <c r="J88" s="18" t="n">
        <v>0</v>
      </c>
      <c r="K88" s="18" t="n">
        <v>6.568</v>
      </c>
      <c r="L88" s="18" t="n">
        <v>13.4529</v>
      </c>
      <c r="M88" s="18">
        <f>SUM(I88:L88)</f>
        <v/>
      </c>
      <c r="O88" s="19">
        <f>IFERROR(I88/C88-1,"")</f>
        <v/>
      </c>
      <c r="P88" s="19">
        <f>IFERROR(J88/D88-1,"")</f>
        <v/>
      </c>
      <c r="Q88" s="19">
        <f>IFERROR(K88/E88-1,"")</f>
        <v/>
      </c>
      <c r="R88" s="19">
        <f>IFERROR(L88/F88-1,"")</f>
        <v/>
      </c>
      <c r="S88" s="19">
        <f>IFERROR(M88/G88-1,"")</f>
        <v/>
      </c>
      <c r="U88" s="20" t="n"/>
      <c r="V88" s="20" t="n"/>
      <c r="W88" s="20" t="n"/>
      <c r="X88" s="20">
        <f>IFERROR(W88-V88,"")</f>
        <v/>
      </c>
    </row>
    <row r="89">
      <c r="B89" s="12" t="inlineStr">
        <is>
          <t>PAYER</t>
        </is>
      </c>
    </row>
    <row r="90">
      <c r="B90" s="13" t="inlineStr">
        <is>
          <t>0-9</t>
        </is>
      </c>
      <c r="C90" s="14" t="n">
        <v>0</v>
      </c>
      <c r="D90" s="14" t="n">
        <v>0</v>
      </c>
      <c r="E90" s="14" t="n">
        <v>2.26</v>
      </c>
      <c r="F90" s="14" t="n">
        <v>5.2</v>
      </c>
      <c r="G90" s="14">
        <f>SUM(C90:F90)</f>
        <v/>
      </c>
      <c r="I90" s="14" t="n">
        <v>0</v>
      </c>
      <c r="J90" s="14" t="n">
        <v>0</v>
      </c>
      <c r="K90" s="14" t="n">
        <v>5.04</v>
      </c>
      <c r="L90" s="14" t="n">
        <v>11.41</v>
      </c>
      <c r="M90" s="14">
        <f>SUM(I90:L90)</f>
        <v/>
      </c>
      <c r="O90" s="15">
        <f>IFERROR(I90/C90-1,"")</f>
        <v/>
      </c>
      <c r="P90" s="15">
        <f>IFERROR(J90/D90-1,"")</f>
        <v/>
      </c>
      <c r="Q90" s="15">
        <f>IFERROR(K90/E90-1,"")</f>
        <v/>
      </c>
      <c r="R90" s="15">
        <f>IFERROR(L90/F90-1,"")</f>
        <v/>
      </c>
      <c r="S90" s="15">
        <f>IFERROR(M90/G90-1,"")</f>
        <v/>
      </c>
      <c r="U90" s="16" t="n"/>
      <c r="V90" s="16" t="n"/>
      <c r="W90" s="16" t="n"/>
      <c r="X90" s="16">
        <f>IFERROR(W90-V90,"")</f>
        <v/>
      </c>
    </row>
    <row r="91">
      <c r="B91" s="13" t="inlineStr">
        <is>
          <t>10-19</t>
        </is>
      </c>
      <c r="C91" s="14" t="n">
        <v>0</v>
      </c>
      <c r="D91" s="14" t="n">
        <v>0</v>
      </c>
      <c r="E91" s="14" t="n">
        <v>3.87</v>
      </c>
      <c r="F91" s="14" t="n">
        <v>5.34</v>
      </c>
      <c r="G91" s="14">
        <f>SUM(C91:F91)</f>
        <v/>
      </c>
      <c r="I91" s="14" t="n">
        <v>0</v>
      </c>
      <c r="J91" s="14" t="n">
        <v>0</v>
      </c>
      <c r="K91" s="14" t="n">
        <v>6.14</v>
      </c>
      <c r="L91" s="14" t="n">
        <v>15.82</v>
      </c>
      <c r="M91" s="14">
        <f>SUM(I91:L91)</f>
        <v/>
      </c>
      <c r="O91" s="15">
        <f>IFERROR(I91/C91-1,"")</f>
        <v/>
      </c>
      <c r="P91" s="15">
        <f>IFERROR(J91/D91-1,"")</f>
        <v/>
      </c>
      <c r="Q91" s="15">
        <f>IFERROR(K91/E91-1,"")</f>
        <v/>
      </c>
      <c r="R91" s="15">
        <f>IFERROR(L91/F91-1,"")</f>
        <v/>
      </c>
      <c r="S91" s="15">
        <f>IFERROR(M91/G91-1,"")</f>
        <v/>
      </c>
      <c r="U91" s="16" t="n"/>
      <c r="V91" s="16" t="n"/>
      <c r="W91" s="16" t="n"/>
      <c r="X91" s="16">
        <f>IFERROR(W91-V91,"")</f>
        <v/>
      </c>
    </row>
    <row r="92">
      <c r="B92" s="13" t="inlineStr">
        <is>
          <t>20-39</t>
        </is>
      </c>
      <c r="C92" s="14" t="n">
        <v>0</v>
      </c>
      <c r="D92" s="14" t="n">
        <v>0</v>
      </c>
      <c r="E92" s="14" t="n">
        <v>6.09</v>
      </c>
      <c r="F92" s="14" t="n">
        <v>6.31</v>
      </c>
      <c r="G92" s="14">
        <f>SUM(C92:F92)</f>
        <v/>
      </c>
      <c r="I92" s="14" t="n">
        <v>0</v>
      </c>
      <c r="J92" s="14" t="n">
        <v>0</v>
      </c>
      <c r="K92" s="14" t="n">
        <v>7.78</v>
      </c>
      <c r="L92" s="14" t="n">
        <v>18.95</v>
      </c>
      <c r="M92" s="14">
        <f>SUM(I92:L92)</f>
        <v/>
      </c>
      <c r="O92" s="15">
        <f>IFERROR(I92/C92-1,"")</f>
        <v/>
      </c>
      <c r="P92" s="15">
        <f>IFERROR(J92/D92-1,"")</f>
        <v/>
      </c>
      <c r="Q92" s="15">
        <f>IFERROR(K92/E92-1,"")</f>
        <v/>
      </c>
      <c r="R92" s="15">
        <f>IFERROR(L92/F92-1,"")</f>
        <v/>
      </c>
      <c r="S92" s="15">
        <f>IFERROR(M92/G92-1,"")</f>
        <v/>
      </c>
      <c r="U92" s="16" t="n"/>
      <c r="V92" s="16" t="n"/>
      <c r="W92" s="16" t="n"/>
      <c r="X92" s="16">
        <f>IFERROR(W92-V92,"")</f>
        <v/>
      </c>
    </row>
    <row r="93">
      <c r="B93" s="13" t="inlineStr">
        <is>
          <t>40-99</t>
        </is>
      </c>
      <c r="C93" s="14" t="n">
        <v>0</v>
      </c>
      <c r="D93" s="14" t="n">
        <v>0</v>
      </c>
      <c r="E93" s="14" t="n">
        <v>11.41</v>
      </c>
      <c r="F93" s="14" t="n">
        <v>7.85</v>
      </c>
      <c r="G93" s="14">
        <f>SUM(C93:F93)</f>
        <v/>
      </c>
      <c r="I93" s="14" t="n">
        <v>0</v>
      </c>
      <c r="J93" s="14" t="n">
        <v>0</v>
      </c>
      <c r="K93" s="14" t="n">
        <v>12.31</v>
      </c>
      <c r="L93" s="14" t="n">
        <v>23.67</v>
      </c>
      <c r="M93" s="14">
        <f>SUM(I93:L93)</f>
        <v/>
      </c>
      <c r="O93" s="15">
        <f>IFERROR(I93/C93-1,"")</f>
        <v/>
      </c>
      <c r="P93" s="15">
        <f>IFERROR(J93/D93-1,"")</f>
        <v/>
      </c>
      <c r="Q93" s="15">
        <f>IFERROR(K93/E93-1,"")</f>
        <v/>
      </c>
      <c r="R93" s="15">
        <f>IFERROR(L93/F93-1,"")</f>
        <v/>
      </c>
      <c r="S93" s="15">
        <f>IFERROR(M93/G93-1,"")</f>
        <v/>
      </c>
      <c r="U93" s="16" t="n"/>
      <c r="V93" s="16" t="n"/>
      <c r="W93" s="16" t="n"/>
      <c r="X93" s="16">
        <f>IFERROR(W93-V93,"")</f>
        <v/>
      </c>
    </row>
    <row r="94">
      <c r="B94" s="13" t="inlineStr">
        <is>
          <t>100+</t>
        </is>
      </c>
      <c r="C94" s="14" t="n">
        <v>0</v>
      </c>
      <c r="D94" s="14" t="n">
        <v>0</v>
      </c>
      <c r="E94" s="14" t="n">
        <v>19.14</v>
      </c>
      <c r="F94" s="14" t="n">
        <v>8.19</v>
      </c>
      <c r="G94" s="14">
        <f>SUM(C94:F94)</f>
        <v/>
      </c>
      <c r="I94" s="14" t="n">
        <v>0</v>
      </c>
      <c r="J94" s="14" t="n">
        <v>0</v>
      </c>
      <c r="K94" s="14" t="n">
        <v>19.13</v>
      </c>
      <c r="L94" s="14" t="n">
        <v>22.8</v>
      </c>
      <c r="M94" s="14">
        <f>SUM(I94:L94)</f>
        <v/>
      </c>
      <c r="O94" s="15">
        <f>IFERROR(I94/C94-1,"")</f>
        <v/>
      </c>
      <c r="P94" s="15">
        <f>IFERROR(J94/D94-1,"")</f>
        <v/>
      </c>
      <c r="Q94" s="15">
        <f>IFERROR(K94/E94-1,"")</f>
        <v/>
      </c>
      <c r="R94" s="15">
        <f>IFERROR(L94/F94-1,"")</f>
        <v/>
      </c>
      <c r="S94" s="15">
        <f>IFERROR(M94/G94-1,"")</f>
        <v/>
      </c>
      <c r="U94" s="16" t="n"/>
      <c r="V94" s="16" t="n"/>
      <c r="W94" s="16" t="n"/>
      <c r="X94" s="16">
        <f>IFERROR(W94-V94,"")</f>
        <v/>
      </c>
    </row>
    <row r="95">
      <c r="B95" s="17" t="inlineStr">
        <is>
          <t>overall</t>
        </is>
      </c>
      <c r="C95" s="18" t="n">
        <v>0</v>
      </c>
      <c r="D95" s="18" t="n">
        <v>0</v>
      </c>
      <c r="E95" s="18" t="n">
        <v>4.1547</v>
      </c>
      <c r="F95" s="18" t="n">
        <v>5.6492</v>
      </c>
      <c r="G95" s="18">
        <f>SUM(C95:F95)</f>
        <v/>
      </c>
      <c r="I95" s="18" t="n">
        <v>0</v>
      </c>
      <c r="J95" s="18" t="n">
        <v>0</v>
      </c>
      <c r="K95" s="18" t="n">
        <v>6.4644</v>
      </c>
      <c r="L95" s="18" t="n">
        <v>14.7205</v>
      </c>
      <c r="M95" s="18">
        <f>SUM(I95:L95)</f>
        <v/>
      </c>
      <c r="O95" s="19">
        <f>IFERROR(I95/C95-1,"")</f>
        <v/>
      </c>
      <c r="P95" s="19">
        <f>IFERROR(J95/D95-1,"")</f>
        <v/>
      </c>
      <c r="Q95" s="19">
        <f>IFERROR(K95/E95-1,"")</f>
        <v/>
      </c>
      <c r="R95" s="19">
        <f>IFERROR(L95/F95-1,"")</f>
        <v/>
      </c>
      <c r="S95" s="19">
        <f>IFERROR(M95/G95-1,"")</f>
        <v/>
      </c>
      <c r="U95" s="20" t="n"/>
      <c r="V95" s="20" t="n"/>
      <c r="W95" s="20" t="n"/>
      <c r="X95" s="20">
        <f>IFERROR(W95-V95,"")</f>
        <v/>
      </c>
    </row>
    <row r="98">
      <c r="B98" s="2" t="inlineStr">
        <is>
          <t>◆ Chuck</t>
        </is>
      </c>
    </row>
    <row r="99">
      <c r="C99" s="3" t="inlineStr">
        <is>
          <t>◄ CURRENT (actuals: data + calc) ►</t>
        </is>
      </c>
      <c r="D99" s="3" t="n"/>
      <c r="E99" s="3" t="n"/>
      <c r="F99" s="3" t="n"/>
      <c r="G99" s="3" t="n"/>
      <c r="I99" s="4" t="inlineStr">
        <is>
          <t>◄ SIMULATED (EcoGainsSim v4) ►</t>
        </is>
      </c>
      <c r="J99" s="4" t="n"/>
      <c r="K99" s="4" t="n"/>
      <c r="L99" s="4" t="n"/>
      <c r="M99" s="4" t="n"/>
      <c r="O99" s="5" t="inlineStr">
        <is>
          <t>Δ</t>
        </is>
      </c>
      <c r="P99" s="5" t="n"/>
      <c r="Q99" s="5" t="n"/>
      <c r="R99" s="5" t="n"/>
      <c r="S99" s="5" t="n"/>
      <c r="U99" s="6" t="inlineStr">
        <is>
          <t>◄ NET / earner (spend held constant) ►</t>
        </is>
      </c>
      <c r="V99" s="6" t="n"/>
      <c r="W99" s="6" t="n"/>
      <c r="X99" s="6" t="n"/>
    </row>
    <row r="100">
      <c r="B100" s="7" t="inlineStr">
        <is>
          <t>Segment</t>
        </is>
      </c>
      <c r="C100" s="8" t="inlineStr">
        <is>
          <t>PAID</t>
        </is>
      </c>
      <c r="D100" s="8" t="inlineStr">
        <is>
          <t>ADS</t>
        </is>
      </c>
      <c r="E100" s="8" t="inlineStr">
        <is>
          <t>CORE</t>
        </is>
      </c>
      <c r="F100" s="8" t="inlineStr">
        <is>
          <t>META</t>
        </is>
      </c>
      <c r="G100" s="8" t="inlineStr">
        <is>
          <t>Total</t>
        </is>
      </c>
      <c r="I100" s="9" t="inlineStr">
        <is>
          <t>PAID</t>
        </is>
      </c>
      <c r="J100" s="9" t="inlineStr">
        <is>
          <t>ADS</t>
        </is>
      </c>
      <c r="K100" s="9" t="inlineStr">
        <is>
          <t>CORE</t>
        </is>
      </c>
      <c r="L100" s="9" t="inlineStr">
        <is>
          <t>META</t>
        </is>
      </c>
      <c r="M100" s="9" t="inlineStr">
        <is>
          <t>Total</t>
        </is>
      </c>
      <c r="O100" s="10" t="inlineStr">
        <is>
          <t>PAID</t>
        </is>
      </c>
      <c r="P100" s="10" t="inlineStr">
        <is>
          <t>ADS</t>
        </is>
      </c>
      <c r="Q100" s="10" t="inlineStr">
        <is>
          <t>CORE</t>
        </is>
      </c>
      <c r="R100" s="10" t="inlineStr">
        <is>
          <t>META</t>
        </is>
      </c>
      <c r="S100" s="10" t="inlineStr">
        <is>
          <t>Total</t>
        </is>
      </c>
      <c r="U100" s="11" t="inlineStr">
        <is>
          <t>cur spend</t>
        </is>
      </c>
      <c r="V100" s="11" t="inlineStr">
        <is>
          <t>cur net</t>
        </is>
      </c>
      <c r="W100" s="11" t="inlineStr">
        <is>
          <t>new net</t>
        </is>
      </c>
      <c r="X100" s="11" t="inlineStr">
        <is>
          <t>net Δ</t>
        </is>
      </c>
    </row>
    <row r="101">
      <c r="B101" s="12" t="inlineStr">
        <is>
          <t>NONPAYER</t>
        </is>
      </c>
    </row>
    <row r="102">
      <c r="B102" s="13" t="inlineStr">
        <is>
          <t>0-9</t>
        </is>
      </c>
      <c r="C102" s="14" t="n">
        <v>0</v>
      </c>
      <c r="D102" s="14" t="n">
        <v>0</v>
      </c>
      <c r="E102" s="14" t="n">
        <v>1.75</v>
      </c>
      <c r="F102" s="14" t="n">
        <v>4.44</v>
      </c>
      <c r="G102" s="14">
        <f>SUM(C102:F102)</f>
        <v/>
      </c>
      <c r="I102" s="14" t="n">
        <v>0</v>
      </c>
      <c r="J102" s="14" t="n">
        <v>0</v>
      </c>
      <c r="K102" s="14" t="n">
        <v>2.29</v>
      </c>
      <c r="L102" s="14" t="n">
        <v>10.29</v>
      </c>
      <c r="M102" s="14">
        <f>SUM(I102:L102)</f>
        <v/>
      </c>
      <c r="O102" s="15">
        <f>IFERROR(I102/C102-1,"")</f>
        <v/>
      </c>
      <c r="P102" s="15">
        <f>IFERROR(J102/D102-1,"")</f>
        <v/>
      </c>
      <c r="Q102" s="15">
        <f>IFERROR(K102/E102-1,"")</f>
        <v/>
      </c>
      <c r="R102" s="15">
        <f>IFERROR(L102/F102-1,"")</f>
        <v/>
      </c>
      <c r="S102" s="15">
        <f>IFERROR(M102/G102-1,"")</f>
        <v/>
      </c>
      <c r="U102" s="16" t="n"/>
      <c r="V102" s="16" t="n"/>
      <c r="W102" s="16" t="n"/>
      <c r="X102" s="16">
        <f>IFERROR(W102-V102,"")</f>
        <v/>
      </c>
    </row>
    <row r="103">
      <c r="B103" s="13" t="inlineStr">
        <is>
          <t>10-19</t>
        </is>
      </c>
      <c r="C103" s="14" t="n">
        <v>0</v>
      </c>
      <c r="D103" s="14" t="n">
        <v>0</v>
      </c>
      <c r="E103" s="14" t="n">
        <v>3.66</v>
      </c>
      <c r="F103" s="14" t="n">
        <v>5.31</v>
      </c>
      <c r="G103" s="14">
        <f>SUM(C103:F103)</f>
        <v/>
      </c>
      <c r="I103" s="14" t="n">
        <v>0</v>
      </c>
      <c r="J103" s="14" t="n">
        <v>0</v>
      </c>
      <c r="K103" s="14" t="n">
        <v>3.49</v>
      </c>
      <c r="L103" s="14" t="n">
        <v>16.46</v>
      </c>
      <c r="M103" s="14">
        <f>SUM(I103:L103)</f>
        <v/>
      </c>
      <c r="O103" s="15">
        <f>IFERROR(I103/C103-1,"")</f>
        <v/>
      </c>
      <c r="P103" s="15">
        <f>IFERROR(J103/D103-1,"")</f>
        <v/>
      </c>
      <c r="Q103" s="15">
        <f>IFERROR(K103/E103-1,"")</f>
        <v/>
      </c>
      <c r="R103" s="15">
        <f>IFERROR(L103/F103-1,"")</f>
        <v/>
      </c>
      <c r="S103" s="15">
        <f>IFERROR(M103/G103-1,"")</f>
        <v/>
      </c>
      <c r="U103" s="16" t="n"/>
      <c r="V103" s="16" t="n"/>
      <c r="W103" s="16" t="n"/>
      <c r="X103" s="16">
        <f>IFERROR(W103-V103,"")</f>
        <v/>
      </c>
    </row>
    <row r="104">
      <c r="B104" s="13" t="inlineStr">
        <is>
          <t>20-39</t>
        </is>
      </c>
      <c r="C104" s="14" t="n">
        <v>0</v>
      </c>
      <c r="D104" s="14" t="n">
        <v>0</v>
      </c>
      <c r="E104" s="14" t="n">
        <v>6.34</v>
      </c>
      <c r="F104" s="14" t="n">
        <v>5.84</v>
      </c>
      <c r="G104" s="14">
        <f>SUM(C104:F104)</f>
        <v/>
      </c>
      <c r="I104" s="14" t="n">
        <v>0</v>
      </c>
      <c r="J104" s="14" t="n">
        <v>0</v>
      </c>
      <c r="K104" s="14" t="n">
        <v>6.5</v>
      </c>
      <c r="L104" s="14" t="n">
        <v>18.14</v>
      </c>
      <c r="M104" s="14">
        <f>SUM(I104:L104)</f>
        <v/>
      </c>
      <c r="O104" s="15">
        <f>IFERROR(I104/C104-1,"")</f>
        <v/>
      </c>
      <c r="P104" s="15">
        <f>IFERROR(J104/D104-1,"")</f>
        <v/>
      </c>
      <c r="Q104" s="15">
        <f>IFERROR(K104/E104-1,"")</f>
        <v/>
      </c>
      <c r="R104" s="15">
        <f>IFERROR(L104/F104-1,"")</f>
        <v/>
      </c>
      <c r="S104" s="15">
        <f>IFERROR(M104/G104-1,"")</f>
        <v/>
      </c>
      <c r="U104" s="16" t="n"/>
      <c r="V104" s="16" t="n"/>
      <c r="W104" s="16" t="n"/>
      <c r="X104" s="16">
        <f>IFERROR(W104-V104,"")</f>
        <v/>
      </c>
    </row>
    <row r="105">
      <c r="B105" s="13" t="inlineStr">
        <is>
          <t>40-99</t>
        </is>
      </c>
      <c r="C105" s="14" t="n">
        <v>0</v>
      </c>
      <c r="D105" s="14" t="n">
        <v>0</v>
      </c>
      <c r="E105" s="14" t="n">
        <v>13.3</v>
      </c>
      <c r="F105" s="14" t="n">
        <v>7.09</v>
      </c>
      <c r="G105" s="14">
        <f>SUM(C105:F105)</f>
        <v/>
      </c>
      <c r="I105" s="14" t="n">
        <v>0</v>
      </c>
      <c r="J105" s="14" t="n">
        <v>0</v>
      </c>
      <c r="K105" s="14" t="n">
        <v>12.41</v>
      </c>
      <c r="L105" s="14" t="n">
        <v>22.3</v>
      </c>
      <c r="M105" s="14">
        <f>SUM(I105:L105)</f>
        <v/>
      </c>
      <c r="O105" s="15">
        <f>IFERROR(I105/C105-1,"")</f>
        <v/>
      </c>
      <c r="P105" s="15">
        <f>IFERROR(J105/D105-1,"")</f>
        <v/>
      </c>
      <c r="Q105" s="15">
        <f>IFERROR(K105/E105-1,"")</f>
        <v/>
      </c>
      <c r="R105" s="15">
        <f>IFERROR(L105/F105-1,"")</f>
        <v/>
      </c>
      <c r="S105" s="15">
        <f>IFERROR(M105/G105-1,"")</f>
        <v/>
      </c>
      <c r="U105" s="16" t="n"/>
      <c r="V105" s="16" t="n"/>
      <c r="W105" s="16" t="n"/>
      <c r="X105" s="16">
        <f>IFERROR(W105-V105,"")</f>
        <v/>
      </c>
    </row>
    <row r="106">
      <c r="B106" s="13" t="inlineStr">
        <is>
          <t>100+</t>
        </is>
      </c>
      <c r="C106" s="14" t="n">
        <v>0</v>
      </c>
      <c r="D106" s="14" t="n">
        <v>0</v>
      </c>
      <c r="E106" s="14" t="n">
        <v>22.14</v>
      </c>
      <c r="F106" s="14" t="n">
        <v>6.83</v>
      </c>
      <c r="G106" s="14">
        <f>SUM(C106:F106)</f>
        <v/>
      </c>
      <c r="I106" s="14" t="n">
        <v>0</v>
      </c>
      <c r="J106" s="14" t="n">
        <v>0</v>
      </c>
      <c r="K106" s="14" t="n">
        <v>21.4</v>
      </c>
      <c r="L106" s="14" t="n">
        <v>20.15</v>
      </c>
      <c r="M106" s="14">
        <f>SUM(I106:L106)</f>
        <v/>
      </c>
      <c r="O106" s="15">
        <f>IFERROR(I106/C106-1,"")</f>
        <v/>
      </c>
      <c r="P106" s="15">
        <f>IFERROR(J106/D106-1,"")</f>
        <v/>
      </c>
      <c r="Q106" s="15">
        <f>IFERROR(K106/E106-1,"")</f>
        <v/>
      </c>
      <c r="R106" s="15">
        <f>IFERROR(L106/F106-1,"")</f>
        <v/>
      </c>
      <c r="S106" s="15">
        <f>IFERROR(M106/G106-1,"")</f>
        <v/>
      </c>
      <c r="U106" s="16" t="n"/>
      <c r="V106" s="16" t="n"/>
      <c r="W106" s="16" t="n"/>
      <c r="X106" s="16">
        <f>IFERROR(W106-V106,"")</f>
        <v/>
      </c>
    </row>
    <row r="107">
      <c r="B107" s="17" t="inlineStr">
        <is>
          <t>overall</t>
        </is>
      </c>
      <c r="C107" s="18" t="n">
        <v>0</v>
      </c>
      <c r="D107" s="18" t="n">
        <v>0</v>
      </c>
      <c r="E107" s="18" t="n">
        <v>4.2922</v>
      </c>
      <c r="F107" s="18" t="n">
        <v>5.1572</v>
      </c>
      <c r="G107" s="18">
        <f>SUM(C107:F107)</f>
        <v/>
      </c>
      <c r="I107" s="18" t="n">
        <v>0</v>
      </c>
      <c r="J107" s="18" t="n">
        <v>0</v>
      </c>
      <c r="K107" s="18" t="n">
        <v>4.4453</v>
      </c>
      <c r="L107" s="18" t="n">
        <v>14.3417</v>
      </c>
      <c r="M107" s="18">
        <f>SUM(I107:L107)</f>
        <v/>
      </c>
      <c r="O107" s="19">
        <f>IFERROR(I107/C107-1,"")</f>
        <v/>
      </c>
      <c r="P107" s="19">
        <f>IFERROR(J107/D107-1,"")</f>
        <v/>
      </c>
      <c r="Q107" s="19">
        <f>IFERROR(K107/E107-1,"")</f>
        <v/>
      </c>
      <c r="R107" s="19">
        <f>IFERROR(L107/F107-1,"")</f>
        <v/>
      </c>
      <c r="S107" s="19">
        <f>IFERROR(M107/G107-1,"")</f>
        <v/>
      </c>
      <c r="U107" s="20" t="n"/>
      <c r="V107" s="20" t="n"/>
      <c r="W107" s="20" t="n"/>
      <c r="X107" s="20">
        <f>IFERROR(W107-V107,"")</f>
        <v/>
      </c>
    </row>
    <row r="108">
      <c r="B108" s="12" t="inlineStr">
        <is>
          <t>PAYER</t>
        </is>
      </c>
    </row>
    <row r="109">
      <c r="B109" s="13" t="inlineStr">
        <is>
          <t>0-9</t>
        </is>
      </c>
      <c r="C109" s="14" t="n">
        <v>0</v>
      </c>
      <c r="D109" s="14" t="n">
        <v>0</v>
      </c>
      <c r="E109" s="14" t="n">
        <v>2.05</v>
      </c>
      <c r="F109" s="14" t="n">
        <v>5.75</v>
      </c>
      <c r="G109" s="14">
        <f>SUM(C109:F109)</f>
        <v/>
      </c>
      <c r="I109" s="14" t="n">
        <v>0</v>
      </c>
      <c r="J109" s="14" t="n">
        <v>0</v>
      </c>
      <c r="K109" s="14" t="n">
        <v>2</v>
      </c>
      <c r="L109" s="14" t="n">
        <v>13.03</v>
      </c>
      <c r="M109" s="14">
        <f>SUM(I109:L109)</f>
        <v/>
      </c>
      <c r="O109" s="15">
        <f>IFERROR(I109/C109-1,"")</f>
        <v/>
      </c>
      <c r="P109" s="15">
        <f>IFERROR(J109/D109-1,"")</f>
        <v/>
      </c>
      <c r="Q109" s="15">
        <f>IFERROR(K109/E109-1,"")</f>
        <v/>
      </c>
      <c r="R109" s="15">
        <f>IFERROR(L109/F109-1,"")</f>
        <v/>
      </c>
      <c r="S109" s="15">
        <f>IFERROR(M109/G109-1,"")</f>
        <v/>
      </c>
      <c r="U109" s="16" t="n"/>
      <c r="V109" s="16" t="n"/>
      <c r="W109" s="16" t="n"/>
      <c r="X109" s="16">
        <f>IFERROR(W109-V109,"")</f>
        <v/>
      </c>
    </row>
    <row r="110">
      <c r="B110" s="13" t="inlineStr">
        <is>
          <t>10-19</t>
        </is>
      </c>
      <c r="C110" s="14" t="n">
        <v>0</v>
      </c>
      <c r="D110" s="14" t="n">
        <v>0</v>
      </c>
      <c r="E110" s="14" t="n">
        <v>3.48</v>
      </c>
      <c r="F110" s="14" t="n">
        <v>5.99</v>
      </c>
      <c r="G110" s="14">
        <f>SUM(C110:F110)</f>
        <v/>
      </c>
      <c r="I110" s="14" t="n">
        <v>0</v>
      </c>
      <c r="J110" s="14" t="n">
        <v>0</v>
      </c>
      <c r="K110" s="14" t="n">
        <v>3.31</v>
      </c>
      <c r="L110" s="14" t="n">
        <v>17.57</v>
      </c>
      <c r="M110" s="14">
        <f>SUM(I110:L110)</f>
        <v/>
      </c>
      <c r="O110" s="15">
        <f>IFERROR(I110/C110-1,"")</f>
        <v/>
      </c>
      <c r="P110" s="15">
        <f>IFERROR(J110/D110-1,"")</f>
        <v/>
      </c>
      <c r="Q110" s="15">
        <f>IFERROR(K110/E110-1,"")</f>
        <v/>
      </c>
      <c r="R110" s="15">
        <f>IFERROR(L110/F110-1,"")</f>
        <v/>
      </c>
      <c r="S110" s="15">
        <f>IFERROR(M110/G110-1,"")</f>
        <v/>
      </c>
      <c r="U110" s="16" t="n"/>
      <c r="V110" s="16" t="n"/>
      <c r="W110" s="16" t="n"/>
      <c r="X110" s="16">
        <f>IFERROR(W110-V110,"")</f>
        <v/>
      </c>
    </row>
    <row r="111">
      <c r="B111" s="13" t="inlineStr">
        <is>
          <t>20-39</t>
        </is>
      </c>
      <c r="C111" s="14" t="n">
        <v>0</v>
      </c>
      <c r="D111" s="14" t="n">
        <v>0</v>
      </c>
      <c r="E111" s="14" t="n">
        <v>5.73</v>
      </c>
      <c r="F111" s="14" t="n">
        <v>6.69</v>
      </c>
      <c r="G111" s="14">
        <f>SUM(C111:F111)</f>
        <v/>
      </c>
      <c r="I111" s="14" t="n">
        <v>0</v>
      </c>
      <c r="J111" s="14" t="n">
        <v>0</v>
      </c>
      <c r="K111" s="14" t="n">
        <v>5.9</v>
      </c>
      <c r="L111" s="14" t="n">
        <v>18.87</v>
      </c>
      <c r="M111" s="14">
        <f>SUM(I111:L111)</f>
        <v/>
      </c>
      <c r="O111" s="15">
        <f>IFERROR(I111/C111-1,"")</f>
        <v/>
      </c>
      <c r="P111" s="15">
        <f>IFERROR(J111/D111-1,"")</f>
        <v/>
      </c>
      <c r="Q111" s="15">
        <f>IFERROR(K111/E111-1,"")</f>
        <v/>
      </c>
      <c r="R111" s="15">
        <f>IFERROR(L111/F111-1,"")</f>
        <v/>
      </c>
      <c r="S111" s="15">
        <f>IFERROR(M111/G111-1,"")</f>
        <v/>
      </c>
      <c r="U111" s="16" t="n"/>
      <c r="V111" s="16" t="n"/>
      <c r="W111" s="16" t="n"/>
      <c r="X111" s="16">
        <f>IFERROR(W111-V111,"")</f>
        <v/>
      </c>
    </row>
    <row r="112">
      <c r="B112" s="13" t="inlineStr">
        <is>
          <t>40-99</t>
        </is>
      </c>
      <c r="C112" s="14" t="n">
        <v>0</v>
      </c>
      <c r="D112" s="14" t="n">
        <v>0</v>
      </c>
      <c r="E112" s="14" t="n">
        <v>11.19</v>
      </c>
      <c r="F112" s="14" t="n">
        <v>8.18</v>
      </c>
      <c r="G112" s="14">
        <f>SUM(C112:F112)</f>
        <v/>
      </c>
      <c r="I112" s="14" t="n">
        <v>0</v>
      </c>
      <c r="J112" s="14" t="n">
        <v>0</v>
      </c>
      <c r="K112" s="14" t="n">
        <v>10.43</v>
      </c>
      <c r="L112" s="14" t="n">
        <v>22.59</v>
      </c>
      <c r="M112" s="14">
        <f>SUM(I112:L112)</f>
        <v/>
      </c>
      <c r="O112" s="15">
        <f>IFERROR(I112/C112-1,"")</f>
        <v/>
      </c>
      <c r="P112" s="15">
        <f>IFERROR(J112/D112-1,"")</f>
        <v/>
      </c>
      <c r="Q112" s="15">
        <f>IFERROR(K112/E112-1,"")</f>
        <v/>
      </c>
      <c r="R112" s="15">
        <f>IFERROR(L112/F112-1,"")</f>
        <v/>
      </c>
      <c r="S112" s="15">
        <f>IFERROR(M112/G112-1,"")</f>
        <v/>
      </c>
      <c r="U112" s="16" t="n"/>
      <c r="V112" s="16" t="n"/>
      <c r="W112" s="16" t="n"/>
      <c r="X112" s="16">
        <f>IFERROR(W112-V112,"")</f>
        <v/>
      </c>
    </row>
    <row r="113">
      <c r="B113" s="13" t="inlineStr">
        <is>
          <t>100+</t>
        </is>
      </c>
      <c r="C113" s="14" t="n">
        <v>0</v>
      </c>
      <c r="D113" s="14" t="n">
        <v>0</v>
      </c>
      <c r="E113" s="14" t="n">
        <v>19.58</v>
      </c>
      <c r="F113" s="14" t="n">
        <v>8.5</v>
      </c>
      <c r="G113" s="14">
        <f>SUM(C113:F113)</f>
        <v/>
      </c>
      <c r="I113" s="14" t="n">
        <v>0</v>
      </c>
      <c r="J113" s="14" t="n">
        <v>0</v>
      </c>
      <c r="K113" s="14" t="n">
        <v>18.88</v>
      </c>
      <c r="L113" s="14" t="n">
        <v>22.39</v>
      </c>
      <c r="M113" s="14">
        <f>SUM(I113:L113)</f>
        <v/>
      </c>
      <c r="O113" s="15">
        <f>IFERROR(I113/C113-1,"")</f>
        <v/>
      </c>
      <c r="P113" s="15">
        <f>IFERROR(J113/D113-1,"")</f>
        <v/>
      </c>
      <c r="Q113" s="15">
        <f>IFERROR(K113/E113-1,"")</f>
        <v/>
      </c>
      <c r="R113" s="15">
        <f>IFERROR(L113/F113-1,"")</f>
        <v/>
      </c>
      <c r="S113" s="15">
        <f>IFERROR(M113/G113-1,"")</f>
        <v/>
      </c>
      <c r="U113" s="16" t="n"/>
      <c r="V113" s="16" t="n"/>
      <c r="W113" s="16" t="n"/>
      <c r="X113" s="16">
        <f>IFERROR(W113-V113,"")</f>
        <v/>
      </c>
    </row>
    <row r="114">
      <c r="B114" s="17" t="inlineStr">
        <is>
          <t>overall</t>
        </is>
      </c>
      <c r="C114" s="18" t="n">
        <v>0</v>
      </c>
      <c r="D114" s="18" t="n">
        <v>0</v>
      </c>
      <c r="E114" s="18" t="n">
        <v>3.8858</v>
      </c>
      <c r="F114" s="18" t="n">
        <v>6.1766</v>
      </c>
      <c r="G114" s="18">
        <f>SUM(C114:F114)</f>
        <v/>
      </c>
      <c r="I114" s="18" t="n">
        <v>0</v>
      </c>
      <c r="J114" s="18" t="n">
        <v>0</v>
      </c>
      <c r="K114" s="18" t="n">
        <v>3.7768</v>
      </c>
      <c r="L114" s="18" t="n">
        <v>15.8723</v>
      </c>
      <c r="M114" s="18">
        <f>SUM(I114:L114)</f>
        <v/>
      </c>
      <c r="O114" s="19">
        <f>IFERROR(I114/C114-1,"")</f>
        <v/>
      </c>
      <c r="P114" s="19">
        <f>IFERROR(J114/D114-1,"")</f>
        <v/>
      </c>
      <c r="Q114" s="19">
        <f>IFERROR(K114/E114-1,"")</f>
        <v/>
      </c>
      <c r="R114" s="19">
        <f>IFERROR(L114/F114-1,"")</f>
        <v/>
      </c>
      <c r="S114" s="19">
        <f>IFERROR(M114/G114-1,"")</f>
        <v/>
      </c>
      <c r="U114" s="20" t="n"/>
      <c r="V114" s="20" t="n"/>
      <c r="W114" s="20" t="n"/>
      <c r="X114" s="20">
        <f>IFERROR(W114-V114,"")</f>
        <v/>
      </c>
    </row>
    <row r="117">
      <c r="B117" s="2" t="inlineStr">
        <is>
          <t>◆ Bomb</t>
        </is>
      </c>
    </row>
    <row r="118">
      <c r="C118" s="3" t="inlineStr">
        <is>
          <t>◄ CURRENT (actuals: data + calc) ►</t>
        </is>
      </c>
      <c r="D118" s="3" t="n"/>
      <c r="E118" s="3" t="n"/>
      <c r="F118" s="3" t="n"/>
      <c r="G118" s="3" t="n"/>
      <c r="I118" s="4" t="inlineStr">
        <is>
          <t>◄ SIMULATED (EcoGainsSim v4) ►</t>
        </is>
      </c>
      <c r="J118" s="4" t="n"/>
      <c r="K118" s="4" t="n"/>
      <c r="L118" s="4" t="n"/>
      <c r="M118" s="4" t="n"/>
      <c r="O118" s="5" t="inlineStr">
        <is>
          <t>Δ</t>
        </is>
      </c>
      <c r="P118" s="5" t="n"/>
      <c r="Q118" s="5" t="n"/>
      <c r="R118" s="5" t="n"/>
      <c r="S118" s="5" t="n"/>
      <c r="U118" s="6" t="inlineStr">
        <is>
          <t>◄ NET / earner (spend held constant) ►</t>
        </is>
      </c>
      <c r="V118" s="6" t="n"/>
      <c r="W118" s="6" t="n"/>
      <c r="X118" s="6" t="n"/>
    </row>
    <row r="119">
      <c r="B119" s="7" t="inlineStr">
        <is>
          <t>Segment</t>
        </is>
      </c>
      <c r="C119" s="8" t="inlineStr">
        <is>
          <t>PAID</t>
        </is>
      </c>
      <c r="D119" s="8" t="inlineStr">
        <is>
          <t>ADS</t>
        </is>
      </c>
      <c r="E119" s="8" t="inlineStr">
        <is>
          <t>CORE</t>
        </is>
      </c>
      <c r="F119" s="8" t="inlineStr">
        <is>
          <t>META</t>
        </is>
      </c>
      <c r="G119" s="8" t="inlineStr">
        <is>
          <t>Total</t>
        </is>
      </c>
      <c r="I119" s="9" t="inlineStr">
        <is>
          <t>PAID</t>
        </is>
      </c>
      <c r="J119" s="9" t="inlineStr">
        <is>
          <t>ADS</t>
        </is>
      </c>
      <c r="K119" s="9" t="inlineStr">
        <is>
          <t>CORE</t>
        </is>
      </c>
      <c r="L119" s="9" t="inlineStr">
        <is>
          <t>META</t>
        </is>
      </c>
      <c r="M119" s="9" t="inlineStr">
        <is>
          <t>Total</t>
        </is>
      </c>
      <c r="O119" s="10" t="inlineStr">
        <is>
          <t>PAID</t>
        </is>
      </c>
      <c r="P119" s="10" t="inlineStr">
        <is>
          <t>ADS</t>
        </is>
      </c>
      <c r="Q119" s="10" t="inlineStr">
        <is>
          <t>CORE</t>
        </is>
      </c>
      <c r="R119" s="10" t="inlineStr">
        <is>
          <t>META</t>
        </is>
      </c>
      <c r="S119" s="10" t="inlineStr">
        <is>
          <t>Total</t>
        </is>
      </c>
      <c r="U119" s="11" t="inlineStr">
        <is>
          <t>cur spend</t>
        </is>
      </c>
      <c r="V119" s="11" t="inlineStr">
        <is>
          <t>cur net</t>
        </is>
      </c>
      <c r="W119" s="11" t="inlineStr">
        <is>
          <t>new net</t>
        </is>
      </c>
      <c r="X119" s="11" t="inlineStr">
        <is>
          <t>net Δ</t>
        </is>
      </c>
    </row>
    <row r="120">
      <c r="B120" s="12" t="inlineStr">
        <is>
          <t>NONPAYER</t>
        </is>
      </c>
    </row>
    <row r="121">
      <c r="B121" s="13" t="inlineStr">
        <is>
          <t>0-9</t>
        </is>
      </c>
      <c r="C121" s="14" t="n">
        <v>0</v>
      </c>
      <c r="D121" s="14" t="n">
        <v>0</v>
      </c>
      <c r="E121" s="14" t="n">
        <v>0.6</v>
      </c>
      <c r="F121" s="14" t="n">
        <v>2.51</v>
      </c>
      <c r="G121" s="14">
        <f>SUM(C121:F121)</f>
        <v/>
      </c>
      <c r="I121" s="14" t="n">
        <v>0</v>
      </c>
      <c r="J121" s="14" t="n">
        <v>0</v>
      </c>
      <c r="K121" s="14" t="n">
        <v>0.6</v>
      </c>
      <c r="L121" s="14" t="n">
        <v>4.86</v>
      </c>
      <c r="M121" s="14">
        <f>SUM(I121:L121)</f>
        <v/>
      </c>
      <c r="O121" s="15">
        <f>IFERROR(I121/C121-1,"")</f>
        <v/>
      </c>
      <c r="P121" s="15">
        <f>IFERROR(J121/D121-1,"")</f>
        <v/>
      </c>
      <c r="Q121" s="15">
        <f>IFERROR(K121/E121-1,"")</f>
        <v/>
      </c>
      <c r="R121" s="15">
        <f>IFERROR(L121/F121-1,"")</f>
        <v/>
      </c>
      <c r="S121" s="15">
        <f>IFERROR(M121/G121-1,"")</f>
        <v/>
      </c>
      <c r="U121" s="16" t="n"/>
      <c r="V121" s="16" t="n"/>
      <c r="W121" s="16" t="n"/>
      <c r="X121" s="16">
        <f>IFERROR(W121-V121,"")</f>
        <v/>
      </c>
    </row>
    <row r="122">
      <c r="B122" s="13" t="inlineStr">
        <is>
          <t>10-19</t>
        </is>
      </c>
      <c r="C122" s="14" t="n">
        <v>0</v>
      </c>
      <c r="D122" s="14" t="n">
        <v>0</v>
      </c>
      <c r="E122" s="14" t="n">
        <v>1.14</v>
      </c>
      <c r="F122" s="14" t="n">
        <v>3.18</v>
      </c>
      <c r="G122" s="14">
        <f>SUM(C122:F122)</f>
        <v/>
      </c>
      <c r="I122" s="14" t="n">
        <v>0</v>
      </c>
      <c r="J122" s="14" t="n">
        <v>0</v>
      </c>
      <c r="K122" s="14" t="n">
        <v>1.14</v>
      </c>
      <c r="L122" s="14" t="n">
        <v>7.34</v>
      </c>
      <c r="M122" s="14">
        <f>SUM(I122:L122)</f>
        <v/>
      </c>
      <c r="O122" s="15">
        <f>IFERROR(I122/C122-1,"")</f>
        <v/>
      </c>
      <c r="P122" s="15">
        <f>IFERROR(J122/D122-1,"")</f>
        <v/>
      </c>
      <c r="Q122" s="15">
        <f>IFERROR(K122/E122-1,"")</f>
        <v/>
      </c>
      <c r="R122" s="15">
        <f>IFERROR(L122/F122-1,"")</f>
        <v/>
      </c>
      <c r="S122" s="15">
        <f>IFERROR(M122/G122-1,"")</f>
        <v/>
      </c>
      <c r="U122" s="16" t="n"/>
      <c r="V122" s="16" t="n"/>
      <c r="W122" s="16" t="n"/>
      <c r="X122" s="16">
        <f>IFERROR(W122-V122,"")</f>
        <v/>
      </c>
    </row>
    <row r="123">
      <c r="B123" s="13" t="inlineStr">
        <is>
          <t>20-39</t>
        </is>
      </c>
      <c r="C123" s="14" t="n">
        <v>0</v>
      </c>
      <c r="D123" s="14" t="n">
        <v>0</v>
      </c>
      <c r="E123" s="14" t="n">
        <v>1.87</v>
      </c>
      <c r="F123" s="14" t="n">
        <v>3.86</v>
      </c>
      <c r="G123" s="14">
        <f>SUM(C123:F123)</f>
        <v/>
      </c>
      <c r="I123" s="14" t="n">
        <v>0</v>
      </c>
      <c r="J123" s="14" t="n">
        <v>0</v>
      </c>
      <c r="K123" s="14" t="n">
        <v>1.87</v>
      </c>
      <c r="L123" s="14" t="n">
        <v>9.029999999999999</v>
      </c>
      <c r="M123" s="14">
        <f>SUM(I123:L123)</f>
        <v/>
      </c>
      <c r="O123" s="15">
        <f>IFERROR(I123/C123-1,"")</f>
        <v/>
      </c>
      <c r="P123" s="15">
        <f>IFERROR(J123/D123-1,"")</f>
        <v/>
      </c>
      <c r="Q123" s="15">
        <f>IFERROR(K123/E123-1,"")</f>
        <v/>
      </c>
      <c r="R123" s="15">
        <f>IFERROR(L123/F123-1,"")</f>
        <v/>
      </c>
      <c r="S123" s="15">
        <f>IFERROR(M123/G123-1,"")</f>
        <v/>
      </c>
      <c r="U123" s="16" t="n"/>
      <c r="V123" s="16" t="n"/>
      <c r="W123" s="16" t="n"/>
      <c r="X123" s="16">
        <f>IFERROR(W123-V123,"")</f>
        <v/>
      </c>
    </row>
    <row r="124">
      <c r="B124" s="13" t="inlineStr">
        <is>
          <t>40-99</t>
        </is>
      </c>
      <c r="C124" s="14" t="n">
        <v>0</v>
      </c>
      <c r="D124" s="14" t="n">
        <v>0</v>
      </c>
      <c r="E124" s="14" t="n">
        <v>3.73</v>
      </c>
      <c r="F124" s="14" t="n">
        <v>5.37</v>
      </c>
      <c r="G124" s="14">
        <f>SUM(C124:F124)</f>
        <v/>
      </c>
      <c r="I124" s="14" t="n">
        <v>0</v>
      </c>
      <c r="J124" s="14" t="n">
        <v>0</v>
      </c>
      <c r="K124" s="14" t="n">
        <v>3.73</v>
      </c>
      <c r="L124" s="14" t="n">
        <v>12.19</v>
      </c>
      <c r="M124" s="14">
        <f>SUM(I124:L124)</f>
        <v/>
      </c>
      <c r="O124" s="15">
        <f>IFERROR(I124/C124-1,"")</f>
        <v/>
      </c>
      <c r="P124" s="15">
        <f>IFERROR(J124/D124-1,"")</f>
        <v/>
      </c>
      <c r="Q124" s="15">
        <f>IFERROR(K124/E124-1,"")</f>
        <v/>
      </c>
      <c r="R124" s="15">
        <f>IFERROR(L124/F124-1,"")</f>
        <v/>
      </c>
      <c r="S124" s="15">
        <f>IFERROR(M124/G124-1,"")</f>
        <v/>
      </c>
      <c r="U124" s="16" t="n"/>
      <c r="V124" s="16" t="n"/>
      <c r="W124" s="16" t="n"/>
      <c r="X124" s="16">
        <f>IFERROR(W124-V124,"")</f>
        <v/>
      </c>
    </row>
    <row r="125">
      <c r="B125" s="13" t="inlineStr">
        <is>
          <t>100+</t>
        </is>
      </c>
      <c r="C125" s="14" t="n">
        <v>0</v>
      </c>
      <c r="D125" s="14" t="n">
        <v>0</v>
      </c>
      <c r="E125" s="14" t="n">
        <v>6.49</v>
      </c>
      <c r="F125" s="14" t="n">
        <v>5.33</v>
      </c>
      <c r="G125" s="14">
        <f>SUM(C125:F125)</f>
        <v/>
      </c>
      <c r="I125" s="14" t="n">
        <v>0</v>
      </c>
      <c r="J125" s="14" t="n">
        <v>0</v>
      </c>
      <c r="K125" s="14" t="n">
        <v>6.49</v>
      </c>
      <c r="L125" s="14" t="n">
        <v>13.59</v>
      </c>
      <c r="M125" s="14">
        <f>SUM(I125:L125)</f>
        <v/>
      </c>
      <c r="O125" s="15">
        <f>IFERROR(I125/C125-1,"")</f>
        <v/>
      </c>
      <c r="P125" s="15">
        <f>IFERROR(J125/D125-1,"")</f>
        <v/>
      </c>
      <c r="Q125" s="15">
        <f>IFERROR(K125/E125-1,"")</f>
        <v/>
      </c>
      <c r="R125" s="15">
        <f>IFERROR(L125/F125-1,"")</f>
        <v/>
      </c>
      <c r="S125" s="15">
        <f>IFERROR(M125/G125-1,"")</f>
        <v/>
      </c>
      <c r="U125" s="16" t="n"/>
      <c r="V125" s="16" t="n"/>
      <c r="W125" s="16" t="n"/>
      <c r="X125" s="16">
        <f>IFERROR(W125-V125,"")</f>
        <v/>
      </c>
    </row>
    <row r="126">
      <c r="B126" s="17" t="inlineStr">
        <is>
          <t>overall</t>
        </is>
      </c>
      <c r="C126" s="18" t="n">
        <v>0</v>
      </c>
      <c r="D126" s="18" t="n">
        <v>0</v>
      </c>
      <c r="E126" s="18" t="n">
        <v>1.3042</v>
      </c>
      <c r="F126" s="18" t="n">
        <v>3.1924</v>
      </c>
      <c r="G126" s="18">
        <f>SUM(C126:F126)</f>
        <v/>
      </c>
      <c r="I126" s="18" t="n">
        <v>0</v>
      </c>
      <c r="J126" s="18" t="n">
        <v>0</v>
      </c>
      <c r="K126" s="18" t="n">
        <v>1.3042</v>
      </c>
      <c r="L126" s="18" t="n">
        <v>6.942</v>
      </c>
      <c r="M126" s="18">
        <f>SUM(I126:L126)</f>
        <v/>
      </c>
      <c r="O126" s="19">
        <f>IFERROR(I126/C126-1,"")</f>
        <v/>
      </c>
      <c r="P126" s="19">
        <f>IFERROR(J126/D126-1,"")</f>
        <v/>
      </c>
      <c r="Q126" s="19">
        <f>IFERROR(K126/E126-1,"")</f>
        <v/>
      </c>
      <c r="R126" s="19">
        <f>IFERROR(L126/F126-1,"")</f>
        <v/>
      </c>
      <c r="S126" s="19">
        <f>IFERROR(M126/G126-1,"")</f>
        <v/>
      </c>
      <c r="U126" s="20" t="n"/>
      <c r="V126" s="20" t="n"/>
      <c r="W126" s="20" t="n"/>
      <c r="X126" s="20">
        <f>IFERROR(W126-V126,"")</f>
        <v/>
      </c>
    </row>
    <row r="127">
      <c r="B127" s="12" t="inlineStr">
        <is>
          <t>PAYER</t>
        </is>
      </c>
    </row>
    <row r="128">
      <c r="B128" s="13" t="inlineStr">
        <is>
          <t>0-9</t>
        </is>
      </c>
      <c r="C128" s="14" t="n">
        <v>0</v>
      </c>
      <c r="D128" s="14" t="n">
        <v>0</v>
      </c>
      <c r="E128" s="14" t="n">
        <v>0.63</v>
      </c>
      <c r="F128" s="14" t="n">
        <v>3.5</v>
      </c>
      <c r="G128" s="14">
        <f>SUM(C128:F128)</f>
        <v/>
      </c>
      <c r="I128" s="14" t="n">
        <v>0</v>
      </c>
      <c r="J128" s="14" t="n">
        <v>0</v>
      </c>
      <c r="K128" s="14" t="n">
        <v>0.63</v>
      </c>
      <c r="L128" s="14" t="n">
        <v>6.39</v>
      </c>
      <c r="M128" s="14">
        <f>SUM(I128:L128)</f>
        <v/>
      </c>
      <c r="O128" s="15">
        <f>IFERROR(I128/C128-1,"")</f>
        <v/>
      </c>
      <c r="P128" s="15">
        <f>IFERROR(J128/D128-1,"")</f>
        <v/>
      </c>
      <c r="Q128" s="15">
        <f>IFERROR(K128/E128-1,"")</f>
        <v/>
      </c>
      <c r="R128" s="15">
        <f>IFERROR(L128/F128-1,"")</f>
        <v/>
      </c>
      <c r="S128" s="15">
        <f>IFERROR(M128/G128-1,"")</f>
        <v/>
      </c>
      <c r="U128" s="16" t="n"/>
      <c r="V128" s="16" t="n"/>
      <c r="W128" s="16" t="n"/>
      <c r="X128" s="16">
        <f>IFERROR(W128-V128,"")</f>
        <v/>
      </c>
    </row>
    <row r="129">
      <c r="B129" s="13" t="inlineStr">
        <is>
          <t>10-19</t>
        </is>
      </c>
      <c r="C129" s="14" t="n">
        <v>0</v>
      </c>
      <c r="D129" s="14" t="n">
        <v>0</v>
      </c>
      <c r="E129" s="14" t="n">
        <v>1.03</v>
      </c>
      <c r="F129" s="14" t="n">
        <v>4.08</v>
      </c>
      <c r="G129" s="14">
        <f>SUM(C129:F129)</f>
        <v/>
      </c>
      <c r="I129" s="14" t="n">
        <v>0</v>
      </c>
      <c r="J129" s="14" t="n">
        <v>0</v>
      </c>
      <c r="K129" s="14" t="n">
        <v>1.03</v>
      </c>
      <c r="L129" s="14" t="n">
        <v>8.380000000000001</v>
      </c>
      <c r="M129" s="14">
        <f>SUM(I129:L129)</f>
        <v/>
      </c>
      <c r="O129" s="15">
        <f>IFERROR(I129/C129-1,"")</f>
        <v/>
      </c>
      <c r="P129" s="15">
        <f>IFERROR(J129/D129-1,"")</f>
        <v/>
      </c>
      <c r="Q129" s="15">
        <f>IFERROR(K129/E129-1,"")</f>
        <v/>
      </c>
      <c r="R129" s="15">
        <f>IFERROR(L129/F129-1,"")</f>
        <v/>
      </c>
      <c r="S129" s="15">
        <f>IFERROR(M129/G129-1,"")</f>
        <v/>
      </c>
      <c r="U129" s="16" t="n"/>
      <c r="V129" s="16" t="n"/>
      <c r="W129" s="16" t="n"/>
      <c r="X129" s="16">
        <f>IFERROR(W129-V129,"")</f>
        <v/>
      </c>
    </row>
    <row r="130">
      <c r="B130" s="13" t="inlineStr">
        <is>
          <t>20-39</t>
        </is>
      </c>
      <c r="C130" s="14" t="n">
        <v>0</v>
      </c>
      <c r="D130" s="14" t="n">
        <v>0</v>
      </c>
      <c r="E130" s="14" t="n">
        <v>1.62</v>
      </c>
      <c r="F130" s="14" t="n">
        <v>5.03</v>
      </c>
      <c r="G130" s="14">
        <f>SUM(C130:F130)</f>
        <v/>
      </c>
      <c r="I130" s="14" t="n">
        <v>0</v>
      </c>
      <c r="J130" s="14" t="n">
        <v>0</v>
      </c>
      <c r="K130" s="14" t="n">
        <v>1.62</v>
      </c>
      <c r="L130" s="14" t="n">
        <v>10.14</v>
      </c>
      <c r="M130" s="14">
        <f>SUM(I130:L130)</f>
        <v/>
      </c>
      <c r="O130" s="15">
        <f>IFERROR(I130/C130-1,"")</f>
        <v/>
      </c>
      <c r="P130" s="15">
        <f>IFERROR(J130/D130-1,"")</f>
        <v/>
      </c>
      <c r="Q130" s="15">
        <f>IFERROR(K130/E130-1,"")</f>
        <v/>
      </c>
      <c r="R130" s="15">
        <f>IFERROR(L130/F130-1,"")</f>
        <v/>
      </c>
      <c r="S130" s="15">
        <f>IFERROR(M130/G130-1,"")</f>
        <v/>
      </c>
      <c r="U130" s="16" t="n"/>
      <c r="V130" s="16" t="n"/>
      <c r="W130" s="16" t="n"/>
      <c r="X130" s="16">
        <f>IFERROR(W130-V130,"")</f>
        <v/>
      </c>
    </row>
    <row r="131">
      <c r="B131" s="13" t="inlineStr">
        <is>
          <t>40-99</t>
        </is>
      </c>
      <c r="C131" s="14" t="n">
        <v>0</v>
      </c>
      <c r="D131" s="14" t="n">
        <v>0</v>
      </c>
      <c r="E131" s="14" t="n">
        <v>3.05</v>
      </c>
      <c r="F131" s="14" t="n">
        <v>6.79</v>
      </c>
      <c r="G131" s="14">
        <f>SUM(C131:F131)</f>
        <v/>
      </c>
      <c r="I131" s="14" t="n">
        <v>0</v>
      </c>
      <c r="J131" s="14" t="n">
        <v>0</v>
      </c>
      <c r="K131" s="14" t="n">
        <v>3.05</v>
      </c>
      <c r="L131" s="14" t="n">
        <v>13.21</v>
      </c>
      <c r="M131" s="14">
        <f>SUM(I131:L131)</f>
        <v/>
      </c>
      <c r="O131" s="15">
        <f>IFERROR(I131/C131-1,"")</f>
        <v/>
      </c>
      <c r="P131" s="15">
        <f>IFERROR(J131/D131-1,"")</f>
        <v/>
      </c>
      <c r="Q131" s="15">
        <f>IFERROR(K131/E131-1,"")</f>
        <v/>
      </c>
      <c r="R131" s="15">
        <f>IFERROR(L131/F131-1,"")</f>
        <v/>
      </c>
      <c r="S131" s="15">
        <f>IFERROR(M131/G131-1,"")</f>
        <v/>
      </c>
      <c r="U131" s="16" t="n"/>
      <c r="V131" s="16" t="n"/>
      <c r="W131" s="16" t="n"/>
      <c r="X131" s="16">
        <f>IFERROR(W131-V131,"")</f>
        <v/>
      </c>
    </row>
    <row r="132">
      <c r="B132" s="13" t="inlineStr">
        <is>
          <t>100+</t>
        </is>
      </c>
      <c r="C132" s="14" t="n">
        <v>0</v>
      </c>
      <c r="D132" s="14" t="n">
        <v>0</v>
      </c>
      <c r="E132" s="14" t="n">
        <v>5.61</v>
      </c>
      <c r="F132" s="14" t="n">
        <v>7.38</v>
      </c>
      <c r="G132" s="14">
        <f>SUM(C132:F132)</f>
        <v/>
      </c>
      <c r="I132" s="14" t="n">
        <v>0</v>
      </c>
      <c r="J132" s="14" t="n">
        <v>0</v>
      </c>
      <c r="K132" s="14" t="n">
        <v>5.61</v>
      </c>
      <c r="L132" s="14" t="n">
        <v>16.12</v>
      </c>
      <c r="M132" s="14">
        <f>SUM(I132:L132)</f>
        <v/>
      </c>
      <c r="O132" s="15">
        <f>IFERROR(I132/C132-1,"")</f>
        <v/>
      </c>
      <c r="P132" s="15">
        <f>IFERROR(J132/D132-1,"")</f>
        <v/>
      </c>
      <c r="Q132" s="15">
        <f>IFERROR(K132/E132-1,"")</f>
        <v/>
      </c>
      <c r="R132" s="15">
        <f>IFERROR(L132/F132-1,"")</f>
        <v/>
      </c>
      <c r="S132" s="15">
        <f>IFERROR(M132/G132-1,"")</f>
        <v/>
      </c>
      <c r="U132" s="16" t="n"/>
      <c r="V132" s="16" t="n"/>
      <c r="W132" s="16" t="n"/>
      <c r="X132" s="16">
        <f>IFERROR(W132-V132,"")</f>
        <v/>
      </c>
    </row>
    <row r="133">
      <c r="B133" s="17" t="inlineStr">
        <is>
          <t>overall</t>
        </is>
      </c>
      <c r="C133" s="18" t="n">
        <v>0</v>
      </c>
      <c r="D133" s="18" t="n">
        <v>0</v>
      </c>
      <c r="E133" s="18" t="n">
        <v>1.1275</v>
      </c>
      <c r="F133" s="18" t="n">
        <v>4.1793</v>
      </c>
      <c r="G133" s="18">
        <f>SUM(C133:F133)</f>
        <v/>
      </c>
      <c r="I133" s="18" t="n">
        <v>0</v>
      </c>
      <c r="J133" s="18" t="n">
        <v>0</v>
      </c>
      <c r="K133" s="18" t="n">
        <v>1.1275</v>
      </c>
      <c r="L133" s="18" t="n">
        <v>8.093400000000001</v>
      </c>
      <c r="M133" s="18">
        <f>SUM(I133:L133)</f>
        <v/>
      </c>
      <c r="O133" s="19">
        <f>IFERROR(I133/C133-1,"")</f>
        <v/>
      </c>
      <c r="P133" s="19">
        <f>IFERROR(J133/D133-1,"")</f>
        <v/>
      </c>
      <c r="Q133" s="19">
        <f>IFERROR(K133/E133-1,"")</f>
        <v/>
      </c>
      <c r="R133" s="19">
        <f>IFERROR(L133/F133-1,"")</f>
        <v/>
      </c>
      <c r="S133" s="19">
        <f>IFERROR(M133/G133-1,"")</f>
        <v/>
      </c>
      <c r="U133" s="20" t="n"/>
      <c r="V133" s="20" t="n"/>
      <c r="W133" s="20" t="n"/>
      <c r="X133" s="20">
        <f>IFERROR(W133-V133,"")</f>
        <v/>
      </c>
    </row>
    <row r="136">
      <c r="B136" s="2" t="inlineStr">
        <is>
          <t>◆ UL Bomb</t>
        </is>
      </c>
    </row>
    <row r="137">
      <c r="C137" s="3" t="inlineStr">
        <is>
          <t>◄ CURRENT (actuals: data + calc) ►</t>
        </is>
      </c>
      <c r="D137" s="3" t="n"/>
      <c r="E137" s="3" t="n"/>
      <c r="F137" s="3" t="n"/>
      <c r="G137" s="3" t="n"/>
      <c r="I137" s="4" t="inlineStr">
        <is>
          <t>◄ SIMULATED (EcoGainsSim v4) ►</t>
        </is>
      </c>
      <c r="J137" s="4" t="n"/>
      <c r="K137" s="4" t="n"/>
      <c r="L137" s="4" t="n"/>
      <c r="M137" s="4" t="n"/>
      <c r="O137" s="5" t="inlineStr">
        <is>
          <t>Δ</t>
        </is>
      </c>
      <c r="P137" s="5" t="n"/>
      <c r="Q137" s="5" t="n"/>
      <c r="R137" s="5" t="n"/>
      <c r="S137" s="5" t="n"/>
      <c r="U137" s="6" t="inlineStr">
        <is>
          <t>◄ NET / earner (spend held constant) ►</t>
        </is>
      </c>
      <c r="V137" s="6" t="n"/>
      <c r="W137" s="6" t="n"/>
      <c r="X137" s="6" t="n"/>
    </row>
    <row r="138">
      <c r="B138" s="7" t="inlineStr">
        <is>
          <t>Segment</t>
        </is>
      </c>
      <c r="C138" s="8" t="inlineStr">
        <is>
          <t>PAID</t>
        </is>
      </c>
      <c r="D138" s="8" t="inlineStr">
        <is>
          <t>ADS</t>
        </is>
      </c>
      <c r="E138" s="8" t="inlineStr">
        <is>
          <t>CORE</t>
        </is>
      </c>
      <c r="F138" s="8" t="inlineStr">
        <is>
          <t>META</t>
        </is>
      </c>
      <c r="G138" s="8" t="inlineStr">
        <is>
          <t>Total</t>
        </is>
      </c>
      <c r="I138" s="9" t="inlineStr">
        <is>
          <t>PAID</t>
        </is>
      </c>
      <c r="J138" s="9" t="inlineStr">
        <is>
          <t>ADS</t>
        </is>
      </c>
      <c r="K138" s="9" t="inlineStr">
        <is>
          <t>CORE</t>
        </is>
      </c>
      <c r="L138" s="9" t="inlineStr">
        <is>
          <t>META</t>
        </is>
      </c>
      <c r="M138" s="9" t="inlineStr">
        <is>
          <t>Total</t>
        </is>
      </c>
      <c r="O138" s="10" t="inlineStr">
        <is>
          <t>PAID</t>
        </is>
      </c>
      <c r="P138" s="10" t="inlineStr">
        <is>
          <t>ADS</t>
        </is>
      </c>
      <c r="Q138" s="10" t="inlineStr">
        <is>
          <t>CORE</t>
        </is>
      </c>
      <c r="R138" s="10" t="inlineStr">
        <is>
          <t>META</t>
        </is>
      </c>
      <c r="S138" s="10" t="inlineStr">
        <is>
          <t>Total</t>
        </is>
      </c>
      <c r="U138" s="11" t="inlineStr">
        <is>
          <t>cur spend</t>
        </is>
      </c>
      <c r="V138" s="11" t="inlineStr">
        <is>
          <t>cur net</t>
        </is>
      </c>
      <c r="W138" s="11" t="inlineStr">
        <is>
          <t>new net</t>
        </is>
      </c>
      <c r="X138" s="11" t="inlineStr">
        <is>
          <t>net Δ</t>
        </is>
      </c>
    </row>
    <row r="139">
      <c r="B139" s="12" t="inlineStr">
        <is>
          <t>NONPAYER</t>
        </is>
      </c>
    </row>
    <row r="140">
      <c r="B140" s="13" t="inlineStr">
        <is>
          <t>0-9</t>
        </is>
      </c>
      <c r="C140" s="14" t="n">
        <v>0</v>
      </c>
      <c r="D140" s="14" t="n">
        <v>0</v>
      </c>
      <c r="E140" s="14" t="n">
        <v>26.13</v>
      </c>
      <c r="F140" s="14" t="n">
        <v>4.35</v>
      </c>
      <c r="G140" s="14">
        <f>SUM(C140:F140)</f>
        <v/>
      </c>
      <c r="I140" s="14" t="n">
        <v>0</v>
      </c>
      <c r="J140" s="14" t="n">
        <v>0</v>
      </c>
      <c r="K140" s="14" t="n">
        <v>26.13</v>
      </c>
      <c r="L140" s="14" t="n">
        <v>2.7</v>
      </c>
      <c r="M140" s="14">
        <f>SUM(I140:L140)</f>
        <v/>
      </c>
      <c r="O140" s="15">
        <f>IFERROR(I140/C140-1,"")</f>
        <v/>
      </c>
      <c r="P140" s="15">
        <f>IFERROR(J140/D140-1,"")</f>
        <v/>
      </c>
      <c r="Q140" s="15">
        <f>IFERROR(K140/E140-1,"")</f>
        <v/>
      </c>
      <c r="R140" s="15">
        <f>IFERROR(L140/F140-1,"")</f>
        <v/>
      </c>
      <c r="S140" s="15">
        <f>IFERROR(M140/G140-1,"")</f>
        <v/>
      </c>
      <c r="U140" s="16" t="n"/>
      <c r="V140" s="16" t="n"/>
      <c r="W140" s="16" t="n"/>
      <c r="X140" s="16">
        <f>IFERROR(W140-V140,"")</f>
        <v/>
      </c>
    </row>
    <row r="141">
      <c r="B141" s="13" t="inlineStr">
        <is>
          <t>10-19</t>
        </is>
      </c>
      <c r="C141" s="14" t="n">
        <v>0</v>
      </c>
      <c r="D141" s="14" t="n">
        <v>0</v>
      </c>
      <c r="E141" s="14" t="n">
        <v>14.01</v>
      </c>
      <c r="F141" s="14" t="n">
        <v>13.32</v>
      </c>
      <c r="G141" s="14">
        <f>SUM(C141:F141)</f>
        <v/>
      </c>
      <c r="I141" s="14" t="n">
        <v>0</v>
      </c>
      <c r="J141" s="14" t="n">
        <v>0</v>
      </c>
      <c r="K141" s="14" t="n">
        <v>14.01</v>
      </c>
      <c r="L141" s="14" t="n">
        <v>7</v>
      </c>
      <c r="M141" s="14">
        <f>SUM(I141:L141)</f>
        <v/>
      </c>
      <c r="O141" s="15">
        <f>IFERROR(I141/C141-1,"")</f>
        <v/>
      </c>
      <c r="P141" s="15">
        <f>IFERROR(J141/D141-1,"")</f>
        <v/>
      </c>
      <c r="Q141" s="15">
        <f>IFERROR(K141/E141-1,"")</f>
        <v/>
      </c>
      <c r="R141" s="15">
        <f>IFERROR(L141/F141-1,"")</f>
        <v/>
      </c>
      <c r="S141" s="15">
        <f>IFERROR(M141/G141-1,"")</f>
        <v/>
      </c>
      <c r="U141" s="16" t="n"/>
      <c r="V141" s="16" t="n"/>
      <c r="W141" s="16" t="n"/>
      <c r="X141" s="16">
        <f>IFERROR(W141-V141,"")</f>
        <v/>
      </c>
    </row>
    <row r="142">
      <c r="B142" s="13" t="inlineStr">
        <is>
          <t>20-39</t>
        </is>
      </c>
      <c r="C142" s="14" t="n">
        <v>0</v>
      </c>
      <c r="D142" s="14" t="n">
        <v>0</v>
      </c>
      <c r="E142" s="14" t="n">
        <v>7.35</v>
      </c>
      <c r="F142" s="14" t="n">
        <v>19.61</v>
      </c>
      <c r="G142" s="14">
        <f>SUM(C142:F142)</f>
        <v/>
      </c>
      <c r="I142" s="14" t="n">
        <v>0</v>
      </c>
      <c r="J142" s="14" t="n">
        <v>0</v>
      </c>
      <c r="K142" s="14" t="n">
        <v>7.35</v>
      </c>
      <c r="L142" s="14" t="n">
        <v>10.8</v>
      </c>
      <c r="M142" s="14">
        <f>SUM(I142:L142)</f>
        <v/>
      </c>
      <c r="O142" s="15">
        <f>IFERROR(I142/C142-1,"")</f>
        <v/>
      </c>
      <c r="P142" s="15">
        <f>IFERROR(J142/D142-1,"")</f>
        <v/>
      </c>
      <c r="Q142" s="15">
        <f>IFERROR(K142/E142-1,"")</f>
        <v/>
      </c>
      <c r="R142" s="15">
        <f>IFERROR(L142/F142-1,"")</f>
        <v/>
      </c>
      <c r="S142" s="15">
        <f>IFERROR(M142/G142-1,"")</f>
        <v/>
      </c>
      <c r="U142" s="16" t="n"/>
      <c r="V142" s="16" t="n"/>
      <c r="W142" s="16" t="n"/>
      <c r="X142" s="16">
        <f>IFERROR(W142-V142,"")</f>
        <v/>
      </c>
    </row>
    <row r="143">
      <c r="B143" s="13" t="inlineStr">
        <is>
          <t>40-99</t>
        </is>
      </c>
      <c r="C143" s="14" t="n">
        <v>0</v>
      </c>
      <c r="D143" s="14" t="n">
        <v>0</v>
      </c>
      <c r="E143" s="14" t="n">
        <v>5.75</v>
      </c>
      <c r="F143" s="14" t="n">
        <v>30.15</v>
      </c>
      <c r="G143" s="14">
        <f>SUM(C143:F143)</f>
        <v/>
      </c>
      <c r="I143" s="14" t="n">
        <v>0</v>
      </c>
      <c r="J143" s="14" t="n">
        <v>0</v>
      </c>
      <c r="K143" s="14" t="n">
        <v>5.75</v>
      </c>
      <c r="L143" s="14" t="n">
        <v>19.23</v>
      </c>
      <c r="M143" s="14">
        <f>SUM(I143:L143)</f>
        <v/>
      </c>
      <c r="O143" s="15">
        <f>IFERROR(I143/C143-1,"")</f>
        <v/>
      </c>
      <c r="P143" s="15">
        <f>IFERROR(J143/D143-1,"")</f>
        <v/>
      </c>
      <c r="Q143" s="15">
        <f>IFERROR(K143/E143-1,"")</f>
        <v/>
      </c>
      <c r="R143" s="15">
        <f>IFERROR(L143/F143-1,"")</f>
        <v/>
      </c>
      <c r="S143" s="15">
        <f>IFERROR(M143/G143-1,"")</f>
        <v/>
      </c>
      <c r="U143" s="16" t="n"/>
      <c r="V143" s="16" t="n"/>
      <c r="W143" s="16" t="n"/>
      <c r="X143" s="16">
        <f>IFERROR(W143-V143,"")</f>
        <v/>
      </c>
    </row>
    <row r="144">
      <c r="B144" s="13" t="inlineStr">
        <is>
          <t>100+</t>
        </is>
      </c>
      <c r="C144" s="14" t="n">
        <v>0</v>
      </c>
      <c r="D144" s="14" t="n">
        <v>0</v>
      </c>
      <c r="E144" s="14" t="n">
        <v>3.04</v>
      </c>
      <c r="F144" s="14" t="n">
        <v>28.92</v>
      </c>
      <c r="G144" s="14">
        <f>SUM(C144:F144)</f>
        <v/>
      </c>
      <c r="I144" s="14" t="n">
        <v>0</v>
      </c>
      <c r="J144" s="14" t="n">
        <v>0</v>
      </c>
      <c r="K144" s="14" t="n">
        <v>3.04</v>
      </c>
      <c r="L144" s="14" t="n">
        <v>35.51</v>
      </c>
      <c r="M144" s="14">
        <f>SUM(I144:L144)</f>
        <v/>
      </c>
      <c r="O144" s="15">
        <f>IFERROR(I144/C144-1,"")</f>
        <v/>
      </c>
      <c r="P144" s="15">
        <f>IFERROR(J144/D144-1,"")</f>
        <v/>
      </c>
      <c r="Q144" s="15">
        <f>IFERROR(K144/E144-1,"")</f>
        <v/>
      </c>
      <c r="R144" s="15">
        <f>IFERROR(L144/F144-1,"")</f>
        <v/>
      </c>
      <c r="S144" s="15">
        <f>IFERROR(M144/G144-1,"")</f>
        <v/>
      </c>
      <c r="U144" s="16" t="n"/>
      <c r="V144" s="16" t="n"/>
      <c r="W144" s="16" t="n"/>
      <c r="X144" s="16">
        <f>IFERROR(W144-V144,"")</f>
        <v/>
      </c>
    </row>
    <row r="145">
      <c r="B145" s="17" t="inlineStr">
        <is>
          <t>overall</t>
        </is>
      </c>
      <c r="C145" s="18" t="n">
        <v>0</v>
      </c>
      <c r="D145" s="18" t="n">
        <v>0</v>
      </c>
      <c r="E145" s="18" t="n">
        <v>17.8473</v>
      </c>
      <c r="F145" s="18" t="n">
        <v>11.7458</v>
      </c>
      <c r="G145" s="18">
        <f>SUM(C145:F145)</f>
        <v/>
      </c>
      <c r="I145" s="18" t="n">
        <v>0</v>
      </c>
      <c r="J145" s="18" t="n">
        <v>0</v>
      </c>
      <c r="K145" s="18" t="n">
        <v>17.8473</v>
      </c>
      <c r="L145" s="18" t="n">
        <v>7.0418</v>
      </c>
      <c r="M145" s="18">
        <f>SUM(I145:L145)</f>
        <v/>
      </c>
      <c r="O145" s="19">
        <f>IFERROR(I145/C145-1,"")</f>
        <v/>
      </c>
      <c r="P145" s="19">
        <f>IFERROR(J145/D145-1,"")</f>
        <v/>
      </c>
      <c r="Q145" s="19">
        <f>IFERROR(K145/E145-1,"")</f>
        <v/>
      </c>
      <c r="R145" s="19">
        <f>IFERROR(L145/F145-1,"")</f>
        <v/>
      </c>
      <c r="S145" s="19">
        <f>IFERROR(M145/G145-1,"")</f>
        <v/>
      </c>
      <c r="U145" s="20" t="n"/>
      <c r="V145" s="20" t="n"/>
      <c r="W145" s="20" t="n"/>
      <c r="X145" s="20">
        <f>IFERROR(W145-V145,"")</f>
        <v/>
      </c>
    </row>
    <row r="146">
      <c r="B146" s="12" t="inlineStr">
        <is>
          <t>PAYER</t>
        </is>
      </c>
    </row>
    <row r="147">
      <c r="B147" s="13" t="inlineStr">
        <is>
          <t>0-9</t>
        </is>
      </c>
      <c r="C147" s="14" t="n">
        <v>0</v>
      </c>
      <c r="D147" s="14" t="n">
        <v>0</v>
      </c>
      <c r="E147" s="14" t="n">
        <v>21.27</v>
      </c>
      <c r="F147" s="14" t="n">
        <v>8.210000000000001</v>
      </c>
      <c r="G147" s="14">
        <f>SUM(C147:F147)</f>
        <v/>
      </c>
      <c r="I147" s="14" t="n">
        <v>0</v>
      </c>
      <c r="J147" s="14" t="n">
        <v>0</v>
      </c>
      <c r="K147" s="14" t="n">
        <v>21.27</v>
      </c>
      <c r="L147" s="14" t="n">
        <v>7.09</v>
      </c>
      <c r="M147" s="14">
        <f>SUM(I147:L147)</f>
        <v/>
      </c>
      <c r="O147" s="15">
        <f>IFERROR(I147/C147-1,"")</f>
        <v/>
      </c>
      <c r="P147" s="15">
        <f>IFERROR(J147/D147-1,"")</f>
        <v/>
      </c>
      <c r="Q147" s="15">
        <f>IFERROR(K147/E147-1,"")</f>
        <v/>
      </c>
      <c r="R147" s="15">
        <f>IFERROR(L147/F147-1,"")</f>
        <v/>
      </c>
      <c r="S147" s="15">
        <f>IFERROR(M147/G147-1,"")</f>
        <v/>
      </c>
      <c r="U147" s="16" t="n"/>
      <c r="V147" s="16" t="n"/>
      <c r="W147" s="16" t="n"/>
      <c r="X147" s="16">
        <f>IFERROR(W147-V147,"")</f>
        <v/>
      </c>
    </row>
    <row r="148">
      <c r="B148" s="13" t="inlineStr">
        <is>
          <t>10-19</t>
        </is>
      </c>
      <c r="C148" s="14" t="n">
        <v>0</v>
      </c>
      <c r="D148" s="14" t="n">
        <v>0</v>
      </c>
      <c r="E148" s="14" t="n">
        <v>10.97</v>
      </c>
      <c r="F148" s="14" t="n">
        <v>19.79</v>
      </c>
      <c r="G148" s="14">
        <f>SUM(C148:F148)</f>
        <v/>
      </c>
      <c r="I148" s="14" t="n">
        <v>0</v>
      </c>
      <c r="J148" s="14" t="n">
        <v>0</v>
      </c>
      <c r="K148" s="14" t="n">
        <v>10.97</v>
      </c>
      <c r="L148" s="14" t="n">
        <v>14.51</v>
      </c>
      <c r="M148" s="14">
        <f>SUM(I148:L148)</f>
        <v/>
      </c>
      <c r="O148" s="15">
        <f>IFERROR(I148/C148-1,"")</f>
        <v/>
      </c>
      <c r="P148" s="15">
        <f>IFERROR(J148/D148-1,"")</f>
        <v/>
      </c>
      <c r="Q148" s="15">
        <f>IFERROR(K148/E148-1,"")</f>
        <v/>
      </c>
      <c r="R148" s="15">
        <f>IFERROR(L148/F148-1,"")</f>
        <v/>
      </c>
      <c r="S148" s="15">
        <f>IFERROR(M148/G148-1,"")</f>
        <v/>
      </c>
      <c r="U148" s="16" t="n"/>
      <c r="V148" s="16" t="n"/>
      <c r="W148" s="16" t="n"/>
      <c r="X148" s="16">
        <f>IFERROR(W148-V148,"")</f>
        <v/>
      </c>
    </row>
    <row r="149">
      <c r="B149" s="13" t="inlineStr">
        <is>
          <t>20-39</t>
        </is>
      </c>
      <c r="C149" s="14" t="n">
        <v>0</v>
      </c>
      <c r="D149" s="14" t="n">
        <v>0</v>
      </c>
      <c r="E149" s="14" t="n">
        <v>5.82</v>
      </c>
      <c r="F149" s="14" t="n">
        <v>27.01</v>
      </c>
      <c r="G149" s="14">
        <f>SUM(C149:F149)</f>
        <v/>
      </c>
      <c r="I149" s="14" t="n">
        <v>0</v>
      </c>
      <c r="J149" s="14" t="n">
        <v>0</v>
      </c>
      <c r="K149" s="14" t="n">
        <v>5.82</v>
      </c>
      <c r="L149" s="14" t="n">
        <v>18.73</v>
      </c>
      <c r="M149" s="14">
        <f>SUM(I149:L149)</f>
        <v/>
      </c>
      <c r="O149" s="15">
        <f>IFERROR(I149/C149-1,"")</f>
        <v/>
      </c>
      <c r="P149" s="15">
        <f>IFERROR(J149/D149-1,"")</f>
        <v/>
      </c>
      <c r="Q149" s="15">
        <f>IFERROR(K149/E149-1,"")</f>
        <v/>
      </c>
      <c r="R149" s="15">
        <f>IFERROR(L149/F149-1,"")</f>
        <v/>
      </c>
      <c r="S149" s="15">
        <f>IFERROR(M149/G149-1,"")</f>
        <v/>
      </c>
      <c r="U149" s="16" t="n"/>
      <c r="V149" s="16" t="n"/>
      <c r="W149" s="16" t="n"/>
      <c r="X149" s="16">
        <f>IFERROR(W149-V149,"")</f>
        <v/>
      </c>
    </row>
    <row r="150">
      <c r="B150" s="13" t="inlineStr">
        <is>
          <t>40-99</t>
        </is>
      </c>
      <c r="C150" s="14" t="n">
        <v>0</v>
      </c>
      <c r="D150" s="14" t="n">
        <v>0</v>
      </c>
      <c r="E150" s="14" t="n">
        <v>4.05</v>
      </c>
      <c r="F150" s="14" t="n">
        <v>35.82</v>
      </c>
      <c r="G150" s="14">
        <f>SUM(C150:F150)</f>
        <v/>
      </c>
      <c r="I150" s="14" t="n">
        <v>0</v>
      </c>
      <c r="J150" s="14" t="n">
        <v>0</v>
      </c>
      <c r="K150" s="14" t="n">
        <v>4.05</v>
      </c>
      <c r="L150" s="14" t="n">
        <v>25.27</v>
      </c>
      <c r="M150" s="14">
        <f>SUM(I150:L150)</f>
        <v/>
      </c>
      <c r="O150" s="15">
        <f>IFERROR(I150/C150-1,"")</f>
        <v/>
      </c>
      <c r="P150" s="15">
        <f>IFERROR(J150/D150-1,"")</f>
        <v/>
      </c>
      <c r="Q150" s="15">
        <f>IFERROR(K150/E150-1,"")</f>
        <v/>
      </c>
      <c r="R150" s="15">
        <f>IFERROR(L150/F150-1,"")</f>
        <v/>
      </c>
      <c r="S150" s="15">
        <f>IFERROR(M150/G150-1,"")</f>
        <v/>
      </c>
      <c r="U150" s="16" t="n"/>
      <c r="V150" s="16" t="n"/>
      <c r="W150" s="16" t="n"/>
      <c r="X150" s="16">
        <f>IFERROR(W150-V150,"")</f>
        <v/>
      </c>
    </row>
    <row r="151">
      <c r="B151" s="13" t="inlineStr">
        <is>
          <t>100+</t>
        </is>
      </c>
      <c r="C151" s="14" t="n">
        <v>0</v>
      </c>
      <c r="D151" s="14" t="n">
        <v>0</v>
      </c>
      <c r="E151" s="14" t="n">
        <v>2.13</v>
      </c>
      <c r="F151" s="14" t="n">
        <v>37.35</v>
      </c>
      <c r="G151" s="14">
        <f>SUM(C151:F151)</f>
        <v/>
      </c>
      <c r="I151" s="14" t="n">
        <v>0</v>
      </c>
      <c r="J151" s="14" t="n">
        <v>0</v>
      </c>
      <c r="K151" s="14" t="n">
        <v>2.13</v>
      </c>
      <c r="L151" s="14" t="n">
        <v>45.75</v>
      </c>
      <c r="M151" s="14">
        <f>SUM(I151:L151)</f>
        <v/>
      </c>
      <c r="O151" s="15">
        <f>IFERROR(I151/C151-1,"")</f>
        <v/>
      </c>
      <c r="P151" s="15">
        <f>IFERROR(J151/D151-1,"")</f>
        <v/>
      </c>
      <c r="Q151" s="15">
        <f>IFERROR(K151/E151-1,"")</f>
        <v/>
      </c>
      <c r="R151" s="15">
        <f>IFERROR(L151/F151-1,"")</f>
        <v/>
      </c>
      <c r="S151" s="15">
        <f>IFERROR(M151/G151-1,"")</f>
        <v/>
      </c>
      <c r="U151" s="16" t="n"/>
      <c r="V151" s="16" t="n"/>
      <c r="W151" s="16" t="n"/>
      <c r="X151" s="16">
        <f>IFERROR(W151-V151,"")</f>
        <v/>
      </c>
    </row>
    <row r="152">
      <c r="B152" s="17" t="inlineStr">
        <is>
          <t>overall</t>
        </is>
      </c>
      <c r="C152" s="18" t="n">
        <v>0</v>
      </c>
      <c r="D152" s="18" t="n">
        <v>0</v>
      </c>
      <c r="E152" s="18" t="n">
        <v>14.8655</v>
      </c>
      <c r="F152" s="18" t="n">
        <v>16.3759</v>
      </c>
      <c r="G152" s="18">
        <f>SUM(C152:F152)</f>
        <v/>
      </c>
      <c r="I152" s="18" t="n">
        <v>0</v>
      </c>
      <c r="J152" s="18" t="n">
        <v>0</v>
      </c>
      <c r="K152" s="18" t="n">
        <v>14.8655</v>
      </c>
      <c r="L152" s="18" t="n">
        <v>12.5328</v>
      </c>
      <c r="M152" s="18">
        <f>SUM(I152:L152)</f>
        <v/>
      </c>
      <c r="O152" s="19">
        <f>IFERROR(I152/C152-1,"")</f>
        <v/>
      </c>
      <c r="P152" s="19">
        <f>IFERROR(J152/D152-1,"")</f>
        <v/>
      </c>
      <c r="Q152" s="19">
        <f>IFERROR(K152/E152-1,"")</f>
        <v/>
      </c>
      <c r="R152" s="19">
        <f>IFERROR(L152/F152-1,"")</f>
        <v/>
      </c>
      <c r="S152" s="19">
        <f>IFERROR(M152/G152-1,"")</f>
        <v/>
      </c>
      <c r="U152" s="20" t="n"/>
      <c r="V152" s="20" t="n"/>
      <c r="W152" s="20" t="n"/>
      <c r="X152" s="20">
        <f>IFERROR(W152-V152,"")</f>
        <v/>
      </c>
    </row>
    <row r="155">
      <c r="B155" s="2" t="inlineStr">
        <is>
          <t>◆ UL Chuck</t>
        </is>
      </c>
    </row>
    <row r="156">
      <c r="C156" s="3" t="inlineStr">
        <is>
          <t>◄ CURRENT (actuals: data + calc) ►</t>
        </is>
      </c>
      <c r="D156" s="3" t="n"/>
      <c r="E156" s="3" t="n"/>
      <c r="F156" s="3" t="n"/>
      <c r="G156" s="3" t="n"/>
      <c r="I156" s="4" t="inlineStr">
        <is>
          <t>◄ SIMULATED (EcoGainsSim v4) ►</t>
        </is>
      </c>
      <c r="J156" s="4" t="n"/>
      <c r="K156" s="4" t="n"/>
      <c r="L156" s="4" t="n"/>
      <c r="M156" s="4" t="n"/>
      <c r="O156" s="5" t="inlineStr">
        <is>
          <t>Δ</t>
        </is>
      </c>
      <c r="P156" s="5" t="n"/>
      <c r="Q156" s="5" t="n"/>
      <c r="R156" s="5" t="n"/>
      <c r="S156" s="5" t="n"/>
      <c r="U156" s="6" t="inlineStr">
        <is>
          <t>◄ NET / earner (spend held constant) ►</t>
        </is>
      </c>
      <c r="V156" s="6" t="n"/>
      <c r="W156" s="6" t="n"/>
      <c r="X156" s="6" t="n"/>
    </row>
    <row r="157">
      <c r="B157" s="7" t="inlineStr">
        <is>
          <t>Segment</t>
        </is>
      </c>
      <c r="C157" s="8" t="inlineStr">
        <is>
          <t>PAID</t>
        </is>
      </c>
      <c r="D157" s="8" t="inlineStr">
        <is>
          <t>ADS</t>
        </is>
      </c>
      <c r="E157" s="8" t="inlineStr">
        <is>
          <t>CORE</t>
        </is>
      </c>
      <c r="F157" s="8" t="inlineStr">
        <is>
          <t>META</t>
        </is>
      </c>
      <c r="G157" s="8" t="inlineStr">
        <is>
          <t>Total</t>
        </is>
      </c>
      <c r="I157" s="9" t="inlineStr">
        <is>
          <t>PAID</t>
        </is>
      </c>
      <c r="J157" s="9" t="inlineStr">
        <is>
          <t>ADS</t>
        </is>
      </c>
      <c r="K157" s="9" t="inlineStr">
        <is>
          <t>CORE</t>
        </is>
      </c>
      <c r="L157" s="9" t="inlineStr">
        <is>
          <t>META</t>
        </is>
      </c>
      <c r="M157" s="9" t="inlineStr">
        <is>
          <t>Total</t>
        </is>
      </c>
      <c r="O157" s="10" t="inlineStr">
        <is>
          <t>PAID</t>
        </is>
      </c>
      <c r="P157" s="10" t="inlineStr">
        <is>
          <t>ADS</t>
        </is>
      </c>
      <c r="Q157" s="10" t="inlineStr">
        <is>
          <t>CORE</t>
        </is>
      </c>
      <c r="R157" s="10" t="inlineStr">
        <is>
          <t>META</t>
        </is>
      </c>
      <c r="S157" s="10" t="inlineStr">
        <is>
          <t>Total</t>
        </is>
      </c>
      <c r="U157" s="11" t="inlineStr">
        <is>
          <t>cur spend</t>
        </is>
      </c>
      <c r="V157" s="11" t="inlineStr">
        <is>
          <t>cur net</t>
        </is>
      </c>
      <c r="W157" s="11" t="inlineStr">
        <is>
          <t>new net</t>
        </is>
      </c>
      <c r="X157" s="11" t="inlineStr">
        <is>
          <t>net Δ</t>
        </is>
      </c>
    </row>
    <row r="158">
      <c r="B158" s="12" t="inlineStr">
        <is>
          <t>NONPAYER</t>
        </is>
      </c>
    </row>
    <row r="159">
      <c r="B159" s="13" t="inlineStr">
        <is>
          <t>0-9</t>
        </is>
      </c>
      <c r="C159" s="14" t="n">
        <v>0</v>
      </c>
      <c r="D159" s="14" t="n">
        <v>0</v>
      </c>
      <c r="E159" s="14" t="n">
        <v>11.31</v>
      </c>
      <c r="F159" s="14" t="n">
        <v>21.19</v>
      </c>
      <c r="G159" s="14">
        <f>SUM(C159:F159)</f>
        <v/>
      </c>
      <c r="I159" s="14" t="n">
        <v>0</v>
      </c>
      <c r="J159" s="14" t="n">
        <v>0</v>
      </c>
      <c r="K159" s="14" t="n">
        <v>11.31</v>
      </c>
      <c r="L159" s="14" t="n">
        <v>19.33</v>
      </c>
      <c r="M159" s="14">
        <f>SUM(I159:L159)</f>
        <v/>
      </c>
      <c r="O159" s="15">
        <f>IFERROR(I159/C159-1,"")</f>
        <v/>
      </c>
      <c r="P159" s="15">
        <f>IFERROR(J159/D159-1,"")</f>
        <v/>
      </c>
      <c r="Q159" s="15">
        <f>IFERROR(K159/E159-1,"")</f>
        <v/>
      </c>
      <c r="R159" s="15">
        <f>IFERROR(L159/F159-1,"")</f>
        <v/>
      </c>
      <c r="S159" s="15">
        <f>IFERROR(M159/G159-1,"")</f>
        <v/>
      </c>
      <c r="U159" s="16" t="n"/>
      <c r="V159" s="16" t="n"/>
      <c r="W159" s="16" t="n"/>
      <c r="X159" s="16">
        <f>IFERROR(W159-V159,"")</f>
        <v/>
      </c>
    </row>
    <row r="160">
      <c r="B160" s="13" t="inlineStr">
        <is>
          <t>10-19</t>
        </is>
      </c>
      <c r="C160" s="14" t="n">
        <v>0</v>
      </c>
      <c r="D160" s="14" t="n">
        <v>0</v>
      </c>
      <c r="E160" s="14" t="n">
        <v>9.4</v>
      </c>
      <c r="F160" s="14" t="n">
        <v>24.12</v>
      </c>
      <c r="G160" s="14">
        <f>SUM(C160:F160)</f>
        <v/>
      </c>
      <c r="I160" s="14" t="n">
        <v>0</v>
      </c>
      <c r="J160" s="14" t="n">
        <v>0</v>
      </c>
      <c r="K160" s="14" t="n">
        <v>9.4</v>
      </c>
      <c r="L160" s="14" t="n">
        <v>19.97</v>
      </c>
      <c r="M160" s="14">
        <f>SUM(I160:L160)</f>
        <v/>
      </c>
      <c r="O160" s="15">
        <f>IFERROR(I160/C160-1,"")</f>
        <v/>
      </c>
      <c r="P160" s="15">
        <f>IFERROR(J160/D160-1,"")</f>
        <v/>
      </c>
      <c r="Q160" s="15">
        <f>IFERROR(K160/E160-1,"")</f>
        <v/>
      </c>
      <c r="R160" s="15">
        <f>IFERROR(L160/F160-1,"")</f>
        <v/>
      </c>
      <c r="S160" s="15">
        <f>IFERROR(M160/G160-1,"")</f>
        <v/>
      </c>
      <c r="U160" s="16" t="n"/>
      <c r="V160" s="16" t="n"/>
      <c r="W160" s="16" t="n"/>
      <c r="X160" s="16">
        <f>IFERROR(W160-V160,"")</f>
        <v/>
      </c>
    </row>
    <row r="161">
      <c r="B161" s="13" t="inlineStr">
        <is>
          <t>20-39</t>
        </is>
      </c>
      <c r="C161" s="14" t="n">
        <v>0</v>
      </c>
      <c r="D161" s="14" t="n">
        <v>0</v>
      </c>
      <c r="E161" s="14" t="n">
        <v>8.380000000000001</v>
      </c>
      <c r="F161" s="14" t="n">
        <v>28.16</v>
      </c>
      <c r="G161" s="14">
        <f>SUM(C161:F161)</f>
        <v/>
      </c>
      <c r="I161" s="14" t="n">
        <v>0</v>
      </c>
      <c r="J161" s="14" t="n">
        <v>0</v>
      </c>
      <c r="K161" s="14" t="n">
        <v>8.380000000000001</v>
      </c>
      <c r="L161" s="14" t="n">
        <v>22.09</v>
      </c>
      <c r="M161" s="14">
        <f>SUM(I161:L161)</f>
        <v/>
      </c>
      <c r="O161" s="15">
        <f>IFERROR(I161/C161-1,"")</f>
        <v/>
      </c>
      <c r="P161" s="15">
        <f>IFERROR(J161/D161-1,"")</f>
        <v/>
      </c>
      <c r="Q161" s="15">
        <f>IFERROR(K161/E161-1,"")</f>
        <v/>
      </c>
      <c r="R161" s="15">
        <f>IFERROR(L161/F161-1,"")</f>
        <v/>
      </c>
      <c r="S161" s="15">
        <f>IFERROR(M161/G161-1,"")</f>
        <v/>
      </c>
      <c r="U161" s="16" t="n"/>
      <c r="V161" s="16" t="n"/>
      <c r="W161" s="16" t="n"/>
      <c r="X161" s="16">
        <f>IFERROR(W161-V161,"")</f>
        <v/>
      </c>
    </row>
    <row r="162">
      <c r="B162" s="13" t="inlineStr">
        <is>
          <t>40-99</t>
        </is>
      </c>
      <c r="C162" s="14" t="n">
        <v>0</v>
      </c>
      <c r="D162" s="14" t="n">
        <v>0</v>
      </c>
      <c r="E162" s="14" t="n">
        <v>8.18</v>
      </c>
      <c r="F162" s="14" t="n">
        <v>44.59</v>
      </c>
      <c r="G162" s="14">
        <f>SUM(C162:F162)</f>
        <v/>
      </c>
      <c r="I162" s="14" t="n">
        <v>0</v>
      </c>
      <c r="J162" s="14" t="n">
        <v>0</v>
      </c>
      <c r="K162" s="14" t="n">
        <v>8.18</v>
      </c>
      <c r="L162" s="14" t="n">
        <v>44.78</v>
      </c>
      <c r="M162" s="14">
        <f>SUM(I162:L162)</f>
        <v/>
      </c>
      <c r="O162" s="15">
        <f>IFERROR(I162/C162-1,"")</f>
        <v/>
      </c>
      <c r="P162" s="15">
        <f>IFERROR(J162/D162-1,"")</f>
        <v/>
      </c>
      <c r="Q162" s="15">
        <f>IFERROR(K162/E162-1,"")</f>
        <v/>
      </c>
      <c r="R162" s="15">
        <f>IFERROR(L162/F162-1,"")</f>
        <v/>
      </c>
      <c r="S162" s="15">
        <f>IFERROR(M162/G162-1,"")</f>
        <v/>
      </c>
      <c r="U162" s="16" t="n"/>
      <c r="V162" s="16" t="n"/>
      <c r="W162" s="16" t="n"/>
      <c r="X162" s="16">
        <f>IFERROR(W162-V162,"")</f>
        <v/>
      </c>
    </row>
    <row r="163">
      <c r="B163" s="13" t="inlineStr">
        <is>
          <t>100+</t>
        </is>
      </c>
      <c r="C163" s="14" t="n">
        <v>0</v>
      </c>
      <c r="D163" s="14" t="n">
        <v>0</v>
      </c>
      <c r="E163" s="14" t="n">
        <v>4.88</v>
      </c>
      <c r="F163" s="14" t="n">
        <v>46.2</v>
      </c>
      <c r="G163" s="14">
        <f>SUM(C163:F163)</f>
        <v/>
      </c>
      <c r="I163" s="14" t="n">
        <v>0</v>
      </c>
      <c r="J163" s="14" t="n">
        <v>0</v>
      </c>
      <c r="K163" s="14" t="n">
        <v>4.88</v>
      </c>
      <c r="L163" s="14" t="n">
        <v>48.74</v>
      </c>
      <c r="M163" s="14">
        <f>SUM(I163:L163)</f>
        <v/>
      </c>
      <c r="O163" s="15">
        <f>IFERROR(I163/C163-1,"")</f>
        <v/>
      </c>
      <c r="P163" s="15">
        <f>IFERROR(J163/D163-1,"")</f>
        <v/>
      </c>
      <c r="Q163" s="15">
        <f>IFERROR(K163/E163-1,"")</f>
        <v/>
      </c>
      <c r="R163" s="15">
        <f>IFERROR(L163/F163-1,"")</f>
        <v/>
      </c>
      <c r="S163" s="15">
        <f>IFERROR(M163/G163-1,"")</f>
        <v/>
      </c>
      <c r="U163" s="16" t="n"/>
      <c r="V163" s="16" t="n"/>
      <c r="W163" s="16" t="n"/>
      <c r="X163" s="16">
        <f>IFERROR(W163-V163,"")</f>
        <v/>
      </c>
    </row>
    <row r="164">
      <c r="B164" s="17" t="inlineStr">
        <is>
          <t>overall</t>
        </is>
      </c>
      <c r="C164" s="18" t="n">
        <v>0</v>
      </c>
      <c r="D164" s="18" t="n">
        <v>0</v>
      </c>
      <c r="E164" s="18" t="n">
        <v>9.9762</v>
      </c>
      <c r="F164" s="18" t="n">
        <v>25.4827</v>
      </c>
      <c r="G164" s="18">
        <f>SUM(C164:F164)</f>
        <v/>
      </c>
      <c r="I164" s="18" t="n">
        <v>0</v>
      </c>
      <c r="J164" s="18" t="n">
        <v>0</v>
      </c>
      <c r="K164" s="18" t="n">
        <v>9.9762</v>
      </c>
      <c r="L164" s="18" t="n">
        <v>22.5912</v>
      </c>
      <c r="M164" s="18">
        <f>SUM(I164:L164)</f>
        <v/>
      </c>
      <c r="O164" s="19">
        <f>IFERROR(I164/C164-1,"")</f>
        <v/>
      </c>
      <c r="P164" s="19">
        <f>IFERROR(J164/D164-1,"")</f>
        <v/>
      </c>
      <c r="Q164" s="19">
        <f>IFERROR(K164/E164-1,"")</f>
        <v/>
      </c>
      <c r="R164" s="19">
        <f>IFERROR(L164/F164-1,"")</f>
        <v/>
      </c>
      <c r="S164" s="19">
        <f>IFERROR(M164/G164-1,"")</f>
        <v/>
      </c>
      <c r="U164" s="20" t="n"/>
      <c r="V164" s="20" t="n"/>
      <c r="W164" s="20" t="n"/>
      <c r="X164" s="20">
        <f>IFERROR(W164-V164,"")</f>
        <v/>
      </c>
    </row>
    <row r="165">
      <c r="B165" s="12" t="inlineStr">
        <is>
          <t>PAYER</t>
        </is>
      </c>
    </row>
    <row r="166">
      <c r="B166" s="13" t="inlineStr">
        <is>
          <t>0-9</t>
        </is>
      </c>
      <c r="C166" s="14" t="n">
        <v>0</v>
      </c>
      <c r="D166" s="14" t="n">
        <v>0</v>
      </c>
      <c r="E166" s="14" t="n">
        <v>14.44</v>
      </c>
      <c r="F166" s="14" t="n">
        <v>26.29</v>
      </c>
      <c r="G166" s="14">
        <f>SUM(C166:F166)</f>
        <v/>
      </c>
      <c r="I166" s="14" t="n">
        <v>0</v>
      </c>
      <c r="J166" s="14" t="n">
        <v>0</v>
      </c>
      <c r="K166" s="14" t="n">
        <v>14.44</v>
      </c>
      <c r="L166" s="14" t="n">
        <v>24.55</v>
      </c>
      <c r="M166" s="14">
        <f>SUM(I166:L166)</f>
        <v/>
      </c>
      <c r="O166" s="15">
        <f>IFERROR(I166/C166-1,"")</f>
        <v/>
      </c>
      <c r="P166" s="15">
        <f>IFERROR(J166/D166-1,"")</f>
        <v/>
      </c>
      <c r="Q166" s="15">
        <f>IFERROR(K166/E166-1,"")</f>
        <v/>
      </c>
      <c r="R166" s="15">
        <f>IFERROR(L166/F166-1,"")</f>
        <v/>
      </c>
      <c r="S166" s="15">
        <f>IFERROR(M166/G166-1,"")</f>
        <v/>
      </c>
      <c r="U166" s="16" t="n"/>
      <c r="V166" s="16" t="n"/>
      <c r="W166" s="16" t="n"/>
      <c r="X166" s="16">
        <f>IFERROR(W166-V166,"")</f>
        <v/>
      </c>
    </row>
    <row r="167">
      <c r="B167" s="13" t="inlineStr">
        <is>
          <t>10-19</t>
        </is>
      </c>
      <c r="C167" s="14" t="n">
        <v>0</v>
      </c>
      <c r="D167" s="14" t="n">
        <v>0</v>
      </c>
      <c r="E167" s="14" t="n">
        <v>9.289999999999999</v>
      </c>
      <c r="F167" s="14" t="n">
        <v>32.23</v>
      </c>
      <c r="G167" s="14">
        <f>SUM(C167:F167)</f>
        <v/>
      </c>
      <c r="I167" s="14" t="n">
        <v>0</v>
      </c>
      <c r="J167" s="14" t="n">
        <v>0</v>
      </c>
      <c r="K167" s="14" t="n">
        <v>9.289999999999999</v>
      </c>
      <c r="L167" s="14" t="n">
        <v>28.41</v>
      </c>
      <c r="M167" s="14">
        <f>SUM(I167:L167)</f>
        <v/>
      </c>
      <c r="O167" s="15">
        <f>IFERROR(I167/C167-1,"")</f>
        <v/>
      </c>
      <c r="P167" s="15">
        <f>IFERROR(J167/D167-1,"")</f>
        <v/>
      </c>
      <c r="Q167" s="15">
        <f>IFERROR(K167/E167-1,"")</f>
        <v/>
      </c>
      <c r="R167" s="15">
        <f>IFERROR(L167/F167-1,"")</f>
        <v/>
      </c>
      <c r="S167" s="15">
        <f>IFERROR(M167/G167-1,"")</f>
        <v/>
      </c>
      <c r="U167" s="16" t="n"/>
      <c r="V167" s="16" t="n"/>
      <c r="W167" s="16" t="n"/>
      <c r="X167" s="16">
        <f>IFERROR(W167-V167,"")</f>
        <v/>
      </c>
    </row>
    <row r="168">
      <c r="B168" s="13" t="inlineStr">
        <is>
          <t>20-39</t>
        </is>
      </c>
      <c r="C168" s="14" t="n">
        <v>0</v>
      </c>
      <c r="D168" s="14" t="n">
        <v>0</v>
      </c>
      <c r="E168" s="14" t="n">
        <v>7.12</v>
      </c>
      <c r="F168" s="14" t="n">
        <v>38.74</v>
      </c>
      <c r="G168" s="14">
        <f>SUM(C168:F168)</f>
        <v/>
      </c>
      <c r="I168" s="14" t="n">
        <v>0</v>
      </c>
      <c r="J168" s="14" t="n">
        <v>0</v>
      </c>
      <c r="K168" s="14" t="n">
        <v>7.12</v>
      </c>
      <c r="L168" s="14" t="n">
        <v>33.18</v>
      </c>
      <c r="M168" s="14">
        <f>SUM(I168:L168)</f>
        <v/>
      </c>
      <c r="O168" s="15">
        <f>IFERROR(I168/C168-1,"")</f>
        <v/>
      </c>
      <c r="P168" s="15">
        <f>IFERROR(J168/D168-1,"")</f>
        <v/>
      </c>
      <c r="Q168" s="15">
        <f>IFERROR(K168/E168-1,"")</f>
        <v/>
      </c>
      <c r="R168" s="15">
        <f>IFERROR(L168/F168-1,"")</f>
        <v/>
      </c>
      <c r="S168" s="15">
        <f>IFERROR(M168/G168-1,"")</f>
        <v/>
      </c>
      <c r="U168" s="16" t="n"/>
      <c r="V168" s="16" t="n"/>
      <c r="W168" s="16" t="n"/>
      <c r="X168" s="16">
        <f>IFERROR(W168-V168,"")</f>
        <v/>
      </c>
    </row>
    <row r="169">
      <c r="B169" s="13" t="inlineStr">
        <is>
          <t>40-99</t>
        </is>
      </c>
      <c r="C169" s="14" t="n">
        <v>0</v>
      </c>
      <c r="D169" s="14" t="n">
        <v>0</v>
      </c>
      <c r="E169" s="14" t="n">
        <v>6.2</v>
      </c>
      <c r="F169" s="14" t="n">
        <v>55.1</v>
      </c>
      <c r="G169" s="14">
        <f>SUM(C169:F169)</f>
        <v/>
      </c>
      <c r="I169" s="14" t="n">
        <v>0</v>
      </c>
      <c r="J169" s="14" t="n">
        <v>0</v>
      </c>
      <c r="K169" s="14" t="n">
        <v>6.2</v>
      </c>
      <c r="L169" s="14" t="n">
        <v>55.72</v>
      </c>
      <c r="M169" s="14">
        <f>SUM(I169:L169)</f>
        <v/>
      </c>
      <c r="O169" s="15">
        <f>IFERROR(I169/C169-1,"")</f>
        <v/>
      </c>
      <c r="P169" s="15">
        <f>IFERROR(J169/D169-1,"")</f>
        <v/>
      </c>
      <c r="Q169" s="15">
        <f>IFERROR(K169/E169-1,"")</f>
        <v/>
      </c>
      <c r="R169" s="15">
        <f>IFERROR(L169/F169-1,"")</f>
        <v/>
      </c>
      <c r="S169" s="15">
        <f>IFERROR(M169/G169-1,"")</f>
        <v/>
      </c>
      <c r="U169" s="16" t="n"/>
      <c r="V169" s="16" t="n"/>
      <c r="W169" s="16" t="n"/>
      <c r="X169" s="16">
        <f>IFERROR(W169-V169,"")</f>
        <v/>
      </c>
    </row>
    <row r="170">
      <c r="B170" s="13" t="inlineStr">
        <is>
          <t>100+</t>
        </is>
      </c>
      <c r="C170" s="14" t="n">
        <v>0</v>
      </c>
      <c r="D170" s="14" t="n">
        <v>0</v>
      </c>
      <c r="E170" s="14" t="n">
        <v>3.27</v>
      </c>
      <c r="F170" s="14" t="n">
        <v>62.95</v>
      </c>
      <c r="G170" s="14">
        <f>SUM(C170:F170)</f>
        <v/>
      </c>
      <c r="I170" s="14" t="n">
        <v>0</v>
      </c>
      <c r="J170" s="14" t="n">
        <v>0</v>
      </c>
      <c r="K170" s="14" t="n">
        <v>3.27</v>
      </c>
      <c r="L170" s="14" t="n">
        <v>66.42</v>
      </c>
      <c r="M170" s="14">
        <f>SUM(I170:L170)</f>
        <v/>
      </c>
      <c r="O170" s="15">
        <f>IFERROR(I170/C170-1,"")</f>
        <v/>
      </c>
      <c r="P170" s="15">
        <f>IFERROR(J170/D170-1,"")</f>
        <v/>
      </c>
      <c r="Q170" s="15">
        <f>IFERROR(K170/E170-1,"")</f>
        <v/>
      </c>
      <c r="R170" s="15">
        <f>IFERROR(L170/F170-1,"")</f>
        <v/>
      </c>
      <c r="S170" s="15">
        <f>IFERROR(M170/G170-1,"")</f>
        <v/>
      </c>
      <c r="U170" s="16" t="n"/>
      <c r="V170" s="16" t="n"/>
      <c r="W170" s="16" t="n"/>
      <c r="X170" s="16">
        <f>IFERROR(W170-V170,"")</f>
        <v/>
      </c>
    </row>
    <row r="171">
      <c r="B171" s="17" t="inlineStr">
        <is>
          <t>overall</t>
        </is>
      </c>
      <c r="C171" s="18" t="n">
        <v>0</v>
      </c>
      <c r="D171" s="18" t="n">
        <v>0</v>
      </c>
      <c r="E171" s="18" t="n">
        <v>11.3105</v>
      </c>
      <c r="F171" s="18" t="n">
        <v>32.3294</v>
      </c>
      <c r="G171" s="18">
        <f>SUM(C171:F171)</f>
        <v/>
      </c>
      <c r="I171" s="18" t="n">
        <v>0</v>
      </c>
      <c r="J171" s="18" t="n">
        <v>0</v>
      </c>
      <c r="K171" s="18" t="n">
        <v>11.3105</v>
      </c>
      <c r="L171" s="18" t="n">
        <v>29.7603</v>
      </c>
      <c r="M171" s="18">
        <f>SUM(I171:L171)</f>
        <v/>
      </c>
      <c r="O171" s="19">
        <f>IFERROR(I171/C171-1,"")</f>
        <v/>
      </c>
      <c r="P171" s="19">
        <f>IFERROR(J171/D171-1,"")</f>
        <v/>
      </c>
      <c r="Q171" s="19">
        <f>IFERROR(K171/E171-1,"")</f>
        <v/>
      </c>
      <c r="R171" s="19">
        <f>IFERROR(L171/F171-1,"")</f>
        <v/>
      </c>
      <c r="S171" s="19">
        <f>IFERROR(M171/G171-1,"")</f>
        <v/>
      </c>
      <c r="U171" s="20" t="n"/>
      <c r="V171" s="20" t="n"/>
      <c r="W171" s="20" t="n"/>
      <c r="X171" s="20">
        <f>IFERROR(W171-V171,"")</f>
        <v/>
      </c>
    </row>
    <row r="174">
      <c r="B174" s="2" t="inlineStr">
        <is>
          <t>◆ UL Red</t>
        </is>
      </c>
    </row>
    <row r="175">
      <c r="C175" s="3" t="inlineStr">
        <is>
          <t>◄ CURRENT (actuals: data + calc) ►</t>
        </is>
      </c>
      <c r="D175" s="3" t="n"/>
      <c r="E175" s="3" t="n"/>
      <c r="F175" s="3" t="n"/>
      <c r="G175" s="3" t="n"/>
      <c r="I175" s="4" t="inlineStr">
        <is>
          <t>◄ SIMULATED (EcoGainsSim v4) ►</t>
        </is>
      </c>
      <c r="J175" s="4" t="n"/>
      <c r="K175" s="4" t="n"/>
      <c r="L175" s="4" t="n"/>
      <c r="M175" s="4" t="n"/>
      <c r="O175" s="5" t="inlineStr">
        <is>
          <t>Δ</t>
        </is>
      </c>
      <c r="P175" s="5" t="n"/>
      <c r="Q175" s="5" t="n"/>
      <c r="R175" s="5" t="n"/>
      <c r="S175" s="5" t="n"/>
      <c r="U175" s="6" t="inlineStr">
        <is>
          <t>◄ NET / earner (spend held constant) ►</t>
        </is>
      </c>
      <c r="V175" s="6" t="n"/>
      <c r="W175" s="6" t="n"/>
      <c r="X175" s="6" t="n"/>
    </row>
    <row r="176">
      <c r="B176" s="7" t="inlineStr">
        <is>
          <t>Segment</t>
        </is>
      </c>
      <c r="C176" s="8" t="inlineStr">
        <is>
          <t>PAID</t>
        </is>
      </c>
      <c r="D176" s="8" t="inlineStr">
        <is>
          <t>ADS</t>
        </is>
      </c>
      <c r="E176" s="8" t="inlineStr">
        <is>
          <t>CORE</t>
        </is>
      </c>
      <c r="F176" s="8" t="inlineStr">
        <is>
          <t>META</t>
        </is>
      </c>
      <c r="G176" s="8" t="inlineStr">
        <is>
          <t>Total</t>
        </is>
      </c>
      <c r="I176" s="9" t="inlineStr">
        <is>
          <t>PAID</t>
        </is>
      </c>
      <c r="J176" s="9" t="inlineStr">
        <is>
          <t>ADS</t>
        </is>
      </c>
      <c r="K176" s="9" t="inlineStr">
        <is>
          <t>CORE</t>
        </is>
      </c>
      <c r="L176" s="9" t="inlineStr">
        <is>
          <t>META</t>
        </is>
      </c>
      <c r="M176" s="9" t="inlineStr">
        <is>
          <t>Total</t>
        </is>
      </c>
      <c r="O176" s="10" t="inlineStr">
        <is>
          <t>PAID</t>
        </is>
      </c>
      <c r="P176" s="10" t="inlineStr">
        <is>
          <t>ADS</t>
        </is>
      </c>
      <c r="Q176" s="10" t="inlineStr">
        <is>
          <t>CORE</t>
        </is>
      </c>
      <c r="R176" s="10" t="inlineStr">
        <is>
          <t>META</t>
        </is>
      </c>
      <c r="S176" s="10" t="inlineStr">
        <is>
          <t>Total</t>
        </is>
      </c>
      <c r="U176" s="11" t="inlineStr">
        <is>
          <t>cur spend</t>
        </is>
      </c>
      <c r="V176" s="11" t="inlineStr">
        <is>
          <t>cur net</t>
        </is>
      </c>
      <c r="W176" s="11" t="inlineStr">
        <is>
          <t>new net</t>
        </is>
      </c>
      <c r="X176" s="11" t="inlineStr">
        <is>
          <t>net Δ</t>
        </is>
      </c>
    </row>
    <row r="177">
      <c r="B177" s="12" t="inlineStr">
        <is>
          <t>NONPAYER</t>
        </is>
      </c>
    </row>
    <row r="178">
      <c r="B178" s="13" t="inlineStr">
        <is>
          <t>0-9</t>
        </is>
      </c>
      <c r="C178" s="14" t="n">
        <v>0</v>
      </c>
      <c r="D178" s="14" t="n">
        <v>0</v>
      </c>
      <c r="E178" s="14" t="n">
        <v>8.98</v>
      </c>
      <c r="F178" s="14" t="n">
        <v>23.93</v>
      </c>
      <c r="G178" s="14">
        <f>SUM(C178:F178)</f>
        <v/>
      </c>
      <c r="I178" s="14" t="n">
        <v>0</v>
      </c>
      <c r="J178" s="14" t="n">
        <v>0</v>
      </c>
      <c r="K178" s="14" t="n">
        <v>8.98</v>
      </c>
      <c r="L178" s="14" t="n">
        <v>22.83</v>
      </c>
      <c r="M178" s="14">
        <f>SUM(I178:L178)</f>
        <v/>
      </c>
      <c r="O178" s="15">
        <f>IFERROR(I178/C178-1,"")</f>
        <v/>
      </c>
      <c r="P178" s="15">
        <f>IFERROR(J178/D178-1,"")</f>
        <v/>
      </c>
      <c r="Q178" s="15">
        <f>IFERROR(K178/E178-1,"")</f>
        <v/>
      </c>
      <c r="R178" s="15">
        <f>IFERROR(L178/F178-1,"")</f>
        <v/>
      </c>
      <c r="S178" s="15">
        <f>IFERROR(M178/G178-1,"")</f>
        <v/>
      </c>
      <c r="U178" s="16" t="n"/>
      <c r="V178" s="16" t="n"/>
      <c r="W178" s="16" t="n"/>
      <c r="X178" s="16">
        <f>IFERROR(W178-V178,"")</f>
        <v/>
      </c>
    </row>
    <row r="179">
      <c r="B179" s="13" t="inlineStr">
        <is>
          <t>10-19</t>
        </is>
      </c>
      <c r="C179" s="14" t="n">
        <v>0</v>
      </c>
      <c r="D179" s="14" t="n">
        <v>0</v>
      </c>
      <c r="E179" s="14" t="n">
        <v>7.75</v>
      </c>
      <c r="F179" s="14" t="n">
        <v>29.56</v>
      </c>
      <c r="G179" s="14">
        <f>SUM(C179:F179)</f>
        <v/>
      </c>
      <c r="I179" s="14" t="n">
        <v>0</v>
      </c>
      <c r="J179" s="14" t="n">
        <v>0</v>
      </c>
      <c r="K179" s="14" t="n">
        <v>7.75</v>
      </c>
      <c r="L179" s="14" t="n">
        <v>42.27</v>
      </c>
      <c r="M179" s="14">
        <f>SUM(I179:L179)</f>
        <v/>
      </c>
      <c r="O179" s="15">
        <f>IFERROR(I179/C179-1,"")</f>
        <v/>
      </c>
      <c r="P179" s="15">
        <f>IFERROR(J179/D179-1,"")</f>
        <v/>
      </c>
      <c r="Q179" s="15">
        <f>IFERROR(K179/E179-1,"")</f>
        <v/>
      </c>
      <c r="R179" s="15">
        <f>IFERROR(L179/F179-1,"")</f>
        <v/>
      </c>
      <c r="S179" s="15">
        <f>IFERROR(M179/G179-1,"")</f>
        <v/>
      </c>
      <c r="U179" s="16" t="n"/>
      <c r="V179" s="16" t="n"/>
      <c r="W179" s="16" t="n"/>
      <c r="X179" s="16">
        <f>IFERROR(W179-V179,"")</f>
        <v/>
      </c>
    </row>
    <row r="180">
      <c r="B180" s="13" t="inlineStr">
        <is>
          <t>20-39</t>
        </is>
      </c>
      <c r="C180" s="14" t="n">
        <v>0</v>
      </c>
      <c r="D180" s="14" t="n">
        <v>0</v>
      </c>
      <c r="E180" s="14" t="n">
        <v>7.25</v>
      </c>
      <c r="F180" s="14" t="n">
        <v>39.47</v>
      </c>
      <c r="G180" s="14">
        <f>SUM(C180:F180)</f>
        <v/>
      </c>
      <c r="I180" s="14" t="n">
        <v>0</v>
      </c>
      <c r="J180" s="14" t="n">
        <v>0</v>
      </c>
      <c r="K180" s="14" t="n">
        <v>7.25</v>
      </c>
      <c r="L180" s="14" t="n">
        <v>58.96</v>
      </c>
      <c r="M180" s="14">
        <f>SUM(I180:L180)</f>
        <v/>
      </c>
      <c r="O180" s="15">
        <f>IFERROR(I180/C180-1,"")</f>
        <v/>
      </c>
      <c r="P180" s="15">
        <f>IFERROR(J180/D180-1,"")</f>
        <v/>
      </c>
      <c r="Q180" s="15">
        <f>IFERROR(K180/E180-1,"")</f>
        <v/>
      </c>
      <c r="R180" s="15">
        <f>IFERROR(L180/F180-1,"")</f>
        <v/>
      </c>
      <c r="S180" s="15">
        <f>IFERROR(M180/G180-1,"")</f>
        <v/>
      </c>
      <c r="U180" s="16" t="n"/>
      <c r="V180" s="16" t="n"/>
      <c r="W180" s="16" t="n"/>
      <c r="X180" s="16">
        <f>IFERROR(W180-V180,"")</f>
        <v/>
      </c>
    </row>
    <row r="181">
      <c r="B181" s="13" t="inlineStr">
        <is>
          <t>40-99</t>
        </is>
      </c>
      <c r="C181" s="14" t="n">
        <v>0</v>
      </c>
      <c r="D181" s="14" t="n">
        <v>0</v>
      </c>
      <c r="E181" s="14" t="n">
        <v>10.05</v>
      </c>
      <c r="F181" s="14" t="n">
        <v>58.13</v>
      </c>
      <c r="G181" s="14">
        <f>SUM(C181:F181)</f>
        <v/>
      </c>
      <c r="I181" s="14" t="n">
        <v>0</v>
      </c>
      <c r="J181" s="14" t="n">
        <v>0</v>
      </c>
      <c r="K181" s="14" t="n">
        <v>10.05</v>
      </c>
      <c r="L181" s="14" t="n">
        <v>76.45</v>
      </c>
      <c r="M181" s="14">
        <f>SUM(I181:L181)</f>
        <v/>
      </c>
      <c r="O181" s="15">
        <f>IFERROR(I181/C181-1,"")</f>
        <v/>
      </c>
      <c r="P181" s="15">
        <f>IFERROR(J181/D181-1,"")</f>
        <v/>
      </c>
      <c r="Q181" s="15">
        <f>IFERROR(K181/E181-1,"")</f>
        <v/>
      </c>
      <c r="R181" s="15">
        <f>IFERROR(L181/F181-1,"")</f>
        <v/>
      </c>
      <c r="S181" s="15">
        <f>IFERROR(M181/G181-1,"")</f>
        <v/>
      </c>
      <c r="U181" s="16" t="n"/>
      <c r="V181" s="16" t="n"/>
      <c r="W181" s="16" t="n"/>
      <c r="X181" s="16">
        <f>IFERROR(W181-V181,"")</f>
        <v/>
      </c>
    </row>
    <row r="182">
      <c r="B182" s="13" t="inlineStr">
        <is>
          <t>100+</t>
        </is>
      </c>
      <c r="C182" s="14" t="n">
        <v>0</v>
      </c>
      <c r="D182" s="14" t="n">
        <v>0</v>
      </c>
      <c r="E182" s="14" t="n">
        <v>6.96</v>
      </c>
      <c r="F182" s="14" t="n">
        <v>67.90000000000001</v>
      </c>
      <c r="G182" s="14">
        <f>SUM(C182:F182)</f>
        <v/>
      </c>
      <c r="I182" s="14" t="n">
        <v>0</v>
      </c>
      <c r="J182" s="14" t="n">
        <v>0</v>
      </c>
      <c r="K182" s="14" t="n">
        <v>6.96</v>
      </c>
      <c r="L182" s="14" t="n">
        <v>68.93000000000001</v>
      </c>
      <c r="M182" s="14">
        <f>SUM(I182:L182)</f>
        <v/>
      </c>
      <c r="O182" s="15">
        <f>IFERROR(I182/C182-1,"")</f>
        <v/>
      </c>
      <c r="P182" s="15">
        <f>IFERROR(J182/D182-1,"")</f>
        <v/>
      </c>
      <c r="Q182" s="15">
        <f>IFERROR(K182/E182-1,"")</f>
        <v/>
      </c>
      <c r="R182" s="15">
        <f>IFERROR(L182/F182-1,"")</f>
        <v/>
      </c>
      <c r="S182" s="15">
        <f>IFERROR(M182/G182-1,"")</f>
        <v/>
      </c>
      <c r="U182" s="16" t="n"/>
      <c r="V182" s="16" t="n"/>
      <c r="W182" s="16" t="n"/>
      <c r="X182" s="16">
        <f>IFERROR(W182-V182,"")</f>
        <v/>
      </c>
    </row>
    <row r="183">
      <c r="B183" s="17" t="inlineStr">
        <is>
          <t>overall</t>
        </is>
      </c>
      <c r="C183" s="18" t="n">
        <v>0</v>
      </c>
      <c r="D183" s="18" t="n">
        <v>0</v>
      </c>
      <c r="E183" s="18" t="n">
        <v>8.4466</v>
      </c>
      <c r="F183" s="18" t="n">
        <v>31.5319</v>
      </c>
      <c r="G183" s="18">
        <f>SUM(C183:F183)</f>
        <v/>
      </c>
      <c r="I183" s="18" t="n">
        <v>0</v>
      </c>
      <c r="J183" s="18" t="n">
        <v>0</v>
      </c>
      <c r="K183" s="18" t="n">
        <v>8.4466</v>
      </c>
      <c r="L183" s="18" t="n">
        <v>39.0549</v>
      </c>
      <c r="M183" s="18">
        <f>SUM(I183:L183)</f>
        <v/>
      </c>
      <c r="O183" s="19">
        <f>IFERROR(I183/C183-1,"")</f>
        <v/>
      </c>
      <c r="P183" s="19">
        <f>IFERROR(J183/D183-1,"")</f>
        <v/>
      </c>
      <c r="Q183" s="19">
        <f>IFERROR(K183/E183-1,"")</f>
        <v/>
      </c>
      <c r="R183" s="19">
        <f>IFERROR(L183/F183-1,"")</f>
        <v/>
      </c>
      <c r="S183" s="19">
        <f>IFERROR(M183/G183-1,"")</f>
        <v/>
      </c>
      <c r="U183" s="20" t="n"/>
      <c r="V183" s="20" t="n"/>
      <c r="W183" s="20" t="n"/>
      <c r="X183" s="20">
        <f>IFERROR(W183-V183,"")</f>
        <v/>
      </c>
    </row>
    <row r="184">
      <c r="B184" s="12" t="inlineStr">
        <is>
          <t>PAYER</t>
        </is>
      </c>
    </row>
    <row r="185">
      <c r="B185" s="13" t="inlineStr">
        <is>
          <t>0-9</t>
        </is>
      </c>
      <c r="C185" s="14" t="n">
        <v>0</v>
      </c>
      <c r="D185" s="14" t="n">
        <v>0</v>
      </c>
      <c r="E185" s="14" t="n">
        <v>12.06</v>
      </c>
      <c r="F185" s="14" t="n">
        <v>28.1</v>
      </c>
      <c r="G185" s="14">
        <f>SUM(C185:F185)</f>
        <v/>
      </c>
      <c r="I185" s="14" t="n">
        <v>0</v>
      </c>
      <c r="J185" s="14" t="n">
        <v>0</v>
      </c>
      <c r="K185" s="14" t="n">
        <v>12.06</v>
      </c>
      <c r="L185" s="14" t="n">
        <v>27.45</v>
      </c>
      <c r="M185" s="14">
        <f>SUM(I185:L185)</f>
        <v/>
      </c>
      <c r="O185" s="15">
        <f>IFERROR(I185/C185-1,"")</f>
        <v/>
      </c>
      <c r="P185" s="15">
        <f>IFERROR(J185/D185-1,"")</f>
        <v/>
      </c>
      <c r="Q185" s="15">
        <f>IFERROR(K185/E185-1,"")</f>
        <v/>
      </c>
      <c r="R185" s="15">
        <f>IFERROR(L185/F185-1,"")</f>
        <v/>
      </c>
      <c r="S185" s="15">
        <f>IFERROR(M185/G185-1,"")</f>
        <v/>
      </c>
      <c r="U185" s="16" t="n"/>
      <c r="V185" s="16" t="n"/>
      <c r="W185" s="16" t="n"/>
      <c r="X185" s="16">
        <f>IFERROR(W185-V185,"")</f>
        <v/>
      </c>
    </row>
    <row r="186">
      <c r="B186" s="13" t="inlineStr">
        <is>
          <t>10-19</t>
        </is>
      </c>
      <c r="C186" s="14" t="n">
        <v>0</v>
      </c>
      <c r="D186" s="14" t="n">
        <v>0</v>
      </c>
      <c r="E186" s="14" t="n">
        <v>7.83</v>
      </c>
      <c r="F186" s="14" t="n">
        <v>33.76</v>
      </c>
      <c r="G186" s="14">
        <f>SUM(C186:F186)</f>
        <v/>
      </c>
      <c r="I186" s="14" t="n">
        <v>0</v>
      </c>
      <c r="J186" s="14" t="n">
        <v>0</v>
      </c>
      <c r="K186" s="14" t="n">
        <v>7.83</v>
      </c>
      <c r="L186" s="14" t="n">
        <v>48.15</v>
      </c>
      <c r="M186" s="14">
        <f>SUM(I186:L186)</f>
        <v/>
      </c>
      <c r="O186" s="15">
        <f>IFERROR(I186/C186-1,"")</f>
        <v/>
      </c>
      <c r="P186" s="15">
        <f>IFERROR(J186/D186-1,"")</f>
        <v/>
      </c>
      <c r="Q186" s="15">
        <f>IFERROR(K186/E186-1,"")</f>
        <v/>
      </c>
      <c r="R186" s="15">
        <f>IFERROR(L186/F186-1,"")</f>
        <v/>
      </c>
      <c r="S186" s="15">
        <f>IFERROR(M186/G186-1,"")</f>
        <v/>
      </c>
      <c r="U186" s="16" t="n"/>
      <c r="V186" s="16" t="n"/>
      <c r="W186" s="16" t="n"/>
      <c r="X186" s="16">
        <f>IFERROR(W186-V186,"")</f>
        <v/>
      </c>
    </row>
    <row r="187">
      <c r="B187" s="13" t="inlineStr">
        <is>
          <t>20-39</t>
        </is>
      </c>
      <c r="C187" s="14" t="n">
        <v>0</v>
      </c>
      <c r="D187" s="14" t="n">
        <v>0</v>
      </c>
      <c r="E187" s="14" t="n">
        <v>6.18</v>
      </c>
      <c r="F187" s="14" t="n">
        <v>44.93</v>
      </c>
      <c r="G187" s="14">
        <f>SUM(C187:F187)</f>
        <v/>
      </c>
      <c r="I187" s="14" t="n">
        <v>0</v>
      </c>
      <c r="J187" s="14" t="n">
        <v>0</v>
      </c>
      <c r="K187" s="14" t="n">
        <v>6.18</v>
      </c>
      <c r="L187" s="14" t="n">
        <v>65.09</v>
      </c>
      <c r="M187" s="14">
        <f>SUM(I187:L187)</f>
        <v/>
      </c>
      <c r="O187" s="15">
        <f>IFERROR(I187/C187-1,"")</f>
        <v/>
      </c>
      <c r="P187" s="15">
        <f>IFERROR(J187/D187-1,"")</f>
        <v/>
      </c>
      <c r="Q187" s="15">
        <f>IFERROR(K187/E187-1,"")</f>
        <v/>
      </c>
      <c r="R187" s="15">
        <f>IFERROR(L187/F187-1,"")</f>
        <v/>
      </c>
      <c r="S187" s="15">
        <f>IFERROR(M187/G187-1,"")</f>
        <v/>
      </c>
      <c r="U187" s="16" t="n"/>
      <c r="V187" s="16" t="n"/>
      <c r="W187" s="16" t="n"/>
      <c r="X187" s="16">
        <f>IFERROR(W187-V187,"")</f>
        <v/>
      </c>
    </row>
    <row r="188">
      <c r="B188" s="13" t="inlineStr">
        <is>
          <t>40-99</t>
        </is>
      </c>
      <c r="C188" s="14" t="n">
        <v>0</v>
      </c>
      <c r="D188" s="14" t="n">
        <v>0</v>
      </c>
      <c r="E188" s="14" t="n">
        <v>7.55</v>
      </c>
      <c r="F188" s="14" t="n">
        <v>64.31</v>
      </c>
      <c r="G188" s="14">
        <f>SUM(C188:F188)</f>
        <v/>
      </c>
      <c r="I188" s="14" t="n">
        <v>0</v>
      </c>
      <c r="J188" s="14" t="n">
        <v>0</v>
      </c>
      <c r="K188" s="14" t="n">
        <v>7.55</v>
      </c>
      <c r="L188" s="14" t="n">
        <v>83.03</v>
      </c>
      <c r="M188" s="14">
        <f>SUM(I188:L188)</f>
        <v/>
      </c>
      <c r="O188" s="15">
        <f>IFERROR(I188/C188-1,"")</f>
        <v/>
      </c>
      <c r="P188" s="15">
        <f>IFERROR(J188/D188-1,"")</f>
        <v/>
      </c>
      <c r="Q188" s="15">
        <f>IFERROR(K188/E188-1,"")</f>
        <v/>
      </c>
      <c r="R188" s="15">
        <f>IFERROR(L188/F188-1,"")</f>
        <v/>
      </c>
      <c r="S188" s="15">
        <f>IFERROR(M188/G188-1,"")</f>
        <v/>
      </c>
      <c r="U188" s="16" t="n"/>
      <c r="V188" s="16" t="n"/>
      <c r="W188" s="16" t="n"/>
      <c r="X188" s="16">
        <f>IFERROR(W188-V188,"")</f>
        <v/>
      </c>
    </row>
    <row r="189">
      <c r="B189" s="13" t="inlineStr">
        <is>
          <t>100+</t>
        </is>
      </c>
      <c r="C189" s="14" t="n">
        <v>0</v>
      </c>
      <c r="D189" s="14" t="n">
        <v>0</v>
      </c>
      <c r="E189" s="14" t="n">
        <v>5.52</v>
      </c>
      <c r="F189" s="14" t="n">
        <v>79.05</v>
      </c>
      <c r="G189" s="14">
        <f>SUM(C189:F189)</f>
        <v/>
      </c>
      <c r="I189" s="14" t="n">
        <v>0</v>
      </c>
      <c r="J189" s="14" t="n">
        <v>0</v>
      </c>
      <c r="K189" s="14" t="n">
        <v>5.52</v>
      </c>
      <c r="L189" s="14" t="n">
        <v>82.66</v>
      </c>
      <c r="M189" s="14">
        <f>SUM(I189:L189)</f>
        <v/>
      </c>
      <c r="O189" s="15">
        <f>IFERROR(I189/C189-1,"")</f>
        <v/>
      </c>
      <c r="P189" s="15">
        <f>IFERROR(J189/D189-1,"")</f>
        <v/>
      </c>
      <c r="Q189" s="15">
        <f>IFERROR(K189/E189-1,"")</f>
        <v/>
      </c>
      <c r="R189" s="15">
        <f>IFERROR(L189/F189-1,"")</f>
        <v/>
      </c>
      <c r="S189" s="15">
        <f>IFERROR(M189/G189-1,"")</f>
        <v/>
      </c>
      <c r="U189" s="16" t="n"/>
      <c r="V189" s="16" t="n"/>
      <c r="W189" s="16" t="n"/>
      <c r="X189" s="16">
        <f>IFERROR(W189-V189,"")</f>
        <v/>
      </c>
    </row>
    <row r="190">
      <c r="B190" s="17" t="inlineStr">
        <is>
          <t>overall</t>
        </is>
      </c>
      <c r="C190" s="18" t="n">
        <v>0</v>
      </c>
      <c r="D190" s="18" t="n">
        <v>0</v>
      </c>
      <c r="E190" s="18" t="n">
        <v>9.720599999999999</v>
      </c>
      <c r="F190" s="18" t="n">
        <v>35.5</v>
      </c>
      <c r="G190" s="18">
        <f>SUM(C190:F190)</f>
        <v/>
      </c>
      <c r="I190" s="18" t="n">
        <v>0</v>
      </c>
      <c r="J190" s="18" t="n">
        <v>0</v>
      </c>
      <c r="K190" s="18" t="n">
        <v>9.720599999999999</v>
      </c>
      <c r="L190" s="18" t="n">
        <v>43.1969</v>
      </c>
      <c r="M190" s="18">
        <f>SUM(I190:L190)</f>
        <v/>
      </c>
      <c r="O190" s="19">
        <f>IFERROR(I190/C190-1,"")</f>
        <v/>
      </c>
      <c r="P190" s="19">
        <f>IFERROR(J190/D190-1,"")</f>
        <v/>
      </c>
      <c r="Q190" s="19">
        <f>IFERROR(K190/E190-1,"")</f>
        <v/>
      </c>
      <c r="R190" s="19">
        <f>IFERROR(L190/F190-1,"")</f>
        <v/>
      </c>
      <c r="S190" s="19">
        <f>IFERROR(M190/G190-1,"")</f>
        <v/>
      </c>
      <c r="U190" s="20" t="n"/>
      <c r="V190" s="20" t="n"/>
      <c r="W190" s="20" t="n"/>
      <c r="X190" s="20">
        <f>IFERROR(W190-V190,"")</f>
        <v/>
      </c>
    </row>
    <row r="193">
      <c r="B193" s="2" t="inlineStr">
        <is>
          <t>◆ Unlimited Lives</t>
        </is>
      </c>
    </row>
    <row r="194">
      <c r="C194" s="3" t="inlineStr">
        <is>
          <t>◄ CURRENT (actuals: data + calc) ►</t>
        </is>
      </c>
      <c r="D194" s="3" t="n"/>
      <c r="E194" s="3" t="n"/>
      <c r="F194" s="3" t="n"/>
      <c r="G194" s="3" t="n"/>
      <c r="I194" s="4" t="inlineStr">
        <is>
          <t>◄ SIMULATED (EcoGainsSim v4) ►</t>
        </is>
      </c>
      <c r="J194" s="4" t="n"/>
      <c r="K194" s="4" t="n"/>
      <c r="L194" s="4" t="n"/>
      <c r="M194" s="4" t="n"/>
      <c r="O194" s="5" t="inlineStr">
        <is>
          <t>Δ</t>
        </is>
      </c>
      <c r="P194" s="5" t="n"/>
      <c r="Q194" s="5" t="n"/>
      <c r="R194" s="5" t="n"/>
      <c r="S194" s="5" t="n"/>
      <c r="U194" s="6" t="inlineStr">
        <is>
          <t>◄ NET / earner (spend held constant) ►</t>
        </is>
      </c>
      <c r="V194" s="6" t="n"/>
      <c r="W194" s="6" t="n"/>
      <c r="X194" s="6" t="n"/>
    </row>
    <row r="195">
      <c r="B195" s="7" t="inlineStr">
        <is>
          <t>Segment</t>
        </is>
      </c>
      <c r="C195" s="8" t="inlineStr">
        <is>
          <t>PAID</t>
        </is>
      </c>
      <c r="D195" s="8" t="inlineStr">
        <is>
          <t>ADS</t>
        </is>
      </c>
      <c r="E195" s="8" t="inlineStr">
        <is>
          <t>CORE</t>
        </is>
      </c>
      <c r="F195" s="8" t="inlineStr">
        <is>
          <t>META</t>
        </is>
      </c>
      <c r="G195" s="8" t="inlineStr">
        <is>
          <t>Total</t>
        </is>
      </c>
      <c r="I195" s="9" t="inlineStr">
        <is>
          <t>PAID</t>
        </is>
      </c>
      <c r="J195" s="9" t="inlineStr">
        <is>
          <t>ADS</t>
        </is>
      </c>
      <c r="K195" s="9" t="inlineStr">
        <is>
          <t>CORE</t>
        </is>
      </c>
      <c r="L195" s="9" t="inlineStr">
        <is>
          <t>META</t>
        </is>
      </c>
      <c r="M195" s="9" t="inlineStr">
        <is>
          <t>Total</t>
        </is>
      </c>
      <c r="O195" s="10" t="inlineStr">
        <is>
          <t>PAID</t>
        </is>
      </c>
      <c r="P195" s="10" t="inlineStr">
        <is>
          <t>ADS</t>
        </is>
      </c>
      <c r="Q195" s="10" t="inlineStr">
        <is>
          <t>CORE</t>
        </is>
      </c>
      <c r="R195" s="10" t="inlineStr">
        <is>
          <t>META</t>
        </is>
      </c>
      <c r="S195" s="10" t="inlineStr">
        <is>
          <t>Total</t>
        </is>
      </c>
      <c r="U195" s="11" t="inlineStr">
        <is>
          <t>cur spend</t>
        </is>
      </c>
      <c r="V195" s="11" t="inlineStr">
        <is>
          <t>cur net</t>
        </is>
      </c>
      <c r="W195" s="11" t="inlineStr">
        <is>
          <t>new net</t>
        </is>
      </c>
      <c r="X195" s="11" t="inlineStr">
        <is>
          <t>net Δ</t>
        </is>
      </c>
    </row>
    <row r="196">
      <c r="B196" s="12" t="inlineStr">
        <is>
          <t>NONPAYER</t>
        </is>
      </c>
    </row>
    <row r="197">
      <c r="B197" s="13" t="inlineStr">
        <is>
          <t>0-9</t>
        </is>
      </c>
      <c r="C197" s="14" t="n">
        <v>0</v>
      </c>
      <c r="D197" s="14" t="n">
        <v>6.35</v>
      </c>
      <c r="E197" s="14" t="n">
        <v>199.78</v>
      </c>
      <c r="F197" s="14" t="n">
        <v>241.12</v>
      </c>
      <c r="G197" s="14">
        <f>SUM(C197:F197)</f>
        <v/>
      </c>
      <c r="I197" s="14" t="n">
        <v>0</v>
      </c>
      <c r="J197" s="14" t="n">
        <v>6.35</v>
      </c>
      <c r="K197" s="14" t="n">
        <v>308.64</v>
      </c>
      <c r="L197" s="14" t="n">
        <v>308.38</v>
      </c>
      <c r="M197" s="14">
        <f>SUM(I197:L197)</f>
        <v/>
      </c>
      <c r="O197" s="15">
        <f>IFERROR(I197/C197-1,"")</f>
        <v/>
      </c>
      <c r="P197" s="15">
        <f>IFERROR(J197/D197-1,"")</f>
        <v/>
      </c>
      <c r="Q197" s="15">
        <f>IFERROR(K197/E197-1,"")</f>
        <v/>
      </c>
      <c r="R197" s="15">
        <f>IFERROR(L197/F197-1,"")</f>
        <v/>
      </c>
      <c r="S197" s="15">
        <f>IFERROR(M197/G197-1,"")</f>
        <v/>
      </c>
      <c r="U197" s="16" t="n"/>
      <c r="V197" s="16" t="n"/>
      <c r="W197" s="16" t="n"/>
      <c r="X197" s="16">
        <f>IFERROR(W197-V197,"")</f>
        <v/>
      </c>
    </row>
    <row r="198">
      <c r="B198" s="13" t="inlineStr">
        <is>
          <t>10-19</t>
        </is>
      </c>
      <c r="C198" s="14" t="n">
        <v>0</v>
      </c>
      <c r="D198" s="14" t="n">
        <v>7.97</v>
      </c>
      <c r="E198" s="14" t="n">
        <v>268.2</v>
      </c>
      <c r="F198" s="14" t="n">
        <v>296.69</v>
      </c>
      <c r="G198" s="14">
        <f>SUM(C198:F198)</f>
        <v/>
      </c>
      <c r="I198" s="14" t="n">
        <v>0</v>
      </c>
      <c r="J198" s="14" t="n">
        <v>7.97</v>
      </c>
      <c r="K198" s="14" t="n">
        <v>375</v>
      </c>
      <c r="L198" s="14" t="n">
        <v>435.01</v>
      </c>
      <c r="M198" s="14">
        <f>SUM(I198:L198)</f>
        <v/>
      </c>
      <c r="O198" s="15">
        <f>IFERROR(I198/C198-1,"")</f>
        <v/>
      </c>
      <c r="P198" s="15">
        <f>IFERROR(J198/D198-1,"")</f>
        <v/>
      </c>
      <c r="Q198" s="15">
        <f>IFERROR(K198/E198-1,"")</f>
        <v/>
      </c>
      <c r="R198" s="15">
        <f>IFERROR(L198/F198-1,"")</f>
        <v/>
      </c>
      <c r="S198" s="15">
        <f>IFERROR(M198/G198-1,"")</f>
        <v/>
      </c>
      <c r="U198" s="16" t="n"/>
      <c r="V198" s="16" t="n"/>
      <c r="W198" s="16" t="n"/>
      <c r="X198" s="16">
        <f>IFERROR(W198-V198,"")</f>
        <v/>
      </c>
    </row>
    <row r="199">
      <c r="B199" s="13" t="inlineStr">
        <is>
          <t>20-39</t>
        </is>
      </c>
      <c r="C199" s="14" t="n">
        <v>0</v>
      </c>
      <c r="D199" s="14" t="n">
        <v>7.57</v>
      </c>
      <c r="E199" s="14" t="n">
        <v>367</v>
      </c>
      <c r="F199" s="14" t="n">
        <v>335.98</v>
      </c>
      <c r="G199" s="14">
        <f>SUM(C199:F199)</f>
        <v/>
      </c>
      <c r="I199" s="14" t="n">
        <v>0</v>
      </c>
      <c r="J199" s="14" t="n">
        <v>7.57</v>
      </c>
      <c r="K199" s="14" t="n">
        <v>470.52</v>
      </c>
      <c r="L199" s="14" t="n">
        <v>518.89</v>
      </c>
      <c r="M199" s="14">
        <f>SUM(I199:L199)</f>
        <v/>
      </c>
      <c r="O199" s="15">
        <f>IFERROR(I199/C199-1,"")</f>
        <v/>
      </c>
      <c r="P199" s="15">
        <f>IFERROR(J199/D199-1,"")</f>
        <v/>
      </c>
      <c r="Q199" s="15">
        <f>IFERROR(K199/E199-1,"")</f>
        <v/>
      </c>
      <c r="R199" s="15">
        <f>IFERROR(L199/F199-1,"")</f>
        <v/>
      </c>
      <c r="S199" s="15">
        <f>IFERROR(M199/G199-1,"")</f>
        <v/>
      </c>
      <c r="U199" s="16" t="n"/>
      <c r="V199" s="16" t="n"/>
      <c r="W199" s="16" t="n"/>
      <c r="X199" s="16">
        <f>IFERROR(W199-V199,"")</f>
        <v/>
      </c>
    </row>
    <row r="200">
      <c r="B200" s="13" t="inlineStr">
        <is>
          <t>40-99</t>
        </is>
      </c>
      <c r="C200" s="14" t="n">
        <v>0</v>
      </c>
      <c r="D200" s="14" t="n">
        <v>10.13</v>
      </c>
      <c r="E200" s="14" t="n">
        <v>669.95</v>
      </c>
      <c r="F200" s="14" t="n">
        <v>428.32</v>
      </c>
      <c r="G200" s="14">
        <f>SUM(C200:F200)</f>
        <v/>
      </c>
      <c r="I200" s="14" t="n">
        <v>0</v>
      </c>
      <c r="J200" s="14" t="n">
        <v>10.13</v>
      </c>
      <c r="K200" s="14" t="n">
        <v>809.0599999999999</v>
      </c>
      <c r="L200" s="14" t="n">
        <v>713.4</v>
      </c>
      <c r="M200" s="14">
        <f>SUM(I200:L200)</f>
        <v/>
      </c>
      <c r="O200" s="15">
        <f>IFERROR(I200/C200-1,"")</f>
        <v/>
      </c>
      <c r="P200" s="15">
        <f>IFERROR(J200/D200-1,"")</f>
        <v/>
      </c>
      <c r="Q200" s="15">
        <f>IFERROR(K200/E200-1,"")</f>
        <v/>
      </c>
      <c r="R200" s="15">
        <f>IFERROR(L200/F200-1,"")</f>
        <v/>
      </c>
      <c r="S200" s="15">
        <f>IFERROR(M200/G200-1,"")</f>
        <v/>
      </c>
      <c r="U200" s="16" t="n"/>
      <c r="V200" s="16" t="n"/>
      <c r="W200" s="16" t="n"/>
      <c r="X200" s="16">
        <f>IFERROR(W200-V200,"")</f>
        <v/>
      </c>
    </row>
    <row r="201">
      <c r="B201" s="13" t="inlineStr">
        <is>
          <t>100+</t>
        </is>
      </c>
      <c r="C201" s="14" t="n">
        <v>0</v>
      </c>
      <c r="D201" s="14" t="n">
        <v>13.49</v>
      </c>
      <c r="E201" s="14" t="n">
        <v>1049.81</v>
      </c>
      <c r="F201" s="14" t="n">
        <v>385.14</v>
      </c>
      <c r="G201" s="14">
        <f>SUM(C201:F201)</f>
        <v/>
      </c>
      <c r="I201" s="14" t="n">
        <v>0</v>
      </c>
      <c r="J201" s="14" t="n">
        <v>13.49</v>
      </c>
      <c r="K201" s="14" t="n">
        <v>1218.75</v>
      </c>
      <c r="L201" s="14" t="n">
        <v>719.11</v>
      </c>
      <c r="M201" s="14">
        <f>SUM(I201:L201)</f>
        <v/>
      </c>
      <c r="O201" s="15">
        <f>IFERROR(I201/C201-1,"")</f>
        <v/>
      </c>
      <c r="P201" s="15">
        <f>IFERROR(J201/D201-1,"")</f>
        <v/>
      </c>
      <c r="Q201" s="15">
        <f>IFERROR(K201/E201-1,"")</f>
        <v/>
      </c>
      <c r="R201" s="15">
        <f>IFERROR(L201/F201-1,"")</f>
        <v/>
      </c>
      <c r="S201" s="15">
        <f>IFERROR(M201/G201-1,"")</f>
        <v/>
      </c>
      <c r="U201" s="16" t="n"/>
      <c r="V201" s="16" t="n"/>
      <c r="W201" s="16" t="n"/>
      <c r="X201" s="16">
        <f>IFERROR(W201-V201,"")</f>
        <v/>
      </c>
    </row>
    <row r="202">
      <c r="B202" s="17" t="inlineStr">
        <is>
          <t>overall</t>
        </is>
      </c>
      <c r="C202" s="18" t="n">
        <v>0</v>
      </c>
      <c r="D202" s="18" t="n">
        <v>7.3969</v>
      </c>
      <c r="E202" s="18" t="n">
        <v>297.9607</v>
      </c>
      <c r="F202" s="18" t="n">
        <v>289.2579</v>
      </c>
      <c r="G202" s="18">
        <f>SUM(C202:F202)</f>
        <v/>
      </c>
      <c r="I202" s="18" t="n">
        <v>0</v>
      </c>
      <c r="J202" s="18" t="n">
        <v>7.3969</v>
      </c>
      <c r="K202" s="18" t="n">
        <v>408.93</v>
      </c>
      <c r="L202" s="18" t="n">
        <v>416.4665</v>
      </c>
      <c r="M202" s="18">
        <f>SUM(I202:L202)</f>
        <v/>
      </c>
      <c r="O202" s="19">
        <f>IFERROR(I202/C202-1,"")</f>
        <v/>
      </c>
      <c r="P202" s="19">
        <f>IFERROR(J202/D202-1,"")</f>
        <v/>
      </c>
      <c r="Q202" s="19">
        <f>IFERROR(K202/E202-1,"")</f>
        <v/>
      </c>
      <c r="R202" s="19">
        <f>IFERROR(L202/F202-1,"")</f>
        <v/>
      </c>
      <c r="S202" s="19">
        <f>IFERROR(M202/G202-1,"")</f>
        <v/>
      </c>
      <c r="U202" s="20" t="n"/>
      <c r="V202" s="20" t="n"/>
      <c r="W202" s="20" t="n"/>
      <c r="X202" s="20">
        <f>IFERROR(W202-V202,"")</f>
        <v/>
      </c>
    </row>
    <row r="203">
      <c r="B203" s="12" t="inlineStr">
        <is>
          <t>PAYER</t>
        </is>
      </c>
    </row>
    <row r="204">
      <c r="B204" s="13" t="inlineStr">
        <is>
          <t>0-9</t>
        </is>
      </c>
      <c r="C204" s="14" t="n">
        <v>0</v>
      </c>
      <c r="D204" s="14" t="n">
        <v>11.86</v>
      </c>
      <c r="E204" s="14" t="n">
        <v>251.87</v>
      </c>
      <c r="F204" s="14" t="n">
        <v>347.25</v>
      </c>
      <c r="G204" s="14">
        <f>SUM(C204:F204)</f>
        <v/>
      </c>
      <c r="I204" s="14" t="n">
        <v>0</v>
      </c>
      <c r="J204" s="14" t="n">
        <v>11.86</v>
      </c>
      <c r="K204" s="14" t="n">
        <v>353.77</v>
      </c>
      <c r="L204" s="14" t="n">
        <v>431.39</v>
      </c>
      <c r="M204" s="14">
        <f>SUM(I204:L204)</f>
        <v/>
      </c>
      <c r="O204" s="15">
        <f>IFERROR(I204/C204-1,"")</f>
        <v/>
      </c>
      <c r="P204" s="15">
        <f>IFERROR(J204/D204-1,"")</f>
        <v/>
      </c>
      <c r="Q204" s="15">
        <f>IFERROR(K204/E204-1,"")</f>
        <v/>
      </c>
      <c r="R204" s="15">
        <f>IFERROR(L204/F204-1,"")</f>
        <v/>
      </c>
      <c r="S204" s="15">
        <f>IFERROR(M204/G204-1,"")</f>
        <v/>
      </c>
      <c r="U204" s="16" t="n"/>
      <c r="V204" s="16" t="n"/>
      <c r="W204" s="16" t="n"/>
      <c r="X204" s="16">
        <f>IFERROR(W204-V204,"")</f>
        <v/>
      </c>
    </row>
    <row r="205">
      <c r="B205" s="13" t="inlineStr">
        <is>
          <t>10-19</t>
        </is>
      </c>
      <c r="C205" s="14" t="n">
        <v>0</v>
      </c>
      <c r="D205" s="14" t="n">
        <v>9.529999999999999</v>
      </c>
      <c r="E205" s="14" t="n">
        <v>260.32</v>
      </c>
      <c r="F205" s="14" t="n">
        <v>380.74</v>
      </c>
      <c r="G205" s="14">
        <f>SUM(C205:F205)</f>
        <v/>
      </c>
      <c r="I205" s="14" t="n">
        <v>0</v>
      </c>
      <c r="J205" s="14" t="n">
        <v>9.529999999999999</v>
      </c>
      <c r="K205" s="14" t="n">
        <v>358.18</v>
      </c>
      <c r="L205" s="14" t="n">
        <v>527.21</v>
      </c>
      <c r="M205" s="14">
        <f>SUM(I205:L205)</f>
        <v/>
      </c>
      <c r="O205" s="15">
        <f>IFERROR(I205/C205-1,"")</f>
        <v/>
      </c>
      <c r="P205" s="15">
        <f>IFERROR(J205/D205-1,"")</f>
        <v/>
      </c>
      <c r="Q205" s="15">
        <f>IFERROR(K205/E205-1,"")</f>
        <v/>
      </c>
      <c r="R205" s="15">
        <f>IFERROR(L205/F205-1,"")</f>
        <v/>
      </c>
      <c r="S205" s="15">
        <f>IFERROR(M205/G205-1,"")</f>
        <v/>
      </c>
      <c r="U205" s="16" t="n"/>
      <c r="V205" s="16" t="n"/>
      <c r="W205" s="16" t="n"/>
      <c r="X205" s="16">
        <f>IFERROR(W205-V205,"")</f>
        <v/>
      </c>
    </row>
    <row r="206">
      <c r="B206" s="13" t="inlineStr">
        <is>
          <t>20-39</t>
        </is>
      </c>
      <c r="C206" s="14" t="n">
        <v>0</v>
      </c>
      <c r="D206" s="14" t="n">
        <v>8.02</v>
      </c>
      <c r="E206" s="14" t="n">
        <v>332.3</v>
      </c>
      <c r="F206" s="14" t="n">
        <v>446</v>
      </c>
      <c r="G206" s="14">
        <f>SUM(C206:F206)</f>
        <v/>
      </c>
      <c r="I206" s="14" t="n">
        <v>0</v>
      </c>
      <c r="J206" s="14" t="n">
        <v>8.02</v>
      </c>
      <c r="K206" s="14" t="n">
        <v>428.16</v>
      </c>
      <c r="L206" s="14" t="n">
        <v>627.63</v>
      </c>
      <c r="M206" s="14">
        <f>SUM(I206:L206)</f>
        <v/>
      </c>
      <c r="O206" s="15">
        <f>IFERROR(I206/C206-1,"")</f>
        <v/>
      </c>
      <c r="P206" s="15">
        <f>IFERROR(J206/D206-1,"")</f>
        <v/>
      </c>
      <c r="Q206" s="15">
        <f>IFERROR(K206/E206-1,"")</f>
        <v/>
      </c>
      <c r="R206" s="15">
        <f>IFERROR(L206/F206-1,"")</f>
        <v/>
      </c>
      <c r="S206" s="15">
        <f>IFERROR(M206/G206-1,"")</f>
        <v/>
      </c>
      <c r="U206" s="16" t="n"/>
      <c r="V206" s="16" t="n"/>
      <c r="W206" s="16" t="n"/>
      <c r="X206" s="16">
        <f>IFERROR(W206-V206,"")</f>
        <v/>
      </c>
    </row>
    <row r="207">
      <c r="B207" s="13" t="inlineStr">
        <is>
          <t>40-99</t>
        </is>
      </c>
      <c r="C207" s="14" t="n">
        <v>0</v>
      </c>
      <c r="D207" s="14" t="n">
        <v>8.449999999999999</v>
      </c>
      <c r="E207" s="14" t="n">
        <v>561.13</v>
      </c>
      <c r="F207" s="14" t="n">
        <v>593.84</v>
      </c>
      <c r="G207" s="14">
        <f>SUM(C207:F207)</f>
        <v/>
      </c>
      <c r="I207" s="14" t="n">
        <v>0</v>
      </c>
      <c r="J207" s="14" t="n">
        <v>8.449999999999999</v>
      </c>
      <c r="K207" s="14" t="n">
        <v>680.5599999999999</v>
      </c>
      <c r="L207" s="14" t="n">
        <v>865.11</v>
      </c>
      <c r="M207" s="14">
        <f>SUM(I207:L207)</f>
        <v/>
      </c>
      <c r="O207" s="15">
        <f>IFERROR(I207/C207-1,"")</f>
        <v/>
      </c>
      <c r="P207" s="15">
        <f>IFERROR(J207/D207-1,"")</f>
        <v/>
      </c>
      <c r="Q207" s="15">
        <f>IFERROR(K207/E207-1,"")</f>
        <v/>
      </c>
      <c r="R207" s="15">
        <f>IFERROR(L207/F207-1,"")</f>
        <v/>
      </c>
      <c r="S207" s="15">
        <f>IFERROR(M207/G207-1,"")</f>
        <v/>
      </c>
      <c r="U207" s="16" t="n"/>
      <c r="V207" s="16" t="n"/>
      <c r="W207" s="16" t="n"/>
      <c r="X207" s="16">
        <f>IFERROR(W207-V207,"")</f>
        <v/>
      </c>
    </row>
    <row r="208">
      <c r="B208" s="13" t="inlineStr">
        <is>
          <t>100+</t>
        </is>
      </c>
      <c r="C208" s="14" t="n">
        <v>0</v>
      </c>
      <c r="D208" s="14" t="n">
        <v>7.94</v>
      </c>
      <c r="E208" s="14" t="n">
        <v>918.87</v>
      </c>
      <c r="F208" s="14" t="n">
        <v>626.34</v>
      </c>
      <c r="G208" s="14">
        <f>SUM(C208:F208)</f>
        <v/>
      </c>
      <c r="I208" s="14" t="n">
        <v>0</v>
      </c>
      <c r="J208" s="14" t="n">
        <v>7.94</v>
      </c>
      <c r="K208" s="14" t="n">
        <v>1088.19</v>
      </c>
      <c r="L208" s="14" t="n">
        <v>984.72</v>
      </c>
      <c r="M208" s="14">
        <f>SUM(I208:L208)</f>
        <v/>
      </c>
      <c r="O208" s="15">
        <f>IFERROR(I208/C208-1,"")</f>
        <v/>
      </c>
      <c r="P208" s="15">
        <f>IFERROR(J208/D208-1,"")</f>
        <v/>
      </c>
      <c r="Q208" s="15">
        <f>IFERROR(K208/E208-1,"")</f>
        <v/>
      </c>
      <c r="R208" s="15">
        <f>IFERROR(L208/F208-1,"")</f>
        <v/>
      </c>
      <c r="S208" s="15">
        <f>IFERROR(M208/G208-1,"")</f>
        <v/>
      </c>
      <c r="U208" s="16" t="n"/>
      <c r="V208" s="16" t="n"/>
      <c r="W208" s="16" t="n"/>
      <c r="X208" s="16">
        <f>IFERROR(W208-V208,"")</f>
        <v/>
      </c>
    </row>
    <row r="209">
      <c r="B209" s="17" t="inlineStr">
        <is>
          <t>overall</t>
        </is>
      </c>
      <c r="C209" s="18" t="n">
        <v>0</v>
      </c>
      <c r="D209" s="18" t="n">
        <v>10.4019</v>
      </c>
      <c r="E209" s="18" t="n">
        <v>298.6281</v>
      </c>
      <c r="F209" s="18" t="n">
        <v>393.224</v>
      </c>
      <c r="G209" s="18">
        <f>SUM(C209:F209)</f>
        <v/>
      </c>
      <c r="I209" s="18" t="n">
        <v>0</v>
      </c>
      <c r="J209" s="18" t="n">
        <v>10.4019</v>
      </c>
      <c r="K209" s="18" t="n">
        <v>400.8304</v>
      </c>
      <c r="L209" s="18" t="n">
        <v>525.1928</v>
      </c>
      <c r="M209" s="18">
        <f>SUM(I209:L209)</f>
        <v/>
      </c>
      <c r="O209" s="19">
        <f>IFERROR(I209/C209-1,"")</f>
        <v/>
      </c>
      <c r="P209" s="19">
        <f>IFERROR(J209/D209-1,"")</f>
        <v/>
      </c>
      <c r="Q209" s="19">
        <f>IFERROR(K209/E209-1,"")</f>
        <v/>
      </c>
      <c r="R209" s="19">
        <f>IFERROR(L209/F209-1,"")</f>
        <v/>
      </c>
      <c r="S209" s="19">
        <f>IFERROR(M209/G209-1,"")</f>
        <v/>
      </c>
      <c r="U209" s="20" t="n"/>
      <c r="V209" s="20" t="n"/>
      <c r="W209" s="20" t="n"/>
      <c r="X209" s="20">
        <f>IFERROR(W209-V209,"")</f>
        <v/>
      </c>
    </row>
    <row r="212">
      <c r="B212" s="2" t="inlineStr">
        <is>
          <t>◆ SPT</t>
        </is>
      </c>
    </row>
    <row r="213">
      <c r="C213" s="3" t="inlineStr">
        <is>
          <t>◄ CURRENT (actuals: data + calc) ►</t>
        </is>
      </c>
      <c r="D213" s="3" t="n"/>
      <c r="E213" s="3" t="n"/>
      <c r="F213" s="3" t="n"/>
      <c r="G213" s="3" t="n"/>
      <c r="I213" s="4" t="inlineStr">
        <is>
          <t>◄ SIMULATED (EcoGainsSim v4) ►</t>
        </is>
      </c>
      <c r="J213" s="4" t="n"/>
      <c r="K213" s="4" t="n"/>
      <c r="L213" s="4" t="n"/>
      <c r="M213" s="4" t="n"/>
      <c r="O213" s="5" t="inlineStr">
        <is>
          <t>Δ</t>
        </is>
      </c>
      <c r="P213" s="5" t="n"/>
      <c r="Q213" s="5" t="n"/>
      <c r="R213" s="5" t="n"/>
      <c r="S213" s="5" t="n"/>
      <c r="U213" s="6" t="inlineStr">
        <is>
          <t>◄ NET / earner (spend held constant) ►</t>
        </is>
      </c>
      <c r="V213" s="6" t="n"/>
      <c r="W213" s="6" t="n"/>
      <c r="X213" s="6" t="n"/>
    </row>
    <row r="214">
      <c r="B214" s="7" t="inlineStr">
        <is>
          <t>Segment</t>
        </is>
      </c>
      <c r="C214" s="8" t="inlineStr">
        <is>
          <t>PAID</t>
        </is>
      </c>
      <c r="D214" s="8" t="inlineStr">
        <is>
          <t>ADS</t>
        </is>
      </c>
      <c r="E214" s="8" t="inlineStr">
        <is>
          <t>CORE</t>
        </is>
      </c>
      <c r="F214" s="8" t="inlineStr">
        <is>
          <t>META</t>
        </is>
      </c>
      <c r="G214" s="8" t="inlineStr">
        <is>
          <t>Total</t>
        </is>
      </c>
      <c r="I214" s="9" t="inlineStr">
        <is>
          <t>PAID</t>
        </is>
      </c>
      <c r="J214" s="9" t="inlineStr">
        <is>
          <t>ADS</t>
        </is>
      </c>
      <c r="K214" s="9" t="inlineStr">
        <is>
          <t>CORE</t>
        </is>
      </c>
      <c r="L214" s="9" t="inlineStr">
        <is>
          <t>META</t>
        </is>
      </c>
      <c r="M214" s="9" t="inlineStr">
        <is>
          <t>Total</t>
        </is>
      </c>
      <c r="O214" s="10" t="inlineStr">
        <is>
          <t>PAID</t>
        </is>
      </c>
      <c r="P214" s="10" t="inlineStr">
        <is>
          <t>ADS</t>
        </is>
      </c>
      <c r="Q214" s="10" t="inlineStr">
        <is>
          <t>CORE</t>
        </is>
      </c>
      <c r="R214" s="10" t="inlineStr">
        <is>
          <t>META</t>
        </is>
      </c>
      <c r="S214" s="10" t="inlineStr">
        <is>
          <t>Total</t>
        </is>
      </c>
      <c r="U214" s="11" t="inlineStr">
        <is>
          <t>cur spend</t>
        </is>
      </c>
      <c r="V214" s="11" t="inlineStr">
        <is>
          <t>cur net</t>
        </is>
      </c>
      <c r="W214" s="11" t="inlineStr">
        <is>
          <t>new net</t>
        </is>
      </c>
      <c r="X214" s="11" t="inlineStr">
        <is>
          <t>net Δ</t>
        </is>
      </c>
    </row>
    <row r="215">
      <c r="B215" s="12" t="inlineStr">
        <is>
          <t>NONPAYER</t>
        </is>
      </c>
    </row>
    <row r="216">
      <c r="B216" s="13" t="inlineStr">
        <is>
          <t>0-9</t>
        </is>
      </c>
      <c r="C216" s="14" t="n">
        <v>0</v>
      </c>
      <c r="D216" s="14" t="n">
        <v>0</v>
      </c>
      <c r="E216" s="14" t="n">
        <v>0</v>
      </c>
      <c r="F216" s="14" t="n">
        <v>0</v>
      </c>
      <c r="G216" s="14">
        <f>SUM(C216:F216)</f>
        <v/>
      </c>
      <c r="I216" s="14" t="n">
        <v>0</v>
      </c>
      <c r="J216" s="14" t="n">
        <v>0</v>
      </c>
      <c r="K216" s="14" t="n">
        <v>0</v>
      </c>
      <c r="L216" s="14" t="n">
        <v>0</v>
      </c>
      <c r="M216" s="14">
        <f>SUM(I216:L216)</f>
        <v/>
      </c>
      <c r="O216" s="15">
        <f>IFERROR(I216/C216-1,"")</f>
        <v/>
      </c>
      <c r="P216" s="15">
        <f>IFERROR(J216/D216-1,"")</f>
        <v/>
      </c>
      <c r="Q216" s="15">
        <f>IFERROR(K216/E216-1,"")</f>
        <v/>
      </c>
      <c r="R216" s="15">
        <f>IFERROR(L216/F216-1,"")</f>
        <v/>
      </c>
      <c r="S216" s="15">
        <f>IFERROR(M216/G216-1,"")</f>
        <v/>
      </c>
      <c r="U216" s="16" t="n"/>
      <c r="V216" s="16" t="n"/>
      <c r="W216" s="16" t="n"/>
      <c r="X216" s="16">
        <f>IFERROR(W216-V216,"")</f>
        <v/>
      </c>
    </row>
    <row r="217">
      <c r="B217" s="13" t="inlineStr">
        <is>
          <t>10-19</t>
        </is>
      </c>
      <c r="C217" s="14" t="n">
        <v>0</v>
      </c>
      <c r="D217" s="14" t="n">
        <v>0</v>
      </c>
      <c r="E217" s="14" t="n">
        <v>0</v>
      </c>
      <c r="F217" s="14" t="n">
        <v>0</v>
      </c>
      <c r="G217" s="14">
        <f>SUM(C217:F217)</f>
        <v/>
      </c>
      <c r="I217" s="14" t="n">
        <v>0</v>
      </c>
      <c r="J217" s="14" t="n">
        <v>0</v>
      </c>
      <c r="K217" s="14" t="n">
        <v>0</v>
      </c>
      <c r="L217" s="14" t="n">
        <v>0</v>
      </c>
      <c r="M217" s="14">
        <f>SUM(I217:L217)</f>
        <v/>
      </c>
      <c r="O217" s="15">
        <f>IFERROR(I217/C217-1,"")</f>
        <v/>
      </c>
      <c r="P217" s="15">
        <f>IFERROR(J217/D217-1,"")</f>
        <v/>
      </c>
      <c r="Q217" s="15">
        <f>IFERROR(K217/E217-1,"")</f>
        <v/>
      </c>
      <c r="R217" s="15">
        <f>IFERROR(L217/F217-1,"")</f>
        <v/>
      </c>
      <c r="S217" s="15">
        <f>IFERROR(M217/G217-1,"")</f>
        <v/>
      </c>
      <c r="U217" s="16" t="n"/>
      <c r="V217" s="16" t="n"/>
      <c r="W217" s="16" t="n"/>
      <c r="X217" s="16">
        <f>IFERROR(W217-V217,"")</f>
        <v/>
      </c>
    </row>
    <row r="218">
      <c r="B218" s="13" t="inlineStr">
        <is>
          <t>20-39</t>
        </is>
      </c>
      <c r="C218" s="14" t="n">
        <v>0</v>
      </c>
      <c r="D218" s="14" t="n">
        <v>0</v>
      </c>
      <c r="E218" s="14" t="n">
        <v>0</v>
      </c>
      <c r="F218" s="14" t="n">
        <v>0</v>
      </c>
      <c r="G218" s="14">
        <f>SUM(C218:F218)</f>
        <v/>
      </c>
      <c r="I218" s="14" t="n">
        <v>0</v>
      </c>
      <c r="J218" s="14" t="n">
        <v>0</v>
      </c>
      <c r="K218" s="14" t="n">
        <v>0</v>
      </c>
      <c r="L218" s="14" t="n">
        <v>0</v>
      </c>
      <c r="M218" s="14">
        <f>SUM(I218:L218)</f>
        <v/>
      </c>
      <c r="O218" s="15">
        <f>IFERROR(I218/C218-1,"")</f>
        <v/>
      </c>
      <c r="P218" s="15">
        <f>IFERROR(J218/D218-1,"")</f>
        <v/>
      </c>
      <c r="Q218" s="15">
        <f>IFERROR(K218/E218-1,"")</f>
        <v/>
      </c>
      <c r="R218" s="15">
        <f>IFERROR(L218/F218-1,"")</f>
        <v/>
      </c>
      <c r="S218" s="15">
        <f>IFERROR(M218/G218-1,"")</f>
        <v/>
      </c>
      <c r="U218" s="16" t="n"/>
      <c r="V218" s="16" t="n"/>
      <c r="W218" s="16" t="n"/>
      <c r="X218" s="16">
        <f>IFERROR(W218-V218,"")</f>
        <v/>
      </c>
    </row>
    <row r="219">
      <c r="B219" s="13" t="inlineStr">
        <is>
          <t>40-99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>
        <f>SUM(C219:F219)</f>
        <v/>
      </c>
      <c r="I219" s="14" t="n">
        <v>0</v>
      </c>
      <c r="J219" s="14" t="n">
        <v>0</v>
      </c>
      <c r="K219" s="14" t="n">
        <v>0</v>
      </c>
      <c r="L219" s="14" t="n">
        <v>0</v>
      </c>
      <c r="M219" s="14">
        <f>SUM(I219:L219)</f>
        <v/>
      </c>
      <c r="O219" s="15">
        <f>IFERROR(I219/C219-1,"")</f>
        <v/>
      </c>
      <c r="P219" s="15">
        <f>IFERROR(J219/D219-1,"")</f>
        <v/>
      </c>
      <c r="Q219" s="15">
        <f>IFERROR(K219/E219-1,"")</f>
        <v/>
      </c>
      <c r="R219" s="15">
        <f>IFERROR(L219/F219-1,"")</f>
        <v/>
      </c>
      <c r="S219" s="15">
        <f>IFERROR(M219/G219-1,"")</f>
        <v/>
      </c>
      <c r="U219" s="16" t="n"/>
      <c r="V219" s="16" t="n"/>
      <c r="W219" s="16" t="n"/>
      <c r="X219" s="16">
        <f>IFERROR(W219-V219,"")</f>
        <v/>
      </c>
    </row>
    <row r="220">
      <c r="B220" s="13" t="inlineStr">
        <is>
          <t>100+</t>
        </is>
      </c>
      <c r="C220" s="14" t="n">
        <v>0</v>
      </c>
      <c r="D220" s="14" t="n">
        <v>0</v>
      </c>
      <c r="E220" s="14" t="n">
        <v>0</v>
      </c>
      <c r="F220" s="14" t="n">
        <v>0</v>
      </c>
      <c r="G220" s="14">
        <f>SUM(C220:F220)</f>
        <v/>
      </c>
      <c r="I220" s="14" t="n">
        <v>0</v>
      </c>
      <c r="J220" s="14" t="n">
        <v>0</v>
      </c>
      <c r="K220" s="14" t="n">
        <v>0</v>
      </c>
      <c r="L220" s="14" t="n">
        <v>0</v>
      </c>
      <c r="M220" s="14">
        <f>SUM(I220:L220)</f>
        <v/>
      </c>
      <c r="O220" s="15">
        <f>IFERROR(I220/C220-1,"")</f>
        <v/>
      </c>
      <c r="P220" s="15">
        <f>IFERROR(J220/D220-1,"")</f>
        <v/>
      </c>
      <c r="Q220" s="15">
        <f>IFERROR(K220/E220-1,"")</f>
        <v/>
      </c>
      <c r="R220" s="15">
        <f>IFERROR(L220/F220-1,"")</f>
        <v/>
      </c>
      <c r="S220" s="15">
        <f>IFERROR(M220/G220-1,"")</f>
        <v/>
      </c>
      <c r="U220" s="16" t="n"/>
      <c r="V220" s="16" t="n"/>
      <c r="W220" s="16" t="n"/>
      <c r="X220" s="16">
        <f>IFERROR(W220-V220,"")</f>
        <v/>
      </c>
    </row>
    <row r="221">
      <c r="B221" s="17" t="inlineStr">
        <is>
          <t>overall</t>
        </is>
      </c>
      <c r="C221" s="18" t="n">
        <v>0</v>
      </c>
      <c r="D221" s="18" t="n">
        <v>0</v>
      </c>
      <c r="E221" s="18" t="n">
        <v>0</v>
      </c>
      <c r="F221" s="18" t="n">
        <v>0</v>
      </c>
      <c r="G221" s="18">
        <f>SUM(C221:F221)</f>
        <v/>
      </c>
      <c r="I221" s="18" t="n">
        <v>0</v>
      </c>
      <c r="J221" s="18" t="n">
        <v>0</v>
      </c>
      <c r="K221" s="18" t="n">
        <v>0</v>
      </c>
      <c r="L221" s="18" t="n">
        <v>0</v>
      </c>
      <c r="M221" s="18">
        <f>SUM(I221:L221)</f>
        <v/>
      </c>
      <c r="O221" s="19">
        <f>IFERROR(I221/C221-1,"")</f>
        <v/>
      </c>
      <c r="P221" s="19">
        <f>IFERROR(J221/D221-1,"")</f>
        <v/>
      </c>
      <c r="Q221" s="19">
        <f>IFERROR(K221/E221-1,"")</f>
        <v/>
      </c>
      <c r="R221" s="19">
        <f>IFERROR(L221/F221-1,"")</f>
        <v/>
      </c>
      <c r="S221" s="19">
        <f>IFERROR(M221/G221-1,"")</f>
        <v/>
      </c>
      <c r="U221" s="20" t="n"/>
      <c r="V221" s="20" t="n"/>
      <c r="W221" s="20" t="n"/>
      <c r="X221" s="20">
        <f>IFERROR(W221-V221,"")</f>
        <v/>
      </c>
    </row>
    <row r="222">
      <c r="B222" s="12" t="inlineStr">
        <is>
          <t>PAYER</t>
        </is>
      </c>
    </row>
    <row r="223">
      <c r="B223" s="13" t="inlineStr">
        <is>
          <t>0-9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>
        <f>SUM(C223:F223)</f>
        <v/>
      </c>
      <c r="I223" s="14" t="n">
        <v>0</v>
      </c>
      <c r="J223" s="14" t="n">
        <v>0</v>
      </c>
      <c r="K223" s="14" t="n">
        <v>0</v>
      </c>
      <c r="L223" s="14" t="n">
        <v>0</v>
      </c>
      <c r="M223" s="14">
        <f>SUM(I223:L223)</f>
        <v/>
      </c>
      <c r="O223" s="15">
        <f>IFERROR(I223/C223-1,"")</f>
        <v/>
      </c>
      <c r="P223" s="15">
        <f>IFERROR(J223/D223-1,"")</f>
        <v/>
      </c>
      <c r="Q223" s="15">
        <f>IFERROR(K223/E223-1,"")</f>
        <v/>
      </c>
      <c r="R223" s="15">
        <f>IFERROR(L223/F223-1,"")</f>
        <v/>
      </c>
      <c r="S223" s="15">
        <f>IFERROR(M223/G223-1,"")</f>
        <v/>
      </c>
      <c r="U223" s="16" t="n"/>
      <c r="V223" s="16" t="n"/>
      <c r="W223" s="16" t="n"/>
      <c r="X223" s="16">
        <f>IFERROR(W223-V223,"")</f>
        <v/>
      </c>
    </row>
    <row r="224">
      <c r="B224" s="13" t="inlineStr">
        <is>
          <t>10-19</t>
        </is>
      </c>
      <c r="C224" s="14" t="n">
        <v>0</v>
      </c>
      <c r="D224" s="14" t="n">
        <v>0</v>
      </c>
      <c r="E224" s="14" t="n">
        <v>0</v>
      </c>
      <c r="F224" s="14" t="n">
        <v>0</v>
      </c>
      <c r="G224" s="14">
        <f>SUM(C224:F224)</f>
        <v/>
      </c>
      <c r="I224" s="14" t="n">
        <v>0</v>
      </c>
      <c r="J224" s="14" t="n">
        <v>0</v>
      </c>
      <c r="K224" s="14" t="n">
        <v>0</v>
      </c>
      <c r="L224" s="14" t="n">
        <v>0</v>
      </c>
      <c r="M224" s="14">
        <f>SUM(I224:L224)</f>
        <v/>
      </c>
      <c r="O224" s="15">
        <f>IFERROR(I224/C224-1,"")</f>
        <v/>
      </c>
      <c r="P224" s="15">
        <f>IFERROR(J224/D224-1,"")</f>
        <v/>
      </c>
      <c r="Q224" s="15">
        <f>IFERROR(K224/E224-1,"")</f>
        <v/>
      </c>
      <c r="R224" s="15">
        <f>IFERROR(L224/F224-1,"")</f>
        <v/>
      </c>
      <c r="S224" s="15">
        <f>IFERROR(M224/G224-1,"")</f>
        <v/>
      </c>
      <c r="U224" s="16" t="n"/>
      <c r="V224" s="16" t="n"/>
      <c r="W224" s="16" t="n"/>
      <c r="X224" s="16">
        <f>IFERROR(W224-V224,"")</f>
        <v/>
      </c>
    </row>
    <row r="225">
      <c r="B225" s="13" t="inlineStr">
        <is>
          <t>20-39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>
        <f>SUM(C225:F225)</f>
        <v/>
      </c>
      <c r="I225" s="14" t="n">
        <v>0</v>
      </c>
      <c r="J225" s="14" t="n">
        <v>0</v>
      </c>
      <c r="K225" s="14" t="n">
        <v>0</v>
      </c>
      <c r="L225" s="14" t="n">
        <v>0</v>
      </c>
      <c r="M225" s="14">
        <f>SUM(I225:L225)</f>
        <v/>
      </c>
      <c r="O225" s="15">
        <f>IFERROR(I225/C225-1,"")</f>
        <v/>
      </c>
      <c r="P225" s="15">
        <f>IFERROR(J225/D225-1,"")</f>
        <v/>
      </c>
      <c r="Q225" s="15">
        <f>IFERROR(K225/E225-1,"")</f>
        <v/>
      </c>
      <c r="R225" s="15">
        <f>IFERROR(L225/F225-1,"")</f>
        <v/>
      </c>
      <c r="S225" s="15">
        <f>IFERROR(M225/G225-1,"")</f>
        <v/>
      </c>
      <c r="U225" s="16" t="n"/>
      <c r="V225" s="16" t="n"/>
      <c r="W225" s="16" t="n"/>
      <c r="X225" s="16">
        <f>IFERROR(W225-V225,"")</f>
        <v/>
      </c>
    </row>
    <row r="226">
      <c r="B226" s="13" t="inlineStr">
        <is>
          <t>40-99</t>
        </is>
      </c>
      <c r="C226" s="14" t="n">
        <v>0</v>
      </c>
      <c r="D226" s="14" t="n">
        <v>0</v>
      </c>
      <c r="E226" s="14" t="n">
        <v>0</v>
      </c>
      <c r="F226" s="14" t="n">
        <v>0</v>
      </c>
      <c r="G226" s="14">
        <f>SUM(C226:F226)</f>
        <v/>
      </c>
      <c r="I226" s="14" t="n">
        <v>0</v>
      </c>
      <c r="J226" s="14" t="n">
        <v>0</v>
      </c>
      <c r="K226" s="14" t="n">
        <v>0</v>
      </c>
      <c r="L226" s="14" t="n">
        <v>0</v>
      </c>
      <c r="M226" s="14">
        <f>SUM(I226:L226)</f>
        <v/>
      </c>
      <c r="O226" s="15">
        <f>IFERROR(I226/C226-1,"")</f>
        <v/>
      </c>
      <c r="P226" s="15">
        <f>IFERROR(J226/D226-1,"")</f>
        <v/>
      </c>
      <c r="Q226" s="15">
        <f>IFERROR(K226/E226-1,"")</f>
        <v/>
      </c>
      <c r="R226" s="15">
        <f>IFERROR(L226/F226-1,"")</f>
        <v/>
      </c>
      <c r="S226" s="15">
        <f>IFERROR(M226/G226-1,"")</f>
        <v/>
      </c>
      <c r="U226" s="16" t="n"/>
      <c r="V226" s="16" t="n"/>
      <c r="W226" s="16" t="n"/>
      <c r="X226" s="16">
        <f>IFERROR(W226-V226,"")</f>
        <v/>
      </c>
    </row>
    <row r="227">
      <c r="B227" s="13" t="inlineStr">
        <is>
          <t>100+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>
        <f>SUM(C227:F227)</f>
        <v/>
      </c>
      <c r="I227" s="14" t="n">
        <v>0</v>
      </c>
      <c r="J227" s="14" t="n">
        <v>0</v>
      </c>
      <c r="K227" s="14" t="n">
        <v>0</v>
      </c>
      <c r="L227" s="14" t="n">
        <v>0</v>
      </c>
      <c r="M227" s="14">
        <f>SUM(I227:L227)</f>
        <v/>
      </c>
      <c r="O227" s="15">
        <f>IFERROR(I227/C227-1,"")</f>
        <v/>
      </c>
      <c r="P227" s="15">
        <f>IFERROR(J227/D227-1,"")</f>
        <v/>
      </c>
      <c r="Q227" s="15">
        <f>IFERROR(K227/E227-1,"")</f>
        <v/>
      </c>
      <c r="R227" s="15">
        <f>IFERROR(L227/F227-1,"")</f>
        <v/>
      </c>
      <c r="S227" s="15">
        <f>IFERROR(M227/G227-1,"")</f>
        <v/>
      </c>
      <c r="U227" s="16" t="n"/>
      <c r="V227" s="16" t="n"/>
      <c r="W227" s="16" t="n"/>
      <c r="X227" s="16">
        <f>IFERROR(W227-V227,"")</f>
        <v/>
      </c>
    </row>
    <row r="228">
      <c r="B228" s="17" t="inlineStr">
        <is>
          <t>overall</t>
        </is>
      </c>
      <c r="C228" s="18" t="n">
        <v>0</v>
      </c>
      <c r="D228" s="18" t="n">
        <v>0</v>
      </c>
      <c r="E228" s="18" t="n">
        <v>0</v>
      </c>
      <c r="F228" s="18" t="n">
        <v>0</v>
      </c>
      <c r="G228" s="18">
        <f>SUM(C228:F228)</f>
        <v/>
      </c>
      <c r="I228" s="18" t="n">
        <v>0</v>
      </c>
      <c r="J228" s="18" t="n">
        <v>0</v>
      </c>
      <c r="K228" s="18" t="n">
        <v>0</v>
      </c>
      <c r="L228" s="18" t="n">
        <v>0</v>
      </c>
      <c r="M228" s="18">
        <f>SUM(I228:L228)</f>
        <v/>
      </c>
      <c r="O228" s="19">
        <f>IFERROR(I228/C228-1,"")</f>
        <v/>
      </c>
      <c r="P228" s="19">
        <f>IFERROR(J228/D228-1,"")</f>
        <v/>
      </c>
      <c r="Q228" s="19">
        <f>IFERROR(K228/E228-1,"")</f>
        <v/>
      </c>
      <c r="R228" s="19">
        <f>IFERROR(L228/F228-1,"")</f>
        <v/>
      </c>
      <c r="S228" s="19">
        <f>IFERROR(M228/G228-1,"")</f>
        <v/>
      </c>
      <c r="U228" s="20" t="n"/>
      <c r="V228" s="20" t="n"/>
      <c r="W228" s="20" t="n"/>
      <c r="X228" s="20">
        <f>IFERROR(W228-V228,"")</f>
        <v/>
      </c>
    </row>
    <row r="231">
      <c r="B231" s="2" t="inlineStr">
        <is>
          <t>◆ SPTx2</t>
        </is>
      </c>
    </row>
    <row r="232">
      <c r="C232" s="3" t="inlineStr">
        <is>
          <t>◄ CURRENT (actuals: data + calc) ►</t>
        </is>
      </c>
      <c r="D232" s="3" t="n"/>
      <c r="E232" s="3" t="n"/>
      <c r="F232" s="3" t="n"/>
      <c r="G232" s="3" t="n"/>
      <c r="I232" s="4" t="inlineStr">
        <is>
          <t>◄ SIMULATED (EcoGainsSim v4) ►</t>
        </is>
      </c>
      <c r="J232" s="4" t="n"/>
      <c r="K232" s="4" t="n"/>
      <c r="L232" s="4" t="n"/>
      <c r="M232" s="4" t="n"/>
      <c r="O232" s="5" t="inlineStr">
        <is>
          <t>Δ</t>
        </is>
      </c>
      <c r="P232" s="5" t="n"/>
      <c r="Q232" s="5" t="n"/>
      <c r="R232" s="5" t="n"/>
      <c r="S232" s="5" t="n"/>
      <c r="U232" s="6" t="inlineStr">
        <is>
          <t>◄ NET / earner (spend held constant) ►</t>
        </is>
      </c>
      <c r="V232" s="6" t="n"/>
      <c r="W232" s="6" t="n"/>
      <c r="X232" s="6" t="n"/>
    </row>
    <row r="233">
      <c r="B233" s="7" t="inlineStr">
        <is>
          <t>Segment</t>
        </is>
      </c>
      <c r="C233" s="8" t="inlineStr">
        <is>
          <t>PAID</t>
        </is>
      </c>
      <c r="D233" s="8" t="inlineStr">
        <is>
          <t>ADS</t>
        </is>
      </c>
      <c r="E233" s="8" t="inlineStr">
        <is>
          <t>CORE</t>
        </is>
      </c>
      <c r="F233" s="8" t="inlineStr">
        <is>
          <t>META</t>
        </is>
      </c>
      <c r="G233" s="8" t="inlineStr">
        <is>
          <t>Total</t>
        </is>
      </c>
      <c r="I233" s="9" t="inlineStr">
        <is>
          <t>PAID</t>
        </is>
      </c>
      <c r="J233" s="9" t="inlineStr">
        <is>
          <t>ADS</t>
        </is>
      </c>
      <c r="K233" s="9" t="inlineStr">
        <is>
          <t>CORE</t>
        </is>
      </c>
      <c r="L233" s="9" t="inlineStr">
        <is>
          <t>META</t>
        </is>
      </c>
      <c r="M233" s="9" t="inlineStr">
        <is>
          <t>Total</t>
        </is>
      </c>
      <c r="O233" s="10" t="inlineStr">
        <is>
          <t>PAID</t>
        </is>
      </c>
      <c r="P233" s="10" t="inlineStr">
        <is>
          <t>ADS</t>
        </is>
      </c>
      <c r="Q233" s="10" t="inlineStr">
        <is>
          <t>CORE</t>
        </is>
      </c>
      <c r="R233" s="10" t="inlineStr">
        <is>
          <t>META</t>
        </is>
      </c>
      <c r="S233" s="10" t="inlineStr">
        <is>
          <t>Total</t>
        </is>
      </c>
      <c r="U233" s="11" t="inlineStr">
        <is>
          <t>cur spend</t>
        </is>
      </c>
      <c r="V233" s="11" t="inlineStr">
        <is>
          <t>cur net</t>
        </is>
      </c>
      <c r="W233" s="11" t="inlineStr">
        <is>
          <t>new net</t>
        </is>
      </c>
      <c r="X233" s="11" t="inlineStr">
        <is>
          <t>net Δ</t>
        </is>
      </c>
    </row>
    <row r="234">
      <c r="B234" s="12" t="inlineStr">
        <is>
          <t>NONPAYER</t>
        </is>
      </c>
    </row>
    <row r="235">
      <c r="B235" s="13" t="inlineStr">
        <is>
          <t>0-9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>
        <f>SUM(C235:F235)</f>
        <v/>
      </c>
      <c r="I235" s="14" t="n">
        <v>0</v>
      </c>
      <c r="J235" s="14" t="n">
        <v>0</v>
      </c>
      <c r="K235" s="14" t="n">
        <v>0</v>
      </c>
      <c r="L235" s="14" t="n">
        <v>0</v>
      </c>
      <c r="M235" s="14">
        <f>SUM(I235:L235)</f>
        <v/>
      </c>
      <c r="O235" s="15">
        <f>IFERROR(I235/C235-1,"")</f>
        <v/>
      </c>
      <c r="P235" s="15">
        <f>IFERROR(J235/D235-1,"")</f>
        <v/>
      </c>
      <c r="Q235" s="15">
        <f>IFERROR(K235/E235-1,"")</f>
        <v/>
      </c>
      <c r="R235" s="15">
        <f>IFERROR(L235/F235-1,"")</f>
        <v/>
      </c>
      <c r="S235" s="15">
        <f>IFERROR(M235/G235-1,"")</f>
        <v/>
      </c>
      <c r="U235" s="16" t="n"/>
      <c r="V235" s="16" t="n"/>
      <c r="W235" s="16" t="n"/>
      <c r="X235" s="16">
        <f>IFERROR(W235-V235,"")</f>
        <v/>
      </c>
    </row>
    <row r="236">
      <c r="B236" s="13" t="inlineStr">
        <is>
          <t>10-19</t>
        </is>
      </c>
      <c r="C236" s="14" t="n">
        <v>0</v>
      </c>
      <c r="D236" s="14" t="n">
        <v>0</v>
      </c>
      <c r="E236" s="14" t="n">
        <v>0</v>
      </c>
      <c r="F236" s="14" t="n">
        <v>0</v>
      </c>
      <c r="G236" s="14">
        <f>SUM(C236:F236)</f>
        <v/>
      </c>
      <c r="I236" s="14" t="n">
        <v>0</v>
      </c>
      <c r="J236" s="14" t="n">
        <v>0</v>
      </c>
      <c r="K236" s="14" t="n">
        <v>0</v>
      </c>
      <c r="L236" s="14" t="n">
        <v>0</v>
      </c>
      <c r="M236" s="14">
        <f>SUM(I236:L236)</f>
        <v/>
      </c>
      <c r="O236" s="15">
        <f>IFERROR(I236/C236-1,"")</f>
        <v/>
      </c>
      <c r="P236" s="15">
        <f>IFERROR(J236/D236-1,"")</f>
        <v/>
      </c>
      <c r="Q236" s="15">
        <f>IFERROR(K236/E236-1,"")</f>
        <v/>
      </c>
      <c r="R236" s="15">
        <f>IFERROR(L236/F236-1,"")</f>
        <v/>
      </c>
      <c r="S236" s="15">
        <f>IFERROR(M236/G236-1,"")</f>
        <v/>
      </c>
      <c r="U236" s="16" t="n"/>
      <c r="V236" s="16" t="n"/>
      <c r="W236" s="16" t="n"/>
      <c r="X236" s="16">
        <f>IFERROR(W236-V236,"")</f>
        <v/>
      </c>
    </row>
    <row r="237">
      <c r="B237" s="13" t="inlineStr">
        <is>
          <t>20-39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>
        <f>SUM(C237:F237)</f>
        <v/>
      </c>
      <c r="I237" s="14" t="n">
        <v>0</v>
      </c>
      <c r="J237" s="14" t="n">
        <v>0</v>
      </c>
      <c r="K237" s="14" t="n">
        <v>0</v>
      </c>
      <c r="L237" s="14" t="n">
        <v>0</v>
      </c>
      <c r="M237" s="14">
        <f>SUM(I237:L237)</f>
        <v/>
      </c>
      <c r="O237" s="15">
        <f>IFERROR(I237/C237-1,"")</f>
        <v/>
      </c>
      <c r="P237" s="15">
        <f>IFERROR(J237/D237-1,"")</f>
        <v/>
      </c>
      <c r="Q237" s="15">
        <f>IFERROR(K237/E237-1,"")</f>
        <v/>
      </c>
      <c r="R237" s="15">
        <f>IFERROR(L237/F237-1,"")</f>
        <v/>
      </c>
      <c r="S237" s="15">
        <f>IFERROR(M237/G237-1,"")</f>
        <v/>
      </c>
      <c r="U237" s="16" t="n"/>
      <c r="V237" s="16" t="n"/>
      <c r="W237" s="16" t="n"/>
      <c r="X237" s="16">
        <f>IFERROR(W237-V237,"")</f>
        <v/>
      </c>
    </row>
    <row r="238">
      <c r="B238" s="13" t="inlineStr">
        <is>
          <t>40-99</t>
        </is>
      </c>
      <c r="C238" s="14" t="n">
        <v>0</v>
      </c>
      <c r="D238" s="14" t="n">
        <v>0</v>
      </c>
      <c r="E238" s="14" t="n">
        <v>0</v>
      </c>
      <c r="F238" s="14" t="n">
        <v>0</v>
      </c>
      <c r="G238" s="14">
        <f>SUM(C238:F238)</f>
        <v/>
      </c>
      <c r="I238" s="14" t="n">
        <v>0</v>
      </c>
      <c r="J238" s="14" t="n">
        <v>0</v>
      </c>
      <c r="K238" s="14" t="n">
        <v>0</v>
      </c>
      <c r="L238" s="14" t="n">
        <v>0</v>
      </c>
      <c r="M238" s="14">
        <f>SUM(I238:L238)</f>
        <v/>
      </c>
      <c r="O238" s="15">
        <f>IFERROR(I238/C238-1,"")</f>
        <v/>
      </c>
      <c r="P238" s="15">
        <f>IFERROR(J238/D238-1,"")</f>
        <v/>
      </c>
      <c r="Q238" s="15">
        <f>IFERROR(K238/E238-1,"")</f>
        <v/>
      </c>
      <c r="R238" s="15">
        <f>IFERROR(L238/F238-1,"")</f>
        <v/>
      </c>
      <c r="S238" s="15">
        <f>IFERROR(M238/G238-1,"")</f>
        <v/>
      </c>
      <c r="U238" s="16" t="n"/>
      <c r="V238" s="16" t="n"/>
      <c r="W238" s="16" t="n"/>
      <c r="X238" s="16">
        <f>IFERROR(W238-V238,"")</f>
        <v/>
      </c>
    </row>
    <row r="239">
      <c r="B239" s="13" t="inlineStr">
        <is>
          <t>100+</t>
        </is>
      </c>
      <c r="C239" s="14" t="n">
        <v>0</v>
      </c>
      <c r="D239" s="14" t="n">
        <v>0</v>
      </c>
      <c r="E239" s="14" t="n">
        <v>0</v>
      </c>
      <c r="F239" s="14" t="n">
        <v>0</v>
      </c>
      <c r="G239" s="14">
        <f>SUM(C239:F239)</f>
        <v/>
      </c>
      <c r="I239" s="14" t="n">
        <v>0</v>
      </c>
      <c r="J239" s="14" t="n">
        <v>0</v>
      </c>
      <c r="K239" s="14" t="n">
        <v>0</v>
      </c>
      <c r="L239" s="14" t="n">
        <v>0</v>
      </c>
      <c r="M239" s="14">
        <f>SUM(I239:L239)</f>
        <v/>
      </c>
      <c r="O239" s="15">
        <f>IFERROR(I239/C239-1,"")</f>
        <v/>
      </c>
      <c r="P239" s="15">
        <f>IFERROR(J239/D239-1,"")</f>
        <v/>
      </c>
      <c r="Q239" s="15">
        <f>IFERROR(K239/E239-1,"")</f>
        <v/>
      </c>
      <c r="R239" s="15">
        <f>IFERROR(L239/F239-1,"")</f>
        <v/>
      </c>
      <c r="S239" s="15">
        <f>IFERROR(M239/G239-1,"")</f>
        <v/>
      </c>
      <c r="U239" s="16" t="n"/>
      <c r="V239" s="16" t="n"/>
      <c r="W239" s="16" t="n"/>
      <c r="X239" s="16">
        <f>IFERROR(W239-V239,"")</f>
        <v/>
      </c>
    </row>
    <row r="240">
      <c r="B240" s="17" t="inlineStr">
        <is>
          <t>overall</t>
        </is>
      </c>
      <c r="C240" s="18" t="n">
        <v>0</v>
      </c>
      <c r="D240" s="18" t="n">
        <v>0</v>
      </c>
      <c r="E240" s="18" t="n">
        <v>0</v>
      </c>
      <c r="F240" s="18" t="n">
        <v>0</v>
      </c>
      <c r="G240" s="18">
        <f>SUM(C240:F240)</f>
        <v/>
      </c>
      <c r="I240" s="18" t="n">
        <v>0</v>
      </c>
      <c r="J240" s="18" t="n">
        <v>0</v>
      </c>
      <c r="K240" s="18" t="n">
        <v>0</v>
      </c>
      <c r="L240" s="18" t="n">
        <v>0</v>
      </c>
      <c r="M240" s="18">
        <f>SUM(I240:L240)</f>
        <v/>
      </c>
      <c r="O240" s="19">
        <f>IFERROR(I240/C240-1,"")</f>
        <v/>
      </c>
      <c r="P240" s="19">
        <f>IFERROR(J240/D240-1,"")</f>
        <v/>
      </c>
      <c r="Q240" s="19">
        <f>IFERROR(K240/E240-1,"")</f>
        <v/>
      </c>
      <c r="R240" s="19">
        <f>IFERROR(L240/F240-1,"")</f>
        <v/>
      </c>
      <c r="S240" s="19">
        <f>IFERROR(M240/G240-1,"")</f>
        <v/>
      </c>
      <c r="U240" s="20" t="n"/>
      <c r="V240" s="20" t="n"/>
      <c r="W240" s="20" t="n"/>
      <c r="X240" s="20">
        <f>IFERROR(W240-V240,"")</f>
        <v/>
      </c>
    </row>
    <row r="241">
      <c r="B241" s="12" t="inlineStr">
        <is>
          <t>PAYER</t>
        </is>
      </c>
    </row>
    <row r="242">
      <c r="B242" s="13" t="inlineStr">
        <is>
          <t>0-9</t>
        </is>
      </c>
      <c r="C242" s="14" t="n">
        <v>0</v>
      </c>
      <c r="D242" s="14" t="n">
        <v>0</v>
      </c>
      <c r="E242" s="14" t="n">
        <v>0</v>
      </c>
      <c r="F242" s="14" t="n">
        <v>0</v>
      </c>
      <c r="G242" s="14">
        <f>SUM(C242:F242)</f>
        <v/>
      </c>
      <c r="I242" s="14" t="n">
        <v>0</v>
      </c>
      <c r="J242" s="14" t="n">
        <v>0</v>
      </c>
      <c r="K242" s="14" t="n">
        <v>0</v>
      </c>
      <c r="L242" s="14" t="n">
        <v>0</v>
      </c>
      <c r="M242" s="14">
        <f>SUM(I242:L242)</f>
        <v/>
      </c>
      <c r="O242" s="15">
        <f>IFERROR(I242/C242-1,"")</f>
        <v/>
      </c>
      <c r="P242" s="15">
        <f>IFERROR(J242/D242-1,"")</f>
        <v/>
      </c>
      <c r="Q242" s="15">
        <f>IFERROR(K242/E242-1,"")</f>
        <v/>
      </c>
      <c r="R242" s="15">
        <f>IFERROR(L242/F242-1,"")</f>
        <v/>
      </c>
      <c r="S242" s="15">
        <f>IFERROR(M242/G242-1,"")</f>
        <v/>
      </c>
      <c r="U242" s="16" t="n"/>
      <c r="V242" s="16" t="n"/>
      <c r="W242" s="16" t="n"/>
      <c r="X242" s="16">
        <f>IFERROR(W242-V242,"")</f>
        <v/>
      </c>
    </row>
    <row r="243">
      <c r="B243" s="13" t="inlineStr">
        <is>
          <t>10-19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>
        <f>SUM(C243:F243)</f>
        <v/>
      </c>
      <c r="I243" s="14" t="n">
        <v>0</v>
      </c>
      <c r="J243" s="14" t="n">
        <v>0</v>
      </c>
      <c r="K243" s="14" t="n">
        <v>0</v>
      </c>
      <c r="L243" s="14" t="n">
        <v>0</v>
      </c>
      <c r="M243" s="14">
        <f>SUM(I243:L243)</f>
        <v/>
      </c>
      <c r="O243" s="15">
        <f>IFERROR(I243/C243-1,"")</f>
        <v/>
      </c>
      <c r="P243" s="15">
        <f>IFERROR(J243/D243-1,"")</f>
        <v/>
      </c>
      <c r="Q243" s="15">
        <f>IFERROR(K243/E243-1,"")</f>
        <v/>
      </c>
      <c r="R243" s="15">
        <f>IFERROR(L243/F243-1,"")</f>
        <v/>
      </c>
      <c r="S243" s="15">
        <f>IFERROR(M243/G243-1,"")</f>
        <v/>
      </c>
      <c r="U243" s="16" t="n"/>
      <c r="V243" s="16" t="n"/>
      <c r="W243" s="16" t="n"/>
      <c r="X243" s="16">
        <f>IFERROR(W243-V243,"")</f>
        <v/>
      </c>
    </row>
    <row r="244">
      <c r="B244" s="13" t="inlineStr">
        <is>
          <t>20-39</t>
        </is>
      </c>
      <c r="C244" s="14" t="n">
        <v>0</v>
      </c>
      <c r="D244" s="14" t="n">
        <v>0</v>
      </c>
      <c r="E244" s="14" t="n">
        <v>0</v>
      </c>
      <c r="F244" s="14" t="n">
        <v>0</v>
      </c>
      <c r="G244" s="14">
        <f>SUM(C244:F244)</f>
        <v/>
      </c>
      <c r="I244" s="14" t="n">
        <v>0</v>
      </c>
      <c r="J244" s="14" t="n">
        <v>0</v>
      </c>
      <c r="K244" s="14" t="n">
        <v>0</v>
      </c>
      <c r="L244" s="14" t="n">
        <v>0</v>
      </c>
      <c r="M244" s="14">
        <f>SUM(I244:L244)</f>
        <v/>
      </c>
      <c r="O244" s="15">
        <f>IFERROR(I244/C244-1,"")</f>
        <v/>
      </c>
      <c r="P244" s="15">
        <f>IFERROR(J244/D244-1,"")</f>
        <v/>
      </c>
      <c r="Q244" s="15">
        <f>IFERROR(K244/E244-1,"")</f>
        <v/>
      </c>
      <c r="R244" s="15">
        <f>IFERROR(L244/F244-1,"")</f>
        <v/>
      </c>
      <c r="S244" s="15">
        <f>IFERROR(M244/G244-1,"")</f>
        <v/>
      </c>
      <c r="U244" s="16" t="n"/>
      <c r="V244" s="16" t="n"/>
      <c r="W244" s="16" t="n"/>
      <c r="X244" s="16">
        <f>IFERROR(W244-V244,"")</f>
        <v/>
      </c>
    </row>
    <row r="245">
      <c r="B245" s="13" t="inlineStr">
        <is>
          <t>40-99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>
        <f>SUM(C245:F245)</f>
        <v/>
      </c>
      <c r="I245" s="14" t="n">
        <v>0</v>
      </c>
      <c r="J245" s="14" t="n">
        <v>0</v>
      </c>
      <c r="K245" s="14" t="n">
        <v>0</v>
      </c>
      <c r="L245" s="14" t="n">
        <v>0</v>
      </c>
      <c r="M245" s="14">
        <f>SUM(I245:L245)</f>
        <v/>
      </c>
      <c r="O245" s="15">
        <f>IFERROR(I245/C245-1,"")</f>
        <v/>
      </c>
      <c r="P245" s="15">
        <f>IFERROR(J245/D245-1,"")</f>
        <v/>
      </c>
      <c r="Q245" s="15">
        <f>IFERROR(K245/E245-1,"")</f>
        <v/>
      </c>
      <c r="R245" s="15">
        <f>IFERROR(L245/F245-1,"")</f>
        <v/>
      </c>
      <c r="S245" s="15">
        <f>IFERROR(M245/G245-1,"")</f>
        <v/>
      </c>
      <c r="U245" s="16" t="n"/>
      <c r="V245" s="16" t="n"/>
      <c r="W245" s="16" t="n"/>
      <c r="X245" s="16">
        <f>IFERROR(W245-V245,"")</f>
        <v/>
      </c>
    </row>
    <row r="246">
      <c r="B246" s="13" t="inlineStr">
        <is>
          <t>100+</t>
        </is>
      </c>
      <c r="C246" s="14" t="n">
        <v>0</v>
      </c>
      <c r="D246" s="14" t="n">
        <v>0</v>
      </c>
      <c r="E246" s="14" t="n">
        <v>0</v>
      </c>
      <c r="F246" s="14" t="n">
        <v>0</v>
      </c>
      <c r="G246" s="14">
        <f>SUM(C246:F246)</f>
        <v/>
      </c>
      <c r="I246" s="14" t="n">
        <v>0</v>
      </c>
      <c r="J246" s="14" t="n">
        <v>0</v>
      </c>
      <c r="K246" s="14" t="n">
        <v>0</v>
      </c>
      <c r="L246" s="14" t="n">
        <v>0</v>
      </c>
      <c r="M246" s="14">
        <f>SUM(I246:L246)</f>
        <v/>
      </c>
      <c r="O246" s="15">
        <f>IFERROR(I246/C246-1,"")</f>
        <v/>
      </c>
      <c r="P246" s="15">
        <f>IFERROR(J246/D246-1,"")</f>
        <v/>
      </c>
      <c r="Q246" s="15">
        <f>IFERROR(K246/E246-1,"")</f>
        <v/>
      </c>
      <c r="R246" s="15">
        <f>IFERROR(L246/F246-1,"")</f>
        <v/>
      </c>
      <c r="S246" s="15">
        <f>IFERROR(M246/G246-1,"")</f>
        <v/>
      </c>
      <c r="U246" s="16" t="n"/>
      <c r="V246" s="16" t="n"/>
      <c r="W246" s="16" t="n"/>
      <c r="X246" s="16">
        <f>IFERROR(W246-V246,"")</f>
        <v/>
      </c>
    </row>
    <row r="247">
      <c r="B247" s="17" t="inlineStr">
        <is>
          <t>overall</t>
        </is>
      </c>
      <c r="C247" s="18" t="n">
        <v>0</v>
      </c>
      <c r="D247" s="18" t="n">
        <v>0</v>
      </c>
      <c r="E247" s="18" t="n">
        <v>0</v>
      </c>
      <c r="F247" s="18" t="n">
        <v>0</v>
      </c>
      <c r="G247" s="18">
        <f>SUM(C247:F247)</f>
        <v/>
      </c>
      <c r="I247" s="18" t="n">
        <v>0</v>
      </c>
      <c r="J247" s="18" t="n">
        <v>0</v>
      </c>
      <c r="K247" s="18" t="n">
        <v>0</v>
      </c>
      <c r="L247" s="18" t="n">
        <v>0</v>
      </c>
      <c r="M247" s="18">
        <f>SUM(I247:L247)</f>
        <v/>
      </c>
      <c r="O247" s="19">
        <f>IFERROR(I247/C247-1,"")</f>
        <v/>
      </c>
      <c r="P247" s="19">
        <f>IFERROR(J247/D247-1,"")</f>
        <v/>
      </c>
      <c r="Q247" s="19">
        <f>IFERROR(K247/E247-1,"")</f>
        <v/>
      </c>
      <c r="R247" s="19">
        <f>IFERROR(L247/F247-1,"")</f>
        <v/>
      </c>
      <c r="S247" s="19">
        <f>IFERROR(M247/G247-1,"")</f>
        <v/>
      </c>
      <c r="U247" s="20" t="n"/>
      <c r="V247" s="20" t="n"/>
      <c r="W247" s="20" t="n"/>
      <c r="X247" s="20">
        <f>IFERROR(W247-V247,"")</f>
        <v/>
      </c>
    </row>
    <row r="250">
      <c r="B250" s="2" t="inlineStr">
        <is>
          <t>◆ 1-star Pack</t>
        </is>
      </c>
    </row>
    <row r="251">
      <c r="C251" s="3" t="inlineStr">
        <is>
          <t>◄ CURRENT (actuals: data + calc) ►</t>
        </is>
      </c>
      <c r="D251" s="3" t="n"/>
      <c r="E251" s="3" t="n"/>
      <c r="F251" s="3" t="n"/>
      <c r="G251" s="3" t="n"/>
      <c r="I251" s="4" t="inlineStr">
        <is>
          <t>◄ SIMULATED (EcoGainsSim v4) ►</t>
        </is>
      </c>
      <c r="J251" s="4" t="n"/>
      <c r="K251" s="4" t="n"/>
      <c r="L251" s="4" t="n"/>
      <c r="M251" s="4" t="n"/>
      <c r="O251" s="5" t="inlineStr">
        <is>
          <t>Δ</t>
        </is>
      </c>
      <c r="P251" s="5" t="n"/>
      <c r="Q251" s="5" t="n"/>
      <c r="R251" s="5" t="n"/>
      <c r="S251" s="5" t="n"/>
      <c r="U251" s="6" t="inlineStr">
        <is>
          <t>◄ NET / earner (spend held constant) ►</t>
        </is>
      </c>
      <c r="V251" s="6" t="n"/>
      <c r="W251" s="6" t="n"/>
      <c r="X251" s="6" t="n"/>
    </row>
    <row r="252">
      <c r="B252" s="7" t="inlineStr">
        <is>
          <t>Segment</t>
        </is>
      </c>
      <c r="C252" s="8" t="inlineStr">
        <is>
          <t>PAID</t>
        </is>
      </c>
      <c r="D252" s="8" t="inlineStr">
        <is>
          <t>ADS</t>
        </is>
      </c>
      <c r="E252" s="8" t="inlineStr">
        <is>
          <t>CORE</t>
        </is>
      </c>
      <c r="F252" s="8" t="inlineStr">
        <is>
          <t>META</t>
        </is>
      </c>
      <c r="G252" s="8" t="inlineStr">
        <is>
          <t>Total</t>
        </is>
      </c>
      <c r="I252" s="9" t="inlineStr">
        <is>
          <t>PAID</t>
        </is>
      </c>
      <c r="J252" s="9" t="inlineStr">
        <is>
          <t>ADS</t>
        </is>
      </c>
      <c r="K252" s="9" t="inlineStr">
        <is>
          <t>CORE</t>
        </is>
      </c>
      <c r="L252" s="9" t="inlineStr">
        <is>
          <t>META</t>
        </is>
      </c>
      <c r="M252" s="9" t="inlineStr">
        <is>
          <t>Total</t>
        </is>
      </c>
      <c r="O252" s="10" t="inlineStr">
        <is>
          <t>PAID</t>
        </is>
      </c>
      <c r="P252" s="10" t="inlineStr">
        <is>
          <t>ADS</t>
        </is>
      </c>
      <c r="Q252" s="10" t="inlineStr">
        <is>
          <t>CORE</t>
        </is>
      </c>
      <c r="R252" s="10" t="inlineStr">
        <is>
          <t>META</t>
        </is>
      </c>
      <c r="S252" s="10" t="inlineStr">
        <is>
          <t>Total</t>
        </is>
      </c>
      <c r="U252" s="11" t="inlineStr">
        <is>
          <t>cur spend</t>
        </is>
      </c>
      <c r="V252" s="11" t="inlineStr">
        <is>
          <t>cur net</t>
        </is>
      </c>
      <c r="W252" s="11" t="inlineStr">
        <is>
          <t>new net</t>
        </is>
      </c>
      <c r="X252" s="11" t="inlineStr">
        <is>
          <t>net Δ</t>
        </is>
      </c>
    </row>
    <row r="253">
      <c r="B253" s="12" t="inlineStr">
        <is>
          <t>NONPAYER</t>
        </is>
      </c>
    </row>
    <row r="254">
      <c r="B254" s="13" t="inlineStr">
        <is>
          <t>0-9</t>
        </is>
      </c>
      <c r="C254" s="14" t="n">
        <v>0</v>
      </c>
      <c r="D254" s="14" t="n">
        <v>0</v>
      </c>
      <c r="E254" s="14" t="n">
        <v>0</v>
      </c>
      <c r="F254" s="14" t="n">
        <v>0</v>
      </c>
      <c r="G254" s="14">
        <f>SUM(C254:F254)</f>
        <v/>
      </c>
      <c r="I254" s="14" t="n">
        <v>0</v>
      </c>
      <c r="J254" s="14" t="n">
        <v>0</v>
      </c>
      <c r="K254" s="14" t="n">
        <v>0</v>
      </c>
      <c r="L254" s="14" t="n">
        <v>0</v>
      </c>
      <c r="M254" s="14">
        <f>SUM(I254:L254)</f>
        <v/>
      </c>
      <c r="O254" s="15">
        <f>IFERROR(I254/C254-1,"")</f>
        <v/>
      </c>
      <c r="P254" s="15">
        <f>IFERROR(J254/D254-1,"")</f>
        <v/>
      </c>
      <c r="Q254" s="15">
        <f>IFERROR(K254/E254-1,"")</f>
        <v/>
      </c>
      <c r="R254" s="15">
        <f>IFERROR(L254/F254-1,"")</f>
        <v/>
      </c>
      <c r="S254" s="15">
        <f>IFERROR(M254/G254-1,"")</f>
        <v/>
      </c>
      <c r="U254" s="16" t="n"/>
      <c r="V254" s="16" t="n"/>
      <c r="W254" s="16" t="n"/>
      <c r="X254" s="16">
        <f>IFERROR(W254-V254,"")</f>
        <v/>
      </c>
    </row>
    <row r="255">
      <c r="B255" s="13" t="inlineStr">
        <is>
          <t>10-19</t>
        </is>
      </c>
      <c r="C255" s="14" t="n">
        <v>0</v>
      </c>
      <c r="D255" s="14" t="n">
        <v>0</v>
      </c>
      <c r="E255" s="14" t="n">
        <v>0</v>
      </c>
      <c r="F255" s="14" t="n">
        <v>0</v>
      </c>
      <c r="G255" s="14">
        <f>SUM(C255:F255)</f>
        <v/>
      </c>
      <c r="I255" s="14" t="n">
        <v>0</v>
      </c>
      <c r="J255" s="14" t="n">
        <v>0</v>
      </c>
      <c r="K255" s="14" t="n">
        <v>0</v>
      </c>
      <c r="L255" s="14" t="n">
        <v>0</v>
      </c>
      <c r="M255" s="14">
        <f>SUM(I255:L255)</f>
        <v/>
      </c>
      <c r="O255" s="15">
        <f>IFERROR(I255/C255-1,"")</f>
        <v/>
      </c>
      <c r="P255" s="15">
        <f>IFERROR(J255/D255-1,"")</f>
        <v/>
      </c>
      <c r="Q255" s="15">
        <f>IFERROR(K255/E255-1,"")</f>
        <v/>
      </c>
      <c r="R255" s="15">
        <f>IFERROR(L255/F255-1,"")</f>
        <v/>
      </c>
      <c r="S255" s="15">
        <f>IFERROR(M255/G255-1,"")</f>
        <v/>
      </c>
      <c r="U255" s="16" t="n"/>
      <c r="V255" s="16" t="n"/>
      <c r="W255" s="16" t="n"/>
      <c r="X255" s="16">
        <f>IFERROR(W255-V255,"")</f>
        <v/>
      </c>
    </row>
    <row r="256">
      <c r="B256" s="13" t="inlineStr">
        <is>
          <t>20-39</t>
        </is>
      </c>
      <c r="C256" s="14" t="n">
        <v>0</v>
      </c>
      <c r="D256" s="14" t="n">
        <v>0</v>
      </c>
      <c r="E256" s="14" t="n">
        <v>0</v>
      </c>
      <c r="F256" s="14" t="n">
        <v>0</v>
      </c>
      <c r="G256" s="14">
        <f>SUM(C256:F256)</f>
        <v/>
      </c>
      <c r="I256" s="14" t="n">
        <v>0</v>
      </c>
      <c r="J256" s="14" t="n">
        <v>0</v>
      </c>
      <c r="K256" s="14" t="n">
        <v>0</v>
      </c>
      <c r="L256" s="14" t="n">
        <v>0</v>
      </c>
      <c r="M256" s="14">
        <f>SUM(I256:L256)</f>
        <v/>
      </c>
      <c r="O256" s="15">
        <f>IFERROR(I256/C256-1,"")</f>
        <v/>
      </c>
      <c r="P256" s="15">
        <f>IFERROR(J256/D256-1,"")</f>
        <v/>
      </c>
      <c r="Q256" s="15">
        <f>IFERROR(K256/E256-1,"")</f>
        <v/>
      </c>
      <c r="R256" s="15">
        <f>IFERROR(L256/F256-1,"")</f>
        <v/>
      </c>
      <c r="S256" s="15">
        <f>IFERROR(M256/G256-1,"")</f>
        <v/>
      </c>
      <c r="U256" s="16" t="n"/>
      <c r="V256" s="16" t="n"/>
      <c r="W256" s="16" t="n"/>
      <c r="X256" s="16">
        <f>IFERROR(W256-V256,"")</f>
        <v/>
      </c>
    </row>
    <row r="257">
      <c r="B257" s="13" t="inlineStr">
        <is>
          <t>40-99</t>
        </is>
      </c>
      <c r="C257" s="14" t="n">
        <v>0</v>
      </c>
      <c r="D257" s="14" t="n">
        <v>0</v>
      </c>
      <c r="E257" s="14" t="n">
        <v>0</v>
      </c>
      <c r="F257" s="14" t="n">
        <v>0</v>
      </c>
      <c r="G257" s="14">
        <f>SUM(C257:F257)</f>
        <v/>
      </c>
      <c r="I257" s="14" t="n">
        <v>0</v>
      </c>
      <c r="J257" s="14" t="n">
        <v>0</v>
      </c>
      <c r="K257" s="14" t="n">
        <v>0</v>
      </c>
      <c r="L257" s="14" t="n">
        <v>0</v>
      </c>
      <c r="M257" s="14">
        <f>SUM(I257:L257)</f>
        <v/>
      </c>
      <c r="O257" s="15">
        <f>IFERROR(I257/C257-1,"")</f>
        <v/>
      </c>
      <c r="P257" s="15">
        <f>IFERROR(J257/D257-1,"")</f>
        <v/>
      </c>
      <c r="Q257" s="15">
        <f>IFERROR(K257/E257-1,"")</f>
        <v/>
      </c>
      <c r="R257" s="15">
        <f>IFERROR(L257/F257-1,"")</f>
        <v/>
      </c>
      <c r="S257" s="15">
        <f>IFERROR(M257/G257-1,"")</f>
        <v/>
      </c>
      <c r="U257" s="16" t="n"/>
      <c r="V257" s="16" t="n"/>
      <c r="W257" s="16" t="n"/>
      <c r="X257" s="16">
        <f>IFERROR(W257-V257,"")</f>
        <v/>
      </c>
    </row>
    <row r="258">
      <c r="B258" s="13" t="inlineStr">
        <is>
          <t>100+</t>
        </is>
      </c>
      <c r="C258" s="14" t="n">
        <v>0</v>
      </c>
      <c r="D258" s="14" t="n">
        <v>0</v>
      </c>
      <c r="E258" s="14" t="n">
        <v>0</v>
      </c>
      <c r="F258" s="14" t="n">
        <v>0</v>
      </c>
      <c r="G258" s="14">
        <f>SUM(C258:F258)</f>
        <v/>
      </c>
      <c r="I258" s="14" t="n">
        <v>0</v>
      </c>
      <c r="J258" s="14" t="n">
        <v>0</v>
      </c>
      <c r="K258" s="14" t="n">
        <v>0</v>
      </c>
      <c r="L258" s="14" t="n">
        <v>0</v>
      </c>
      <c r="M258" s="14">
        <f>SUM(I258:L258)</f>
        <v/>
      </c>
      <c r="O258" s="15">
        <f>IFERROR(I258/C258-1,"")</f>
        <v/>
      </c>
      <c r="P258" s="15">
        <f>IFERROR(J258/D258-1,"")</f>
        <v/>
      </c>
      <c r="Q258" s="15">
        <f>IFERROR(K258/E258-1,"")</f>
        <v/>
      </c>
      <c r="R258" s="15">
        <f>IFERROR(L258/F258-1,"")</f>
        <v/>
      </c>
      <c r="S258" s="15">
        <f>IFERROR(M258/G258-1,"")</f>
        <v/>
      </c>
      <c r="U258" s="16" t="n"/>
      <c r="V258" s="16" t="n"/>
      <c r="W258" s="16" t="n"/>
      <c r="X258" s="16">
        <f>IFERROR(W258-V258,"")</f>
        <v/>
      </c>
    </row>
    <row r="259">
      <c r="B259" s="17" t="inlineStr">
        <is>
          <t>overall</t>
        </is>
      </c>
      <c r="C259" s="18" t="n">
        <v>0</v>
      </c>
      <c r="D259" s="18" t="n">
        <v>0</v>
      </c>
      <c r="E259" s="18" t="n">
        <v>0</v>
      </c>
      <c r="F259" s="18" t="n">
        <v>0</v>
      </c>
      <c r="G259" s="18">
        <f>SUM(C259:F259)</f>
        <v/>
      </c>
      <c r="I259" s="18" t="n">
        <v>0</v>
      </c>
      <c r="J259" s="18" t="n">
        <v>0</v>
      </c>
      <c r="K259" s="18" t="n">
        <v>0</v>
      </c>
      <c r="L259" s="18" t="n">
        <v>0</v>
      </c>
      <c r="M259" s="18">
        <f>SUM(I259:L259)</f>
        <v/>
      </c>
      <c r="O259" s="19">
        <f>IFERROR(I259/C259-1,"")</f>
        <v/>
      </c>
      <c r="P259" s="19">
        <f>IFERROR(J259/D259-1,"")</f>
        <v/>
      </c>
      <c r="Q259" s="19">
        <f>IFERROR(K259/E259-1,"")</f>
        <v/>
      </c>
      <c r="R259" s="19">
        <f>IFERROR(L259/F259-1,"")</f>
        <v/>
      </c>
      <c r="S259" s="19">
        <f>IFERROR(M259/G259-1,"")</f>
        <v/>
      </c>
      <c r="U259" s="20" t="n"/>
      <c r="V259" s="20" t="n"/>
      <c r="W259" s="20" t="n"/>
      <c r="X259" s="20">
        <f>IFERROR(W259-V259,"")</f>
        <v/>
      </c>
    </row>
    <row r="260">
      <c r="B260" s="12" t="inlineStr">
        <is>
          <t>PAYER</t>
        </is>
      </c>
    </row>
    <row r="261">
      <c r="B261" s="13" t="inlineStr">
        <is>
          <t>0-9</t>
        </is>
      </c>
      <c r="C261" s="14" t="n">
        <v>0</v>
      </c>
      <c r="D261" s="14" t="n">
        <v>0</v>
      </c>
      <c r="E261" s="14" t="n">
        <v>0</v>
      </c>
      <c r="F261" s="14" t="n">
        <v>0</v>
      </c>
      <c r="G261" s="14">
        <f>SUM(C261:F261)</f>
        <v/>
      </c>
      <c r="I261" s="14" t="n">
        <v>0</v>
      </c>
      <c r="J261" s="14" t="n">
        <v>0</v>
      </c>
      <c r="K261" s="14" t="n">
        <v>0</v>
      </c>
      <c r="L261" s="14" t="n">
        <v>0</v>
      </c>
      <c r="M261" s="14">
        <f>SUM(I261:L261)</f>
        <v/>
      </c>
      <c r="O261" s="15">
        <f>IFERROR(I261/C261-1,"")</f>
        <v/>
      </c>
      <c r="P261" s="15">
        <f>IFERROR(J261/D261-1,"")</f>
        <v/>
      </c>
      <c r="Q261" s="15">
        <f>IFERROR(K261/E261-1,"")</f>
        <v/>
      </c>
      <c r="R261" s="15">
        <f>IFERROR(L261/F261-1,"")</f>
        <v/>
      </c>
      <c r="S261" s="15">
        <f>IFERROR(M261/G261-1,"")</f>
        <v/>
      </c>
      <c r="U261" s="16" t="n"/>
      <c r="V261" s="16" t="n"/>
      <c r="W261" s="16" t="n"/>
      <c r="X261" s="16">
        <f>IFERROR(W261-V261,"")</f>
        <v/>
      </c>
    </row>
    <row r="262">
      <c r="B262" s="13" t="inlineStr">
        <is>
          <t>10-19</t>
        </is>
      </c>
      <c r="C262" s="14" t="n">
        <v>0</v>
      </c>
      <c r="D262" s="14" t="n">
        <v>0</v>
      </c>
      <c r="E262" s="14" t="n">
        <v>0</v>
      </c>
      <c r="F262" s="14" t="n">
        <v>0</v>
      </c>
      <c r="G262" s="14">
        <f>SUM(C262:F262)</f>
        <v/>
      </c>
      <c r="I262" s="14" t="n">
        <v>0</v>
      </c>
      <c r="J262" s="14" t="n">
        <v>0</v>
      </c>
      <c r="K262" s="14" t="n">
        <v>0</v>
      </c>
      <c r="L262" s="14" t="n">
        <v>0</v>
      </c>
      <c r="M262" s="14">
        <f>SUM(I262:L262)</f>
        <v/>
      </c>
      <c r="O262" s="15">
        <f>IFERROR(I262/C262-1,"")</f>
        <v/>
      </c>
      <c r="P262" s="15">
        <f>IFERROR(J262/D262-1,"")</f>
        <v/>
      </c>
      <c r="Q262" s="15">
        <f>IFERROR(K262/E262-1,"")</f>
        <v/>
      </c>
      <c r="R262" s="15">
        <f>IFERROR(L262/F262-1,"")</f>
        <v/>
      </c>
      <c r="S262" s="15">
        <f>IFERROR(M262/G262-1,"")</f>
        <v/>
      </c>
      <c r="U262" s="16" t="n"/>
      <c r="V262" s="16" t="n"/>
      <c r="W262" s="16" t="n"/>
      <c r="X262" s="16">
        <f>IFERROR(W262-V262,"")</f>
        <v/>
      </c>
    </row>
    <row r="263">
      <c r="B263" s="13" t="inlineStr">
        <is>
          <t>20-39</t>
        </is>
      </c>
      <c r="C263" s="14" t="n">
        <v>0</v>
      </c>
      <c r="D263" s="14" t="n">
        <v>0</v>
      </c>
      <c r="E263" s="14" t="n">
        <v>0</v>
      </c>
      <c r="F263" s="14" t="n">
        <v>0</v>
      </c>
      <c r="G263" s="14">
        <f>SUM(C263:F263)</f>
        <v/>
      </c>
      <c r="I263" s="14" t="n">
        <v>0</v>
      </c>
      <c r="J263" s="14" t="n">
        <v>0</v>
      </c>
      <c r="K263" s="14" t="n">
        <v>0</v>
      </c>
      <c r="L263" s="14" t="n">
        <v>0</v>
      </c>
      <c r="M263" s="14">
        <f>SUM(I263:L263)</f>
        <v/>
      </c>
      <c r="O263" s="15">
        <f>IFERROR(I263/C263-1,"")</f>
        <v/>
      </c>
      <c r="P263" s="15">
        <f>IFERROR(J263/D263-1,"")</f>
        <v/>
      </c>
      <c r="Q263" s="15">
        <f>IFERROR(K263/E263-1,"")</f>
        <v/>
      </c>
      <c r="R263" s="15">
        <f>IFERROR(L263/F263-1,"")</f>
        <v/>
      </c>
      <c r="S263" s="15">
        <f>IFERROR(M263/G263-1,"")</f>
        <v/>
      </c>
      <c r="U263" s="16" t="n"/>
      <c r="V263" s="16" t="n"/>
      <c r="W263" s="16" t="n"/>
      <c r="X263" s="16">
        <f>IFERROR(W263-V263,"")</f>
        <v/>
      </c>
    </row>
    <row r="264">
      <c r="B264" s="13" t="inlineStr">
        <is>
          <t>40-99</t>
        </is>
      </c>
      <c r="C264" s="14" t="n">
        <v>0</v>
      </c>
      <c r="D264" s="14" t="n">
        <v>0</v>
      </c>
      <c r="E264" s="14" t="n">
        <v>0</v>
      </c>
      <c r="F264" s="14" t="n">
        <v>0</v>
      </c>
      <c r="G264" s="14">
        <f>SUM(C264:F264)</f>
        <v/>
      </c>
      <c r="I264" s="14" t="n">
        <v>0</v>
      </c>
      <c r="J264" s="14" t="n">
        <v>0</v>
      </c>
      <c r="K264" s="14" t="n">
        <v>0</v>
      </c>
      <c r="L264" s="14" t="n">
        <v>0</v>
      </c>
      <c r="M264" s="14">
        <f>SUM(I264:L264)</f>
        <v/>
      </c>
      <c r="O264" s="15">
        <f>IFERROR(I264/C264-1,"")</f>
        <v/>
      </c>
      <c r="P264" s="15">
        <f>IFERROR(J264/D264-1,"")</f>
        <v/>
      </c>
      <c r="Q264" s="15">
        <f>IFERROR(K264/E264-1,"")</f>
        <v/>
      </c>
      <c r="R264" s="15">
        <f>IFERROR(L264/F264-1,"")</f>
        <v/>
      </c>
      <c r="S264" s="15">
        <f>IFERROR(M264/G264-1,"")</f>
        <v/>
      </c>
      <c r="U264" s="16" t="n"/>
      <c r="V264" s="16" t="n"/>
      <c r="W264" s="16" t="n"/>
      <c r="X264" s="16">
        <f>IFERROR(W264-V264,"")</f>
        <v/>
      </c>
    </row>
    <row r="265">
      <c r="B265" s="13" t="inlineStr">
        <is>
          <t>100+</t>
        </is>
      </c>
      <c r="C265" s="14" t="n">
        <v>0</v>
      </c>
      <c r="D265" s="14" t="n">
        <v>0</v>
      </c>
      <c r="E265" s="14" t="n">
        <v>0</v>
      </c>
      <c r="F265" s="14" t="n">
        <v>0</v>
      </c>
      <c r="G265" s="14">
        <f>SUM(C265:F265)</f>
        <v/>
      </c>
      <c r="I265" s="14" t="n">
        <v>0</v>
      </c>
      <c r="J265" s="14" t="n">
        <v>0</v>
      </c>
      <c r="K265" s="14" t="n">
        <v>0</v>
      </c>
      <c r="L265" s="14" t="n">
        <v>0</v>
      </c>
      <c r="M265" s="14">
        <f>SUM(I265:L265)</f>
        <v/>
      </c>
      <c r="O265" s="15">
        <f>IFERROR(I265/C265-1,"")</f>
        <v/>
      </c>
      <c r="P265" s="15">
        <f>IFERROR(J265/D265-1,"")</f>
        <v/>
      </c>
      <c r="Q265" s="15">
        <f>IFERROR(K265/E265-1,"")</f>
        <v/>
      </c>
      <c r="R265" s="15">
        <f>IFERROR(L265/F265-1,"")</f>
        <v/>
      </c>
      <c r="S265" s="15">
        <f>IFERROR(M265/G265-1,"")</f>
        <v/>
      </c>
      <c r="U265" s="16" t="n"/>
      <c r="V265" s="16" t="n"/>
      <c r="W265" s="16" t="n"/>
      <c r="X265" s="16">
        <f>IFERROR(W265-V265,"")</f>
        <v/>
      </c>
    </row>
    <row r="266">
      <c r="B266" s="17" t="inlineStr">
        <is>
          <t>overall</t>
        </is>
      </c>
      <c r="C266" s="18" t="n">
        <v>0</v>
      </c>
      <c r="D266" s="18" t="n">
        <v>0</v>
      </c>
      <c r="E266" s="18" t="n">
        <v>0</v>
      </c>
      <c r="F266" s="18" t="n">
        <v>0</v>
      </c>
      <c r="G266" s="18">
        <f>SUM(C266:F266)</f>
        <v/>
      </c>
      <c r="I266" s="18" t="n">
        <v>0</v>
      </c>
      <c r="J266" s="18" t="n">
        <v>0</v>
      </c>
      <c r="K266" s="18" t="n">
        <v>0</v>
      </c>
      <c r="L266" s="18" t="n">
        <v>0</v>
      </c>
      <c r="M266" s="18">
        <f>SUM(I266:L266)</f>
        <v/>
      </c>
      <c r="O266" s="19">
        <f>IFERROR(I266/C266-1,"")</f>
        <v/>
      </c>
      <c r="P266" s="19">
        <f>IFERROR(J266/D266-1,"")</f>
        <v/>
      </c>
      <c r="Q266" s="19">
        <f>IFERROR(K266/E266-1,"")</f>
        <v/>
      </c>
      <c r="R266" s="19">
        <f>IFERROR(L266/F266-1,"")</f>
        <v/>
      </c>
      <c r="S266" s="19">
        <f>IFERROR(M266/G266-1,"")</f>
        <v/>
      </c>
      <c r="U266" s="20" t="n"/>
      <c r="V266" s="20" t="n"/>
      <c r="W266" s="20" t="n"/>
      <c r="X266" s="20">
        <f>IFERROR(W266-V266,"")</f>
        <v/>
      </c>
    </row>
    <row r="269">
      <c r="B269" s="2" t="inlineStr">
        <is>
          <t>◆ 2-star Pack</t>
        </is>
      </c>
    </row>
    <row r="270">
      <c r="C270" s="3" t="inlineStr">
        <is>
          <t>◄ CURRENT (actuals: data + calc) ►</t>
        </is>
      </c>
      <c r="D270" s="3" t="n"/>
      <c r="E270" s="3" t="n"/>
      <c r="F270" s="3" t="n"/>
      <c r="G270" s="3" t="n"/>
      <c r="I270" s="4" t="inlineStr">
        <is>
          <t>◄ SIMULATED (EcoGainsSim v4) ►</t>
        </is>
      </c>
      <c r="J270" s="4" t="n"/>
      <c r="K270" s="4" t="n"/>
      <c r="L270" s="4" t="n"/>
      <c r="M270" s="4" t="n"/>
      <c r="O270" s="5" t="inlineStr">
        <is>
          <t>Δ</t>
        </is>
      </c>
      <c r="P270" s="5" t="n"/>
      <c r="Q270" s="5" t="n"/>
      <c r="R270" s="5" t="n"/>
      <c r="S270" s="5" t="n"/>
      <c r="U270" s="6" t="inlineStr">
        <is>
          <t>◄ NET / earner (spend held constant) ►</t>
        </is>
      </c>
      <c r="V270" s="6" t="n"/>
      <c r="W270" s="6" t="n"/>
      <c r="X270" s="6" t="n"/>
    </row>
    <row r="271">
      <c r="B271" s="7" t="inlineStr">
        <is>
          <t>Segment</t>
        </is>
      </c>
      <c r="C271" s="8" t="inlineStr">
        <is>
          <t>PAID</t>
        </is>
      </c>
      <c r="D271" s="8" t="inlineStr">
        <is>
          <t>ADS</t>
        </is>
      </c>
      <c r="E271" s="8" t="inlineStr">
        <is>
          <t>CORE</t>
        </is>
      </c>
      <c r="F271" s="8" t="inlineStr">
        <is>
          <t>META</t>
        </is>
      </c>
      <c r="G271" s="8" t="inlineStr">
        <is>
          <t>Total</t>
        </is>
      </c>
      <c r="I271" s="9" t="inlineStr">
        <is>
          <t>PAID</t>
        </is>
      </c>
      <c r="J271" s="9" t="inlineStr">
        <is>
          <t>ADS</t>
        </is>
      </c>
      <c r="K271" s="9" t="inlineStr">
        <is>
          <t>CORE</t>
        </is>
      </c>
      <c r="L271" s="9" t="inlineStr">
        <is>
          <t>META</t>
        </is>
      </c>
      <c r="M271" s="9" t="inlineStr">
        <is>
          <t>Total</t>
        </is>
      </c>
      <c r="O271" s="10" t="inlineStr">
        <is>
          <t>PAID</t>
        </is>
      </c>
      <c r="P271" s="10" t="inlineStr">
        <is>
          <t>ADS</t>
        </is>
      </c>
      <c r="Q271" s="10" t="inlineStr">
        <is>
          <t>CORE</t>
        </is>
      </c>
      <c r="R271" s="10" t="inlineStr">
        <is>
          <t>META</t>
        </is>
      </c>
      <c r="S271" s="10" t="inlineStr">
        <is>
          <t>Total</t>
        </is>
      </c>
      <c r="U271" s="11" t="inlineStr">
        <is>
          <t>cur spend</t>
        </is>
      </c>
      <c r="V271" s="11" t="inlineStr">
        <is>
          <t>cur net</t>
        </is>
      </c>
      <c r="W271" s="11" t="inlineStr">
        <is>
          <t>new net</t>
        </is>
      </c>
      <c r="X271" s="11" t="inlineStr">
        <is>
          <t>net Δ</t>
        </is>
      </c>
    </row>
    <row r="272">
      <c r="B272" s="12" t="inlineStr">
        <is>
          <t>NONPAYER</t>
        </is>
      </c>
    </row>
    <row r="273">
      <c r="B273" s="13" t="inlineStr">
        <is>
          <t>0-9</t>
        </is>
      </c>
      <c r="C273" s="14" t="n">
        <v>0</v>
      </c>
      <c r="D273" s="14" t="n">
        <v>0</v>
      </c>
      <c r="E273" s="14" t="n">
        <v>0</v>
      </c>
      <c r="F273" s="14" t="n">
        <v>0</v>
      </c>
      <c r="G273" s="14">
        <f>SUM(C273:F273)</f>
        <v/>
      </c>
      <c r="I273" s="14" t="n">
        <v>0</v>
      </c>
      <c r="J273" s="14" t="n">
        <v>0</v>
      </c>
      <c r="K273" s="14" t="n">
        <v>0</v>
      </c>
      <c r="L273" s="14" t="n">
        <v>0</v>
      </c>
      <c r="M273" s="14">
        <f>SUM(I273:L273)</f>
        <v/>
      </c>
      <c r="O273" s="15">
        <f>IFERROR(I273/C273-1,"")</f>
        <v/>
      </c>
      <c r="P273" s="15">
        <f>IFERROR(J273/D273-1,"")</f>
        <v/>
      </c>
      <c r="Q273" s="15">
        <f>IFERROR(K273/E273-1,"")</f>
        <v/>
      </c>
      <c r="R273" s="15">
        <f>IFERROR(L273/F273-1,"")</f>
        <v/>
      </c>
      <c r="S273" s="15">
        <f>IFERROR(M273/G273-1,"")</f>
        <v/>
      </c>
      <c r="U273" s="16" t="n"/>
      <c r="V273" s="16" t="n"/>
      <c r="W273" s="16" t="n"/>
      <c r="X273" s="16">
        <f>IFERROR(W273-V273,"")</f>
        <v/>
      </c>
    </row>
    <row r="274">
      <c r="B274" s="13" t="inlineStr">
        <is>
          <t>10-19</t>
        </is>
      </c>
      <c r="C274" s="14" t="n">
        <v>0</v>
      </c>
      <c r="D274" s="14" t="n">
        <v>0</v>
      </c>
      <c r="E274" s="14" t="n">
        <v>0</v>
      </c>
      <c r="F274" s="14" t="n">
        <v>0</v>
      </c>
      <c r="G274" s="14">
        <f>SUM(C274:F274)</f>
        <v/>
      </c>
      <c r="I274" s="14" t="n">
        <v>0</v>
      </c>
      <c r="J274" s="14" t="n">
        <v>0</v>
      </c>
      <c r="K274" s="14" t="n">
        <v>0</v>
      </c>
      <c r="L274" s="14" t="n">
        <v>0</v>
      </c>
      <c r="M274" s="14">
        <f>SUM(I274:L274)</f>
        <v/>
      </c>
      <c r="O274" s="15">
        <f>IFERROR(I274/C274-1,"")</f>
        <v/>
      </c>
      <c r="P274" s="15">
        <f>IFERROR(J274/D274-1,"")</f>
        <v/>
      </c>
      <c r="Q274" s="15">
        <f>IFERROR(K274/E274-1,"")</f>
        <v/>
      </c>
      <c r="R274" s="15">
        <f>IFERROR(L274/F274-1,"")</f>
        <v/>
      </c>
      <c r="S274" s="15">
        <f>IFERROR(M274/G274-1,"")</f>
        <v/>
      </c>
      <c r="U274" s="16" t="n"/>
      <c r="V274" s="16" t="n"/>
      <c r="W274" s="16" t="n"/>
      <c r="X274" s="16">
        <f>IFERROR(W274-V274,"")</f>
        <v/>
      </c>
    </row>
    <row r="275">
      <c r="B275" s="13" t="inlineStr">
        <is>
          <t>20-39</t>
        </is>
      </c>
      <c r="C275" s="14" t="n">
        <v>0</v>
      </c>
      <c r="D275" s="14" t="n">
        <v>0</v>
      </c>
      <c r="E275" s="14" t="n">
        <v>0</v>
      </c>
      <c r="F275" s="14" t="n">
        <v>0</v>
      </c>
      <c r="G275" s="14">
        <f>SUM(C275:F275)</f>
        <v/>
      </c>
      <c r="I275" s="14" t="n">
        <v>0</v>
      </c>
      <c r="J275" s="14" t="n">
        <v>0</v>
      </c>
      <c r="K275" s="14" t="n">
        <v>0</v>
      </c>
      <c r="L275" s="14" t="n">
        <v>0</v>
      </c>
      <c r="M275" s="14">
        <f>SUM(I275:L275)</f>
        <v/>
      </c>
      <c r="O275" s="15">
        <f>IFERROR(I275/C275-1,"")</f>
        <v/>
      </c>
      <c r="P275" s="15">
        <f>IFERROR(J275/D275-1,"")</f>
        <v/>
      </c>
      <c r="Q275" s="15">
        <f>IFERROR(K275/E275-1,"")</f>
        <v/>
      </c>
      <c r="R275" s="15">
        <f>IFERROR(L275/F275-1,"")</f>
        <v/>
      </c>
      <c r="S275" s="15">
        <f>IFERROR(M275/G275-1,"")</f>
        <v/>
      </c>
      <c r="U275" s="16" t="n"/>
      <c r="V275" s="16" t="n"/>
      <c r="W275" s="16" t="n"/>
      <c r="X275" s="16">
        <f>IFERROR(W275-V275,"")</f>
        <v/>
      </c>
    </row>
    <row r="276">
      <c r="B276" s="13" t="inlineStr">
        <is>
          <t>40-99</t>
        </is>
      </c>
      <c r="C276" s="14" t="n">
        <v>0</v>
      </c>
      <c r="D276" s="14" t="n">
        <v>0</v>
      </c>
      <c r="E276" s="14" t="n">
        <v>0</v>
      </c>
      <c r="F276" s="14" t="n">
        <v>0</v>
      </c>
      <c r="G276" s="14">
        <f>SUM(C276:F276)</f>
        <v/>
      </c>
      <c r="I276" s="14" t="n">
        <v>0</v>
      </c>
      <c r="J276" s="14" t="n">
        <v>0</v>
      </c>
      <c r="K276" s="14" t="n">
        <v>0</v>
      </c>
      <c r="L276" s="14" t="n">
        <v>0</v>
      </c>
      <c r="M276" s="14">
        <f>SUM(I276:L276)</f>
        <v/>
      </c>
      <c r="O276" s="15">
        <f>IFERROR(I276/C276-1,"")</f>
        <v/>
      </c>
      <c r="P276" s="15">
        <f>IFERROR(J276/D276-1,"")</f>
        <v/>
      </c>
      <c r="Q276" s="15">
        <f>IFERROR(K276/E276-1,"")</f>
        <v/>
      </c>
      <c r="R276" s="15">
        <f>IFERROR(L276/F276-1,"")</f>
        <v/>
      </c>
      <c r="S276" s="15">
        <f>IFERROR(M276/G276-1,"")</f>
        <v/>
      </c>
      <c r="U276" s="16" t="n"/>
      <c r="V276" s="16" t="n"/>
      <c r="W276" s="16" t="n"/>
      <c r="X276" s="16">
        <f>IFERROR(W276-V276,"")</f>
        <v/>
      </c>
    </row>
    <row r="277">
      <c r="B277" s="13" t="inlineStr">
        <is>
          <t>100+</t>
        </is>
      </c>
      <c r="C277" s="14" t="n">
        <v>0</v>
      </c>
      <c r="D277" s="14" t="n">
        <v>0</v>
      </c>
      <c r="E277" s="14" t="n">
        <v>0</v>
      </c>
      <c r="F277" s="14" t="n">
        <v>0</v>
      </c>
      <c r="G277" s="14">
        <f>SUM(C277:F277)</f>
        <v/>
      </c>
      <c r="I277" s="14" t="n">
        <v>0</v>
      </c>
      <c r="J277" s="14" t="n">
        <v>0</v>
      </c>
      <c r="K277" s="14" t="n">
        <v>0</v>
      </c>
      <c r="L277" s="14" t="n">
        <v>0</v>
      </c>
      <c r="M277" s="14">
        <f>SUM(I277:L277)</f>
        <v/>
      </c>
      <c r="O277" s="15">
        <f>IFERROR(I277/C277-1,"")</f>
        <v/>
      </c>
      <c r="P277" s="15">
        <f>IFERROR(J277/D277-1,"")</f>
        <v/>
      </c>
      <c r="Q277" s="15">
        <f>IFERROR(K277/E277-1,"")</f>
        <v/>
      </c>
      <c r="R277" s="15">
        <f>IFERROR(L277/F277-1,"")</f>
        <v/>
      </c>
      <c r="S277" s="15">
        <f>IFERROR(M277/G277-1,"")</f>
        <v/>
      </c>
      <c r="U277" s="16" t="n"/>
      <c r="V277" s="16" t="n"/>
      <c r="W277" s="16" t="n"/>
      <c r="X277" s="16">
        <f>IFERROR(W277-V277,"")</f>
        <v/>
      </c>
    </row>
    <row r="278">
      <c r="B278" s="17" t="inlineStr">
        <is>
          <t>overall</t>
        </is>
      </c>
      <c r="C278" s="18" t="n">
        <v>0</v>
      </c>
      <c r="D278" s="18" t="n">
        <v>0</v>
      </c>
      <c r="E278" s="18" t="n">
        <v>0</v>
      </c>
      <c r="F278" s="18" t="n">
        <v>0</v>
      </c>
      <c r="G278" s="18">
        <f>SUM(C278:F278)</f>
        <v/>
      </c>
      <c r="I278" s="18" t="n">
        <v>0</v>
      </c>
      <c r="J278" s="18" t="n">
        <v>0</v>
      </c>
      <c r="K278" s="18" t="n">
        <v>0</v>
      </c>
      <c r="L278" s="18" t="n">
        <v>0</v>
      </c>
      <c r="M278" s="18">
        <f>SUM(I278:L278)</f>
        <v/>
      </c>
      <c r="O278" s="19">
        <f>IFERROR(I278/C278-1,"")</f>
        <v/>
      </c>
      <c r="P278" s="19">
        <f>IFERROR(J278/D278-1,"")</f>
        <v/>
      </c>
      <c r="Q278" s="19">
        <f>IFERROR(K278/E278-1,"")</f>
        <v/>
      </c>
      <c r="R278" s="19">
        <f>IFERROR(L278/F278-1,"")</f>
        <v/>
      </c>
      <c r="S278" s="19">
        <f>IFERROR(M278/G278-1,"")</f>
        <v/>
      </c>
      <c r="U278" s="20" t="n"/>
      <c r="V278" s="20" t="n"/>
      <c r="W278" s="20" t="n"/>
      <c r="X278" s="20">
        <f>IFERROR(W278-V278,"")</f>
        <v/>
      </c>
    </row>
    <row r="279">
      <c r="B279" s="12" t="inlineStr">
        <is>
          <t>PAYER</t>
        </is>
      </c>
    </row>
    <row r="280">
      <c r="B280" s="13" t="inlineStr">
        <is>
          <t>0-9</t>
        </is>
      </c>
      <c r="C280" s="14" t="n">
        <v>0</v>
      </c>
      <c r="D280" s="14" t="n">
        <v>0</v>
      </c>
      <c r="E280" s="14" t="n">
        <v>0</v>
      </c>
      <c r="F280" s="14" t="n">
        <v>0</v>
      </c>
      <c r="G280" s="14">
        <f>SUM(C280:F280)</f>
        <v/>
      </c>
      <c r="I280" s="14" t="n">
        <v>0</v>
      </c>
      <c r="J280" s="14" t="n">
        <v>0</v>
      </c>
      <c r="K280" s="14" t="n">
        <v>0</v>
      </c>
      <c r="L280" s="14" t="n">
        <v>0</v>
      </c>
      <c r="M280" s="14">
        <f>SUM(I280:L280)</f>
        <v/>
      </c>
      <c r="O280" s="15">
        <f>IFERROR(I280/C280-1,"")</f>
        <v/>
      </c>
      <c r="P280" s="15">
        <f>IFERROR(J280/D280-1,"")</f>
        <v/>
      </c>
      <c r="Q280" s="15">
        <f>IFERROR(K280/E280-1,"")</f>
        <v/>
      </c>
      <c r="R280" s="15">
        <f>IFERROR(L280/F280-1,"")</f>
        <v/>
      </c>
      <c r="S280" s="15">
        <f>IFERROR(M280/G280-1,"")</f>
        <v/>
      </c>
      <c r="U280" s="16" t="n"/>
      <c r="V280" s="16" t="n"/>
      <c r="W280" s="16" t="n"/>
      <c r="X280" s="16">
        <f>IFERROR(W280-V280,"")</f>
        <v/>
      </c>
    </row>
    <row r="281">
      <c r="B281" s="13" t="inlineStr">
        <is>
          <t>10-19</t>
        </is>
      </c>
      <c r="C281" s="14" t="n">
        <v>0</v>
      </c>
      <c r="D281" s="14" t="n">
        <v>0</v>
      </c>
      <c r="E281" s="14" t="n">
        <v>0</v>
      </c>
      <c r="F281" s="14" t="n">
        <v>0</v>
      </c>
      <c r="G281" s="14">
        <f>SUM(C281:F281)</f>
        <v/>
      </c>
      <c r="I281" s="14" t="n">
        <v>0</v>
      </c>
      <c r="J281" s="14" t="n">
        <v>0</v>
      </c>
      <c r="K281" s="14" t="n">
        <v>0</v>
      </c>
      <c r="L281" s="14" t="n">
        <v>0</v>
      </c>
      <c r="M281" s="14">
        <f>SUM(I281:L281)</f>
        <v/>
      </c>
      <c r="O281" s="15">
        <f>IFERROR(I281/C281-1,"")</f>
        <v/>
      </c>
      <c r="P281" s="15">
        <f>IFERROR(J281/D281-1,"")</f>
        <v/>
      </c>
      <c r="Q281" s="15">
        <f>IFERROR(K281/E281-1,"")</f>
        <v/>
      </c>
      <c r="R281" s="15">
        <f>IFERROR(L281/F281-1,"")</f>
        <v/>
      </c>
      <c r="S281" s="15">
        <f>IFERROR(M281/G281-1,"")</f>
        <v/>
      </c>
      <c r="U281" s="16" t="n"/>
      <c r="V281" s="16" t="n"/>
      <c r="W281" s="16" t="n"/>
      <c r="X281" s="16">
        <f>IFERROR(W281-V281,"")</f>
        <v/>
      </c>
    </row>
    <row r="282">
      <c r="B282" s="13" t="inlineStr">
        <is>
          <t>20-39</t>
        </is>
      </c>
      <c r="C282" s="14" t="n">
        <v>0</v>
      </c>
      <c r="D282" s="14" t="n">
        <v>0</v>
      </c>
      <c r="E282" s="14" t="n">
        <v>0</v>
      </c>
      <c r="F282" s="14" t="n">
        <v>0</v>
      </c>
      <c r="G282" s="14">
        <f>SUM(C282:F282)</f>
        <v/>
      </c>
      <c r="I282" s="14" t="n">
        <v>0</v>
      </c>
      <c r="J282" s="14" t="n">
        <v>0</v>
      </c>
      <c r="K282" s="14" t="n">
        <v>0</v>
      </c>
      <c r="L282" s="14" t="n">
        <v>0</v>
      </c>
      <c r="M282" s="14">
        <f>SUM(I282:L282)</f>
        <v/>
      </c>
      <c r="O282" s="15">
        <f>IFERROR(I282/C282-1,"")</f>
        <v/>
      </c>
      <c r="P282" s="15">
        <f>IFERROR(J282/D282-1,"")</f>
        <v/>
      </c>
      <c r="Q282" s="15">
        <f>IFERROR(K282/E282-1,"")</f>
        <v/>
      </c>
      <c r="R282" s="15">
        <f>IFERROR(L282/F282-1,"")</f>
        <v/>
      </c>
      <c r="S282" s="15">
        <f>IFERROR(M282/G282-1,"")</f>
        <v/>
      </c>
      <c r="U282" s="16" t="n"/>
      <c r="V282" s="16" t="n"/>
      <c r="W282" s="16" t="n"/>
      <c r="X282" s="16">
        <f>IFERROR(W282-V282,"")</f>
        <v/>
      </c>
    </row>
    <row r="283">
      <c r="B283" s="13" t="inlineStr">
        <is>
          <t>40-99</t>
        </is>
      </c>
      <c r="C283" s="14" t="n">
        <v>0</v>
      </c>
      <c r="D283" s="14" t="n">
        <v>0</v>
      </c>
      <c r="E283" s="14" t="n">
        <v>0</v>
      </c>
      <c r="F283" s="14" t="n">
        <v>0</v>
      </c>
      <c r="G283" s="14">
        <f>SUM(C283:F283)</f>
        <v/>
      </c>
      <c r="I283" s="14" t="n">
        <v>0</v>
      </c>
      <c r="J283" s="14" t="n">
        <v>0</v>
      </c>
      <c r="K283" s="14" t="n">
        <v>0</v>
      </c>
      <c r="L283" s="14" t="n">
        <v>0</v>
      </c>
      <c r="M283" s="14">
        <f>SUM(I283:L283)</f>
        <v/>
      </c>
      <c r="O283" s="15">
        <f>IFERROR(I283/C283-1,"")</f>
        <v/>
      </c>
      <c r="P283" s="15">
        <f>IFERROR(J283/D283-1,"")</f>
        <v/>
      </c>
      <c r="Q283" s="15">
        <f>IFERROR(K283/E283-1,"")</f>
        <v/>
      </c>
      <c r="R283" s="15">
        <f>IFERROR(L283/F283-1,"")</f>
        <v/>
      </c>
      <c r="S283" s="15">
        <f>IFERROR(M283/G283-1,"")</f>
        <v/>
      </c>
      <c r="U283" s="16" t="n"/>
      <c r="V283" s="16" t="n"/>
      <c r="W283" s="16" t="n"/>
      <c r="X283" s="16">
        <f>IFERROR(W283-V283,"")</f>
        <v/>
      </c>
    </row>
    <row r="284">
      <c r="B284" s="13" t="inlineStr">
        <is>
          <t>100+</t>
        </is>
      </c>
      <c r="C284" s="14" t="n">
        <v>0</v>
      </c>
      <c r="D284" s="14" t="n">
        <v>0</v>
      </c>
      <c r="E284" s="14" t="n">
        <v>0</v>
      </c>
      <c r="F284" s="14" t="n">
        <v>0</v>
      </c>
      <c r="G284" s="14">
        <f>SUM(C284:F284)</f>
        <v/>
      </c>
      <c r="I284" s="14" t="n">
        <v>0</v>
      </c>
      <c r="J284" s="14" t="n">
        <v>0</v>
      </c>
      <c r="K284" s="14" t="n">
        <v>0</v>
      </c>
      <c r="L284" s="14" t="n">
        <v>0</v>
      </c>
      <c r="M284" s="14">
        <f>SUM(I284:L284)</f>
        <v/>
      </c>
      <c r="O284" s="15">
        <f>IFERROR(I284/C284-1,"")</f>
        <v/>
      </c>
      <c r="P284" s="15">
        <f>IFERROR(J284/D284-1,"")</f>
        <v/>
      </c>
      <c r="Q284" s="15">
        <f>IFERROR(K284/E284-1,"")</f>
        <v/>
      </c>
      <c r="R284" s="15">
        <f>IFERROR(L284/F284-1,"")</f>
        <v/>
      </c>
      <c r="S284" s="15">
        <f>IFERROR(M284/G284-1,"")</f>
        <v/>
      </c>
      <c r="U284" s="16" t="n"/>
      <c r="V284" s="16" t="n"/>
      <c r="W284" s="16" t="n"/>
      <c r="X284" s="16">
        <f>IFERROR(W284-V284,"")</f>
        <v/>
      </c>
    </row>
    <row r="285">
      <c r="B285" s="17" t="inlineStr">
        <is>
          <t>overall</t>
        </is>
      </c>
      <c r="C285" s="18" t="n">
        <v>0</v>
      </c>
      <c r="D285" s="18" t="n">
        <v>0</v>
      </c>
      <c r="E285" s="18" t="n">
        <v>0</v>
      </c>
      <c r="F285" s="18" t="n">
        <v>0</v>
      </c>
      <c r="G285" s="18">
        <f>SUM(C285:F285)</f>
        <v/>
      </c>
      <c r="I285" s="18" t="n">
        <v>0</v>
      </c>
      <c r="J285" s="18" t="n">
        <v>0</v>
      </c>
      <c r="K285" s="18" t="n">
        <v>0</v>
      </c>
      <c r="L285" s="18" t="n">
        <v>0</v>
      </c>
      <c r="M285" s="18">
        <f>SUM(I285:L285)</f>
        <v/>
      </c>
      <c r="O285" s="19">
        <f>IFERROR(I285/C285-1,"")</f>
        <v/>
      </c>
      <c r="P285" s="19">
        <f>IFERROR(J285/D285-1,"")</f>
        <v/>
      </c>
      <c r="Q285" s="19">
        <f>IFERROR(K285/E285-1,"")</f>
        <v/>
      </c>
      <c r="R285" s="19">
        <f>IFERROR(L285/F285-1,"")</f>
        <v/>
      </c>
      <c r="S285" s="19">
        <f>IFERROR(M285/G285-1,"")</f>
        <v/>
      </c>
      <c r="U285" s="20" t="n"/>
      <c r="V285" s="20" t="n"/>
      <c r="W285" s="20" t="n"/>
      <c r="X285" s="20">
        <f>IFERROR(W285-V285,"")</f>
        <v/>
      </c>
    </row>
    <row r="288">
      <c r="B288" s="2" t="inlineStr">
        <is>
          <t>◆ 3-star Pack</t>
        </is>
      </c>
    </row>
    <row r="289">
      <c r="C289" s="3" t="inlineStr">
        <is>
          <t>◄ CURRENT (actuals: data + calc) ►</t>
        </is>
      </c>
      <c r="D289" s="3" t="n"/>
      <c r="E289" s="3" t="n"/>
      <c r="F289" s="3" t="n"/>
      <c r="G289" s="3" t="n"/>
      <c r="I289" s="4" t="inlineStr">
        <is>
          <t>◄ SIMULATED (EcoGainsSim v4) ►</t>
        </is>
      </c>
      <c r="J289" s="4" t="n"/>
      <c r="K289" s="4" t="n"/>
      <c r="L289" s="4" t="n"/>
      <c r="M289" s="4" t="n"/>
      <c r="O289" s="5" t="inlineStr">
        <is>
          <t>Δ</t>
        </is>
      </c>
      <c r="P289" s="5" t="n"/>
      <c r="Q289" s="5" t="n"/>
      <c r="R289" s="5" t="n"/>
      <c r="S289" s="5" t="n"/>
      <c r="U289" s="6" t="inlineStr">
        <is>
          <t>◄ NET / earner (spend held constant) ►</t>
        </is>
      </c>
      <c r="V289" s="6" t="n"/>
      <c r="W289" s="6" t="n"/>
      <c r="X289" s="6" t="n"/>
    </row>
    <row r="290">
      <c r="B290" s="7" t="inlineStr">
        <is>
          <t>Segment</t>
        </is>
      </c>
      <c r="C290" s="8" t="inlineStr">
        <is>
          <t>PAID</t>
        </is>
      </c>
      <c r="D290" s="8" t="inlineStr">
        <is>
          <t>ADS</t>
        </is>
      </c>
      <c r="E290" s="8" t="inlineStr">
        <is>
          <t>CORE</t>
        </is>
      </c>
      <c r="F290" s="8" t="inlineStr">
        <is>
          <t>META</t>
        </is>
      </c>
      <c r="G290" s="8" t="inlineStr">
        <is>
          <t>Total</t>
        </is>
      </c>
      <c r="I290" s="9" t="inlineStr">
        <is>
          <t>PAID</t>
        </is>
      </c>
      <c r="J290" s="9" t="inlineStr">
        <is>
          <t>ADS</t>
        </is>
      </c>
      <c r="K290" s="9" t="inlineStr">
        <is>
          <t>CORE</t>
        </is>
      </c>
      <c r="L290" s="9" t="inlineStr">
        <is>
          <t>META</t>
        </is>
      </c>
      <c r="M290" s="9" t="inlineStr">
        <is>
          <t>Total</t>
        </is>
      </c>
      <c r="O290" s="10" t="inlineStr">
        <is>
          <t>PAID</t>
        </is>
      </c>
      <c r="P290" s="10" t="inlineStr">
        <is>
          <t>ADS</t>
        </is>
      </c>
      <c r="Q290" s="10" t="inlineStr">
        <is>
          <t>CORE</t>
        </is>
      </c>
      <c r="R290" s="10" t="inlineStr">
        <is>
          <t>META</t>
        </is>
      </c>
      <c r="S290" s="10" t="inlineStr">
        <is>
          <t>Total</t>
        </is>
      </c>
      <c r="U290" s="11" t="inlineStr">
        <is>
          <t>cur spend</t>
        </is>
      </c>
      <c r="V290" s="11" t="inlineStr">
        <is>
          <t>cur net</t>
        </is>
      </c>
      <c r="W290" s="11" t="inlineStr">
        <is>
          <t>new net</t>
        </is>
      </c>
      <c r="X290" s="11" t="inlineStr">
        <is>
          <t>net Δ</t>
        </is>
      </c>
    </row>
    <row r="291">
      <c r="B291" s="12" t="inlineStr">
        <is>
          <t>NONPAYER</t>
        </is>
      </c>
    </row>
    <row r="292">
      <c r="B292" s="13" t="inlineStr">
        <is>
          <t>0-9</t>
        </is>
      </c>
      <c r="C292" s="14" t="n">
        <v>0</v>
      </c>
      <c r="D292" s="14" t="n">
        <v>0</v>
      </c>
      <c r="E292" s="14" t="n">
        <v>0</v>
      </c>
      <c r="F292" s="14" t="n">
        <v>0</v>
      </c>
      <c r="G292" s="14">
        <f>SUM(C292:F292)</f>
        <v/>
      </c>
      <c r="I292" s="14" t="n">
        <v>0</v>
      </c>
      <c r="J292" s="14" t="n">
        <v>0</v>
      </c>
      <c r="K292" s="14" t="n">
        <v>0</v>
      </c>
      <c r="L292" s="14" t="n">
        <v>0</v>
      </c>
      <c r="M292" s="14">
        <f>SUM(I292:L292)</f>
        <v/>
      </c>
      <c r="O292" s="15">
        <f>IFERROR(I292/C292-1,"")</f>
        <v/>
      </c>
      <c r="P292" s="15">
        <f>IFERROR(J292/D292-1,"")</f>
        <v/>
      </c>
      <c r="Q292" s="15">
        <f>IFERROR(K292/E292-1,"")</f>
        <v/>
      </c>
      <c r="R292" s="15">
        <f>IFERROR(L292/F292-1,"")</f>
        <v/>
      </c>
      <c r="S292" s="15">
        <f>IFERROR(M292/G292-1,"")</f>
        <v/>
      </c>
      <c r="U292" s="16" t="n"/>
      <c r="V292" s="16" t="n"/>
      <c r="W292" s="16" t="n"/>
      <c r="X292" s="16">
        <f>IFERROR(W292-V292,"")</f>
        <v/>
      </c>
    </row>
    <row r="293">
      <c r="B293" s="13" t="inlineStr">
        <is>
          <t>10-19</t>
        </is>
      </c>
      <c r="C293" s="14" t="n">
        <v>0</v>
      </c>
      <c r="D293" s="14" t="n">
        <v>0</v>
      </c>
      <c r="E293" s="14" t="n">
        <v>0</v>
      </c>
      <c r="F293" s="14" t="n">
        <v>0</v>
      </c>
      <c r="G293" s="14">
        <f>SUM(C293:F293)</f>
        <v/>
      </c>
      <c r="I293" s="14" t="n">
        <v>0</v>
      </c>
      <c r="J293" s="14" t="n">
        <v>0</v>
      </c>
      <c r="K293" s="14" t="n">
        <v>0</v>
      </c>
      <c r="L293" s="14" t="n">
        <v>0</v>
      </c>
      <c r="M293" s="14">
        <f>SUM(I293:L293)</f>
        <v/>
      </c>
      <c r="O293" s="15">
        <f>IFERROR(I293/C293-1,"")</f>
        <v/>
      </c>
      <c r="P293" s="15">
        <f>IFERROR(J293/D293-1,"")</f>
        <v/>
      </c>
      <c r="Q293" s="15">
        <f>IFERROR(K293/E293-1,"")</f>
        <v/>
      </c>
      <c r="R293" s="15">
        <f>IFERROR(L293/F293-1,"")</f>
        <v/>
      </c>
      <c r="S293" s="15">
        <f>IFERROR(M293/G293-1,"")</f>
        <v/>
      </c>
      <c r="U293" s="16" t="n"/>
      <c r="V293" s="16" t="n"/>
      <c r="W293" s="16" t="n"/>
      <c r="X293" s="16">
        <f>IFERROR(W293-V293,"")</f>
        <v/>
      </c>
    </row>
    <row r="294">
      <c r="B294" s="13" t="inlineStr">
        <is>
          <t>20-39</t>
        </is>
      </c>
      <c r="C294" s="14" t="n">
        <v>0</v>
      </c>
      <c r="D294" s="14" t="n">
        <v>0</v>
      </c>
      <c r="E294" s="14" t="n">
        <v>0</v>
      </c>
      <c r="F294" s="14" t="n">
        <v>0</v>
      </c>
      <c r="G294" s="14">
        <f>SUM(C294:F294)</f>
        <v/>
      </c>
      <c r="I294" s="14" t="n">
        <v>0</v>
      </c>
      <c r="J294" s="14" t="n">
        <v>0</v>
      </c>
      <c r="K294" s="14" t="n">
        <v>0</v>
      </c>
      <c r="L294" s="14" t="n">
        <v>0</v>
      </c>
      <c r="M294" s="14">
        <f>SUM(I294:L294)</f>
        <v/>
      </c>
      <c r="O294" s="15">
        <f>IFERROR(I294/C294-1,"")</f>
        <v/>
      </c>
      <c r="P294" s="15">
        <f>IFERROR(J294/D294-1,"")</f>
        <v/>
      </c>
      <c r="Q294" s="15">
        <f>IFERROR(K294/E294-1,"")</f>
        <v/>
      </c>
      <c r="R294" s="15">
        <f>IFERROR(L294/F294-1,"")</f>
        <v/>
      </c>
      <c r="S294" s="15">
        <f>IFERROR(M294/G294-1,"")</f>
        <v/>
      </c>
      <c r="U294" s="16" t="n"/>
      <c r="V294" s="16" t="n"/>
      <c r="W294" s="16" t="n"/>
      <c r="X294" s="16">
        <f>IFERROR(W294-V294,"")</f>
        <v/>
      </c>
    </row>
    <row r="295">
      <c r="B295" s="13" t="inlineStr">
        <is>
          <t>40-99</t>
        </is>
      </c>
      <c r="C295" s="14" t="n">
        <v>0</v>
      </c>
      <c r="D295" s="14" t="n">
        <v>0</v>
      </c>
      <c r="E295" s="14" t="n">
        <v>0</v>
      </c>
      <c r="F295" s="14" t="n">
        <v>0</v>
      </c>
      <c r="G295" s="14">
        <f>SUM(C295:F295)</f>
        <v/>
      </c>
      <c r="I295" s="14" t="n">
        <v>0</v>
      </c>
      <c r="J295" s="14" t="n">
        <v>0</v>
      </c>
      <c r="K295" s="14" t="n">
        <v>0</v>
      </c>
      <c r="L295" s="14" t="n">
        <v>0</v>
      </c>
      <c r="M295" s="14">
        <f>SUM(I295:L295)</f>
        <v/>
      </c>
      <c r="O295" s="15">
        <f>IFERROR(I295/C295-1,"")</f>
        <v/>
      </c>
      <c r="P295" s="15">
        <f>IFERROR(J295/D295-1,"")</f>
        <v/>
      </c>
      <c r="Q295" s="15">
        <f>IFERROR(K295/E295-1,"")</f>
        <v/>
      </c>
      <c r="R295" s="15">
        <f>IFERROR(L295/F295-1,"")</f>
        <v/>
      </c>
      <c r="S295" s="15">
        <f>IFERROR(M295/G295-1,"")</f>
        <v/>
      </c>
      <c r="U295" s="16" t="n"/>
      <c r="V295" s="16" t="n"/>
      <c r="W295" s="16" t="n"/>
      <c r="X295" s="16">
        <f>IFERROR(W295-V295,"")</f>
        <v/>
      </c>
    </row>
    <row r="296">
      <c r="B296" s="13" t="inlineStr">
        <is>
          <t>100+</t>
        </is>
      </c>
      <c r="C296" s="14" t="n">
        <v>0</v>
      </c>
      <c r="D296" s="14" t="n">
        <v>0</v>
      </c>
      <c r="E296" s="14" t="n">
        <v>0</v>
      </c>
      <c r="F296" s="14" t="n">
        <v>0</v>
      </c>
      <c r="G296" s="14">
        <f>SUM(C296:F296)</f>
        <v/>
      </c>
      <c r="I296" s="14" t="n">
        <v>0</v>
      </c>
      <c r="J296" s="14" t="n">
        <v>0</v>
      </c>
      <c r="K296" s="14" t="n">
        <v>0</v>
      </c>
      <c r="L296" s="14" t="n">
        <v>0</v>
      </c>
      <c r="M296" s="14">
        <f>SUM(I296:L296)</f>
        <v/>
      </c>
      <c r="O296" s="15">
        <f>IFERROR(I296/C296-1,"")</f>
        <v/>
      </c>
      <c r="P296" s="15">
        <f>IFERROR(J296/D296-1,"")</f>
        <v/>
      </c>
      <c r="Q296" s="15">
        <f>IFERROR(K296/E296-1,"")</f>
        <v/>
      </c>
      <c r="R296" s="15">
        <f>IFERROR(L296/F296-1,"")</f>
        <v/>
      </c>
      <c r="S296" s="15">
        <f>IFERROR(M296/G296-1,"")</f>
        <v/>
      </c>
      <c r="U296" s="16" t="n"/>
      <c r="V296" s="16" t="n"/>
      <c r="W296" s="16" t="n"/>
      <c r="X296" s="16">
        <f>IFERROR(W296-V296,"")</f>
        <v/>
      </c>
    </row>
    <row r="297">
      <c r="B297" s="17" t="inlineStr">
        <is>
          <t>overall</t>
        </is>
      </c>
      <c r="C297" s="18" t="n">
        <v>0</v>
      </c>
      <c r="D297" s="18" t="n">
        <v>0</v>
      </c>
      <c r="E297" s="18" t="n">
        <v>0</v>
      </c>
      <c r="F297" s="18" t="n">
        <v>0</v>
      </c>
      <c r="G297" s="18">
        <f>SUM(C297:F297)</f>
        <v/>
      </c>
      <c r="I297" s="18" t="n">
        <v>0</v>
      </c>
      <c r="J297" s="18" t="n">
        <v>0</v>
      </c>
      <c r="K297" s="18" t="n">
        <v>0</v>
      </c>
      <c r="L297" s="18" t="n">
        <v>0</v>
      </c>
      <c r="M297" s="18">
        <f>SUM(I297:L297)</f>
        <v/>
      </c>
      <c r="O297" s="19">
        <f>IFERROR(I297/C297-1,"")</f>
        <v/>
      </c>
      <c r="P297" s="19">
        <f>IFERROR(J297/D297-1,"")</f>
        <v/>
      </c>
      <c r="Q297" s="19">
        <f>IFERROR(K297/E297-1,"")</f>
        <v/>
      </c>
      <c r="R297" s="19">
        <f>IFERROR(L297/F297-1,"")</f>
        <v/>
      </c>
      <c r="S297" s="19">
        <f>IFERROR(M297/G297-1,"")</f>
        <v/>
      </c>
      <c r="U297" s="20" t="n"/>
      <c r="V297" s="20" t="n"/>
      <c r="W297" s="20" t="n"/>
      <c r="X297" s="20">
        <f>IFERROR(W297-V297,"")</f>
        <v/>
      </c>
    </row>
    <row r="298">
      <c r="B298" s="12" t="inlineStr">
        <is>
          <t>PAYER</t>
        </is>
      </c>
    </row>
    <row r="299">
      <c r="B299" s="13" t="inlineStr">
        <is>
          <t>0-9</t>
        </is>
      </c>
      <c r="C299" s="14" t="n">
        <v>0</v>
      </c>
      <c r="D299" s="14" t="n">
        <v>0</v>
      </c>
      <c r="E299" s="14" t="n">
        <v>0</v>
      </c>
      <c r="F299" s="14" t="n">
        <v>0</v>
      </c>
      <c r="G299" s="14">
        <f>SUM(C299:F299)</f>
        <v/>
      </c>
      <c r="I299" s="14" t="n">
        <v>0</v>
      </c>
      <c r="J299" s="14" t="n">
        <v>0</v>
      </c>
      <c r="K299" s="14" t="n">
        <v>0</v>
      </c>
      <c r="L299" s="14" t="n">
        <v>0</v>
      </c>
      <c r="M299" s="14">
        <f>SUM(I299:L299)</f>
        <v/>
      </c>
      <c r="O299" s="15">
        <f>IFERROR(I299/C299-1,"")</f>
        <v/>
      </c>
      <c r="P299" s="15">
        <f>IFERROR(J299/D299-1,"")</f>
        <v/>
      </c>
      <c r="Q299" s="15">
        <f>IFERROR(K299/E299-1,"")</f>
        <v/>
      </c>
      <c r="R299" s="15">
        <f>IFERROR(L299/F299-1,"")</f>
        <v/>
      </c>
      <c r="S299" s="15">
        <f>IFERROR(M299/G299-1,"")</f>
        <v/>
      </c>
      <c r="U299" s="16" t="n"/>
      <c r="V299" s="16" t="n"/>
      <c r="W299" s="16" t="n"/>
      <c r="X299" s="16">
        <f>IFERROR(W299-V299,"")</f>
        <v/>
      </c>
    </row>
    <row r="300">
      <c r="B300" s="13" t="inlineStr">
        <is>
          <t>10-19</t>
        </is>
      </c>
      <c r="C300" s="14" t="n">
        <v>0</v>
      </c>
      <c r="D300" s="14" t="n">
        <v>0</v>
      </c>
      <c r="E300" s="14" t="n">
        <v>0</v>
      </c>
      <c r="F300" s="14" t="n">
        <v>0</v>
      </c>
      <c r="G300" s="14">
        <f>SUM(C300:F300)</f>
        <v/>
      </c>
      <c r="I300" s="14" t="n">
        <v>0</v>
      </c>
      <c r="J300" s="14" t="n">
        <v>0</v>
      </c>
      <c r="K300" s="14" t="n">
        <v>0</v>
      </c>
      <c r="L300" s="14" t="n">
        <v>0</v>
      </c>
      <c r="M300" s="14">
        <f>SUM(I300:L300)</f>
        <v/>
      </c>
      <c r="O300" s="15">
        <f>IFERROR(I300/C300-1,"")</f>
        <v/>
      </c>
      <c r="P300" s="15">
        <f>IFERROR(J300/D300-1,"")</f>
        <v/>
      </c>
      <c r="Q300" s="15">
        <f>IFERROR(K300/E300-1,"")</f>
        <v/>
      </c>
      <c r="R300" s="15">
        <f>IFERROR(L300/F300-1,"")</f>
        <v/>
      </c>
      <c r="S300" s="15">
        <f>IFERROR(M300/G300-1,"")</f>
        <v/>
      </c>
      <c r="U300" s="16" t="n"/>
      <c r="V300" s="16" t="n"/>
      <c r="W300" s="16" t="n"/>
      <c r="X300" s="16">
        <f>IFERROR(W300-V300,"")</f>
        <v/>
      </c>
    </row>
    <row r="301">
      <c r="B301" s="13" t="inlineStr">
        <is>
          <t>20-39</t>
        </is>
      </c>
      <c r="C301" s="14" t="n">
        <v>0</v>
      </c>
      <c r="D301" s="14" t="n">
        <v>0</v>
      </c>
      <c r="E301" s="14" t="n">
        <v>0</v>
      </c>
      <c r="F301" s="14" t="n">
        <v>0</v>
      </c>
      <c r="G301" s="14">
        <f>SUM(C301:F301)</f>
        <v/>
      </c>
      <c r="I301" s="14" t="n">
        <v>0</v>
      </c>
      <c r="J301" s="14" t="n">
        <v>0</v>
      </c>
      <c r="K301" s="14" t="n">
        <v>0</v>
      </c>
      <c r="L301" s="14" t="n">
        <v>0</v>
      </c>
      <c r="M301" s="14">
        <f>SUM(I301:L301)</f>
        <v/>
      </c>
      <c r="O301" s="15">
        <f>IFERROR(I301/C301-1,"")</f>
        <v/>
      </c>
      <c r="P301" s="15">
        <f>IFERROR(J301/D301-1,"")</f>
        <v/>
      </c>
      <c r="Q301" s="15">
        <f>IFERROR(K301/E301-1,"")</f>
        <v/>
      </c>
      <c r="R301" s="15">
        <f>IFERROR(L301/F301-1,"")</f>
        <v/>
      </c>
      <c r="S301" s="15">
        <f>IFERROR(M301/G301-1,"")</f>
        <v/>
      </c>
      <c r="U301" s="16" t="n"/>
      <c r="V301" s="16" t="n"/>
      <c r="W301" s="16" t="n"/>
      <c r="X301" s="16">
        <f>IFERROR(W301-V301,"")</f>
        <v/>
      </c>
    </row>
    <row r="302">
      <c r="B302" s="13" t="inlineStr">
        <is>
          <t>40-99</t>
        </is>
      </c>
      <c r="C302" s="14" t="n">
        <v>0</v>
      </c>
      <c r="D302" s="14" t="n">
        <v>0</v>
      </c>
      <c r="E302" s="14" t="n">
        <v>0</v>
      </c>
      <c r="F302" s="14" t="n">
        <v>0</v>
      </c>
      <c r="G302" s="14">
        <f>SUM(C302:F302)</f>
        <v/>
      </c>
      <c r="I302" s="14" t="n">
        <v>0</v>
      </c>
      <c r="J302" s="14" t="n">
        <v>0</v>
      </c>
      <c r="K302" s="14" t="n">
        <v>0</v>
      </c>
      <c r="L302" s="14" t="n">
        <v>0</v>
      </c>
      <c r="M302" s="14">
        <f>SUM(I302:L302)</f>
        <v/>
      </c>
      <c r="O302" s="15">
        <f>IFERROR(I302/C302-1,"")</f>
        <v/>
      </c>
      <c r="P302" s="15">
        <f>IFERROR(J302/D302-1,"")</f>
        <v/>
      </c>
      <c r="Q302" s="15">
        <f>IFERROR(K302/E302-1,"")</f>
        <v/>
      </c>
      <c r="R302" s="15">
        <f>IFERROR(L302/F302-1,"")</f>
        <v/>
      </c>
      <c r="S302" s="15">
        <f>IFERROR(M302/G302-1,"")</f>
        <v/>
      </c>
      <c r="U302" s="16" t="n"/>
      <c r="V302" s="16" t="n"/>
      <c r="W302" s="16" t="n"/>
      <c r="X302" s="16">
        <f>IFERROR(W302-V302,"")</f>
        <v/>
      </c>
    </row>
    <row r="303">
      <c r="B303" s="13" t="inlineStr">
        <is>
          <t>100+</t>
        </is>
      </c>
      <c r="C303" s="14" t="n">
        <v>0</v>
      </c>
      <c r="D303" s="14" t="n">
        <v>0</v>
      </c>
      <c r="E303" s="14" t="n">
        <v>0</v>
      </c>
      <c r="F303" s="14" t="n">
        <v>0</v>
      </c>
      <c r="G303" s="14">
        <f>SUM(C303:F303)</f>
        <v/>
      </c>
      <c r="I303" s="14" t="n">
        <v>0</v>
      </c>
      <c r="J303" s="14" t="n">
        <v>0</v>
      </c>
      <c r="K303" s="14" t="n">
        <v>0</v>
      </c>
      <c r="L303" s="14" t="n">
        <v>0</v>
      </c>
      <c r="M303" s="14">
        <f>SUM(I303:L303)</f>
        <v/>
      </c>
      <c r="O303" s="15">
        <f>IFERROR(I303/C303-1,"")</f>
        <v/>
      </c>
      <c r="P303" s="15">
        <f>IFERROR(J303/D303-1,"")</f>
        <v/>
      </c>
      <c r="Q303" s="15">
        <f>IFERROR(K303/E303-1,"")</f>
        <v/>
      </c>
      <c r="R303" s="15">
        <f>IFERROR(L303/F303-1,"")</f>
        <v/>
      </c>
      <c r="S303" s="15">
        <f>IFERROR(M303/G303-1,"")</f>
        <v/>
      </c>
      <c r="U303" s="16" t="n"/>
      <c r="V303" s="16" t="n"/>
      <c r="W303" s="16" t="n"/>
      <c r="X303" s="16">
        <f>IFERROR(W303-V303,"")</f>
        <v/>
      </c>
    </row>
    <row r="304">
      <c r="B304" s="17" t="inlineStr">
        <is>
          <t>overall</t>
        </is>
      </c>
      <c r="C304" s="18" t="n">
        <v>0</v>
      </c>
      <c r="D304" s="18" t="n">
        <v>0</v>
      </c>
      <c r="E304" s="18" t="n">
        <v>0</v>
      </c>
      <c r="F304" s="18" t="n">
        <v>0</v>
      </c>
      <c r="G304" s="18">
        <f>SUM(C304:F304)</f>
        <v/>
      </c>
      <c r="I304" s="18" t="n">
        <v>0</v>
      </c>
      <c r="J304" s="18" t="n">
        <v>0</v>
      </c>
      <c r="K304" s="18" t="n">
        <v>0</v>
      </c>
      <c r="L304" s="18" t="n">
        <v>0</v>
      </c>
      <c r="M304" s="18">
        <f>SUM(I304:L304)</f>
        <v/>
      </c>
      <c r="O304" s="19">
        <f>IFERROR(I304/C304-1,"")</f>
        <v/>
      </c>
      <c r="P304" s="19">
        <f>IFERROR(J304/D304-1,"")</f>
        <v/>
      </c>
      <c r="Q304" s="19">
        <f>IFERROR(K304/E304-1,"")</f>
        <v/>
      </c>
      <c r="R304" s="19">
        <f>IFERROR(L304/F304-1,"")</f>
        <v/>
      </c>
      <c r="S304" s="19">
        <f>IFERROR(M304/G304-1,"")</f>
        <v/>
      </c>
      <c r="U304" s="20" t="n"/>
      <c r="V304" s="20" t="n"/>
      <c r="W304" s="20" t="n"/>
      <c r="X304" s="20">
        <f>IFERROR(W304-V304,"")</f>
        <v/>
      </c>
    </row>
    <row r="307">
      <c r="B307" s="2" t="inlineStr">
        <is>
          <t>◆ 4-star Pack</t>
        </is>
      </c>
    </row>
    <row r="308">
      <c r="C308" s="3" t="inlineStr">
        <is>
          <t>◄ CURRENT (actuals: data + calc) ►</t>
        </is>
      </c>
      <c r="D308" s="3" t="n"/>
      <c r="E308" s="3" t="n"/>
      <c r="F308" s="3" t="n"/>
      <c r="G308" s="3" t="n"/>
      <c r="I308" s="4" t="inlineStr">
        <is>
          <t>◄ SIMULATED (EcoGainsSim v4) ►</t>
        </is>
      </c>
      <c r="J308" s="4" t="n"/>
      <c r="K308" s="4" t="n"/>
      <c r="L308" s="4" t="n"/>
      <c r="M308" s="4" t="n"/>
      <c r="O308" s="5" t="inlineStr">
        <is>
          <t>Δ</t>
        </is>
      </c>
      <c r="P308" s="5" t="n"/>
      <c r="Q308" s="5" t="n"/>
      <c r="R308" s="5" t="n"/>
      <c r="S308" s="5" t="n"/>
      <c r="U308" s="6" t="inlineStr">
        <is>
          <t>◄ NET / earner (spend held constant) ►</t>
        </is>
      </c>
      <c r="V308" s="6" t="n"/>
      <c r="W308" s="6" t="n"/>
      <c r="X308" s="6" t="n"/>
    </row>
    <row r="309">
      <c r="B309" s="7" t="inlineStr">
        <is>
          <t>Segment</t>
        </is>
      </c>
      <c r="C309" s="8" t="inlineStr">
        <is>
          <t>PAID</t>
        </is>
      </c>
      <c r="D309" s="8" t="inlineStr">
        <is>
          <t>ADS</t>
        </is>
      </c>
      <c r="E309" s="8" t="inlineStr">
        <is>
          <t>CORE</t>
        </is>
      </c>
      <c r="F309" s="8" t="inlineStr">
        <is>
          <t>META</t>
        </is>
      </c>
      <c r="G309" s="8" t="inlineStr">
        <is>
          <t>Total</t>
        </is>
      </c>
      <c r="I309" s="9" t="inlineStr">
        <is>
          <t>PAID</t>
        </is>
      </c>
      <c r="J309" s="9" t="inlineStr">
        <is>
          <t>ADS</t>
        </is>
      </c>
      <c r="K309" s="9" t="inlineStr">
        <is>
          <t>CORE</t>
        </is>
      </c>
      <c r="L309" s="9" t="inlineStr">
        <is>
          <t>META</t>
        </is>
      </c>
      <c r="M309" s="9" t="inlineStr">
        <is>
          <t>Total</t>
        </is>
      </c>
      <c r="O309" s="10" t="inlineStr">
        <is>
          <t>PAID</t>
        </is>
      </c>
      <c r="P309" s="10" t="inlineStr">
        <is>
          <t>ADS</t>
        </is>
      </c>
      <c r="Q309" s="10" t="inlineStr">
        <is>
          <t>CORE</t>
        </is>
      </c>
      <c r="R309" s="10" t="inlineStr">
        <is>
          <t>META</t>
        </is>
      </c>
      <c r="S309" s="10" t="inlineStr">
        <is>
          <t>Total</t>
        </is>
      </c>
      <c r="U309" s="11" t="inlineStr">
        <is>
          <t>cur spend</t>
        </is>
      </c>
      <c r="V309" s="11" t="inlineStr">
        <is>
          <t>cur net</t>
        </is>
      </c>
      <c r="W309" s="11" t="inlineStr">
        <is>
          <t>new net</t>
        </is>
      </c>
      <c r="X309" s="11" t="inlineStr">
        <is>
          <t>net Δ</t>
        </is>
      </c>
    </row>
    <row r="310">
      <c r="B310" s="12" t="inlineStr">
        <is>
          <t>NONPAYER</t>
        </is>
      </c>
    </row>
    <row r="311">
      <c r="B311" s="13" t="inlineStr">
        <is>
          <t>0-9</t>
        </is>
      </c>
      <c r="C311" s="14" t="n">
        <v>0</v>
      </c>
      <c r="D311" s="14" t="n">
        <v>0</v>
      </c>
      <c r="E311" s="14" t="n">
        <v>0</v>
      </c>
      <c r="F311" s="14" t="n">
        <v>0</v>
      </c>
      <c r="G311" s="14">
        <f>SUM(C311:F311)</f>
        <v/>
      </c>
      <c r="I311" s="14" t="n">
        <v>0</v>
      </c>
      <c r="J311" s="14" t="n">
        <v>0</v>
      </c>
      <c r="K311" s="14" t="n">
        <v>0</v>
      </c>
      <c r="L311" s="14" t="n">
        <v>0</v>
      </c>
      <c r="M311" s="14">
        <f>SUM(I311:L311)</f>
        <v/>
      </c>
      <c r="O311" s="15">
        <f>IFERROR(I311/C311-1,"")</f>
        <v/>
      </c>
      <c r="P311" s="15">
        <f>IFERROR(J311/D311-1,"")</f>
        <v/>
      </c>
      <c r="Q311" s="15">
        <f>IFERROR(K311/E311-1,"")</f>
        <v/>
      </c>
      <c r="R311" s="15">
        <f>IFERROR(L311/F311-1,"")</f>
        <v/>
      </c>
      <c r="S311" s="15">
        <f>IFERROR(M311/G311-1,"")</f>
        <v/>
      </c>
      <c r="U311" s="16" t="n"/>
      <c r="V311" s="16" t="n"/>
      <c r="W311" s="16" t="n"/>
      <c r="X311" s="16">
        <f>IFERROR(W311-V311,"")</f>
        <v/>
      </c>
    </row>
    <row r="312">
      <c r="B312" s="13" t="inlineStr">
        <is>
          <t>10-19</t>
        </is>
      </c>
      <c r="C312" s="14" t="n">
        <v>0</v>
      </c>
      <c r="D312" s="14" t="n">
        <v>0</v>
      </c>
      <c r="E312" s="14" t="n">
        <v>0</v>
      </c>
      <c r="F312" s="14" t="n">
        <v>0</v>
      </c>
      <c r="G312" s="14">
        <f>SUM(C312:F312)</f>
        <v/>
      </c>
      <c r="I312" s="14" t="n">
        <v>0</v>
      </c>
      <c r="J312" s="14" t="n">
        <v>0</v>
      </c>
      <c r="K312" s="14" t="n">
        <v>0</v>
      </c>
      <c r="L312" s="14" t="n">
        <v>0</v>
      </c>
      <c r="M312" s="14">
        <f>SUM(I312:L312)</f>
        <v/>
      </c>
      <c r="O312" s="15">
        <f>IFERROR(I312/C312-1,"")</f>
        <v/>
      </c>
      <c r="P312" s="15">
        <f>IFERROR(J312/D312-1,"")</f>
        <v/>
      </c>
      <c r="Q312" s="15">
        <f>IFERROR(K312/E312-1,"")</f>
        <v/>
      </c>
      <c r="R312" s="15">
        <f>IFERROR(L312/F312-1,"")</f>
        <v/>
      </c>
      <c r="S312" s="15">
        <f>IFERROR(M312/G312-1,"")</f>
        <v/>
      </c>
      <c r="U312" s="16" t="n"/>
      <c r="V312" s="16" t="n"/>
      <c r="W312" s="16" t="n"/>
      <c r="X312" s="16">
        <f>IFERROR(W312-V312,"")</f>
        <v/>
      </c>
    </row>
    <row r="313">
      <c r="B313" s="13" t="inlineStr">
        <is>
          <t>20-39</t>
        </is>
      </c>
      <c r="C313" s="14" t="n">
        <v>0</v>
      </c>
      <c r="D313" s="14" t="n">
        <v>0</v>
      </c>
      <c r="E313" s="14" t="n">
        <v>0</v>
      </c>
      <c r="F313" s="14" t="n">
        <v>0</v>
      </c>
      <c r="G313" s="14">
        <f>SUM(C313:F313)</f>
        <v/>
      </c>
      <c r="I313" s="14" t="n">
        <v>0</v>
      </c>
      <c r="J313" s="14" t="n">
        <v>0</v>
      </c>
      <c r="K313" s="14" t="n">
        <v>0</v>
      </c>
      <c r="L313" s="14" t="n">
        <v>0</v>
      </c>
      <c r="M313" s="14">
        <f>SUM(I313:L313)</f>
        <v/>
      </c>
      <c r="O313" s="15">
        <f>IFERROR(I313/C313-1,"")</f>
        <v/>
      </c>
      <c r="P313" s="15">
        <f>IFERROR(J313/D313-1,"")</f>
        <v/>
      </c>
      <c r="Q313" s="15">
        <f>IFERROR(K313/E313-1,"")</f>
        <v/>
      </c>
      <c r="R313" s="15">
        <f>IFERROR(L313/F313-1,"")</f>
        <v/>
      </c>
      <c r="S313" s="15">
        <f>IFERROR(M313/G313-1,"")</f>
        <v/>
      </c>
      <c r="U313" s="16" t="n"/>
      <c r="V313" s="16" t="n"/>
      <c r="W313" s="16" t="n"/>
      <c r="X313" s="16">
        <f>IFERROR(W313-V313,"")</f>
        <v/>
      </c>
    </row>
    <row r="314">
      <c r="B314" s="13" t="inlineStr">
        <is>
          <t>40-99</t>
        </is>
      </c>
      <c r="C314" s="14" t="n">
        <v>0</v>
      </c>
      <c r="D314" s="14" t="n">
        <v>0</v>
      </c>
      <c r="E314" s="14" t="n">
        <v>0</v>
      </c>
      <c r="F314" s="14" t="n">
        <v>0</v>
      </c>
      <c r="G314" s="14">
        <f>SUM(C314:F314)</f>
        <v/>
      </c>
      <c r="I314" s="14" t="n">
        <v>0</v>
      </c>
      <c r="J314" s="14" t="n">
        <v>0</v>
      </c>
      <c r="K314" s="14" t="n">
        <v>0</v>
      </c>
      <c r="L314" s="14" t="n">
        <v>0</v>
      </c>
      <c r="M314" s="14">
        <f>SUM(I314:L314)</f>
        <v/>
      </c>
      <c r="O314" s="15">
        <f>IFERROR(I314/C314-1,"")</f>
        <v/>
      </c>
      <c r="P314" s="15">
        <f>IFERROR(J314/D314-1,"")</f>
        <v/>
      </c>
      <c r="Q314" s="15">
        <f>IFERROR(K314/E314-1,"")</f>
        <v/>
      </c>
      <c r="R314" s="15">
        <f>IFERROR(L314/F314-1,"")</f>
        <v/>
      </c>
      <c r="S314" s="15">
        <f>IFERROR(M314/G314-1,"")</f>
        <v/>
      </c>
      <c r="U314" s="16" t="n"/>
      <c r="V314" s="16" t="n"/>
      <c r="W314" s="16" t="n"/>
      <c r="X314" s="16">
        <f>IFERROR(W314-V314,"")</f>
        <v/>
      </c>
    </row>
    <row r="315">
      <c r="B315" s="13" t="inlineStr">
        <is>
          <t>100+</t>
        </is>
      </c>
      <c r="C315" s="14" t="n">
        <v>0</v>
      </c>
      <c r="D315" s="14" t="n">
        <v>0</v>
      </c>
      <c r="E315" s="14" t="n">
        <v>0</v>
      </c>
      <c r="F315" s="14" t="n">
        <v>0</v>
      </c>
      <c r="G315" s="14">
        <f>SUM(C315:F315)</f>
        <v/>
      </c>
      <c r="I315" s="14" t="n">
        <v>0</v>
      </c>
      <c r="J315" s="14" t="n">
        <v>0</v>
      </c>
      <c r="K315" s="14" t="n">
        <v>0</v>
      </c>
      <c r="L315" s="14" t="n">
        <v>0</v>
      </c>
      <c r="M315" s="14">
        <f>SUM(I315:L315)</f>
        <v/>
      </c>
      <c r="O315" s="15">
        <f>IFERROR(I315/C315-1,"")</f>
        <v/>
      </c>
      <c r="P315" s="15">
        <f>IFERROR(J315/D315-1,"")</f>
        <v/>
      </c>
      <c r="Q315" s="15">
        <f>IFERROR(K315/E315-1,"")</f>
        <v/>
      </c>
      <c r="R315" s="15">
        <f>IFERROR(L315/F315-1,"")</f>
        <v/>
      </c>
      <c r="S315" s="15">
        <f>IFERROR(M315/G315-1,"")</f>
        <v/>
      </c>
      <c r="U315" s="16" t="n"/>
      <c r="V315" s="16" t="n"/>
      <c r="W315" s="16" t="n"/>
      <c r="X315" s="16">
        <f>IFERROR(W315-V315,"")</f>
        <v/>
      </c>
    </row>
    <row r="316">
      <c r="B316" s="17" t="inlineStr">
        <is>
          <t>overall</t>
        </is>
      </c>
      <c r="C316" s="18" t="n">
        <v>0</v>
      </c>
      <c r="D316" s="18" t="n">
        <v>0</v>
      </c>
      <c r="E316" s="18" t="n">
        <v>0</v>
      </c>
      <c r="F316" s="18" t="n">
        <v>0</v>
      </c>
      <c r="G316" s="18">
        <f>SUM(C316:F316)</f>
        <v/>
      </c>
      <c r="I316" s="18" t="n">
        <v>0</v>
      </c>
      <c r="J316" s="18" t="n">
        <v>0</v>
      </c>
      <c r="K316" s="18" t="n">
        <v>0</v>
      </c>
      <c r="L316" s="18" t="n">
        <v>0</v>
      </c>
      <c r="M316" s="18">
        <f>SUM(I316:L316)</f>
        <v/>
      </c>
      <c r="O316" s="19">
        <f>IFERROR(I316/C316-1,"")</f>
        <v/>
      </c>
      <c r="P316" s="19">
        <f>IFERROR(J316/D316-1,"")</f>
        <v/>
      </c>
      <c r="Q316" s="19">
        <f>IFERROR(K316/E316-1,"")</f>
        <v/>
      </c>
      <c r="R316" s="19">
        <f>IFERROR(L316/F316-1,"")</f>
        <v/>
      </c>
      <c r="S316" s="19">
        <f>IFERROR(M316/G316-1,"")</f>
        <v/>
      </c>
      <c r="U316" s="20" t="n"/>
      <c r="V316" s="20" t="n"/>
      <c r="W316" s="20" t="n"/>
      <c r="X316" s="20">
        <f>IFERROR(W316-V316,"")</f>
        <v/>
      </c>
    </row>
    <row r="317">
      <c r="B317" s="12" t="inlineStr">
        <is>
          <t>PAYER</t>
        </is>
      </c>
    </row>
    <row r="318">
      <c r="B318" s="13" t="inlineStr">
        <is>
          <t>0-9</t>
        </is>
      </c>
      <c r="C318" s="14" t="n">
        <v>0</v>
      </c>
      <c r="D318" s="14" t="n">
        <v>0</v>
      </c>
      <c r="E318" s="14" t="n">
        <v>0</v>
      </c>
      <c r="F318" s="14" t="n">
        <v>0</v>
      </c>
      <c r="G318" s="14">
        <f>SUM(C318:F318)</f>
        <v/>
      </c>
      <c r="I318" s="14" t="n">
        <v>0</v>
      </c>
      <c r="J318" s="14" t="n">
        <v>0</v>
      </c>
      <c r="K318" s="14" t="n">
        <v>0</v>
      </c>
      <c r="L318" s="14" t="n">
        <v>0</v>
      </c>
      <c r="M318" s="14">
        <f>SUM(I318:L318)</f>
        <v/>
      </c>
      <c r="O318" s="15">
        <f>IFERROR(I318/C318-1,"")</f>
        <v/>
      </c>
      <c r="P318" s="15">
        <f>IFERROR(J318/D318-1,"")</f>
        <v/>
      </c>
      <c r="Q318" s="15">
        <f>IFERROR(K318/E318-1,"")</f>
        <v/>
      </c>
      <c r="R318" s="15">
        <f>IFERROR(L318/F318-1,"")</f>
        <v/>
      </c>
      <c r="S318" s="15">
        <f>IFERROR(M318/G318-1,"")</f>
        <v/>
      </c>
      <c r="U318" s="16" t="n"/>
      <c r="V318" s="16" t="n"/>
      <c r="W318" s="16" t="n"/>
      <c r="X318" s="16">
        <f>IFERROR(W318-V318,"")</f>
        <v/>
      </c>
    </row>
    <row r="319">
      <c r="B319" s="13" t="inlineStr">
        <is>
          <t>10-19</t>
        </is>
      </c>
      <c r="C319" s="14" t="n">
        <v>0</v>
      </c>
      <c r="D319" s="14" t="n">
        <v>0</v>
      </c>
      <c r="E319" s="14" t="n">
        <v>0</v>
      </c>
      <c r="F319" s="14" t="n">
        <v>0</v>
      </c>
      <c r="G319" s="14">
        <f>SUM(C319:F319)</f>
        <v/>
      </c>
      <c r="I319" s="14" t="n">
        <v>0</v>
      </c>
      <c r="J319" s="14" t="n">
        <v>0</v>
      </c>
      <c r="K319" s="14" t="n">
        <v>0</v>
      </c>
      <c r="L319" s="14" t="n">
        <v>0</v>
      </c>
      <c r="M319" s="14">
        <f>SUM(I319:L319)</f>
        <v/>
      </c>
      <c r="O319" s="15">
        <f>IFERROR(I319/C319-1,"")</f>
        <v/>
      </c>
      <c r="P319" s="15">
        <f>IFERROR(J319/D319-1,"")</f>
        <v/>
      </c>
      <c r="Q319" s="15">
        <f>IFERROR(K319/E319-1,"")</f>
        <v/>
      </c>
      <c r="R319" s="15">
        <f>IFERROR(L319/F319-1,"")</f>
        <v/>
      </c>
      <c r="S319" s="15">
        <f>IFERROR(M319/G319-1,"")</f>
        <v/>
      </c>
      <c r="U319" s="16" t="n"/>
      <c r="V319" s="16" t="n"/>
      <c r="W319" s="16" t="n"/>
      <c r="X319" s="16">
        <f>IFERROR(W319-V319,"")</f>
        <v/>
      </c>
    </row>
    <row r="320">
      <c r="B320" s="13" t="inlineStr">
        <is>
          <t>20-39</t>
        </is>
      </c>
      <c r="C320" s="14" t="n">
        <v>0</v>
      </c>
      <c r="D320" s="14" t="n">
        <v>0</v>
      </c>
      <c r="E320" s="14" t="n">
        <v>0</v>
      </c>
      <c r="F320" s="14" t="n">
        <v>0</v>
      </c>
      <c r="G320" s="14">
        <f>SUM(C320:F320)</f>
        <v/>
      </c>
      <c r="I320" s="14" t="n">
        <v>0</v>
      </c>
      <c r="J320" s="14" t="n">
        <v>0</v>
      </c>
      <c r="K320" s="14" t="n">
        <v>0</v>
      </c>
      <c r="L320" s="14" t="n">
        <v>0</v>
      </c>
      <c r="M320" s="14">
        <f>SUM(I320:L320)</f>
        <v/>
      </c>
      <c r="O320" s="15">
        <f>IFERROR(I320/C320-1,"")</f>
        <v/>
      </c>
      <c r="P320" s="15">
        <f>IFERROR(J320/D320-1,"")</f>
        <v/>
      </c>
      <c r="Q320" s="15">
        <f>IFERROR(K320/E320-1,"")</f>
        <v/>
      </c>
      <c r="R320" s="15">
        <f>IFERROR(L320/F320-1,"")</f>
        <v/>
      </c>
      <c r="S320" s="15">
        <f>IFERROR(M320/G320-1,"")</f>
        <v/>
      </c>
      <c r="U320" s="16" t="n"/>
      <c r="V320" s="16" t="n"/>
      <c r="W320" s="16" t="n"/>
      <c r="X320" s="16">
        <f>IFERROR(W320-V320,"")</f>
        <v/>
      </c>
    </row>
    <row r="321">
      <c r="B321" s="13" t="inlineStr">
        <is>
          <t>40-99</t>
        </is>
      </c>
      <c r="C321" s="14" t="n">
        <v>0</v>
      </c>
      <c r="D321" s="14" t="n">
        <v>0</v>
      </c>
      <c r="E321" s="14" t="n">
        <v>0</v>
      </c>
      <c r="F321" s="14" t="n">
        <v>0</v>
      </c>
      <c r="G321" s="14">
        <f>SUM(C321:F321)</f>
        <v/>
      </c>
      <c r="I321" s="14" t="n">
        <v>0</v>
      </c>
      <c r="J321" s="14" t="n">
        <v>0</v>
      </c>
      <c r="K321" s="14" t="n">
        <v>0</v>
      </c>
      <c r="L321" s="14" t="n">
        <v>0</v>
      </c>
      <c r="M321" s="14">
        <f>SUM(I321:L321)</f>
        <v/>
      </c>
      <c r="O321" s="15">
        <f>IFERROR(I321/C321-1,"")</f>
        <v/>
      </c>
      <c r="P321" s="15">
        <f>IFERROR(J321/D321-1,"")</f>
        <v/>
      </c>
      <c r="Q321" s="15">
        <f>IFERROR(K321/E321-1,"")</f>
        <v/>
      </c>
      <c r="R321" s="15">
        <f>IFERROR(L321/F321-1,"")</f>
        <v/>
      </c>
      <c r="S321" s="15">
        <f>IFERROR(M321/G321-1,"")</f>
        <v/>
      </c>
      <c r="U321" s="16" t="n"/>
      <c r="V321" s="16" t="n"/>
      <c r="W321" s="16" t="n"/>
      <c r="X321" s="16">
        <f>IFERROR(W321-V321,"")</f>
        <v/>
      </c>
    </row>
    <row r="322">
      <c r="B322" s="13" t="inlineStr">
        <is>
          <t>100+</t>
        </is>
      </c>
      <c r="C322" s="14" t="n">
        <v>0</v>
      </c>
      <c r="D322" s="14" t="n">
        <v>0</v>
      </c>
      <c r="E322" s="14" t="n">
        <v>0</v>
      </c>
      <c r="F322" s="14" t="n">
        <v>0</v>
      </c>
      <c r="G322" s="14">
        <f>SUM(C322:F322)</f>
        <v/>
      </c>
      <c r="I322" s="14" t="n">
        <v>0</v>
      </c>
      <c r="J322" s="14" t="n">
        <v>0</v>
      </c>
      <c r="K322" s="14" t="n">
        <v>0</v>
      </c>
      <c r="L322" s="14" t="n">
        <v>0</v>
      </c>
      <c r="M322" s="14">
        <f>SUM(I322:L322)</f>
        <v/>
      </c>
      <c r="O322" s="15">
        <f>IFERROR(I322/C322-1,"")</f>
        <v/>
      </c>
      <c r="P322" s="15">
        <f>IFERROR(J322/D322-1,"")</f>
        <v/>
      </c>
      <c r="Q322" s="15">
        <f>IFERROR(K322/E322-1,"")</f>
        <v/>
      </c>
      <c r="R322" s="15">
        <f>IFERROR(L322/F322-1,"")</f>
        <v/>
      </c>
      <c r="S322" s="15">
        <f>IFERROR(M322/G322-1,"")</f>
        <v/>
      </c>
      <c r="U322" s="16" t="n"/>
      <c r="V322" s="16" t="n"/>
      <c r="W322" s="16" t="n"/>
      <c r="X322" s="16">
        <f>IFERROR(W322-V322,"")</f>
        <v/>
      </c>
    </row>
    <row r="323">
      <c r="B323" s="17" t="inlineStr">
        <is>
          <t>overall</t>
        </is>
      </c>
      <c r="C323" s="18" t="n">
        <v>0</v>
      </c>
      <c r="D323" s="18" t="n">
        <v>0</v>
      </c>
      <c r="E323" s="18" t="n">
        <v>0</v>
      </c>
      <c r="F323" s="18" t="n">
        <v>0</v>
      </c>
      <c r="G323" s="18">
        <f>SUM(C323:F323)</f>
        <v/>
      </c>
      <c r="I323" s="18" t="n">
        <v>0</v>
      </c>
      <c r="J323" s="18" t="n">
        <v>0</v>
      </c>
      <c r="K323" s="18" t="n">
        <v>0</v>
      </c>
      <c r="L323" s="18" t="n">
        <v>0</v>
      </c>
      <c r="M323" s="18">
        <f>SUM(I323:L323)</f>
        <v/>
      </c>
      <c r="O323" s="19">
        <f>IFERROR(I323/C323-1,"")</f>
        <v/>
      </c>
      <c r="P323" s="19">
        <f>IFERROR(J323/D323-1,"")</f>
        <v/>
      </c>
      <c r="Q323" s="19">
        <f>IFERROR(K323/E323-1,"")</f>
        <v/>
      </c>
      <c r="R323" s="19">
        <f>IFERROR(L323/F323-1,"")</f>
        <v/>
      </c>
      <c r="S323" s="19">
        <f>IFERROR(M323/G323-1,"")</f>
        <v/>
      </c>
      <c r="U323" s="20" t="n"/>
      <c r="V323" s="20" t="n"/>
      <c r="W323" s="20" t="n"/>
      <c r="X323" s="20">
        <f>IFERROR(W323-V323,"")</f>
        <v/>
      </c>
    </row>
    <row r="326">
      <c r="B326" s="2" t="inlineStr">
        <is>
          <t>◆ 5-star Pack</t>
        </is>
      </c>
    </row>
    <row r="327">
      <c r="C327" s="3" t="inlineStr">
        <is>
          <t>◄ CURRENT (actuals: data + calc) ►</t>
        </is>
      </c>
      <c r="D327" s="3" t="n"/>
      <c r="E327" s="3" t="n"/>
      <c r="F327" s="3" t="n"/>
      <c r="G327" s="3" t="n"/>
      <c r="I327" s="4" t="inlineStr">
        <is>
          <t>◄ SIMULATED (EcoGainsSim v4) ►</t>
        </is>
      </c>
      <c r="J327" s="4" t="n"/>
      <c r="K327" s="4" t="n"/>
      <c r="L327" s="4" t="n"/>
      <c r="M327" s="4" t="n"/>
      <c r="O327" s="5" t="inlineStr">
        <is>
          <t>Δ</t>
        </is>
      </c>
      <c r="P327" s="5" t="n"/>
      <c r="Q327" s="5" t="n"/>
      <c r="R327" s="5" t="n"/>
      <c r="S327" s="5" t="n"/>
      <c r="U327" s="6" t="inlineStr">
        <is>
          <t>◄ NET / earner (spend held constant) ►</t>
        </is>
      </c>
      <c r="V327" s="6" t="n"/>
      <c r="W327" s="6" t="n"/>
      <c r="X327" s="6" t="n"/>
    </row>
    <row r="328">
      <c r="B328" s="7" t="inlineStr">
        <is>
          <t>Segment</t>
        </is>
      </c>
      <c r="C328" s="8" t="inlineStr">
        <is>
          <t>PAID</t>
        </is>
      </c>
      <c r="D328" s="8" t="inlineStr">
        <is>
          <t>ADS</t>
        </is>
      </c>
      <c r="E328" s="8" t="inlineStr">
        <is>
          <t>CORE</t>
        </is>
      </c>
      <c r="F328" s="8" t="inlineStr">
        <is>
          <t>META</t>
        </is>
      </c>
      <c r="G328" s="8" t="inlineStr">
        <is>
          <t>Total</t>
        </is>
      </c>
      <c r="I328" s="9" t="inlineStr">
        <is>
          <t>PAID</t>
        </is>
      </c>
      <c r="J328" s="9" t="inlineStr">
        <is>
          <t>ADS</t>
        </is>
      </c>
      <c r="K328" s="9" t="inlineStr">
        <is>
          <t>CORE</t>
        </is>
      </c>
      <c r="L328" s="9" t="inlineStr">
        <is>
          <t>META</t>
        </is>
      </c>
      <c r="M328" s="9" t="inlineStr">
        <is>
          <t>Total</t>
        </is>
      </c>
      <c r="O328" s="10" t="inlineStr">
        <is>
          <t>PAID</t>
        </is>
      </c>
      <c r="P328" s="10" t="inlineStr">
        <is>
          <t>ADS</t>
        </is>
      </c>
      <c r="Q328" s="10" t="inlineStr">
        <is>
          <t>CORE</t>
        </is>
      </c>
      <c r="R328" s="10" t="inlineStr">
        <is>
          <t>META</t>
        </is>
      </c>
      <c r="S328" s="10" t="inlineStr">
        <is>
          <t>Total</t>
        </is>
      </c>
      <c r="U328" s="11" t="inlineStr">
        <is>
          <t>cur spend</t>
        </is>
      </c>
      <c r="V328" s="11" t="inlineStr">
        <is>
          <t>cur net</t>
        </is>
      </c>
      <c r="W328" s="11" t="inlineStr">
        <is>
          <t>new net</t>
        </is>
      </c>
      <c r="X328" s="11" t="inlineStr">
        <is>
          <t>net Δ</t>
        </is>
      </c>
    </row>
    <row r="329">
      <c r="B329" s="12" t="inlineStr">
        <is>
          <t>NONPAYER</t>
        </is>
      </c>
    </row>
    <row r="330">
      <c r="B330" s="13" t="inlineStr">
        <is>
          <t>0-9</t>
        </is>
      </c>
      <c r="C330" s="14" t="n">
        <v>0</v>
      </c>
      <c r="D330" s="14" t="n">
        <v>0</v>
      </c>
      <c r="E330" s="14" t="n">
        <v>0</v>
      </c>
      <c r="F330" s="14" t="n">
        <v>0</v>
      </c>
      <c r="G330" s="14">
        <f>SUM(C330:F330)</f>
        <v/>
      </c>
      <c r="I330" s="14" t="n">
        <v>0</v>
      </c>
      <c r="J330" s="14" t="n">
        <v>0</v>
      </c>
      <c r="K330" s="14" t="n">
        <v>0</v>
      </c>
      <c r="L330" s="14" t="n">
        <v>0</v>
      </c>
      <c r="M330" s="14">
        <f>SUM(I330:L330)</f>
        <v/>
      </c>
      <c r="O330" s="15">
        <f>IFERROR(I330/C330-1,"")</f>
        <v/>
      </c>
      <c r="P330" s="15">
        <f>IFERROR(J330/D330-1,"")</f>
        <v/>
      </c>
      <c r="Q330" s="15">
        <f>IFERROR(K330/E330-1,"")</f>
        <v/>
      </c>
      <c r="R330" s="15">
        <f>IFERROR(L330/F330-1,"")</f>
        <v/>
      </c>
      <c r="S330" s="15">
        <f>IFERROR(M330/G330-1,"")</f>
        <v/>
      </c>
      <c r="U330" s="16" t="n"/>
      <c r="V330" s="16" t="n"/>
      <c r="W330" s="16" t="n"/>
      <c r="X330" s="16">
        <f>IFERROR(W330-V330,"")</f>
        <v/>
      </c>
    </row>
    <row r="331">
      <c r="B331" s="13" t="inlineStr">
        <is>
          <t>10-19</t>
        </is>
      </c>
      <c r="C331" s="14" t="n">
        <v>0</v>
      </c>
      <c r="D331" s="14" t="n">
        <v>0</v>
      </c>
      <c r="E331" s="14" t="n">
        <v>0</v>
      </c>
      <c r="F331" s="14" t="n">
        <v>0</v>
      </c>
      <c r="G331" s="14">
        <f>SUM(C331:F331)</f>
        <v/>
      </c>
      <c r="I331" s="14" t="n">
        <v>0</v>
      </c>
      <c r="J331" s="14" t="n">
        <v>0</v>
      </c>
      <c r="K331" s="14" t="n">
        <v>0</v>
      </c>
      <c r="L331" s="14" t="n">
        <v>0</v>
      </c>
      <c r="M331" s="14">
        <f>SUM(I331:L331)</f>
        <v/>
      </c>
      <c r="O331" s="15">
        <f>IFERROR(I331/C331-1,"")</f>
        <v/>
      </c>
      <c r="P331" s="15">
        <f>IFERROR(J331/D331-1,"")</f>
        <v/>
      </c>
      <c r="Q331" s="15">
        <f>IFERROR(K331/E331-1,"")</f>
        <v/>
      </c>
      <c r="R331" s="15">
        <f>IFERROR(L331/F331-1,"")</f>
        <v/>
      </c>
      <c r="S331" s="15">
        <f>IFERROR(M331/G331-1,"")</f>
        <v/>
      </c>
      <c r="U331" s="16" t="n"/>
      <c r="V331" s="16" t="n"/>
      <c r="W331" s="16" t="n"/>
      <c r="X331" s="16">
        <f>IFERROR(W331-V331,"")</f>
        <v/>
      </c>
    </row>
    <row r="332">
      <c r="B332" s="13" t="inlineStr">
        <is>
          <t>20-39</t>
        </is>
      </c>
      <c r="C332" s="14" t="n">
        <v>0</v>
      </c>
      <c r="D332" s="14" t="n">
        <v>0</v>
      </c>
      <c r="E332" s="14" t="n">
        <v>0</v>
      </c>
      <c r="F332" s="14" t="n">
        <v>0</v>
      </c>
      <c r="G332" s="14">
        <f>SUM(C332:F332)</f>
        <v/>
      </c>
      <c r="I332" s="14" t="n">
        <v>0</v>
      </c>
      <c r="J332" s="14" t="n">
        <v>0</v>
      </c>
      <c r="K332" s="14" t="n">
        <v>0</v>
      </c>
      <c r="L332" s="14" t="n">
        <v>0</v>
      </c>
      <c r="M332" s="14">
        <f>SUM(I332:L332)</f>
        <v/>
      </c>
      <c r="O332" s="15">
        <f>IFERROR(I332/C332-1,"")</f>
        <v/>
      </c>
      <c r="P332" s="15">
        <f>IFERROR(J332/D332-1,"")</f>
        <v/>
      </c>
      <c r="Q332" s="15">
        <f>IFERROR(K332/E332-1,"")</f>
        <v/>
      </c>
      <c r="R332" s="15">
        <f>IFERROR(L332/F332-1,"")</f>
        <v/>
      </c>
      <c r="S332" s="15">
        <f>IFERROR(M332/G332-1,"")</f>
        <v/>
      </c>
      <c r="U332" s="16" t="n"/>
      <c r="V332" s="16" t="n"/>
      <c r="W332" s="16" t="n"/>
      <c r="X332" s="16">
        <f>IFERROR(W332-V332,"")</f>
        <v/>
      </c>
    </row>
    <row r="333">
      <c r="B333" s="13" t="inlineStr">
        <is>
          <t>40-99</t>
        </is>
      </c>
      <c r="C333" s="14" t="n">
        <v>0</v>
      </c>
      <c r="D333" s="14" t="n">
        <v>0</v>
      </c>
      <c r="E333" s="14" t="n">
        <v>0</v>
      </c>
      <c r="F333" s="14" t="n">
        <v>0</v>
      </c>
      <c r="G333" s="14">
        <f>SUM(C333:F333)</f>
        <v/>
      </c>
      <c r="I333" s="14" t="n">
        <v>0</v>
      </c>
      <c r="J333" s="14" t="n">
        <v>0</v>
      </c>
      <c r="K333" s="14" t="n">
        <v>0</v>
      </c>
      <c r="L333" s="14" t="n">
        <v>0</v>
      </c>
      <c r="M333" s="14">
        <f>SUM(I333:L333)</f>
        <v/>
      </c>
      <c r="O333" s="15">
        <f>IFERROR(I333/C333-1,"")</f>
        <v/>
      </c>
      <c r="P333" s="15">
        <f>IFERROR(J333/D333-1,"")</f>
        <v/>
      </c>
      <c r="Q333" s="15">
        <f>IFERROR(K333/E333-1,"")</f>
        <v/>
      </c>
      <c r="R333" s="15">
        <f>IFERROR(L333/F333-1,"")</f>
        <v/>
      </c>
      <c r="S333" s="15">
        <f>IFERROR(M333/G333-1,"")</f>
        <v/>
      </c>
      <c r="U333" s="16" t="n"/>
      <c r="V333" s="16" t="n"/>
      <c r="W333" s="16" t="n"/>
      <c r="X333" s="16">
        <f>IFERROR(W333-V333,"")</f>
        <v/>
      </c>
    </row>
    <row r="334">
      <c r="B334" s="13" t="inlineStr">
        <is>
          <t>100+</t>
        </is>
      </c>
      <c r="C334" s="14" t="n">
        <v>0</v>
      </c>
      <c r="D334" s="14" t="n">
        <v>0</v>
      </c>
      <c r="E334" s="14" t="n">
        <v>0</v>
      </c>
      <c r="F334" s="14" t="n">
        <v>0</v>
      </c>
      <c r="G334" s="14">
        <f>SUM(C334:F334)</f>
        <v/>
      </c>
      <c r="I334" s="14" t="n">
        <v>0</v>
      </c>
      <c r="J334" s="14" t="n">
        <v>0</v>
      </c>
      <c r="K334" s="14" t="n">
        <v>0</v>
      </c>
      <c r="L334" s="14" t="n">
        <v>0</v>
      </c>
      <c r="M334" s="14">
        <f>SUM(I334:L334)</f>
        <v/>
      </c>
      <c r="O334" s="15">
        <f>IFERROR(I334/C334-1,"")</f>
        <v/>
      </c>
      <c r="P334" s="15">
        <f>IFERROR(J334/D334-1,"")</f>
        <v/>
      </c>
      <c r="Q334" s="15">
        <f>IFERROR(K334/E334-1,"")</f>
        <v/>
      </c>
      <c r="R334" s="15">
        <f>IFERROR(L334/F334-1,"")</f>
        <v/>
      </c>
      <c r="S334" s="15">
        <f>IFERROR(M334/G334-1,"")</f>
        <v/>
      </c>
      <c r="U334" s="16" t="n"/>
      <c r="V334" s="16" t="n"/>
      <c r="W334" s="16" t="n"/>
      <c r="X334" s="16">
        <f>IFERROR(W334-V334,"")</f>
        <v/>
      </c>
    </row>
    <row r="335">
      <c r="B335" s="17" t="inlineStr">
        <is>
          <t>overall</t>
        </is>
      </c>
      <c r="C335" s="18" t="n">
        <v>0</v>
      </c>
      <c r="D335" s="18" t="n">
        <v>0</v>
      </c>
      <c r="E335" s="18" t="n">
        <v>0</v>
      </c>
      <c r="F335" s="18" t="n">
        <v>0</v>
      </c>
      <c r="G335" s="18">
        <f>SUM(C335:F335)</f>
        <v/>
      </c>
      <c r="I335" s="18" t="n">
        <v>0</v>
      </c>
      <c r="J335" s="18" t="n">
        <v>0</v>
      </c>
      <c r="K335" s="18" t="n">
        <v>0</v>
      </c>
      <c r="L335" s="18" t="n">
        <v>0</v>
      </c>
      <c r="M335" s="18">
        <f>SUM(I335:L335)</f>
        <v/>
      </c>
      <c r="O335" s="19">
        <f>IFERROR(I335/C335-1,"")</f>
        <v/>
      </c>
      <c r="P335" s="19">
        <f>IFERROR(J335/D335-1,"")</f>
        <v/>
      </c>
      <c r="Q335" s="19">
        <f>IFERROR(K335/E335-1,"")</f>
        <v/>
      </c>
      <c r="R335" s="19">
        <f>IFERROR(L335/F335-1,"")</f>
        <v/>
      </c>
      <c r="S335" s="19">
        <f>IFERROR(M335/G335-1,"")</f>
        <v/>
      </c>
      <c r="U335" s="20" t="n"/>
      <c r="V335" s="20" t="n"/>
      <c r="W335" s="20" t="n"/>
      <c r="X335" s="20">
        <f>IFERROR(W335-V335,"")</f>
        <v/>
      </c>
    </row>
    <row r="336">
      <c r="B336" s="12" t="inlineStr">
        <is>
          <t>PAYER</t>
        </is>
      </c>
    </row>
    <row r="337">
      <c r="B337" s="13" t="inlineStr">
        <is>
          <t>0-9</t>
        </is>
      </c>
      <c r="C337" s="14" t="n">
        <v>0</v>
      </c>
      <c r="D337" s="14" t="n">
        <v>0</v>
      </c>
      <c r="E337" s="14" t="n">
        <v>0</v>
      </c>
      <c r="F337" s="14" t="n">
        <v>0</v>
      </c>
      <c r="G337" s="14">
        <f>SUM(C337:F337)</f>
        <v/>
      </c>
      <c r="I337" s="14" t="n">
        <v>0</v>
      </c>
      <c r="J337" s="14" t="n">
        <v>0</v>
      </c>
      <c r="K337" s="14" t="n">
        <v>0</v>
      </c>
      <c r="L337" s="14" t="n">
        <v>0</v>
      </c>
      <c r="M337" s="14">
        <f>SUM(I337:L337)</f>
        <v/>
      </c>
      <c r="O337" s="15">
        <f>IFERROR(I337/C337-1,"")</f>
        <v/>
      </c>
      <c r="P337" s="15">
        <f>IFERROR(J337/D337-1,"")</f>
        <v/>
      </c>
      <c r="Q337" s="15">
        <f>IFERROR(K337/E337-1,"")</f>
        <v/>
      </c>
      <c r="R337" s="15">
        <f>IFERROR(L337/F337-1,"")</f>
        <v/>
      </c>
      <c r="S337" s="15">
        <f>IFERROR(M337/G337-1,"")</f>
        <v/>
      </c>
      <c r="U337" s="16" t="n"/>
      <c r="V337" s="16" t="n"/>
      <c r="W337" s="16" t="n"/>
      <c r="X337" s="16">
        <f>IFERROR(W337-V337,"")</f>
        <v/>
      </c>
    </row>
    <row r="338">
      <c r="B338" s="13" t="inlineStr">
        <is>
          <t>10-19</t>
        </is>
      </c>
      <c r="C338" s="14" t="n">
        <v>0</v>
      </c>
      <c r="D338" s="14" t="n">
        <v>0</v>
      </c>
      <c r="E338" s="14" t="n">
        <v>0</v>
      </c>
      <c r="F338" s="14" t="n">
        <v>0</v>
      </c>
      <c r="G338" s="14">
        <f>SUM(C338:F338)</f>
        <v/>
      </c>
      <c r="I338" s="14" t="n">
        <v>0</v>
      </c>
      <c r="J338" s="14" t="n">
        <v>0</v>
      </c>
      <c r="K338" s="14" t="n">
        <v>0</v>
      </c>
      <c r="L338" s="14" t="n">
        <v>0</v>
      </c>
      <c r="M338" s="14">
        <f>SUM(I338:L338)</f>
        <v/>
      </c>
      <c r="O338" s="15">
        <f>IFERROR(I338/C338-1,"")</f>
        <v/>
      </c>
      <c r="P338" s="15">
        <f>IFERROR(J338/D338-1,"")</f>
        <v/>
      </c>
      <c r="Q338" s="15">
        <f>IFERROR(K338/E338-1,"")</f>
        <v/>
      </c>
      <c r="R338" s="15">
        <f>IFERROR(L338/F338-1,"")</f>
        <v/>
      </c>
      <c r="S338" s="15">
        <f>IFERROR(M338/G338-1,"")</f>
        <v/>
      </c>
      <c r="U338" s="16" t="n"/>
      <c r="V338" s="16" t="n"/>
      <c r="W338" s="16" t="n"/>
      <c r="X338" s="16">
        <f>IFERROR(W338-V338,"")</f>
        <v/>
      </c>
    </row>
    <row r="339">
      <c r="B339" s="13" t="inlineStr">
        <is>
          <t>20-39</t>
        </is>
      </c>
      <c r="C339" s="14" t="n">
        <v>0</v>
      </c>
      <c r="D339" s="14" t="n">
        <v>0</v>
      </c>
      <c r="E339" s="14" t="n">
        <v>0</v>
      </c>
      <c r="F339" s="14" t="n">
        <v>0</v>
      </c>
      <c r="G339" s="14">
        <f>SUM(C339:F339)</f>
        <v/>
      </c>
      <c r="I339" s="14" t="n">
        <v>0</v>
      </c>
      <c r="J339" s="14" t="n">
        <v>0</v>
      </c>
      <c r="K339" s="14" t="n">
        <v>0</v>
      </c>
      <c r="L339" s="14" t="n">
        <v>0</v>
      </c>
      <c r="M339" s="14">
        <f>SUM(I339:L339)</f>
        <v/>
      </c>
      <c r="O339" s="15">
        <f>IFERROR(I339/C339-1,"")</f>
        <v/>
      </c>
      <c r="P339" s="15">
        <f>IFERROR(J339/D339-1,"")</f>
        <v/>
      </c>
      <c r="Q339" s="15">
        <f>IFERROR(K339/E339-1,"")</f>
        <v/>
      </c>
      <c r="R339" s="15">
        <f>IFERROR(L339/F339-1,"")</f>
        <v/>
      </c>
      <c r="S339" s="15">
        <f>IFERROR(M339/G339-1,"")</f>
        <v/>
      </c>
      <c r="U339" s="16" t="n"/>
      <c r="V339" s="16" t="n"/>
      <c r="W339" s="16" t="n"/>
      <c r="X339" s="16">
        <f>IFERROR(W339-V339,"")</f>
        <v/>
      </c>
    </row>
    <row r="340">
      <c r="B340" s="13" t="inlineStr">
        <is>
          <t>40-99</t>
        </is>
      </c>
      <c r="C340" s="14" t="n">
        <v>0</v>
      </c>
      <c r="D340" s="14" t="n">
        <v>0</v>
      </c>
      <c r="E340" s="14" t="n">
        <v>0</v>
      </c>
      <c r="F340" s="14" t="n">
        <v>0</v>
      </c>
      <c r="G340" s="14">
        <f>SUM(C340:F340)</f>
        <v/>
      </c>
      <c r="I340" s="14" t="n">
        <v>0</v>
      </c>
      <c r="J340" s="14" t="n">
        <v>0</v>
      </c>
      <c r="K340" s="14" t="n">
        <v>0</v>
      </c>
      <c r="L340" s="14" t="n">
        <v>0</v>
      </c>
      <c r="M340" s="14">
        <f>SUM(I340:L340)</f>
        <v/>
      </c>
      <c r="O340" s="15">
        <f>IFERROR(I340/C340-1,"")</f>
        <v/>
      </c>
      <c r="P340" s="15">
        <f>IFERROR(J340/D340-1,"")</f>
        <v/>
      </c>
      <c r="Q340" s="15">
        <f>IFERROR(K340/E340-1,"")</f>
        <v/>
      </c>
      <c r="R340" s="15">
        <f>IFERROR(L340/F340-1,"")</f>
        <v/>
      </c>
      <c r="S340" s="15">
        <f>IFERROR(M340/G340-1,"")</f>
        <v/>
      </c>
      <c r="U340" s="16" t="n"/>
      <c r="V340" s="16" t="n"/>
      <c r="W340" s="16" t="n"/>
      <c r="X340" s="16">
        <f>IFERROR(W340-V340,"")</f>
        <v/>
      </c>
    </row>
    <row r="341">
      <c r="B341" s="13" t="inlineStr">
        <is>
          <t>100+</t>
        </is>
      </c>
      <c r="C341" s="14" t="n">
        <v>0</v>
      </c>
      <c r="D341" s="14" t="n">
        <v>0</v>
      </c>
      <c r="E341" s="14" t="n">
        <v>0</v>
      </c>
      <c r="F341" s="14" t="n">
        <v>0</v>
      </c>
      <c r="G341" s="14">
        <f>SUM(C341:F341)</f>
        <v/>
      </c>
      <c r="I341" s="14" t="n">
        <v>0</v>
      </c>
      <c r="J341" s="14" t="n">
        <v>0</v>
      </c>
      <c r="K341" s="14" t="n">
        <v>0</v>
      </c>
      <c r="L341" s="14" t="n">
        <v>0</v>
      </c>
      <c r="M341" s="14">
        <f>SUM(I341:L341)</f>
        <v/>
      </c>
      <c r="O341" s="15">
        <f>IFERROR(I341/C341-1,"")</f>
        <v/>
      </c>
      <c r="P341" s="15">
        <f>IFERROR(J341/D341-1,"")</f>
        <v/>
      </c>
      <c r="Q341" s="15">
        <f>IFERROR(K341/E341-1,"")</f>
        <v/>
      </c>
      <c r="R341" s="15">
        <f>IFERROR(L341/F341-1,"")</f>
        <v/>
      </c>
      <c r="S341" s="15">
        <f>IFERROR(M341/G341-1,"")</f>
        <v/>
      </c>
      <c r="U341" s="16" t="n"/>
      <c r="V341" s="16" t="n"/>
      <c r="W341" s="16" t="n"/>
      <c r="X341" s="16">
        <f>IFERROR(W341-V341,"")</f>
        <v/>
      </c>
    </row>
    <row r="342">
      <c r="B342" s="17" t="inlineStr">
        <is>
          <t>overall</t>
        </is>
      </c>
      <c r="C342" s="18" t="n">
        <v>0</v>
      </c>
      <c r="D342" s="18" t="n">
        <v>0</v>
      </c>
      <c r="E342" s="18" t="n">
        <v>0</v>
      </c>
      <c r="F342" s="18" t="n">
        <v>0</v>
      </c>
      <c r="G342" s="18">
        <f>SUM(C342:F342)</f>
        <v/>
      </c>
      <c r="I342" s="18" t="n">
        <v>0</v>
      </c>
      <c r="J342" s="18" t="n">
        <v>0</v>
      </c>
      <c r="K342" s="18" t="n">
        <v>0</v>
      </c>
      <c r="L342" s="18" t="n">
        <v>0</v>
      </c>
      <c r="M342" s="18">
        <f>SUM(I342:L342)</f>
        <v/>
      </c>
      <c r="O342" s="19">
        <f>IFERROR(I342/C342-1,"")</f>
        <v/>
      </c>
      <c r="P342" s="19">
        <f>IFERROR(J342/D342-1,"")</f>
        <v/>
      </c>
      <c r="Q342" s="19">
        <f>IFERROR(K342/E342-1,"")</f>
        <v/>
      </c>
      <c r="R342" s="19">
        <f>IFERROR(L342/F342-1,"")</f>
        <v/>
      </c>
      <c r="S342" s="19">
        <f>IFERROR(M342/G342-1,"")</f>
        <v/>
      </c>
      <c r="U342" s="20" t="n"/>
      <c r="V342" s="20" t="n"/>
      <c r="W342" s="20" t="n"/>
      <c r="X342" s="20">
        <f>IFERROR(W342-V342,"")</f>
        <v/>
      </c>
    </row>
    <row r="345">
      <c r="B345" s="2" t="inlineStr">
        <is>
          <t>◆ 6-star Pack</t>
        </is>
      </c>
    </row>
    <row r="346">
      <c r="C346" s="3" t="inlineStr">
        <is>
          <t>◄ CURRENT (actuals: data + calc) ►</t>
        </is>
      </c>
      <c r="D346" s="3" t="n"/>
      <c r="E346" s="3" t="n"/>
      <c r="F346" s="3" t="n"/>
      <c r="G346" s="3" t="n"/>
      <c r="I346" s="4" t="inlineStr">
        <is>
          <t>◄ SIMULATED (EcoGainsSim v4) ►</t>
        </is>
      </c>
      <c r="J346" s="4" t="n"/>
      <c r="K346" s="4" t="n"/>
      <c r="L346" s="4" t="n"/>
      <c r="M346" s="4" t="n"/>
      <c r="O346" s="5" t="inlineStr">
        <is>
          <t>Δ</t>
        </is>
      </c>
      <c r="P346" s="5" t="n"/>
      <c r="Q346" s="5" t="n"/>
      <c r="R346" s="5" t="n"/>
      <c r="S346" s="5" t="n"/>
      <c r="U346" s="6" t="inlineStr">
        <is>
          <t>◄ NET / earner (spend held constant) ►</t>
        </is>
      </c>
      <c r="V346" s="6" t="n"/>
      <c r="W346" s="6" t="n"/>
      <c r="X346" s="6" t="n"/>
    </row>
    <row r="347">
      <c r="B347" s="7" t="inlineStr">
        <is>
          <t>Segment</t>
        </is>
      </c>
      <c r="C347" s="8" t="inlineStr">
        <is>
          <t>PAID</t>
        </is>
      </c>
      <c r="D347" s="8" t="inlineStr">
        <is>
          <t>ADS</t>
        </is>
      </c>
      <c r="E347" s="8" t="inlineStr">
        <is>
          <t>CORE</t>
        </is>
      </c>
      <c r="F347" s="8" t="inlineStr">
        <is>
          <t>META</t>
        </is>
      </c>
      <c r="G347" s="8" t="inlineStr">
        <is>
          <t>Total</t>
        </is>
      </c>
      <c r="I347" s="9" t="inlineStr">
        <is>
          <t>PAID</t>
        </is>
      </c>
      <c r="J347" s="9" t="inlineStr">
        <is>
          <t>ADS</t>
        </is>
      </c>
      <c r="K347" s="9" t="inlineStr">
        <is>
          <t>CORE</t>
        </is>
      </c>
      <c r="L347" s="9" t="inlineStr">
        <is>
          <t>META</t>
        </is>
      </c>
      <c r="M347" s="9" t="inlineStr">
        <is>
          <t>Total</t>
        </is>
      </c>
      <c r="O347" s="10" t="inlineStr">
        <is>
          <t>PAID</t>
        </is>
      </c>
      <c r="P347" s="10" t="inlineStr">
        <is>
          <t>ADS</t>
        </is>
      </c>
      <c r="Q347" s="10" t="inlineStr">
        <is>
          <t>CORE</t>
        </is>
      </c>
      <c r="R347" s="10" t="inlineStr">
        <is>
          <t>META</t>
        </is>
      </c>
      <c r="S347" s="10" t="inlineStr">
        <is>
          <t>Total</t>
        </is>
      </c>
      <c r="U347" s="11" t="inlineStr">
        <is>
          <t>cur spend</t>
        </is>
      </c>
      <c r="V347" s="11" t="inlineStr">
        <is>
          <t>cur net</t>
        </is>
      </c>
      <c r="W347" s="11" t="inlineStr">
        <is>
          <t>new net</t>
        </is>
      </c>
      <c r="X347" s="11" t="inlineStr">
        <is>
          <t>net Δ</t>
        </is>
      </c>
    </row>
    <row r="348">
      <c r="B348" s="12" t="inlineStr">
        <is>
          <t>NONPAYER</t>
        </is>
      </c>
    </row>
    <row r="349">
      <c r="B349" s="13" t="inlineStr">
        <is>
          <t>0-9</t>
        </is>
      </c>
      <c r="C349" s="14" t="n">
        <v>0</v>
      </c>
      <c r="D349" s="14" t="n">
        <v>0</v>
      </c>
      <c r="E349" s="14" t="n">
        <v>0</v>
      </c>
      <c r="F349" s="14" t="n">
        <v>0</v>
      </c>
      <c r="G349" s="14">
        <f>SUM(C349:F349)</f>
        <v/>
      </c>
      <c r="I349" s="14" t="n">
        <v>0</v>
      </c>
      <c r="J349" s="14" t="n">
        <v>0</v>
      </c>
      <c r="K349" s="14" t="n">
        <v>0</v>
      </c>
      <c r="L349" s="14" t="n">
        <v>0</v>
      </c>
      <c r="M349" s="14">
        <f>SUM(I349:L349)</f>
        <v/>
      </c>
      <c r="O349" s="15">
        <f>IFERROR(I349/C349-1,"")</f>
        <v/>
      </c>
      <c r="P349" s="15">
        <f>IFERROR(J349/D349-1,"")</f>
        <v/>
      </c>
      <c r="Q349" s="15">
        <f>IFERROR(K349/E349-1,"")</f>
        <v/>
      </c>
      <c r="R349" s="15">
        <f>IFERROR(L349/F349-1,"")</f>
        <v/>
      </c>
      <c r="S349" s="15">
        <f>IFERROR(M349/G349-1,"")</f>
        <v/>
      </c>
      <c r="U349" s="16" t="n"/>
      <c r="V349" s="16" t="n"/>
      <c r="W349" s="16" t="n"/>
      <c r="X349" s="16">
        <f>IFERROR(W349-V349,"")</f>
        <v/>
      </c>
    </row>
    <row r="350">
      <c r="B350" s="13" t="inlineStr">
        <is>
          <t>10-19</t>
        </is>
      </c>
      <c r="C350" s="14" t="n">
        <v>0</v>
      </c>
      <c r="D350" s="14" t="n">
        <v>0</v>
      </c>
      <c r="E350" s="14" t="n">
        <v>0</v>
      </c>
      <c r="F350" s="14" t="n">
        <v>0</v>
      </c>
      <c r="G350" s="14">
        <f>SUM(C350:F350)</f>
        <v/>
      </c>
      <c r="I350" s="14" t="n">
        <v>0</v>
      </c>
      <c r="J350" s="14" t="n">
        <v>0</v>
      </c>
      <c r="K350" s="14" t="n">
        <v>0</v>
      </c>
      <c r="L350" s="14" t="n">
        <v>0</v>
      </c>
      <c r="M350" s="14">
        <f>SUM(I350:L350)</f>
        <v/>
      </c>
      <c r="O350" s="15">
        <f>IFERROR(I350/C350-1,"")</f>
        <v/>
      </c>
      <c r="P350" s="15">
        <f>IFERROR(J350/D350-1,"")</f>
        <v/>
      </c>
      <c r="Q350" s="15">
        <f>IFERROR(K350/E350-1,"")</f>
        <v/>
      </c>
      <c r="R350" s="15">
        <f>IFERROR(L350/F350-1,"")</f>
        <v/>
      </c>
      <c r="S350" s="15">
        <f>IFERROR(M350/G350-1,"")</f>
        <v/>
      </c>
      <c r="U350" s="16" t="n"/>
      <c r="V350" s="16" t="n"/>
      <c r="W350" s="16" t="n"/>
      <c r="X350" s="16">
        <f>IFERROR(W350-V350,"")</f>
        <v/>
      </c>
    </row>
    <row r="351">
      <c r="B351" s="13" t="inlineStr">
        <is>
          <t>20-39</t>
        </is>
      </c>
      <c r="C351" s="14" t="n">
        <v>0</v>
      </c>
      <c r="D351" s="14" t="n">
        <v>0</v>
      </c>
      <c r="E351" s="14" t="n">
        <v>0</v>
      </c>
      <c r="F351" s="14" t="n">
        <v>0</v>
      </c>
      <c r="G351" s="14">
        <f>SUM(C351:F351)</f>
        <v/>
      </c>
      <c r="I351" s="14" t="n">
        <v>0</v>
      </c>
      <c r="J351" s="14" t="n">
        <v>0</v>
      </c>
      <c r="K351" s="14" t="n">
        <v>0</v>
      </c>
      <c r="L351" s="14" t="n">
        <v>0</v>
      </c>
      <c r="M351" s="14">
        <f>SUM(I351:L351)</f>
        <v/>
      </c>
      <c r="O351" s="15">
        <f>IFERROR(I351/C351-1,"")</f>
        <v/>
      </c>
      <c r="P351" s="15">
        <f>IFERROR(J351/D351-1,"")</f>
        <v/>
      </c>
      <c r="Q351" s="15">
        <f>IFERROR(K351/E351-1,"")</f>
        <v/>
      </c>
      <c r="R351" s="15">
        <f>IFERROR(L351/F351-1,"")</f>
        <v/>
      </c>
      <c r="S351" s="15">
        <f>IFERROR(M351/G351-1,"")</f>
        <v/>
      </c>
      <c r="U351" s="16" t="n"/>
      <c r="V351" s="16" t="n"/>
      <c r="W351" s="16" t="n"/>
      <c r="X351" s="16">
        <f>IFERROR(W351-V351,"")</f>
        <v/>
      </c>
    </row>
    <row r="352">
      <c r="B352" s="13" t="inlineStr">
        <is>
          <t>40-99</t>
        </is>
      </c>
      <c r="C352" s="14" t="n">
        <v>0</v>
      </c>
      <c r="D352" s="14" t="n">
        <v>0</v>
      </c>
      <c r="E352" s="14" t="n">
        <v>0</v>
      </c>
      <c r="F352" s="14" t="n">
        <v>0</v>
      </c>
      <c r="G352" s="14">
        <f>SUM(C352:F352)</f>
        <v/>
      </c>
      <c r="I352" s="14" t="n">
        <v>0</v>
      </c>
      <c r="J352" s="14" t="n">
        <v>0</v>
      </c>
      <c r="K352" s="14" t="n">
        <v>0</v>
      </c>
      <c r="L352" s="14" t="n">
        <v>0</v>
      </c>
      <c r="M352" s="14">
        <f>SUM(I352:L352)</f>
        <v/>
      </c>
      <c r="O352" s="15">
        <f>IFERROR(I352/C352-1,"")</f>
        <v/>
      </c>
      <c r="P352" s="15">
        <f>IFERROR(J352/D352-1,"")</f>
        <v/>
      </c>
      <c r="Q352" s="15">
        <f>IFERROR(K352/E352-1,"")</f>
        <v/>
      </c>
      <c r="R352" s="15">
        <f>IFERROR(L352/F352-1,"")</f>
        <v/>
      </c>
      <c r="S352" s="15">
        <f>IFERROR(M352/G352-1,"")</f>
        <v/>
      </c>
      <c r="U352" s="16" t="n"/>
      <c r="V352" s="16" t="n"/>
      <c r="W352" s="16" t="n"/>
      <c r="X352" s="16">
        <f>IFERROR(W352-V352,"")</f>
        <v/>
      </c>
    </row>
    <row r="353">
      <c r="B353" s="13" t="inlineStr">
        <is>
          <t>100+</t>
        </is>
      </c>
      <c r="C353" s="14" t="n">
        <v>0</v>
      </c>
      <c r="D353" s="14" t="n">
        <v>0</v>
      </c>
      <c r="E353" s="14" t="n">
        <v>0</v>
      </c>
      <c r="F353" s="14" t="n">
        <v>0</v>
      </c>
      <c r="G353" s="14">
        <f>SUM(C353:F353)</f>
        <v/>
      </c>
      <c r="I353" s="14" t="n">
        <v>0</v>
      </c>
      <c r="J353" s="14" t="n">
        <v>0</v>
      </c>
      <c r="K353" s="14" t="n">
        <v>0</v>
      </c>
      <c r="L353" s="14" t="n">
        <v>0</v>
      </c>
      <c r="M353" s="14">
        <f>SUM(I353:L353)</f>
        <v/>
      </c>
      <c r="O353" s="15">
        <f>IFERROR(I353/C353-1,"")</f>
        <v/>
      </c>
      <c r="P353" s="15">
        <f>IFERROR(J353/D353-1,"")</f>
        <v/>
      </c>
      <c r="Q353" s="15">
        <f>IFERROR(K353/E353-1,"")</f>
        <v/>
      </c>
      <c r="R353" s="15">
        <f>IFERROR(L353/F353-1,"")</f>
        <v/>
      </c>
      <c r="S353" s="15">
        <f>IFERROR(M353/G353-1,"")</f>
        <v/>
      </c>
      <c r="U353" s="16" t="n"/>
      <c r="V353" s="16" t="n"/>
      <c r="W353" s="16" t="n"/>
      <c r="X353" s="16">
        <f>IFERROR(W353-V353,"")</f>
        <v/>
      </c>
    </row>
    <row r="354">
      <c r="B354" s="17" t="inlineStr">
        <is>
          <t>overall</t>
        </is>
      </c>
      <c r="C354" s="18" t="n">
        <v>0</v>
      </c>
      <c r="D354" s="18" t="n">
        <v>0</v>
      </c>
      <c r="E354" s="18" t="n">
        <v>0</v>
      </c>
      <c r="F354" s="18" t="n">
        <v>0</v>
      </c>
      <c r="G354" s="18">
        <f>SUM(C354:F354)</f>
        <v/>
      </c>
      <c r="I354" s="18" t="n">
        <v>0</v>
      </c>
      <c r="J354" s="18" t="n">
        <v>0</v>
      </c>
      <c r="K354" s="18" t="n">
        <v>0</v>
      </c>
      <c r="L354" s="18" t="n">
        <v>0</v>
      </c>
      <c r="M354" s="18">
        <f>SUM(I354:L354)</f>
        <v/>
      </c>
      <c r="O354" s="19">
        <f>IFERROR(I354/C354-1,"")</f>
        <v/>
      </c>
      <c r="P354" s="19">
        <f>IFERROR(J354/D354-1,"")</f>
        <v/>
      </c>
      <c r="Q354" s="19">
        <f>IFERROR(K354/E354-1,"")</f>
        <v/>
      </c>
      <c r="R354" s="19">
        <f>IFERROR(L354/F354-1,"")</f>
        <v/>
      </c>
      <c r="S354" s="19">
        <f>IFERROR(M354/G354-1,"")</f>
        <v/>
      </c>
      <c r="U354" s="20" t="n"/>
      <c r="V354" s="20" t="n"/>
      <c r="W354" s="20" t="n"/>
      <c r="X354" s="20">
        <f>IFERROR(W354-V354,"")</f>
        <v/>
      </c>
    </row>
    <row r="355">
      <c r="B355" s="12" t="inlineStr">
        <is>
          <t>PAYER</t>
        </is>
      </c>
    </row>
    <row r="356">
      <c r="B356" s="13" t="inlineStr">
        <is>
          <t>0-9</t>
        </is>
      </c>
      <c r="C356" s="14" t="n">
        <v>0</v>
      </c>
      <c r="D356" s="14" t="n">
        <v>0</v>
      </c>
      <c r="E356" s="14" t="n">
        <v>0</v>
      </c>
      <c r="F356" s="14" t="n">
        <v>0</v>
      </c>
      <c r="G356" s="14">
        <f>SUM(C356:F356)</f>
        <v/>
      </c>
      <c r="I356" s="14" t="n">
        <v>0</v>
      </c>
      <c r="J356" s="14" t="n">
        <v>0</v>
      </c>
      <c r="K356" s="14" t="n">
        <v>0</v>
      </c>
      <c r="L356" s="14" t="n">
        <v>0</v>
      </c>
      <c r="M356" s="14">
        <f>SUM(I356:L356)</f>
        <v/>
      </c>
      <c r="O356" s="15">
        <f>IFERROR(I356/C356-1,"")</f>
        <v/>
      </c>
      <c r="P356" s="15">
        <f>IFERROR(J356/D356-1,"")</f>
        <v/>
      </c>
      <c r="Q356" s="15">
        <f>IFERROR(K356/E356-1,"")</f>
        <v/>
      </c>
      <c r="R356" s="15">
        <f>IFERROR(L356/F356-1,"")</f>
        <v/>
      </c>
      <c r="S356" s="15">
        <f>IFERROR(M356/G356-1,"")</f>
        <v/>
      </c>
      <c r="U356" s="16" t="n"/>
      <c r="V356" s="16" t="n"/>
      <c r="W356" s="16" t="n"/>
      <c r="X356" s="16">
        <f>IFERROR(W356-V356,"")</f>
        <v/>
      </c>
    </row>
    <row r="357">
      <c r="B357" s="13" t="inlineStr">
        <is>
          <t>10-19</t>
        </is>
      </c>
      <c r="C357" s="14" t="n">
        <v>0</v>
      </c>
      <c r="D357" s="14" t="n">
        <v>0</v>
      </c>
      <c r="E357" s="14" t="n">
        <v>0</v>
      </c>
      <c r="F357" s="14" t="n">
        <v>0</v>
      </c>
      <c r="G357" s="14">
        <f>SUM(C357:F357)</f>
        <v/>
      </c>
      <c r="I357" s="14" t="n">
        <v>0</v>
      </c>
      <c r="J357" s="14" t="n">
        <v>0</v>
      </c>
      <c r="K357" s="14" t="n">
        <v>0</v>
      </c>
      <c r="L357" s="14" t="n">
        <v>0</v>
      </c>
      <c r="M357" s="14">
        <f>SUM(I357:L357)</f>
        <v/>
      </c>
      <c r="O357" s="15">
        <f>IFERROR(I357/C357-1,"")</f>
        <v/>
      </c>
      <c r="P357" s="15">
        <f>IFERROR(J357/D357-1,"")</f>
        <v/>
      </c>
      <c r="Q357" s="15">
        <f>IFERROR(K357/E357-1,"")</f>
        <v/>
      </c>
      <c r="R357" s="15">
        <f>IFERROR(L357/F357-1,"")</f>
        <v/>
      </c>
      <c r="S357" s="15">
        <f>IFERROR(M357/G357-1,"")</f>
        <v/>
      </c>
      <c r="U357" s="16" t="n"/>
      <c r="V357" s="16" t="n"/>
      <c r="W357" s="16" t="n"/>
      <c r="X357" s="16">
        <f>IFERROR(W357-V357,"")</f>
        <v/>
      </c>
    </row>
    <row r="358">
      <c r="B358" s="13" t="inlineStr">
        <is>
          <t>20-39</t>
        </is>
      </c>
      <c r="C358" s="14" t="n">
        <v>0</v>
      </c>
      <c r="D358" s="14" t="n">
        <v>0</v>
      </c>
      <c r="E358" s="14" t="n">
        <v>0</v>
      </c>
      <c r="F358" s="14" t="n">
        <v>0</v>
      </c>
      <c r="G358" s="14">
        <f>SUM(C358:F358)</f>
        <v/>
      </c>
      <c r="I358" s="14" t="n">
        <v>0</v>
      </c>
      <c r="J358" s="14" t="n">
        <v>0</v>
      </c>
      <c r="K358" s="14" t="n">
        <v>0</v>
      </c>
      <c r="L358" s="14" t="n">
        <v>0</v>
      </c>
      <c r="M358" s="14">
        <f>SUM(I358:L358)</f>
        <v/>
      </c>
      <c r="O358" s="15">
        <f>IFERROR(I358/C358-1,"")</f>
        <v/>
      </c>
      <c r="P358" s="15">
        <f>IFERROR(J358/D358-1,"")</f>
        <v/>
      </c>
      <c r="Q358" s="15">
        <f>IFERROR(K358/E358-1,"")</f>
        <v/>
      </c>
      <c r="R358" s="15">
        <f>IFERROR(L358/F358-1,"")</f>
        <v/>
      </c>
      <c r="S358" s="15">
        <f>IFERROR(M358/G358-1,"")</f>
        <v/>
      </c>
      <c r="U358" s="16" t="n"/>
      <c r="V358" s="16" t="n"/>
      <c r="W358" s="16" t="n"/>
      <c r="X358" s="16">
        <f>IFERROR(W358-V358,"")</f>
        <v/>
      </c>
    </row>
    <row r="359">
      <c r="B359" s="13" t="inlineStr">
        <is>
          <t>40-99</t>
        </is>
      </c>
      <c r="C359" s="14" t="n">
        <v>0</v>
      </c>
      <c r="D359" s="14" t="n">
        <v>0</v>
      </c>
      <c r="E359" s="14" t="n">
        <v>0</v>
      </c>
      <c r="F359" s="14" t="n">
        <v>0</v>
      </c>
      <c r="G359" s="14">
        <f>SUM(C359:F359)</f>
        <v/>
      </c>
      <c r="I359" s="14" t="n">
        <v>0</v>
      </c>
      <c r="J359" s="14" t="n">
        <v>0</v>
      </c>
      <c r="K359" s="14" t="n">
        <v>0</v>
      </c>
      <c r="L359" s="14" t="n">
        <v>0</v>
      </c>
      <c r="M359" s="14">
        <f>SUM(I359:L359)</f>
        <v/>
      </c>
      <c r="O359" s="15">
        <f>IFERROR(I359/C359-1,"")</f>
        <v/>
      </c>
      <c r="P359" s="15">
        <f>IFERROR(J359/D359-1,"")</f>
        <v/>
      </c>
      <c r="Q359" s="15">
        <f>IFERROR(K359/E359-1,"")</f>
        <v/>
      </c>
      <c r="R359" s="15">
        <f>IFERROR(L359/F359-1,"")</f>
        <v/>
      </c>
      <c r="S359" s="15">
        <f>IFERROR(M359/G359-1,"")</f>
        <v/>
      </c>
      <c r="U359" s="16" t="n"/>
      <c r="V359" s="16" t="n"/>
      <c r="W359" s="16" t="n"/>
      <c r="X359" s="16">
        <f>IFERROR(W359-V359,"")</f>
        <v/>
      </c>
    </row>
    <row r="360">
      <c r="B360" s="13" t="inlineStr">
        <is>
          <t>100+</t>
        </is>
      </c>
      <c r="C360" s="14" t="n">
        <v>0</v>
      </c>
      <c r="D360" s="14" t="n">
        <v>0</v>
      </c>
      <c r="E360" s="14" t="n">
        <v>0</v>
      </c>
      <c r="F360" s="14" t="n">
        <v>0</v>
      </c>
      <c r="G360" s="14">
        <f>SUM(C360:F360)</f>
        <v/>
      </c>
      <c r="I360" s="14" t="n">
        <v>0</v>
      </c>
      <c r="J360" s="14" t="n">
        <v>0</v>
      </c>
      <c r="K360" s="14" t="n">
        <v>0</v>
      </c>
      <c r="L360" s="14" t="n">
        <v>0</v>
      </c>
      <c r="M360" s="14">
        <f>SUM(I360:L360)</f>
        <v/>
      </c>
      <c r="O360" s="15">
        <f>IFERROR(I360/C360-1,"")</f>
        <v/>
      </c>
      <c r="P360" s="15">
        <f>IFERROR(J360/D360-1,"")</f>
        <v/>
      </c>
      <c r="Q360" s="15">
        <f>IFERROR(K360/E360-1,"")</f>
        <v/>
      </c>
      <c r="R360" s="15">
        <f>IFERROR(L360/F360-1,"")</f>
        <v/>
      </c>
      <c r="S360" s="15">
        <f>IFERROR(M360/G360-1,"")</f>
        <v/>
      </c>
      <c r="U360" s="16" t="n"/>
      <c r="V360" s="16" t="n"/>
      <c r="W360" s="16" t="n"/>
      <c r="X360" s="16">
        <f>IFERROR(W360-V360,"")</f>
        <v/>
      </c>
    </row>
    <row r="361">
      <c r="B361" s="17" t="inlineStr">
        <is>
          <t>overall</t>
        </is>
      </c>
      <c r="C361" s="18" t="n">
        <v>0</v>
      </c>
      <c r="D361" s="18" t="n">
        <v>0</v>
      </c>
      <c r="E361" s="18" t="n">
        <v>0</v>
      </c>
      <c r="F361" s="18" t="n">
        <v>0</v>
      </c>
      <c r="G361" s="18">
        <f>SUM(C361:F361)</f>
        <v/>
      </c>
      <c r="I361" s="18" t="n">
        <v>0</v>
      </c>
      <c r="J361" s="18" t="n">
        <v>0</v>
      </c>
      <c r="K361" s="18" t="n">
        <v>0</v>
      </c>
      <c r="L361" s="18" t="n">
        <v>0</v>
      </c>
      <c r="M361" s="18">
        <f>SUM(I361:L361)</f>
        <v/>
      </c>
      <c r="O361" s="19">
        <f>IFERROR(I361/C361-1,"")</f>
        <v/>
      </c>
      <c r="P361" s="19">
        <f>IFERROR(J361/D361-1,"")</f>
        <v/>
      </c>
      <c r="Q361" s="19">
        <f>IFERROR(K361/E361-1,"")</f>
        <v/>
      </c>
      <c r="R361" s="19">
        <f>IFERROR(L361/F361-1,"")</f>
        <v/>
      </c>
      <c r="S361" s="19">
        <f>IFERROR(M361/G361-1,"")</f>
        <v/>
      </c>
      <c r="U361" s="20" t="n"/>
      <c r="V361" s="20" t="n"/>
      <c r="W361" s="20" t="n"/>
      <c r="X361" s="20">
        <f>IFERROR(W361-V361,"")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2026-08-03T10:41:21Z</dcterms:created>
  <dcterms:modified xsi:type="dcterms:W3CDTF">2026-08-03T10:41:22Z</dcterms:modified>
</cp:coreProperties>
</file>