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x&quot;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FFFFFFFF"/>
      <sz val="11"/>
    </font>
    <font>
      <name val="Arial"/>
      <b val="1"/>
      <sz val="10"/>
    </font>
    <font>
      <name val="Arial"/>
      <sz val="10"/>
    </font>
    <font>
      <name val="Arial"/>
      <i val="1"/>
      <color rgb="FF666666"/>
      <sz val="9"/>
    </font>
  </fonts>
  <fills count="7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F7CB4D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4" borderId="1" pivotButton="0" quotePrefix="0" xfId="0"/>
    <xf numFmtId="0" fontId="5" fillId="0" borderId="0" pivotButton="0" quotePrefix="0" xfId="0"/>
    <xf numFmtId="0" fontId="4" fillId="5" borderId="1" pivotButton="0" quotePrefix="0" xfId="0"/>
    <xf numFmtId="9" fontId="4" fillId="4" borderId="1" pivotButton="0" quotePrefix="0" xfId="0"/>
    <xf numFmtId="1" fontId="4" fillId="4" borderId="1" pivotButton="0" quotePrefix="0" xfId="0"/>
    <xf numFmtId="3" fontId="4" fillId="4" borderId="1" pivotButton="0" quotePrefix="0" xfId="0"/>
    <xf numFmtId="164" fontId="4" fillId="4" borderId="1" pivotButton="0" quotePrefix="0" xfId="0"/>
    <xf numFmtId="3" fontId="4" fillId="6" borderId="1" pivotButton="0" quotePrefix="0" xfId="0"/>
    <xf numFmtId="0" fontId="4" fillId="6" borderId="1" pivotButton="0" quotePrefix="0" xfId="0"/>
    <xf numFmtId="165" fontId="4" fillId="6" borderId="1" pivotButton="0" quotePrefix="0" xfId="0"/>
    <xf numFmtId="0" fontId="3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FFE8F5E9"/>
        </patternFill>
      </fill>
    </dxf>
    <dxf>
      <fill>
        <patternFill patternType="solid">
          <fgColor rgb="FFF4CCCC"/>
        </patternFill>
      </fill>
    </dxf>
    <dxf>
      <font>
        <name val="Arial"/>
        <b val="1"/>
        <sz val="10"/>
      </font>
      <fill>
        <patternFill patternType="solid">
          <fgColor rgb="FF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</cols>
  <sheetData>
    <row r="1">
      <c r="A1" s="1" t="inlineStr">
        <is>
          <t>MIGHTY DOORS (Tower of Fortune)</t>
        </is>
      </c>
    </row>
    <row r="3">
      <c r="A3" s="2" t="inlineStr">
        <is>
          <t>RUN CONFIG</t>
        </is>
      </c>
      <c r="B3" s="3" t="n"/>
      <c r="C3" s="3" t="n"/>
      <c r="D3" s="3" t="n"/>
    </row>
    <row r="4">
      <c r="A4" s="4" t="inlineStr">
        <is>
          <t>Parameter</t>
        </is>
      </c>
      <c r="B4" s="4" t="inlineStr">
        <is>
          <t>Value</t>
        </is>
      </c>
      <c r="C4" s="4" t="inlineStr">
        <is>
          <t>What it means</t>
        </is>
      </c>
    </row>
    <row r="5">
      <c r="A5" s="5" t="inlineStr">
        <is>
          <t>Choices per Stage (default)</t>
        </is>
      </c>
      <c r="B5" s="6" t="n">
        <v>4</v>
      </c>
      <c r="C5" s="7" t="inlineStr">
        <is>
          <t>How many doors are shown at a node. Min 2, max 4.</t>
        </is>
      </c>
    </row>
    <row r="6">
      <c r="A6" s="5" t="inlineStr">
        <is>
          <t>Failure Outcomes per Stage</t>
        </is>
      </c>
      <c r="B6" s="6" t="n">
        <v>1</v>
      </c>
      <c r="C6" s="7" t="inlineStr">
        <is>
          <t>Base number of Pigs. The STAGES table raises this on later tiers.</t>
        </is>
      </c>
    </row>
    <row r="7">
      <c r="A7" s="5" t="inlineStr">
        <is>
          <t>Safe Stage Every N Stages</t>
        </is>
      </c>
      <c r="B7" s="6" t="n">
        <v>5</v>
      </c>
      <c r="C7" s="7" t="inlineStr">
        <is>
          <t>Every Nth node carries no Pig at all.</t>
        </is>
      </c>
    </row>
    <row r="8">
      <c r="A8" s="5" t="inlineStr">
        <is>
          <t>Major Milestone Stage</t>
        </is>
      </c>
      <c r="B8" s="6" t="n">
        <v>30</v>
      </c>
      <c r="C8" s="7" t="inlineStr">
        <is>
          <t>A safe node with a large bundle.</t>
        </is>
      </c>
    </row>
    <row r="9">
      <c r="A9" s="5" t="inlineStr">
        <is>
          <t>Aspirational Milestone Stage</t>
        </is>
      </c>
      <c r="B9" s="6" t="n">
        <v>60</v>
      </c>
      <c r="C9" s="7" t="inlineStr">
        <is>
          <t>The final node. Reaching it auto claims everything.</t>
        </is>
      </c>
    </row>
    <row r="10">
      <c r="A10" s="5" t="inlineStr">
        <is>
          <t>Reward Tier Size (stages)</t>
        </is>
      </c>
      <c r="B10" s="6" t="n">
        <v>10</v>
      </c>
      <c r="C10" s="7" t="inlineStr">
        <is>
          <t>Only used to label the Tier column.</t>
        </is>
      </c>
    </row>
    <row r="11">
      <c r="A11" s="5" t="inlineStr">
        <is>
          <t>Starting Tickets</t>
        </is>
      </c>
      <c r="B11" s="6" t="n">
        <v>1</v>
      </c>
      <c r="C11" s="7" t="inlineStr">
        <is>
          <t>Tickets the player already holds when the event opens. Everything after this is EARNED.</t>
        </is>
      </c>
    </row>
    <row r="12">
      <c r="A12" s="5" t="inlineStr">
        <is>
          <t>Cash-Out Variant</t>
        </is>
      </c>
      <c r="B12" s="6" t="inlineStr">
        <is>
          <t>A</t>
        </is>
      </c>
      <c r="C12" s="7" t="inlineStr">
        <is>
          <t>A: bank at any node. B: bank only on safe nodes.</t>
        </is>
      </c>
    </row>
    <row r="13">
      <c r="A13" s="5" t="inlineStr">
        <is>
          <t>Event Duration (days)</t>
        </is>
      </c>
      <c r="B13" s="6" t="n">
        <v>3</v>
      </c>
      <c r="C13" s="7" t="inlineStr">
        <is>
          <t>Length of ONE instance. The event is always-on today: cal_new row 22 is a single merged 33-day lane.</t>
        </is>
      </c>
    </row>
    <row r="15">
      <c r="A15" s="2" t="inlineStr">
        <is>
          <t>SEGMENT BEHAVIOUR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</row>
    <row r="16">
      <c r="A16" s="4" t="inlineStr">
        <is>
          <t>Segment</t>
        </is>
      </c>
      <c r="B16" s="4" t="inlineStr">
        <is>
          <t>Payer</t>
        </is>
      </c>
      <c r="C16" s="4" t="inlineStr">
        <is>
          <t>Continue Take-Up</t>
        </is>
      </c>
      <c r="D16" s="4" t="inlineStr">
        <is>
          <t>Cash-Out Stage</t>
        </is>
      </c>
      <c r="E16" s="4" t="inlineStr">
        <is>
          <t>Runs per Active Day</t>
        </is>
      </c>
      <c r="F16" s="4" t="inlineStr">
        <is>
          <t>Max Continues per Run</t>
        </is>
      </c>
      <c r="G16" s="4" t="inlineStr">
        <is>
          <t>Coin Balance override</t>
        </is>
      </c>
      <c r="H16" s="4" t="inlineStr">
        <is>
          <t>Top-Ups per Run</t>
        </is>
      </c>
      <c r="I16" s="4" t="inlineStr">
        <is>
          <t>Top-Up Take-Up</t>
        </is>
      </c>
      <c r="J16" s="4" t="inlineStr">
        <is>
          <t>Coin Bag Size</t>
        </is>
      </c>
      <c r="K16" s="4" t="inlineStr">
        <is>
          <t>Top-Ups per Season</t>
        </is>
      </c>
      <c r="L16" s="4" t="inlineStr">
        <is>
          <t>What this row says about this player type</t>
        </is>
      </c>
    </row>
    <row r="17">
      <c r="A17" s="8" t="inlineStr">
        <is>
          <t>0-9</t>
        </is>
      </c>
      <c r="B17" s="8" t="inlineStr">
        <is>
          <t>NONPAYER</t>
        </is>
      </c>
      <c r="C17" s="9" t="n">
        <v>0.05</v>
      </c>
      <c r="D17" s="6" t="n">
        <v>6</v>
      </c>
      <c r="E17" s="10" t="n">
        <v>2</v>
      </c>
      <c r="F17" s="6" t="n">
        <v>0</v>
      </c>
      <c r="G17" s="11" t="inlineStr"/>
      <c r="H17" s="10" t="n">
        <v>0</v>
      </c>
      <c r="I17" s="9" t="n">
        <v>0</v>
      </c>
      <c r="J17" s="11" t="n">
        <v>0</v>
      </c>
      <c r="K17" s="10" t="n">
        <v>0</v>
      </c>
      <c r="L17" s="7" t="inlineStr">
        <is>
          <t>Rarely pays to revive, banks early at the first safe node.</t>
        </is>
      </c>
    </row>
    <row r="18">
      <c r="A18" s="8" t="inlineStr">
        <is>
          <t>0-9</t>
        </is>
      </c>
      <c r="B18" s="8" t="inlineStr">
        <is>
          <t>PAYER</t>
        </is>
      </c>
      <c r="C18" s="9" t="n">
        <v>0.075</v>
      </c>
      <c r="D18" s="6" t="n">
        <v>10</v>
      </c>
      <c r="E18" s="10" t="n">
        <v>2</v>
      </c>
      <c r="F18" s="6" t="n">
        <v>0</v>
      </c>
      <c r="G18" s="11" t="inlineStr"/>
      <c r="H18" s="10" t="n">
        <v>1</v>
      </c>
      <c r="I18" s="9" t="n">
        <v>0.15</v>
      </c>
      <c r="J18" s="11" t="n">
        <v>500</v>
      </c>
      <c r="K18" s="10" t="n">
        <v>2</v>
      </c>
      <c r="L18" s="7" t="inlineStr">
        <is>
          <t>Buys the odd small coin bag, but the ladder outruns them quickly.</t>
        </is>
      </c>
    </row>
    <row r="19">
      <c r="A19" s="8" t="inlineStr">
        <is>
          <t>10-19</t>
        </is>
      </c>
      <c r="B19" s="8" t="inlineStr">
        <is>
          <t>NONPAYER</t>
        </is>
      </c>
      <c r="C19" s="9" t="n">
        <v>0.1</v>
      </c>
      <c r="D19" s="6" t="n">
        <v>9</v>
      </c>
      <c r="E19" s="10" t="n">
        <v>2</v>
      </c>
      <c r="F19" s="6" t="n">
        <v>0</v>
      </c>
      <c r="G19" s="11" t="inlineStr"/>
      <c r="H19" s="10" t="n">
        <v>0</v>
      </c>
      <c r="I19" s="9" t="n">
        <v>0</v>
      </c>
      <c r="J19" s="11" t="n">
        <v>0</v>
      </c>
      <c r="K19" s="10" t="n">
        <v>0</v>
      </c>
      <c r="L19" s="7" t="inlineStr">
        <is>
          <t>Occasionally revives, pushes one safe node further.</t>
        </is>
      </c>
    </row>
    <row r="20">
      <c r="A20" s="8" t="inlineStr">
        <is>
          <t>10-19</t>
        </is>
      </c>
      <c r="B20" s="8" t="inlineStr">
        <is>
          <t>PAYER</t>
        </is>
      </c>
      <c r="C20" s="9" t="n">
        <v>0.15</v>
      </c>
      <c r="D20" s="6" t="n">
        <v>10</v>
      </c>
      <c r="E20" s="10" t="n">
        <v>2</v>
      </c>
      <c r="F20" s="6" t="n">
        <v>0</v>
      </c>
      <c r="G20" s="11" t="inlineStr"/>
      <c r="H20" s="10" t="n">
        <v>1</v>
      </c>
      <c r="I20" s="9" t="n">
        <v>0.2</v>
      </c>
      <c r="J20" s="11" t="n">
        <v>500</v>
      </c>
      <c r="K20" s="10" t="n">
        <v>3</v>
      </c>
      <c r="L20" s="7" t="inlineStr">
        <is>
          <t>Will buy a bag to save a run that is already going well.</t>
        </is>
      </c>
    </row>
    <row r="21">
      <c r="A21" s="8" t="inlineStr">
        <is>
          <t>20-39</t>
        </is>
      </c>
      <c r="B21" s="8" t="inlineStr">
        <is>
          <t>NONPAYER</t>
        </is>
      </c>
      <c r="C21" s="9" t="n">
        <v>0.2</v>
      </c>
      <c r="D21" s="6" t="n">
        <v>12</v>
      </c>
      <c r="E21" s="10" t="n">
        <v>2</v>
      </c>
      <c r="F21" s="6" t="n">
        <v>0</v>
      </c>
      <c r="G21" s="11" t="inlineStr"/>
      <c r="H21" s="10" t="n">
        <v>0</v>
      </c>
      <c r="I21" s="9" t="n">
        <v>0</v>
      </c>
      <c r="J21" s="11" t="n">
        <v>0</v>
      </c>
      <c r="K21" s="10" t="n">
        <v>0</v>
      </c>
      <c r="L21" s="7" t="inlineStr">
        <is>
          <t>Revives one time in five, comfortable going past the halfway safe node.</t>
        </is>
      </c>
    </row>
    <row r="22">
      <c r="A22" s="8" t="inlineStr">
        <is>
          <t>20-39</t>
        </is>
      </c>
      <c r="B22" s="8" t="inlineStr">
        <is>
          <t>PAYER</t>
        </is>
      </c>
      <c r="C22" s="9" t="n">
        <v>0.3</v>
      </c>
      <c r="D22" s="6" t="n">
        <v>15</v>
      </c>
      <c r="E22" s="10" t="n">
        <v>2</v>
      </c>
      <c r="F22" s="6" t="n">
        <v>0</v>
      </c>
      <c r="G22" s="11" t="inlineStr"/>
      <c r="H22" s="10" t="n">
        <v>2</v>
      </c>
      <c r="I22" s="9" t="n">
        <v>0.25</v>
      </c>
      <c r="J22" s="11" t="n">
        <v>1200</v>
      </c>
      <c r="K22" s="10" t="n">
        <v>4</v>
      </c>
      <c r="L22" s="7" t="inlineStr">
        <is>
          <t>Buys twice a run and pushes one node deeper than their non-paying twin.</t>
        </is>
      </c>
    </row>
    <row r="23">
      <c r="A23" s="8" t="inlineStr">
        <is>
          <t>40-99</t>
        </is>
      </c>
      <c r="B23" s="8" t="inlineStr">
        <is>
          <t>NONPAYER</t>
        </is>
      </c>
      <c r="C23" s="9" t="n">
        <v>0.35</v>
      </c>
      <c r="D23" s="6" t="n">
        <v>15</v>
      </c>
      <c r="E23" s="10" t="n">
        <v>2</v>
      </c>
      <c r="F23" s="6" t="n">
        <v>0</v>
      </c>
      <c r="G23" s="11" t="inlineStr"/>
      <c r="H23" s="10" t="n">
        <v>0</v>
      </c>
      <c r="I23" s="9" t="n">
        <v>0</v>
      </c>
      <c r="J23" s="11" t="n">
        <v>0</v>
      </c>
      <c r="K23" s="10" t="n">
        <v>0</v>
      </c>
      <c r="L23" s="7" t="inlineStr">
        <is>
          <t>Often revives, pushes deep because the coins are affordable.</t>
        </is>
      </c>
    </row>
    <row r="24">
      <c r="A24" s="8" t="inlineStr">
        <is>
          <t>40-99</t>
        </is>
      </c>
      <c r="B24" s="8" t="inlineStr">
        <is>
          <t>PAYER</t>
        </is>
      </c>
      <c r="C24" s="9" t="n">
        <v>0.525</v>
      </c>
      <c r="D24" s="6" t="n">
        <v>20</v>
      </c>
      <c r="E24" s="10" t="n">
        <v>2</v>
      </c>
      <c r="F24" s="6" t="n">
        <v>0</v>
      </c>
      <c r="G24" s="11" t="inlineStr"/>
      <c r="H24" s="10" t="n">
        <v>2</v>
      </c>
      <c r="I24" s="9" t="n">
        <v>0.3</v>
      </c>
      <c r="J24" s="11" t="n">
        <v>1200</v>
      </c>
      <c r="K24" s="10" t="n">
        <v>5</v>
      </c>
      <c r="L24" s="7" t="inlineStr">
        <is>
          <t>Reliably tops up; the bag remainder carries into later continues.</t>
        </is>
      </c>
    </row>
    <row r="25">
      <c r="A25" s="8" t="inlineStr">
        <is>
          <t>100+</t>
        </is>
      </c>
      <c r="B25" s="8" t="inlineStr">
        <is>
          <t>NONPAYER</t>
        </is>
      </c>
      <c r="C25" s="9" t="n">
        <v>0.55</v>
      </c>
      <c r="D25" s="6" t="n">
        <v>20</v>
      </c>
      <c r="E25" s="10" t="n">
        <v>2</v>
      </c>
      <c r="F25" s="6" t="n">
        <v>0</v>
      </c>
      <c r="G25" s="11" t="inlineStr"/>
      <c r="H25" s="10" t="n">
        <v>0</v>
      </c>
      <c r="I25" s="9" t="n">
        <v>0</v>
      </c>
      <c r="J25" s="11" t="n">
        <v>0</v>
      </c>
      <c r="K25" s="10" t="n">
        <v>0</v>
      </c>
      <c r="L25" s="7" t="inlineStr">
        <is>
          <t>Revives more often than not, so the Pig rarely stops the run.</t>
        </is>
      </c>
    </row>
    <row r="26">
      <c r="A26" s="8" t="inlineStr">
        <is>
          <t>100+</t>
        </is>
      </c>
      <c r="B26" s="8" t="inlineStr">
        <is>
          <t>PAYER</t>
        </is>
      </c>
      <c r="C26" s="9" t="n">
        <v>0.825</v>
      </c>
      <c r="D26" s="6" t="n">
        <v>25</v>
      </c>
      <c r="E26" s="10" t="n">
        <v>2</v>
      </c>
      <c r="F26" s="6" t="n">
        <v>0</v>
      </c>
      <c r="G26" s="11" t="inlineStr"/>
      <c r="H26" s="10" t="n">
        <v>3</v>
      </c>
      <c r="I26" s="9" t="n">
        <v>0.35</v>
      </c>
      <c r="J26" s="11" t="n">
        <v>2400</v>
      </c>
      <c r="K26" s="10" t="n">
        <v>6</v>
      </c>
      <c r="L26" s="7" t="inlineStr">
        <is>
          <t>Tops up three times a run with the biggest bag, and banks deepest.</t>
        </is>
      </c>
    </row>
    <row r="27">
      <c r="A27" s="8" t="inlineStr">
        <is>
          <t>MAX</t>
        </is>
      </c>
      <c r="B27" s="8" t="inlineStr">
        <is>
          <t>PAYER</t>
        </is>
      </c>
      <c r="C27" s="9" t="n">
        <v>1</v>
      </c>
      <c r="D27" s="6" t="n">
        <v>0</v>
      </c>
      <c r="E27" s="10" t="n">
        <v>99</v>
      </c>
      <c r="F27" s="6" t="n">
        <v>0</v>
      </c>
      <c r="G27" s="11" t="n">
        <v>100000</v>
      </c>
      <c r="H27" s="10" t="n">
        <v>99</v>
      </c>
      <c r="I27" s="9" t="n">
        <v>1</v>
      </c>
      <c r="J27" s="11" t="n">
        <v>100000</v>
      </c>
      <c r="K27" s="10" t="n">
        <v>999</v>
      </c>
      <c r="L27" s="7" t="inlineStr">
        <is>
          <t>CEILING CASE, not a real player: always revives, never banks early, and holds enough coins that price never stops them. Shows what the deep ladder is worth to someone who actually reaches it.</t>
        </is>
      </c>
    </row>
    <row r="28">
      <c r="A28" s="7" t="inlineStr">
        <is>
          <t>Continue Take-Up: the chance this player PAYS COINS to revive when a Pig ends their run. It is not a retention number. At 100% the Pig never stops them and every run reaches the end.</t>
        </is>
      </c>
    </row>
    <row r="29">
      <c r="A29" s="7" t="inlineStr">
        <is>
          <t>Cash-Out Stage: the node where this player voluntarily stops and banks what they have. They only get paid if they actually REACH it, because a Pig before then loses everything.</t>
        </is>
      </c>
    </row>
    <row r="30">
      <c r="A30" s="7" t="inlineStr">
        <is>
          <t>Runs per Active Day: a CAP, not the driver. Tickets are EARNED, so the engine walks the calendar day by day, banks whatever ToF_Ticket the other sources paid, and spends up to this many runs. Unspent tickets carry forward with no cap.</t>
        </is>
      </c>
    </row>
    <row r="31">
      <c r="A31" s="7" t="inlineStr">
        <is>
          <t>Max Continues per Run: 0 means "as many as the CONTINUE COST LADDER has rungs" - the ladder length is the real cap, because a rung with no price cannot be sold. A number here lowers it.</t>
        </is>
      </c>
    </row>
    <row r="32">
      <c r="A32" s="7" t="inlineStr">
        <is>
          <t>Coin Balance override: normally BLANK, and the sim reads the four hc_balance percentiles (p25/p50/p75/p90) for this segment straight from data_econ, walking the run at each and averaging. A number here replaces all four for this segment - which is how MAX gets a wallet no real player has. NOTE: payers hold LESS coin than non-payers at every percentile of every segment (40-99: 0.26x at p90), because a balance is a STOCK and payers spend theirs. That is why the payer advantage is modelled as a purchase FLOW below, not as a bigger wallet.</t>
        </is>
      </c>
    </row>
    <row r="33">
      <c r="A33" s="7" t="inlineStr"/>
    </row>
    <row r="34">
      <c r="A34" s="7" t="inlineStr">
        <is>
          <t>THE FOUR TOP-UP COLUMNS (D53). Together they replace TOF_PAYER_TOPUPS, which was one hardcoded 1 in EcoGainsSim_v4.gs and the ONLY thing that made a payer different from a non-payer.</t>
        </is>
      </c>
    </row>
    <row r="35">
      <c r="A35" s="7" t="inlineStr">
        <is>
          <t>Top-Ups per Run: how many times this player will buy coins inside ONE run. 0 = never, which is every non-payer row and is exactly the pre-D53 behaviour.</t>
        </is>
      </c>
    </row>
    <row r="36">
      <c r="A36" s="7" t="inlineStr">
        <is>
          <t>Top-Up Take-Up: the chance they actually buy AT THE MOMENT the run would otherwise end - i.e. a Pig has come up, they want to continue, and the wallet cannot cover the price. It is not a conversion rate for the game; it is a willingness at one specific prompt. ASSUMPTION, not a measurement: no data source here separates a coin purchase made during this event.</t>
        </is>
      </c>
    </row>
    <row r="37">
      <c r="A37" s="7" t="inlineStr">
        <is>
          <t>Coin Bag Size: the coins added by one purchase. NOT the price of the continue - a bag that overshoots leaves the REMAINDER in the wallet, and that remainder is what makes a payer progressively deeper rather than one rung better. Size it against the CONTINUE COST LADDER below, not in round numbers.</t>
        </is>
      </c>
    </row>
    <row r="38">
      <c r="A38" s="7" t="inlineStr">
        <is>
          <t>Top-Ups per Season: the cap across the whole 33-day window. Without it a player buying twice a run over ~12 runs makes 24 purchases, which would make this event the biggest coin faucet in the game.</t>
        </is>
      </c>
    </row>
    <row r="39">
      <c r="A39" s="7" t="inlineStr"/>
    </row>
    <row r="40">
      <c r="A40" s="7" t="inlineStr">
        <is>
          <t>TO MAKE THIS BLOCK INERT (reproduce the pre-D53 numbers exactly): set Top-Up Take-Up to 0 on every row, and copy the Continue Take-Up and Cash-Out Stage of each PAYER row from the NONPAYER row above it. The engine then reads eleven rows that behave like the old six.</t>
        </is>
      </c>
    </row>
    <row r="42">
      <c r="A42" s="2" t="inlineStr">
        <is>
          <t>CONTINUE COST LADDER</t>
        </is>
      </c>
      <c r="B42" s="3" t="n"/>
      <c r="C42" s="3" t="n"/>
      <c r="D42" s="3" t="n"/>
    </row>
    <row r="43">
      <c r="A43" s="7" t="inlineStr">
        <is>
          <t>What it is: the COIN PRICE of reviving after a Pig, within a single run. The first revive in a run costs row 1, the second costs row 2, and so on. Costs must rise each time (deck p8).</t>
        </is>
      </c>
    </row>
    <row r="44">
      <c r="A44" s="7" t="inlineStr">
        <is>
          <t>This is an INPUT you author. It is a coin SINK, the only one this event has, and it is how the feature is meant to make money.</t>
        </is>
      </c>
    </row>
    <row r="45">
      <c r="A45" s="7" t="inlineStr">
        <is>
          <t>The first four rungs are priced against real wallets (data_econ hc_balance): rung 1 sits under every segment p25 so the first continue always feels affordable, and rungs 2-4 sit at the p50, p75 and p90 cumulative. Rung 5 onward is where the population has run out.</t>
        </is>
      </c>
    </row>
    <row r="46">
      <c r="A46" s="7" t="inlineStr">
        <is>
          <t>Growth multiplier and "growth stops after rung" are INPUTS. The cap is a rung INDEX rather than a price, so changing the multiplier moves the ceiling with it and no new cap has to be invented. Rungs past the cap repeat the capped price - a revive never gets more expensive than the cap, it just stays there.</t>
        </is>
      </c>
    </row>
    <row r="47">
      <c r="A47" s="5" t="inlineStr">
        <is>
          <t>Growth multiplier (rung 5+)</t>
        </is>
      </c>
      <c r="B47" s="12" t="n">
        <v>2.5</v>
      </c>
    </row>
    <row r="48">
      <c r="A48" s="5" t="inlineStr">
        <is>
          <t>Growth stops after rung #</t>
        </is>
      </c>
      <c r="B48" s="6" t="n">
        <v>7</v>
      </c>
    </row>
    <row r="50">
      <c r="A50" s="4" t="inlineStr">
        <is>
          <t>Continue # in this run</t>
        </is>
      </c>
      <c r="B50" s="4" t="inlineStr">
        <is>
          <t>Cost (Coins)</t>
        </is>
      </c>
      <c r="C50" s="4" t="inlineStr">
        <is>
          <t>Cumulative if they revive this many times</t>
        </is>
      </c>
    </row>
    <row r="51">
      <c r="A51" s="8" t="n">
        <v>1</v>
      </c>
      <c r="B51" s="6" t="n">
        <v>25</v>
      </c>
      <c r="C51" s="13">
        <f>SUM($B$51:$B51)</f>
        <v/>
      </c>
    </row>
    <row r="52">
      <c r="A52" s="8" t="n">
        <v>2</v>
      </c>
      <c r="B52" s="6" t="n">
        <v>75</v>
      </c>
      <c r="C52" s="13">
        <f>SUM($B$51:$B52)</f>
        <v/>
      </c>
    </row>
    <row r="53">
      <c r="A53" s="8" t="n">
        <v>3</v>
      </c>
      <c r="B53" s="6" t="n">
        <v>160</v>
      </c>
      <c r="C53" s="13">
        <f>SUM($B$51:$B53)</f>
        <v/>
      </c>
    </row>
    <row r="54">
      <c r="A54" s="8" t="n">
        <v>4</v>
      </c>
      <c r="B54" s="6" t="n">
        <v>460</v>
      </c>
      <c r="C54" s="13">
        <f>SUM($B$51:$B54)</f>
        <v/>
      </c>
    </row>
    <row r="55">
      <c r="A55" s="8" t="n">
        <v>5</v>
      </c>
      <c r="B55" s="13">
        <f>ROUND($B$54*$B$47^MAX(0,MIN($A55-4,$B$48-4)),0)</f>
        <v/>
      </c>
      <c r="C55" s="13">
        <f>SUM($B$51:$B55)</f>
        <v/>
      </c>
    </row>
    <row r="56">
      <c r="A56" s="8" t="n">
        <v>6</v>
      </c>
      <c r="B56" s="13">
        <f>ROUND($B$54*$B$47^MAX(0,MIN($A56-4,$B$48-4)),0)</f>
        <v/>
      </c>
      <c r="C56" s="13">
        <f>SUM($B$51:$B56)</f>
        <v/>
      </c>
    </row>
    <row r="57">
      <c r="A57" s="8" t="n">
        <v>7</v>
      </c>
      <c r="B57" s="13">
        <f>ROUND($B$54*$B$47^MAX(0,MIN($A57-4,$B$48-4)),0)</f>
        <v/>
      </c>
      <c r="C57" s="13">
        <f>SUM($B$51:$B57)</f>
        <v/>
      </c>
    </row>
    <row r="58">
      <c r="A58" s="8" t="n">
        <v>8</v>
      </c>
      <c r="B58" s="13">
        <f>ROUND($B$54*$B$47^MAX(0,MIN($A58-4,$B$48-4)),0)</f>
        <v/>
      </c>
      <c r="C58" s="13">
        <f>SUM($B$51:$B58)</f>
        <v/>
      </c>
    </row>
    <row r="59">
      <c r="A59" s="8" t="n">
        <v>9</v>
      </c>
      <c r="B59" s="13">
        <f>ROUND($B$54*$B$47^MAX(0,MIN($A59-4,$B$48-4)),0)</f>
        <v/>
      </c>
      <c r="C59" s="13">
        <f>SUM($B$51:$B59)</f>
        <v/>
      </c>
    </row>
    <row r="60">
      <c r="A60" s="8" t="n">
        <v>10</v>
      </c>
      <c r="B60" s="13">
        <f>ROUND($B$54*$B$47^MAX(0,MIN($A60-4,$B$48-4)),0)</f>
        <v/>
      </c>
      <c r="C60" s="13">
        <f>SUM($B$51:$B60)</f>
        <v/>
      </c>
    </row>
    <row r="62">
      <c r="A62" s="2" t="inlineStr">
        <is>
          <t>STAGES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</row>
    <row r="63">
      <c r="A63" s="7" t="inlineStr">
        <is>
          <t>One row per node. Pig Slots rises with depth (1 for stages 1 to 20, 2 for 21 to 40, 3 for 41 to 60) and never goes above 3, so later nodes are far more dangerous. Safe nodes carry none.</t>
        </is>
      </c>
    </row>
    <row r="64">
      <c r="A64" s="7" t="inlineStr">
        <is>
          <t>Which door hides the Pig is drawn at random when the player arrives, so only the COUNT is configurable, never the position.</t>
        </is>
      </c>
    </row>
    <row r="65">
      <c r="A65" s="7" t="inlineStr">
        <is>
          <t>Rewards are tuned so the event pays each segment roughly 75% of what Rainbow Maker pays, allowing for 3 days against Rainbow Maker 4. See builders/_md_ladder.py for the solve.</t>
        </is>
      </c>
    </row>
    <row r="66">
      <c r="A66" s="4" t="inlineStr">
        <is>
          <t>Stage</t>
        </is>
      </c>
      <c r="B66" s="4" t="inlineStr">
        <is>
          <t>Type</t>
        </is>
      </c>
      <c r="C66" s="4" t="inlineStr">
        <is>
          <t>Tier</t>
        </is>
      </c>
      <c r="D66" s="4" t="inlineStr">
        <is>
          <t>Choices</t>
        </is>
      </c>
      <c r="E66" s="4" t="inlineStr">
        <is>
          <t>Reward Slots</t>
        </is>
      </c>
      <c r="F66" s="4" t="inlineStr">
        <is>
          <t>Pig Slots</t>
        </is>
      </c>
      <c r="G66" s="4" t="inlineStr">
        <is>
          <t>Empty Slots</t>
        </is>
      </c>
      <c r="H66" s="4" t="inlineStr">
        <is>
          <t>Survive p</t>
        </is>
      </c>
      <c r="I66" s="4" t="inlineStr">
        <is>
          <t>P(reward | survived)</t>
        </is>
      </c>
      <c r="J66" s="4" t="inlineStr">
        <is>
          <t>Coins</t>
        </is>
      </c>
      <c r="K66" s="4" t="inlineStr">
        <is>
          <t>SPT</t>
        </is>
      </c>
      <c r="L66" s="4" t="inlineStr">
        <is>
          <t>SPT x2</t>
        </is>
      </c>
      <c r="M66" s="4" t="inlineStr">
        <is>
          <t>Red</t>
        </is>
      </c>
      <c r="N66" s="4" t="inlineStr">
        <is>
          <t>Chuck</t>
        </is>
      </c>
      <c r="O66" s="4" t="inlineStr">
        <is>
          <t>Bomb</t>
        </is>
      </c>
      <c r="P66" s="4" t="inlineStr">
        <is>
          <t>Slingshot</t>
        </is>
      </c>
      <c r="Q66" s="4" t="inlineStr">
        <is>
          <t>Shuffle</t>
        </is>
      </c>
      <c r="R66" s="4" t="inlineStr">
        <is>
          <t>Comet</t>
        </is>
      </c>
      <c r="S66" s="4" t="inlineStr">
        <is>
          <t>Unlimited Lives</t>
        </is>
      </c>
      <c r="T66" s="4" t="inlineStr">
        <is>
          <t>Unlimited Red</t>
        </is>
      </c>
      <c r="U66" s="4" t="inlineStr">
        <is>
          <t>Unlimited Chuck</t>
        </is>
      </c>
      <c r="V66" s="4" t="inlineStr">
        <is>
          <t>Unlimited Bomb</t>
        </is>
      </c>
      <c r="W66" s="4" t="inlineStr">
        <is>
          <t>COOP Token</t>
        </is>
      </c>
      <c r="X66" s="4" t="inlineStr">
        <is>
          <t>Avatar</t>
        </is>
      </c>
      <c r="Y66" s="4" t="inlineStr">
        <is>
          <t>1-star Dly</t>
        </is>
      </c>
      <c r="Z66" s="4" t="inlineStr">
        <is>
          <t>2-star Dly</t>
        </is>
      </c>
      <c r="AA66" s="4" t="inlineStr">
        <is>
          <t>3-star Dly</t>
        </is>
      </c>
      <c r="AB66" s="4" t="inlineStr">
        <is>
          <t>4-star Dly</t>
        </is>
      </c>
      <c r="AC66" s="4" t="inlineStr">
        <is>
          <t>5-star Dly</t>
        </is>
      </c>
      <c r="AD66" s="4" t="inlineStr">
        <is>
          <t>6-star Dly</t>
        </is>
      </c>
    </row>
    <row r="67">
      <c r="A67" s="8" t="n">
        <v>1</v>
      </c>
      <c r="B67" s="14">
        <f>IF(A67=1,"Safe (Start)",IF(OR(A67=$B$8,A67=$B$9),"Milestone",IF(AND($B$7&gt;0,MOD(A67,$B$7)=0),"Safe","Standard")))</f>
        <v/>
      </c>
      <c r="C67" s="14">
        <f>MIN(6,MAX(1,ROUNDUP(A67/$B$10,0)))</f>
        <v/>
      </c>
      <c r="D67" s="6">
        <f>$B$5</f>
        <v/>
      </c>
      <c r="E67" s="14">
        <f>MAX(0,$D67-$F67-$G67)</f>
        <v/>
      </c>
      <c r="F67" s="14">
        <f>IF($B67&lt;&gt;"Standard",0,MIN(3,MAX($B$6,IF($C67&lt;=2,1,IF($C67&lt;=4,2,3)))))</f>
        <v/>
      </c>
      <c r="G67" s="6" t="n">
        <v>0</v>
      </c>
      <c r="H67" s="15">
        <f>IF($D67&lt;=0,0,($D67-$F67)/$D67)</f>
        <v/>
      </c>
      <c r="I67" s="15">
        <f>IF($D67-$F67&lt;=0,0,$E67/($D67-$F67))</f>
        <v/>
      </c>
      <c r="J67" s="6" t="n">
        <v>0</v>
      </c>
      <c r="K67" s="6" t="n">
        <v>1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0</v>
      </c>
      <c r="S67" s="6" t="n">
        <v>0</v>
      </c>
      <c r="T67" s="6" t="n">
        <v>0</v>
      </c>
      <c r="U67" s="6" t="n">
        <v>0</v>
      </c>
      <c r="V67" s="6" t="n">
        <v>0</v>
      </c>
      <c r="W67" s="6" t="n">
        <v>0</v>
      </c>
      <c r="X67" s="6" t="n">
        <v>0</v>
      </c>
      <c r="Y67" s="6" t="n">
        <v>0</v>
      </c>
      <c r="Z67" s="6" t="n">
        <v>0</v>
      </c>
      <c r="AA67" s="6" t="n">
        <v>0</v>
      </c>
      <c r="AB67" s="6" t="n">
        <v>0</v>
      </c>
      <c r="AC67" s="6" t="n">
        <v>0</v>
      </c>
      <c r="AD67" s="6" t="n">
        <v>0</v>
      </c>
    </row>
    <row r="68">
      <c r="A68" s="8" t="n">
        <v>2</v>
      </c>
      <c r="B68" s="14">
        <f>IF(A68=1,"Safe (Start)",IF(OR(A68=$B$8,A68=$B$9),"Milestone",IF(AND($B$7&gt;0,MOD(A68,$B$7)=0),"Safe","Standard")))</f>
        <v/>
      </c>
      <c r="C68" s="14">
        <f>MIN(6,MAX(1,ROUNDUP(A68/$B$10,0)))</f>
        <v/>
      </c>
      <c r="D68" s="6">
        <f>$B$5</f>
        <v/>
      </c>
      <c r="E68" s="14">
        <f>MAX(0,$D68-$F68-$G68)</f>
        <v/>
      </c>
      <c r="F68" s="14">
        <f>IF($B68&lt;&gt;"Standard",0,MIN(3,MAX($B$6,IF($C68&lt;=2,1,IF($C68&lt;=4,2,3)))))</f>
        <v/>
      </c>
      <c r="G68" s="6" t="n">
        <v>0</v>
      </c>
      <c r="H68" s="15">
        <f>IF($D68&lt;=0,0,($D68-$F68)/$D68)</f>
        <v/>
      </c>
      <c r="I68" s="15">
        <f>IF($D68-$F68&lt;=0,0,$E68/($D68-$F68))</f>
        <v/>
      </c>
      <c r="J68" s="6" t="n">
        <v>0</v>
      </c>
      <c r="K68" s="6" t="n">
        <v>1</v>
      </c>
      <c r="L68" s="6" t="n">
        <v>0</v>
      </c>
      <c r="M68" s="6" t="n">
        <v>0</v>
      </c>
      <c r="N68" s="6" t="n">
        <v>0</v>
      </c>
      <c r="O68" s="6" t="n">
        <v>0</v>
      </c>
      <c r="P68" s="6" t="n">
        <v>0</v>
      </c>
      <c r="Q68" s="6" t="n">
        <v>0</v>
      </c>
      <c r="R68" s="6" t="n">
        <v>0</v>
      </c>
      <c r="S68" s="6" t="n">
        <v>0</v>
      </c>
      <c r="T68" s="6" t="n">
        <v>0</v>
      </c>
      <c r="U68" s="6" t="n">
        <v>0</v>
      </c>
      <c r="V68" s="6" t="n">
        <v>0</v>
      </c>
      <c r="W68" s="6" t="n">
        <v>0</v>
      </c>
      <c r="X68" s="6" t="n">
        <v>0</v>
      </c>
      <c r="Y68" s="6" t="n">
        <v>0</v>
      </c>
      <c r="Z68" s="6" t="n">
        <v>0</v>
      </c>
      <c r="AA68" s="6" t="n">
        <v>0</v>
      </c>
      <c r="AB68" s="6" t="n">
        <v>0</v>
      </c>
      <c r="AC68" s="6" t="n">
        <v>0</v>
      </c>
      <c r="AD68" s="6" t="n">
        <v>0</v>
      </c>
    </row>
    <row r="69">
      <c r="A69" s="8" t="n">
        <v>3</v>
      </c>
      <c r="B69" s="14">
        <f>IF(A69=1,"Safe (Start)",IF(OR(A69=$B$8,A69=$B$9),"Milestone",IF(AND($B$7&gt;0,MOD(A69,$B$7)=0),"Safe","Standard")))</f>
        <v/>
      </c>
      <c r="C69" s="14">
        <f>MIN(6,MAX(1,ROUNDUP(A69/$B$10,0)))</f>
        <v/>
      </c>
      <c r="D69" s="6">
        <f>$B$5</f>
        <v/>
      </c>
      <c r="E69" s="14">
        <f>MAX(0,$D69-$F69-$G69)</f>
        <v/>
      </c>
      <c r="F69" s="14">
        <f>IF($B69&lt;&gt;"Standard",0,MIN(3,MAX($B$6,IF($C69&lt;=2,1,IF($C69&lt;=4,2,3)))))</f>
        <v/>
      </c>
      <c r="G69" s="6" t="n">
        <v>0</v>
      </c>
      <c r="H69" s="15">
        <f>IF($D69&lt;=0,0,($D69-$F69)/$D69)</f>
        <v/>
      </c>
      <c r="I69" s="15">
        <f>IF($D69-$F69&lt;=0,0,$E69/($D69-$F69))</f>
        <v/>
      </c>
      <c r="J69" s="6" t="n">
        <v>0</v>
      </c>
      <c r="K69" s="6" t="n">
        <v>1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</row>
    <row r="70">
      <c r="A70" s="8" t="n">
        <v>4</v>
      </c>
      <c r="B70" s="14">
        <f>IF(A70=1,"Safe (Start)",IF(OR(A70=$B$8,A70=$B$9),"Milestone",IF(AND($B$7&gt;0,MOD(A70,$B$7)=0),"Safe","Standard")))</f>
        <v/>
      </c>
      <c r="C70" s="14">
        <f>MIN(6,MAX(1,ROUNDUP(A70/$B$10,0)))</f>
        <v/>
      </c>
      <c r="D70" s="6">
        <f>$B$5</f>
        <v/>
      </c>
      <c r="E70" s="14">
        <f>MAX(0,$D70-$F70-$G70)</f>
        <v/>
      </c>
      <c r="F70" s="14">
        <f>IF($B70&lt;&gt;"Standard",0,MIN(3,MAX($B$6,IF($C70&lt;=2,1,IF($C70&lt;=4,2,3)))))</f>
        <v/>
      </c>
      <c r="G70" s="6" t="n">
        <v>0</v>
      </c>
      <c r="H70" s="15">
        <f>IF($D70&lt;=0,0,($D70-$F70)/$D70)</f>
        <v/>
      </c>
      <c r="I70" s="15">
        <f>IF($D70-$F70&lt;=0,0,$E70/($D70-$F70))</f>
        <v/>
      </c>
      <c r="J70" s="6" t="n">
        <v>0</v>
      </c>
      <c r="K70" s="6" t="n">
        <v>1</v>
      </c>
      <c r="L70" s="6" t="n">
        <v>0</v>
      </c>
      <c r="M70" s="6" t="n">
        <v>0</v>
      </c>
      <c r="N70" s="6" t="n">
        <v>0</v>
      </c>
      <c r="O70" s="6" t="n">
        <v>0</v>
      </c>
      <c r="P70" s="6" t="n">
        <v>0</v>
      </c>
      <c r="Q70" s="6" t="n">
        <v>0</v>
      </c>
      <c r="R70" s="6" t="n">
        <v>0</v>
      </c>
      <c r="S70" s="6" t="n">
        <v>0</v>
      </c>
      <c r="T70" s="6" t="n">
        <v>0</v>
      </c>
      <c r="U70" s="6" t="n">
        <v>0</v>
      </c>
      <c r="V70" s="6" t="n">
        <v>0</v>
      </c>
      <c r="W70" s="6" t="n">
        <v>0</v>
      </c>
      <c r="X70" s="6" t="n">
        <v>0</v>
      </c>
      <c r="Y70" s="6" t="n">
        <v>0</v>
      </c>
      <c r="Z70" s="6" t="n">
        <v>0</v>
      </c>
      <c r="AA70" s="6" t="n">
        <v>0</v>
      </c>
      <c r="AB70" s="6" t="n">
        <v>0</v>
      </c>
      <c r="AC70" s="6" t="n">
        <v>0</v>
      </c>
      <c r="AD70" s="6" t="n">
        <v>0</v>
      </c>
    </row>
    <row r="71">
      <c r="A71" s="8" t="n">
        <v>5</v>
      </c>
      <c r="B71" s="14">
        <f>IF(A71=1,"Safe (Start)",IF(OR(A71=$B$8,A71=$B$9),"Milestone",IF(AND($B$7&gt;0,MOD(A71,$B$7)=0),"Safe","Standard")))</f>
        <v/>
      </c>
      <c r="C71" s="14">
        <f>MIN(6,MAX(1,ROUNDUP(A71/$B$10,0)))</f>
        <v/>
      </c>
      <c r="D71" s="6">
        <f>$B$5</f>
        <v/>
      </c>
      <c r="E71" s="14">
        <f>MAX(0,$D71-$F71-$G71)</f>
        <v/>
      </c>
      <c r="F71" s="14">
        <f>IF($B71&lt;&gt;"Standard",0,MIN(3,MAX($B$6,IF($C71&lt;=2,1,IF($C71&lt;=4,2,3)))))</f>
        <v/>
      </c>
      <c r="G71" s="6" t="n">
        <v>0</v>
      </c>
      <c r="H71" s="15">
        <f>IF($D71&lt;=0,0,($D71-$F71)/$D71)</f>
        <v/>
      </c>
      <c r="I71" s="15">
        <f>IF($D71-$F71&lt;=0,0,$E71/($D71-$F71))</f>
        <v/>
      </c>
      <c r="J71" s="6" t="n">
        <v>0</v>
      </c>
      <c r="K71" s="6" t="n">
        <v>1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0</v>
      </c>
      <c r="T71" s="6" t="n">
        <v>0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0</v>
      </c>
      <c r="Z71" s="6" t="n">
        <v>0</v>
      </c>
      <c r="AA71" s="6" t="n">
        <v>0</v>
      </c>
      <c r="AB71" s="6" t="n">
        <v>0</v>
      </c>
      <c r="AC71" s="6" t="n">
        <v>0</v>
      </c>
      <c r="AD71" s="6" t="n">
        <v>0</v>
      </c>
    </row>
    <row r="72">
      <c r="A72" s="8" t="n">
        <v>6</v>
      </c>
      <c r="B72" s="14">
        <f>IF(A72=1,"Safe (Start)",IF(OR(A72=$B$8,A72=$B$9),"Milestone",IF(AND($B$7&gt;0,MOD(A72,$B$7)=0),"Safe","Standard")))</f>
        <v/>
      </c>
      <c r="C72" s="14">
        <f>MIN(6,MAX(1,ROUNDUP(A72/$B$10,0)))</f>
        <v/>
      </c>
      <c r="D72" s="6">
        <f>$B$5</f>
        <v/>
      </c>
      <c r="E72" s="14">
        <f>MAX(0,$D72-$F72-$G72)</f>
        <v/>
      </c>
      <c r="F72" s="14">
        <f>IF($B72&lt;&gt;"Standard",0,MIN(3,MAX($B$6,IF($C72&lt;=2,1,IF($C72&lt;=4,2,3)))))</f>
        <v/>
      </c>
      <c r="G72" s="6" t="n">
        <v>0</v>
      </c>
      <c r="H72" s="15">
        <f>IF($D72&lt;=0,0,($D72-$F72)/$D72)</f>
        <v/>
      </c>
      <c r="I72" s="15">
        <f>IF($D72-$F72&lt;=0,0,$E72/($D72-$F72))</f>
        <v/>
      </c>
      <c r="J72" s="6" t="n">
        <v>0</v>
      </c>
      <c r="K72" s="6" t="n">
        <v>1</v>
      </c>
      <c r="L72" s="6" t="n">
        <v>0</v>
      </c>
      <c r="M72" s="6" t="n">
        <v>0</v>
      </c>
      <c r="N72" s="6" t="n">
        <v>0</v>
      </c>
      <c r="O72" s="6" t="n">
        <v>0</v>
      </c>
      <c r="P72" s="6" t="n">
        <v>0</v>
      </c>
      <c r="Q72" s="6" t="n">
        <v>0</v>
      </c>
      <c r="R72" s="6" t="n">
        <v>0</v>
      </c>
      <c r="S72" s="6" t="n">
        <v>0</v>
      </c>
      <c r="T72" s="6" t="n">
        <v>0</v>
      </c>
      <c r="U72" s="6" t="n">
        <v>0</v>
      </c>
      <c r="V72" s="6" t="n">
        <v>0</v>
      </c>
      <c r="W72" s="6" t="n">
        <v>0</v>
      </c>
      <c r="X72" s="6" t="n">
        <v>0</v>
      </c>
      <c r="Y72" s="6" t="n">
        <v>0</v>
      </c>
      <c r="Z72" s="6" t="n">
        <v>0</v>
      </c>
      <c r="AA72" s="6" t="n">
        <v>0</v>
      </c>
      <c r="AB72" s="6" t="n">
        <v>0</v>
      </c>
      <c r="AC72" s="6" t="n">
        <v>0</v>
      </c>
      <c r="AD72" s="6" t="n">
        <v>0</v>
      </c>
    </row>
    <row r="73">
      <c r="A73" s="8" t="n">
        <v>7</v>
      </c>
      <c r="B73" s="14">
        <f>IF(A73=1,"Safe (Start)",IF(OR(A73=$B$8,A73=$B$9),"Milestone",IF(AND($B$7&gt;0,MOD(A73,$B$7)=0),"Safe","Standard")))</f>
        <v/>
      </c>
      <c r="C73" s="14">
        <f>MIN(6,MAX(1,ROUNDUP(A73/$B$10,0)))</f>
        <v/>
      </c>
      <c r="D73" s="6">
        <f>$B$5</f>
        <v/>
      </c>
      <c r="E73" s="14">
        <f>MAX(0,$D73-$F73-$G73)</f>
        <v/>
      </c>
      <c r="F73" s="14">
        <f>IF($B73&lt;&gt;"Standard",0,MIN(3,MAX($B$6,IF($C73&lt;=2,1,IF($C73&lt;=4,2,3)))))</f>
        <v/>
      </c>
      <c r="G73" s="6" t="n">
        <v>0</v>
      </c>
      <c r="H73" s="15">
        <f>IF($D73&lt;=0,0,($D73-$F73)/$D73)</f>
        <v/>
      </c>
      <c r="I73" s="15">
        <f>IF($D73-$F73&lt;=0,0,$E73/($D73-$F73))</f>
        <v/>
      </c>
      <c r="J73" s="6" t="n">
        <v>5</v>
      </c>
      <c r="K73" s="6" t="n">
        <v>4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0</v>
      </c>
      <c r="S73" s="6" t="n">
        <v>0</v>
      </c>
      <c r="T73" s="6" t="n">
        <v>0</v>
      </c>
      <c r="U73" s="6" t="n">
        <v>0</v>
      </c>
      <c r="V73" s="6" t="n">
        <v>0</v>
      </c>
      <c r="W73" s="6" t="n">
        <v>0</v>
      </c>
      <c r="X73" s="6" t="n">
        <v>0</v>
      </c>
      <c r="Y73" s="6" t="n">
        <v>0</v>
      </c>
      <c r="Z73" s="6" t="n">
        <v>0</v>
      </c>
      <c r="AA73" s="6" t="n">
        <v>0</v>
      </c>
      <c r="AB73" s="6" t="n">
        <v>0</v>
      </c>
      <c r="AC73" s="6" t="n">
        <v>0</v>
      </c>
      <c r="AD73" s="6" t="n">
        <v>0</v>
      </c>
    </row>
    <row r="74">
      <c r="A74" s="8" t="n">
        <v>8</v>
      </c>
      <c r="B74" s="14">
        <f>IF(A74=1,"Safe (Start)",IF(OR(A74=$B$8,A74=$B$9),"Milestone",IF(AND($B$7&gt;0,MOD(A74,$B$7)=0),"Safe","Standard")))</f>
        <v/>
      </c>
      <c r="C74" s="14">
        <f>MIN(6,MAX(1,ROUNDUP(A74/$B$10,0)))</f>
        <v/>
      </c>
      <c r="D74" s="6">
        <f>$B$5</f>
        <v/>
      </c>
      <c r="E74" s="14">
        <f>MAX(0,$D74-$F74-$G74)</f>
        <v/>
      </c>
      <c r="F74" s="14">
        <f>IF($B74&lt;&gt;"Standard",0,MIN(3,MAX($B$6,IF($C74&lt;=2,1,IF($C74&lt;=4,2,3)))))</f>
        <v/>
      </c>
      <c r="G74" s="6" t="n">
        <v>0</v>
      </c>
      <c r="H74" s="15">
        <f>IF($D74&lt;=0,0,($D74-$F74)/$D74)</f>
        <v/>
      </c>
      <c r="I74" s="15">
        <f>IF($D74-$F74&lt;=0,0,$E74/($D74-$F74))</f>
        <v/>
      </c>
      <c r="J74" s="6" t="n">
        <v>0</v>
      </c>
      <c r="K74" s="6" t="n">
        <v>5</v>
      </c>
      <c r="L74" s="6" t="n">
        <v>1</v>
      </c>
      <c r="M74" s="6" t="n">
        <v>0</v>
      </c>
      <c r="N74" s="6" t="n">
        <v>0</v>
      </c>
      <c r="O74" s="6" t="n">
        <v>0</v>
      </c>
      <c r="P74" s="6" t="n">
        <v>0</v>
      </c>
      <c r="Q74" s="6" t="n">
        <v>0</v>
      </c>
      <c r="R74" s="6" t="n">
        <v>0</v>
      </c>
      <c r="S74" s="6" t="n">
        <v>10</v>
      </c>
      <c r="T74" s="6" t="n">
        <v>0</v>
      </c>
      <c r="U74" s="6" t="n">
        <v>0</v>
      </c>
      <c r="V74" s="6" t="n">
        <v>0</v>
      </c>
      <c r="W74" s="6" t="n">
        <v>0</v>
      </c>
      <c r="X74" s="6" t="n">
        <v>0</v>
      </c>
      <c r="Y74" s="6" t="n">
        <v>0</v>
      </c>
      <c r="Z74" s="6" t="n">
        <v>0</v>
      </c>
      <c r="AA74" s="6" t="n">
        <v>0</v>
      </c>
      <c r="AB74" s="6" t="n">
        <v>0</v>
      </c>
      <c r="AC74" s="6" t="n">
        <v>0</v>
      </c>
      <c r="AD74" s="6" t="n">
        <v>0</v>
      </c>
    </row>
    <row r="75">
      <c r="A75" s="8" t="n">
        <v>9</v>
      </c>
      <c r="B75" s="14">
        <f>IF(A75=1,"Safe (Start)",IF(OR(A75=$B$8,A75=$B$9),"Milestone",IF(AND($B$7&gt;0,MOD(A75,$B$7)=0),"Safe","Standard")))</f>
        <v/>
      </c>
      <c r="C75" s="14">
        <f>MIN(6,MAX(1,ROUNDUP(A75/$B$10,0)))</f>
        <v/>
      </c>
      <c r="D75" s="6">
        <f>$B$5</f>
        <v/>
      </c>
      <c r="E75" s="14">
        <f>MAX(0,$D75-$F75-$G75)</f>
        <v/>
      </c>
      <c r="F75" s="14">
        <f>IF($B75&lt;&gt;"Standard",0,MIN(3,MAX($B$6,IF($C75&lt;=2,1,IF($C75&lt;=4,2,3)))))</f>
        <v/>
      </c>
      <c r="G75" s="6" t="n">
        <v>0</v>
      </c>
      <c r="H75" s="15">
        <f>IF($D75&lt;=0,0,($D75-$F75)/$D75)</f>
        <v/>
      </c>
      <c r="I75" s="15">
        <f>IF($D75-$F75&lt;=0,0,$E75/($D75-$F75))</f>
        <v/>
      </c>
      <c r="J75" s="6" t="n">
        <v>0</v>
      </c>
      <c r="K75" s="6" t="n">
        <v>4</v>
      </c>
      <c r="L75" s="6" t="n">
        <v>0</v>
      </c>
      <c r="M75" s="6" t="n">
        <v>0</v>
      </c>
      <c r="N75" s="6" t="n">
        <v>0</v>
      </c>
      <c r="O75" s="6" t="n">
        <v>0</v>
      </c>
      <c r="P75" s="6" t="n">
        <v>0</v>
      </c>
      <c r="Q75" s="6" t="n">
        <v>0</v>
      </c>
      <c r="R75" s="6" t="n">
        <v>0</v>
      </c>
      <c r="S75" s="6" t="n">
        <v>0</v>
      </c>
      <c r="T75" s="6" t="n">
        <v>0</v>
      </c>
      <c r="U75" s="6" t="n">
        <v>0</v>
      </c>
      <c r="V75" s="6" t="n">
        <v>0</v>
      </c>
      <c r="W75" s="6" t="n">
        <v>0</v>
      </c>
      <c r="X75" s="6" t="n">
        <v>0</v>
      </c>
      <c r="Y75" s="6" t="n">
        <v>0</v>
      </c>
      <c r="Z75" s="6" t="n">
        <v>0</v>
      </c>
      <c r="AA75" s="6" t="n">
        <v>0</v>
      </c>
      <c r="AB75" s="6" t="n">
        <v>0</v>
      </c>
      <c r="AC75" s="6" t="n">
        <v>0</v>
      </c>
      <c r="AD75" s="6" t="n">
        <v>0</v>
      </c>
    </row>
    <row r="76">
      <c r="A76" s="8" t="n">
        <v>10</v>
      </c>
      <c r="B76" s="14">
        <f>IF(A76=1,"Safe (Start)",IF(OR(A76=$B$8,A76=$B$9),"Milestone",IF(AND($B$7&gt;0,MOD(A76,$B$7)=0),"Safe","Standard")))</f>
        <v/>
      </c>
      <c r="C76" s="14">
        <f>MIN(6,MAX(1,ROUNDUP(A76/$B$10,0)))</f>
        <v/>
      </c>
      <c r="D76" s="6">
        <f>$B$5</f>
        <v/>
      </c>
      <c r="E76" s="14">
        <f>MAX(0,$D76-$F76-$G76)</f>
        <v/>
      </c>
      <c r="F76" s="14">
        <f>IF($B76&lt;&gt;"Standard",0,MIN(3,MAX($B$6,IF($C76&lt;=2,1,IF($C76&lt;=4,2,3)))))</f>
        <v/>
      </c>
      <c r="G76" s="6" t="n">
        <v>0</v>
      </c>
      <c r="H76" s="15">
        <f>IF($D76&lt;=0,0,($D76-$F76)/$D76)</f>
        <v/>
      </c>
      <c r="I76" s="15">
        <f>IF($D76-$F76&lt;=0,0,$E76/($D76-$F76))</f>
        <v/>
      </c>
      <c r="J76" s="6" t="n">
        <v>5</v>
      </c>
      <c r="K76" s="6" t="n">
        <v>9</v>
      </c>
      <c r="L76" s="6" t="n">
        <v>0</v>
      </c>
      <c r="M76" s="6" t="n">
        <v>0</v>
      </c>
      <c r="N76" s="6" t="n">
        <v>0</v>
      </c>
      <c r="O76" s="6" t="n">
        <v>0</v>
      </c>
      <c r="P76" s="6" t="n">
        <v>0</v>
      </c>
      <c r="Q76" s="6" t="n">
        <v>0</v>
      </c>
      <c r="R76" s="6" t="n">
        <v>0</v>
      </c>
      <c r="S76" s="6" t="n">
        <v>0</v>
      </c>
      <c r="T76" s="6" t="n">
        <v>0</v>
      </c>
      <c r="U76" s="6" t="n">
        <v>0</v>
      </c>
      <c r="V76" s="6" t="n">
        <v>0</v>
      </c>
      <c r="W76" s="6" t="n">
        <v>0</v>
      </c>
      <c r="X76" s="6" t="n">
        <v>0</v>
      </c>
      <c r="Y76" s="6" t="n">
        <v>0</v>
      </c>
      <c r="Z76" s="6" t="n">
        <v>0</v>
      </c>
      <c r="AA76" s="6" t="n">
        <v>0</v>
      </c>
      <c r="AB76" s="6" t="n">
        <v>0</v>
      </c>
      <c r="AC76" s="6" t="n">
        <v>0</v>
      </c>
      <c r="AD76" s="6" t="n">
        <v>0</v>
      </c>
    </row>
    <row r="77">
      <c r="A77" s="8" t="n">
        <v>11</v>
      </c>
      <c r="B77" s="14">
        <f>IF(A77=1,"Safe (Start)",IF(OR(A77=$B$8,A77=$B$9),"Milestone",IF(AND($B$7&gt;0,MOD(A77,$B$7)=0),"Safe","Standard")))</f>
        <v/>
      </c>
      <c r="C77" s="14">
        <f>MIN(6,MAX(1,ROUNDUP(A77/$B$10,0)))</f>
        <v/>
      </c>
      <c r="D77" s="6">
        <f>$B$5</f>
        <v/>
      </c>
      <c r="E77" s="14">
        <f>MAX(0,$D77-$F77-$G77)</f>
        <v/>
      </c>
      <c r="F77" s="14">
        <f>IF($B77&lt;&gt;"Standard",0,MIN(3,MAX($B$6,IF($C77&lt;=2,1,IF($C77&lt;=4,2,3)))))</f>
        <v/>
      </c>
      <c r="G77" s="6" t="n">
        <v>0</v>
      </c>
      <c r="H77" s="15">
        <f>IF($D77&lt;=0,0,($D77-$F77)/$D77)</f>
        <v/>
      </c>
      <c r="I77" s="15">
        <f>IF($D77-$F77&lt;=0,0,$E77/($D77-$F77))</f>
        <v/>
      </c>
      <c r="J77" s="6" t="n">
        <v>0</v>
      </c>
      <c r="K77" s="6" t="n">
        <v>9</v>
      </c>
      <c r="L77" s="6" t="n">
        <v>1</v>
      </c>
      <c r="M77" s="6" t="n">
        <v>0</v>
      </c>
      <c r="N77" s="6" t="n">
        <v>0</v>
      </c>
      <c r="O77" s="6" t="n">
        <v>0</v>
      </c>
      <c r="P77" s="6" t="n">
        <v>0</v>
      </c>
      <c r="Q77" s="6" t="n">
        <v>0</v>
      </c>
      <c r="R77" s="6" t="n">
        <v>0</v>
      </c>
      <c r="S77" s="6" t="n">
        <v>0</v>
      </c>
      <c r="T77" s="6" t="n">
        <v>0</v>
      </c>
      <c r="U77" s="6" t="n">
        <v>0</v>
      </c>
      <c r="V77" s="6" t="n">
        <v>0</v>
      </c>
      <c r="W77" s="6" t="n">
        <v>0</v>
      </c>
      <c r="X77" s="6" t="n">
        <v>0</v>
      </c>
      <c r="Y77" s="6" t="n">
        <v>0</v>
      </c>
      <c r="Z77" s="6" t="n">
        <v>0</v>
      </c>
      <c r="AA77" s="6" t="n">
        <v>0</v>
      </c>
      <c r="AB77" s="6" t="n">
        <v>0</v>
      </c>
      <c r="AC77" s="6" t="n">
        <v>0</v>
      </c>
      <c r="AD77" s="6" t="n">
        <v>0</v>
      </c>
    </row>
    <row r="78">
      <c r="A78" s="8" t="n">
        <v>12</v>
      </c>
      <c r="B78" s="14">
        <f>IF(A78=1,"Safe (Start)",IF(OR(A78=$B$8,A78=$B$9),"Milestone",IF(AND($B$7&gt;0,MOD(A78,$B$7)=0),"Safe","Standard")))</f>
        <v/>
      </c>
      <c r="C78" s="14">
        <f>MIN(6,MAX(1,ROUNDUP(A78/$B$10,0)))</f>
        <v/>
      </c>
      <c r="D78" s="6">
        <f>$B$5</f>
        <v/>
      </c>
      <c r="E78" s="14">
        <f>MAX(0,$D78-$F78-$G78)</f>
        <v/>
      </c>
      <c r="F78" s="14">
        <f>IF($B78&lt;&gt;"Standard",0,MIN(3,MAX($B$6,IF($C78&lt;=2,1,IF($C78&lt;=4,2,3)))))</f>
        <v/>
      </c>
      <c r="G78" s="6" t="n">
        <v>0</v>
      </c>
      <c r="H78" s="15">
        <f>IF($D78&lt;=0,0,($D78-$F78)/$D78)</f>
        <v/>
      </c>
      <c r="I78" s="15">
        <f>IF($D78-$F78&lt;=0,0,$E78/($D78-$F78))</f>
        <v/>
      </c>
      <c r="J78" s="6" t="n">
        <v>5</v>
      </c>
      <c r="K78" s="6" t="n">
        <v>9</v>
      </c>
      <c r="L78" s="6" t="n">
        <v>0</v>
      </c>
      <c r="M78" s="6" t="n">
        <v>1</v>
      </c>
      <c r="N78" s="6" t="n">
        <v>0</v>
      </c>
      <c r="O78" s="6" t="n">
        <v>0</v>
      </c>
      <c r="P78" s="6" t="n">
        <v>0</v>
      </c>
      <c r="Q78" s="6" t="n">
        <v>0</v>
      </c>
      <c r="R78" s="6" t="n">
        <v>0</v>
      </c>
      <c r="S78" s="6" t="n">
        <v>0</v>
      </c>
      <c r="T78" s="6" t="n">
        <v>0</v>
      </c>
      <c r="U78" s="6" t="n">
        <v>0</v>
      </c>
      <c r="V78" s="6" t="n">
        <v>0</v>
      </c>
      <c r="W78" s="6" t="n">
        <v>0</v>
      </c>
      <c r="X78" s="6" t="n">
        <v>0</v>
      </c>
      <c r="Y78" s="6" t="n">
        <v>0</v>
      </c>
      <c r="Z78" s="6" t="n">
        <v>0</v>
      </c>
      <c r="AA78" s="6" t="n">
        <v>0</v>
      </c>
      <c r="AB78" s="6" t="n">
        <v>0</v>
      </c>
      <c r="AC78" s="6" t="n">
        <v>0</v>
      </c>
      <c r="AD78" s="6" t="n">
        <v>0</v>
      </c>
    </row>
    <row r="79">
      <c r="A79" s="8" t="n">
        <v>13</v>
      </c>
      <c r="B79" s="14">
        <f>IF(A79=1,"Safe (Start)",IF(OR(A79=$B$8,A79=$B$9),"Milestone",IF(AND($B$7&gt;0,MOD(A79,$B$7)=0),"Safe","Standard")))</f>
        <v/>
      </c>
      <c r="C79" s="14">
        <f>MIN(6,MAX(1,ROUNDUP(A79/$B$10,0)))</f>
        <v/>
      </c>
      <c r="D79" s="6">
        <f>$B$5</f>
        <v/>
      </c>
      <c r="E79" s="14">
        <f>MAX(0,$D79-$F79-$G79)</f>
        <v/>
      </c>
      <c r="F79" s="14">
        <f>IF($B79&lt;&gt;"Standard",0,MIN(3,MAX($B$6,IF($C79&lt;=2,1,IF($C79&lt;=4,2,3)))))</f>
        <v/>
      </c>
      <c r="G79" s="6" t="n">
        <v>0</v>
      </c>
      <c r="H79" s="15">
        <f>IF($D79&lt;=0,0,($D79-$F79)/$D79)</f>
        <v/>
      </c>
      <c r="I79" s="15">
        <f>IF($D79-$F79&lt;=0,0,$E79/($D79-$F79))</f>
        <v/>
      </c>
      <c r="J79" s="6" t="n">
        <v>5</v>
      </c>
      <c r="K79" s="6" t="n">
        <v>22</v>
      </c>
      <c r="L79" s="6" t="n">
        <v>0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0</v>
      </c>
      <c r="S79" s="6" t="n">
        <v>0</v>
      </c>
      <c r="T79" s="6" t="n">
        <v>0</v>
      </c>
      <c r="U79" s="6" t="n">
        <v>0</v>
      </c>
      <c r="V79" s="6" t="n">
        <v>0</v>
      </c>
      <c r="W79" s="6" t="n">
        <v>0</v>
      </c>
      <c r="X79" s="6" t="n">
        <v>0</v>
      </c>
      <c r="Y79" s="6" t="n">
        <v>0</v>
      </c>
      <c r="Z79" s="6" t="n">
        <v>0</v>
      </c>
      <c r="AA79" s="6" t="n">
        <v>0</v>
      </c>
      <c r="AB79" s="6" t="n">
        <v>0</v>
      </c>
      <c r="AC79" s="6" t="n">
        <v>0</v>
      </c>
      <c r="AD79" s="6" t="n">
        <v>0</v>
      </c>
    </row>
    <row r="80">
      <c r="A80" s="8" t="n">
        <v>14</v>
      </c>
      <c r="B80" s="14">
        <f>IF(A80=1,"Safe (Start)",IF(OR(A80=$B$8,A80=$B$9),"Milestone",IF(AND($B$7&gt;0,MOD(A80,$B$7)=0),"Safe","Standard")))</f>
        <v/>
      </c>
      <c r="C80" s="14">
        <f>MIN(6,MAX(1,ROUNDUP(A80/$B$10,0)))</f>
        <v/>
      </c>
      <c r="D80" s="6">
        <f>$B$5</f>
        <v/>
      </c>
      <c r="E80" s="14">
        <f>MAX(0,$D80-$F80-$G80)</f>
        <v/>
      </c>
      <c r="F80" s="14">
        <f>IF($B80&lt;&gt;"Standard",0,MIN(3,MAX($B$6,IF($C80&lt;=2,1,IF($C80&lt;=4,2,3)))))</f>
        <v/>
      </c>
      <c r="G80" s="6" t="n">
        <v>0</v>
      </c>
      <c r="H80" s="15">
        <f>IF($D80&lt;=0,0,($D80-$F80)/$D80)</f>
        <v/>
      </c>
      <c r="I80" s="15">
        <f>IF($D80-$F80&lt;=0,0,$E80/($D80-$F80))</f>
        <v/>
      </c>
      <c r="J80" s="6" t="n">
        <v>0</v>
      </c>
      <c r="K80" s="6" t="n">
        <v>22</v>
      </c>
      <c r="L80" s="6" t="n">
        <v>0</v>
      </c>
      <c r="M80" s="6" t="n">
        <v>0</v>
      </c>
      <c r="N80" s="6" t="n">
        <v>0</v>
      </c>
      <c r="O80" s="6" t="n">
        <v>0</v>
      </c>
      <c r="P80" s="6" t="n">
        <v>0</v>
      </c>
      <c r="Q80" s="6" t="n">
        <v>0</v>
      </c>
      <c r="R80" s="6" t="n">
        <v>0</v>
      </c>
      <c r="S80" s="6" t="n">
        <v>0</v>
      </c>
      <c r="T80" s="6" t="n">
        <v>0</v>
      </c>
      <c r="U80" s="6" t="n">
        <v>0</v>
      </c>
      <c r="V80" s="6" t="n">
        <v>0</v>
      </c>
      <c r="W80" s="6" t="n">
        <v>0</v>
      </c>
      <c r="X80" s="6" t="n">
        <v>0</v>
      </c>
      <c r="Y80" s="6" t="n">
        <v>0</v>
      </c>
      <c r="Z80" s="6" t="n">
        <v>0</v>
      </c>
      <c r="AA80" s="6" t="n">
        <v>0</v>
      </c>
      <c r="AB80" s="6" t="n">
        <v>0</v>
      </c>
      <c r="AC80" s="6" t="n">
        <v>0</v>
      </c>
      <c r="AD80" s="6" t="n">
        <v>0</v>
      </c>
    </row>
    <row r="81">
      <c r="A81" s="8" t="n">
        <v>15</v>
      </c>
      <c r="B81" s="14">
        <f>IF(A81=1,"Safe (Start)",IF(OR(A81=$B$8,A81=$B$9),"Milestone",IF(AND($B$7&gt;0,MOD(A81,$B$7)=0),"Safe","Standard")))</f>
        <v/>
      </c>
      <c r="C81" s="14">
        <f>MIN(6,MAX(1,ROUNDUP(A81/$B$10,0)))</f>
        <v/>
      </c>
      <c r="D81" s="6">
        <f>$B$5</f>
        <v/>
      </c>
      <c r="E81" s="14">
        <f>MAX(0,$D81-$F81-$G81)</f>
        <v/>
      </c>
      <c r="F81" s="14">
        <f>IF($B81&lt;&gt;"Standard",0,MIN(3,MAX($B$6,IF($C81&lt;=2,1,IF($C81&lt;=4,2,3)))))</f>
        <v/>
      </c>
      <c r="G81" s="6" t="n">
        <v>0</v>
      </c>
      <c r="H81" s="15">
        <f>IF($D81&lt;=0,0,($D81-$F81)/$D81)</f>
        <v/>
      </c>
      <c r="I81" s="15">
        <f>IF($D81-$F81&lt;=0,0,$E81/($D81-$F81))</f>
        <v/>
      </c>
      <c r="J81" s="6" t="n">
        <v>5</v>
      </c>
      <c r="K81" s="6" t="n">
        <v>23</v>
      </c>
      <c r="L81" s="6" t="n">
        <v>1</v>
      </c>
      <c r="M81" s="6" t="n">
        <v>0</v>
      </c>
      <c r="N81" s="6" t="n">
        <v>0</v>
      </c>
      <c r="O81" s="6" t="n">
        <v>0</v>
      </c>
      <c r="P81" s="6" t="n">
        <v>1</v>
      </c>
      <c r="Q81" s="6" t="n">
        <v>0</v>
      </c>
      <c r="R81" s="6" t="n">
        <v>0</v>
      </c>
      <c r="S81" s="6" t="n">
        <v>10</v>
      </c>
      <c r="T81" s="6" t="n">
        <v>0</v>
      </c>
      <c r="U81" s="6" t="n">
        <v>0</v>
      </c>
      <c r="V81" s="6" t="n">
        <v>0</v>
      </c>
      <c r="W81" s="6" t="n">
        <v>0</v>
      </c>
      <c r="X81" s="6" t="n">
        <v>0</v>
      </c>
      <c r="Y81" s="6" t="n">
        <v>1</v>
      </c>
      <c r="Z81" s="6" t="n">
        <v>1</v>
      </c>
      <c r="AA81" s="6" t="n">
        <v>0</v>
      </c>
      <c r="AB81" s="6" t="n">
        <v>0</v>
      </c>
      <c r="AC81" s="6" t="n">
        <v>0</v>
      </c>
      <c r="AD81" s="6" t="n">
        <v>0</v>
      </c>
    </row>
    <row r="82">
      <c r="A82" s="8" t="n">
        <v>16</v>
      </c>
      <c r="B82" s="14">
        <f>IF(A82=1,"Safe (Start)",IF(OR(A82=$B$8,A82=$B$9),"Milestone",IF(AND($B$7&gt;0,MOD(A82,$B$7)=0),"Safe","Standard")))</f>
        <v/>
      </c>
      <c r="C82" s="14">
        <f>MIN(6,MAX(1,ROUNDUP(A82/$B$10,0)))</f>
        <v/>
      </c>
      <c r="D82" s="6">
        <f>$B$5</f>
        <v/>
      </c>
      <c r="E82" s="14">
        <f>MAX(0,$D82-$F82-$G82)</f>
        <v/>
      </c>
      <c r="F82" s="14">
        <f>IF($B82&lt;&gt;"Standard",0,MIN(3,MAX($B$6,IF($C82&lt;=2,1,IF($C82&lt;=4,2,3)))))</f>
        <v/>
      </c>
      <c r="G82" s="6" t="n">
        <v>0</v>
      </c>
      <c r="H82" s="15">
        <f>IF($D82&lt;=0,0,($D82-$F82)/$D82)</f>
        <v/>
      </c>
      <c r="I82" s="15">
        <f>IF($D82-$F82&lt;=0,0,$E82/($D82-$F82))</f>
        <v/>
      </c>
      <c r="J82" s="6" t="n">
        <v>5</v>
      </c>
      <c r="K82" s="6" t="n">
        <v>11</v>
      </c>
      <c r="L82" s="6" t="n">
        <v>0</v>
      </c>
      <c r="M82" s="6" t="n">
        <v>0</v>
      </c>
      <c r="N82" s="6" t="n">
        <v>0</v>
      </c>
      <c r="O82" s="6" t="n">
        <v>0</v>
      </c>
      <c r="P82" s="6" t="n">
        <v>0</v>
      </c>
      <c r="Q82" s="6" t="n">
        <v>0</v>
      </c>
      <c r="R82" s="6" t="n">
        <v>0</v>
      </c>
      <c r="S82" s="6" t="n">
        <v>0</v>
      </c>
      <c r="T82" s="6" t="n">
        <v>0</v>
      </c>
      <c r="U82" s="6" t="n">
        <v>0</v>
      </c>
      <c r="V82" s="6" t="n">
        <v>0</v>
      </c>
      <c r="W82" s="6" t="n">
        <v>0</v>
      </c>
      <c r="X82" s="6" t="n">
        <v>0</v>
      </c>
      <c r="Y82" s="6" t="n">
        <v>0</v>
      </c>
      <c r="Z82" s="6" t="n">
        <v>0</v>
      </c>
      <c r="AA82" s="6" t="n">
        <v>0</v>
      </c>
      <c r="AB82" s="6" t="n">
        <v>0</v>
      </c>
      <c r="AC82" s="6" t="n">
        <v>0</v>
      </c>
      <c r="AD82" s="6" t="n">
        <v>0</v>
      </c>
    </row>
    <row r="83">
      <c r="A83" s="8" t="n">
        <v>17</v>
      </c>
      <c r="B83" s="14">
        <f>IF(A83=1,"Safe (Start)",IF(OR(A83=$B$8,A83=$B$9),"Milestone",IF(AND($B$7&gt;0,MOD(A83,$B$7)=0),"Safe","Standard")))</f>
        <v/>
      </c>
      <c r="C83" s="14">
        <f>MIN(6,MAX(1,ROUNDUP(A83/$B$10,0)))</f>
        <v/>
      </c>
      <c r="D83" s="6">
        <f>$B$5</f>
        <v/>
      </c>
      <c r="E83" s="14">
        <f>MAX(0,$D83-$F83-$G83)</f>
        <v/>
      </c>
      <c r="F83" s="14">
        <f>IF($B83&lt;&gt;"Standard",0,MIN(3,MAX($B$6,IF($C83&lt;=2,1,IF($C83&lt;=4,2,3)))))</f>
        <v/>
      </c>
      <c r="G83" s="6" t="n">
        <v>0</v>
      </c>
      <c r="H83" s="15">
        <f>IF($D83&lt;=0,0,($D83-$F83)/$D83)</f>
        <v/>
      </c>
      <c r="I83" s="15">
        <f>IF($D83-$F83&lt;=0,0,$E83/($D83-$F83))</f>
        <v/>
      </c>
      <c r="J83" s="6" t="n">
        <v>5</v>
      </c>
      <c r="K83" s="6" t="n">
        <v>12</v>
      </c>
      <c r="L83" s="6" t="n">
        <v>0</v>
      </c>
      <c r="M83" s="6" t="n">
        <v>0</v>
      </c>
      <c r="N83" s="6" t="n">
        <v>0</v>
      </c>
      <c r="O83" s="6" t="n">
        <v>0</v>
      </c>
      <c r="P83" s="6" t="n">
        <v>0</v>
      </c>
      <c r="Q83" s="6" t="n">
        <v>0</v>
      </c>
      <c r="R83" s="6" t="n">
        <v>1</v>
      </c>
      <c r="S83" s="6" t="n">
        <v>0</v>
      </c>
      <c r="T83" s="6" t="n">
        <v>0</v>
      </c>
      <c r="U83" s="6" t="n">
        <v>0</v>
      </c>
      <c r="V83" s="6" t="n">
        <v>0</v>
      </c>
      <c r="W83" s="6" t="n">
        <v>0</v>
      </c>
      <c r="X83" s="6" t="n">
        <v>0</v>
      </c>
      <c r="Y83" s="6" t="n">
        <v>0</v>
      </c>
      <c r="Z83" s="6" t="n">
        <v>0</v>
      </c>
      <c r="AA83" s="6" t="n">
        <v>0</v>
      </c>
      <c r="AB83" s="6" t="n">
        <v>0</v>
      </c>
      <c r="AC83" s="6" t="n">
        <v>0</v>
      </c>
      <c r="AD83" s="6" t="n">
        <v>0</v>
      </c>
    </row>
    <row r="84">
      <c r="A84" s="8" t="n">
        <v>18</v>
      </c>
      <c r="B84" s="14">
        <f>IF(A84=1,"Safe (Start)",IF(OR(A84=$B$8,A84=$B$9),"Milestone",IF(AND($B$7&gt;0,MOD(A84,$B$7)=0),"Safe","Standard")))</f>
        <v/>
      </c>
      <c r="C84" s="14">
        <f>MIN(6,MAX(1,ROUNDUP(A84/$B$10,0)))</f>
        <v/>
      </c>
      <c r="D84" s="6">
        <f>$B$5</f>
        <v/>
      </c>
      <c r="E84" s="14">
        <f>MAX(0,$D84-$F84-$G84)</f>
        <v/>
      </c>
      <c r="F84" s="14">
        <f>IF($B84&lt;&gt;"Standard",0,MIN(3,MAX($B$6,IF($C84&lt;=2,1,IF($C84&lt;=4,2,3)))))</f>
        <v/>
      </c>
      <c r="G84" s="6" t="n">
        <v>0</v>
      </c>
      <c r="H84" s="15">
        <f>IF($D84&lt;=0,0,($D84-$F84)/$D84)</f>
        <v/>
      </c>
      <c r="I84" s="15">
        <f>IF($D84-$F84&lt;=0,0,$E84/($D84-$F84))</f>
        <v/>
      </c>
      <c r="J84" s="6" t="n">
        <v>5</v>
      </c>
      <c r="K84" s="6" t="n">
        <v>11</v>
      </c>
      <c r="L84" s="6" t="n">
        <v>0</v>
      </c>
      <c r="M84" s="6" t="n">
        <v>0</v>
      </c>
      <c r="N84" s="6" t="n">
        <v>0</v>
      </c>
      <c r="O84" s="6" t="n">
        <v>0</v>
      </c>
      <c r="P84" s="6" t="n">
        <v>0</v>
      </c>
      <c r="Q84" s="6" t="n">
        <v>0</v>
      </c>
      <c r="R84" s="6" t="n">
        <v>0</v>
      </c>
      <c r="S84" s="6" t="n">
        <v>0</v>
      </c>
      <c r="T84" s="6" t="n">
        <v>0</v>
      </c>
      <c r="U84" s="6" t="n">
        <v>0</v>
      </c>
      <c r="V84" s="6" t="n">
        <v>0</v>
      </c>
      <c r="W84" s="6" t="n">
        <v>0</v>
      </c>
      <c r="X84" s="6" t="n">
        <v>0</v>
      </c>
      <c r="Y84" s="6" t="n">
        <v>0</v>
      </c>
      <c r="Z84" s="6" t="n">
        <v>0</v>
      </c>
      <c r="AA84" s="6" t="n">
        <v>0</v>
      </c>
      <c r="AB84" s="6" t="n">
        <v>0</v>
      </c>
      <c r="AC84" s="6" t="n">
        <v>0</v>
      </c>
      <c r="AD84" s="6" t="n">
        <v>0</v>
      </c>
    </row>
    <row r="85">
      <c r="A85" s="8" t="n">
        <v>19</v>
      </c>
      <c r="B85" s="14">
        <f>IF(A85=1,"Safe (Start)",IF(OR(A85=$B$8,A85=$B$9),"Milestone",IF(AND($B$7&gt;0,MOD(A85,$B$7)=0),"Safe","Standard")))</f>
        <v/>
      </c>
      <c r="C85" s="14">
        <f>MIN(6,MAX(1,ROUNDUP(A85/$B$10,0)))</f>
        <v/>
      </c>
      <c r="D85" s="6">
        <f>$B$5</f>
        <v/>
      </c>
      <c r="E85" s="14">
        <f>MAX(0,$D85-$F85-$G85)</f>
        <v/>
      </c>
      <c r="F85" s="14">
        <f>IF($B85&lt;&gt;"Standard",0,MIN(3,MAX($B$6,IF($C85&lt;=2,1,IF($C85&lt;=4,2,3)))))</f>
        <v/>
      </c>
      <c r="G85" s="6" t="n">
        <v>0</v>
      </c>
      <c r="H85" s="15">
        <f>IF($D85&lt;=0,0,($D85-$F85)/$D85)</f>
        <v/>
      </c>
      <c r="I85" s="15">
        <f>IF($D85-$F85&lt;=0,0,$E85/($D85-$F85))</f>
        <v/>
      </c>
      <c r="J85" s="6" t="n">
        <v>0</v>
      </c>
      <c r="K85" s="6" t="n">
        <v>12</v>
      </c>
      <c r="L85" s="6" t="n">
        <v>0</v>
      </c>
      <c r="M85" s="6" t="n">
        <v>0</v>
      </c>
      <c r="N85" s="6" t="n">
        <v>0</v>
      </c>
      <c r="O85" s="6" t="n">
        <v>0</v>
      </c>
      <c r="P85" s="6" t="n">
        <v>0</v>
      </c>
      <c r="Q85" s="6" t="n">
        <v>0</v>
      </c>
      <c r="R85" s="6" t="n">
        <v>0</v>
      </c>
      <c r="S85" s="6" t="n">
        <v>0</v>
      </c>
      <c r="T85" s="6" t="n">
        <v>0</v>
      </c>
      <c r="U85" s="6" t="n">
        <v>0</v>
      </c>
      <c r="V85" s="6" t="n">
        <v>0</v>
      </c>
      <c r="W85" s="6" t="n">
        <v>0</v>
      </c>
      <c r="X85" s="6" t="n">
        <v>0</v>
      </c>
      <c r="Y85" s="6" t="n">
        <v>0</v>
      </c>
      <c r="Z85" s="6" t="n">
        <v>0</v>
      </c>
      <c r="AA85" s="6" t="n">
        <v>0</v>
      </c>
      <c r="AB85" s="6" t="n">
        <v>0</v>
      </c>
      <c r="AC85" s="6" t="n">
        <v>0</v>
      </c>
      <c r="AD85" s="6" t="n">
        <v>0</v>
      </c>
    </row>
    <row r="86">
      <c r="A86" s="8" t="n">
        <v>20</v>
      </c>
      <c r="B86" s="14">
        <f>IF(A86=1,"Safe (Start)",IF(OR(A86=$B$8,A86=$B$9),"Milestone",IF(AND($B$7&gt;0,MOD(A86,$B$7)=0),"Safe","Standard")))</f>
        <v/>
      </c>
      <c r="C86" s="14">
        <f>MIN(6,MAX(1,ROUNDUP(A86/$B$10,0)))</f>
        <v/>
      </c>
      <c r="D86" s="6">
        <f>$B$5</f>
        <v/>
      </c>
      <c r="E86" s="14">
        <f>MAX(0,$D86-$F86-$G86)</f>
        <v/>
      </c>
      <c r="F86" s="14">
        <f>IF($B86&lt;&gt;"Standard",0,MIN(3,MAX($B$6,IF($C86&lt;=2,1,IF($C86&lt;=4,2,3)))))</f>
        <v/>
      </c>
      <c r="G86" s="6" t="n">
        <v>0</v>
      </c>
      <c r="H86" s="15">
        <f>IF($D86&lt;=0,0,($D86-$F86)/$D86)</f>
        <v/>
      </c>
      <c r="I86" s="15">
        <f>IF($D86-$F86&lt;=0,0,$E86/($D86-$F86))</f>
        <v/>
      </c>
      <c r="J86" s="6" t="n">
        <v>5</v>
      </c>
      <c r="K86" s="6" t="n">
        <v>12</v>
      </c>
      <c r="L86" s="6" t="n">
        <v>0</v>
      </c>
      <c r="M86" s="6" t="n">
        <v>0</v>
      </c>
      <c r="N86" s="6" t="n">
        <v>0</v>
      </c>
      <c r="O86" s="6" t="n">
        <v>0</v>
      </c>
      <c r="P86" s="6" t="n">
        <v>0</v>
      </c>
      <c r="Q86" s="6" t="n">
        <v>0</v>
      </c>
      <c r="R86" s="6" t="n">
        <v>0</v>
      </c>
      <c r="S86" s="6" t="n">
        <v>0</v>
      </c>
      <c r="T86" s="6" t="n">
        <v>0</v>
      </c>
      <c r="U86" s="6" t="n">
        <v>0</v>
      </c>
      <c r="V86" s="6" t="n">
        <v>0</v>
      </c>
      <c r="W86" s="6" t="n">
        <v>0</v>
      </c>
      <c r="X86" s="6" t="n">
        <v>0</v>
      </c>
      <c r="Y86" s="6" t="n">
        <v>0</v>
      </c>
      <c r="Z86" s="6" t="n">
        <v>0</v>
      </c>
      <c r="AA86" s="6" t="n">
        <v>0</v>
      </c>
      <c r="AB86" s="6" t="n">
        <v>0</v>
      </c>
      <c r="AC86" s="6" t="n">
        <v>0</v>
      </c>
      <c r="AD86" s="6" t="n">
        <v>0</v>
      </c>
    </row>
    <row r="87">
      <c r="A87" s="8" t="n">
        <v>21</v>
      </c>
      <c r="B87" s="14">
        <f>IF(A87=1,"Safe (Start)",IF(OR(A87=$B$8,A87=$B$9),"Milestone",IF(AND($B$7&gt;0,MOD(A87,$B$7)=0),"Safe","Standard")))</f>
        <v/>
      </c>
      <c r="C87" s="14">
        <f>MIN(6,MAX(1,ROUNDUP(A87/$B$10,0)))</f>
        <v/>
      </c>
      <c r="D87" s="6">
        <f>$B$5</f>
        <v/>
      </c>
      <c r="E87" s="14">
        <f>MAX(0,$D87-$F87-$G87)</f>
        <v/>
      </c>
      <c r="F87" s="14">
        <f>IF($B87&lt;&gt;"Standard",0,MIN(3,MAX($B$6,IF($C87&lt;=2,1,IF($C87&lt;=4,2,3)))))</f>
        <v/>
      </c>
      <c r="G87" s="6" t="n">
        <v>0</v>
      </c>
      <c r="H87" s="15">
        <f>IF($D87&lt;=0,0,($D87-$F87)/$D87)</f>
        <v/>
      </c>
      <c r="I87" s="15">
        <f>IF($D87-$F87&lt;=0,0,$E87/($D87-$F87))</f>
        <v/>
      </c>
      <c r="J87" s="6" t="n">
        <v>5</v>
      </c>
      <c r="K87" s="6" t="n">
        <v>12</v>
      </c>
      <c r="L87" s="6" t="n">
        <v>0</v>
      </c>
      <c r="M87" s="6" t="n">
        <v>0</v>
      </c>
      <c r="N87" s="6" t="n">
        <v>0</v>
      </c>
      <c r="O87" s="6" t="n">
        <v>1</v>
      </c>
      <c r="P87" s="6" t="n">
        <v>0</v>
      </c>
      <c r="Q87" s="6" t="n">
        <v>0</v>
      </c>
      <c r="R87" s="6" t="n">
        <v>0</v>
      </c>
      <c r="S87" s="6" t="n">
        <v>0</v>
      </c>
      <c r="T87" s="6" t="n">
        <v>0</v>
      </c>
      <c r="U87" s="6" t="n">
        <v>0</v>
      </c>
      <c r="V87" s="6" t="n">
        <v>0</v>
      </c>
      <c r="W87" s="6" t="n">
        <v>0</v>
      </c>
      <c r="X87" s="6" t="n">
        <v>0</v>
      </c>
      <c r="Y87" s="6" t="n">
        <v>0</v>
      </c>
      <c r="Z87" s="6" t="n">
        <v>0</v>
      </c>
      <c r="AA87" s="6" t="n">
        <v>0</v>
      </c>
      <c r="AB87" s="6" t="n">
        <v>0</v>
      </c>
      <c r="AC87" s="6" t="n">
        <v>0</v>
      </c>
      <c r="AD87" s="6" t="n">
        <v>0</v>
      </c>
    </row>
    <row r="88">
      <c r="A88" s="8" t="n">
        <v>22</v>
      </c>
      <c r="B88" s="14">
        <f>IF(A88=1,"Safe (Start)",IF(OR(A88=$B$8,A88=$B$9),"Milestone",IF(AND($B$7&gt;0,MOD(A88,$B$7)=0),"Safe","Standard")))</f>
        <v/>
      </c>
      <c r="C88" s="14">
        <f>MIN(6,MAX(1,ROUNDUP(A88/$B$10,0)))</f>
        <v/>
      </c>
      <c r="D88" s="6">
        <f>$B$5</f>
        <v/>
      </c>
      <c r="E88" s="14">
        <f>MAX(0,$D88-$F88-$G88)</f>
        <v/>
      </c>
      <c r="F88" s="14">
        <f>IF($B88&lt;&gt;"Standard",0,MIN(3,MAX($B$6,IF($C88&lt;=2,1,IF($C88&lt;=4,2,3)))))</f>
        <v/>
      </c>
      <c r="G88" s="6" t="n">
        <v>0</v>
      </c>
      <c r="H88" s="15">
        <f>IF($D88&lt;=0,0,($D88-$F88)/$D88)</f>
        <v/>
      </c>
      <c r="I88" s="15">
        <f>IF($D88-$F88&lt;=0,0,$E88/($D88-$F88))</f>
        <v/>
      </c>
      <c r="J88" s="6" t="n">
        <v>5</v>
      </c>
      <c r="K88" s="6" t="n">
        <v>13</v>
      </c>
      <c r="L88" s="6" t="n">
        <v>0</v>
      </c>
      <c r="M88" s="6" t="n">
        <v>0</v>
      </c>
      <c r="N88" s="6" t="n">
        <v>0</v>
      </c>
      <c r="O88" s="6" t="n">
        <v>0</v>
      </c>
      <c r="P88" s="6" t="n">
        <v>0</v>
      </c>
      <c r="Q88" s="6" t="n">
        <v>0</v>
      </c>
      <c r="R88" s="6" t="n">
        <v>0</v>
      </c>
      <c r="S88" s="6" t="n">
        <v>0</v>
      </c>
      <c r="T88" s="6" t="n">
        <v>0</v>
      </c>
      <c r="U88" s="6" t="n">
        <v>0</v>
      </c>
      <c r="V88" s="6" t="n">
        <v>0</v>
      </c>
      <c r="W88" s="6" t="n">
        <v>0</v>
      </c>
      <c r="X88" s="6" t="n">
        <v>0</v>
      </c>
      <c r="Y88" s="6" t="n">
        <v>0</v>
      </c>
      <c r="Z88" s="6" t="n">
        <v>0</v>
      </c>
      <c r="AA88" s="6" t="n">
        <v>0</v>
      </c>
      <c r="AB88" s="6" t="n">
        <v>0</v>
      </c>
      <c r="AC88" s="6" t="n">
        <v>0</v>
      </c>
      <c r="AD88" s="6" t="n">
        <v>0</v>
      </c>
    </row>
    <row r="89">
      <c r="A89" s="8" t="n">
        <v>23</v>
      </c>
      <c r="B89" s="14">
        <f>IF(A89=1,"Safe (Start)",IF(OR(A89=$B$8,A89=$B$9),"Milestone",IF(AND($B$7&gt;0,MOD(A89,$B$7)=0),"Safe","Standard")))</f>
        <v/>
      </c>
      <c r="C89" s="14">
        <f>MIN(6,MAX(1,ROUNDUP(A89/$B$10,0)))</f>
        <v/>
      </c>
      <c r="D89" s="6">
        <f>$B$5</f>
        <v/>
      </c>
      <c r="E89" s="14">
        <f>MAX(0,$D89-$F89-$G89)</f>
        <v/>
      </c>
      <c r="F89" s="14">
        <f>IF($B89&lt;&gt;"Standard",0,MIN(3,MAX($B$6,IF($C89&lt;=2,1,IF($C89&lt;=4,2,3)))))</f>
        <v/>
      </c>
      <c r="G89" s="6" t="n">
        <v>0</v>
      </c>
      <c r="H89" s="15">
        <f>IF($D89&lt;=0,0,($D89-$F89)/$D89)</f>
        <v/>
      </c>
      <c r="I89" s="15">
        <f>IF($D89-$F89&lt;=0,0,$E89/($D89-$F89))</f>
        <v/>
      </c>
      <c r="J89" s="6" t="n">
        <v>5</v>
      </c>
      <c r="K89" s="6" t="n">
        <v>14</v>
      </c>
      <c r="L89" s="6" t="n">
        <v>0</v>
      </c>
      <c r="M89" s="6" t="n">
        <v>0</v>
      </c>
      <c r="N89" s="6" t="n">
        <v>0</v>
      </c>
      <c r="O89" s="6" t="n">
        <v>0</v>
      </c>
      <c r="P89" s="6" t="n">
        <v>0</v>
      </c>
      <c r="Q89" s="6" t="n">
        <v>0</v>
      </c>
      <c r="R89" s="6" t="n">
        <v>0</v>
      </c>
      <c r="S89" s="6" t="n">
        <v>0</v>
      </c>
      <c r="T89" s="6" t="n">
        <v>0</v>
      </c>
      <c r="U89" s="6" t="n">
        <v>0</v>
      </c>
      <c r="V89" s="6" t="n">
        <v>0</v>
      </c>
      <c r="W89" s="6" t="n">
        <v>0</v>
      </c>
      <c r="X89" s="6" t="n">
        <v>0</v>
      </c>
      <c r="Y89" s="6" t="n">
        <v>0</v>
      </c>
      <c r="Z89" s="6" t="n">
        <v>0</v>
      </c>
      <c r="AA89" s="6" t="n">
        <v>0</v>
      </c>
      <c r="AB89" s="6" t="n">
        <v>0</v>
      </c>
      <c r="AC89" s="6" t="n">
        <v>0</v>
      </c>
      <c r="AD89" s="6" t="n">
        <v>0</v>
      </c>
    </row>
    <row r="90">
      <c r="A90" s="8" t="n">
        <v>24</v>
      </c>
      <c r="B90" s="14">
        <f>IF(A90=1,"Safe (Start)",IF(OR(A90=$B$8,A90=$B$9),"Milestone",IF(AND($B$7&gt;0,MOD(A90,$B$7)=0),"Safe","Standard")))</f>
        <v/>
      </c>
      <c r="C90" s="14">
        <f>MIN(6,MAX(1,ROUNDUP(A90/$B$10,0)))</f>
        <v/>
      </c>
      <c r="D90" s="6">
        <f>$B$5</f>
        <v/>
      </c>
      <c r="E90" s="14">
        <f>MAX(0,$D90-$F90-$G90)</f>
        <v/>
      </c>
      <c r="F90" s="14">
        <f>IF($B90&lt;&gt;"Standard",0,MIN(3,MAX($B$6,IF($C90&lt;=2,1,IF($C90&lt;=4,2,3)))))</f>
        <v/>
      </c>
      <c r="G90" s="6" t="n">
        <v>0</v>
      </c>
      <c r="H90" s="15">
        <f>IF($D90&lt;=0,0,($D90-$F90)/$D90)</f>
        <v/>
      </c>
      <c r="I90" s="15">
        <f>IF($D90-$F90&lt;=0,0,$E90/($D90-$F90))</f>
        <v/>
      </c>
      <c r="J90" s="6" t="n">
        <v>0</v>
      </c>
      <c r="K90" s="6" t="n">
        <v>14</v>
      </c>
      <c r="L90" s="6" t="n">
        <v>0</v>
      </c>
      <c r="M90" s="6" t="n">
        <v>0</v>
      </c>
      <c r="N90" s="6" t="n">
        <v>0</v>
      </c>
      <c r="O90" s="6" t="n">
        <v>0</v>
      </c>
      <c r="P90" s="6" t="n">
        <v>0</v>
      </c>
      <c r="Q90" s="6" t="n">
        <v>0</v>
      </c>
      <c r="R90" s="6" t="n">
        <v>0</v>
      </c>
      <c r="S90" s="6" t="n">
        <v>0</v>
      </c>
      <c r="T90" s="6" t="n">
        <v>0</v>
      </c>
      <c r="U90" s="6" t="n">
        <v>0</v>
      </c>
      <c r="V90" s="6" t="n">
        <v>0</v>
      </c>
      <c r="W90" s="6" t="n">
        <v>0</v>
      </c>
      <c r="X90" s="6" t="n">
        <v>0</v>
      </c>
      <c r="Y90" s="6" t="n">
        <v>0</v>
      </c>
      <c r="Z90" s="6" t="n">
        <v>0</v>
      </c>
      <c r="AA90" s="6" t="n">
        <v>0</v>
      </c>
      <c r="AB90" s="6" t="n">
        <v>0</v>
      </c>
      <c r="AC90" s="6" t="n">
        <v>0</v>
      </c>
      <c r="AD90" s="6" t="n">
        <v>0</v>
      </c>
    </row>
    <row r="91">
      <c r="A91" s="8" t="n">
        <v>25</v>
      </c>
      <c r="B91" s="14">
        <f>IF(A91=1,"Safe (Start)",IF(OR(A91=$B$8,A91=$B$9),"Milestone",IF(AND($B$7&gt;0,MOD(A91,$B$7)=0),"Safe","Standard")))</f>
        <v/>
      </c>
      <c r="C91" s="14">
        <f>MIN(6,MAX(1,ROUNDUP(A91/$B$10,0)))</f>
        <v/>
      </c>
      <c r="D91" s="6">
        <f>$B$5</f>
        <v/>
      </c>
      <c r="E91" s="14">
        <f>MAX(0,$D91-$F91-$G91)</f>
        <v/>
      </c>
      <c r="F91" s="14">
        <f>IF($B91&lt;&gt;"Standard",0,MIN(3,MAX($B$6,IF($C91&lt;=2,1,IF($C91&lt;=4,2,3)))))</f>
        <v/>
      </c>
      <c r="G91" s="6" t="n">
        <v>0</v>
      </c>
      <c r="H91" s="15">
        <f>IF($D91&lt;=0,0,($D91-$F91)/$D91)</f>
        <v/>
      </c>
      <c r="I91" s="15">
        <f>IF($D91-$F91&lt;=0,0,$E91/($D91-$F91))</f>
        <v/>
      </c>
      <c r="J91" s="6" t="n">
        <v>10</v>
      </c>
      <c r="K91" s="6" t="n">
        <v>15</v>
      </c>
      <c r="L91" s="6" t="n">
        <v>0</v>
      </c>
      <c r="M91" s="6" t="n">
        <v>0</v>
      </c>
      <c r="N91" s="6" t="n">
        <v>0</v>
      </c>
      <c r="O91" s="6" t="n">
        <v>0</v>
      </c>
      <c r="P91" s="6" t="n">
        <v>0</v>
      </c>
      <c r="Q91" s="6" t="n">
        <v>0</v>
      </c>
      <c r="R91" s="6" t="n">
        <v>0</v>
      </c>
      <c r="S91" s="6" t="n">
        <v>0</v>
      </c>
      <c r="T91" s="6" t="n">
        <v>0</v>
      </c>
      <c r="U91" s="6" t="n">
        <v>0</v>
      </c>
      <c r="V91" s="6" t="n">
        <v>0</v>
      </c>
      <c r="W91" s="6" t="n">
        <v>0</v>
      </c>
      <c r="X91" s="6" t="n">
        <v>0</v>
      </c>
      <c r="Y91" s="6" t="n">
        <v>0</v>
      </c>
      <c r="Z91" s="6" t="n">
        <v>0</v>
      </c>
      <c r="AA91" s="6" t="n">
        <v>0</v>
      </c>
      <c r="AB91" s="6" t="n">
        <v>0</v>
      </c>
      <c r="AC91" s="6" t="n">
        <v>1</v>
      </c>
      <c r="AD91" s="6" t="n">
        <v>0</v>
      </c>
    </row>
    <row r="92">
      <c r="A92" s="8" t="n">
        <v>26</v>
      </c>
      <c r="B92" s="14">
        <f>IF(A92=1,"Safe (Start)",IF(OR(A92=$B$8,A92=$B$9),"Milestone",IF(AND($B$7&gt;0,MOD(A92,$B$7)=0),"Safe","Standard")))</f>
        <v/>
      </c>
      <c r="C92" s="14">
        <f>MIN(6,MAX(1,ROUNDUP(A92/$B$10,0)))</f>
        <v/>
      </c>
      <c r="D92" s="6">
        <f>$B$5</f>
        <v/>
      </c>
      <c r="E92" s="14">
        <f>MAX(0,$D92-$F92-$G92)</f>
        <v/>
      </c>
      <c r="F92" s="14">
        <f>IF($B92&lt;&gt;"Standard",0,MIN(3,MAX($B$6,IF($C92&lt;=2,1,IF($C92&lt;=4,2,3)))))</f>
        <v/>
      </c>
      <c r="G92" s="6" t="n">
        <v>0</v>
      </c>
      <c r="H92" s="15">
        <f>IF($D92&lt;=0,0,($D92-$F92)/$D92)</f>
        <v/>
      </c>
      <c r="I92" s="15">
        <f>IF($D92-$F92&lt;=0,0,$E92/($D92-$F92))</f>
        <v/>
      </c>
      <c r="J92" s="6" t="n">
        <v>5</v>
      </c>
      <c r="K92" s="6" t="n">
        <v>16</v>
      </c>
      <c r="L92" s="6" t="n">
        <v>0</v>
      </c>
      <c r="M92" s="6" t="n">
        <v>0</v>
      </c>
      <c r="N92" s="6" t="n">
        <v>0</v>
      </c>
      <c r="O92" s="6" t="n">
        <v>0</v>
      </c>
      <c r="P92" s="6" t="n">
        <v>0</v>
      </c>
      <c r="Q92" s="6" t="n">
        <v>0</v>
      </c>
      <c r="R92" s="6" t="n">
        <v>0</v>
      </c>
      <c r="S92" s="6" t="n">
        <v>0</v>
      </c>
      <c r="T92" s="6" t="n">
        <v>0</v>
      </c>
      <c r="U92" s="6" t="n">
        <v>0</v>
      </c>
      <c r="V92" s="6" t="n">
        <v>0</v>
      </c>
      <c r="W92" s="6" t="n">
        <v>0</v>
      </c>
      <c r="X92" s="6" t="n">
        <v>0</v>
      </c>
      <c r="Y92" s="6" t="n">
        <v>0</v>
      </c>
      <c r="Z92" s="6" t="n">
        <v>0</v>
      </c>
      <c r="AA92" s="6" t="n">
        <v>0</v>
      </c>
      <c r="AB92" s="6" t="n">
        <v>0</v>
      </c>
      <c r="AC92" s="6" t="n">
        <v>0</v>
      </c>
      <c r="AD92" s="6" t="n">
        <v>0</v>
      </c>
    </row>
    <row r="93">
      <c r="A93" s="8" t="n">
        <v>27</v>
      </c>
      <c r="B93" s="14">
        <f>IF(A93=1,"Safe (Start)",IF(OR(A93=$B$8,A93=$B$9),"Milestone",IF(AND($B$7&gt;0,MOD(A93,$B$7)=0),"Safe","Standard")))</f>
        <v/>
      </c>
      <c r="C93" s="14">
        <f>MIN(6,MAX(1,ROUNDUP(A93/$B$10,0)))</f>
        <v/>
      </c>
      <c r="D93" s="6">
        <f>$B$5</f>
        <v/>
      </c>
      <c r="E93" s="14">
        <f>MAX(0,$D93-$F93-$G93)</f>
        <v/>
      </c>
      <c r="F93" s="14">
        <f>IF($B93&lt;&gt;"Standard",0,MIN(3,MAX($B$6,IF($C93&lt;=2,1,IF($C93&lt;=4,2,3)))))</f>
        <v/>
      </c>
      <c r="G93" s="6" t="n">
        <v>0</v>
      </c>
      <c r="H93" s="15">
        <f>IF($D93&lt;=0,0,($D93-$F93)/$D93)</f>
        <v/>
      </c>
      <c r="I93" s="15">
        <f>IF($D93-$F93&lt;=0,0,$E93/($D93-$F93))</f>
        <v/>
      </c>
      <c r="J93" s="6" t="n">
        <v>5</v>
      </c>
      <c r="K93" s="6" t="n">
        <v>16</v>
      </c>
      <c r="L93" s="6" t="n">
        <v>0</v>
      </c>
      <c r="M93" s="6" t="n">
        <v>0</v>
      </c>
      <c r="N93" s="6" t="n">
        <v>0</v>
      </c>
      <c r="O93" s="6" t="n">
        <v>0</v>
      </c>
      <c r="P93" s="6" t="n">
        <v>0</v>
      </c>
      <c r="Q93" s="6" t="n">
        <v>0</v>
      </c>
      <c r="R93" s="6" t="n">
        <v>0</v>
      </c>
      <c r="S93" s="6" t="n">
        <v>0</v>
      </c>
      <c r="T93" s="6" t="n">
        <v>0</v>
      </c>
      <c r="U93" s="6" t="n">
        <v>0</v>
      </c>
      <c r="V93" s="6" t="n">
        <v>0</v>
      </c>
      <c r="W93" s="6" t="n">
        <v>0</v>
      </c>
      <c r="X93" s="6" t="n">
        <v>0</v>
      </c>
      <c r="Y93" s="6" t="n">
        <v>0</v>
      </c>
      <c r="Z93" s="6" t="n">
        <v>0</v>
      </c>
      <c r="AA93" s="6" t="n">
        <v>0</v>
      </c>
      <c r="AB93" s="6" t="n">
        <v>0</v>
      </c>
      <c r="AC93" s="6" t="n">
        <v>0</v>
      </c>
      <c r="AD93" s="6" t="n">
        <v>0</v>
      </c>
    </row>
    <row r="94">
      <c r="A94" s="8" t="n">
        <v>28</v>
      </c>
      <c r="B94" s="14">
        <f>IF(A94=1,"Safe (Start)",IF(OR(A94=$B$8,A94=$B$9),"Milestone",IF(AND($B$7&gt;0,MOD(A94,$B$7)=0),"Safe","Standard")))</f>
        <v/>
      </c>
      <c r="C94" s="14">
        <f>MIN(6,MAX(1,ROUNDUP(A94/$B$10,0)))</f>
        <v/>
      </c>
      <c r="D94" s="6">
        <f>$B$5</f>
        <v/>
      </c>
      <c r="E94" s="14">
        <f>MAX(0,$D94-$F94-$G94)</f>
        <v/>
      </c>
      <c r="F94" s="14">
        <f>IF($B94&lt;&gt;"Standard",0,MIN(3,MAX($B$6,IF($C94&lt;=2,1,IF($C94&lt;=4,2,3)))))</f>
        <v/>
      </c>
      <c r="G94" s="6" t="n">
        <v>0</v>
      </c>
      <c r="H94" s="15">
        <f>IF($D94&lt;=0,0,($D94-$F94)/$D94)</f>
        <v/>
      </c>
      <c r="I94" s="15">
        <f>IF($D94-$F94&lt;=0,0,$E94/($D94-$F94))</f>
        <v/>
      </c>
      <c r="J94" s="6" t="n">
        <v>5</v>
      </c>
      <c r="K94" s="6" t="n">
        <v>18</v>
      </c>
      <c r="L94" s="6" t="n">
        <v>0</v>
      </c>
      <c r="M94" s="6" t="n">
        <v>0</v>
      </c>
      <c r="N94" s="6" t="n">
        <v>0</v>
      </c>
      <c r="O94" s="6" t="n">
        <v>0</v>
      </c>
      <c r="P94" s="6" t="n">
        <v>0</v>
      </c>
      <c r="Q94" s="6" t="n">
        <v>0</v>
      </c>
      <c r="R94" s="6" t="n">
        <v>0</v>
      </c>
      <c r="S94" s="6" t="n">
        <v>0</v>
      </c>
      <c r="T94" s="6" t="n">
        <v>0</v>
      </c>
      <c r="U94" s="6" t="n">
        <v>0</v>
      </c>
      <c r="V94" s="6" t="n">
        <v>0</v>
      </c>
      <c r="W94" s="6" t="n">
        <v>0</v>
      </c>
      <c r="X94" s="6" t="n">
        <v>0</v>
      </c>
      <c r="Y94" s="6" t="n">
        <v>0</v>
      </c>
      <c r="Z94" s="6" t="n">
        <v>0</v>
      </c>
      <c r="AA94" s="6" t="n">
        <v>0</v>
      </c>
      <c r="AB94" s="6" t="n">
        <v>1</v>
      </c>
      <c r="AC94" s="6" t="n">
        <v>0</v>
      </c>
      <c r="AD94" s="6" t="n">
        <v>0</v>
      </c>
    </row>
    <row r="95">
      <c r="A95" s="8" t="n">
        <v>29</v>
      </c>
      <c r="B95" s="14">
        <f>IF(A95=1,"Safe (Start)",IF(OR(A95=$B$8,A95=$B$9),"Milestone",IF(AND($B$7&gt;0,MOD(A95,$B$7)=0),"Safe","Standard")))</f>
        <v/>
      </c>
      <c r="C95" s="14">
        <f>MIN(6,MAX(1,ROUNDUP(A95/$B$10,0)))</f>
        <v/>
      </c>
      <c r="D95" s="6">
        <f>$B$5</f>
        <v/>
      </c>
      <c r="E95" s="14">
        <f>MAX(0,$D95-$F95-$G95)</f>
        <v/>
      </c>
      <c r="F95" s="14">
        <f>IF($B95&lt;&gt;"Standard",0,MIN(3,MAX($B$6,IF($C95&lt;=2,1,IF($C95&lt;=4,2,3)))))</f>
        <v/>
      </c>
      <c r="G95" s="6" t="n">
        <v>0</v>
      </c>
      <c r="H95" s="15">
        <f>IF($D95&lt;=0,0,($D95-$F95)/$D95)</f>
        <v/>
      </c>
      <c r="I95" s="15">
        <f>IF($D95-$F95&lt;=0,0,$E95/($D95-$F95))</f>
        <v/>
      </c>
      <c r="J95" s="6" t="n">
        <v>5</v>
      </c>
      <c r="K95" s="6" t="n">
        <v>17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0</v>
      </c>
      <c r="Q95" s="6" t="n">
        <v>0</v>
      </c>
      <c r="R95" s="6" t="n">
        <v>0</v>
      </c>
      <c r="S95" s="6" t="n">
        <v>0</v>
      </c>
      <c r="T95" s="6" t="n">
        <v>0</v>
      </c>
      <c r="U95" s="6" t="n">
        <v>0</v>
      </c>
      <c r="V95" s="6" t="n">
        <v>0</v>
      </c>
      <c r="W95" s="6" t="n">
        <v>0</v>
      </c>
      <c r="X95" s="6" t="n">
        <v>0</v>
      </c>
      <c r="Y95" s="6" t="n">
        <v>0</v>
      </c>
      <c r="Z95" s="6" t="n">
        <v>0</v>
      </c>
      <c r="AA95" s="6" t="n">
        <v>0</v>
      </c>
      <c r="AB95" s="6" t="n">
        <v>0</v>
      </c>
      <c r="AC95" s="6" t="n">
        <v>0</v>
      </c>
      <c r="AD95" s="6" t="n">
        <v>0</v>
      </c>
    </row>
    <row r="96">
      <c r="A96" s="8" t="n">
        <v>30</v>
      </c>
      <c r="B96" s="14">
        <f>IF(A96=1,"Safe (Start)",IF(OR(A96=$B$8,A96=$B$9),"Milestone",IF(AND($B$7&gt;0,MOD(A96,$B$7)=0),"Safe","Standard")))</f>
        <v/>
      </c>
      <c r="C96" s="14">
        <f>MIN(6,MAX(1,ROUNDUP(A96/$B$10,0)))</f>
        <v/>
      </c>
      <c r="D96" s="6">
        <f>$B$5</f>
        <v/>
      </c>
      <c r="E96" s="14">
        <f>MAX(0,$D96-$F96-$G96)</f>
        <v/>
      </c>
      <c r="F96" s="14">
        <f>IF($B96&lt;&gt;"Standard",0,MIN(3,MAX($B$6,IF($C96&lt;=2,1,IF($C96&lt;=4,2,3)))))</f>
        <v/>
      </c>
      <c r="G96" s="6" t="n">
        <v>0</v>
      </c>
      <c r="H96" s="15">
        <f>IF($D96&lt;=0,0,($D96-$F96)/$D96)</f>
        <v/>
      </c>
      <c r="I96" s="15">
        <f>IF($D96-$F96&lt;=0,0,$E96/($D96-$F96))</f>
        <v/>
      </c>
      <c r="J96" s="6" t="n">
        <v>5</v>
      </c>
      <c r="K96" s="6" t="n">
        <v>19</v>
      </c>
      <c r="L96" s="6" t="n">
        <v>0</v>
      </c>
      <c r="M96" s="6" t="n">
        <v>2</v>
      </c>
      <c r="N96" s="6" t="n">
        <v>2</v>
      </c>
      <c r="O96" s="6" t="n">
        <v>1</v>
      </c>
      <c r="P96" s="6" t="n">
        <v>2</v>
      </c>
      <c r="Q96" s="6" t="n">
        <v>2</v>
      </c>
      <c r="R96" s="6" t="n">
        <v>1</v>
      </c>
      <c r="S96" s="6" t="n">
        <v>0</v>
      </c>
      <c r="T96" s="6" t="n">
        <v>0</v>
      </c>
      <c r="U96" s="6" t="n">
        <v>30</v>
      </c>
      <c r="V96" s="6" t="n">
        <v>30</v>
      </c>
      <c r="W96" s="6" t="n">
        <v>0</v>
      </c>
      <c r="X96" s="6" t="n">
        <v>0</v>
      </c>
      <c r="Y96" s="6" t="n">
        <v>2</v>
      </c>
      <c r="Z96" s="6" t="n">
        <v>1</v>
      </c>
      <c r="AA96" s="6" t="n">
        <v>1</v>
      </c>
      <c r="AB96" s="6" t="n">
        <v>0</v>
      </c>
      <c r="AC96" s="6" t="n">
        <v>0</v>
      </c>
      <c r="AD96" s="6" t="n">
        <v>0</v>
      </c>
    </row>
    <row r="97">
      <c r="A97" s="8" t="n">
        <v>31</v>
      </c>
      <c r="B97" s="14">
        <f>IF(A97=1,"Safe (Start)",IF(OR(A97=$B$8,A97=$B$9),"Milestone",IF(AND($B$7&gt;0,MOD(A97,$B$7)=0),"Safe","Standard")))</f>
        <v/>
      </c>
      <c r="C97" s="14">
        <f>MIN(6,MAX(1,ROUNDUP(A97/$B$10,0)))</f>
        <v/>
      </c>
      <c r="D97" s="6">
        <f>$B$5</f>
        <v/>
      </c>
      <c r="E97" s="14">
        <f>MAX(0,$D97-$F97-$G97)</f>
        <v/>
      </c>
      <c r="F97" s="14">
        <f>IF($B97&lt;&gt;"Standard",0,MIN(3,MAX($B$6,IF($C97&lt;=2,1,IF($C97&lt;=4,2,3)))))</f>
        <v/>
      </c>
      <c r="G97" s="6" t="n">
        <v>0</v>
      </c>
      <c r="H97" s="15">
        <f>IF($D97&lt;=0,0,($D97-$F97)/$D97)</f>
        <v/>
      </c>
      <c r="I97" s="15">
        <f>IF($D97-$F97&lt;=0,0,$E97/($D97-$F97))</f>
        <v/>
      </c>
      <c r="J97" s="6" t="n">
        <v>10</v>
      </c>
      <c r="K97" s="6" t="n">
        <v>19</v>
      </c>
      <c r="L97" s="6" t="n">
        <v>0</v>
      </c>
      <c r="M97" s="6" t="n">
        <v>0</v>
      </c>
      <c r="N97" s="6" t="n">
        <v>0</v>
      </c>
      <c r="O97" s="6" t="n">
        <v>0</v>
      </c>
      <c r="P97" s="6" t="n">
        <v>0</v>
      </c>
      <c r="Q97" s="6" t="n">
        <v>0</v>
      </c>
      <c r="R97" s="6" t="n">
        <v>0</v>
      </c>
      <c r="S97" s="6" t="n">
        <v>0</v>
      </c>
      <c r="T97" s="6" t="n">
        <v>0</v>
      </c>
      <c r="U97" s="6" t="n">
        <v>0</v>
      </c>
      <c r="V97" s="6" t="n">
        <v>0</v>
      </c>
      <c r="W97" s="6" t="n">
        <v>0</v>
      </c>
      <c r="X97" s="6" t="n">
        <v>0</v>
      </c>
      <c r="Y97" s="6" t="n">
        <v>0</v>
      </c>
      <c r="Z97" s="6" t="n">
        <v>0</v>
      </c>
      <c r="AA97" s="6" t="n">
        <v>0</v>
      </c>
      <c r="AB97" s="6" t="n">
        <v>0</v>
      </c>
      <c r="AC97" s="6" t="n">
        <v>0</v>
      </c>
      <c r="AD97" s="6" t="n">
        <v>0</v>
      </c>
    </row>
    <row r="98">
      <c r="A98" s="8" t="n">
        <v>32</v>
      </c>
      <c r="B98" s="14">
        <f>IF(A98=1,"Safe (Start)",IF(OR(A98=$B$8,A98=$B$9),"Milestone",IF(AND($B$7&gt;0,MOD(A98,$B$7)=0),"Safe","Standard")))</f>
        <v/>
      </c>
      <c r="C98" s="14">
        <f>MIN(6,MAX(1,ROUNDUP(A98/$B$10,0)))</f>
        <v/>
      </c>
      <c r="D98" s="6">
        <f>$B$5</f>
        <v/>
      </c>
      <c r="E98" s="14">
        <f>MAX(0,$D98-$F98-$G98)</f>
        <v/>
      </c>
      <c r="F98" s="14">
        <f>IF($B98&lt;&gt;"Standard",0,MIN(3,MAX($B$6,IF($C98&lt;=2,1,IF($C98&lt;=4,2,3)))))</f>
        <v/>
      </c>
      <c r="G98" s="6" t="n">
        <v>0</v>
      </c>
      <c r="H98" s="15">
        <f>IF($D98&lt;=0,0,($D98-$F98)/$D98)</f>
        <v/>
      </c>
      <c r="I98" s="15">
        <f>IF($D98-$F98&lt;=0,0,$E98/($D98-$F98))</f>
        <v/>
      </c>
      <c r="J98" s="6" t="n">
        <v>5</v>
      </c>
      <c r="K98" s="6" t="n">
        <v>20</v>
      </c>
      <c r="L98" s="6" t="n">
        <v>0</v>
      </c>
      <c r="M98" s="6" t="n">
        <v>0</v>
      </c>
      <c r="N98" s="6" t="n">
        <v>0</v>
      </c>
      <c r="O98" s="6" t="n">
        <v>1</v>
      </c>
      <c r="P98" s="6" t="n">
        <v>0</v>
      </c>
      <c r="Q98" s="6" t="n">
        <v>0</v>
      </c>
      <c r="R98" s="6" t="n">
        <v>0</v>
      </c>
      <c r="S98" s="6" t="n">
        <v>0</v>
      </c>
      <c r="T98" s="6" t="n">
        <v>0</v>
      </c>
      <c r="U98" s="6" t="n">
        <v>0</v>
      </c>
      <c r="V98" s="6" t="n">
        <v>0</v>
      </c>
      <c r="W98" s="6" t="n">
        <v>0</v>
      </c>
      <c r="X98" s="6" t="n">
        <v>0</v>
      </c>
      <c r="Y98" s="6" t="n">
        <v>0</v>
      </c>
      <c r="Z98" s="6" t="n">
        <v>0</v>
      </c>
      <c r="AA98" s="6" t="n">
        <v>0</v>
      </c>
      <c r="AB98" s="6" t="n">
        <v>0</v>
      </c>
      <c r="AC98" s="6" t="n">
        <v>0</v>
      </c>
      <c r="AD98" s="6" t="n">
        <v>0</v>
      </c>
    </row>
    <row r="99">
      <c r="A99" s="8" t="n">
        <v>33</v>
      </c>
      <c r="B99" s="14">
        <f>IF(A99=1,"Safe (Start)",IF(OR(A99=$B$8,A99=$B$9),"Milestone",IF(AND($B$7&gt;0,MOD(A99,$B$7)=0),"Safe","Standard")))</f>
        <v/>
      </c>
      <c r="C99" s="14">
        <f>MIN(6,MAX(1,ROUNDUP(A99/$B$10,0)))</f>
        <v/>
      </c>
      <c r="D99" s="6">
        <f>$B$5</f>
        <v/>
      </c>
      <c r="E99" s="14">
        <f>MAX(0,$D99-$F99-$G99)</f>
        <v/>
      </c>
      <c r="F99" s="14">
        <f>IF($B99&lt;&gt;"Standard",0,MIN(3,MAX($B$6,IF($C99&lt;=2,1,IF($C99&lt;=4,2,3)))))</f>
        <v/>
      </c>
      <c r="G99" s="6" t="n">
        <v>0</v>
      </c>
      <c r="H99" s="15">
        <f>IF($D99&lt;=0,0,($D99-$F99)/$D99)</f>
        <v/>
      </c>
      <c r="I99" s="15">
        <f>IF($D99-$F99&lt;=0,0,$E99/($D99-$F99))</f>
        <v/>
      </c>
      <c r="J99" s="6" t="n">
        <v>5</v>
      </c>
      <c r="K99" s="6" t="n">
        <v>21</v>
      </c>
      <c r="L99" s="6" t="n">
        <v>0</v>
      </c>
      <c r="M99" s="6" t="n">
        <v>0</v>
      </c>
      <c r="N99" s="6" t="n">
        <v>0</v>
      </c>
      <c r="O99" s="6" t="n">
        <v>0</v>
      </c>
      <c r="P99" s="6" t="n">
        <v>0</v>
      </c>
      <c r="Q99" s="6" t="n">
        <v>0</v>
      </c>
      <c r="R99" s="6" t="n">
        <v>0</v>
      </c>
      <c r="S99" s="6" t="n">
        <v>0</v>
      </c>
      <c r="T99" s="6" t="n">
        <v>0</v>
      </c>
      <c r="U99" s="6" t="n">
        <v>0</v>
      </c>
      <c r="V99" s="6" t="n">
        <v>0</v>
      </c>
      <c r="W99" s="6" t="n">
        <v>0</v>
      </c>
      <c r="X99" s="6" t="n">
        <v>0</v>
      </c>
      <c r="Y99" s="6" t="n">
        <v>0</v>
      </c>
      <c r="Z99" s="6" t="n">
        <v>0</v>
      </c>
      <c r="AA99" s="6" t="n">
        <v>0</v>
      </c>
      <c r="AB99" s="6" t="n">
        <v>0</v>
      </c>
      <c r="AC99" s="6" t="n">
        <v>0</v>
      </c>
      <c r="AD99" s="6" t="n">
        <v>0</v>
      </c>
    </row>
    <row r="100">
      <c r="A100" s="8" t="n">
        <v>34</v>
      </c>
      <c r="B100" s="14">
        <f>IF(A100=1,"Safe (Start)",IF(OR(A100=$B$8,A100=$B$9),"Milestone",IF(AND($B$7&gt;0,MOD(A100,$B$7)=0),"Safe","Standard")))</f>
        <v/>
      </c>
      <c r="C100" s="14">
        <f>MIN(6,MAX(1,ROUNDUP(A100/$B$10,0)))</f>
        <v/>
      </c>
      <c r="D100" s="6">
        <f>$B$5</f>
        <v/>
      </c>
      <c r="E100" s="14">
        <f>MAX(0,$D100-$F100-$G100)</f>
        <v/>
      </c>
      <c r="F100" s="14">
        <f>IF($B100&lt;&gt;"Standard",0,MIN(3,MAX($B$6,IF($C100&lt;=2,1,IF($C100&lt;=4,2,3)))))</f>
        <v/>
      </c>
      <c r="G100" s="6" t="n">
        <v>0</v>
      </c>
      <c r="H100" s="15">
        <f>IF($D100&lt;=0,0,($D100-$F100)/$D100)</f>
        <v/>
      </c>
      <c r="I100" s="15">
        <f>IF($D100-$F100&lt;=0,0,$E100/($D100-$F100))</f>
        <v/>
      </c>
      <c r="J100" s="6" t="n">
        <v>5</v>
      </c>
      <c r="K100" s="6" t="n">
        <v>21</v>
      </c>
      <c r="L100" s="6" t="n">
        <v>0</v>
      </c>
      <c r="M100" s="6" t="n">
        <v>0</v>
      </c>
      <c r="N100" s="6" t="n">
        <v>0</v>
      </c>
      <c r="O100" s="6" t="n">
        <v>0</v>
      </c>
      <c r="P100" s="6" t="n">
        <v>0</v>
      </c>
      <c r="Q100" s="6" t="n">
        <v>0</v>
      </c>
      <c r="R100" s="6" t="n">
        <v>0</v>
      </c>
      <c r="S100" s="6" t="n">
        <v>0</v>
      </c>
      <c r="T100" s="6" t="n">
        <v>0</v>
      </c>
      <c r="U100" s="6" t="n">
        <v>0</v>
      </c>
      <c r="V100" s="6" t="n">
        <v>0</v>
      </c>
      <c r="W100" s="6" t="n">
        <v>0</v>
      </c>
      <c r="X100" s="6" t="n">
        <v>0</v>
      </c>
      <c r="Y100" s="6" t="n">
        <v>0</v>
      </c>
      <c r="Z100" s="6" t="n">
        <v>0</v>
      </c>
      <c r="AA100" s="6" t="n">
        <v>0</v>
      </c>
      <c r="AB100" s="6" t="n">
        <v>0</v>
      </c>
      <c r="AC100" s="6" t="n">
        <v>0</v>
      </c>
      <c r="AD100" s="6" t="n">
        <v>0</v>
      </c>
    </row>
    <row r="101">
      <c r="A101" s="8" t="n">
        <v>35</v>
      </c>
      <c r="B101" s="14">
        <f>IF(A101=1,"Safe (Start)",IF(OR(A101=$B$8,A101=$B$9),"Milestone",IF(AND($B$7&gt;0,MOD(A101,$B$7)=0),"Safe","Standard")))</f>
        <v/>
      </c>
      <c r="C101" s="14">
        <f>MIN(6,MAX(1,ROUNDUP(A101/$B$10,0)))</f>
        <v/>
      </c>
      <c r="D101" s="6">
        <f>$B$5</f>
        <v/>
      </c>
      <c r="E101" s="14">
        <f>MAX(0,$D101-$F101-$G101)</f>
        <v/>
      </c>
      <c r="F101" s="14">
        <f>IF($B101&lt;&gt;"Standard",0,MIN(3,MAX($B$6,IF($C101&lt;=2,1,IF($C101&lt;=4,2,3)))))</f>
        <v/>
      </c>
      <c r="G101" s="6" t="n">
        <v>0</v>
      </c>
      <c r="H101" s="15">
        <f>IF($D101&lt;=0,0,($D101-$F101)/$D101)</f>
        <v/>
      </c>
      <c r="I101" s="15">
        <f>IF($D101-$F101&lt;=0,0,$E101/($D101-$F101))</f>
        <v/>
      </c>
      <c r="J101" s="6" t="n">
        <v>10</v>
      </c>
      <c r="K101" s="6" t="n">
        <v>22</v>
      </c>
      <c r="L101" s="6" t="n">
        <v>0</v>
      </c>
      <c r="M101" s="6" t="n">
        <v>0</v>
      </c>
      <c r="N101" s="6" t="n">
        <v>0</v>
      </c>
      <c r="O101" s="6" t="n">
        <v>0</v>
      </c>
      <c r="P101" s="6" t="n">
        <v>0</v>
      </c>
      <c r="Q101" s="6" t="n">
        <v>0</v>
      </c>
      <c r="R101" s="6" t="n">
        <v>0</v>
      </c>
      <c r="S101" s="6" t="n">
        <v>0</v>
      </c>
      <c r="T101" s="6" t="n">
        <v>0</v>
      </c>
      <c r="U101" s="6" t="n">
        <v>0</v>
      </c>
      <c r="V101" s="6" t="n">
        <v>0</v>
      </c>
      <c r="W101" s="6" t="n">
        <v>0</v>
      </c>
      <c r="X101" s="6" t="n">
        <v>0</v>
      </c>
      <c r="Y101" s="6" t="n">
        <v>0</v>
      </c>
      <c r="Z101" s="6" t="n">
        <v>0</v>
      </c>
      <c r="AA101" s="6" t="n">
        <v>0</v>
      </c>
      <c r="AB101" s="6" t="n">
        <v>0</v>
      </c>
      <c r="AC101" s="6" t="n">
        <v>0</v>
      </c>
      <c r="AD101" s="6" t="n">
        <v>0</v>
      </c>
    </row>
    <row r="102">
      <c r="A102" s="8" t="n">
        <v>36</v>
      </c>
      <c r="B102" s="14">
        <f>IF(A102=1,"Safe (Start)",IF(OR(A102=$B$8,A102=$B$9),"Milestone",IF(AND($B$7&gt;0,MOD(A102,$B$7)=0),"Safe","Standard")))</f>
        <v/>
      </c>
      <c r="C102" s="14">
        <f>MIN(6,MAX(1,ROUNDUP(A102/$B$10,0)))</f>
        <v/>
      </c>
      <c r="D102" s="6">
        <f>$B$5</f>
        <v/>
      </c>
      <c r="E102" s="14">
        <f>MAX(0,$D102-$F102-$G102)</f>
        <v/>
      </c>
      <c r="F102" s="14">
        <f>IF($B102&lt;&gt;"Standard",0,MIN(3,MAX($B$6,IF($C102&lt;=2,1,IF($C102&lt;=4,2,3)))))</f>
        <v/>
      </c>
      <c r="G102" s="6" t="n">
        <v>0</v>
      </c>
      <c r="H102" s="15">
        <f>IF($D102&lt;=0,0,($D102-$F102)/$D102)</f>
        <v/>
      </c>
      <c r="I102" s="15">
        <f>IF($D102-$F102&lt;=0,0,$E102/($D102-$F102))</f>
        <v/>
      </c>
      <c r="J102" s="6" t="n">
        <v>10</v>
      </c>
      <c r="K102" s="6" t="n">
        <v>23</v>
      </c>
      <c r="L102" s="6" t="n">
        <v>0</v>
      </c>
      <c r="M102" s="6" t="n">
        <v>0</v>
      </c>
      <c r="N102" s="6" t="n">
        <v>0</v>
      </c>
      <c r="O102" s="6" t="n">
        <v>0</v>
      </c>
      <c r="P102" s="6" t="n">
        <v>0</v>
      </c>
      <c r="Q102" s="6" t="n">
        <v>1</v>
      </c>
      <c r="R102" s="6" t="n">
        <v>0</v>
      </c>
      <c r="S102" s="6" t="n">
        <v>0</v>
      </c>
      <c r="T102" s="6" t="n">
        <v>0</v>
      </c>
      <c r="U102" s="6" t="n">
        <v>0</v>
      </c>
      <c r="V102" s="6" t="n">
        <v>0</v>
      </c>
      <c r="W102" s="6" t="n">
        <v>0</v>
      </c>
      <c r="X102" s="6" t="n">
        <v>0</v>
      </c>
      <c r="Y102" s="6" t="n">
        <v>0</v>
      </c>
      <c r="Z102" s="6" t="n">
        <v>0</v>
      </c>
      <c r="AA102" s="6" t="n">
        <v>0</v>
      </c>
      <c r="AB102" s="6" t="n">
        <v>0</v>
      </c>
      <c r="AC102" s="6" t="n">
        <v>0</v>
      </c>
      <c r="AD102" s="6" t="n">
        <v>0</v>
      </c>
    </row>
    <row r="103">
      <c r="A103" s="8" t="n">
        <v>37</v>
      </c>
      <c r="B103" s="14">
        <f>IF(A103=1,"Safe (Start)",IF(OR(A103=$B$8,A103=$B$9),"Milestone",IF(AND($B$7&gt;0,MOD(A103,$B$7)=0),"Safe","Standard")))</f>
        <v/>
      </c>
      <c r="C103" s="14">
        <f>MIN(6,MAX(1,ROUNDUP(A103/$B$10,0)))</f>
        <v/>
      </c>
      <c r="D103" s="6">
        <f>$B$5</f>
        <v/>
      </c>
      <c r="E103" s="14">
        <f>MAX(0,$D103-$F103-$G103)</f>
        <v/>
      </c>
      <c r="F103" s="14">
        <f>IF($B103&lt;&gt;"Standard",0,MIN(3,MAX($B$6,IF($C103&lt;=2,1,IF($C103&lt;=4,2,3)))))</f>
        <v/>
      </c>
      <c r="G103" s="6" t="n">
        <v>0</v>
      </c>
      <c r="H103" s="15">
        <f>IF($D103&lt;=0,0,($D103-$F103)/$D103)</f>
        <v/>
      </c>
      <c r="I103" s="15">
        <f>IF($D103-$F103&lt;=0,0,$E103/($D103-$F103))</f>
        <v/>
      </c>
      <c r="J103" s="6" t="n">
        <v>5</v>
      </c>
      <c r="K103" s="6" t="n">
        <v>24</v>
      </c>
      <c r="L103" s="6" t="n">
        <v>0</v>
      </c>
      <c r="M103" s="6" t="n">
        <v>0</v>
      </c>
      <c r="N103" s="6" t="n">
        <v>0</v>
      </c>
      <c r="O103" s="6" t="n">
        <v>0</v>
      </c>
      <c r="P103" s="6" t="n">
        <v>0</v>
      </c>
      <c r="Q103" s="6" t="n">
        <v>0</v>
      </c>
      <c r="R103" s="6" t="n">
        <v>0</v>
      </c>
      <c r="S103" s="6" t="n">
        <v>0</v>
      </c>
      <c r="T103" s="6" t="n">
        <v>0</v>
      </c>
      <c r="U103" s="6" t="n">
        <v>0</v>
      </c>
      <c r="V103" s="6" t="n">
        <v>0</v>
      </c>
      <c r="W103" s="6" t="n">
        <v>0</v>
      </c>
      <c r="X103" s="6" t="n">
        <v>0</v>
      </c>
      <c r="Y103" s="6" t="n">
        <v>0</v>
      </c>
      <c r="Z103" s="6" t="n">
        <v>0</v>
      </c>
      <c r="AA103" s="6" t="n">
        <v>0</v>
      </c>
      <c r="AB103" s="6" t="n">
        <v>0</v>
      </c>
      <c r="AC103" s="6" t="n">
        <v>0</v>
      </c>
      <c r="AD103" s="6" t="n">
        <v>0</v>
      </c>
    </row>
    <row r="104">
      <c r="A104" s="8" t="n">
        <v>38</v>
      </c>
      <c r="B104" s="14">
        <f>IF(A104=1,"Safe (Start)",IF(OR(A104=$B$8,A104=$B$9),"Milestone",IF(AND($B$7&gt;0,MOD(A104,$B$7)=0),"Safe","Standard")))</f>
        <v/>
      </c>
      <c r="C104" s="14">
        <f>MIN(6,MAX(1,ROUNDUP(A104/$B$10,0)))</f>
        <v/>
      </c>
      <c r="D104" s="6">
        <f>$B$5</f>
        <v/>
      </c>
      <c r="E104" s="14">
        <f>MAX(0,$D104-$F104-$G104)</f>
        <v/>
      </c>
      <c r="F104" s="14">
        <f>IF($B104&lt;&gt;"Standard",0,MIN(3,MAX($B$6,IF($C104&lt;=2,1,IF($C104&lt;=4,2,3)))))</f>
        <v/>
      </c>
      <c r="G104" s="6" t="n">
        <v>0</v>
      </c>
      <c r="H104" s="15">
        <f>IF($D104&lt;=0,0,($D104-$F104)/$D104)</f>
        <v/>
      </c>
      <c r="I104" s="15">
        <f>IF($D104-$F104&lt;=0,0,$E104/($D104-$F104))</f>
        <v/>
      </c>
      <c r="J104" s="6" t="n">
        <v>10</v>
      </c>
      <c r="K104" s="6" t="n">
        <v>24</v>
      </c>
      <c r="L104" s="6" t="n">
        <v>0</v>
      </c>
      <c r="M104" s="6" t="n">
        <v>0</v>
      </c>
      <c r="N104" s="6" t="n">
        <v>0</v>
      </c>
      <c r="O104" s="6" t="n">
        <v>0</v>
      </c>
      <c r="P104" s="6" t="n">
        <v>0</v>
      </c>
      <c r="Q104" s="6" t="n">
        <v>0</v>
      </c>
      <c r="R104" s="6" t="n">
        <v>0</v>
      </c>
      <c r="S104" s="6" t="n">
        <v>0</v>
      </c>
      <c r="T104" s="6" t="n">
        <v>0</v>
      </c>
      <c r="U104" s="6" t="n">
        <v>0</v>
      </c>
      <c r="V104" s="6" t="n">
        <v>0</v>
      </c>
      <c r="W104" s="6" t="n">
        <v>0</v>
      </c>
      <c r="X104" s="6" t="n">
        <v>0</v>
      </c>
      <c r="Y104" s="6" t="n">
        <v>0</v>
      </c>
      <c r="Z104" s="6" t="n">
        <v>0</v>
      </c>
      <c r="AA104" s="6" t="n">
        <v>0</v>
      </c>
      <c r="AB104" s="6" t="n">
        <v>0</v>
      </c>
      <c r="AC104" s="6" t="n">
        <v>1</v>
      </c>
      <c r="AD104" s="6" t="n">
        <v>0</v>
      </c>
    </row>
    <row r="105">
      <c r="A105" s="8" t="n">
        <v>39</v>
      </c>
      <c r="B105" s="14">
        <f>IF(A105=1,"Safe (Start)",IF(OR(A105=$B$8,A105=$B$9),"Milestone",IF(AND($B$7&gt;0,MOD(A105,$B$7)=0),"Safe","Standard")))</f>
        <v/>
      </c>
      <c r="C105" s="14">
        <f>MIN(6,MAX(1,ROUNDUP(A105/$B$10,0)))</f>
        <v/>
      </c>
      <c r="D105" s="6">
        <f>$B$5</f>
        <v/>
      </c>
      <c r="E105" s="14">
        <f>MAX(0,$D105-$F105-$G105)</f>
        <v/>
      </c>
      <c r="F105" s="14">
        <f>IF($B105&lt;&gt;"Standard",0,MIN(3,MAX($B$6,IF($C105&lt;=2,1,IF($C105&lt;=4,2,3)))))</f>
        <v/>
      </c>
      <c r="G105" s="6" t="n">
        <v>0</v>
      </c>
      <c r="H105" s="15">
        <f>IF($D105&lt;=0,0,($D105-$F105)/$D105)</f>
        <v/>
      </c>
      <c r="I105" s="15">
        <f>IF($D105-$F105&lt;=0,0,$E105/($D105-$F105))</f>
        <v/>
      </c>
      <c r="J105" s="6" t="n">
        <v>5</v>
      </c>
      <c r="K105" s="6" t="n">
        <v>24</v>
      </c>
      <c r="L105" s="6" t="n">
        <v>0</v>
      </c>
      <c r="M105" s="6" t="n">
        <v>0</v>
      </c>
      <c r="N105" s="6" t="n">
        <v>0</v>
      </c>
      <c r="O105" s="6" t="n">
        <v>0</v>
      </c>
      <c r="P105" s="6" t="n">
        <v>0</v>
      </c>
      <c r="Q105" s="6" t="n">
        <v>0</v>
      </c>
      <c r="R105" s="6" t="n">
        <v>0</v>
      </c>
      <c r="S105" s="6" t="n">
        <v>0</v>
      </c>
      <c r="T105" s="6" t="n">
        <v>0</v>
      </c>
      <c r="U105" s="6" t="n">
        <v>0</v>
      </c>
      <c r="V105" s="6" t="n">
        <v>0</v>
      </c>
      <c r="W105" s="6" t="n">
        <v>0</v>
      </c>
      <c r="X105" s="6" t="n">
        <v>0</v>
      </c>
      <c r="Y105" s="6" t="n">
        <v>0</v>
      </c>
      <c r="Z105" s="6" t="n">
        <v>0</v>
      </c>
      <c r="AA105" s="6" t="n">
        <v>0</v>
      </c>
      <c r="AB105" s="6" t="n">
        <v>0</v>
      </c>
      <c r="AC105" s="6" t="n">
        <v>0</v>
      </c>
      <c r="AD105" s="6" t="n">
        <v>0</v>
      </c>
    </row>
    <row r="106">
      <c r="A106" s="8" t="n">
        <v>40</v>
      </c>
      <c r="B106" s="14">
        <f>IF(A106=1,"Safe (Start)",IF(OR(A106=$B$8,A106=$B$9),"Milestone",IF(AND($B$7&gt;0,MOD(A106,$B$7)=0),"Safe","Standard")))</f>
        <v/>
      </c>
      <c r="C106" s="14">
        <f>MIN(6,MAX(1,ROUNDUP(A106/$B$10,0)))</f>
        <v/>
      </c>
      <c r="D106" s="6">
        <f>$B$5</f>
        <v/>
      </c>
      <c r="E106" s="14">
        <f>MAX(0,$D106-$F106-$G106)</f>
        <v/>
      </c>
      <c r="F106" s="14">
        <f>IF($B106&lt;&gt;"Standard",0,MIN(3,MAX($B$6,IF($C106&lt;=2,1,IF($C106&lt;=4,2,3)))))</f>
        <v/>
      </c>
      <c r="G106" s="6" t="n">
        <v>0</v>
      </c>
      <c r="H106" s="15">
        <f>IF($D106&lt;=0,0,($D106-$F106)/$D106)</f>
        <v/>
      </c>
      <c r="I106" s="15">
        <f>IF($D106-$F106&lt;=0,0,$E106/($D106-$F106))</f>
        <v/>
      </c>
      <c r="J106" s="6" t="n">
        <v>10</v>
      </c>
      <c r="K106" s="6" t="n">
        <v>26</v>
      </c>
      <c r="L106" s="6" t="n">
        <v>0</v>
      </c>
      <c r="M106" s="6" t="n">
        <v>0</v>
      </c>
      <c r="N106" s="6" t="n">
        <v>0</v>
      </c>
      <c r="O106" s="6" t="n">
        <v>1</v>
      </c>
      <c r="P106" s="6" t="n">
        <v>0</v>
      </c>
      <c r="Q106" s="6" t="n">
        <v>0</v>
      </c>
      <c r="R106" s="6" t="n">
        <v>0</v>
      </c>
      <c r="S106" s="6" t="n">
        <v>0</v>
      </c>
      <c r="T106" s="6" t="n">
        <v>0</v>
      </c>
      <c r="U106" s="6" t="n">
        <v>0</v>
      </c>
      <c r="V106" s="6" t="n">
        <v>0</v>
      </c>
      <c r="W106" s="6" t="n">
        <v>0</v>
      </c>
      <c r="X106" s="6" t="n">
        <v>0</v>
      </c>
      <c r="Y106" s="6" t="n">
        <v>0</v>
      </c>
      <c r="Z106" s="6" t="n">
        <v>0</v>
      </c>
      <c r="AA106" s="6" t="n">
        <v>0</v>
      </c>
      <c r="AB106" s="6" t="n">
        <v>0</v>
      </c>
      <c r="AC106" s="6" t="n">
        <v>0</v>
      </c>
      <c r="AD106" s="6" t="n">
        <v>0</v>
      </c>
    </row>
    <row r="107">
      <c r="A107" s="8" t="n">
        <v>41</v>
      </c>
      <c r="B107" s="14">
        <f>IF(A107=1,"Safe (Start)",IF(OR(A107=$B$8,A107=$B$9),"Milestone",IF(AND($B$7&gt;0,MOD(A107,$B$7)=0),"Safe","Standard")))</f>
        <v/>
      </c>
      <c r="C107" s="14">
        <f>MIN(6,MAX(1,ROUNDUP(A107/$B$10,0)))</f>
        <v/>
      </c>
      <c r="D107" s="6">
        <f>$B$5</f>
        <v/>
      </c>
      <c r="E107" s="14">
        <f>MAX(0,$D107-$F107-$G107)</f>
        <v/>
      </c>
      <c r="F107" s="14">
        <f>IF($B107&lt;&gt;"Standard",0,MIN(3,MAX($B$6,IF($C107&lt;=2,1,IF($C107&lt;=4,2,3)))))</f>
        <v/>
      </c>
      <c r="G107" s="6" t="n">
        <v>0</v>
      </c>
      <c r="H107" s="15">
        <f>IF($D107&lt;=0,0,($D107-$F107)/$D107)</f>
        <v/>
      </c>
      <c r="I107" s="15">
        <f>IF($D107-$F107&lt;=0,0,$E107/($D107-$F107))</f>
        <v/>
      </c>
      <c r="J107" s="6" t="n">
        <v>10</v>
      </c>
      <c r="K107" s="6" t="n">
        <v>26</v>
      </c>
      <c r="L107" s="6" t="n">
        <v>0</v>
      </c>
      <c r="M107" s="6" t="n">
        <v>0</v>
      </c>
      <c r="N107" s="6" t="n">
        <v>0</v>
      </c>
      <c r="O107" s="6" t="n">
        <v>0</v>
      </c>
      <c r="P107" s="6" t="n">
        <v>0</v>
      </c>
      <c r="Q107" s="6" t="n">
        <v>0</v>
      </c>
      <c r="R107" s="6" t="n">
        <v>0</v>
      </c>
      <c r="S107" s="6" t="n">
        <v>0</v>
      </c>
      <c r="T107" s="6" t="n">
        <v>0</v>
      </c>
      <c r="U107" s="6" t="n">
        <v>0</v>
      </c>
      <c r="V107" s="6" t="n">
        <v>0</v>
      </c>
      <c r="W107" s="6" t="n">
        <v>0</v>
      </c>
      <c r="X107" s="6" t="n">
        <v>0</v>
      </c>
      <c r="Y107" s="6" t="n">
        <v>0</v>
      </c>
      <c r="Z107" s="6" t="n">
        <v>0</v>
      </c>
      <c r="AA107" s="6" t="n">
        <v>0</v>
      </c>
      <c r="AB107" s="6" t="n">
        <v>0</v>
      </c>
      <c r="AC107" s="6" t="n">
        <v>0</v>
      </c>
      <c r="AD107" s="6" t="n">
        <v>0</v>
      </c>
    </row>
    <row r="108">
      <c r="A108" s="8" t="n">
        <v>42</v>
      </c>
      <c r="B108" s="14">
        <f>IF(A108=1,"Safe (Start)",IF(OR(A108=$B$8,A108=$B$9),"Milestone",IF(AND($B$7&gt;0,MOD(A108,$B$7)=0),"Safe","Standard")))</f>
        <v/>
      </c>
      <c r="C108" s="14">
        <f>MIN(6,MAX(1,ROUNDUP(A108/$B$10,0)))</f>
        <v/>
      </c>
      <c r="D108" s="6">
        <f>$B$5</f>
        <v/>
      </c>
      <c r="E108" s="14">
        <f>MAX(0,$D108-$F108-$G108)</f>
        <v/>
      </c>
      <c r="F108" s="14">
        <f>IF($B108&lt;&gt;"Standard",0,MIN(3,MAX($B$6,IF($C108&lt;=2,1,IF($C108&lt;=4,2,3)))))</f>
        <v/>
      </c>
      <c r="G108" s="6" t="n">
        <v>0</v>
      </c>
      <c r="H108" s="15">
        <f>IF($D108&lt;=0,0,($D108-$F108)/$D108)</f>
        <v/>
      </c>
      <c r="I108" s="15">
        <f>IF($D108-$F108&lt;=0,0,$E108/($D108-$F108))</f>
        <v/>
      </c>
      <c r="J108" s="6" t="n">
        <v>5</v>
      </c>
      <c r="K108" s="6" t="n">
        <v>27</v>
      </c>
      <c r="L108" s="6" t="n">
        <v>0</v>
      </c>
      <c r="M108" s="6" t="n">
        <v>0</v>
      </c>
      <c r="N108" s="6" t="n">
        <v>0</v>
      </c>
      <c r="O108" s="6" t="n">
        <v>0</v>
      </c>
      <c r="P108" s="6" t="n">
        <v>0</v>
      </c>
      <c r="Q108" s="6" t="n">
        <v>0</v>
      </c>
      <c r="R108" s="6" t="n">
        <v>0</v>
      </c>
      <c r="S108" s="6" t="n">
        <v>0</v>
      </c>
      <c r="T108" s="6" t="n">
        <v>0</v>
      </c>
      <c r="U108" s="6" t="n">
        <v>0</v>
      </c>
      <c r="V108" s="6" t="n">
        <v>0</v>
      </c>
      <c r="W108" s="6" t="n">
        <v>0</v>
      </c>
      <c r="X108" s="6" t="n">
        <v>0</v>
      </c>
      <c r="Y108" s="6" t="n">
        <v>0</v>
      </c>
      <c r="Z108" s="6" t="n">
        <v>0</v>
      </c>
      <c r="AA108" s="6" t="n">
        <v>0</v>
      </c>
      <c r="AB108" s="6" t="n">
        <v>0</v>
      </c>
      <c r="AC108" s="6" t="n">
        <v>0</v>
      </c>
      <c r="AD108" s="6" t="n">
        <v>0</v>
      </c>
    </row>
    <row r="109">
      <c r="A109" s="8" t="n">
        <v>43</v>
      </c>
      <c r="B109" s="14">
        <f>IF(A109=1,"Safe (Start)",IF(OR(A109=$B$8,A109=$B$9),"Milestone",IF(AND($B$7&gt;0,MOD(A109,$B$7)=0),"Safe","Standard")))</f>
        <v/>
      </c>
      <c r="C109" s="14">
        <f>MIN(6,MAX(1,ROUNDUP(A109/$B$10,0)))</f>
        <v/>
      </c>
      <c r="D109" s="6">
        <f>$B$5</f>
        <v/>
      </c>
      <c r="E109" s="14">
        <f>MAX(0,$D109-$F109-$G109)</f>
        <v/>
      </c>
      <c r="F109" s="14">
        <f>IF($B109&lt;&gt;"Standard",0,MIN(3,MAX($B$6,IF($C109&lt;=2,1,IF($C109&lt;=4,2,3)))))</f>
        <v/>
      </c>
      <c r="G109" s="6" t="n">
        <v>0</v>
      </c>
      <c r="H109" s="15">
        <f>IF($D109&lt;=0,0,($D109-$F109)/$D109)</f>
        <v/>
      </c>
      <c r="I109" s="15">
        <f>IF($D109-$F109&lt;=0,0,$E109/($D109-$F109))</f>
        <v/>
      </c>
      <c r="J109" s="6" t="n">
        <v>10</v>
      </c>
      <c r="K109" s="6" t="n">
        <v>28</v>
      </c>
      <c r="L109" s="6" t="n">
        <v>0</v>
      </c>
      <c r="M109" s="6" t="n">
        <v>0</v>
      </c>
      <c r="N109" s="6" t="n">
        <v>0</v>
      </c>
      <c r="O109" s="6" t="n">
        <v>0</v>
      </c>
      <c r="P109" s="6" t="n">
        <v>0</v>
      </c>
      <c r="Q109" s="6" t="n">
        <v>0</v>
      </c>
      <c r="R109" s="6" t="n">
        <v>0</v>
      </c>
      <c r="S109" s="6" t="n">
        <v>0</v>
      </c>
      <c r="T109" s="6" t="n">
        <v>0</v>
      </c>
      <c r="U109" s="6" t="n">
        <v>0</v>
      </c>
      <c r="V109" s="6" t="n">
        <v>0</v>
      </c>
      <c r="W109" s="6" t="n">
        <v>0</v>
      </c>
      <c r="X109" s="6" t="n">
        <v>0</v>
      </c>
      <c r="Y109" s="6" t="n">
        <v>0</v>
      </c>
      <c r="Z109" s="6" t="n">
        <v>0</v>
      </c>
      <c r="AA109" s="6" t="n">
        <v>0</v>
      </c>
      <c r="AB109" s="6" t="n">
        <v>0</v>
      </c>
      <c r="AC109" s="6" t="n">
        <v>0</v>
      </c>
      <c r="AD109" s="6" t="n">
        <v>0</v>
      </c>
    </row>
    <row r="110">
      <c r="A110" s="8" t="n">
        <v>44</v>
      </c>
      <c r="B110" s="14">
        <f>IF(A110=1,"Safe (Start)",IF(OR(A110=$B$8,A110=$B$9),"Milestone",IF(AND($B$7&gt;0,MOD(A110,$B$7)=0),"Safe","Standard")))</f>
        <v/>
      </c>
      <c r="C110" s="14">
        <f>MIN(6,MAX(1,ROUNDUP(A110/$B$10,0)))</f>
        <v/>
      </c>
      <c r="D110" s="6">
        <f>$B$5</f>
        <v/>
      </c>
      <c r="E110" s="14">
        <f>MAX(0,$D110-$F110-$G110)</f>
        <v/>
      </c>
      <c r="F110" s="14">
        <f>IF($B110&lt;&gt;"Standard",0,MIN(3,MAX($B$6,IF($C110&lt;=2,1,IF($C110&lt;=4,2,3)))))</f>
        <v/>
      </c>
      <c r="G110" s="6" t="n">
        <v>0</v>
      </c>
      <c r="H110" s="15">
        <f>IF($D110&lt;=0,0,($D110-$F110)/$D110)</f>
        <v/>
      </c>
      <c r="I110" s="15">
        <f>IF($D110-$F110&lt;=0,0,$E110/($D110-$F110))</f>
        <v/>
      </c>
      <c r="J110" s="6" t="n">
        <v>10</v>
      </c>
      <c r="K110" s="6" t="n">
        <v>28</v>
      </c>
      <c r="L110" s="6" t="n">
        <v>0</v>
      </c>
      <c r="M110" s="6" t="n">
        <v>0</v>
      </c>
      <c r="N110" s="6" t="n">
        <v>0</v>
      </c>
      <c r="O110" s="6" t="n">
        <v>0</v>
      </c>
      <c r="P110" s="6" t="n">
        <v>0</v>
      </c>
      <c r="Q110" s="6" t="n">
        <v>0</v>
      </c>
      <c r="R110" s="6" t="n">
        <v>0</v>
      </c>
      <c r="S110" s="6" t="n">
        <v>0</v>
      </c>
      <c r="T110" s="6" t="n">
        <v>0</v>
      </c>
      <c r="U110" s="6" t="n">
        <v>0</v>
      </c>
      <c r="V110" s="6" t="n">
        <v>0</v>
      </c>
      <c r="W110" s="6" t="n">
        <v>0</v>
      </c>
      <c r="X110" s="6" t="n">
        <v>0</v>
      </c>
      <c r="Y110" s="6" t="n">
        <v>0</v>
      </c>
      <c r="Z110" s="6" t="n">
        <v>0</v>
      </c>
      <c r="AA110" s="6" t="n">
        <v>0</v>
      </c>
      <c r="AB110" s="6" t="n">
        <v>0</v>
      </c>
      <c r="AC110" s="6" t="n">
        <v>0</v>
      </c>
      <c r="AD110" s="6" t="n">
        <v>0</v>
      </c>
    </row>
    <row r="111">
      <c r="A111" s="8" t="n">
        <v>45</v>
      </c>
      <c r="B111" s="14">
        <f>IF(A111=1,"Safe (Start)",IF(OR(A111=$B$8,A111=$B$9),"Milestone",IF(AND($B$7&gt;0,MOD(A111,$B$7)=0),"Safe","Standard")))</f>
        <v/>
      </c>
      <c r="C111" s="14">
        <f>MIN(6,MAX(1,ROUNDUP(A111/$B$10,0)))</f>
        <v/>
      </c>
      <c r="D111" s="6">
        <f>$B$5</f>
        <v/>
      </c>
      <c r="E111" s="14">
        <f>MAX(0,$D111-$F111-$G111)</f>
        <v/>
      </c>
      <c r="F111" s="14">
        <f>IF($B111&lt;&gt;"Standard",0,MIN(3,MAX($B$6,IF($C111&lt;=2,1,IF($C111&lt;=4,2,3)))))</f>
        <v/>
      </c>
      <c r="G111" s="6" t="n">
        <v>0</v>
      </c>
      <c r="H111" s="15">
        <f>IF($D111&lt;=0,0,($D111-$F111)/$D111)</f>
        <v/>
      </c>
      <c r="I111" s="15">
        <f>IF($D111-$F111&lt;=0,0,$E111/($D111-$F111))</f>
        <v/>
      </c>
      <c r="J111" s="6" t="n">
        <v>10</v>
      </c>
      <c r="K111" s="6" t="n">
        <v>29</v>
      </c>
      <c r="L111" s="6" t="n">
        <v>0</v>
      </c>
      <c r="M111" s="6" t="n">
        <v>0</v>
      </c>
      <c r="N111" s="6" t="n">
        <v>0</v>
      </c>
      <c r="O111" s="6" t="n">
        <v>0</v>
      </c>
      <c r="P111" s="6" t="n">
        <v>0</v>
      </c>
      <c r="Q111" s="6" t="n">
        <v>0</v>
      </c>
      <c r="R111" s="6" t="n">
        <v>1</v>
      </c>
      <c r="S111" s="6" t="n">
        <v>0</v>
      </c>
      <c r="T111" s="6" t="n">
        <v>0</v>
      </c>
      <c r="U111" s="6" t="n">
        <v>10</v>
      </c>
      <c r="V111" s="6" t="n">
        <v>0</v>
      </c>
      <c r="W111" s="6" t="n">
        <v>0</v>
      </c>
      <c r="X111" s="6" t="n">
        <v>0</v>
      </c>
      <c r="Y111" s="6" t="n">
        <v>0</v>
      </c>
      <c r="Z111" s="6" t="n">
        <v>0</v>
      </c>
      <c r="AA111" s="6" t="n">
        <v>0</v>
      </c>
      <c r="AB111" s="6" t="n">
        <v>0</v>
      </c>
      <c r="AC111" s="6" t="n">
        <v>0</v>
      </c>
      <c r="AD111" s="6" t="n">
        <v>0</v>
      </c>
    </row>
    <row r="112">
      <c r="A112" s="8" t="n">
        <v>46</v>
      </c>
      <c r="B112" s="14">
        <f>IF(A112=1,"Safe (Start)",IF(OR(A112=$B$8,A112=$B$9),"Milestone",IF(AND($B$7&gt;0,MOD(A112,$B$7)=0),"Safe","Standard")))</f>
        <v/>
      </c>
      <c r="C112" s="14">
        <f>MIN(6,MAX(1,ROUNDUP(A112/$B$10,0)))</f>
        <v/>
      </c>
      <c r="D112" s="6">
        <f>$B$5</f>
        <v/>
      </c>
      <c r="E112" s="14">
        <f>MAX(0,$D112-$F112-$G112)</f>
        <v/>
      </c>
      <c r="F112" s="14">
        <f>IF($B112&lt;&gt;"Standard",0,MIN(3,MAX($B$6,IF($C112&lt;=2,1,IF($C112&lt;=4,2,3)))))</f>
        <v/>
      </c>
      <c r="G112" s="6" t="n">
        <v>0</v>
      </c>
      <c r="H112" s="15">
        <f>IF($D112&lt;=0,0,($D112-$F112)/$D112)</f>
        <v/>
      </c>
      <c r="I112" s="15">
        <f>IF($D112-$F112&lt;=0,0,$E112/($D112-$F112))</f>
        <v/>
      </c>
      <c r="J112" s="6" t="n">
        <v>10</v>
      </c>
      <c r="K112" s="6" t="n">
        <v>30</v>
      </c>
      <c r="L112" s="6" t="n">
        <v>0</v>
      </c>
      <c r="M112" s="6" t="n">
        <v>0</v>
      </c>
      <c r="N112" s="6" t="n">
        <v>0</v>
      </c>
      <c r="O112" s="6" t="n">
        <v>1</v>
      </c>
      <c r="P112" s="6" t="n">
        <v>0</v>
      </c>
      <c r="Q112" s="6" t="n">
        <v>0</v>
      </c>
      <c r="R112" s="6" t="n">
        <v>0</v>
      </c>
      <c r="S112" s="6" t="n">
        <v>0</v>
      </c>
      <c r="T112" s="6" t="n">
        <v>0</v>
      </c>
      <c r="U112" s="6" t="n">
        <v>0</v>
      </c>
      <c r="V112" s="6" t="n">
        <v>0</v>
      </c>
      <c r="W112" s="6" t="n">
        <v>0</v>
      </c>
      <c r="X112" s="6" t="n">
        <v>0</v>
      </c>
      <c r="Y112" s="6" t="n">
        <v>0</v>
      </c>
      <c r="Z112" s="6" t="n">
        <v>0</v>
      </c>
      <c r="AA112" s="6" t="n">
        <v>0</v>
      </c>
      <c r="AB112" s="6" t="n">
        <v>0</v>
      </c>
      <c r="AC112" s="6" t="n">
        <v>0</v>
      </c>
      <c r="AD112" s="6" t="n">
        <v>0</v>
      </c>
    </row>
    <row r="113">
      <c r="A113" s="8" t="n">
        <v>47</v>
      </c>
      <c r="B113" s="14">
        <f>IF(A113=1,"Safe (Start)",IF(OR(A113=$B$8,A113=$B$9),"Milestone",IF(AND($B$7&gt;0,MOD(A113,$B$7)=0),"Safe","Standard")))</f>
        <v/>
      </c>
      <c r="C113" s="14">
        <f>MIN(6,MAX(1,ROUNDUP(A113/$B$10,0)))</f>
        <v/>
      </c>
      <c r="D113" s="6">
        <f>$B$5</f>
        <v/>
      </c>
      <c r="E113" s="14">
        <f>MAX(0,$D113-$F113-$G113)</f>
        <v/>
      </c>
      <c r="F113" s="14">
        <f>IF($B113&lt;&gt;"Standard",0,MIN(3,MAX($B$6,IF($C113&lt;=2,1,IF($C113&lt;=4,2,3)))))</f>
        <v/>
      </c>
      <c r="G113" s="6" t="n">
        <v>0</v>
      </c>
      <c r="H113" s="15">
        <f>IF($D113&lt;=0,0,($D113-$F113)/$D113)</f>
        <v/>
      </c>
      <c r="I113" s="15">
        <f>IF($D113-$F113&lt;=0,0,$E113/($D113-$F113))</f>
        <v/>
      </c>
      <c r="J113" s="6" t="n">
        <v>10</v>
      </c>
      <c r="K113" s="6" t="n">
        <v>30</v>
      </c>
      <c r="L113" s="6" t="n">
        <v>0</v>
      </c>
      <c r="M113" s="6" t="n">
        <v>0</v>
      </c>
      <c r="N113" s="6" t="n">
        <v>0</v>
      </c>
      <c r="O113" s="6" t="n">
        <v>0</v>
      </c>
      <c r="P113" s="6" t="n">
        <v>0</v>
      </c>
      <c r="Q113" s="6" t="n">
        <v>0</v>
      </c>
      <c r="R113" s="6" t="n">
        <v>0</v>
      </c>
      <c r="S113" s="6" t="n">
        <v>0</v>
      </c>
      <c r="T113" s="6" t="n">
        <v>0</v>
      </c>
      <c r="U113" s="6" t="n">
        <v>0</v>
      </c>
      <c r="V113" s="6" t="n">
        <v>0</v>
      </c>
      <c r="W113" s="6" t="n">
        <v>0</v>
      </c>
      <c r="X113" s="6" t="n">
        <v>0</v>
      </c>
      <c r="Y113" s="6" t="n">
        <v>0</v>
      </c>
      <c r="Z113" s="6" t="n">
        <v>0</v>
      </c>
      <c r="AA113" s="6" t="n">
        <v>0</v>
      </c>
      <c r="AB113" s="6" t="n">
        <v>1</v>
      </c>
      <c r="AC113" s="6" t="n">
        <v>1</v>
      </c>
      <c r="AD113" s="6" t="n">
        <v>0</v>
      </c>
    </row>
    <row r="114">
      <c r="A114" s="8" t="n">
        <v>48</v>
      </c>
      <c r="B114" s="14">
        <f>IF(A114=1,"Safe (Start)",IF(OR(A114=$B$8,A114=$B$9),"Milestone",IF(AND($B$7&gt;0,MOD(A114,$B$7)=0),"Safe","Standard")))</f>
        <v/>
      </c>
      <c r="C114" s="14">
        <f>MIN(6,MAX(1,ROUNDUP(A114/$B$10,0)))</f>
        <v/>
      </c>
      <c r="D114" s="6">
        <f>$B$5</f>
        <v/>
      </c>
      <c r="E114" s="14">
        <f>MAX(0,$D114-$F114-$G114)</f>
        <v/>
      </c>
      <c r="F114" s="14">
        <f>IF($B114&lt;&gt;"Standard",0,MIN(3,MAX($B$6,IF($C114&lt;=2,1,IF($C114&lt;=4,2,3)))))</f>
        <v/>
      </c>
      <c r="G114" s="6" t="n">
        <v>0</v>
      </c>
      <c r="H114" s="15">
        <f>IF($D114&lt;=0,0,($D114-$F114)/$D114)</f>
        <v/>
      </c>
      <c r="I114" s="15">
        <f>IF($D114-$F114&lt;=0,0,$E114/($D114-$F114))</f>
        <v/>
      </c>
      <c r="J114" s="6" t="n">
        <v>10</v>
      </c>
      <c r="K114" s="6" t="n">
        <v>32</v>
      </c>
      <c r="L114" s="6" t="n">
        <v>0</v>
      </c>
      <c r="M114" s="6" t="n">
        <v>0</v>
      </c>
      <c r="N114" s="6" t="n">
        <v>0</v>
      </c>
      <c r="O114" s="6" t="n">
        <v>0</v>
      </c>
      <c r="P114" s="6" t="n">
        <v>0</v>
      </c>
      <c r="Q114" s="6" t="n">
        <v>0</v>
      </c>
      <c r="R114" s="6" t="n">
        <v>0</v>
      </c>
      <c r="S114" s="6" t="n">
        <v>0</v>
      </c>
      <c r="T114" s="6" t="n">
        <v>0</v>
      </c>
      <c r="U114" s="6" t="n">
        <v>0</v>
      </c>
      <c r="V114" s="6" t="n">
        <v>0</v>
      </c>
      <c r="W114" s="6" t="n">
        <v>0</v>
      </c>
      <c r="X114" s="6" t="n">
        <v>0</v>
      </c>
      <c r="Y114" s="6" t="n">
        <v>0</v>
      </c>
      <c r="Z114" s="6" t="n">
        <v>0</v>
      </c>
      <c r="AA114" s="6" t="n">
        <v>0</v>
      </c>
      <c r="AB114" s="6" t="n">
        <v>0</v>
      </c>
      <c r="AC114" s="6" t="n">
        <v>0</v>
      </c>
      <c r="AD114" s="6" t="n">
        <v>0</v>
      </c>
    </row>
    <row r="115">
      <c r="A115" s="8" t="n">
        <v>49</v>
      </c>
      <c r="B115" s="14">
        <f>IF(A115=1,"Safe (Start)",IF(OR(A115=$B$8,A115=$B$9),"Milestone",IF(AND($B$7&gt;0,MOD(A115,$B$7)=0),"Safe","Standard")))</f>
        <v/>
      </c>
      <c r="C115" s="14">
        <f>MIN(6,MAX(1,ROUNDUP(A115/$B$10,0)))</f>
        <v/>
      </c>
      <c r="D115" s="6">
        <f>$B$5</f>
        <v/>
      </c>
      <c r="E115" s="14">
        <f>MAX(0,$D115-$F115-$G115)</f>
        <v/>
      </c>
      <c r="F115" s="14">
        <f>IF($B115&lt;&gt;"Standard",0,MIN(3,MAX($B$6,IF($C115&lt;=2,1,IF($C115&lt;=4,2,3)))))</f>
        <v/>
      </c>
      <c r="G115" s="6" t="n">
        <v>0</v>
      </c>
      <c r="H115" s="15">
        <f>IF($D115&lt;=0,0,($D115-$F115)/$D115)</f>
        <v/>
      </c>
      <c r="I115" s="15">
        <f>IF($D115-$F115&lt;=0,0,$E115/($D115-$F115))</f>
        <v/>
      </c>
      <c r="J115" s="6" t="n">
        <v>10</v>
      </c>
      <c r="K115" s="6" t="n">
        <v>31</v>
      </c>
      <c r="L115" s="6" t="n">
        <v>0</v>
      </c>
      <c r="M115" s="6" t="n">
        <v>0</v>
      </c>
      <c r="N115" s="6" t="n">
        <v>0</v>
      </c>
      <c r="O115" s="6" t="n">
        <v>0</v>
      </c>
      <c r="P115" s="6" t="n">
        <v>0</v>
      </c>
      <c r="Q115" s="6" t="n">
        <v>0</v>
      </c>
      <c r="R115" s="6" t="n">
        <v>0</v>
      </c>
      <c r="S115" s="6" t="n">
        <v>0</v>
      </c>
      <c r="T115" s="6" t="n">
        <v>0</v>
      </c>
      <c r="U115" s="6" t="n">
        <v>0</v>
      </c>
      <c r="V115" s="6" t="n">
        <v>0</v>
      </c>
      <c r="W115" s="6" t="n">
        <v>0</v>
      </c>
      <c r="X115" s="6" t="n">
        <v>0</v>
      </c>
      <c r="Y115" s="6" t="n">
        <v>0</v>
      </c>
      <c r="Z115" s="6" t="n">
        <v>0</v>
      </c>
      <c r="AA115" s="6" t="n">
        <v>0</v>
      </c>
      <c r="AB115" s="6" t="n">
        <v>0</v>
      </c>
      <c r="AC115" s="6" t="n">
        <v>0</v>
      </c>
      <c r="AD115" s="6" t="n">
        <v>0</v>
      </c>
    </row>
    <row r="116">
      <c r="A116" s="8" t="n">
        <v>50</v>
      </c>
      <c r="B116" s="14">
        <f>IF(A116=1,"Safe (Start)",IF(OR(A116=$B$8,A116=$B$9),"Milestone",IF(AND($B$7&gt;0,MOD(A116,$B$7)=0),"Safe","Standard")))</f>
        <v/>
      </c>
      <c r="C116" s="14">
        <f>MIN(6,MAX(1,ROUNDUP(A116/$B$10,0)))</f>
        <v/>
      </c>
      <c r="D116" s="6">
        <f>$B$5</f>
        <v/>
      </c>
      <c r="E116" s="14">
        <f>MAX(0,$D116-$F116-$G116)</f>
        <v/>
      </c>
      <c r="F116" s="14">
        <f>IF($B116&lt;&gt;"Standard",0,MIN(3,MAX($B$6,IF($C116&lt;=2,1,IF($C116&lt;=4,2,3)))))</f>
        <v/>
      </c>
      <c r="G116" s="6" t="n">
        <v>0</v>
      </c>
      <c r="H116" s="15">
        <f>IF($D116&lt;=0,0,($D116-$F116)/$D116)</f>
        <v/>
      </c>
      <c r="I116" s="15">
        <f>IF($D116-$F116&lt;=0,0,$E116/($D116-$F116))</f>
        <v/>
      </c>
      <c r="J116" s="6" t="n">
        <v>10</v>
      </c>
      <c r="K116" s="6" t="n">
        <v>33</v>
      </c>
      <c r="L116" s="6" t="n">
        <v>0</v>
      </c>
      <c r="M116" s="6" t="n">
        <v>0</v>
      </c>
      <c r="N116" s="6" t="n">
        <v>0</v>
      </c>
      <c r="O116" s="6" t="n">
        <v>0</v>
      </c>
      <c r="P116" s="6" t="n">
        <v>0</v>
      </c>
      <c r="Q116" s="6" t="n">
        <v>0</v>
      </c>
      <c r="R116" s="6" t="n">
        <v>0</v>
      </c>
      <c r="S116" s="6" t="n">
        <v>0</v>
      </c>
      <c r="T116" s="6" t="n">
        <v>0</v>
      </c>
      <c r="U116" s="6" t="n">
        <v>0</v>
      </c>
      <c r="V116" s="6" t="n">
        <v>0</v>
      </c>
      <c r="W116" s="6" t="n">
        <v>0</v>
      </c>
      <c r="X116" s="6" t="n">
        <v>0</v>
      </c>
      <c r="Y116" s="6" t="n">
        <v>0</v>
      </c>
      <c r="Z116" s="6" t="n">
        <v>0</v>
      </c>
      <c r="AA116" s="6" t="n">
        <v>0</v>
      </c>
      <c r="AB116" s="6" t="n">
        <v>0</v>
      </c>
      <c r="AC116" s="6" t="n">
        <v>0</v>
      </c>
      <c r="AD116" s="6" t="n">
        <v>0</v>
      </c>
    </row>
    <row r="117">
      <c r="A117" s="8" t="n">
        <v>51</v>
      </c>
      <c r="B117" s="14">
        <f>IF(A117=1,"Safe (Start)",IF(OR(A117=$B$8,A117=$B$9),"Milestone",IF(AND($B$7&gt;0,MOD(A117,$B$7)=0),"Safe","Standard")))</f>
        <v/>
      </c>
      <c r="C117" s="14">
        <f>MIN(6,MAX(1,ROUNDUP(A117/$B$10,0)))</f>
        <v/>
      </c>
      <c r="D117" s="6">
        <f>$B$5</f>
        <v/>
      </c>
      <c r="E117" s="14">
        <f>MAX(0,$D117-$F117-$G117)</f>
        <v/>
      </c>
      <c r="F117" s="14">
        <f>IF($B117&lt;&gt;"Standard",0,MIN(3,MAX($B$6,IF($C117&lt;=2,1,IF($C117&lt;=4,2,3)))))</f>
        <v/>
      </c>
      <c r="G117" s="6" t="n">
        <v>0</v>
      </c>
      <c r="H117" s="15">
        <f>IF($D117&lt;=0,0,($D117-$F117)/$D117)</f>
        <v/>
      </c>
      <c r="I117" s="15">
        <f>IF($D117-$F117&lt;=0,0,$E117/($D117-$F117))</f>
        <v/>
      </c>
      <c r="J117" s="6" t="n">
        <v>10</v>
      </c>
      <c r="K117" s="6" t="n">
        <v>33</v>
      </c>
      <c r="L117" s="6" t="n">
        <v>0</v>
      </c>
      <c r="M117" s="6" t="n">
        <v>0</v>
      </c>
      <c r="N117" s="6" t="n">
        <v>0</v>
      </c>
      <c r="O117" s="6" t="n">
        <v>0</v>
      </c>
      <c r="P117" s="6" t="n">
        <v>0</v>
      </c>
      <c r="Q117" s="6" t="n">
        <v>0</v>
      </c>
      <c r="R117" s="6" t="n">
        <v>0</v>
      </c>
      <c r="S117" s="6" t="n">
        <v>0</v>
      </c>
      <c r="T117" s="6" t="n">
        <v>0</v>
      </c>
      <c r="U117" s="6" t="n">
        <v>0</v>
      </c>
      <c r="V117" s="6" t="n">
        <v>0</v>
      </c>
      <c r="W117" s="6" t="n">
        <v>0</v>
      </c>
      <c r="X117" s="6" t="n">
        <v>0</v>
      </c>
      <c r="Y117" s="6" t="n">
        <v>0</v>
      </c>
      <c r="Z117" s="6" t="n">
        <v>0</v>
      </c>
      <c r="AA117" s="6" t="n">
        <v>0</v>
      </c>
      <c r="AB117" s="6" t="n">
        <v>0</v>
      </c>
      <c r="AC117" s="6" t="n">
        <v>0</v>
      </c>
      <c r="AD117" s="6" t="n">
        <v>0</v>
      </c>
    </row>
    <row r="118">
      <c r="A118" s="8" t="n">
        <v>52</v>
      </c>
      <c r="B118" s="14">
        <f>IF(A118=1,"Safe (Start)",IF(OR(A118=$B$8,A118=$B$9),"Milestone",IF(AND($B$7&gt;0,MOD(A118,$B$7)=0),"Safe","Standard")))</f>
        <v/>
      </c>
      <c r="C118" s="14">
        <f>MIN(6,MAX(1,ROUNDUP(A118/$B$10,0)))</f>
        <v/>
      </c>
      <c r="D118" s="6">
        <f>$B$5</f>
        <v/>
      </c>
      <c r="E118" s="14">
        <f>MAX(0,$D118-$F118-$G118)</f>
        <v/>
      </c>
      <c r="F118" s="14">
        <f>IF($B118&lt;&gt;"Standard",0,MIN(3,MAX($B$6,IF($C118&lt;=2,1,IF($C118&lt;=4,2,3)))))</f>
        <v/>
      </c>
      <c r="G118" s="6" t="n">
        <v>0</v>
      </c>
      <c r="H118" s="15">
        <f>IF($D118&lt;=0,0,($D118-$F118)/$D118)</f>
        <v/>
      </c>
      <c r="I118" s="15">
        <f>IF($D118-$F118&lt;=0,0,$E118/($D118-$F118))</f>
        <v/>
      </c>
      <c r="J118" s="6" t="n">
        <v>15</v>
      </c>
      <c r="K118" s="6" t="n">
        <v>34</v>
      </c>
      <c r="L118" s="6" t="n">
        <v>0</v>
      </c>
      <c r="M118" s="6" t="n">
        <v>0</v>
      </c>
      <c r="N118" s="6" t="n">
        <v>0</v>
      </c>
      <c r="O118" s="6" t="n">
        <v>1</v>
      </c>
      <c r="P118" s="6" t="n">
        <v>0</v>
      </c>
      <c r="Q118" s="6" t="n">
        <v>0</v>
      </c>
      <c r="R118" s="6" t="n">
        <v>0</v>
      </c>
      <c r="S118" s="6" t="n">
        <v>0</v>
      </c>
      <c r="T118" s="6" t="n">
        <v>0</v>
      </c>
      <c r="U118" s="6" t="n">
        <v>0</v>
      </c>
      <c r="V118" s="6" t="n">
        <v>0</v>
      </c>
      <c r="W118" s="6" t="n">
        <v>0</v>
      </c>
      <c r="X118" s="6" t="n">
        <v>0</v>
      </c>
      <c r="Y118" s="6" t="n">
        <v>0</v>
      </c>
      <c r="Z118" s="6" t="n">
        <v>0</v>
      </c>
      <c r="AA118" s="6" t="n">
        <v>0</v>
      </c>
      <c r="AB118" s="6" t="n">
        <v>0</v>
      </c>
      <c r="AC118" s="6" t="n">
        <v>0</v>
      </c>
      <c r="AD118" s="6" t="n">
        <v>0</v>
      </c>
    </row>
    <row r="119">
      <c r="A119" s="8" t="n">
        <v>53</v>
      </c>
      <c r="B119" s="14">
        <f>IF(A119=1,"Safe (Start)",IF(OR(A119=$B$8,A119=$B$9),"Milestone",IF(AND($B$7&gt;0,MOD(A119,$B$7)=0),"Safe","Standard")))</f>
        <v/>
      </c>
      <c r="C119" s="14">
        <f>MIN(6,MAX(1,ROUNDUP(A119/$B$10,0)))</f>
        <v/>
      </c>
      <c r="D119" s="6">
        <f>$B$5</f>
        <v/>
      </c>
      <c r="E119" s="14">
        <f>MAX(0,$D119-$F119-$G119)</f>
        <v/>
      </c>
      <c r="F119" s="14">
        <f>IF($B119&lt;&gt;"Standard",0,MIN(3,MAX($B$6,IF($C119&lt;=2,1,IF($C119&lt;=4,2,3)))))</f>
        <v/>
      </c>
      <c r="G119" s="6" t="n">
        <v>0</v>
      </c>
      <c r="H119" s="15">
        <f>IF($D119&lt;=0,0,($D119-$F119)/$D119)</f>
        <v/>
      </c>
      <c r="I119" s="15">
        <f>IF($D119-$F119&lt;=0,0,$E119/($D119-$F119))</f>
        <v/>
      </c>
      <c r="J119" s="6" t="n">
        <v>10</v>
      </c>
      <c r="K119" s="6" t="n">
        <v>35</v>
      </c>
      <c r="L119" s="6" t="n">
        <v>0</v>
      </c>
      <c r="M119" s="6" t="n">
        <v>0</v>
      </c>
      <c r="N119" s="6" t="n">
        <v>0</v>
      </c>
      <c r="O119" s="6" t="n">
        <v>0</v>
      </c>
      <c r="P119" s="6" t="n">
        <v>0</v>
      </c>
      <c r="Q119" s="6" t="n">
        <v>0</v>
      </c>
      <c r="R119" s="6" t="n">
        <v>0</v>
      </c>
      <c r="S119" s="6" t="n">
        <v>0</v>
      </c>
      <c r="T119" s="6" t="n">
        <v>0</v>
      </c>
      <c r="U119" s="6" t="n">
        <v>0</v>
      </c>
      <c r="V119" s="6" t="n">
        <v>0</v>
      </c>
      <c r="W119" s="6" t="n">
        <v>0</v>
      </c>
      <c r="X119" s="6" t="n">
        <v>0</v>
      </c>
      <c r="Y119" s="6" t="n">
        <v>0</v>
      </c>
      <c r="Z119" s="6" t="n">
        <v>0</v>
      </c>
      <c r="AA119" s="6" t="n">
        <v>0</v>
      </c>
      <c r="AB119" s="6" t="n">
        <v>0</v>
      </c>
      <c r="AC119" s="6" t="n">
        <v>0</v>
      </c>
      <c r="AD119" s="6" t="n">
        <v>0</v>
      </c>
    </row>
    <row r="120">
      <c r="A120" s="8" t="n">
        <v>54</v>
      </c>
      <c r="B120" s="14">
        <f>IF(A120=1,"Safe (Start)",IF(OR(A120=$B$8,A120=$B$9),"Milestone",IF(AND($B$7&gt;0,MOD(A120,$B$7)=0),"Safe","Standard")))</f>
        <v/>
      </c>
      <c r="C120" s="14">
        <f>MIN(6,MAX(1,ROUNDUP(A120/$B$10,0)))</f>
        <v/>
      </c>
      <c r="D120" s="6">
        <f>$B$5</f>
        <v/>
      </c>
      <c r="E120" s="14">
        <f>MAX(0,$D120-$F120-$G120)</f>
        <v/>
      </c>
      <c r="F120" s="14">
        <f>IF($B120&lt;&gt;"Standard",0,MIN(3,MAX($B$6,IF($C120&lt;=2,1,IF($C120&lt;=4,2,3)))))</f>
        <v/>
      </c>
      <c r="G120" s="6" t="n">
        <v>0</v>
      </c>
      <c r="H120" s="15">
        <f>IF($D120&lt;=0,0,($D120-$F120)/$D120)</f>
        <v/>
      </c>
      <c r="I120" s="15">
        <f>IF($D120-$F120&lt;=0,0,$E120/($D120-$F120))</f>
        <v/>
      </c>
      <c r="J120" s="6" t="n">
        <v>10</v>
      </c>
      <c r="K120" s="6" t="n">
        <v>35</v>
      </c>
      <c r="L120" s="6" t="n">
        <v>0</v>
      </c>
      <c r="M120" s="6" t="n">
        <v>0</v>
      </c>
      <c r="N120" s="6" t="n">
        <v>0</v>
      </c>
      <c r="O120" s="6" t="n">
        <v>0</v>
      </c>
      <c r="P120" s="6" t="n">
        <v>0</v>
      </c>
      <c r="Q120" s="6" t="n">
        <v>0</v>
      </c>
      <c r="R120" s="6" t="n">
        <v>0</v>
      </c>
      <c r="S120" s="6" t="n">
        <v>0</v>
      </c>
      <c r="T120" s="6" t="n">
        <v>0</v>
      </c>
      <c r="U120" s="6" t="n">
        <v>0</v>
      </c>
      <c r="V120" s="6" t="n">
        <v>0</v>
      </c>
      <c r="W120" s="6" t="n">
        <v>0</v>
      </c>
      <c r="X120" s="6" t="n">
        <v>0</v>
      </c>
      <c r="Y120" s="6" t="n">
        <v>0</v>
      </c>
      <c r="Z120" s="6" t="n">
        <v>0</v>
      </c>
      <c r="AA120" s="6" t="n">
        <v>0</v>
      </c>
      <c r="AB120" s="6" t="n">
        <v>0</v>
      </c>
      <c r="AC120" s="6" t="n">
        <v>0</v>
      </c>
      <c r="AD120" s="6" t="n">
        <v>0</v>
      </c>
    </row>
    <row r="121">
      <c r="A121" s="8" t="n">
        <v>55</v>
      </c>
      <c r="B121" s="14">
        <f>IF(A121=1,"Safe (Start)",IF(OR(A121=$B$8,A121=$B$9),"Milestone",IF(AND($B$7&gt;0,MOD(A121,$B$7)=0),"Safe","Standard")))</f>
        <v/>
      </c>
      <c r="C121" s="14">
        <f>MIN(6,MAX(1,ROUNDUP(A121/$B$10,0)))</f>
        <v/>
      </c>
      <c r="D121" s="6">
        <f>$B$5</f>
        <v/>
      </c>
      <c r="E121" s="14">
        <f>MAX(0,$D121-$F121-$G121)</f>
        <v/>
      </c>
      <c r="F121" s="14">
        <f>IF($B121&lt;&gt;"Standard",0,MIN(3,MAX($B$6,IF($C121&lt;=2,1,IF($C121&lt;=4,2,3)))))</f>
        <v/>
      </c>
      <c r="G121" s="6" t="n">
        <v>0</v>
      </c>
      <c r="H121" s="15">
        <f>IF($D121&lt;=0,0,($D121-$F121)/$D121)</f>
        <v/>
      </c>
      <c r="I121" s="15">
        <f>IF($D121-$F121&lt;=0,0,$E121/($D121-$F121))</f>
        <v/>
      </c>
      <c r="J121" s="6" t="n">
        <v>10</v>
      </c>
      <c r="K121" s="6" t="n">
        <v>36</v>
      </c>
      <c r="L121" s="6" t="n">
        <v>0</v>
      </c>
      <c r="M121" s="6" t="n">
        <v>0</v>
      </c>
      <c r="N121" s="6" t="n">
        <v>0</v>
      </c>
      <c r="O121" s="6" t="n">
        <v>0</v>
      </c>
      <c r="P121" s="6" t="n">
        <v>0</v>
      </c>
      <c r="Q121" s="6" t="n">
        <v>0</v>
      </c>
      <c r="R121" s="6" t="n">
        <v>0</v>
      </c>
      <c r="S121" s="6" t="n">
        <v>0</v>
      </c>
      <c r="T121" s="6" t="n">
        <v>0</v>
      </c>
      <c r="U121" s="6" t="n">
        <v>0</v>
      </c>
      <c r="V121" s="6" t="n">
        <v>0</v>
      </c>
      <c r="W121" s="6" t="n">
        <v>0</v>
      </c>
      <c r="X121" s="6" t="n">
        <v>0</v>
      </c>
      <c r="Y121" s="6" t="n">
        <v>0</v>
      </c>
      <c r="Z121" s="6" t="n">
        <v>0</v>
      </c>
      <c r="AA121" s="6" t="n">
        <v>0</v>
      </c>
      <c r="AB121" s="6" t="n">
        <v>0</v>
      </c>
      <c r="AC121" s="6" t="n">
        <v>1</v>
      </c>
      <c r="AD121" s="6" t="n">
        <v>0</v>
      </c>
    </row>
    <row r="122">
      <c r="A122" s="8" t="n">
        <v>56</v>
      </c>
      <c r="B122" s="14">
        <f>IF(A122=1,"Safe (Start)",IF(OR(A122=$B$8,A122=$B$9),"Milestone",IF(AND($B$7&gt;0,MOD(A122,$B$7)=0),"Safe","Standard")))</f>
        <v/>
      </c>
      <c r="C122" s="14">
        <f>MIN(6,MAX(1,ROUNDUP(A122/$B$10,0)))</f>
        <v/>
      </c>
      <c r="D122" s="6">
        <f>$B$5</f>
        <v/>
      </c>
      <c r="E122" s="14">
        <f>MAX(0,$D122-$F122-$G122)</f>
        <v/>
      </c>
      <c r="F122" s="14">
        <f>IF($B122&lt;&gt;"Standard",0,MIN(3,MAX($B$6,IF($C122&lt;=2,1,IF($C122&lt;=4,2,3)))))</f>
        <v/>
      </c>
      <c r="G122" s="6" t="n">
        <v>0</v>
      </c>
      <c r="H122" s="15">
        <f>IF($D122&lt;=0,0,($D122-$F122)/$D122)</f>
        <v/>
      </c>
      <c r="I122" s="15">
        <f>IF($D122-$F122&lt;=0,0,$E122/($D122-$F122))</f>
        <v/>
      </c>
      <c r="J122" s="6" t="n">
        <v>15</v>
      </c>
      <c r="K122" s="6" t="n">
        <v>37</v>
      </c>
      <c r="L122" s="6" t="n">
        <v>0</v>
      </c>
      <c r="M122" s="6" t="n">
        <v>0</v>
      </c>
      <c r="N122" s="6" t="n">
        <v>0</v>
      </c>
      <c r="O122" s="6" t="n">
        <v>0</v>
      </c>
      <c r="P122" s="6" t="n">
        <v>0</v>
      </c>
      <c r="Q122" s="6" t="n">
        <v>0</v>
      </c>
      <c r="R122" s="6" t="n">
        <v>0</v>
      </c>
      <c r="S122" s="6" t="n">
        <v>0</v>
      </c>
      <c r="T122" s="6" t="n">
        <v>0</v>
      </c>
      <c r="U122" s="6" t="n">
        <v>0</v>
      </c>
      <c r="V122" s="6" t="n">
        <v>0</v>
      </c>
      <c r="W122" s="6" t="n">
        <v>0</v>
      </c>
      <c r="X122" s="6" t="n">
        <v>0</v>
      </c>
      <c r="Y122" s="6" t="n">
        <v>0</v>
      </c>
      <c r="Z122" s="6" t="n">
        <v>0</v>
      </c>
      <c r="AA122" s="6" t="n">
        <v>0</v>
      </c>
      <c r="AB122" s="6" t="n">
        <v>0</v>
      </c>
      <c r="AC122" s="6" t="n">
        <v>0</v>
      </c>
      <c r="AD122" s="6" t="n">
        <v>0</v>
      </c>
    </row>
    <row r="123">
      <c r="A123" s="8" t="n">
        <v>57</v>
      </c>
      <c r="B123" s="14">
        <f>IF(A123=1,"Safe (Start)",IF(OR(A123=$B$8,A123=$B$9),"Milestone",IF(AND($B$7&gt;0,MOD(A123,$B$7)=0),"Safe","Standard")))</f>
        <v/>
      </c>
      <c r="C123" s="14">
        <f>MIN(6,MAX(1,ROUNDUP(A123/$B$10,0)))</f>
        <v/>
      </c>
      <c r="D123" s="6">
        <f>$B$5</f>
        <v/>
      </c>
      <c r="E123" s="14">
        <f>MAX(0,$D123-$F123-$G123)</f>
        <v/>
      </c>
      <c r="F123" s="14">
        <f>IF($B123&lt;&gt;"Standard",0,MIN(3,MAX($B$6,IF($C123&lt;=2,1,IF($C123&lt;=4,2,3)))))</f>
        <v/>
      </c>
      <c r="G123" s="6" t="n">
        <v>0</v>
      </c>
      <c r="H123" s="15">
        <f>IF($D123&lt;=0,0,($D123-$F123)/$D123)</f>
        <v/>
      </c>
      <c r="I123" s="15">
        <f>IF($D123-$F123&lt;=0,0,$E123/($D123-$F123))</f>
        <v/>
      </c>
      <c r="J123" s="6" t="n">
        <v>10</v>
      </c>
      <c r="K123" s="6" t="n">
        <v>37</v>
      </c>
      <c r="L123" s="6" t="n">
        <v>0</v>
      </c>
      <c r="M123" s="6" t="n">
        <v>0</v>
      </c>
      <c r="N123" s="6" t="n">
        <v>0</v>
      </c>
      <c r="O123" s="6" t="n">
        <v>1</v>
      </c>
      <c r="P123" s="6" t="n">
        <v>0</v>
      </c>
      <c r="Q123" s="6" t="n">
        <v>0</v>
      </c>
      <c r="R123" s="6" t="n">
        <v>0</v>
      </c>
      <c r="S123" s="6" t="n">
        <v>0</v>
      </c>
      <c r="T123" s="6" t="n">
        <v>0</v>
      </c>
      <c r="U123" s="6" t="n">
        <v>0</v>
      </c>
      <c r="V123" s="6" t="n">
        <v>0</v>
      </c>
      <c r="W123" s="6" t="n">
        <v>0</v>
      </c>
      <c r="X123" s="6" t="n">
        <v>0</v>
      </c>
      <c r="Y123" s="6" t="n">
        <v>0</v>
      </c>
      <c r="Z123" s="6" t="n">
        <v>0</v>
      </c>
      <c r="AA123" s="6" t="n">
        <v>0</v>
      </c>
      <c r="AB123" s="6" t="n">
        <v>0</v>
      </c>
      <c r="AC123" s="6" t="n">
        <v>0</v>
      </c>
      <c r="AD123" s="6" t="n">
        <v>0</v>
      </c>
    </row>
    <row r="124">
      <c r="A124" s="8" t="n">
        <v>58</v>
      </c>
      <c r="B124" s="14">
        <f>IF(A124=1,"Safe (Start)",IF(OR(A124=$B$8,A124=$B$9),"Milestone",IF(AND($B$7&gt;0,MOD(A124,$B$7)=0),"Safe","Standard")))</f>
        <v/>
      </c>
      <c r="C124" s="14">
        <f>MIN(6,MAX(1,ROUNDUP(A124/$B$10,0)))</f>
        <v/>
      </c>
      <c r="D124" s="6">
        <f>$B$5</f>
        <v/>
      </c>
      <c r="E124" s="14">
        <f>MAX(0,$D124-$F124-$G124)</f>
        <v/>
      </c>
      <c r="F124" s="14">
        <f>IF($B124&lt;&gt;"Standard",0,MIN(3,MAX($B$6,IF($C124&lt;=2,1,IF($C124&lt;=4,2,3)))))</f>
        <v/>
      </c>
      <c r="G124" s="6" t="n">
        <v>0</v>
      </c>
      <c r="H124" s="15">
        <f>IF($D124&lt;=0,0,($D124-$F124)/$D124)</f>
        <v/>
      </c>
      <c r="I124" s="15">
        <f>IF($D124-$F124&lt;=0,0,$E124/($D124-$F124))</f>
        <v/>
      </c>
      <c r="J124" s="6" t="n">
        <v>15</v>
      </c>
      <c r="K124" s="6" t="n">
        <v>38</v>
      </c>
      <c r="L124" s="6" t="n">
        <v>0</v>
      </c>
      <c r="M124" s="6" t="n">
        <v>0</v>
      </c>
      <c r="N124" s="6" t="n">
        <v>0</v>
      </c>
      <c r="O124" s="6" t="n">
        <v>0</v>
      </c>
      <c r="P124" s="6" t="n">
        <v>0</v>
      </c>
      <c r="Q124" s="6" t="n">
        <v>0</v>
      </c>
      <c r="R124" s="6" t="n">
        <v>0</v>
      </c>
      <c r="S124" s="6" t="n">
        <v>0</v>
      </c>
      <c r="T124" s="6" t="n">
        <v>0</v>
      </c>
      <c r="U124" s="6" t="n">
        <v>0</v>
      </c>
      <c r="V124" s="6" t="n">
        <v>0</v>
      </c>
      <c r="W124" s="6" t="n">
        <v>0</v>
      </c>
      <c r="X124" s="6" t="n">
        <v>0</v>
      </c>
      <c r="Y124" s="6" t="n">
        <v>0</v>
      </c>
      <c r="Z124" s="6" t="n">
        <v>0</v>
      </c>
      <c r="AA124" s="6" t="n">
        <v>0</v>
      </c>
      <c r="AB124" s="6" t="n">
        <v>0</v>
      </c>
      <c r="AC124" s="6" t="n">
        <v>0</v>
      </c>
      <c r="AD124" s="6" t="n">
        <v>0</v>
      </c>
    </row>
    <row r="125">
      <c r="A125" s="8" t="n">
        <v>59</v>
      </c>
      <c r="B125" s="14">
        <f>IF(A125=1,"Safe (Start)",IF(OR(A125=$B$8,A125=$B$9),"Milestone",IF(AND($B$7&gt;0,MOD(A125,$B$7)=0),"Safe","Standard")))</f>
        <v/>
      </c>
      <c r="C125" s="14">
        <f>MIN(6,MAX(1,ROUNDUP(A125/$B$10,0)))</f>
        <v/>
      </c>
      <c r="D125" s="6">
        <f>$B$5</f>
        <v/>
      </c>
      <c r="E125" s="14">
        <f>MAX(0,$D125-$F125-$G125)</f>
        <v/>
      </c>
      <c r="F125" s="14">
        <f>IF($B125&lt;&gt;"Standard",0,MIN(3,MAX($B$6,IF($C125&lt;=2,1,IF($C125&lt;=4,2,3)))))</f>
        <v/>
      </c>
      <c r="G125" s="6" t="n">
        <v>0</v>
      </c>
      <c r="H125" s="15">
        <f>IF($D125&lt;=0,0,($D125-$F125)/$D125)</f>
        <v/>
      </c>
      <c r="I125" s="15">
        <f>IF($D125-$F125&lt;=0,0,$E125/($D125-$F125))</f>
        <v/>
      </c>
      <c r="J125" s="6" t="n">
        <v>10</v>
      </c>
      <c r="K125" s="6" t="n">
        <v>38</v>
      </c>
      <c r="L125" s="6" t="n">
        <v>0</v>
      </c>
      <c r="M125" s="6" t="n">
        <v>0</v>
      </c>
      <c r="N125" s="6" t="n">
        <v>0</v>
      </c>
      <c r="O125" s="6" t="n">
        <v>0</v>
      </c>
      <c r="P125" s="6" t="n">
        <v>0</v>
      </c>
      <c r="Q125" s="6" t="n">
        <v>0</v>
      </c>
      <c r="R125" s="6" t="n">
        <v>0</v>
      </c>
      <c r="S125" s="6" t="n">
        <v>0</v>
      </c>
      <c r="T125" s="6" t="n">
        <v>0</v>
      </c>
      <c r="U125" s="6" t="n">
        <v>0</v>
      </c>
      <c r="V125" s="6" t="n">
        <v>0</v>
      </c>
      <c r="W125" s="6" t="n">
        <v>0</v>
      </c>
      <c r="X125" s="6" t="n">
        <v>0</v>
      </c>
      <c r="Y125" s="6" t="n">
        <v>0</v>
      </c>
      <c r="Z125" s="6" t="n">
        <v>0</v>
      </c>
      <c r="AA125" s="6" t="n">
        <v>0</v>
      </c>
      <c r="AB125" s="6" t="n">
        <v>0</v>
      </c>
      <c r="AC125" s="6" t="n">
        <v>0</v>
      </c>
      <c r="AD125" s="6" t="n">
        <v>0</v>
      </c>
    </row>
    <row r="126">
      <c r="A126" s="8" t="n">
        <v>60</v>
      </c>
      <c r="B126" s="14">
        <f>IF(A126=1,"Safe (Start)",IF(OR(A126=$B$8,A126=$B$9),"Milestone",IF(AND($B$7&gt;0,MOD(A126,$B$7)=0),"Safe","Standard")))</f>
        <v/>
      </c>
      <c r="C126" s="14">
        <f>MIN(6,MAX(1,ROUNDUP(A126/$B$10,0)))</f>
        <v/>
      </c>
      <c r="D126" s="6">
        <f>$B$5</f>
        <v/>
      </c>
      <c r="E126" s="14">
        <f>MAX(0,$D126-$F126-$G126)</f>
        <v/>
      </c>
      <c r="F126" s="14">
        <f>IF($B126&lt;&gt;"Standard",0,MIN(3,MAX($B$6,IF($C126&lt;=2,1,IF($C126&lt;=4,2,3)))))</f>
        <v/>
      </c>
      <c r="G126" s="6" t="n">
        <v>0</v>
      </c>
      <c r="H126" s="15">
        <f>IF($D126&lt;=0,0,($D126-$F126)/$D126)</f>
        <v/>
      </c>
      <c r="I126" s="15">
        <f>IF($D126-$F126&lt;=0,0,$E126/($D126-$F126))</f>
        <v/>
      </c>
      <c r="J126" s="6" t="n">
        <v>15</v>
      </c>
      <c r="K126" s="6" t="n">
        <v>40</v>
      </c>
      <c r="L126" s="6" t="n">
        <v>0</v>
      </c>
      <c r="M126" s="6" t="n">
        <v>5</v>
      </c>
      <c r="N126" s="6" t="n">
        <v>5</v>
      </c>
      <c r="O126" s="6" t="n">
        <v>5</v>
      </c>
      <c r="P126" s="6" t="n">
        <v>5</v>
      </c>
      <c r="Q126" s="6" t="n">
        <v>5</v>
      </c>
      <c r="R126" s="6" t="n">
        <v>5</v>
      </c>
      <c r="S126" s="6" t="n">
        <v>0</v>
      </c>
      <c r="T126" s="6" t="n">
        <v>60</v>
      </c>
      <c r="U126" s="6" t="n">
        <v>60</v>
      </c>
      <c r="V126" s="6" t="n">
        <v>60</v>
      </c>
      <c r="W126" s="6" t="n">
        <v>0</v>
      </c>
      <c r="X126" s="6" t="n">
        <v>0</v>
      </c>
      <c r="Y126" s="6" t="n">
        <v>0</v>
      </c>
      <c r="Z126" s="6" t="n">
        <v>0</v>
      </c>
      <c r="AA126" s="6" t="n">
        <v>2</v>
      </c>
      <c r="AB126" s="6" t="n">
        <v>3</v>
      </c>
      <c r="AC126" s="6" t="n">
        <v>1</v>
      </c>
      <c r="AD126" s="6" t="n">
        <v>0</v>
      </c>
    </row>
    <row r="128">
      <c r="A128" s="2" t="inlineStr">
        <is>
          <t>SIM PART  —  spilled by ECOGAINS_TOF, do not type here</t>
        </is>
      </c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</row>
    <row r="129">
      <c r="A129" s="7" t="inlineStr">
        <is>
          <t>Everything below is written by the engine. The yellow cells above are the only inputs.</t>
        </is>
      </c>
    </row>
    <row r="130">
      <c r="A130" s="7" t="inlineStr">
        <is>
          <t>Payer picks which flag the three blocks are computed for. The trailing sim_refresh!$A$1 in each formula is the refresh nonce: Google only re-runs a custom function when its ARGUMENTS change, so without it an edit to the ladder above would leave a stale spill sitting here.</t>
        </is>
      </c>
    </row>
    <row r="131">
      <c r="A131" s="16" t="inlineStr">
        <is>
          <t>Payer</t>
        </is>
      </c>
      <c r="B131" s="6" t="inlineStr">
        <is>
          <t>NONPAYER</t>
        </is>
      </c>
      <c r="C131" s="7" t="inlineStr">
        <is>
          <t>NONPAYER or PAYER.</t>
        </is>
      </c>
    </row>
    <row r="133">
      <c r="A133" s="2" t="inlineStr">
        <is>
          <t>RUN ECONOMICS</t>
        </is>
      </c>
      <c r="B133" s="3" t="n"/>
      <c r="C133" s="3" t="n"/>
      <c r="D133" s="3" t="n"/>
      <c r="E133" s="3" t="n"/>
      <c r="F133" s="3" t="n"/>
      <c r="G133" s="3" t="n"/>
      <c r="H133" s="3" t="n"/>
    </row>
    <row r="134">
      <c r="A134" s="7" t="inlineStr">
        <is>
          <t>One row per segment: runs taken in the 33-day window, the chance a run pays anything at all, the coins spent on continues per run and across the window, and the ticket flow.</t>
        </is>
      </c>
    </row>
    <row r="135">
      <c r="A135" s="7" t="inlineStr">
        <is>
          <t>Runs are NOT a config number. The engine banks whatever ToF_Ticket the rest of the calendar paid that day and spends it, up to Runs per Active Day, carrying leftovers forward.</t>
        </is>
      </c>
    </row>
    <row r="136">
      <c r="A136" s="7" t="inlineStr">
        <is>
          <t>MAX spills BLANK in the window columns: data_seg_beh has no MAX row, so there are no activity rates to price reach with. Its per-run columns are the point of it.</t>
        </is>
      </c>
    </row>
    <row r="137">
      <c r="A137" s="5">
        <f>ECOGAINS_TOF($B$131, "RUN", sim_refresh!$A$1)</f>
        <v/>
      </c>
    </row>
    <row r="146">
      <c r="A146" s="2" t="inlineStr">
        <is>
          <t>BANKED REWARD PER RUN</t>
        </is>
      </c>
      <c r="B146" s="3" t="n"/>
      <c r="C146" s="3" t="n"/>
      <c r="D146" s="3" t="n"/>
      <c r="E146" s="3" t="n"/>
      <c r="F146" s="3" t="n"/>
      <c r="G146" s="3" t="n"/>
      <c r="H146" s="3" t="n"/>
    </row>
    <row r="147">
      <c r="A147" s="7" t="inlineStr">
        <is>
          <t>What one run actually banks, per resource, already multiplied by the chance of banking it. A run that meets a Pig and stops pays NOTHING, so these are well below the ladder face value.</t>
        </is>
      </c>
    </row>
    <row r="148">
      <c r="A148" s="5">
        <f>ECOGAINS_TOF($B$131, "REWARD", sim_refresh!$A$1)</f>
        <v/>
      </c>
    </row>
    <row r="176">
      <c r="A176" s="2" t="inlineStr">
        <is>
          <t>GAIN VS SPEND</t>
        </is>
      </c>
      <c r="B176" s="3" t="n"/>
      <c r="C176" s="3" t="n"/>
      <c r="D176" s="3" t="n"/>
      <c r="E176" s="3" t="n"/>
      <c r="F176" s="3" t="n"/>
      <c r="G176" s="3" t="n"/>
      <c r="H176" s="3" t="n"/>
    </row>
    <row r="177">
      <c r="A177" s="7" t="inlineStr">
        <is>
          <t>Per stage and per segment: gain (raw) is what the ladder holds if you get there; gain (exp) prices in the chance of getting there AND banking it; spend is the expected coins paid for continues along the way; net is exp minus spend.</t>
        </is>
      </c>
    </row>
    <row r="178">
      <c r="A178" s="7" t="inlineStr">
        <is>
          <t>Net is in COINS, not a percentage. The ratio version reached +53,190% at stage 60 and no chart survives that -- the crossover point is the thing this block exists to show.</t>
        </is>
      </c>
    </row>
    <row r="179">
      <c r="A179" s="7" t="inlineStr">
        <is>
          <t>Rows past a segment cash-out stage are BLANK, not zero: that player stops before them, so a flat negative net across stages nobody plays would read as a loss that never happens.</t>
        </is>
      </c>
    </row>
    <row r="180">
      <c r="A180" s="7" t="inlineStr">
        <is>
          <t>Values come from item_vals, so SPT and boosters count -- coins alone are a small part of what this event pays.</t>
        </is>
      </c>
    </row>
    <row r="181">
      <c r="A181" s="5">
        <f>ECOGAINS_TOF($B$131, "GAINSPEND", sim_refresh!$A$1)</f>
        <v/>
      </c>
    </row>
  </sheetData>
  <conditionalFormatting sqref="A67:AD126">
    <cfRule type="expression" priority="1" dxfId="0">
      <formula>$F67=0</formula>
    </cfRule>
  </conditionalFormatting>
  <conditionalFormatting sqref="F67:F126">
    <cfRule type="cellIs" priority="2" operator="greaterThanOrEqual" dxfId="1">
      <formula>2</formula>
    </cfRule>
  </conditionalFormatting>
  <conditionalFormatting sqref="J67:AD126">
    <cfRule type="cellIs" priority="3" operator="greaterThan" dxfId="2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2026-09-13T21:14:15Z</dcterms:created>
  <dcterms:modified xsi:type="dcterms:W3CDTF">2026-09-13T21:14:15Z</dcterms:modified>
</cp:coreProperties>
</file>