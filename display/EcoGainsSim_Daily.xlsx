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oGainsSim_Dai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"/>
  </numFmts>
  <fonts count="9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sz val="10"/>
    </font>
    <font>
      <name val="Arial"/>
      <color rgb="FF808080"/>
      <sz val="9"/>
    </font>
    <font>
      <name val="Arial"/>
      <color rgb="FF808080"/>
      <sz val="8"/>
    </font>
    <font>
      <name val="Arial"/>
      <b val="1"/>
      <color rgb="FFFFFFFF"/>
      <sz val="11"/>
    </font>
    <font>
      <name val="Arial"/>
      <b val="1"/>
      <sz val="9"/>
    </font>
    <font>
      <name val="Arial"/>
      <sz val="10"/>
    </font>
    <font>
      <name val="Arial"/>
      <b val="1"/>
      <color rgb="FF000000"/>
      <sz val="9"/>
    </font>
  </fonts>
  <fills count="10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2E75B6"/>
      </patternFill>
    </fill>
    <fill>
      <patternFill patternType="solid">
        <fgColor rgb="FFCFE2F3"/>
      </patternFill>
    </fill>
    <fill>
      <patternFill patternType="solid">
        <fgColor rgb="FF548235"/>
      </patternFill>
    </fill>
    <fill>
      <patternFill patternType="solid">
        <fgColor rgb="FFE2EFDA"/>
      </patternFill>
    </fill>
    <fill>
      <patternFill patternType="solid">
        <fgColor rgb="FF666666"/>
      </patternFill>
    </fill>
    <fill>
      <patternFill patternType="solid">
        <fgColor rgb="FFEFEFEF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0" pivotButton="0" quotePrefix="0" xfId="0"/>
    <xf numFmtId="0" fontId="5" fillId="3" borderId="0" pivotButton="0" quotePrefix="0" xfId="0"/>
    <xf numFmtId="0" fontId="5" fillId="5" borderId="0" pivotButton="0" quotePrefix="0" xfId="0"/>
    <xf numFmtId="0" fontId="5" fillId="7" borderId="0" pivotButton="0" quotePrefix="0" xfId="0"/>
    <xf numFmtId="0" fontId="6" fillId="9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6" fillId="8" borderId="1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4" fontId="7" fillId="0" borderId="0" applyAlignment="1" pivotButton="0" quotePrefix="0" xfId="0">
      <alignment horizontal="center"/>
    </xf>
    <xf numFmtId="164" fontId="7" fillId="0" borderId="0" applyAlignment="1" pivotButton="0" quotePrefix="0" xfId="0">
      <alignment horizontal="center"/>
    </xf>
    <xf numFmtId="0" fontId="6" fillId="9" borderId="1" pivotButton="0" quotePrefix="0" xfId="0"/>
    <xf numFmtId="0" fontId="0" fillId="9" borderId="1" pivotButton="0" quotePrefix="0" xfId="0"/>
    <xf numFmtId="4" fontId="2" fillId="4" borderId="1" applyAlignment="1" pivotButton="0" quotePrefix="0" xfId="0">
      <alignment horizontal="center"/>
    </xf>
    <xf numFmtId="4" fontId="2" fillId="6" borderId="1" applyAlignment="1" pivotButton="0" quotePrefix="0" xfId="0">
      <alignment horizontal="center"/>
    </xf>
    <xf numFmtId="164" fontId="2" fillId="8" borderId="1" applyAlignment="1" pivotButton="0" quotePrefix="0" xfId="0">
      <alignment horizontal="center"/>
    </xf>
    <xf numFmtId="0" fontId="8" fillId="0" borderId="0" pivotButton="0" quotePrefix="0" xfId="0"/>
  </cellXfs>
  <cellStyles count="1">
    <cellStyle name="Normal" xfId="0" builtinId="0" hidden="0"/>
  </cellStyles>
  <dxfs count="3">
    <dxf>
      <font>
        <color rgb="FF990000"/>
      </font>
      <fill>
        <patternFill patternType="solid">
          <fgColor rgb="FFF4CCCC"/>
        </patternFill>
      </fill>
    </dxf>
    <dxf>
      <font>
        <color rgb="FF006100"/>
      </font>
      <fill>
        <patternFill patternType="solid">
          <fgColor rgb="FFD9EAD3"/>
        </patternFill>
      </fill>
    </dxf>
    <dxf>
      <fill>
        <patternFill patternType="solid">
          <fgColor rgb="FFFEF8E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N49"/>
  <sheetViews>
    <sheetView showGridLines="0" workbookViewId="0">
      <selection activeCell="A1" sqref="A1"/>
    </sheetView>
  </sheetViews>
  <sheetFormatPr baseColWidth="8" defaultRowHeight="15"/>
  <cols>
    <col width="1.75" customWidth="1" min="1" max="1"/>
    <col width="5.5" customWidth="1" min="2" max="2"/>
    <col width="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2.8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2.8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21" customWidth="1" min="40" max="40"/>
  </cols>
  <sheetData>
    <row r="1">
      <c r="B1" s="1" t="inlineStr">
        <is>
          <t>DAILY RESOURCE GAINS — 33-day calendar, per earner (day 1 = Wednesday)</t>
        </is>
      </c>
      <c r="AN1" s="2" t="inlineStr">
        <is>
          <t>source dropdown list</t>
        </is>
      </c>
    </row>
    <row r="2">
      <c r="AN2" s="2" t="inlineStr">
        <is>
          <t>ALL</t>
        </is>
      </c>
    </row>
    <row r="3">
      <c r="B3" s="3" t="inlineStr">
        <is>
          <t>Payer</t>
        </is>
      </c>
      <c r="C3" s="4" t="inlineStr">
        <is>
          <t>NONPAYER</t>
        </is>
      </c>
      <c r="D3" s="5" t="inlineStr">
        <is>
          <t>◀ filters (dropdowns) — the whole table re-simulates on change</t>
        </is>
      </c>
      <c r="AN3" s="2" t="inlineStr">
        <is>
          <t>Ads</t>
        </is>
      </c>
    </row>
    <row r="4">
      <c r="B4" s="3" t="inlineStr">
        <is>
          <t>Segment</t>
        </is>
      </c>
      <c r="C4" s="4" t="inlineStr">
        <is>
          <t>0-9</t>
        </is>
      </c>
      <c r="AN4" s="2" t="inlineStr">
        <is>
          <t>Bomb Challenge</t>
        </is>
      </c>
    </row>
    <row r="5">
      <c r="B5" s="3" t="inlineStr">
        <is>
          <t>Source</t>
        </is>
      </c>
      <c r="C5" s="4" t="inlineStr">
        <is>
          <t>ALL</t>
        </is>
      </c>
      <c r="AN5" s="2" t="inlineStr">
        <is>
          <t>Bomb's Ballet</t>
        </is>
      </c>
    </row>
    <row r="6">
      <c r="AN6" s="2" t="inlineStr">
        <is>
          <t>Chuck Challenge</t>
        </is>
      </c>
    </row>
    <row r="7">
      <c r="D7" s="6" t="inlineStr">
        <is>
          <t>◄ CURRENT (cal_curr, measured) ►</t>
        </is>
      </c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P7" s="7" t="inlineStr">
        <is>
          <t>◄ NEW (cal_new, simulated) ►</t>
        </is>
      </c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B7" s="8" t="inlineStr">
        <is>
          <t>Δ  NEW − CURRENT (same day)</t>
        </is>
      </c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N7" s="2" t="inlineStr">
        <is>
          <t>Core</t>
        </is>
      </c>
    </row>
    <row r="8">
      <c r="B8" s="9" t="inlineStr">
        <is>
          <t>Day</t>
        </is>
      </c>
      <c r="C8" s="9" t="inlineStr">
        <is>
          <t>DoW</t>
        </is>
      </c>
      <c r="D8" s="10" t="inlineStr">
        <is>
          <t>HC</t>
        </is>
      </c>
      <c r="E8" s="10" t="inlineStr">
        <is>
          <t>Slingshot</t>
        </is>
      </c>
      <c r="F8" s="10" t="inlineStr">
        <is>
          <t>Shuffle</t>
        </is>
      </c>
      <c r="G8" s="10" t="inlineStr">
        <is>
          <t>Comet</t>
        </is>
      </c>
      <c r="H8" s="10" t="inlineStr">
        <is>
          <t>Red</t>
        </is>
      </c>
      <c r="I8" s="10" t="inlineStr">
        <is>
          <t>Chuck</t>
        </is>
      </c>
      <c r="J8" s="10" t="inlineStr">
        <is>
          <t>Bomb</t>
        </is>
      </c>
      <c r="K8" s="10" t="inlineStr">
        <is>
          <t>UL Bomb</t>
        </is>
      </c>
      <c r="L8" s="10" t="inlineStr">
        <is>
          <t>UL Chuck</t>
        </is>
      </c>
      <c r="M8" s="10" t="inlineStr">
        <is>
          <t>UL Red</t>
        </is>
      </c>
      <c r="N8" s="10" t="inlineStr">
        <is>
          <t>Unlimited Lives</t>
        </is>
      </c>
      <c r="P8" s="11" t="inlineStr">
        <is>
          <t>HC</t>
        </is>
      </c>
      <c r="Q8" s="11" t="inlineStr">
        <is>
          <t>Slingshot</t>
        </is>
      </c>
      <c r="R8" s="11" t="inlineStr">
        <is>
          <t>Shuffle</t>
        </is>
      </c>
      <c r="S8" s="11" t="inlineStr">
        <is>
          <t>Comet</t>
        </is>
      </c>
      <c r="T8" s="11" t="inlineStr">
        <is>
          <t>Red</t>
        </is>
      </c>
      <c r="U8" s="11" t="inlineStr">
        <is>
          <t>Chuck</t>
        </is>
      </c>
      <c r="V8" s="11" t="inlineStr">
        <is>
          <t>Bomb</t>
        </is>
      </c>
      <c r="W8" s="11" t="inlineStr">
        <is>
          <t>UL Bomb</t>
        </is>
      </c>
      <c r="X8" s="11" t="inlineStr">
        <is>
          <t>UL Chuck</t>
        </is>
      </c>
      <c r="Y8" s="11" t="inlineStr">
        <is>
          <t>UL Red</t>
        </is>
      </c>
      <c r="Z8" s="11" t="inlineStr">
        <is>
          <t>Unlimited Lives</t>
        </is>
      </c>
      <c r="AB8" s="12" t="inlineStr">
        <is>
          <t>HC</t>
        </is>
      </c>
      <c r="AC8" s="12" t="inlineStr">
        <is>
          <t>Slingshot</t>
        </is>
      </c>
      <c r="AD8" s="12" t="inlineStr">
        <is>
          <t>Shuffle</t>
        </is>
      </c>
      <c r="AE8" s="12" t="inlineStr">
        <is>
          <t>Comet</t>
        </is>
      </c>
      <c r="AF8" s="12" t="inlineStr">
        <is>
          <t>Red</t>
        </is>
      </c>
      <c r="AG8" s="12" t="inlineStr">
        <is>
          <t>Chuck</t>
        </is>
      </c>
      <c r="AH8" s="12" t="inlineStr">
        <is>
          <t>Bomb</t>
        </is>
      </c>
      <c r="AI8" s="12" t="inlineStr">
        <is>
          <t>UL Bomb</t>
        </is>
      </c>
      <c r="AJ8" s="12" t="inlineStr">
        <is>
          <t>UL Chuck</t>
        </is>
      </c>
      <c r="AK8" s="12" t="inlineStr">
        <is>
          <t>UL Red</t>
        </is>
      </c>
      <c r="AL8" s="12" t="inlineStr">
        <is>
          <t>Unlimited Lives</t>
        </is>
      </c>
      <c r="AN8" s="2" t="inlineStr">
        <is>
          <t>Daily Gift</t>
        </is>
      </c>
    </row>
    <row r="9">
      <c r="B9" s="13" t="n">
        <v>1</v>
      </c>
      <c r="C9" s="13" t="inlineStr">
        <is>
          <t>Wed</t>
        </is>
      </c>
      <c r="D9" s="14">
        <f>LET(payer,$C$3, segment,$C$4, source,$C$5, ECOGAINS_DAILY(payer, segment, source, "CURRENT"))</f>
        <v/>
      </c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P9" s="14">
        <f>LET(payer,$C$3, segment,$C$4, source,$C$5, ECOGAINS_DAILY(payer, segment, source, "NEW"))</f>
        <v/>
      </c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B9" s="15">
        <f>LET(payer,$C$3, segment,$C$4, source,$C$5, ECOGAINS_DAILY(payer, segment, source, "DIFF"))</f>
        <v/>
      </c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  <c r="AN9" s="2" t="inlineStr">
        <is>
          <t>Daily Night Sky Prize</t>
        </is>
      </c>
    </row>
    <row r="10">
      <c r="B10" s="13" t="n">
        <v>2</v>
      </c>
      <c r="C10" s="13" t="inlineStr">
        <is>
          <t>Thu</t>
        </is>
      </c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N10" s="2" t="inlineStr">
        <is>
          <t>Flock Flurry</t>
        </is>
      </c>
    </row>
    <row r="11">
      <c r="B11" s="13" t="n">
        <v>3</v>
      </c>
      <c r="C11" s="13" t="inlineStr">
        <is>
          <t>Fri</t>
        </is>
      </c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N11" s="2" t="inlineStr">
        <is>
          <t>Hatchling Hideaway</t>
        </is>
      </c>
    </row>
    <row r="12">
      <c r="B12" s="13" t="n">
        <v>4</v>
      </c>
      <c r="C12" s="13" t="inlineStr">
        <is>
          <t>Sat</t>
        </is>
      </c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N12" s="2" t="inlineStr">
        <is>
          <t>Jigsaw</t>
        </is>
      </c>
    </row>
    <row r="13">
      <c r="B13" s="13" t="n">
        <v>5</v>
      </c>
      <c r="C13" s="13" t="inlineStr">
        <is>
          <t>Sun</t>
        </is>
      </c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N13" s="2" t="inlineStr">
        <is>
          <t>Kite Festival</t>
        </is>
      </c>
    </row>
    <row r="14">
      <c r="B14" s="13" t="n">
        <v>6</v>
      </c>
      <c r="C14" s="13" t="inlineStr">
        <is>
          <t>Mon</t>
        </is>
      </c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N14" s="2" t="inlineStr">
        <is>
          <t>Level Race</t>
        </is>
      </c>
    </row>
    <row r="15">
      <c r="B15" s="13" t="n">
        <v>7</v>
      </c>
      <c r="C15" s="13" t="inlineStr">
        <is>
          <t>Tue</t>
        </is>
      </c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N15" s="2" t="inlineStr">
        <is>
          <t>Other</t>
        </is>
      </c>
    </row>
    <row r="16">
      <c r="B16" s="13" t="n">
        <v>8</v>
      </c>
      <c r="C16" s="13" t="inlineStr">
        <is>
          <t>Wed</t>
        </is>
      </c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N16" s="2" t="inlineStr">
        <is>
          <t>Photoshoot</t>
        </is>
      </c>
    </row>
    <row r="17">
      <c r="B17" s="13" t="n">
        <v>9</v>
      </c>
      <c r="C17" s="13" t="inlineStr">
        <is>
          <t>Thu</t>
        </is>
      </c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N17" s="2" t="inlineStr">
        <is>
          <t>Red Challenge</t>
        </is>
      </c>
    </row>
    <row r="18">
      <c r="B18" s="13" t="n">
        <v>10</v>
      </c>
      <c r="C18" s="13" t="inlineStr">
        <is>
          <t>Fri</t>
        </is>
      </c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N18" s="2" t="inlineStr">
        <is>
          <t>River Rush</t>
        </is>
      </c>
    </row>
    <row r="19">
      <c r="B19" s="13" t="n">
        <v>11</v>
      </c>
      <c r="C19" s="13" t="inlineStr">
        <is>
          <t>Sat</t>
        </is>
      </c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15" t="n"/>
      <c r="AN19" s="2" t="inlineStr">
        <is>
          <t>Saga</t>
        </is>
      </c>
    </row>
    <row r="20">
      <c r="B20" s="13" t="n">
        <v>12</v>
      </c>
      <c r="C20" s="13" t="inlineStr">
        <is>
          <t>Sun</t>
        </is>
      </c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15" t="n"/>
      <c r="AN20" s="2" t="inlineStr">
        <is>
          <t>Season Pass (Free)</t>
        </is>
      </c>
    </row>
    <row r="21">
      <c r="B21" s="13" t="n">
        <v>13</v>
      </c>
      <c r="C21" s="13" t="inlineStr">
        <is>
          <t>Mon</t>
        </is>
      </c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15" t="n"/>
      <c r="AN21" s="2" t="inlineStr">
        <is>
          <t>Target Day</t>
        </is>
      </c>
    </row>
    <row r="22">
      <c r="B22" s="13" t="n">
        <v>14</v>
      </c>
      <c r="C22" s="13" t="inlineStr">
        <is>
          <t>Tue</t>
        </is>
      </c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15" t="n"/>
      <c r="AN22" s="2" t="inlineStr">
        <is>
          <t>Team Event</t>
        </is>
      </c>
    </row>
    <row r="23">
      <c r="B23" s="13" t="n">
        <v>15</v>
      </c>
      <c r="C23" s="13" t="inlineStr">
        <is>
          <t>Wed</t>
        </is>
      </c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15" t="n"/>
      <c r="AN23" s="2" t="inlineStr">
        <is>
          <t>Team Race</t>
        </is>
      </c>
    </row>
    <row r="24">
      <c r="B24" s="13" t="n">
        <v>16</v>
      </c>
      <c r="C24" s="13" t="inlineStr">
        <is>
          <t>Thu</t>
        </is>
      </c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15" t="n"/>
      <c r="AN24" s="2" t="inlineStr">
        <is>
          <t>Flash Race</t>
        </is>
      </c>
    </row>
    <row r="25">
      <c r="B25" s="13" t="n">
        <v>17</v>
      </c>
      <c r="C25" s="13" t="inlineStr">
        <is>
          <t>Fri</t>
        </is>
      </c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15" t="n"/>
      <c r="AN25" s="2" t="inlineStr">
        <is>
          <t>FlowerCoop</t>
        </is>
      </c>
    </row>
    <row r="26">
      <c r="B26" s="13" t="n">
        <v>18</v>
      </c>
      <c r="C26" s="13" t="inlineStr">
        <is>
          <t>Sat</t>
        </is>
      </c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15" t="n"/>
      <c r="AN26" s="2" t="inlineStr">
        <is>
          <t>Rainbow Maker</t>
        </is>
      </c>
    </row>
    <row r="27">
      <c r="B27" s="13" t="n">
        <v>19</v>
      </c>
      <c r="C27" s="13" t="inlineStr">
        <is>
          <t>Sun</t>
        </is>
      </c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15" t="n"/>
      <c r="AN27" s="2" t="inlineStr">
        <is>
          <t>IAPs</t>
        </is>
      </c>
    </row>
    <row r="28">
      <c r="B28" s="13" t="n">
        <v>20</v>
      </c>
      <c r="C28" s="13" t="inlineStr">
        <is>
          <t>Mon</t>
        </is>
      </c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15" t="n"/>
    </row>
    <row r="29">
      <c r="B29" s="13" t="n">
        <v>21</v>
      </c>
      <c r="C29" s="13" t="inlineStr">
        <is>
          <t>Tue</t>
        </is>
      </c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15" t="n"/>
    </row>
    <row r="30">
      <c r="B30" s="13" t="n">
        <v>22</v>
      </c>
      <c r="C30" s="13" t="inlineStr">
        <is>
          <t>Wed</t>
        </is>
      </c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15" t="n"/>
    </row>
    <row r="31">
      <c r="B31" s="13" t="n">
        <v>23</v>
      </c>
      <c r="C31" s="13" t="inlineStr">
        <is>
          <t>Thu</t>
        </is>
      </c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15" t="n"/>
    </row>
    <row r="32">
      <c r="B32" s="13" t="n">
        <v>24</v>
      </c>
      <c r="C32" s="13" t="inlineStr">
        <is>
          <t>Fri</t>
        </is>
      </c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15" t="n"/>
    </row>
    <row r="33">
      <c r="B33" s="13" t="n">
        <v>25</v>
      </c>
      <c r="C33" s="13" t="inlineStr">
        <is>
          <t>Sat</t>
        </is>
      </c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15" t="n"/>
    </row>
    <row r="34">
      <c r="B34" s="13" t="n">
        <v>26</v>
      </c>
      <c r="C34" s="13" t="inlineStr">
        <is>
          <t>Sun</t>
        </is>
      </c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15" t="n"/>
    </row>
    <row r="35">
      <c r="B35" s="13" t="n">
        <v>27</v>
      </c>
      <c r="C35" s="13" t="inlineStr">
        <is>
          <t>Mon</t>
        </is>
      </c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15" t="n"/>
    </row>
    <row r="36">
      <c r="B36" s="13" t="n">
        <v>28</v>
      </c>
      <c r="C36" s="13" t="inlineStr">
        <is>
          <t>Tue</t>
        </is>
      </c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15" t="n"/>
    </row>
    <row r="37">
      <c r="B37" s="13" t="n">
        <v>29</v>
      </c>
      <c r="C37" s="13" t="inlineStr">
        <is>
          <t>Wed</t>
        </is>
      </c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  <c r="AL37" s="15" t="n"/>
    </row>
    <row r="38">
      <c r="B38" s="13" t="n">
        <v>30</v>
      </c>
      <c r="C38" s="13" t="inlineStr">
        <is>
          <t>Thu</t>
        </is>
      </c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15" t="n"/>
    </row>
    <row r="39">
      <c r="B39" s="13" t="n">
        <v>31</v>
      </c>
      <c r="C39" s="13" t="inlineStr">
        <is>
          <t>Fri</t>
        </is>
      </c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15" t="n"/>
    </row>
    <row r="40">
      <c r="B40" s="13" t="n">
        <v>32</v>
      </c>
      <c r="C40" s="13" t="inlineStr">
        <is>
          <t>Sat</t>
        </is>
      </c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15" t="n"/>
    </row>
    <row r="41">
      <c r="B41" s="13" t="n">
        <v>33</v>
      </c>
      <c r="C41" s="13" t="inlineStr">
        <is>
          <t>Sun</t>
        </is>
      </c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15" t="n"/>
    </row>
    <row r="42">
      <c r="B42" s="16" t="inlineStr">
        <is>
          <t>TOTAL</t>
        </is>
      </c>
      <c r="C42" s="17" t="n"/>
      <c r="D42" s="18">
        <f>SUM(D9:D41)</f>
        <v/>
      </c>
      <c r="E42" s="18">
        <f>SUM(E9:E41)</f>
        <v/>
      </c>
      <c r="F42" s="18">
        <f>SUM(F9:F41)</f>
        <v/>
      </c>
      <c r="G42" s="18">
        <f>SUM(G9:G41)</f>
        <v/>
      </c>
      <c r="H42" s="18">
        <f>SUM(H9:H41)</f>
        <v/>
      </c>
      <c r="I42" s="18">
        <f>SUM(I9:I41)</f>
        <v/>
      </c>
      <c r="J42" s="18">
        <f>SUM(J9:J41)</f>
        <v/>
      </c>
      <c r="K42" s="18">
        <f>SUM(K9:K41)</f>
        <v/>
      </c>
      <c r="L42" s="18">
        <f>SUM(L9:L41)</f>
        <v/>
      </c>
      <c r="M42" s="18">
        <f>SUM(M9:M41)</f>
        <v/>
      </c>
      <c r="N42" s="18">
        <f>SUM(N9:N41)</f>
        <v/>
      </c>
      <c r="P42" s="19">
        <f>SUM(P9:P41)</f>
        <v/>
      </c>
      <c r="Q42" s="19">
        <f>SUM(Q9:Q41)</f>
        <v/>
      </c>
      <c r="R42" s="19">
        <f>SUM(R9:R41)</f>
        <v/>
      </c>
      <c r="S42" s="19">
        <f>SUM(S9:S41)</f>
        <v/>
      </c>
      <c r="T42" s="19">
        <f>SUM(T9:T41)</f>
        <v/>
      </c>
      <c r="U42" s="19">
        <f>SUM(U9:U41)</f>
        <v/>
      </c>
      <c r="V42" s="19">
        <f>SUM(V9:V41)</f>
        <v/>
      </c>
      <c r="W42" s="19">
        <f>SUM(W9:W41)</f>
        <v/>
      </c>
      <c r="X42" s="19">
        <f>SUM(X9:X41)</f>
        <v/>
      </c>
      <c r="Y42" s="19">
        <f>SUM(Y9:Y41)</f>
        <v/>
      </c>
      <c r="Z42" s="19">
        <f>SUM(Z9:Z41)</f>
        <v/>
      </c>
      <c r="AB42" s="20">
        <f>SUM(AB9:AB41)</f>
        <v/>
      </c>
      <c r="AC42" s="20">
        <f>SUM(AC9:AC41)</f>
        <v/>
      </c>
      <c r="AD42" s="20">
        <f>SUM(AD9:AD41)</f>
        <v/>
      </c>
      <c r="AE42" s="20">
        <f>SUM(AE9:AE41)</f>
        <v/>
      </c>
      <c r="AF42" s="20">
        <f>SUM(AF9:AF41)</f>
        <v/>
      </c>
      <c r="AG42" s="20">
        <f>SUM(AG9:AG41)</f>
        <v/>
      </c>
      <c r="AH42" s="20">
        <f>SUM(AH9:AH41)</f>
        <v/>
      </c>
      <c r="AI42" s="20">
        <f>SUM(AI9:AI41)</f>
        <v/>
      </c>
      <c r="AJ42" s="20">
        <f>SUM(AJ9:AJ41)</f>
        <v/>
      </c>
      <c r="AK42" s="20">
        <f>SUM(AK9:AK41)</f>
        <v/>
      </c>
      <c r="AL42" s="20">
        <f>SUM(AL9:AL41)</f>
        <v/>
      </c>
    </row>
    <row r="44">
      <c r="B44" s="21" t="inlineStr">
        <is>
          <t>LEGEND / ALLOCATION RULES (claim-day realistic — EcoGainsSim_Daily.gs)</t>
        </is>
      </c>
    </row>
    <row r="45">
      <c r="B45" s="5" t="inlineStr">
        <is>
          <t>Window totals are exactly the main sim’s numbers (CURRENT = measured on cal_curr, NEW = simulated on cal_new); this view only places them on days — column TOTALs reconcile with EcoGainsSim_HC.</t>
        </is>
      </c>
    </row>
    <row r="46">
      <c r="B46" s="5" t="inlineStr">
        <is>
          <t>Leaderboard events (Bomb/Chuck/Red Challenge, Level Race, Flash Race, Target Day, Kite) pay on each instance’s LAST day → expect end-day spikes. Instance slices are split by reach.</t>
        </is>
      </c>
    </row>
    <row r="47">
      <c r="B47" s="5" t="inlineStr">
        <is>
          <t>Collections (Hatchling Hideaway, Bomb’s Ballet, Jigsaw, Photoshoot) spread across instance days by the accrual curve’s marginal share; Rainbow Maker spreads ∝ active rate within its instances (no curve — flagged).</t>
        </is>
      </c>
    </row>
    <row r="48">
      <c r="B48" s="5" t="inlineStr">
        <is>
          <t>Core / Saga / Daily Gift pay daily ∝ weekday/weekend active rate; Night Sky over its daily instances. Non-calendar sources (Ads, Teams, Season Pass, Other, IAPs; River Rush current side) are flat ÷33 — their DIFF is uniform.</t>
        </is>
      </c>
    </row>
    <row r="49">
      <c r="B49" s="5" t="inlineStr">
        <is>
          <t>Weekend rows (Fri/Sat/Sun) are tinted. Filters: Payer / Segment / Source — Source=ALL sums every category; pick one to isolate its daily contribution.</t>
        </is>
      </c>
    </row>
  </sheetData>
  <conditionalFormatting sqref="AB9:AL41">
    <cfRule type="cellIs" priority="1" operator="lessThan" dxfId="0" stopIfTrue="1">
      <formula>0</formula>
    </cfRule>
    <cfRule type="cellIs" priority="2" operator="greaterThan" dxfId="1" stopIfTrue="1">
      <formula>0</formula>
    </cfRule>
  </conditionalFormatting>
  <conditionalFormatting sqref="B9:AL41">
    <cfRule type="expression" priority="3" dxfId="2">
      <formula>OR($C9="Fri",$C9="Sat",$C9="Sun")</formula>
    </cfRule>
  </conditionalFormatting>
  <dataValidations count="3">
    <dataValidation sqref="C3" showDropDown="0" showInputMessage="0" showErrorMessage="0" allowBlank="0" type="list">
      <formula1>"NONPAYER,PAYER"</formula1>
    </dataValidation>
    <dataValidation sqref="C4" showDropDown="0" showInputMessage="0" showErrorMessage="0" allowBlank="0" type="list">
      <formula1>"0-9,10-19,20-39,40-99,100+"</formula1>
    </dataValidation>
    <dataValidation sqref="C5" showDropDown="0" showInputMessage="0" showErrorMessage="0" allowBlank="0" type="list">
      <formula1>=$AN$2:$AN$27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2026-07-04T11:17:43Z</dcterms:created>
  <dcterms:modified xsi:type="dcterms:W3CDTF">2026-07-04T11:17:43Z</dcterms:modified>
</cp:coreProperties>
</file>