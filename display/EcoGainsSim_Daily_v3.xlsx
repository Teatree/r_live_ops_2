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coGainsSim_Dail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"/>
    <numFmt numFmtId="165" formatCode="#,##0.00;[Red]-#,##0.0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sz val="10"/>
    </font>
    <font>
      <name val="Arial"/>
      <color rgb="FF808080"/>
      <sz val="9"/>
    </font>
    <font>
      <name val="Arial"/>
      <color rgb="FF808080"/>
      <sz val="8"/>
    </font>
    <font>
      <name val="Arial"/>
      <b val="1"/>
      <color rgb="FFFFFFFF"/>
      <sz val="11"/>
    </font>
    <font>
      <name val="Arial"/>
      <b val="1"/>
      <sz val="9"/>
    </font>
    <font>
      <name val="Arial"/>
      <sz val="10"/>
    </font>
    <font>
      <name val="Arial"/>
      <b val="1"/>
      <color rgb="FF000000"/>
      <sz val="9"/>
    </font>
  </fonts>
  <fills count="12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CFE2F3"/>
      </patternFill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666666"/>
      </patternFill>
    </fill>
    <fill>
      <patternFill patternType="solid">
        <fgColor rgb="FFEFEFEF"/>
      </patternFill>
    </fill>
    <fill>
      <patternFill patternType="solid">
        <fgColor rgb="FF7030A0"/>
      </patternFill>
    </fill>
    <fill>
      <patternFill patternType="solid">
        <fgColor rgb="FFE9DEF3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/>
    </xf>
    <xf numFmtId="0" fontId="3" fillId="0" borderId="0" pivotButton="0" quotePrefix="0" xfId="0"/>
    <xf numFmtId="0" fontId="5" fillId="3" borderId="0" pivotButton="0" quotePrefix="0" xfId="0"/>
    <xf numFmtId="0" fontId="5" fillId="5" borderId="0" pivotButton="0" quotePrefix="0" xfId="0"/>
    <xf numFmtId="0" fontId="5" fillId="7" borderId="0" pivotButton="0" quotePrefix="0" xfId="0"/>
    <xf numFmtId="0" fontId="5" fillId="9" borderId="0" pivotButton="0" quotePrefix="0" xfId="0"/>
    <xf numFmtId="0" fontId="6" fillId="11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0" fontId="6" fillId="11" borderId="1" pivotButton="0" quotePrefix="0" xfId="0"/>
    <xf numFmtId="0" fontId="0" fillId="11" borderId="1" pivotButton="0" quotePrefix="0" xfId="0"/>
    <xf numFmtId="4" fontId="2" fillId="4" borderId="1" applyAlignment="1" pivotButton="0" quotePrefix="0" xfId="0">
      <alignment horizontal="center"/>
    </xf>
    <xf numFmtId="4" fontId="2" fillId="6" borderId="1" applyAlignment="1" pivotButton="0" quotePrefix="0" xfId="0">
      <alignment horizontal="center"/>
    </xf>
    <xf numFmtId="164" fontId="2" fillId="8" borderId="1" applyAlignment="1" pivotButton="0" quotePrefix="0" xfId="0">
      <alignment horizontal="center"/>
    </xf>
    <xf numFmtId="4" fontId="2" fillId="10" borderId="1" applyAlignment="1" pivotButton="0" quotePrefix="0" xfId="0">
      <alignment horizontal="center"/>
    </xf>
    <xf numFmtId="165" fontId="2" fillId="1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color rgb="FF990000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D9EAD3"/>
        </patternFill>
      </fill>
    </dxf>
    <dxf>
      <fill>
        <patternFill patternType="solid">
          <fgColor rgb="FFFEF8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P52"/>
  <sheetViews>
    <sheetView showGridLines="0" workbookViewId="0">
      <selection activeCell="A1" sqref="A1"/>
    </sheetView>
  </sheetViews>
  <sheetFormatPr baseColWidth="8" defaultRowHeight="15"/>
  <cols>
    <col width="1.75" customWidth="1" min="1" max="1"/>
    <col width="5.5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2.8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2.8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2.8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  <col width="8" customWidth="1" min="76" max="76"/>
    <col width="8" customWidth="1" min="77" max="77"/>
    <col width="8" customWidth="1" min="78" max="78"/>
    <col width="8" customWidth="1" min="79" max="79"/>
    <col width="8" customWidth="1" min="80" max="80"/>
    <col width="8" customWidth="1" min="81" max="81"/>
    <col width="8" customWidth="1" min="82" max="82"/>
    <col width="8" customWidth="1" min="83" max="83"/>
    <col width="8" customWidth="1" min="84" max="84"/>
    <col width="8" customWidth="1" min="85" max="85"/>
    <col width="8" customWidth="1" min="86" max="86"/>
    <col width="2.88" customWidth="1" min="87" max="87"/>
    <col width="8" customWidth="1" min="88" max="88"/>
    <col width="8" customWidth="1" min="89" max="89"/>
    <col width="8" customWidth="1" min="90" max="90"/>
    <col width="8" customWidth="1" min="91" max="91"/>
    <col width="8" customWidth="1" min="92" max="92"/>
    <col width="8" customWidth="1" min="93" max="93"/>
    <col width="8" customWidth="1" min="94" max="94"/>
    <col width="8" customWidth="1" min="95" max="95"/>
    <col width="8" customWidth="1" min="96" max="96"/>
    <col width="8" customWidth="1" min="97" max="97"/>
    <col width="8" customWidth="1" min="98" max="98"/>
    <col width="8" customWidth="1" min="99" max="99"/>
    <col width="8" customWidth="1" min="100" max="100"/>
    <col width="8" customWidth="1" min="101" max="101"/>
    <col width="8" customWidth="1" min="102" max="102"/>
    <col width="8" customWidth="1" min="103" max="103"/>
    <col width="8" customWidth="1" min="104" max="104"/>
    <col width="8" customWidth="1" min="105" max="105"/>
    <col width="8" customWidth="1" min="106" max="106"/>
    <col width="8" customWidth="1" min="107" max="107"/>
    <col width="2.88" customWidth="1" min="108" max="108"/>
    <col width="8" customWidth="1" min="109" max="109"/>
    <col width="8" customWidth="1" min="110" max="110"/>
    <col width="8" customWidth="1" min="111" max="111"/>
    <col width="8" customWidth="1" min="112" max="112"/>
    <col width="8" customWidth="1" min="113" max="113"/>
    <col width="8" customWidth="1" min="114" max="114"/>
    <col width="8" customWidth="1" min="115" max="115"/>
    <col width="8" customWidth="1" min="116" max="116"/>
    <col width="8" customWidth="1" min="117" max="117"/>
    <col width="8" customWidth="1" min="118" max="118"/>
    <col width="8" customWidth="1" min="119" max="119"/>
    <col width="8" customWidth="1" min="120" max="120"/>
    <col width="8" customWidth="1" min="121" max="121"/>
    <col width="8" customWidth="1" min="122" max="122"/>
    <col width="8" customWidth="1" min="123" max="123"/>
    <col width="8" customWidth="1" min="124" max="124"/>
    <col width="8" customWidth="1" min="125" max="125"/>
    <col width="8" customWidth="1" min="126" max="126"/>
    <col width="8" customWidth="1" min="127" max="127"/>
    <col width="8" customWidth="1" min="128" max="128"/>
    <col width="2.88" customWidth="1" min="129" max="129"/>
    <col width="8" customWidth="1" min="130" max="130"/>
    <col width="8" customWidth="1" min="131" max="131"/>
    <col width="8" customWidth="1" min="132" max="132"/>
    <col width="8" customWidth="1" min="133" max="133"/>
    <col width="8" customWidth="1" min="134" max="134"/>
    <col width="8" customWidth="1" min="135" max="135"/>
    <col width="8" customWidth="1" min="136" max="136"/>
    <col width="8" customWidth="1" min="137" max="137"/>
    <col width="8" customWidth="1" min="138" max="138"/>
    <col width="8" customWidth="1" min="139" max="139"/>
    <col width="8" customWidth="1" min="140" max="140"/>
    <col width="8" customWidth="1" min="141" max="141"/>
    <col width="8" customWidth="1" min="142" max="142"/>
    <col width="8" customWidth="1" min="143" max="143"/>
    <col width="8" customWidth="1" min="144" max="144"/>
    <col width="8" customWidth="1" min="145" max="145"/>
    <col width="8" customWidth="1" min="146" max="146"/>
    <col width="8" customWidth="1" min="147" max="147"/>
    <col width="8" customWidth="1" min="148" max="148"/>
    <col width="8" customWidth="1" min="149" max="149"/>
    <col width="2.88" customWidth="1" min="150" max="150"/>
    <col width="8" customWidth="1" min="151" max="151"/>
    <col width="8" customWidth="1" min="152" max="152"/>
    <col width="8" customWidth="1" min="153" max="153"/>
    <col width="8" customWidth="1" min="154" max="154"/>
    <col width="8" customWidth="1" min="155" max="155"/>
    <col width="8" customWidth="1" min="156" max="156"/>
    <col width="8" customWidth="1" min="157" max="157"/>
    <col width="8" customWidth="1" min="158" max="158"/>
    <col width="8" customWidth="1" min="159" max="159"/>
    <col width="8" customWidth="1" min="160" max="160"/>
    <col width="8" customWidth="1" min="161" max="161"/>
    <col width="8" customWidth="1" min="162" max="162"/>
    <col width="8" customWidth="1" min="163" max="163"/>
    <col width="8" customWidth="1" min="164" max="164"/>
    <col width="8" customWidth="1" min="165" max="165"/>
    <col width="8" customWidth="1" min="166" max="166"/>
    <col width="8" customWidth="1" min="167" max="167"/>
    <col width="8" customWidth="1" min="168" max="168"/>
    <col width="8" customWidth="1" min="169" max="169"/>
    <col width="8" customWidth="1" min="170" max="170"/>
    <col width="2.88" customWidth="1" min="171" max="171"/>
    <col width="21" customWidth="1" min="172" max="172"/>
  </cols>
  <sheetData>
    <row r="1">
      <c r="B1" s="1" t="inlineStr">
        <is>
          <t>DAILY RESOURCE GAINS + NET — data vs sim, 33-day calendar, per earner (day 1 = Wednesday)</t>
        </is>
      </c>
      <c r="FP1" s="2" t="inlineStr">
        <is>
          <t>source dropdown list</t>
        </is>
      </c>
    </row>
    <row r="2">
      <c r="FP2" s="2" t="inlineStr">
        <is>
          <t>ALL</t>
        </is>
      </c>
    </row>
    <row r="3">
      <c r="B3" s="3" t="inlineStr">
        <is>
          <t>Payer</t>
        </is>
      </c>
      <c r="C3" s="4" t="inlineStr">
        <is>
          <t>NONPAYER</t>
        </is>
      </c>
      <c r="D3" s="5" t="inlineStr">
        <is>
          <t>◀ filters (dropdowns) — the whole table re-simulates on change</t>
        </is>
      </c>
      <c r="FP3" s="2" t="inlineStr">
        <is>
          <t>Ads</t>
        </is>
      </c>
    </row>
    <row r="4">
      <c r="B4" s="3" t="inlineStr">
        <is>
          <t>Segment</t>
        </is>
      </c>
      <c r="C4" s="4" t="inlineStr">
        <is>
          <t>0-9</t>
        </is>
      </c>
      <c r="FP4" s="2" t="inlineStr">
        <is>
          <t>Bomb Challenge</t>
        </is>
      </c>
    </row>
    <row r="5">
      <c r="B5" s="3" t="inlineStr">
        <is>
          <t>Source</t>
        </is>
      </c>
      <c r="C5" s="4" t="inlineStr">
        <is>
          <t>ALL</t>
        </is>
      </c>
      <c r="FP5" s="2" t="inlineStr">
        <is>
          <t>Bomb's Ballet</t>
        </is>
      </c>
    </row>
    <row r="6">
      <c r="FP6" s="2" t="inlineStr">
        <is>
          <t>Chuck Challenge</t>
        </is>
      </c>
    </row>
    <row r="7">
      <c r="D7" s="6" t="inlineStr">
        <is>
          <t>◄ CURRENT GAINS (data: data_econ_daily, per earner) ►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Y7" s="7" t="inlineStr">
        <is>
          <t>◄ NEW GAINS (sim, cal_new) ►</t>
        </is>
      </c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T7" s="8" t="inlineStr">
        <is>
          <t>Δ GAINS   data − sim</t>
        </is>
      </c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O7" s="9" t="inlineStr">
        <is>
          <t>◄ CURRENT SPEND (data, per earner) ►</t>
        </is>
      </c>
      <c r="BP7" s="9" t="n"/>
      <c r="BQ7" s="9" t="n"/>
      <c r="BR7" s="9" t="n"/>
      <c r="BS7" s="9" t="n"/>
      <c r="BT7" s="9" t="n"/>
      <c r="BU7" s="9" t="n"/>
      <c r="BV7" s="9" t="n"/>
      <c r="BW7" s="9" t="n"/>
      <c r="BX7" s="9" t="n"/>
      <c r="BY7" s="9" t="n"/>
      <c r="BZ7" s="9" t="n"/>
      <c r="CA7" s="9" t="n"/>
      <c r="CB7" s="9" t="n"/>
      <c r="CC7" s="9" t="n"/>
      <c r="CD7" s="9" t="n"/>
      <c r="CE7" s="9" t="n"/>
      <c r="CF7" s="9" t="n"/>
      <c r="CG7" s="9" t="n"/>
      <c r="CH7" s="9" t="n"/>
      <c r="CJ7" s="9" t="inlineStr">
        <is>
          <t>◄ CURRENT NET (data: gain − spend) ►</t>
        </is>
      </c>
      <c r="CK7" s="9" t="n"/>
      <c r="CL7" s="9" t="n"/>
      <c r="CM7" s="9" t="n"/>
      <c r="CN7" s="9" t="n"/>
      <c r="CO7" s="9" t="n"/>
      <c r="CP7" s="9" t="n"/>
      <c r="CQ7" s="9" t="n"/>
      <c r="CR7" s="9" t="n"/>
      <c r="CS7" s="9" t="n"/>
      <c r="CT7" s="9" t="n"/>
      <c r="CU7" s="9" t="n"/>
      <c r="CV7" s="9" t="n"/>
      <c r="CW7" s="9" t="n"/>
      <c r="CX7" s="9" t="n"/>
      <c r="CY7" s="9" t="n"/>
      <c r="CZ7" s="9" t="n"/>
      <c r="DA7" s="9" t="n"/>
      <c r="DB7" s="9" t="n"/>
      <c r="DC7" s="9" t="n"/>
      <c r="DE7" s="9" t="inlineStr">
        <is>
          <t>◄ NEW NET (sim: data gain + sim Δ − spend) ►</t>
        </is>
      </c>
      <c r="DF7" s="9" t="n"/>
      <c r="DG7" s="9" t="n"/>
      <c r="DH7" s="9" t="n"/>
      <c r="DI7" s="9" t="n"/>
      <c r="DJ7" s="9" t="n"/>
      <c r="DK7" s="9" t="n"/>
      <c r="DL7" s="9" t="n"/>
      <c r="DM7" s="9" t="n"/>
      <c r="DN7" s="9" t="n"/>
      <c r="DO7" s="9" t="n"/>
      <c r="DP7" s="9" t="n"/>
      <c r="DQ7" s="9" t="n"/>
      <c r="DR7" s="9" t="n"/>
      <c r="DS7" s="9" t="n"/>
      <c r="DT7" s="9" t="n"/>
      <c r="DU7" s="9" t="n"/>
      <c r="DV7" s="9" t="n"/>
      <c r="DW7" s="9" t="n"/>
      <c r="DX7" s="9" t="n"/>
      <c r="DZ7" s="8" t="inlineStr">
        <is>
          <t>Δ NET   data − sim</t>
        </is>
      </c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U7" s="6" t="inlineStr">
        <is>
          <t>◄ SIM of cal_curr — validation lane (data − this = model error) ►</t>
        </is>
      </c>
      <c r="EV7" s="6" t="n"/>
      <c r="EW7" s="6" t="n"/>
      <c r="EX7" s="6" t="n"/>
      <c r="EY7" s="6" t="n"/>
      <c r="EZ7" s="6" t="n"/>
      <c r="FA7" s="6" t="n"/>
      <c r="FB7" s="6" t="n"/>
      <c r="FC7" s="6" t="n"/>
      <c r="FD7" s="6" t="n"/>
      <c r="FE7" s="6" t="n"/>
      <c r="FF7" s="6" t="n"/>
      <c r="FG7" s="6" t="n"/>
      <c r="FH7" s="6" t="n"/>
      <c r="FI7" s="6" t="n"/>
      <c r="FJ7" s="6" t="n"/>
      <c r="FK7" s="6" t="n"/>
      <c r="FL7" s="6" t="n"/>
      <c r="FM7" s="6" t="n"/>
      <c r="FN7" s="6" t="n"/>
      <c r="FP7" s="2" t="inlineStr">
        <is>
          <t>Core</t>
        </is>
      </c>
    </row>
    <row r="8">
      <c r="B8" s="10" t="inlineStr">
        <is>
          <t>Day</t>
        </is>
      </c>
      <c r="C8" s="10" t="inlineStr">
        <is>
          <t>DoW</t>
        </is>
      </c>
      <c r="D8" s="11" t="inlineStr">
        <is>
          <t>HC</t>
        </is>
      </c>
      <c r="E8" s="11" t="inlineStr">
        <is>
          <t>Slingshot</t>
        </is>
      </c>
      <c r="F8" s="11" t="inlineStr">
        <is>
          <t>Shuffle</t>
        </is>
      </c>
      <c r="G8" s="11" t="inlineStr">
        <is>
          <t>Comet</t>
        </is>
      </c>
      <c r="H8" s="11" t="inlineStr">
        <is>
          <t>Red</t>
        </is>
      </c>
      <c r="I8" s="11" t="inlineStr">
        <is>
          <t>Chuck</t>
        </is>
      </c>
      <c r="J8" s="11" t="inlineStr">
        <is>
          <t>Bomb</t>
        </is>
      </c>
      <c r="K8" s="11" t="inlineStr">
        <is>
          <t>UL Bomb</t>
        </is>
      </c>
      <c r="L8" s="11" t="inlineStr">
        <is>
          <t>UL Chuck</t>
        </is>
      </c>
      <c r="M8" s="11" t="inlineStr">
        <is>
          <t>UL Red</t>
        </is>
      </c>
      <c r="N8" s="11" t="inlineStr">
        <is>
          <t>Unlimited Lives</t>
        </is>
      </c>
      <c r="O8" s="11" t="inlineStr">
        <is>
          <t>SPT</t>
        </is>
      </c>
      <c r="P8" s="11" t="inlineStr">
        <is>
          <t>SPTx2</t>
        </is>
      </c>
      <c r="Q8" s="11" t="inlineStr">
        <is>
          <t>1-star Pack</t>
        </is>
      </c>
      <c r="R8" s="11" t="inlineStr">
        <is>
          <t>2-star Pack</t>
        </is>
      </c>
      <c r="S8" s="11" t="inlineStr">
        <is>
          <t>3-star Pack</t>
        </is>
      </c>
      <c r="T8" s="11" t="inlineStr">
        <is>
          <t>4-star Pack</t>
        </is>
      </c>
      <c r="U8" s="11" t="inlineStr">
        <is>
          <t>5-star Pack</t>
        </is>
      </c>
      <c r="V8" s="11" t="inlineStr">
        <is>
          <t>6-star Pack</t>
        </is>
      </c>
      <c r="W8" s="11" t="inlineStr">
        <is>
          <t>ToF_Ticket</t>
        </is>
      </c>
      <c r="Y8" s="12" t="inlineStr">
        <is>
          <t>HC</t>
        </is>
      </c>
      <c r="Z8" s="12" t="inlineStr">
        <is>
          <t>Slingshot</t>
        </is>
      </c>
      <c r="AA8" s="12" t="inlineStr">
        <is>
          <t>Shuffle</t>
        </is>
      </c>
      <c r="AB8" s="12" t="inlineStr">
        <is>
          <t>Comet</t>
        </is>
      </c>
      <c r="AC8" s="12" t="inlineStr">
        <is>
          <t>Red</t>
        </is>
      </c>
      <c r="AD8" s="12" t="inlineStr">
        <is>
          <t>Chuck</t>
        </is>
      </c>
      <c r="AE8" s="12" t="inlineStr">
        <is>
          <t>Bomb</t>
        </is>
      </c>
      <c r="AF8" s="12" t="inlineStr">
        <is>
          <t>UL Bomb</t>
        </is>
      </c>
      <c r="AG8" s="12" t="inlineStr">
        <is>
          <t>UL Chuck</t>
        </is>
      </c>
      <c r="AH8" s="12" t="inlineStr">
        <is>
          <t>UL Red</t>
        </is>
      </c>
      <c r="AI8" s="12" t="inlineStr">
        <is>
          <t>Unlimited Lives</t>
        </is>
      </c>
      <c r="AJ8" s="12" t="inlineStr">
        <is>
          <t>SPT</t>
        </is>
      </c>
      <c r="AK8" s="12" t="inlineStr">
        <is>
          <t>SPTx2</t>
        </is>
      </c>
      <c r="AL8" s="12" t="inlineStr">
        <is>
          <t>1-star Pack</t>
        </is>
      </c>
      <c r="AM8" s="12" t="inlineStr">
        <is>
          <t>2-star Pack</t>
        </is>
      </c>
      <c r="AN8" s="12" t="inlineStr">
        <is>
          <t>3-star Pack</t>
        </is>
      </c>
      <c r="AO8" s="12" t="inlineStr">
        <is>
          <t>4-star Pack</t>
        </is>
      </c>
      <c r="AP8" s="12" t="inlineStr">
        <is>
          <t>5-star Pack</t>
        </is>
      </c>
      <c r="AQ8" s="12" t="inlineStr">
        <is>
          <t>6-star Pack</t>
        </is>
      </c>
      <c r="AR8" s="12" t="inlineStr">
        <is>
          <t>ToF_Ticket</t>
        </is>
      </c>
      <c r="AT8" s="13" t="inlineStr">
        <is>
          <t>HC</t>
        </is>
      </c>
      <c r="AU8" s="13" t="inlineStr">
        <is>
          <t>Slingshot</t>
        </is>
      </c>
      <c r="AV8" s="13" t="inlineStr">
        <is>
          <t>Shuffle</t>
        </is>
      </c>
      <c r="AW8" s="13" t="inlineStr">
        <is>
          <t>Comet</t>
        </is>
      </c>
      <c r="AX8" s="13" t="inlineStr">
        <is>
          <t>Red</t>
        </is>
      </c>
      <c r="AY8" s="13" t="inlineStr">
        <is>
          <t>Chuck</t>
        </is>
      </c>
      <c r="AZ8" s="13" t="inlineStr">
        <is>
          <t>Bomb</t>
        </is>
      </c>
      <c r="BA8" s="13" t="inlineStr">
        <is>
          <t>UL Bomb</t>
        </is>
      </c>
      <c r="BB8" s="13" t="inlineStr">
        <is>
          <t>UL Chuck</t>
        </is>
      </c>
      <c r="BC8" s="13" t="inlineStr">
        <is>
          <t>UL Red</t>
        </is>
      </c>
      <c r="BD8" s="13" t="inlineStr">
        <is>
          <t>Unlimited Lives</t>
        </is>
      </c>
      <c r="BE8" s="13" t="inlineStr">
        <is>
          <t>SPT</t>
        </is>
      </c>
      <c r="BF8" s="13" t="inlineStr">
        <is>
          <t>SPTx2</t>
        </is>
      </c>
      <c r="BG8" s="13" t="inlineStr">
        <is>
          <t>1-star Pack</t>
        </is>
      </c>
      <c r="BH8" s="13" t="inlineStr">
        <is>
          <t>2-star Pack</t>
        </is>
      </c>
      <c r="BI8" s="13" t="inlineStr">
        <is>
          <t>3-star Pack</t>
        </is>
      </c>
      <c r="BJ8" s="13" t="inlineStr">
        <is>
          <t>4-star Pack</t>
        </is>
      </c>
      <c r="BK8" s="13" t="inlineStr">
        <is>
          <t>5-star Pack</t>
        </is>
      </c>
      <c r="BL8" s="13" t="inlineStr">
        <is>
          <t>6-star Pack</t>
        </is>
      </c>
      <c r="BM8" s="13" t="inlineStr">
        <is>
          <t>ToF_Ticket</t>
        </is>
      </c>
      <c r="BO8" s="14" t="inlineStr">
        <is>
          <t>HC</t>
        </is>
      </c>
      <c r="BP8" s="14" t="inlineStr">
        <is>
          <t>Slingshot</t>
        </is>
      </c>
      <c r="BQ8" s="14" t="inlineStr">
        <is>
          <t>Shuffle</t>
        </is>
      </c>
      <c r="BR8" s="14" t="inlineStr">
        <is>
          <t>Comet</t>
        </is>
      </c>
      <c r="BS8" s="14" t="inlineStr">
        <is>
          <t>Red</t>
        </is>
      </c>
      <c r="BT8" s="14" t="inlineStr">
        <is>
          <t>Chuck</t>
        </is>
      </c>
      <c r="BU8" s="14" t="inlineStr">
        <is>
          <t>Bomb</t>
        </is>
      </c>
      <c r="BV8" s="14" t="inlineStr">
        <is>
          <t>UL Bomb</t>
        </is>
      </c>
      <c r="BW8" s="14" t="inlineStr">
        <is>
          <t>UL Chuck</t>
        </is>
      </c>
      <c r="BX8" s="14" t="inlineStr">
        <is>
          <t>UL Red</t>
        </is>
      </c>
      <c r="BY8" s="14" t="inlineStr">
        <is>
          <t>Unlimited Lives</t>
        </is>
      </c>
      <c r="BZ8" s="14" t="inlineStr">
        <is>
          <t>SPT</t>
        </is>
      </c>
      <c r="CA8" s="14" t="inlineStr">
        <is>
          <t>SPTx2</t>
        </is>
      </c>
      <c r="CB8" s="14" t="inlineStr">
        <is>
          <t>1-star Pack</t>
        </is>
      </c>
      <c r="CC8" s="14" t="inlineStr">
        <is>
          <t>2-star Pack</t>
        </is>
      </c>
      <c r="CD8" s="14" t="inlineStr">
        <is>
          <t>3-star Pack</t>
        </is>
      </c>
      <c r="CE8" s="14" t="inlineStr">
        <is>
          <t>4-star Pack</t>
        </is>
      </c>
      <c r="CF8" s="14" t="inlineStr">
        <is>
          <t>5-star Pack</t>
        </is>
      </c>
      <c r="CG8" s="14" t="inlineStr">
        <is>
          <t>6-star Pack</t>
        </is>
      </c>
      <c r="CH8" s="14" t="inlineStr">
        <is>
          <t>ToF_Ticket</t>
        </is>
      </c>
      <c r="CJ8" s="14" t="inlineStr">
        <is>
          <t>HC</t>
        </is>
      </c>
      <c r="CK8" s="14" t="inlineStr">
        <is>
          <t>Slingshot</t>
        </is>
      </c>
      <c r="CL8" s="14" t="inlineStr">
        <is>
          <t>Shuffle</t>
        </is>
      </c>
      <c r="CM8" s="14" t="inlineStr">
        <is>
          <t>Comet</t>
        </is>
      </c>
      <c r="CN8" s="14" t="inlineStr">
        <is>
          <t>Red</t>
        </is>
      </c>
      <c r="CO8" s="14" t="inlineStr">
        <is>
          <t>Chuck</t>
        </is>
      </c>
      <c r="CP8" s="14" t="inlineStr">
        <is>
          <t>Bomb</t>
        </is>
      </c>
      <c r="CQ8" s="14" t="inlineStr">
        <is>
          <t>UL Bomb</t>
        </is>
      </c>
      <c r="CR8" s="14" t="inlineStr">
        <is>
          <t>UL Chuck</t>
        </is>
      </c>
      <c r="CS8" s="14" t="inlineStr">
        <is>
          <t>UL Red</t>
        </is>
      </c>
      <c r="CT8" s="14" t="inlineStr">
        <is>
          <t>Unlimited Lives</t>
        </is>
      </c>
      <c r="CU8" s="14" t="inlineStr">
        <is>
          <t>SPT</t>
        </is>
      </c>
      <c r="CV8" s="14" t="inlineStr">
        <is>
          <t>SPTx2</t>
        </is>
      </c>
      <c r="CW8" s="14" t="inlineStr">
        <is>
          <t>1-star Pack</t>
        </is>
      </c>
      <c r="CX8" s="14" t="inlineStr">
        <is>
          <t>2-star Pack</t>
        </is>
      </c>
      <c r="CY8" s="14" t="inlineStr">
        <is>
          <t>3-star Pack</t>
        </is>
      </c>
      <c r="CZ8" s="14" t="inlineStr">
        <is>
          <t>4-star Pack</t>
        </is>
      </c>
      <c r="DA8" s="14" t="inlineStr">
        <is>
          <t>5-star Pack</t>
        </is>
      </c>
      <c r="DB8" s="14" t="inlineStr">
        <is>
          <t>6-star Pack</t>
        </is>
      </c>
      <c r="DC8" s="14" t="inlineStr">
        <is>
          <t>ToF_Ticket</t>
        </is>
      </c>
      <c r="DE8" s="14" t="inlineStr">
        <is>
          <t>HC</t>
        </is>
      </c>
      <c r="DF8" s="14" t="inlineStr">
        <is>
          <t>Slingshot</t>
        </is>
      </c>
      <c r="DG8" s="14" t="inlineStr">
        <is>
          <t>Shuffle</t>
        </is>
      </c>
      <c r="DH8" s="14" t="inlineStr">
        <is>
          <t>Comet</t>
        </is>
      </c>
      <c r="DI8" s="14" t="inlineStr">
        <is>
          <t>Red</t>
        </is>
      </c>
      <c r="DJ8" s="14" t="inlineStr">
        <is>
          <t>Chuck</t>
        </is>
      </c>
      <c r="DK8" s="14" t="inlineStr">
        <is>
          <t>Bomb</t>
        </is>
      </c>
      <c r="DL8" s="14" t="inlineStr">
        <is>
          <t>UL Bomb</t>
        </is>
      </c>
      <c r="DM8" s="14" t="inlineStr">
        <is>
          <t>UL Chuck</t>
        </is>
      </c>
      <c r="DN8" s="14" t="inlineStr">
        <is>
          <t>UL Red</t>
        </is>
      </c>
      <c r="DO8" s="14" t="inlineStr">
        <is>
          <t>Unlimited Lives</t>
        </is>
      </c>
      <c r="DP8" s="14" t="inlineStr">
        <is>
          <t>SPT</t>
        </is>
      </c>
      <c r="DQ8" s="14" t="inlineStr">
        <is>
          <t>SPTx2</t>
        </is>
      </c>
      <c r="DR8" s="14" t="inlineStr">
        <is>
          <t>1-star Pack</t>
        </is>
      </c>
      <c r="DS8" s="14" t="inlineStr">
        <is>
          <t>2-star Pack</t>
        </is>
      </c>
      <c r="DT8" s="14" t="inlineStr">
        <is>
          <t>3-star Pack</t>
        </is>
      </c>
      <c r="DU8" s="14" t="inlineStr">
        <is>
          <t>4-star Pack</t>
        </is>
      </c>
      <c r="DV8" s="14" t="inlineStr">
        <is>
          <t>5-star Pack</t>
        </is>
      </c>
      <c r="DW8" s="14" t="inlineStr">
        <is>
          <t>6-star Pack</t>
        </is>
      </c>
      <c r="DX8" s="14" t="inlineStr">
        <is>
          <t>ToF_Ticket</t>
        </is>
      </c>
      <c r="DZ8" s="13" t="inlineStr">
        <is>
          <t>HC</t>
        </is>
      </c>
      <c r="EA8" s="13" t="inlineStr">
        <is>
          <t>Slingshot</t>
        </is>
      </c>
      <c r="EB8" s="13" t="inlineStr">
        <is>
          <t>Shuffle</t>
        </is>
      </c>
      <c r="EC8" s="13" t="inlineStr">
        <is>
          <t>Comet</t>
        </is>
      </c>
      <c r="ED8" s="13" t="inlineStr">
        <is>
          <t>Red</t>
        </is>
      </c>
      <c r="EE8" s="13" t="inlineStr">
        <is>
          <t>Chuck</t>
        </is>
      </c>
      <c r="EF8" s="13" t="inlineStr">
        <is>
          <t>Bomb</t>
        </is>
      </c>
      <c r="EG8" s="13" t="inlineStr">
        <is>
          <t>UL Bomb</t>
        </is>
      </c>
      <c r="EH8" s="13" t="inlineStr">
        <is>
          <t>UL Chuck</t>
        </is>
      </c>
      <c r="EI8" s="13" t="inlineStr">
        <is>
          <t>UL Red</t>
        </is>
      </c>
      <c r="EJ8" s="13" t="inlineStr">
        <is>
          <t>Unlimited Lives</t>
        </is>
      </c>
      <c r="EK8" s="13" t="inlineStr">
        <is>
          <t>SPT</t>
        </is>
      </c>
      <c r="EL8" s="13" t="inlineStr">
        <is>
          <t>SPTx2</t>
        </is>
      </c>
      <c r="EM8" s="13" t="inlineStr">
        <is>
          <t>1-star Pack</t>
        </is>
      </c>
      <c r="EN8" s="13" t="inlineStr">
        <is>
          <t>2-star Pack</t>
        </is>
      </c>
      <c r="EO8" s="13" t="inlineStr">
        <is>
          <t>3-star Pack</t>
        </is>
      </c>
      <c r="EP8" s="13" t="inlineStr">
        <is>
          <t>4-star Pack</t>
        </is>
      </c>
      <c r="EQ8" s="13" t="inlineStr">
        <is>
          <t>5-star Pack</t>
        </is>
      </c>
      <c r="ER8" s="13" t="inlineStr">
        <is>
          <t>6-star Pack</t>
        </is>
      </c>
      <c r="ES8" s="13" t="inlineStr">
        <is>
          <t>ToF_Ticket</t>
        </is>
      </c>
      <c r="EU8" s="11" t="inlineStr">
        <is>
          <t>HC</t>
        </is>
      </c>
      <c r="EV8" s="11" t="inlineStr">
        <is>
          <t>Slingshot</t>
        </is>
      </c>
      <c r="EW8" s="11" t="inlineStr">
        <is>
          <t>Shuffle</t>
        </is>
      </c>
      <c r="EX8" s="11" t="inlineStr">
        <is>
          <t>Comet</t>
        </is>
      </c>
      <c r="EY8" s="11" t="inlineStr">
        <is>
          <t>Red</t>
        </is>
      </c>
      <c r="EZ8" s="11" t="inlineStr">
        <is>
          <t>Chuck</t>
        </is>
      </c>
      <c r="FA8" s="11" t="inlineStr">
        <is>
          <t>Bomb</t>
        </is>
      </c>
      <c r="FB8" s="11" t="inlineStr">
        <is>
          <t>UL Bomb</t>
        </is>
      </c>
      <c r="FC8" s="11" t="inlineStr">
        <is>
          <t>UL Chuck</t>
        </is>
      </c>
      <c r="FD8" s="11" t="inlineStr">
        <is>
          <t>UL Red</t>
        </is>
      </c>
      <c r="FE8" s="11" t="inlineStr">
        <is>
          <t>Unlimited Lives</t>
        </is>
      </c>
      <c r="FF8" s="11" t="inlineStr">
        <is>
          <t>SPT</t>
        </is>
      </c>
      <c r="FG8" s="11" t="inlineStr">
        <is>
          <t>SPTx2</t>
        </is>
      </c>
      <c r="FH8" s="11" t="inlineStr">
        <is>
          <t>1-star Pack</t>
        </is>
      </c>
      <c r="FI8" s="11" t="inlineStr">
        <is>
          <t>2-star Pack</t>
        </is>
      </c>
      <c r="FJ8" s="11" t="inlineStr">
        <is>
          <t>3-star Pack</t>
        </is>
      </c>
      <c r="FK8" s="11" t="inlineStr">
        <is>
          <t>4-star Pack</t>
        </is>
      </c>
      <c r="FL8" s="11" t="inlineStr">
        <is>
          <t>5-star Pack</t>
        </is>
      </c>
      <c r="FM8" s="11" t="inlineStr">
        <is>
          <t>6-star Pack</t>
        </is>
      </c>
      <c r="FN8" s="11" t="inlineStr">
        <is>
          <t>ToF_Ticket</t>
        </is>
      </c>
      <c r="FP8" s="2" t="inlineStr">
        <is>
          <t>Daily Gift</t>
        </is>
      </c>
    </row>
    <row r="9">
      <c r="B9" s="15" t="n">
        <v>1</v>
      </c>
      <c r="C9" s="15" t="inlineStr">
        <is>
          <t>Wed</t>
        </is>
      </c>
      <c r="D9" s="16">
        <f>LET(payer,$C$3, segment,$C$4, source,$C$5, ECOGAINS_DAILY(payer, segment, source, "DATA", sim_refresh!$A$1))</f>
        <v/>
      </c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Y9" s="16">
        <f>LET(payer,$C$3, segment,$C$4, source,$C$5, ECOGAINS_DAILY(payer, segment, source, "NEW", sim_refresh!$A$1))</f>
        <v/>
      </c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  <c r="AP9" s="16" t="n"/>
      <c r="AQ9" s="16" t="n"/>
      <c r="AR9" s="16" t="n"/>
      <c r="AT9" s="17">
        <f>LET(payer,$C$3, segment,$C$4, source,$C$5, ECOGAINS_DAILY(payer, segment, source, "DATADIFF", sim_refresh!$A$1))</f>
        <v/>
      </c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O9" s="16">
        <f>LET(payer,$C$3, segment,$C$4, source,$C$5, ECOGAINS_DAILY(payer, segment, source, "SPEND", sim_refresh!$A$1))</f>
        <v/>
      </c>
      <c r="BP9" s="16" t="n"/>
      <c r="BQ9" s="16" t="n"/>
      <c r="BR9" s="16" t="n"/>
      <c r="BS9" s="16" t="n"/>
      <c r="BT9" s="16" t="n"/>
      <c r="BU9" s="16" t="n"/>
      <c r="BV9" s="16" t="n"/>
      <c r="BW9" s="16" t="n"/>
      <c r="BX9" s="16" t="n"/>
      <c r="BY9" s="16" t="n"/>
      <c r="BZ9" s="16" t="n"/>
      <c r="CA9" s="16" t="n"/>
      <c r="CB9" s="16" t="n"/>
      <c r="CC9" s="16" t="n"/>
      <c r="CD9" s="16" t="n"/>
      <c r="CE9" s="16" t="n"/>
      <c r="CF9" s="16" t="n"/>
      <c r="CG9" s="16" t="n"/>
      <c r="CH9" s="16" t="n"/>
      <c r="CJ9" s="18">
        <f>LET(payer,$C$3, segment,$C$4, source,$C$5, ECOGAINS_DAILY(payer, segment, source, "CURNET", sim_refresh!$A$1))</f>
        <v/>
      </c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E9" s="18">
        <f>LET(payer,$C$3, segment,$C$4, source,$C$5, ECOGAINS_DAILY(payer, segment, source, "NEWNET", sim_refresh!$A$1))</f>
        <v/>
      </c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Z9" s="17">
        <f>IFERROR(CJ9-DE9,"")</f>
        <v/>
      </c>
      <c r="EA9" s="17">
        <f>IFERROR(CK9-DF9,"")</f>
        <v/>
      </c>
      <c r="EB9" s="17">
        <f>IFERROR(CL9-DG9,"")</f>
        <v/>
      </c>
      <c r="EC9" s="17">
        <f>IFERROR(CM9-DH9,"")</f>
        <v/>
      </c>
      <c r="ED9" s="17">
        <f>IFERROR(CN9-DI9,"")</f>
        <v/>
      </c>
      <c r="EE9" s="17">
        <f>IFERROR(CO9-DJ9,"")</f>
        <v/>
      </c>
      <c r="EF9" s="17">
        <f>IFERROR(CP9-DK9,"")</f>
        <v/>
      </c>
      <c r="EG9" s="17">
        <f>IFERROR(CQ9-DL9,"")</f>
        <v/>
      </c>
      <c r="EH9" s="17">
        <f>IFERROR(CR9-DM9,"")</f>
        <v/>
      </c>
      <c r="EI9" s="17">
        <f>IFERROR(CS9-DN9,"")</f>
        <v/>
      </c>
      <c r="EJ9" s="17">
        <f>IFERROR(CT9-DO9,"")</f>
        <v/>
      </c>
      <c r="EK9" s="17">
        <f>IFERROR(CU9-DP9,"")</f>
        <v/>
      </c>
      <c r="EL9" s="17">
        <f>IFERROR(CV9-DQ9,"")</f>
        <v/>
      </c>
      <c r="EM9" s="17">
        <f>IFERROR(CW9-DR9,"")</f>
        <v/>
      </c>
      <c r="EN9" s="17">
        <f>IFERROR(CX9-DS9,"")</f>
        <v/>
      </c>
      <c r="EO9" s="17">
        <f>IFERROR(CY9-DT9,"")</f>
        <v/>
      </c>
      <c r="EP9" s="17">
        <f>IFERROR(CZ9-DU9,"")</f>
        <v/>
      </c>
      <c r="EQ9" s="17">
        <f>IFERROR(DA9-DV9,"")</f>
        <v/>
      </c>
      <c r="ER9" s="17">
        <f>IFERROR(DB9-DW9,"")</f>
        <v/>
      </c>
      <c r="ES9" s="17">
        <f>IFERROR(DC9-DX9,"")</f>
        <v/>
      </c>
      <c r="EU9" s="16">
        <f>LET(payer,$C$3, segment,$C$4, source,$C$5, ECOGAINS_DAILY(payer, segment, source, "CURRENT", sim_refresh!$A$1))</f>
        <v/>
      </c>
      <c r="EV9" s="16" t="n"/>
      <c r="EW9" s="16" t="n"/>
      <c r="EX9" s="16" t="n"/>
      <c r="EY9" s="16" t="n"/>
      <c r="EZ9" s="16" t="n"/>
      <c r="FA9" s="16" t="n"/>
      <c r="FB9" s="16" t="n"/>
      <c r="FC9" s="16" t="n"/>
      <c r="FD9" s="16" t="n"/>
      <c r="FE9" s="16" t="n"/>
      <c r="FF9" s="16" t="n"/>
      <c r="FG9" s="16" t="n"/>
      <c r="FH9" s="16" t="n"/>
      <c r="FI9" s="16" t="n"/>
      <c r="FJ9" s="16" t="n"/>
      <c r="FK9" s="16" t="n"/>
      <c r="FL9" s="16" t="n"/>
      <c r="FM9" s="16" t="n"/>
      <c r="FN9" s="16" t="n"/>
      <c r="FP9" s="2" t="inlineStr">
        <is>
          <t>Daily Night Sky Prize</t>
        </is>
      </c>
    </row>
    <row r="10">
      <c r="B10" s="15" t="n">
        <v>2</v>
      </c>
      <c r="C10" s="15" t="inlineStr">
        <is>
          <t>Thu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  <c r="AP10" s="16" t="n"/>
      <c r="AQ10" s="16" t="n"/>
      <c r="AR10" s="16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O10" s="16" t="n"/>
      <c r="BP10" s="16" t="n"/>
      <c r="BQ10" s="16" t="n"/>
      <c r="BR10" s="16" t="n"/>
      <c r="BS10" s="16" t="n"/>
      <c r="BT10" s="16" t="n"/>
      <c r="BU10" s="16" t="n"/>
      <c r="BV10" s="16" t="n"/>
      <c r="BW10" s="16" t="n"/>
      <c r="BX10" s="16" t="n"/>
      <c r="BY10" s="16" t="n"/>
      <c r="BZ10" s="16" t="n"/>
      <c r="CA10" s="16" t="n"/>
      <c r="CB10" s="16" t="n"/>
      <c r="CC10" s="16" t="n"/>
      <c r="CD10" s="16" t="n"/>
      <c r="CE10" s="16" t="n"/>
      <c r="CF10" s="16" t="n"/>
      <c r="CG10" s="16" t="n"/>
      <c r="CH10" s="16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Z10" s="17">
        <f>IFERROR(CJ10-DE10,"")</f>
        <v/>
      </c>
      <c r="EA10" s="17">
        <f>IFERROR(CK10-DF10,"")</f>
        <v/>
      </c>
      <c r="EB10" s="17">
        <f>IFERROR(CL10-DG10,"")</f>
        <v/>
      </c>
      <c r="EC10" s="17">
        <f>IFERROR(CM10-DH10,"")</f>
        <v/>
      </c>
      <c r="ED10" s="17">
        <f>IFERROR(CN10-DI10,"")</f>
        <v/>
      </c>
      <c r="EE10" s="17">
        <f>IFERROR(CO10-DJ10,"")</f>
        <v/>
      </c>
      <c r="EF10" s="17">
        <f>IFERROR(CP10-DK10,"")</f>
        <v/>
      </c>
      <c r="EG10" s="17">
        <f>IFERROR(CQ10-DL10,"")</f>
        <v/>
      </c>
      <c r="EH10" s="17">
        <f>IFERROR(CR10-DM10,"")</f>
        <v/>
      </c>
      <c r="EI10" s="17">
        <f>IFERROR(CS10-DN10,"")</f>
        <v/>
      </c>
      <c r="EJ10" s="17">
        <f>IFERROR(CT10-DO10,"")</f>
        <v/>
      </c>
      <c r="EK10" s="17">
        <f>IFERROR(CU10-DP10,"")</f>
        <v/>
      </c>
      <c r="EL10" s="17">
        <f>IFERROR(CV10-DQ10,"")</f>
        <v/>
      </c>
      <c r="EM10" s="17">
        <f>IFERROR(CW10-DR10,"")</f>
        <v/>
      </c>
      <c r="EN10" s="17">
        <f>IFERROR(CX10-DS10,"")</f>
        <v/>
      </c>
      <c r="EO10" s="17">
        <f>IFERROR(CY10-DT10,"")</f>
        <v/>
      </c>
      <c r="EP10" s="17">
        <f>IFERROR(CZ10-DU10,"")</f>
        <v/>
      </c>
      <c r="EQ10" s="17">
        <f>IFERROR(DA10-DV10,"")</f>
        <v/>
      </c>
      <c r="ER10" s="17">
        <f>IFERROR(DB10-DW10,"")</f>
        <v/>
      </c>
      <c r="ES10" s="17">
        <f>IFERROR(DC10-DX10,"")</f>
        <v/>
      </c>
      <c r="EU10" s="16" t="n"/>
      <c r="EV10" s="16" t="n"/>
      <c r="EW10" s="16" t="n"/>
      <c r="EX10" s="16" t="n"/>
      <c r="EY10" s="16" t="n"/>
      <c r="EZ10" s="16" t="n"/>
      <c r="FA10" s="16" t="n"/>
      <c r="FB10" s="16" t="n"/>
      <c r="FC10" s="16" t="n"/>
      <c r="FD10" s="16" t="n"/>
      <c r="FE10" s="16" t="n"/>
      <c r="FF10" s="16" t="n"/>
      <c r="FG10" s="16" t="n"/>
      <c r="FH10" s="16" t="n"/>
      <c r="FI10" s="16" t="n"/>
      <c r="FJ10" s="16" t="n"/>
      <c r="FK10" s="16" t="n"/>
      <c r="FL10" s="16" t="n"/>
      <c r="FM10" s="16" t="n"/>
      <c r="FN10" s="16" t="n"/>
      <c r="FP10" s="2" t="inlineStr">
        <is>
          <t>Flock Flurry</t>
        </is>
      </c>
    </row>
    <row r="11">
      <c r="B11" s="15" t="n">
        <v>3</v>
      </c>
      <c r="C11" s="15" t="inlineStr">
        <is>
          <t>Fri</t>
        </is>
      </c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  <c r="AP11" s="16" t="n"/>
      <c r="AQ11" s="16" t="n"/>
      <c r="AR11" s="16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O11" s="16" t="n"/>
      <c r="BP11" s="16" t="n"/>
      <c r="BQ11" s="16" t="n"/>
      <c r="BR11" s="16" t="n"/>
      <c r="BS11" s="16" t="n"/>
      <c r="BT11" s="16" t="n"/>
      <c r="BU11" s="16" t="n"/>
      <c r="BV11" s="16" t="n"/>
      <c r="BW11" s="16" t="n"/>
      <c r="BX11" s="16" t="n"/>
      <c r="BY11" s="16" t="n"/>
      <c r="BZ11" s="16" t="n"/>
      <c r="CA11" s="16" t="n"/>
      <c r="CB11" s="16" t="n"/>
      <c r="CC11" s="16" t="n"/>
      <c r="CD11" s="16" t="n"/>
      <c r="CE11" s="16" t="n"/>
      <c r="CF11" s="16" t="n"/>
      <c r="CG11" s="16" t="n"/>
      <c r="CH11" s="16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Z11" s="17">
        <f>IFERROR(CJ11-DE11,"")</f>
        <v/>
      </c>
      <c r="EA11" s="17">
        <f>IFERROR(CK11-DF11,"")</f>
        <v/>
      </c>
      <c r="EB11" s="17">
        <f>IFERROR(CL11-DG11,"")</f>
        <v/>
      </c>
      <c r="EC11" s="17">
        <f>IFERROR(CM11-DH11,"")</f>
        <v/>
      </c>
      <c r="ED11" s="17">
        <f>IFERROR(CN11-DI11,"")</f>
        <v/>
      </c>
      <c r="EE11" s="17">
        <f>IFERROR(CO11-DJ11,"")</f>
        <v/>
      </c>
      <c r="EF11" s="17">
        <f>IFERROR(CP11-DK11,"")</f>
        <v/>
      </c>
      <c r="EG11" s="17">
        <f>IFERROR(CQ11-DL11,"")</f>
        <v/>
      </c>
      <c r="EH11" s="17">
        <f>IFERROR(CR11-DM11,"")</f>
        <v/>
      </c>
      <c r="EI11" s="17">
        <f>IFERROR(CS11-DN11,"")</f>
        <v/>
      </c>
      <c r="EJ11" s="17">
        <f>IFERROR(CT11-DO11,"")</f>
        <v/>
      </c>
      <c r="EK11" s="17">
        <f>IFERROR(CU11-DP11,"")</f>
        <v/>
      </c>
      <c r="EL11" s="17">
        <f>IFERROR(CV11-DQ11,"")</f>
        <v/>
      </c>
      <c r="EM11" s="17">
        <f>IFERROR(CW11-DR11,"")</f>
        <v/>
      </c>
      <c r="EN11" s="17">
        <f>IFERROR(CX11-DS11,"")</f>
        <v/>
      </c>
      <c r="EO11" s="17">
        <f>IFERROR(CY11-DT11,"")</f>
        <v/>
      </c>
      <c r="EP11" s="17">
        <f>IFERROR(CZ11-DU11,"")</f>
        <v/>
      </c>
      <c r="EQ11" s="17">
        <f>IFERROR(DA11-DV11,"")</f>
        <v/>
      </c>
      <c r="ER11" s="17">
        <f>IFERROR(DB11-DW11,"")</f>
        <v/>
      </c>
      <c r="ES11" s="17">
        <f>IFERROR(DC11-DX11,"")</f>
        <v/>
      </c>
      <c r="EU11" s="16" t="n"/>
      <c r="EV11" s="16" t="n"/>
      <c r="EW11" s="16" t="n"/>
      <c r="EX11" s="16" t="n"/>
      <c r="EY11" s="16" t="n"/>
      <c r="EZ11" s="16" t="n"/>
      <c r="FA11" s="16" t="n"/>
      <c r="FB11" s="16" t="n"/>
      <c r="FC11" s="16" t="n"/>
      <c r="FD11" s="16" t="n"/>
      <c r="FE11" s="16" t="n"/>
      <c r="FF11" s="16" t="n"/>
      <c r="FG11" s="16" t="n"/>
      <c r="FH11" s="16" t="n"/>
      <c r="FI11" s="16" t="n"/>
      <c r="FJ11" s="16" t="n"/>
      <c r="FK11" s="16" t="n"/>
      <c r="FL11" s="16" t="n"/>
      <c r="FM11" s="16" t="n"/>
      <c r="FN11" s="16" t="n"/>
      <c r="FP11" s="2" t="inlineStr">
        <is>
          <t>Hatchling Hideaway</t>
        </is>
      </c>
    </row>
    <row r="12">
      <c r="B12" s="15" t="n">
        <v>4</v>
      </c>
      <c r="C12" s="15" t="inlineStr">
        <is>
          <t>Sat</t>
        </is>
      </c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  <c r="AP12" s="16" t="n"/>
      <c r="AQ12" s="16" t="n"/>
      <c r="AR12" s="16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O12" s="16" t="n"/>
      <c r="BP12" s="16" t="n"/>
      <c r="BQ12" s="16" t="n"/>
      <c r="BR12" s="16" t="n"/>
      <c r="BS12" s="16" t="n"/>
      <c r="BT12" s="16" t="n"/>
      <c r="BU12" s="16" t="n"/>
      <c r="BV12" s="16" t="n"/>
      <c r="BW12" s="16" t="n"/>
      <c r="BX12" s="16" t="n"/>
      <c r="BY12" s="16" t="n"/>
      <c r="BZ12" s="16" t="n"/>
      <c r="CA12" s="16" t="n"/>
      <c r="CB12" s="16" t="n"/>
      <c r="CC12" s="16" t="n"/>
      <c r="CD12" s="16" t="n"/>
      <c r="CE12" s="16" t="n"/>
      <c r="CF12" s="16" t="n"/>
      <c r="CG12" s="16" t="n"/>
      <c r="CH12" s="16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Z12" s="17">
        <f>IFERROR(CJ12-DE12,"")</f>
        <v/>
      </c>
      <c r="EA12" s="17">
        <f>IFERROR(CK12-DF12,"")</f>
        <v/>
      </c>
      <c r="EB12" s="17">
        <f>IFERROR(CL12-DG12,"")</f>
        <v/>
      </c>
      <c r="EC12" s="17">
        <f>IFERROR(CM12-DH12,"")</f>
        <v/>
      </c>
      <c r="ED12" s="17">
        <f>IFERROR(CN12-DI12,"")</f>
        <v/>
      </c>
      <c r="EE12" s="17">
        <f>IFERROR(CO12-DJ12,"")</f>
        <v/>
      </c>
      <c r="EF12" s="17">
        <f>IFERROR(CP12-DK12,"")</f>
        <v/>
      </c>
      <c r="EG12" s="17">
        <f>IFERROR(CQ12-DL12,"")</f>
        <v/>
      </c>
      <c r="EH12" s="17">
        <f>IFERROR(CR12-DM12,"")</f>
        <v/>
      </c>
      <c r="EI12" s="17">
        <f>IFERROR(CS12-DN12,"")</f>
        <v/>
      </c>
      <c r="EJ12" s="17">
        <f>IFERROR(CT12-DO12,"")</f>
        <v/>
      </c>
      <c r="EK12" s="17">
        <f>IFERROR(CU12-DP12,"")</f>
        <v/>
      </c>
      <c r="EL12" s="17">
        <f>IFERROR(CV12-DQ12,"")</f>
        <v/>
      </c>
      <c r="EM12" s="17">
        <f>IFERROR(CW12-DR12,"")</f>
        <v/>
      </c>
      <c r="EN12" s="17">
        <f>IFERROR(CX12-DS12,"")</f>
        <v/>
      </c>
      <c r="EO12" s="17">
        <f>IFERROR(CY12-DT12,"")</f>
        <v/>
      </c>
      <c r="EP12" s="17">
        <f>IFERROR(CZ12-DU12,"")</f>
        <v/>
      </c>
      <c r="EQ12" s="17">
        <f>IFERROR(DA12-DV12,"")</f>
        <v/>
      </c>
      <c r="ER12" s="17">
        <f>IFERROR(DB12-DW12,"")</f>
        <v/>
      </c>
      <c r="ES12" s="17">
        <f>IFERROR(DC12-DX12,"")</f>
        <v/>
      </c>
      <c r="EU12" s="16" t="n"/>
      <c r="EV12" s="16" t="n"/>
      <c r="EW12" s="16" t="n"/>
      <c r="EX12" s="16" t="n"/>
      <c r="EY12" s="16" t="n"/>
      <c r="EZ12" s="16" t="n"/>
      <c r="FA12" s="16" t="n"/>
      <c r="FB12" s="16" t="n"/>
      <c r="FC12" s="16" t="n"/>
      <c r="FD12" s="16" t="n"/>
      <c r="FE12" s="16" t="n"/>
      <c r="FF12" s="16" t="n"/>
      <c r="FG12" s="16" t="n"/>
      <c r="FH12" s="16" t="n"/>
      <c r="FI12" s="16" t="n"/>
      <c r="FJ12" s="16" t="n"/>
      <c r="FK12" s="16" t="n"/>
      <c r="FL12" s="16" t="n"/>
      <c r="FM12" s="16" t="n"/>
      <c r="FN12" s="16" t="n"/>
      <c r="FP12" s="2" t="inlineStr">
        <is>
          <t>Jigsaw</t>
        </is>
      </c>
    </row>
    <row r="13">
      <c r="B13" s="15" t="n">
        <v>5</v>
      </c>
      <c r="C13" s="15" t="inlineStr">
        <is>
          <t>Sun</t>
        </is>
      </c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  <c r="AP13" s="16" t="n"/>
      <c r="AQ13" s="16" t="n"/>
      <c r="AR13" s="16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O13" s="16" t="n"/>
      <c r="BP13" s="16" t="n"/>
      <c r="BQ13" s="16" t="n"/>
      <c r="BR13" s="16" t="n"/>
      <c r="BS13" s="16" t="n"/>
      <c r="BT13" s="16" t="n"/>
      <c r="BU13" s="16" t="n"/>
      <c r="BV13" s="16" t="n"/>
      <c r="BW13" s="16" t="n"/>
      <c r="BX13" s="16" t="n"/>
      <c r="BY13" s="16" t="n"/>
      <c r="BZ13" s="16" t="n"/>
      <c r="CA13" s="16" t="n"/>
      <c r="CB13" s="16" t="n"/>
      <c r="CC13" s="16" t="n"/>
      <c r="CD13" s="16" t="n"/>
      <c r="CE13" s="16" t="n"/>
      <c r="CF13" s="16" t="n"/>
      <c r="CG13" s="16" t="n"/>
      <c r="CH13" s="16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Z13" s="17">
        <f>IFERROR(CJ13-DE13,"")</f>
        <v/>
      </c>
      <c r="EA13" s="17">
        <f>IFERROR(CK13-DF13,"")</f>
        <v/>
      </c>
      <c r="EB13" s="17">
        <f>IFERROR(CL13-DG13,"")</f>
        <v/>
      </c>
      <c r="EC13" s="17">
        <f>IFERROR(CM13-DH13,"")</f>
        <v/>
      </c>
      <c r="ED13" s="17">
        <f>IFERROR(CN13-DI13,"")</f>
        <v/>
      </c>
      <c r="EE13" s="17">
        <f>IFERROR(CO13-DJ13,"")</f>
        <v/>
      </c>
      <c r="EF13" s="17">
        <f>IFERROR(CP13-DK13,"")</f>
        <v/>
      </c>
      <c r="EG13" s="17">
        <f>IFERROR(CQ13-DL13,"")</f>
        <v/>
      </c>
      <c r="EH13" s="17">
        <f>IFERROR(CR13-DM13,"")</f>
        <v/>
      </c>
      <c r="EI13" s="17">
        <f>IFERROR(CS13-DN13,"")</f>
        <v/>
      </c>
      <c r="EJ13" s="17">
        <f>IFERROR(CT13-DO13,"")</f>
        <v/>
      </c>
      <c r="EK13" s="17">
        <f>IFERROR(CU13-DP13,"")</f>
        <v/>
      </c>
      <c r="EL13" s="17">
        <f>IFERROR(CV13-DQ13,"")</f>
        <v/>
      </c>
      <c r="EM13" s="17">
        <f>IFERROR(CW13-DR13,"")</f>
        <v/>
      </c>
      <c r="EN13" s="17">
        <f>IFERROR(CX13-DS13,"")</f>
        <v/>
      </c>
      <c r="EO13" s="17">
        <f>IFERROR(CY13-DT13,"")</f>
        <v/>
      </c>
      <c r="EP13" s="17">
        <f>IFERROR(CZ13-DU13,"")</f>
        <v/>
      </c>
      <c r="EQ13" s="17">
        <f>IFERROR(DA13-DV13,"")</f>
        <v/>
      </c>
      <c r="ER13" s="17">
        <f>IFERROR(DB13-DW13,"")</f>
        <v/>
      </c>
      <c r="ES13" s="17">
        <f>IFERROR(DC13-DX13,"")</f>
        <v/>
      </c>
      <c r="EU13" s="16" t="n"/>
      <c r="EV13" s="16" t="n"/>
      <c r="EW13" s="16" t="n"/>
      <c r="EX13" s="16" t="n"/>
      <c r="EY13" s="16" t="n"/>
      <c r="EZ13" s="16" t="n"/>
      <c r="FA13" s="16" t="n"/>
      <c r="FB13" s="16" t="n"/>
      <c r="FC13" s="16" t="n"/>
      <c r="FD13" s="16" t="n"/>
      <c r="FE13" s="16" t="n"/>
      <c r="FF13" s="16" t="n"/>
      <c r="FG13" s="16" t="n"/>
      <c r="FH13" s="16" t="n"/>
      <c r="FI13" s="16" t="n"/>
      <c r="FJ13" s="16" t="n"/>
      <c r="FK13" s="16" t="n"/>
      <c r="FL13" s="16" t="n"/>
      <c r="FM13" s="16" t="n"/>
      <c r="FN13" s="16" t="n"/>
      <c r="FP13" s="2" t="inlineStr">
        <is>
          <t>Kite Festival</t>
        </is>
      </c>
    </row>
    <row r="14">
      <c r="B14" s="15" t="n">
        <v>6</v>
      </c>
      <c r="C14" s="15" t="inlineStr">
        <is>
          <t>Mon</t>
        </is>
      </c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O14" s="16" t="n"/>
      <c r="BP14" s="16" t="n"/>
      <c r="BQ14" s="16" t="n"/>
      <c r="BR14" s="16" t="n"/>
      <c r="BS14" s="16" t="n"/>
      <c r="BT14" s="16" t="n"/>
      <c r="BU14" s="16" t="n"/>
      <c r="BV14" s="16" t="n"/>
      <c r="BW14" s="16" t="n"/>
      <c r="BX14" s="16" t="n"/>
      <c r="BY14" s="16" t="n"/>
      <c r="BZ14" s="16" t="n"/>
      <c r="CA14" s="16" t="n"/>
      <c r="CB14" s="16" t="n"/>
      <c r="CC14" s="16" t="n"/>
      <c r="CD14" s="16" t="n"/>
      <c r="CE14" s="16" t="n"/>
      <c r="CF14" s="16" t="n"/>
      <c r="CG14" s="16" t="n"/>
      <c r="CH14" s="16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Z14" s="17">
        <f>IFERROR(CJ14-DE14,"")</f>
        <v/>
      </c>
      <c r="EA14" s="17">
        <f>IFERROR(CK14-DF14,"")</f>
        <v/>
      </c>
      <c r="EB14" s="17">
        <f>IFERROR(CL14-DG14,"")</f>
        <v/>
      </c>
      <c r="EC14" s="17">
        <f>IFERROR(CM14-DH14,"")</f>
        <v/>
      </c>
      <c r="ED14" s="17">
        <f>IFERROR(CN14-DI14,"")</f>
        <v/>
      </c>
      <c r="EE14" s="17">
        <f>IFERROR(CO14-DJ14,"")</f>
        <v/>
      </c>
      <c r="EF14" s="17">
        <f>IFERROR(CP14-DK14,"")</f>
        <v/>
      </c>
      <c r="EG14" s="17">
        <f>IFERROR(CQ14-DL14,"")</f>
        <v/>
      </c>
      <c r="EH14" s="17">
        <f>IFERROR(CR14-DM14,"")</f>
        <v/>
      </c>
      <c r="EI14" s="17">
        <f>IFERROR(CS14-DN14,"")</f>
        <v/>
      </c>
      <c r="EJ14" s="17">
        <f>IFERROR(CT14-DO14,"")</f>
        <v/>
      </c>
      <c r="EK14" s="17">
        <f>IFERROR(CU14-DP14,"")</f>
        <v/>
      </c>
      <c r="EL14" s="17">
        <f>IFERROR(CV14-DQ14,"")</f>
        <v/>
      </c>
      <c r="EM14" s="17">
        <f>IFERROR(CW14-DR14,"")</f>
        <v/>
      </c>
      <c r="EN14" s="17">
        <f>IFERROR(CX14-DS14,"")</f>
        <v/>
      </c>
      <c r="EO14" s="17">
        <f>IFERROR(CY14-DT14,"")</f>
        <v/>
      </c>
      <c r="EP14" s="17">
        <f>IFERROR(CZ14-DU14,"")</f>
        <v/>
      </c>
      <c r="EQ14" s="17">
        <f>IFERROR(DA14-DV14,"")</f>
        <v/>
      </c>
      <c r="ER14" s="17">
        <f>IFERROR(DB14-DW14,"")</f>
        <v/>
      </c>
      <c r="ES14" s="17">
        <f>IFERROR(DC14-DX14,"")</f>
        <v/>
      </c>
      <c r="EU14" s="16" t="n"/>
      <c r="EV14" s="16" t="n"/>
      <c r="EW14" s="16" t="n"/>
      <c r="EX14" s="16" t="n"/>
      <c r="EY14" s="16" t="n"/>
      <c r="EZ14" s="16" t="n"/>
      <c r="FA14" s="16" t="n"/>
      <c r="FB14" s="16" t="n"/>
      <c r="FC14" s="16" t="n"/>
      <c r="FD14" s="16" t="n"/>
      <c r="FE14" s="16" t="n"/>
      <c r="FF14" s="16" t="n"/>
      <c r="FG14" s="16" t="n"/>
      <c r="FH14" s="16" t="n"/>
      <c r="FI14" s="16" t="n"/>
      <c r="FJ14" s="16" t="n"/>
      <c r="FK14" s="16" t="n"/>
      <c r="FL14" s="16" t="n"/>
      <c r="FM14" s="16" t="n"/>
      <c r="FN14" s="16" t="n"/>
      <c r="FP14" s="2" t="inlineStr">
        <is>
          <t>Level Race</t>
        </is>
      </c>
    </row>
    <row r="15">
      <c r="B15" s="15" t="n">
        <v>7</v>
      </c>
      <c r="C15" s="15" t="inlineStr">
        <is>
          <t>Tue</t>
        </is>
      </c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  <c r="AP15" s="16" t="n"/>
      <c r="AQ15" s="16" t="n"/>
      <c r="AR15" s="16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O15" s="16" t="n"/>
      <c r="BP15" s="16" t="n"/>
      <c r="BQ15" s="16" t="n"/>
      <c r="BR15" s="16" t="n"/>
      <c r="BS15" s="16" t="n"/>
      <c r="BT15" s="16" t="n"/>
      <c r="BU15" s="16" t="n"/>
      <c r="BV15" s="16" t="n"/>
      <c r="BW15" s="16" t="n"/>
      <c r="BX15" s="16" t="n"/>
      <c r="BY15" s="16" t="n"/>
      <c r="BZ15" s="16" t="n"/>
      <c r="CA15" s="16" t="n"/>
      <c r="CB15" s="16" t="n"/>
      <c r="CC15" s="16" t="n"/>
      <c r="CD15" s="16" t="n"/>
      <c r="CE15" s="16" t="n"/>
      <c r="CF15" s="16" t="n"/>
      <c r="CG15" s="16" t="n"/>
      <c r="CH15" s="16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Z15" s="17">
        <f>IFERROR(CJ15-DE15,"")</f>
        <v/>
      </c>
      <c r="EA15" s="17">
        <f>IFERROR(CK15-DF15,"")</f>
        <v/>
      </c>
      <c r="EB15" s="17">
        <f>IFERROR(CL15-DG15,"")</f>
        <v/>
      </c>
      <c r="EC15" s="17">
        <f>IFERROR(CM15-DH15,"")</f>
        <v/>
      </c>
      <c r="ED15" s="17">
        <f>IFERROR(CN15-DI15,"")</f>
        <v/>
      </c>
      <c r="EE15" s="17">
        <f>IFERROR(CO15-DJ15,"")</f>
        <v/>
      </c>
      <c r="EF15" s="17">
        <f>IFERROR(CP15-DK15,"")</f>
        <v/>
      </c>
      <c r="EG15" s="17">
        <f>IFERROR(CQ15-DL15,"")</f>
        <v/>
      </c>
      <c r="EH15" s="17">
        <f>IFERROR(CR15-DM15,"")</f>
        <v/>
      </c>
      <c r="EI15" s="17">
        <f>IFERROR(CS15-DN15,"")</f>
        <v/>
      </c>
      <c r="EJ15" s="17">
        <f>IFERROR(CT15-DO15,"")</f>
        <v/>
      </c>
      <c r="EK15" s="17">
        <f>IFERROR(CU15-DP15,"")</f>
        <v/>
      </c>
      <c r="EL15" s="17">
        <f>IFERROR(CV15-DQ15,"")</f>
        <v/>
      </c>
      <c r="EM15" s="17">
        <f>IFERROR(CW15-DR15,"")</f>
        <v/>
      </c>
      <c r="EN15" s="17">
        <f>IFERROR(CX15-DS15,"")</f>
        <v/>
      </c>
      <c r="EO15" s="17">
        <f>IFERROR(CY15-DT15,"")</f>
        <v/>
      </c>
      <c r="EP15" s="17">
        <f>IFERROR(CZ15-DU15,"")</f>
        <v/>
      </c>
      <c r="EQ15" s="17">
        <f>IFERROR(DA15-DV15,"")</f>
        <v/>
      </c>
      <c r="ER15" s="17">
        <f>IFERROR(DB15-DW15,"")</f>
        <v/>
      </c>
      <c r="ES15" s="17">
        <f>IFERROR(DC15-DX15,"")</f>
        <v/>
      </c>
      <c r="EU15" s="16" t="n"/>
      <c r="EV15" s="16" t="n"/>
      <c r="EW15" s="16" t="n"/>
      <c r="EX15" s="16" t="n"/>
      <c r="EY15" s="16" t="n"/>
      <c r="EZ15" s="16" t="n"/>
      <c r="FA15" s="16" t="n"/>
      <c r="FB15" s="16" t="n"/>
      <c r="FC15" s="16" t="n"/>
      <c r="FD15" s="16" t="n"/>
      <c r="FE15" s="16" t="n"/>
      <c r="FF15" s="16" t="n"/>
      <c r="FG15" s="16" t="n"/>
      <c r="FH15" s="16" t="n"/>
      <c r="FI15" s="16" t="n"/>
      <c r="FJ15" s="16" t="n"/>
      <c r="FK15" s="16" t="n"/>
      <c r="FL15" s="16" t="n"/>
      <c r="FM15" s="16" t="n"/>
      <c r="FN15" s="16" t="n"/>
      <c r="FP15" s="2" t="inlineStr">
        <is>
          <t>Other</t>
        </is>
      </c>
    </row>
    <row r="16">
      <c r="B16" s="15" t="n">
        <v>8</v>
      </c>
      <c r="C16" s="15" t="inlineStr">
        <is>
          <t>Wed</t>
        </is>
      </c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  <c r="AP16" s="16" t="n"/>
      <c r="AQ16" s="16" t="n"/>
      <c r="AR16" s="16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O16" s="16" t="n"/>
      <c r="BP16" s="16" t="n"/>
      <c r="BQ16" s="16" t="n"/>
      <c r="BR16" s="16" t="n"/>
      <c r="BS16" s="16" t="n"/>
      <c r="BT16" s="16" t="n"/>
      <c r="BU16" s="16" t="n"/>
      <c r="BV16" s="16" t="n"/>
      <c r="BW16" s="16" t="n"/>
      <c r="BX16" s="16" t="n"/>
      <c r="BY16" s="16" t="n"/>
      <c r="BZ16" s="16" t="n"/>
      <c r="CA16" s="16" t="n"/>
      <c r="CB16" s="16" t="n"/>
      <c r="CC16" s="16" t="n"/>
      <c r="CD16" s="16" t="n"/>
      <c r="CE16" s="16" t="n"/>
      <c r="CF16" s="16" t="n"/>
      <c r="CG16" s="16" t="n"/>
      <c r="CH16" s="16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Z16" s="17">
        <f>IFERROR(CJ16-DE16,"")</f>
        <v/>
      </c>
      <c r="EA16" s="17">
        <f>IFERROR(CK16-DF16,"")</f>
        <v/>
      </c>
      <c r="EB16" s="17">
        <f>IFERROR(CL16-DG16,"")</f>
        <v/>
      </c>
      <c r="EC16" s="17">
        <f>IFERROR(CM16-DH16,"")</f>
        <v/>
      </c>
      <c r="ED16" s="17">
        <f>IFERROR(CN16-DI16,"")</f>
        <v/>
      </c>
      <c r="EE16" s="17">
        <f>IFERROR(CO16-DJ16,"")</f>
        <v/>
      </c>
      <c r="EF16" s="17">
        <f>IFERROR(CP16-DK16,"")</f>
        <v/>
      </c>
      <c r="EG16" s="17">
        <f>IFERROR(CQ16-DL16,"")</f>
        <v/>
      </c>
      <c r="EH16" s="17">
        <f>IFERROR(CR16-DM16,"")</f>
        <v/>
      </c>
      <c r="EI16" s="17">
        <f>IFERROR(CS16-DN16,"")</f>
        <v/>
      </c>
      <c r="EJ16" s="17">
        <f>IFERROR(CT16-DO16,"")</f>
        <v/>
      </c>
      <c r="EK16" s="17">
        <f>IFERROR(CU16-DP16,"")</f>
        <v/>
      </c>
      <c r="EL16" s="17">
        <f>IFERROR(CV16-DQ16,"")</f>
        <v/>
      </c>
      <c r="EM16" s="17">
        <f>IFERROR(CW16-DR16,"")</f>
        <v/>
      </c>
      <c r="EN16" s="17">
        <f>IFERROR(CX16-DS16,"")</f>
        <v/>
      </c>
      <c r="EO16" s="17">
        <f>IFERROR(CY16-DT16,"")</f>
        <v/>
      </c>
      <c r="EP16" s="17">
        <f>IFERROR(CZ16-DU16,"")</f>
        <v/>
      </c>
      <c r="EQ16" s="17">
        <f>IFERROR(DA16-DV16,"")</f>
        <v/>
      </c>
      <c r="ER16" s="17">
        <f>IFERROR(DB16-DW16,"")</f>
        <v/>
      </c>
      <c r="ES16" s="17">
        <f>IFERROR(DC16-DX16,"")</f>
        <v/>
      </c>
      <c r="EU16" s="16" t="n"/>
      <c r="EV16" s="16" t="n"/>
      <c r="EW16" s="16" t="n"/>
      <c r="EX16" s="16" t="n"/>
      <c r="EY16" s="16" t="n"/>
      <c r="EZ16" s="16" t="n"/>
      <c r="FA16" s="16" t="n"/>
      <c r="FB16" s="16" t="n"/>
      <c r="FC16" s="16" t="n"/>
      <c r="FD16" s="16" t="n"/>
      <c r="FE16" s="16" t="n"/>
      <c r="FF16" s="16" t="n"/>
      <c r="FG16" s="16" t="n"/>
      <c r="FH16" s="16" t="n"/>
      <c r="FI16" s="16" t="n"/>
      <c r="FJ16" s="16" t="n"/>
      <c r="FK16" s="16" t="n"/>
      <c r="FL16" s="16" t="n"/>
      <c r="FM16" s="16" t="n"/>
      <c r="FN16" s="16" t="n"/>
      <c r="FP16" s="2" t="inlineStr">
        <is>
          <t>Photoshoot</t>
        </is>
      </c>
    </row>
    <row r="17">
      <c r="B17" s="15" t="n">
        <v>9</v>
      </c>
      <c r="C17" s="15" t="inlineStr">
        <is>
          <t>Thu</t>
        </is>
      </c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  <c r="AP17" s="16" t="n"/>
      <c r="AQ17" s="16" t="n"/>
      <c r="AR17" s="16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O17" s="16" t="n"/>
      <c r="BP17" s="16" t="n"/>
      <c r="BQ17" s="16" t="n"/>
      <c r="BR17" s="16" t="n"/>
      <c r="BS17" s="16" t="n"/>
      <c r="BT17" s="16" t="n"/>
      <c r="BU17" s="16" t="n"/>
      <c r="BV17" s="16" t="n"/>
      <c r="BW17" s="16" t="n"/>
      <c r="BX17" s="16" t="n"/>
      <c r="BY17" s="16" t="n"/>
      <c r="BZ17" s="16" t="n"/>
      <c r="CA17" s="16" t="n"/>
      <c r="CB17" s="16" t="n"/>
      <c r="CC17" s="16" t="n"/>
      <c r="CD17" s="16" t="n"/>
      <c r="CE17" s="16" t="n"/>
      <c r="CF17" s="16" t="n"/>
      <c r="CG17" s="16" t="n"/>
      <c r="CH17" s="16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Z17" s="17">
        <f>IFERROR(CJ17-DE17,"")</f>
        <v/>
      </c>
      <c r="EA17" s="17">
        <f>IFERROR(CK17-DF17,"")</f>
        <v/>
      </c>
      <c r="EB17" s="17">
        <f>IFERROR(CL17-DG17,"")</f>
        <v/>
      </c>
      <c r="EC17" s="17">
        <f>IFERROR(CM17-DH17,"")</f>
        <v/>
      </c>
      <c r="ED17" s="17">
        <f>IFERROR(CN17-DI17,"")</f>
        <v/>
      </c>
      <c r="EE17" s="17">
        <f>IFERROR(CO17-DJ17,"")</f>
        <v/>
      </c>
      <c r="EF17" s="17">
        <f>IFERROR(CP17-DK17,"")</f>
        <v/>
      </c>
      <c r="EG17" s="17">
        <f>IFERROR(CQ17-DL17,"")</f>
        <v/>
      </c>
      <c r="EH17" s="17">
        <f>IFERROR(CR17-DM17,"")</f>
        <v/>
      </c>
      <c r="EI17" s="17">
        <f>IFERROR(CS17-DN17,"")</f>
        <v/>
      </c>
      <c r="EJ17" s="17">
        <f>IFERROR(CT17-DO17,"")</f>
        <v/>
      </c>
      <c r="EK17" s="17">
        <f>IFERROR(CU17-DP17,"")</f>
        <v/>
      </c>
      <c r="EL17" s="17">
        <f>IFERROR(CV17-DQ17,"")</f>
        <v/>
      </c>
      <c r="EM17" s="17">
        <f>IFERROR(CW17-DR17,"")</f>
        <v/>
      </c>
      <c r="EN17" s="17">
        <f>IFERROR(CX17-DS17,"")</f>
        <v/>
      </c>
      <c r="EO17" s="17">
        <f>IFERROR(CY17-DT17,"")</f>
        <v/>
      </c>
      <c r="EP17" s="17">
        <f>IFERROR(CZ17-DU17,"")</f>
        <v/>
      </c>
      <c r="EQ17" s="17">
        <f>IFERROR(DA17-DV17,"")</f>
        <v/>
      </c>
      <c r="ER17" s="17">
        <f>IFERROR(DB17-DW17,"")</f>
        <v/>
      </c>
      <c r="ES17" s="17">
        <f>IFERROR(DC17-DX17,"")</f>
        <v/>
      </c>
      <c r="EU17" s="16" t="n"/>
      <c r="EV17" s="16" t="n"/>
      <c r="EW17" s="16" t="n"/>
      <c r="EX17" s="16" t="n"/>
      <c r="EY17" s="16" t="n"/>
      <c r="EZ17" s="16" t="n"/>
      <c r="FA17" s="16" t="n"/>
      <c r="FB17" s="16" t="n"/>
      <c r="FC17" s="16" t="n"/>
      <c r="FD17" s="16" t="n"/>
      <c r="FE17" s="16" t="n"/>
      <c r="FF17" s="16" t="n"/>
      <c r="FG17" s="16" t="n"/>
      <c r="FH17" s="16" t="n"/>
      <c r="FI17" s="16" t="n"/>
      <c r="FJ17" s="16" t="n"/>
      <c r="FK17" s="16" t="n"/>
      <c r="FL17" s="16" t="n"/>
      <c r="FM17" s="16" t="n"/>
      <c r="FN17" s="16" t="n"/>
      <c r="FP17" s="2" t="inlineStr">
        <is>
          <t>Red Challenge</t>
        </is>
      </c>
    </row>
    <row r="18">
      <c r="B18" s="15" t="n">
        <v>10</v>
      </c>
      <c r="C18" s="15" t="inlineStr">
        <is>
          <t>Fri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  <c r="AP18" s="16" t="n"/>
      <c r="AQ18" s="16" t="n"/>
      <c r="AR18" s="16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O18" s="16" t="n"/>
      <c r="BP18" s="16" t="n"/>
      <c r="BQ18" s="16" t="n"/>
      <c r="BR18" s="16" t="n"/>
      <c r="BS18" s="16" t="n"/>
      <c r="BT18" s="16" t="n"/>
      <c r="BU18" s="16" t="n"/>
      <c r="BV18" s="16" t="n"/>
      <c r="BW18" s="16" t="n"/>
      <c r="BX18" s="16" t="n"/>
      <c r="BY18" s="16" t="n"/>
      <c r="BZ18" s="16" t="n"/>
      <c r="CA18" s="16" t="n"/>
      <c r="CB18" s="16" t="n"/>
      <c r="CC18" s="16" t="n"/>
      <c r="CD18" s="16" t="n"/>
      <c r="CE18" s="16" t="n"/>
      <c r="CF18" s="16" t="n"/>
      <c r="CG18" s="16" t="n"/>
      <c r="CH18" s="16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Z18" s="17">
        <f>IFERROR(CJ18-DE18,"")</f>
        <v/>
      </c>
      <c r="EA18" s="17">
        <f>IFERROR(CK18-DF18,"")</f>
        <v/>
      </c>
      <c r="EB18" s="17">
        <f>IFERROR(CL18-DG18,"")</f>
        <v/>
      </c>
      <c r="EC18" s="17">
        <f>IFERROR(CM18-DH18,"")</f>
        <v/>
      </c>
      <c r="ED18" s="17">
        <f>IFERROR(CN18-DI18,"")</f>
        <v/>
      </c>
      <c r="EE18" s="17">
        <f>IFERROR(CO18-DJ18,"")</f>
        <v/>
      </c>
      <c r="EF18" s="17">
        <f>IFERROR(CP18-DK18,"")</f>
        <v/>
      </c>
      <c r="EG18" s="17">
        <f>IFERROR(CQ18-DL18,"")</f>
        <v/>
      </c>
      <c r="EH18" s="17">
        <f>IFERROR(CR18-DM18,"")</f>
        <v/>
      </c>
      <c r="EI18" s="17">
        <f>IFERROR(CS18-DN18,"")</f>
        <v/>
      </c>
      <c r="EJ18" s="17">
        <f>IFERROR(CT18-DO18,"")</f>
        <v/>
      </c>
      <c r="EK18" s="17">
        <f>IFERROR(CU18-DP18,"")</f>
        <v/>
      </c>
      <c r="EL18" s="17">
        <f>IFERROR(CV18-DQ18,"")</f>
        <v/>
      </c>
      <c r="EM18" s="17">
        <f>IFERROR(CW18-DR18,"")</f>
        <v/>
      </c>
      <c r="EN18" s="17">
        <f>IFERROR(CX18-DS18,"")</f>
        <v/>
      </c>
      <c r="EO18" s="17">
        <f>IFERROR(CY18-DT18,"")</f>
        <v/>
      </c>
      <c r="EP18" s="17">
        <f>IFERROR(CZ18-DU18,"")</f>
        <v/>
      </c>
      <c r="EQ18" s="17">
        <f>IFERROR(DA18-DV18,"")</f>
        <v/>
      </c>
      <c r="ER18" s="17">
        <f>IFERROR(DB18-DW18,"")</f>
        <v/>
      </c>
      <c r="ES18" s="17">
        <f>IFERROR(DC18-DX18,"")</f>
        <v/>
      </c>
      <c r="EU18" s="16" t="n"/>
      <c r="EV18" s="16" t="n"/>
      <c r="EW18" s="16" t="n"/>
      <c r="EX18" s="16" t="n"/>
      <c r="EY18" s="16" t="n"/>
      <c r="EZ18" s="16" t="n"/>
      <c r="FA18" s="16" t="n"/>
      <c r="FB18" s="16" t="n"/>
      <c r="FC18" s="16" t="n"/>
      <c r="FD18" s="16" t="n"/>
      <c r="FE18" s="16" t="n"/>
      <c r="FF18" s="16" t="n"/>
      <c r="FG18" s="16" t="n"/>
      <c r="FH18" s="16" t="n"/>
      <c r="FI18" s="16" t="n"/>
      <c r="FJ18" s="16" t="n"/>
      <c r="FK18" s="16" t="n"/>
      <c r="FL18" s="16" t="n"/>
      <c r="FM18" s="16" t="n"/>
      <c r="FN18" s="16" t="n"/>
      <c r="FP18" s="2" t="inlineStr">
        <is>
          <t>River Rush</t>
        </is>
      </c>
    </row>
    <row r="19">
      <c r="B19" s="15" t="n">
        <v>11</v>
      </c>
      <c r="C19" s="15" t="inlineStr">
        <is>
          <t>Sat</t>
        </is>
      </c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O19" s="16" t="n"/>
      <c r="BP19" s="16" t="n"/>
      <c r="BQ19" s="16" t="n"/>
      <c r="BR19" s="16" t="n"/>
      <c r="BS19" s="16" t="n"/>
      <c r="BT19" s="16" t="n"/>
      <c r="BU19" s="16" t="n"/>
      <c r="BV19" s="16" t="n"/>
      <c r="BW19" s="16" t="n"/>
      <c r="BX19" s="16" t="n"/>
      <c r="BY19" s="16" t="n"/>
      <c r="BZ19" s="16" t="n"/>
      <c r="CA19" s="16" t="n"/>
      <c r="CB19" s="16" t="n"/>
      <c r="CC19" s="16" t="n"/>
      <c r="CD19" s="16" t="n"/>
      <c r="CE19" s="16" t="n"/>
      <c r="CF19" s="16" t="n"/>
      <c r="CG19" s="16" t="n"/>
      <c r="CH19" s="16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Z19" s="17">
        <f>IFERROR(CJ19-DE19,"")</f>
        <v/>
      </c>
      <c r="EA19" s="17">
        <f>IFERROR(CK19-DF19,"")</f>
        <v/>
      </c>
      <c r="EB19" s="17">
        <f>IFERROR(CL19-DG19,"")</f>
        <v/>
      </c>
      <c r="EC19" s="17">
        <f>IFERROR(CM19-DH19,"")</f>
        <v/>
      </c>
      <c r="ED19" s="17">
        <f>IFERROR(CN19-DI19,"")</f>
        <v/>
      </c>
      <c r="EE19" s="17">
        <f>IFERROR(CO19-DJ19,"")</f>
        <v/>
      </c>
      <c r="EF19" s="17">
        <f>IFERROR(CP19-DK19,"")</f>
        <v/>
      </c>
      <c r="EG19" s="17">
        <f>IFERROR(CQ19-DL19,"")</f>
        <v/>
      </c>
      <c r="EH19" s="17">
        <f>IFERROR(CR19-DM19,"")</f>
        <v/>
      </c>
      <c r="EI19" s="17">
        <f>IFERROR(CS19-DN19,"")</f>
        <v/>
      </c>
      <c r="EJ19" s="17">
        <f>IFERROR(CT19-DO19,"")</f>
        <v/>
      </c>
      <c r="EK19" s="17">
        <f>IFERROR(CU19-DP19,"")</f>
        <v/>
      </c>
      <c r="EL19" s="17">
        <f>IFERROR(CV19-DQ19,"")</f>
        <v/>
      </c>
      <c r="EM19" s="17">
        <f>IFERROR(CW19-DR19,"")</f>
        <v/>
      </c>
      <c r="EN19" s="17">
        <f>IFERROR(CX19-DS19,"")</f>
        <v/>
      </c>
      <c r="EO19" s="17">
        <f>IFERROR(CY19-DT19,"")</f>
        <v/>
      </c>
      <c r="EP19" s="17">
        <f>IFERROR(CZ19-DU19,"")</f>
        <v/>
      </c>
      <c r="EQ19" s="17">
        <f>IFERROR(DA19-DV19,"")</f>
        <v/>
      </c>
      <c r="ER19" s="17">
        <f>IFERROR(DB19-DW19,"")</f>
        <v/>
      </c>
      <c r="ES19" s="17">
        <f>IFERROR(DC19-DX19,"")</f>
        <v/>
      </c>
      <c r="EU19" s="16" t="n"/>
      <c r="EV19" s="16" t="n"/>
      <c r="EW19" s="16" t="n"/>
      <c r="EX19" s="16" t="n"/>
      <c r="EY19" s="16" t="n"/>
      <c r="EZ19" s="16" t="n"/>
      <c r="FA19" s="16" t="n"/>
      <c r="FB19" s="16" t="n"/>
      <c r="FC19" s="16" t="n"/>
      <c r="FD19" s="16" t="n"/>
      <c r="FE19" s="16" t="n"/>
      <c r="FF19" s="16" t="n"/>
      <c r="FG19" s="16" t="n"/>
      <c r="FH19" s="16" t="n"/>
      <c r="FI19" s="16" t="n"/>
      <c r="FJ19" s="16" t="n"/>
      <c r="FK19" s="16" t="n"/>
      <c r="FL19" s="16" t="n"/>
      <c r="FM19" s="16" t="n"/>
      <c r="FN19" s="16" t="n"/>
      <c r="FP19" s="2" t="inlineStr">
        <is>
          <t>Saga</t>
        </is>
      </c>
    </row>
    <row r="20">
      <c r="B20" s="15" t="n">
        <v>12</v>
      </c>
      <c r="C20" s="15" t="inlineStr">
        <is>
          <t>Sun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  <c r="AP20" s="16" t="n"/>
      <c r="AQ20" s="16" t="n"/>
      <c r="AR20" s="16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O20" s="16" t="n"/>
      <c r="BP20" s="16" t="n"/>
      <c r="BQ20" s="16" t="n"/>
      <c r="BR20" s="16" t="n"/>
      <c r="BS20" s="16" t="n"/>
      <c r="BT20" s="16" t="n"/>
      <c r="BU20" s="16" t="n"/>
      <c r="BV20" s="16" t="n"/>
      <c r="BW20" s="16" t="n"/>
      <c r="BX20" s="16" t="n"/>
      <c r="BY20" s="16" t="n"/>
      <c r="BZ20" s="16" t="n"/>
      <c r="CA20" s="16" t="n"/>
      <c r="CB20" s="16" t="n"/>
      <c r="CC20" s="16" t="n"/>
      <c r="CD20" s="16" t="n"/>
      <c r="CE20" s="16" t="n"/>
      <c r="CF20" s="16" t="n"/>
      <c r="CG20" s="16" t="n"/>
      <c r="CH20" s="16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Z20" s="17">
        <f>IFERROR(CJ20-DE20,"")</f>
        <v/>
      </c>
      <c r="EA20" s="17">
        <f>IFERROR(CK20-DF20,"")</f>
        <v/>
      </c>
      <c r="EB20" s="17">
        <f>IFERROR(CL20-DG20,"")</f>
        <v/>
      </c>
      <c r="EC20" s="17">
        <f>IFERROR(CM20-DH20,"")</f>
        <v/>
      </c>
      <c r="ED20" s="17">
        <f>IFERROR(CN20-DI20,"")</f>
        <v/>
      </c>
      <c r="EE20" s="17">
        <f>IFERROR(CO20-DJ20,"")</f>
        <v/>
      </c>
      <c r="EF20" s="17">
        <f>IFERROR(CP20-DK20,"")</f>
        <v/>
      </c>
      <c r="EG20" s="17">
        <f>IFERROR(CQ20-DL20,"")</f>
        <v/>
      </c>
      <c r="EH20" s="17">
        <f>IFERROR(CR20-DM20,"")</f>
        <v/>
      </c>
      <c r="EI20" s="17">
        <f>IFERROR(CS20-DN20,"")</f>
        <v/>
      </c>
      <c r="EJ20" s="17">
        <f>IFERROR(CT20-DO20,"")</f>
        <v/>
      </c>
      <c r="EK20" s="17">
        <f>IFERROR(CU20-DP20,"")</f>
        <v/>
      </c>
      <c r="EL20" s="17">
        <f>IFERROR(CV20-DQ20,"")</f>
        <v/>
      </c>
      <c r="EM20" s="17">
        <f>IFERROR(CW20-DR20,"")</f>
        <v/>
      </c>
      <c r="EN20" s="17">
        <f>IFERROR(CX20-DS20,"")</f>
        <v/>
      </c>
      <c r="EO20" s="17">
        <f>IFERROR(CY20-DT20,"")</f>
        <v/>
      </c>
      <c r="EP20" s="17">
        <f>IFERROR(CZ20-DU20,"")</f>
        <v/>
      </c>
      <c r="EQ20" s="17">
        <f>IFERROR(DA20-DV20,"")</f>
        <v/>
      </c>
      <c r="ER20" s="17">
        <f>IFERROR(DB20-DW20,"")</f>
        <v/>
      </c>
      <c r="ES20" s="17">
        <f>IFERROR(DC20-DX20,"")</f>
        <v/>
      </c>
      <c r="EU20" s="16" t="n"/>
      <c r="EV20" s="16" t="n"/>
      <c r="EW20" s="16" t="n"/>
      <c r="EX20" s="16" t="n"/>
      <c r="EY20" s="16" t="n"/>
      <c r="EZ20" s="16" t="n"/>
      <c r="FA20" s="16" t="n"/>
      <c r="FB20" s="16" t="n"/>
      <c r="FC20" s="16" t="n"/>
      <c r="FD20" s="16" t="n"/>
      <c r="FE20" s="16" t="n"/>
      <c r="FF20" s="16" t="n"/>
      <c r="FG20" s="16" t="n"/>
      <c r="FH20" s="16" t="n"/>
      <c r="FI20" s="16" t="n"/>
      <c r="FJ20" s="16" t="n"/>
      <c r="FK20" s="16" t="n"/>
      <c r="FL20" s="16" t="n"/>
      <c r="FM20" s="16" t="n"/>
      <c r="FN20" s="16" t="n"/>
      <c r="FP20" s="2" t="inlineStr">
        <is>
          <t>Season Pass (Free)</t>
        </is>
      </c>
    </row>
    <row r="21">
      <c r="B21" s="15" t="n">
        <v>13</v>
      </c>
      <c r="C21" s="15" t="inlineStr">
        <is>
          <t>Mon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  <c r="AP21" s="16" t="n"/>
      <c r="AQ21" s="16" t="n"/>
      <c r="AR21" s="16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O21" s="16" t="n"/>
      <c r="BP21" s="16" t="n"/>
      <c r="BQ21" s="16" t="n"/>
      <c r="BR21" s="16" t="n"/>
      <c r="BS21" s="16" t="n"/>
      <c r="BT21" s="16" t="n"/>
      <c r="BU21" s="16" t="n"/>
      <c r="BV21" s="16" t="n"/>
      <c r="BW21" s="16" t="n"/>
      <c r="BX21" s="16" t="n"/>
      <c r="BY21" s="16" t="n"/>
      <c r="BZ21" s="16" t="n"/>
      <c r="CA21" s="16" t="n"/>
      <c r="CB21" s="16" t="n"/>
      <c r="CC21" s="16" t="n"/>
      <c r="CD21" s="16" t="n"/>
      <c r="CE21" s="16" t="n"/>
      <c r="CF21" s="16" t="n"/>
      <c r="CG21" s="16" t="n"/>
      <c r="CH21" s="16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Z21" s="17">
        <f>IFERROR(CJ21-DE21,"")</f>
        <v/>
      </c>
      <c r="EA21" s="17">
        <f>IFERROR(CK21-DF21,"")</f>
        <v/>
      </c>
      <c r="EB21" s="17">
        <f>IFERROR(CL21-DG21,"")</f>
        <v/>
      </c>
      <c r="EC21" s="17">
        <f>IFERROR(CM21-DH21,"")</f>
        <v/>
      </c>
      <c r="ED21" s="17">
        <f>IFERROR(CN21-DI21,"")</f>
        <v/>
      </c>
      <c r="EE21" s="17">
        <f>IFERROR(CO21-DJ21,"")</f>
        <v/>
      </c>
      <c r="EF21" s="17">
        <f>IFERROR(CP21-DK21,"")</f>
        <v/>
      </c>
      <c r="EG21" s="17">
        <f>IFERROR(CQ21-DL21,"")</f>
        <v/>
      </c>
      <c r="EH21" s="17">
        <f>IFERROR(CR21-DM21,"")</f>
        <v/>
      </c>
      <c r="EI21" s="17">
        <f>IFERROR(CS21-DN21,"")</f>
        <v/>
      </c>
      <c r="EJ21" s="17">
        <f>IFERROR(CT21-DO21,"")</f>
        <v/>
      </c>
      <c r="EK21" s="17">
        <f>IFERROR(CU21-DP21,"")</f>
        <v/>
      </c>
      <c r="EL21" s="17">
        <f>IFERROR(CV21-DQ21,"")</f>
        <v/>
      </c>
      <c r="EM21" s="17">
        <f>IFERROR(CW21-DR21,"")</f>
        <v/>
      </c>
      <c r="EN21" s="17">
        <f>IFERROR(CX21-DS21,"")</f>
        <v/>
      </c>
      <c r="EO21" s="17">
        <f>IFERROR(CY21-DT21,"")</f>
        <v/>
      </c>
      <c r="EP21" s="17">
        <f>IFERROR(CZ21-DU21,"")</f>
        <v/>
      </c>
      <c r="EQ21" s="17">
        <f>IFERROR(DA21-DV21,"")</f>
        <v/>
      </c>
      <c r="ER21" s="17">
        <f>IFERROR(DB21-DW21,"")</f>
        <v/>
      </c>
      <c r="ES21" s="17">
        <f>IFERROR(DC21-DX21,"")</f>
        <v/>
      </c>
      <c r="EU21" s="16" t="n"/>
      <c r="EV21" s="16" t="n"/>
      <c r="EW21" s="16" t="n"/>
      <c r="EX21" s="16" t="n"/>
      <c r="EY21" s="16" t="n"/>
      <c r="EZ21" s="16" t="n"/>
      <c r="FA21" s="16" t="n"/>
      <c r="FB21" s="16" t="n"/>
      <c r="FC21" s="16" t="n"/>
      <c r="FD21" s="16" t="n"/>
      <c r="FE21" s="16" t="n"/>
      <c r="FF21" s="16" t="n"/>
      <c r="FG21" s="16" t="n"/>
      <c r="FH21" s="16" t="n"/>
      <c r="FI21" s="16" t="n"/>
      <c r="FJ21" s="16" t="n"/>
      <c r="FK21" s="16" t="n"/>
      <c r="FL21" s="16" t="n"/>
      <c r="FM21" s="16" t="n"/>
      <c r="FN21" s="16" t="n"/>
      <c r="FP21" s="2" t="inlineStr">
        <is>
          <t>Target Day</t>
        </is>
      </c>
    </row>
    <row r="22">
      <c r="B22" s="15" t="n">
        <v>14</v>
      </c>
      <c r="C22" s="15" t="inlineStr">
        <is>
          <t>Tue</t>
        </is>
      </c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  <c r="AP22" s="16" t="n"/>
      <c r="AQ22" s="16" t="n"/>
      <c r="AR22" s="16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O22" s="16" t="n"/>
      <c r="BP22" s="16" t="n"/>
      <c r="BQ22" s="16" t="n"/>
      <c r="BR22" s="16" t="n"/>
      <c r="BS22" s="16" t="n"/>
      <c r="BT22" s="16" t="n"/>
      <c r="BU22" s="16" t="n"/>
      <c r="BV22" s="16" t="n"/>
      <c r="BW22" s="16" t="n"/>
      <c r="BX22" s="16" t="n"/>
      <c r="BY22" s="16" t="n"/>
      <c r="BZ22" s="16" t="n"/>
      <c r="CA22" s="16" t="n"/>
      <c r="CB22" s="16" t="n"/>
      <c r="CC22" s="16" t="n"/>
      <c r="CD22" s="16" t="n"/>
      <c r="CE22" s="16" t="n"/>
      <c r="CF22" s="16" t="n"/>
      <c r="CG22" s="16" t="n"/>
      <c r="CH22" s="16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Z22" s="17">
        <f>IFERROR(CJ22-DE22,"")</f>
        <v/>
      </c>
      <c r="EA22" s="17">
        <f>IFERROR(CK22-DF22,"")</f>
        <v/>
      </c>
      <c r="EB22" s="17">
        <f>IFERROR(CL22-DG22,"")</f>
        <v/>
      </c>
      <c r="EC22" s="17">
        <f>IFERROR(CM22-DH22,"")</f>
        <v/>
      </c>
      <c r="ED22" s="17">
        <f>IFERROR(CN22-DI22,"")</f>
        <v/>
      </c>
      <c r="EE22" s="17">
        <f>IFERROR(CO22-DJ22,"")</f>
        <v/>
      </c>
      <c r="EF22" s="17">
        <f>IFERROR(CP22-DK22,"")</f>
        <v/>
      </c>
      <c r="EG22" s="17">
        <f>IFERROR(CQ22-DL22,"")</f>
        <v/>
      </c>
      <c r="EH22" s="17">
        <f>IFERROR(CR22-DM22,"")</f>
        <v/>
      </c>
      <c r="EI22" s="17">
        <f>IFERROR(CS22-DN22,"")</f>
        <v/>
      </c>
      <c r="EJ22" s="17">
        <f>IFERROR(CT22-DO22,"")</f>
        <v/>
      </c>
      <c r="EK22" s="17">
        <f>IFERROR(CU22-DP22,"")</f>
        <v/>
      </c>
      <c r="EL22" s="17">
        <f>IFERROR(CV22-DQ22,"")</f>
        <v/>
      </c>
      <c r="EM22" s="17">
        <f>IFERROR(CW22-DR22,"")</f>
        <v/>
      </c>
      <c r="EN22" s="17">
        <f>IFERROR(CX22-DS22,"")</f>
        <v/>
      </c>
      <c r="EO22" s="17">
        <f>IFERROR(CY22-DT22,"")</f>
        <v/>
      </c>
      <c r="EP22" s="17">
        <f>IFERROR(CZ22-DU22,"")</f>
        <v/>
      </c>
      <c r="EQ22" s="17">
        <f>IFERROR(DA22-DV22,"")</f>
        <v/>
      </c>
      <c r="ER22" s="17">
        <f>IFERROR(DB22-DW22,"")</f>
        <v/>
      </c>
      <c r="ES22" s="17">
        <f>IFERROR(DC22-DX22,"")</f>
        <v/>
      </c>
      <c r="EU22" s="16" t="n"/>
      <c r="EV22" s="16" t="n"/>
      <c r="EW22" s="16" t="n"/>
      <c r="EX22" s="16" t="n"/>
      <c r="EY22" s="16" t="n"/>
      <c r="EZ22" s="16" t="n"/>
      <c r="FA22" s="16" t="n"/>
      <c r="FB22" s="16" t="n"/>
      <c r="FC22" s="16" t="n"/>
      <c r="FD22" s="16" t="n"/>
      <c r="FE22" s="16" t="n"/>
      <c r="FF22" s="16" t="n"/>
      <c r="FG22" s="16" t="n"/>
      <c r="FH22" s="16" t="n"/>
      <c r="FI22" s="16" t="n"/>
      <c r="FJ22" s="16" t="n"/>
      <c r="FK22" s="16" t="n"/>
      <c r="FL22" s="16" t="n"/>
      <c r="FM22" s="16" t="n"/>
      <c r="FN22" s="16" t="n"/>
      <c r="FP22" s="2" t="inlineStr">
        <is>
          <t>Team Event</t>
        </is>
      </c>
    </row>
    <row r="23">
      <c r="B23" s="15" t="n">
        <v>15</v>
      </c>
      <c r="C23" s="15" t="inlineStr">
        <is>
          <t>Wed</t>
        </is>
      </c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O23" s="16" t="n"/>
      <c r="BP23" s="16" t="n"/>
      <c r="BQ23" s="16" t="n"/>
      <c r="BR23" s="16" t="n"/>
      <c r="BS23" s="16" t="n"/>
      <c r="BT23" s="16" t="n"/>
      <c r="BU23" s="16" t="n"/>
      <c r="BV23" s="16" t="n"/>
      <c r="BW23" s="16" t="n"/>
      <c r="BX23" s="16" t="n"/>
      <c r="BY23" s="16" t="n"/>
      <c r="BZ23" s="16" t="n"/>
      <c r="CA23" s="16" t="n"/>
      <c r="CB23" s="16" t="n"/>
      <c r="CC23" s="16" t="n"/>
      <c r="CD23" s="16" t="n"/>
      <c r="CE23" s="16" t="n"/>
      <c r="CF23" s="16" t="n"/>
      <c r="CG23" s="16" t="n"/>
      <c r="CH23" s="16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Z23" s="17">
        <f>IFERROR(CJ23-DE23,"")</f>
        <v/>
      </c>
      <c r="EA23" s="17">
        <f>IFERROR(CK23-DF23,"")</f>
        <v/>
      </c>
      <c r="EB23" s="17">
        <f>IFERROR(CL23-DG23,"")</f>
        <v/>
      </c>
      <c r="EC23" s="17">
        <f>IFERROR(CM23-DH23,"")</f>
        <v/>
      </c>
      <c r="ED23" s="17">
        <f>IFERROR(CN23-DI23,"")</f>
        <v/>
      </c>
      <c r="EE23" s="17">
        <f>IFERROR(CO23-DJ23,"")</f>
        <v/>
      </c>
      <c r="EF23" s="17">
        <f>IFERROR(CP23-DK23,"")</f>
        <v/>
      </c>
      <c r="EG23" s="17">
        <f>IFERROR(CQ23-DL23,"")</f>
        <v/>
      </c>
      <c r="EH23" s="17">
        <f>IFERROR(CR23-DM23,"")</f>
        <v/>
      </c>
      <c r="EI23" s="17">
        <f>IFERROR(CS23-DN23,"")</f>
        <v/>
      </c>
      <c r="EJ23" s="17">
        <f>IFERROR(CT23-DO23,"")</f>
        <v/>
      </c>
      <c r="EK23" s="17">
        <f>IFERROR(CU23-DP23,"")</f>
        <v/>
      </c>
      <c r="EL23" s="17">
        <f>IFERROR(CV23-DQ23,"")</f>
        <v/>
      </c>
      <c r="EM23" s="17">
        <f>IFERROR(CW23-DR23,"")</f>
        <v/>
      </c>
      <c r="EN23" s="17">
        <f>IFERROR(CX23-DS23,"")</f>
        <v/>
      </c>
      <c r="EO23" s="17">
        <f>IFERROR(CY23-DT23,"")</f>
        <v/>
      </c>
      <c r="EP23" s="17">
        <f>IFERROR(CZ23-DU23,"")</f>
        <v/>
      </c>
      <c r="EQ23" s="17">
        <f>IFERROR(DA23-DV23,"")</f>
        <v/>
      </c>
      <c r="ER23" s="17">
        <f>IFERROR(DB23-DW23,"")</f>
        <v/>
      </c>
      <c r="ES23" s="17">
        <f>IFERROR(DC23-DX23,"")</f>
        <v/>
      </c>
      <c r="EU23" s="16" t="n"/>
      <c r="EV23" s="16" t="n"/>
      <c r="EW23" s="16" t="n"/>
      <c r="EX23" s="16" t="n"/>
      <c r="EY23" s="16" t="n"/>
      <c r="EZ23" s="16" t="n"/>
      <c r="FA23" s="16" t="n"/>
      <c r="FB23" s="16" t="n"/>
      <c r="FC23" s="16" t="n"/>
      <c r="FD23" s="16" t="n"/>
      <c r="FE23" s="16" t="n"/>
      <c r="FF23" s="16" t="n"/>
      <c r="FG23" s="16" t="n"/>
      <c r="FH23" s="16" t="n"/>
      <c r="FI23" s="16" t="n"/>
      <c r="FJ23" s="16" t="n"/>
      <c r="FK23" s="16" t="n"/>
      <c r="FL23" s="16" t="n"/>
      <c r="FM23" s="16" t="n"/>
      <c r="FN23" s="16" t="n"/>
      <c r="FP23" s="2" t="inlineStr">
        <is>
          <t>Team Race</t>
        </is>
      </c>
    </row>
    <row r="24">
      <c r="B24" s="15" t="n">
        <v>16</v>
      </c>
      <c r="C24" s="15" t="inlineStr">
        <is>
          <t>Thu</t>
        </is>
      </c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  <c r="AP24" s="16" t="n"/>
      <c r="AQ24" s="16" t="n"/>
      <c r="AR24" s="16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O24" s="16" t="n"/>
      <c r="BP24" s="16" t="n"/>
      <c r="BQ24" s="16" t="n"/>
      <c r="BR24" s="16" t="n"/>
      <c r="BS24" s="16" t="n"/>
      <c r="BT24" s="16" t="n"/>
      <c r="BU24" s="16" t="n"/>
      <c r="BV24" s="16" t="n"/>
      <c r="BW24" s="16" t="n"/>
      <c r="BX24" s="16" t="n"/>
      <c r="BY24" s="16" t="n"/>
      <c r="BZ24" s="16" t="n"/>
      <c r="CA24" s="16" t="n"/>
      <c r="CB24" s="16" t="n"/>
      <c r="CC24" s="16" t="n"/>
      <c r="CD24" s="16" t="n"/>
      <c r="CE24" s="16" t="n"/>
      <c r="CF24" s="16" t="n"/>
      <c r="CG24" s="16" t="n"/>
      <c r="CH24" s="16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Z24" s="17">
        <f>IFERROR(CJ24-DE24,"")</f>
        <v/>
      </c>
      <c r="EA24" s="17">
        <f>IFERROR(CK24-DF24,"")</f>
        <v/>
      </c>
      <c r="EB24" s="17">
        <f>IFERROR(CL24-DG24,"")</f>
        <v/>
      </c>
      <c r="EC24" s="17">
        <f>IFERROR(CM24-DH24,"")</f>
        <v/>
      </c>
      <c r="ED24" s="17">
        <f>IFERROR(CN24-DI24,"")</f>
        <v/>
      </c>
      <c r="EE24" s="17">
        <f>IFERROR(CO24-DJ24,"")</f>
        <v/>
      </c>
      <c r="EF24" s="17">
        <f>IFERROR(CP24-DK24,"")</f>
        <v/>
      </c>
      <c r="EG24" s="17">
        <f>IFERROR(CQ24-DL24,"")</f>
        <v/>
      </c>
      <c r="EH24" s="17">
        <f>IFERROR(CR24-DM24,"")</f>
        <v/>
      </c>
      <c r="EI24" s="17">
        <f>IFERROR(CS24-DN24,"")</f>
        <v/>
      </c>
      <c r="EJ24" s="17">
        <f>IFERROR(CT24-DO24,"")</f>
        <v/>
      </c>
      <c r="EK24" s="17">
        <f>IFERROR(CU24-DP24,"")</f>
        <v/>
      </c>
      <c r="EL24" s="17">
        <f>IFERROR(CV24-DQ24,"")</f>
        <v/>
      </c>
      <c r="EM24" s="17">
        <f>IFERROR(CW24-DR24,"")</f>
        <v/>
      </c>
      <c r="EN24" s="17">
        <f>IFERROR(CX24-DS24,"")</f>
        <v/>
      </c>
      <c r="EO24" s="17">
        <f>IFERROR(CY24-DT24,"")</f>
        <v/>
      </c>
      <c r="EP24" s="17">
        <f>IFERROR(CZ24-DU24,"")</f>
        <v/>
      </c>
      <c r="EQ24" s="17">
        <f>IFERROR(DA24-DV24,"")</f>
        <v/>
      </c>
      <c r="ER24" s="17">
        <f>IFERROR(DB24-DW24,"")</f>
        <v/>
      </c>
      <c r="ES24" s="17">
        <f>IFERROR(DC24-DX24,"")</f>
        <v/>
      </c>
      <c r="EU24" s="16" t="n"/>
      <c r="EV24" s="16" t="n"/>
      <c r="EW24" s="16" t="n"/>
      <c r="EX24" s="16" t="n"/>
      <c r="EY24" s="16" t="n"/>
      <c r="EZ24" s="16" t="n"/>
      <c r="FA24" s="16" t="n"/>
      <c r="FB24" s="16" t="n"/>
      <c r="FC24" s="16" t="n"/>
      <c r="FD24" s="16" t="n"/>
      <c r="FE24" s="16" t="n"/>
      <c r="FF24" s="16" t="n"/>
      <c r="FG24" s="16" t="n"/>
      <c r="FH24" s="16" t="n"/>
      <c r="FI24" s="16" t="n"/>
      <c r="FJ24" s="16" t="n"/>
      <c r="FK24" s="16" t="n"/>
      <c r="FL24" s="16" t="n"/>
      <c r="FM24" s="16" t="n"/>
      <c r="FN24" s="16" t="n"/>
      <c r="FP24" s="2" t="inlineStr">
        <is>
          <t>Flash Race</t>
        </is>
      </c>
    </row>
    <row r="25">
      <c r="B25" s="15" t="n">
        <v>17</v>
      </c>
      <c r="C25" s="15" t="inlineStr">
        <is>
          <t>Fri</t>
        </is>
      </c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  <c r="AP25" s="16" t="n"/>
      <c r="AQ25" s="16" t="n"/>
      <c r="AR25" s="16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O25" s="16" t="n"/>
      <c r="BP25" s="16" t="n"/>
      <c r="BQ25" s="16" t="n"/>
      <c r="BR25" s="16" t="n"/>
      <c r="BS25" s="16" t="n"/>
      <c r="BT25" s="16" t="n"/>
      <c r="BU25" s="16" t="n"/>
      <c r="BV25" s="16" t="n"/>
      <c r="BW25" s="16" t="n"/>
      <c r="BX25" s="16" t="n"/>
      <c r="BY25" s="16" t="n"/>
      <c r="BZ25" s="16" t="n"/>
      <c r="CA25" s="16" t="n"/>
      <c r="CB25" s="16" t="n"/>
      <c r="CC25" s="16" t="n"/>
      <c r="CD25" s="16" t="n"/>
      <c r="CE25" s="16" t="n"/>
      <c r="CF25" s="16" t="n"/>
      <c r="CG25" s="16" t="n"/>
      <c r="CH25" s="16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Z25" s="17">
        <f>IFERROR(CJ25-DE25,"")</f>
        <v/>
      </c>
      <c r="EA25" s="17">
        <f>IFERROR(CK25-DF25,"")</f>
        <v/>
      </c>
      <c r="EB25" s="17">
        <f>IFERROR(CL25-DG25,"")</f>
        <v/>
      </c>
      <c r="EC25" s="17">
        <f>IFERROR(CM25-DH25,"")</f>
        <v/>
      </c>
      <c r="ED25" s="17">
        <f>IFERROR(CN25-DI25,"")</f>
        <v/>
      </c>
      <c r="EE25" s="17">
        <f>IFERROR(CO25-DJ25,"")</f>
        <v/>
      </c>
      <c r="EF25" s="17">
        <f>IFERROR(CP25-DK25,"")</f>
        <v/>
      </c>
      <c r="EG25" s="17">
        <f>IFERROR(CQ25-DL25,"")</f>
        <v/>
      </c>
      <c r="EH25" s="17">
        <f>IFERROR(CR25-DM25,"")</f>
        <v/>
      </c>
      <c r="EI25" s="17">
        <f>IFERROR(CS25-DN25,"")</f>
        <v/>
      </c>
      <c r="EJ25" s="17">
        <f>IFERROR(CT25-DO25,"")</f>
        <v/>
      </c>
      <c r="EK25" s="17">
        <f>IFERROR(CU25-DP25,"")</f>
        <v/>
      </c>
      <c r="EL25" s="17">
        <f>IFERROR(CV25-DQ25,"")</f>
        <v/>
      </c>
      <c r="EM25" s="17">
        <f>IFERROR(CW25-DR25,"")</f>
        <v/>
      </c>
      <c r="EN25" s="17">
        <f>IFERROR(CX25-DS25,"")</f>
        <v/>
      </c>
      <c r="EO25" s="17">
        <f>IFERROR(CY25-DT25,"")</f>
        <v/>
      </c>
      <c r="EP25" s="17">
        <f>IFERROR(CZ25-DU25,"")</f>
        <v/>
      </c>
      <c r="EQ25" s="17">
        <f>IFERROR(DA25-DV25,"")</f>
        <v/>
      </c>
      <c r="ER25" s="17">
        <f>IFERROR(DB25-DW25,"")</f>
        <v/>
      </c>
      <c r="ES25" s="17">
        <f>IFERROR(DC25-DX25,"")</f>
        <v/>
      </c>
      <c r="EU25" s="16" t="n"/>
      <c r="EV25" s="16" t="n"/>
      <c r="EW25" s="16" t="n"/>
      <c r="EX25" s="16" t="n"/>
      <c r="EY25" s="16" t="n"/>
      <c r="EZ25" s="16" t="n"/>
      <c r="FA25" s="16" t="n"/>
      <c r="FB25" s="16" t="n"/>
      <c r="FC25" s="16" t="n"/>
      <c r="FD25" s="16" t="n"/>
      <c r="FE25" s="16" t="n"/>
      <c r="FF25" s="16" t="n"/>
      <c r="FG25" s="16" t="n"/>
      <c r="FH25" s="16" t="n"/>
      <c r="FI25" s="16" t="n"/>
      <c r="FJ25" s="16" t="n"/>
      <c r="FK25" s="16" t="n"/>
      <c r="FL25" s="16" t="n"/>
      <c r="FM25" s="16" t="n"/>
      <c r="FN25" s="16" t="n"/>
      <c r="FP25" s="2" t="inlineStr">
        <is>
          <t>FlowerCoop</t>
        </is>
      </c>
    </row>
    <row r="26">
      <c r="B26" s="15" t="n">
        <v>18</v>
      </c>
      <c r="C26" s="15" t="inlineStr">
        <is>
          <t>Sat</t>
        </is>
      </c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  <c r="AQ26" s="16" t="n"/>
      <c r="AR26" s="16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O26" s="16" t="n"/>
      <c r="BP26" s="16" t="n"/>
      <c r="BQ26" s="16" t="n"/>
      <c r="BR26" s="16" t="n"/>
      <c r="BS26" s="16" t="n"/>
      <c r="BT26" s="16" t="n"/>
      <c r="BU26" s="16" t="n"/>
      <c r="BV26" s="16" t="n"/>
      <c r="BW26" s="16" t="n"/>
      <c r="BX26" s="16" t="n"/>
      <c r="BY26" s="16" t="n"/>
      <c r="BZ26" s="16" t="n"/>
      <c r="CA26" s="16" t="n"/>
      <c r="CB26" s="16" t="n"/>
      <c r="CC26" s="16" t="n"/>
      <c r="CD26" s="16" t="n"/>
      <c r="CE26" s="16" t="n"/>
      <c r="CF26" s="16" t="n"/>
      <c r="CG26" s="16" t="n"/>
      <c r="CH26" s="16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Z26" s="17">
        <f>IFERROR(CJ26-DE26,"")</f>
        <v/>
      </c>
      <c r="EA26" s="17">
        <f>IFERROR(CK26-DF26,"")</f>
        <v/>
      </c>
      <c r="EB26" s="17">
        <f>IFERROR(CL26-DG26,"")</f>
        <v/>
      </c>
      <c r="EC26" s="17">
        <f>IFERROR(CM26-DH26,"")</f>
        <v/>
      </c>
      <c r="ED26" s="17">
        <f>IFERROR(CN26-DI26,"")</f>
        <v/>
      </c>
      <c r="EE26" s="17">
        <f>IFERROR(CO26-DJ26,"")</f>
        <v/>
      </c>
      <c r="EF26" s="17">
        <f>IFERROR(CP26-DK26,"")</f>
        <v/>
      </c>
      <c r="EG26" s="17">
        <f>IFERROR(CQ26-DL26,"")</f>
        <v/>
      </c>
      <c r="EH26" s="17">
        <f>IFERROR(CR26-DM26,"")</f>
        <v/>
      </c>
      <c r="EI26" s="17">
        <f>IFERROR(CS26-DN26,"")</f>
        <v/>
      </c>
      <c r="EJ26" s="17">
        <f>IFERROR(CT26-DO26,"")</f>
        <v/>
      </c>
      <c r="EK26" s="17">
        <f>IFERROR(CU26-DP26,"")</f>
        <v/>
      </c>
      <c r="EL26" s="17">
        <f>IFERROR(CV26-DQ26,"")</f>
        <v/>
      </c>
      <c r="EM26" s="17">
        <f>IFERROR(CW26-DR26,"")</f>
        <v/>
      </c>
      <c r="EN26" s="17">
        <f>IFERROR(CX26-DS26,"")</f>
        <v/>
      </c>
      <c r="EO26" s="17">
        <f>IFERROR(CY26-DT26,"")</f>
        <v/>
      </c>
      <c r="EP26" s="17">
        <f>IFERROR(CZ26-DU26,"")</f>
        <v/>
      </c>
      <c r="EQ26" s="17">
        <f>IFERROR(DA26-DV26,"")</f>
        <v/>
      </c>
      <c r="ER26" s="17">
        <f>IFERROR(DB26-DW26,"")</f>
        <v/>
      </c>
      <c r="ES26" s="17">
        <f>IFERROR(DC26-DX26,"")</f>
        <v/>
      </c>
      <c r="EU26" s="16" t="n"/>
      <c r="EV26" s="16" t="n"/>
      <c r="EW26" s="16" t="n"/>
      <c r="EX26" s="16" t="n"/>
      <c r="EY26" s="16" t="n"/>
      <c r="EZ26" s="16" t="n"/>
      <c r="FA26" s="16" t="n"/>
      <c r="FB26" s="16" t="n"/>
      <c r="FC26" s="16" t="n"/>
      <c r="FD26" s="16" t="n"/>
      <c r="FE26" s="16" t="n"/>
      <c r="FF26" s="16" t="n"/>
      <c r="FG26" s="16" t="n"/>
      <c r="FH26" s="16" t="n"/>
      <c r="FI26" s="16" t="n"/>
      <c r="FJ26" s="16" t="n"/>
      <c r="FK26" s="16" t="n"/>
      <c r="FL26" s="16" t="n"/>
      <c r="FM26" s="16" t="n"/>
      <c r="FN26" s="16" t="n"/>
      <c r="FP26" s="2" t="inlineStr">
        <is>
          <t>Rainbow Maker</t>
        </is>
      </c>
    </row>
    <row r="27">
      <c r="B27" s="15" t="n">
        <v>19</v>
      </c>
      <c r="C27" s="15" t="inlineStr">
        <is>
          <t>Sun</t>
        </is>
      </c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  <c r="AP27" s="16" t="n"/>
      <c r="AQ27" s="16" t="n"/>
      <c r="AR27" s="16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O27" s="16" t="n"/>
      <c r="BP27" s="16" t="n"/>
      <c r="BQ27" s="16" t="n"/>
      <c r="BR27" s="16" t="n"/>
      <c r="BS27" s="16" t="n"/>
      <c r="BT27" s="16" t="n"/>
      <c r="BU27" s="16" t="n"/>
      <c r="BV27" s="16" t="n"/>
      <c r="BW27" s="16" t="n"/>
      <c r="BX27" s="16" t="n"/>
      <c r="BY27" s="16" t="n"/>
      <c r="BZ27" s="16" t="n"/>
      <c r="CA27" s="16" t="n"/>
      <c r="CB27" s="16" t="n"/>
      <c r="CC27" s="16" t="n"/>
      <c r="CD27" s="16" t="n"/>
      <c r="CE27" s="16" t="n"/>
      <c r="CF27" s="16" t="n"/>
      <c r="CG27" s="16" t="n"/>
      <c r="CH27" s="16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Z27" s="17">
        <f>IFERROR(CJ27-DE27,"")</f>
        <v/>
      </c>
      <c r="EA27" s="17">
        <f>IFERROR(CK27-DF27,"")</f>
        <v/>
      </c>
      <c r="EB27" s="17">
        <f>IFERROR(CL27-DG27,"")</f>
        <v/>
      </c>
      <c r="EC27" s="17">
        <f>IFERROR(CM27-DH27,"")</f>
        <v/>
      </c>
      <c r="ED27" s="17">
        <f>IFERROR(CN27-DI27,"")</f>
        <v/>
      </c>
      <c r="EE27" s="17">
        <f>IFERROR(CO27-DJ27,"")</f>
        <v/>
      </c>
      <c r="EF27" s="17">
        <f>IFERROR(CP27-DK27,"")</f>
        <v/>
      </c>
      <c r="EG27" s="17">
        <f>IFERROR(CQ27-DL27,"")</f>
        <v/>
      </c>
      <c r="EH27" s="17">
        <f>IFERROR(CR27-DM27,"")</f>
        <v/>
      </c>
      <c r="EI27" s="17">
        <f>IFERROR(CS27-DN27,"")</f>
        <v/>
      </c>
      <c r="EJ27" s="17">
        <f>IFERROR(CT27-DO27,"")</f>
        <v/>
      </c>
      <c r="EK27" s="17">
        <f>IFERROR(CU27-DP27,"")</f>
        <v/>
      </c>
      <c r="EL27" s="17">
        <f>IFERROR(CV27-DQ27,"")</f>
        <v/>
      </c>
      <c r="EM27" s="17">
        <f>IFERROR(CW27-DR27,"")</f>
        <v/>
      </c>
      <c r="EN27" s="17">
        <f>IFERROR(CX27-DS27,"")</f>
        <v/>
      </c>
      <c r="EO27" s="17">
        <f>IFERROR(CY27-DT27,"")</f>
        <v/>
      </c>
      <c r="EP27" s="17">
        <f>IFERROR(CZ27-DU27,"")</f>
        <v/>
      </c>
      <c r="EQ27" s="17">
        <f>IFERROR(DA27-DV27,"")</f>
        <v/>
      </c>
      <c r="ER27" s="17">
        <f>IFERROR(DB27-DW27,"")</f>
        <v/>
      </c>
      <c r="ES27" s="17">
        <f>IFERROR(DC27-DX27,"")</f>
        <v/>
      </c>
      <c r="EU27" s="16" t="n"/>
      <c r="EV27" s="16" t="n"/>
      <c r="EW27" s="16" t="n"/>
      <c r="EX27" s="16" t="n"/>
      <c r="EY27" s="16" t="n"/>
      <c r="EZ27" s="16" t="n"/>
      <c r="FA27" s="16" t="n"/>
      <c r="FB27" s="16" t="n"/>
      <c r="FC27" s="16" t="n"/>
      <c r="FD27" s="16" t="n"/>
      <c r="FE27" s="16" t="n"/>
      <c r="FF27" s="16" t="n"/>
      <c r="FG27" s="16" t="n"/>
      <c r="FH27" s="16" t="n"/>
      <c r="FI27" s="16" t="n"/>
      <c r="FJ27" s="16" t="n"/>
      <c r="FK27" s="16" t="n"/>
      <c r="FL27" s="16" t="n"/>
      <c r="FM27" s="16" t="n"/>
      <c r="FN27" s="16" t="n"/>
      <c r="FP27" s="2" t="inlineStr">
        <is>
          <t>IAPs</t>
        </is>
      </c>
    </row>
    <row r="28">
      <c r="B28" s="15" t="n">
        <v>20</v>
      </c>
      <c r="C28" s="15" t="inlineStr">
        <is>
          <t>Mon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  <c r="AP28" s="16" t="n"/>
      <c r="AQ28" s="16" t="n"/>
      <c r="AR28" s="16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O28" s="16" t="n"/>
      <c r="BP28" s="16" t="n"/>
      <c r="BQ28" s="16" t="n"/>
      <c r="BR28" s="16" t="n"/>
      <c r="BS28" s="16" t="n"/>
      <c r="BT28" s="16" t="n"/>
      <c r="BU28" s="16" t="n"/>
      <c r="BV28" s="16" t="n"/>
      <c r="BW28" s="16" t="n"/>
      <c r="BX28" s="16" t="n"/>
      <c r="BY28" s="16" t="n"/>
      <c r="BZ28" s="16" t="n"/>
      <c r="CA28" s="16" t="n"/>
      <c r="CB28" s="16" t="n"/>
      <c r="CC28" s="16" t="n"/>
      <c r="CD28" s="16" t="n"/>
      <c r="CE28" s="16" t="n"/>
      <c r="CF28" s="16" t="n"/>
      <c r="CG28" s="16" t="n"/>
      <c r="CH28" s="16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Z28" s="17">
        <f>IFERROR(CJ28-DE28,"")</f>
        <v/>
      </c>
      <c r="EA28" s="17">
        <f>IFERROR(CK28-DF28,"")</f>
        <v/>
      </c>
      <c r="EB28" s="17">
        <f>IFERROR(CL28-DG28,"")</f>
        <v/>
      </c>
      <c r="EC28" s="17">
        <f>IFERROR(CM28-DH28,"")</f>
        <v/>
      </c>
      <c r="ED28" s="17">
        <f>IFERROR(CN28-DI28,"")</f>
        <v/>
      </c>
      <c r="EE28" s="17">
        <f>IFERROR(CO28-DJ28,"")</f>
        <v/>
      </c>
      <c r="EF28" s="17">
        <f>IFERROR(CP28-DK28,"")</f>
        <v/>
      </c>
      <c r="EG28" s="17">
        <f>IFERROR(CQ28-DL28,"")</f>
        <v/>
      </c>
      <c r="EH28" s="17">
        <f>IFERROR(CR28-DM28,"")</f>
        <v/>
      </c>
      <c r="EI28" s="17">
        <f>IFERROR(CS28-DN28,"")</f>
        <v/>
      </c>
      <c r="EJ28" s="17">
        <f>IFERROR(CT28-DO28,"")</f>
        <v/>
      </c>
      <c r="EK28" s="17">
        <f>IFERROR(CU28-DP28,"")</f>
        <v/>
      </c>
      <c r="EL28" s="17">
        <f>IFERROR(CV28-DQ28,"")</f>
        <v/>
      </c>
      <c r="EM28" s="17">
        <f>IFERROR(CW28-DR28,"")</f>
        <v/>
      </c>
      <c r="EN28" s="17">
        <f>IFERROR(CX28-DS28,"")</f>
        <v/>
      </c>
      <c r="EO28" s="17">
        <f>IFERROR(CY28-DT28,"")</f>
        <v/>
      </c>
      <c r="EP28" s="17">
        <f>IFERROR(CZ28-DU28,"")</f>
        <v/>
      </c>
      <c r="EQ28" s="17">
        <f>IFERROR(DA28-DV28,"")</f>
        <v/>
      </c>
      <c r="ER28" s="17">
        <f>IFERROR(DB28-DW28,"")</f>
        <v/>
      </c>
      <c r="ES28" s="17">
        <f>IFERROR(DC28-DX28,"")</f>
        <v/>
      </c>
      <c r="EU28" s="16" t="n"/>
      <c r="EV28" s="16" t="n"/>
      <c r="EW28" s="16" t="n"/>
      <c r="EX28" s="16" t="n"/>
      <c r="EY28" s="16" t="n"/>
      <c r="EZ28" s="16" t="n"/>
      <c r="FA28" s="16" t="n"/>
      <c r="FB28" s="16" t="n"/>
      <c r="FC28" s="16" t="n"/>
      <c r="FD28" s="16" t="n"/>
      <c r="FE28" s="16" t="n"/>
      <c r="FF28" s="16" t="n"/>
      <c r="FG28" s="16" t="n"/>
      <c r="FH28" s="16" t="n"/>
      <c r="FI28" s="16" t="n"/>
      <c r="FJ28" s="16" t="n"/>
      <c r="FK28" s="16" t="n"/>
      <c r="FL28" s="16" t="n"/>
      <c r="FM28" s="16" t="n"/>
      <c r="FN28" s="16" t="n"/>
    </row>
    <row r="29">
      <c r="B29" s="15" t="n">
        <v>21</v>
      </c>
      <c r="C29" s="15" t="inlineStr">
        <is>
          <t>Tue</t>
        </is>
      </c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  <c r="AP29" s="16" t="n"/>
      <c r="AQ29" s="16" t="n"/>
      <c r="AR29" s="16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O29" s="16" t="n"/>
      <c r="BP29" s="16" t="n"/>
      <c r="BQ29" s="16" t="n"/>
      <c r="BR29" s="16" t="n"/>
      <c r="BS29" s="16" t="n"/>
      <c r="BT29" s="16" t="n"/>
      <c r="BU29" s="16" t="n"/>
      <c r="BV29" s="16" t="n"/>
      <c r="BW29" s="16" t="n"/>
      <c r="BX29" s="16" t="n"/>
      <c r="BY29" s="16" t="n"/>
      <c r="BZ29" s="16" t="n"/>
      <c r="CA29" s="16" t="n"/>
      <c r="CB29" s="16" t="n"/>
      <c r="CC29" s="16" t="n"/>
      <c r="CD29" s="16" t="n"/>
      <c r="CE29" s="16" t="n"/>
      <c r="CF29" s="16" t="n"/>
      <c r="CG29" s="16" t="n"/>
      <c r="CH29" s="16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Z29" s="17">
        <f>IFERROR(CJ29-DE29,"")</f>
        <v/>
      </c>
      <c r="EA29" s="17">
        <f>IFERROR(CK29-DF29,"")</f>
        <v/>
      </c>
      <c r="EB29" s="17">
        <f>IFERROR(CL29-DG29,"")</f>
        <v/>
      </c>
      <c r="EC29" s="17">
        <f>IFERROR(CM29-DH29,"")</f>
        <v/>
      </c>
      <c r="ED29" s="17">
        <f>IFERROR(CN29-DI29,"")</f>
        <v/>
      </c>
      <c r="EE29" s="17">
        <f>IFERROR(CO29-DJ29,"")</f>
        <v/>
      </c>
      <c r="EF29" s="17">
        <f>IFERROR(CP29-DK29,"")</f>
        <v/>
      </c>
      <c r="EG29" s="17">
        <f>IFERROR(CQ29-DL29,"")</f>
        <v/>
      </c>
      <c r="EH29" s="17">
        <f>IFERROR(CR29-DM29,"")</f>
        <v/>
      </c>
      <c r="EI29" s="17">
        <f>IFERROR(CS29-DN29,"")</f>
        <v/>
      </c>
      <c r="EJ29" s="17">
        <f>IFERROR(CT29-DO29,"")</f>
        <v/>
      </c>
      <c r="EK29" s="17">
        <f>IFERROR(CU29-DP29,"")</f>
        <v/>
      </c>
      <c r="EL29" s="17">
        <f>IFERROR(CV29-DQ29,"")</f>
        <v/>
      </c>
      <c r="EM29" s="17">
        <f>IFERROR(CW29-DR29,"")</f>
        <v/>
      </c>
      <c r="EN29" s="17">
        <f>IFERROR(CX29-DS29,"")</f>
        <v/>
      </c>
      <c r="EO29" s="17">
        <f>IFERROR(CY29-DT29,"")</f>
        <v/>
      </c>
      <c r="EP29" s="17">
        <f>IFERROR(CZ29-DU29,"")</f>
        <v/>
      </c>
      <c r="EQ29" s="17">
        <f>IFERROR(DA29-DV29,"")</f>
        <v/>
      </c>
      <c r="ER29" s="17">
        <f>IFERROR(DB29-DW29,"")</f>
        <v/>
      </c>
      <c r="ES29" s="17">
        <f>IFERROR(DC29-DX29,"")</f>
        <v/>
      </c>
      <c r="EU29" s="16" t="n"/>
      <c r="EV29" s="16" t="n"/>
      <c r="EW29" s="16" t="n"/>
      <c r="EX29" s="16" t="n"/>
      <c r="EY29" s="16" t="n"/>
      <c r="EZ29" s="16" t="n"/>
      <c r="FA29" s="16" t="n"/>
      <c r="FB29" s="16" t="n"/>
      <c r="FC29" s="16" t="n"/>
      <c r="FD29" s="16" t="n"/>
      <c r="FE29" s="16" t="n"/>
      <c r="FF29" s="16" t="n"/>
      <c r="FG29" s="16" t="n"/>
      <c r="FH29" s="16" t="n"/>
      <c r="FI29" s="16" t="n"/>
      <c r="FJ29" s="16" t="n"/>
      <c r="FK29" s="16" t="n"/>
      <c r="FL29" s="16" t="n"/>
      <c r="FM29" s="16" t="n"/>
      <c r="FN29" s="16" t="n"/>
    </row>
    <row r="30">
      <c r="B30" s="15" t="n">
        <v>22</v>
      </c>
      <c r="C30" s="15" t="inlineStr">
        <is>
          <t>Wed</t>
        </is>
      </c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O30" s="16" t="n"/>
      <c r="BP30" s="16" t="n"/>
      <c r="BQ30" s="16" t="n"/>
      <c r="BR30" s="16" t="n"/>
      <c r="BS30" s="16" t="n"/>
      <c r="BT30" s="16" t="n"/>
      <c r="BU30" s="16" t="n"/>
      <c r="BV30" s="16" t="n"/>
      <c r="BW30" s="16" t="n"/>
      <c r="BX30" s="16" t="n"/>
      <c r="BY30" s="16" t="n"/>
      <c r="BZ30" s="16" t="n"/>
      <c r="CA30" s="16" t="n"/>
      <c r="CB30" s="16" t="n"/>
      <c r="CC30" s="16" t="n"/>
      <c r="CD30" s="16" t="n"/>
      <c r="CE30" s="16" t="n"/>
      <c r="CF30" s="16" t="n"/>
      <c r="CG30" s="16" t="n"/>
      <c r="CH30" s="16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Z30" s="17">
        <f>IFERROR(CJ30-DE30,"")</f>
        <v/>
      </c>
      <c r="EA30" s="17">
        <f>IFERROR(CK30-DF30,"")</f>
        <v/>
      </c>
      <c r="EB30" s="17">
        <f>IFERROR(CL30-DG30,"")</f>
        <v/>
      </c>
      <c r="EC30" s="17">
        <f>IFERROR(CM30-DH30,"")</f>
        <v/>
      </c>
      <c r="ED30" s="17">
        <f>IFERROR(CN30-DI30,"")</f>
        <v/>
      </c>
      <c r="EE30" s="17">
        <f>IFERROR(CO30-DJ30,"")</f>
        <v/>
      </c>
      <c r="EF30" s="17">
        <f>IFERROR(CP30-DK30,"")</f>
        <v/>
      </c>
      <c r="EG30" s="17">
        <f>IFERROR(CQ30-DL30,"")</f>
        <v/>
      </c>
      <c r="EH30" s="17">
        <f>IFERROR(CR30-DM30,"")</f>
        <v/>
      </c>
      <c r="EI30" s="17">
        <f>IFERROR(CS30-DN30,"")</f>
        <v/>
      </c>
      <c r="EJ30" s="17">
        <f>IFERROR(CT30-DO30,"")</f>
        <v/>
      </c>
      <c r="EK30" s="17">
        <f>IFERROR(CU30-DP30,"")</f>
        <v/>
      </c>
      <c r="EL30" s="17">
        <f>IFERROR(CV30-DQ30,"")</f>
        <v/>
      </c>
      <c r="EM30" s="17">
        <f>IFERROR(CW30-DR30,"")</f>
        <v/>
      </c>
      <c r="EN30" s="17">
        <f>IFERROR(CX30-DS30,"")</f>
        <v/>
      </c>
      <c r="EO30" s="17">
        <f>IFERROR(CY30-DT30,"")</f>
        <v/>
      </c>
      <c r="EP30" s="17">
        <f>IFERROR(CZ30-DU30,"")</f>
        <v/>
      </c>
      <c r="EQ30" s="17">
        <f>IFERROR(DA30-DV30,"")</f>
        <v/>
      </c>
      <c r="ER30" s="17">
        <f>IFERROR(DB30-DW30,"")</f>
        <v/>
      </c>
      <c r="ES30" s="17">
        <f>IFERROR(DC30-DX30,"")</f>
        <v/>
      </c>
      <c r="EU30" s="16" t="n"/>
      <c r="EV30" s="16" t="n"/>
      <c r="EW30" s="16" t="n"/>
      <c r="EX30" s="16" t="n"/>
      <c r="EY30" s="16" t="n"/>
      <c r="EZ30" s="16" t="n"/>
      <c r="FA30" s="16" t="n"/>
      <c r="FB30" s="16" t="n"/>
      <c r="FC30" s="16" t="n"/>
      <c r="FD30" s="16" t="n"/>
      <c r="FE30" s="16" t="n"/>
      <c r="FF30" s="16" t="n"/>
      <c r="FG30" s="16" t="n"/>
      <c r="FH30" s="16" t="n"/>
      <c r="FI30" s="16" t="n"/>
      <c r="FJ30" s="16" t="n"/>
      <c r="FK30" s="16" t="n"/>
      <c r="FL30" s="16" t="n"/>
      <c r="FM30" s="16" t="n"/>
      <c r="FN30" s="16" t="n"/>
    </row>
    <row r="31">
      <c r="B31" s="15" t="n">
        <v>23</v>
      </c>
      <c r="C31" s="15" t="inlineStr">
        <is>
          <t>Thu</t>
        </is>
      </c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  <c r="AP31" s="16" t="n"/>
      <c r="AQ31" s="16" t="n"/>
      <c r="AR31" s="16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O31" s="16" t="n"/>
      <c r="BP31" s="16" t="n"/>
      <c r="BQ31" s="16" t="n"/>
      <c r="BR31" s="16" t="n"/>
      <c r="BS31" s="16" t="n"/>
      <c r="BT31" s="16" t="n"/>
      <c r="BU31" s="16" t="n"/>
      <c r="BV31" s="16" t="n"/>
      <c r="BW31" s="16" t="n"/>
      <c r="BX31" s="16" t="n"/>
      <c r="BY31" s="16" t="n"/>
      <c r="BZ31" s="16" t="n"/>
      <c r="CA31" s="16" t="n"/>
      <c r="CB31" s="16" t="n"/>
      <c r="CC31" s="16" t="n"/>
      <c r="CD31" s="16" t="n"/>
      <c r="CE31" s="16" t="n"/>
      <c r="CF31" s="16" t="n"/>
      <c r="CG31" s="16" t="n"/>
      <c r="CH31" s="16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Z31" s="17">
        <f>IFERROR(CJ31-DE31,"")</f>
        <v/>
      </c>
      <c r="EA31" s="17">
        <f>IFERROR(CK31-DF31,"")</f>
        <v/>
      </c>
      <c r="EB31" s="17">
        <f>IFERROR(CL31-DG31,"")</f>
        <v/>
      </c>
      <c r="EC31" s="17">
        <f>IFERROR(CM31-DH31,"")</f>
        <v/>
      </c>
      <c r="ED31" s="17">
        <f>IFERROR(CN31-DI31,"")</f>
        <v/>
      </c>
      <c r="EE31" s="17">
        <f>IFERROR(CO31-DJ31,"")</f>
        <v/>
      </c>
      <c r="EF31" s="17">
        <f>IFERROR(CP31-DK31,"")</f>
        <v/>
      </c>
      <c r="EG31" s="17">
        <f>IFERROR(CQ31-DL31,"")</f>
        <v/>
      </c>
      <c r="EH31" s="17">
        <f>IFERROR(CR31-DM31,"")</f>
        <v/>
      </c>
      <c r="EI31" s="17">
        <f>IFERROR(CS31-DN31,"")</f>
        <v/>
      </c>
      <c r="EJ31" s="17">
        <f>IFERROR(CT31-DO31,"")</f>
        <v/>
      </c>
      <c r="EK31" s="17">
        <f>IFERROR(CU31-DP31,"")</f>
        <v/>
      </c>
      <c r="EL31" s="17">
        <f>IFERROR(CV31-DQ31,"")</f>
        <v/>
      </c>
      <c r="EM31" s="17">
        <f>IFERROR(CW31-DR31,"")</f>
        <v/>
      </c>
      <c r="EN31" s="17">
        <f>IFERROR(CX31-DS31,"")</f>
        <v/>
      </c>
      <c r="EO31" s="17">
        <f>IFERROR(CY31-DT31,"")</f>
        <v/>
      </c>
      <c r="EP31" s="17">
        <f>IFERROR(CZ31-DU31,"")</f>
        <v/>
      </c>
      <c r="EQ31" s="17">
        <f>IFERROR(DA31-DV31,"")</f>
        <v/>
      </c>
      <c r="ER31" s="17">
        <f>IFERROR(DB31-DW31,"")</f>
        <v/>
      </c>
      <c r="ES31" s="17">
        <f>IFERROR(DC31-DX31,"")</f>
        <v/>
      </c>
      <c r="EU31" s="16" t="n"/>
      <c r="EV31" s="16" t="n"/>
      <c r="EW31" s="16" t="n"/>
      <c r="EX31" s="16" t="n"/>
      <c r="EY31" s="16" t="n"/>
      <c r="EZ31" s="16" t="n"/>
      <c r="FA31" s="16" t="n"/>
      <c r="FB31" s="16" t="n"/>
      <c r="FC31" s="16" t="n"/>
      <c r="FD31" s="16" t="n"/>
      <c r="FE31" s="16" t="n"/>
      <c r="FF31" s="16" t="n"/>
      <c r="FG31" s="16" t="n"/>
      <c r="FH31" s="16" t="n"/>
      <c r="FI31" s="16" t="n"/>
      <c r="FJ31" s="16" t="n"/>
      <c r="FK31" s="16" t="n"/>
      <c r="FL31" s="16" t="n"/>
      <c r="FM31" s="16" t="n"/>
      <c r="FN31" s="16" t="n"/>
    </row>
    <row r="32">
      <c r="B32" s="15" t="n">
        <v>24</v>
      </c>
      <c r="C32" s="15" t="inlineStr">
        <is>
          <t>Fri</t>
        </is>
      </c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O32" s="16" t="n"/>
      <c r="BP32" s="16" t="n"/>
      <c r="BQ32" s="16" t="n"/>
      <c r="BR32" s="16" t="n"/>
      <c r="BS32" s="16" t="n"/>
      <c r="BT32" s="16" t="n"/>
      <c r="BU32" s="16" t="n"/>
      <c r="BV32" s="16" t="n"/>
      <c r="BW32" s="16" t="n"/>
      <c r="BX32" s="16" t="n"/>
      <c r="BY32" s="16" t="n"/>
      <c r="BZ32" s="16" t="n"/>
      <c r="CA32" s="16" t="n"/>
      <c r="CB32" s="16" t="n"/>
      <c r="CC32" s="16" t="n"/>
      <c r="CD32" s="16" t="n"/>
      <c r="CE32" s="16" t="n"/>
      <c r="CF32" s="16" t="n"/>
      <c r="CG32" s="16" t="n"/>
      <c r="CH32" s="16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Z32" s="17">
        <f>IFERROR(CJ32-DE32,"")</f>
        <v/>
      </c>
      <c r="EA32" s="17">
        <f>IFERROR(CK32-DF32,"")</f>
        <v/>
      </c>
      <c r="EB32" s="17">
        <f>IFERROR(CL32-DG32,"")</f>
        <v/>
      </c>
      <c r="EC32" s="17">
        <f>IFERROR(CM32-DH32,"")</f>
        <v/>
      </c>
      <c r="ED32" s="17">
        <f>IFERROR(CN32-DI32,"")</f>
        <v/>
      </c>
      <c r="EE32" s="17">
        <f>IFERROR(CO32-DJ32,"")</f>
        <v/>
      </c>
      <c r="EF32" s="17">
        <f>IFERROR(CP32-DK32,"")</f>
        <v/>
      </c>
      <c r="EG32" s="17">
        <f>IFERROR(CQ32-DL32,"")</f>
        <v/>
      </c>
      <c r="EH32" s="17">
        <f>IFERROR(CR32-DM32,"")</f>
        <v/>
      </c>
      <c r="EI32" s="17">
        <f>IFERROR(CS32-DN32,"")</f>
        <v/>
      </c>
      <c r="EJ32" s="17">
        <f>IFERROR(CT32-DO32,"")</f>
        <v/>
      </c>
      <c r="EK32" s="17">
        <f>IFERROR(CU32-DP32,"")</f>
        <v/>
      </c>
      <c r="EL32" s="17">
        <f>IFERROR(CV32-DQ32,"")</f>
        <v/>
      </c>
      <c r="EM32" s="17">
        <f>IFERROR(CW32-DR32,"")</f>
        <v/>
      </c>
      <c r="EN32" s="17">
        <f>IFERROR(CX32-DS32,"")</f>
        <v/>
      </c>
      <c r="EO32" s="17">
        <f>IFERROR(CY32-DT32,"")</f>
        <v/>
      </c>
      <c r="EP32" s="17">
        <f>IFERROR(CZ32-DU32,"")</f>
        <v/>
      </c>
      <c r="EQ32" s="17">
        <f>IFERROR(DA32-DV32,"")</f>
        <v/>
      </c>
      <c r="ER32" s="17">
        <f>IFERROR(DB32-DW32,"")</f>
        <v/>
      </c>
      <c r="ES32" s="17">
        <f>IFERROR(DC32-DX32,"")</f>
        <v/>
      </c>
      <c r="EU32" s="16" t="n"/>
      <c r="EV32" s="16" t="n"/>
      <c r="EW32" s="16" t="n"/>
      <c r="EX32" s="16" t="n"/>
      <c r="EY32" s="16" t="n"/>
      <c r="EZ32" s="16" t="n"/>
      <c r="FA32" s="16" t="n"/>
      <c r="FB32" s="16" t="n"/>
      <c r="FC32" s="16" t="n"/>
      <c r="FD32" s="16" t="n"/>
      <c r="FE32" s="16" t="n"/>
      <c r="FF32" s="16" t="n"/>
      <c r="FG32" s="16" t="n"/>
      <c r="FH32" s="16" t="n"/>
      <c r="FI32" s="16" t="n"/>
      <c r="FJ32" s="16" t="n"/>
      <c r="FK32" s="16" t="n"/>
      <c r="FL32" s="16" t="n"/>
      <c r="FM32" s="16" t="n"/>
      <c r="FN32" s="16" t="n"/>
    </row>
    <row r="33">
      <c r="B33" s="15" t="n">
        <v>25</v>
      </c>
      <c r="C33" s="15" t="inlineStr">
        <is>
          <t>Sat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O33" s="16" t="n"/>
      <c r="BP33" s="16" t="n"/>
      <c r="BQ33" s="16" t="n"/>
      <c r="BR33" s="16" t="n"/>
      <c r="BS33" s="16" t="n"/>
      <c r="BT33" s="16" t="n"/>
      <c r="BU33" s="16" t="n"/>
      <c r="BV33" s="16" t="n"/>
      <c r="BW33" s="16" t="n"/>
      <c r="BX33" s="16" t="n"/>
      <c r="BY33" s="16" t="n"/>
      <c r="BZ33" s="16" t="n"/>
      <c r="CA33" s="16" t="n"/>
      <c r="CB33" s="16" t="n"/>
      <c r="CC33" s="16" t="n"/>
      <c r="CD33" s="16" t="n"/>
      <c r="CE33" s="16" t="n"/>
      <c r="CF33" s="16" t="n"/>
      <c r="CG33" s="16" t="n"/>
      <c r="CH33" s="16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Z33" s="17">
        <f>IFERROR(CJ33-DE33,"")</f>
        <v/>
      </c>
      <c r="EA33" s="17">
        <f>IFERROR(CK33-DF33,"")</f>
        <v/>
      </c>
      <c r="EB33" s="17">
        <f>IFERROR(CL33-DG33,"")</f>
        <v/>
      </c>
      <c r="EC33" s="17">
        <f>IFERROR(CM33-DH33,"")</f>
        <v/>
      </c>
      <c r="ED33" s="17">
        <f>IFERROR(CN33-DI33,"")</f>
        <v/>
      </c>
      <c r="EE33" s="17">
        <f>IFERROR(CO33-DJ33,"")</f>
        <v/>
      </c>
      <c r="EF33" s="17">
        <f>IFERROR(CP33-DK33,"")</f>
        <v/>
      </c>
      <c r="EG33" s="17">
        <f>IFERROR(CQ33-DL33,"")</f>
        <v/>
      </c>
      <c r="EH33" s="17">
        <f>IFERROR(CR33-DM33,"")</f>
        <v/>
      </c>
      <c r="EI33" s="17">
        <f>IFERROR(CS33-DN33,"")</f>
        <v/>
      </c>
      <c r="EJ33" s="17">
        <f>IFERROR(CT33-DO33,"")</f>
        <v/>
      </c>
      <c r="EK33" s="17">
        <f>IFERROR(CU33-DP33,"")</f>
        <v/>
      </c>
      <c r="EL33" s="17">
        <f>IFERROR(CV33-DQ33,"")</f>
        <v/>
      </c>
      <c r="EM33" s="17">
        <f>IFERROR(CW33-DR33,"")</f>
        <v/>
      </c>
      <c r="EN33" s="17">
        <f>IFERROR(CX33-DS33,"")</f>
        <v/>
      </c>
      <c r="EO33" s="17">
        <f>IFERROR(CY33-DT33,"")</f>
        <v/>
      </c>
      <c r="EP33" s="17">
        <f>IFERROR(CZ33-DU33,"")</f>
        <v/>
      </c>
      <c r="EQ33" s="17">
        <f>IFERROR(DA33-DV33,"")</f>
        <v/>
      </c>
      <c r="ER33" s="17">
        <f>IFERROR(DB33-DW33,"")</f>
        <v/>
      </c>
      <c r="ES33" s="17">
        <f>IFERROR(DC33-DX33,"")</f>
        <v/>
      </c>
      <c r="EU33" s="16" t="n"/>
      <c r="EV33" s="16" t="n"/>
      <c r="EW33" s="16" t="n"/>
      <c r="EX33" s="16" t="n"/>
      <c r="EY33" s="16" t="n"/>
      <c r="EZ33" s="16" t="n"/>
      <c r="FA33" s="16" t="n"/>
      <c r="FB33" s="16" t="n"/>
      <c r="FC33" s="16" t="n"/>
      <c r="FD33" s="16" t="n"/>
      <c r="FE33" s="16" t="n"/>
      <c r="FF33" s="16" t="n"/>
      <c r="FG33" s="16" t="n"/>
      <c r="FH33" s="16" t="n"/>
      <c r="FI33" s="16" t="n"/>
      <c r="FJ33" s="16" t="n"/>
      <c r="FK33" s="16" t="n"/>
      <c r="FL33" s="16" t="n"/>
      <c r="FM33" s="16" t="n"/>
      <c r="FN33" s="16" t="n"/>
    </row>
    <row r="34">
      <c r="B34" s="15" t="n">
        <v>26</v>
      </c>
      <c r="C34" s="15" t="inlineStr">
        <is>
          <t>Sun</t>
        </is>
      </c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O34" s="16" t="n"/>
      <c r="BP34" s="16" t="n"/>
      <c r="BQ34" s="16" t="n"/>
      <c r="BR34" s="16" t="n"/>
      <c r="BS34" s="16" t="n"/>
      <c r="BT34" s="16" t="n"/>
      <c r="BU34" s="16" t="n"/>
      <c r="BV34" s="16" t="n"/>
      <c r="BW34" s="16" t="n"/>
      <c r="BX34" s="16" t="n"/>
      <c r="BY34" s="16" t="n"/>
      <c r="BZ34" s="16" t="n"/>
      <c r="CA34" s="16" t="n"/>
      <c r="CB34" s="16" t="n"/>
      <c r="CC34" s="16" t="n"/>
      <c r="CD34" s="16" t="n"/>
      <c r="CE34" s="16" t="n"/>
      <c r="CF34" s="16" t="n"/>
      <c r="CG34" s="16" t="n"/>
      <c r="CH34" s="16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Z34" s="17">
        <f>IFERROR(CJ34-DE34,"")</f>
        <v/>
      </c>
      <c r="EA34" s="17">
        <f>IFERROR(CK34-DF34,"")</f>
        <v/>
      </c>
      <c r="EB34" s="17">
        <f>IFERROR(CL34-DG34,"")</f>
        <v/>
      </c>
      <c r="EC34" s="17">
        <f>IFERROR(CM34-DH34,"")</f>
        <v/>
      </c>
      <c r="ED34" s="17">
        <f>IFERROR(CN34-DI34,"")</f>
        <v/>
      </c>
      <c r="EE34" s="17">
        <f>IFERROR(CO34-DJ34,"")</f>
        <v/>
      </c>
      <c r="EF34" s="17">
        <f>IFERROR(CP34-DK34,"")</f>
        <v/>
      </c>
      <c r="EG34" s="17">
        <f>IFERROR(CQ34-DL34,"")</f>
        <v/>
      </c>
      <c r="EH34" s="17">
        <f>IFERROR(CR34-DM34,"")</f>
        <v/>
      </c>
      <c r="EI34" s="17">
        <f>IFERROR(CS34-DN34,"")</f>
        <v/>
      </c>
      <c r="EJ34" s="17">
        <f>IFERROR(CT34-DO34,"")</f>
        <v/>
      </c>
      <c r="EK34" s="17">
        <f>IFERROR(CU34-DP34,"")</f>
        <v/>
      </c>
      <c r="EL34" s="17">
        <f>IFERROR(CV34-DQ34,"")</f>
        <v/>
      </c>
      <c r="EM34" s="17">
        <f>IFERROR(CW34-DR34,"")</f>
        <v/>
      </c>
      <c r="EN34" s="17">
        <f>IFERROR(CX34-DS34,"")</f>
        <v/>
      </c>
      <c r="EO34" s="17">
        <f>IFERROR(CY34-DT34,"")</f>
        <v/>
      </c>
      <c r="EP34" s="17">
        <f>IFERROR(CZ34-DU34,"")</f>
        <v/>
      </c>
      <c r="EQ34" s="17">
        <f>IFERROR(DA34-DV34,"")</f>
        <v/>
      </c>
      <c r="ER34" s="17">
        <f>IFERROR(DB34-DW34,"")</f>
        <v/>
      </c>
      <c r="ES34" s="17">
        <f>IFERROR(DC34-DX34,"")</f>
        <v/>
      </c>
      <c r="EU34" s="16" t="n"/>
      <c r="EV34" s="16" t="n"/>
      <c r="EW34" s="16" t="n"/>
      <c r="EX34" s="16" t="n"/>
      <c r="EY34" s="16" t="n"/>
      <c r="EZ34" s="16" t="n"/>
      <c r="FA34" s="16" t="n"/>
      <c r="FB34" s="16" t="n"/>
      <c r="FC34" s="16" t="n"/>
      <c r="FD34" s="16" t="n"/>
      <c r="FE34" s="16" t="n"/>
      <c r="FF34" s="16" t="n"/>
      <c r="FG34" s="16" t="n"/>
      <c r="FH34" s="16" t="n"/>
      <c r="FI34" s="16" t="n"/>
      <c r="FJ34" s="16" t="n"/>
      <c r="FK34" s="16" t="n"/>
      <c r="FL34" s="16" t="n"/>
      <c r="FM34" s="16" t="n"/>
      <c r="FN34" s="16" t="n"/>
    </row>
    <row r="35">
      <c r="B35" s="15" t="n">
        <v>27</v>
      </c>
      <c r="C35" s="15" t="inlineStr">
        <is>
          <t>Mon</t>
        </is>
      </c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16" t="n"/>
      <c r="AR35" s="16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O35" s="16" t="n"/>
      <c r="BP35" s="16" t="n"/>
      <c r="BQ35" s="16" t="n"/>
      <c r="BR35" s="16" t="n"/>
      <c r="BS35" s="16" t="n"/>
      <c r="BT35" s="16" t="n"/>
      <c r="BU35" s="16" t="n"/>
      <c r="BV35" s="16" t="n"/>
      <c r="BW35" s="16" t="n"/>
      <c r="BX35" s="16" t="n"/>
      <c r="BY35" s="16" t="n"/>
      <c r="BZ35" s="16" t="n"/>
      <c r="CA35" s="16" t="n"/>
      <c r="CB35" s="16" t="n"/>
      <c r="CC35" s="16" t="n"/>
      <c r="CD35" s="16" t="n"/>
      <c r="CE35" s="16" t="n"/>
      <c r="CF35" s="16" t="n"/>
      <c r="CG35" s="16" t="n"/>
      <c r="CH35" s="16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Z35" s="17">
        <f>IFERROR(CJ35-DE35,"")</f>
        <v/>
      </c>
      <c r="EA35" s="17">
        <f>IFERROR(CK35-DF35,"")</f>
        <v/>
      </c>
      <c r="EB35" s="17">
        <f>IFERROR(CL35-DG35,"")</f>
        <v/>
      </c>
      <c r="EC35" s="17">
        <f>IFERROR(CM35-DH35,"")</f>
        <v/>
      </c>
      <c r="ED35" s="17">
        <f>IFERROR(CN35-DI35,"")</f>
        <v/>
      </c>
      <c r="EE35" s="17">
        <f>IFERROR(CO35-DJ35,"")</f>
        <v/>
      </c>
      <c r="EF35" s="17">
        <f>IFERROR(CP35-DK35,"")</f>
        <v/>
      </c>
      <c r="EG35" s="17">
        <f>IFERROR(CQ35-DL35,"")</f>
        <v/>
      </c>
      <c r="EH35" s="17">
        <f>IFERROR(CR35-DM35,"")</f>
        <v/>
      </c>
      <c r="EI35" s="17">
        <f>IFERROR(CS35-DN35,"")</f>
        <v/>
      </c>
      <c r="EJ35" s="17">
        <f>IFERROR(CT35-DO35,"")</f>
        <v/>
      </c>
      <c r="EK35" s="17">
        <f>IFERROR(CU35-DP35,"")</f>
        <v/>
      </c>
      <c r="EL35" s="17">
        <f>IFERROR(CV35-DQ35,"")</f>
        <v/>
      </c>
      <c r="EM35" s="17">
        <f>IFERROR(CW35-DR35,"")</f>
        <v/>
      </c>
      <c r="EN35" s="17">
        <f>IFERROR(CX35-DS35,"")</f>
        <v/>
      </c>
      <c r="EO35" s="17">
        <f>IFERROR(CY35-DT35,"")</f>
        <v/>
      </c>
      <c r="EP35" s="17">
        <f>IFERROR(CZ35-DU35,"")</f>
        <v/>
      </c>
      <c r="EQ35" s="17">
        <f>IFERROR(DA35-DV35,"")</f>
        <v/>
      </c>
      <c r="ER35" s="17">
        <f>IFERROR(DB35-DW35,"")</f>
        <v/>
      </c>
      <c r="ES35" s="17">
        <f>IFERROR(DC35-DX35,"")</f>
        <v/>
      </c>
      <c r="EU35" s="16" t="n"/>
      <c r="EV35" s="16" t="n"/>
      <c r="EW35" s="16" t="n"/>
      <c r="EX35" s="16" t="n"/>
      <c r="EY35" s="16" t="n"/>
      <c r="EZ35" s="16" t="n"/>
      <c r="FA35" s="16" t="n"/>
      <c r="FB35" s="16" t="n"/>
      <c r="FC35" s="16" t="n"/>
      <c r="FD35" s="16" t="n"/>
      <c r="FE35" s="16" t="n"/>
      <c r="FF35" s="16" t="n"/>
      <c r="FG35" s="16" t="n"/>
      <c r="FH35" s="16" t="n"/>
      <c r="FI35" s="16" t="n"/>
      <c r="FJ35" s="16" t="n"/>
      <c r="FK35" s="16" t="n"/>
      <c r="FL35" s="16" t="n"/>
      <c r="FM35" s="16" t="n"/>
      <c r="FN35" s="16" t="n"/>
    </row>
    <row r="36">
      <c r="B36" s="15" t="n">
        <v>28</v>
      </c>
      <c r="C36" s="15" t="inlineStr">
        <is>
          <t>Tue</t>
        </is>
      </c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  <c r="AP36" s="16" t="n"/>
      <c r="AQ36" s="16" t="n"/>
      <c r="AR36" s="16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O36" s="16" t="n"/>
      <c r="BP36" s="16" t="n"/>
      <c r="BQ36" s="16" t="n"/>
      <c r="BR36" s="16" t="n"/>
      <c r="BS36" s="16" t="n"/>
      <c r="BT36" s="16" t="n"/>
      <c r="BU36" s="16" t="n"/>
      <c r="BV36" s="16" t="n"/>
      <c r="BW36" s="16" t="n"/>
      <c r="BX36" s="16" t="n"/>
      <c r="BY36" s="16" t="n"/>
      <c r="BZ36" s="16" t="n"/>
      <c r="CA36" s="16" t="n"/>
      <c r="CB36" s="16" t="n"/>
      <c r="CC36" s="16" t="n"/>
      <c r="CD36" s="16" t="n"/>
      <c r="CE36" s="16" t="n"/>
      <c r="CF36" s="16" t="n"/>
      <c r="CG36" s="16" t="n"/>
      <c r="CH36" s="16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Z36" s="17">
        <f>IFERROR(CJ36-DE36,"")</f>
        <v/>
      </c>
      <c r="EA36" s="17">
        <f>IFERROR(CK36-DF36,"")</f>
        <v/>
      </c>
      <c r="EB36" s="17">
        <f>IFERROR(CL36-DG36,"")</f>
        <v/>
      </c>
      <c r="EC36" s="17">
        <f>IFERROR(CM36-DH36,"")</f>
        <v/>
      </c>
      <c r="ED36" s="17">
        <f>IFERROR(CN36-DI36,"")</f>
        <v/>
      </c>
      <c r="EE36" s="17">
        <f>IFERROR(CO36-DJ36,"")</f>
        <v/>
      </c>
      <c r="EF36" s="17">
        <f>IFERROR(CP36-DK36,"")</f>
        <v/>
      </c>
      <c r="EG36" s="17">
        <f>IFERROR(CQ36-DL36,"")</f>
        <v/>
      </c>
      <c r="EH36" s="17">
        <f>IFERROR(CR36-DM36,"")</f>
        <v/>
      </c>
      <c r="EI36" s="17">
        <f>IFERROR(CS36-DN36,"")</f>
        <v/>
      </c>
      <c r="EJ36" s="17">
        <f>IFERROR(CT36-DO36,"")</f>
        <v/>
      </c>
      <c r="EK36" s="17">
        <f>IFERROR(CU36-DP36,"")</f>
        <v/>
      </c>
      <c r="EL36" s="17">
        <f>IFERROR(CV36-DQ36,"")</f>
        <v/>
      </c>
      <c r="EM36" s="17">
        <f>IFERROR(CW36-DR36,"")</f>
        <v/>
      </c>
      <c r="EN36" s="17">
        <f>IFERROR(CX36-DS36,"")</f>
        <v/>
      </c>
      <c r="EO36" s="17">
        <f>IFERROR(CY36-DT36,"")</f>
        <v/>
      </c>
      <c r="EP36" s="17">
        <f>IFERROR(CZ36-DU36,"")</f>
        <v/>
      </c>
      <c r="EQ36" s="17">
        <f>IFERROR(DA36-DV36,"")</f>
        <v/>
      </c>
      <c r="ER36" s="17">
        <f>IFERROR(DB36-DW36,"")</f>
        <v/>
      </c>
      <c r="ES36" s="17">
        <f>IFERROR(DC36-DX36,"")</f>
        <v/>
      </c>
      <c r="EU36" s="16" t="n"/>
      <c r="EV36" s="16" t="n"/>
      <c r="EW36" s="16" t="n"/>
      <c r="EX36" s="16" t="n"/>
      <c r="EY36" s="16" t="n"/>
      <c r="EZ36" s="16" t="n"/>
      <c r="FA36" s="16" t="n"/>
      <c r="FB36" s="16" t="n"/>
      <c r="FC36" s="16" t="n"/>
      <c r="FD36" s="16" t="n"/>
      <c r="FE36" s="16" t="n"/>
      <c r="FF36" s="16" t="n"/>
      <c r="FG36" s="16" t="n"/>
      <c r="FH36" s="16" t="n"/>
      <c r="FI36" s="16" t="n"/>
      <c r="FJ36" s="16" t="n"/>
      <c r="FK36" s="16" t="n"/>
      <c r="FL36" s="16" t="n"/>
      <c r="FM36" s="16" t="n"/>
      <c r="FN36" s="16" t="n"/>
    </row>
    <row r="37">
      <c r="B37" s="15" t="n">
        <v>29</v>
      </c>
      <c r="C37" s="15" t="inlineStr">
        <is>
          <t>Wed</t>
        </is>
      </c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O37" s="16" t="n"/>
      <c r="BP37" s="16" t="n"/>
      <c r="BQ37" s="16" t="n"/>
      <c r="BR37" s="16" t="n"/>
      <c r="BS37" s="16" t="n"/>
      <c r="BT37" s="16" t="n"/>
      <c r="BU37" s="16" t="n"/>
      <c r="BV37" s="16" t="n"/>
      <c r="BW37" s="16" t="n"/>
      <c r="BX37" s="16" t="n"/>
      <c r="BY37" s="16" t="n"/>
      <c r="BZ37" s="16" t="n"/>
      <c r="CA37" s="16" t="n"/>
      <c r="CB37" s="16" t="n"/>
      <c r="CC37" s="16" t="n"/>
      <c r="CD37" s="16" t="n"/>
      <c r="CE37" s="16" t="n"/>
      <c r="CF37" s="16" t="n"/>
      <c r="CG37" s="16" t="n"/>
      <c r="CH37" s="16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Z37" s="17">
        <f>IFERROR(CJ37-DE37,"")</f>
        <v/>
      </c>
      <c r="EA37" s="17">
        <f>IFERROR(CK37-DF37,"")</f>
        <v/>
      </c>
      <c r="EB37" s="17">
        <f>IFERROR(CL37-DG37,"")</f>
        <v/>
      </c>
      <c r="EC37" s="17">
        <f>IFERROR(CM37-DH37,"")</f>
        <v/>
      </c>
      <c r="ED37" s="17">
        <f>IFERROR(CN37-DI37,"")</f>
        <v/>
      </c>
      <c r="EE37" s="17">
        <f>IFERROR(CO37-DJ37,"")</f>
        <v/>
      </c>
      <c r="EF37" s="17">
        <f>IFERROR(CP37-DK37,"")</f>
        <v/>
      </c>
      <c r="EG37" s="17">
        <f>IFERROR(CQ37-DL37,"")</f>
        <v/>
      </c>
      <c r="EH37" s="17">
        <f>IFERROR(CR37-DM37,"")</f>
        <v/>
      </c>
      <c r="EI37" s="17">
        <f>IFERROR(CS37-DN37,"")</f>
        <v/>
      </c>
      <c r="EJ37" s="17">
        <f>IFERROR(CT37-DO37,"")</f>
        <v/>
      </c>
      <c r="EK37" s="17">
        <f>IFERROR(CU37-DP37,"")</f>
        <v/>
      </c>
      <c r="EL37" s="17">
        <f>IFERROR(CV37-DQ37,"")</f>
        <v/>
      </c>
      <c r="EM37" s="17">
        <f>IFERROR(CW37-DR37,"")</f>
        <v/>
      </c>
      <c r="EN37" s="17">
        <f>IFERROR(CX37-DS37,"")</f>
        <v/>
      </c>
      <c r="EO37" s="17">
        <f>IFERROR(CY37-DT37,"")</f>
        <v/>
      </c>
      <c r="EP37" s="17">
        <f>IFERROR(CZ37-DU37,"")</f>
        <v/>
      </c>
      <c r="EQ37" s="17">
        <f>IFERROR(DA37-DV37,"")</f>
        <v/>
      </c>
      <c r="ER37" s="17">
        <f>IFERROR(DB37-DW37,"")</f>
        <v/>
      </c>
      <c r="ES37" s="17">
        <f>IFERROR(DC37-DX37,"")</f>
        <v/>
      </c>
      <c r="EU37" s="16" t="n"/>
      <c r="EV37" s="16" t="n"/>
      <c r="EW37" s="16" t="n"/>
      <c r="EX37" s="16" t="n"/>
      <c r="EY37" s="16" t="n"/>
      <c r="EZ37" s="16" t="n"/>
      <c r="FA37" s="16" t="n"/>
      <c r="FB37" s="16" t="n"/>
      <c r="FC37" s="16" t="n"/>
      <c r="FD37" s="16" t="n"/>
      <c r="FE37" s="16" t="n"/>
      <c r="FF37" s="16" t="n"/>
      <c r="FG37" s="16" t="n"/>
      <c r="FH37" s="16" t="n"/>
      <c r="FI37" s="16" t="n"/>
      <c r="FJ37" s="16" t="n"/>
      <c r="FK37" s="16" t="n"/>
      <c r="FL37" s="16" t="n"/>
      <c r="FM37" s="16" t="n"/>
      <c r="FN37" s="16" t="n"/>
    </row>
    <row r="38">
      <c r="B38" s="15" t="n">
        <v>30</v>
      </c>
      <c r="C38" s="15" t="inlineStr">
        <is>
          <t>Thu</t>
        </is>
      </c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  <c r="AP38" s="16" t="n"/>
      <c r="AQ38" s="16" t="n"/>
      <c r="AR38" s="16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O38" s="16" t="n"/>
      <c r="BP38" s="16" t="n"/>
      <c r="BQ38" s="16" t="n"/>
      <c r="BR38" s="16" t="n"/>
      <c r="BS38" s="16" t="n"/>
      <c r="BT38" s="16" t="n"/>
      <c r="BU38" s="16" t="n"/>
      <c r="BV38" s="16" t="n"/>
      <c r="BW38" s="16" t="n"/>
      <c r="BX38" s="16" t="n"/>
      <c r="BY38" s="16" t="n"/>
      <c r="BZ38" s="16" t="n"/>
      <c r="CA38" s="16" t="n"/>
      <c r="CB38" s="16" t="n"/>
      <c r="CC38" s="16" t="n"/>
      <c r="CD38" s="16" t="n"/>
      <c r="CE38" s="16" t="n"/>
      <c r="CF38" s="16" t="n"/>
      <c r="CG38" s="16" t="n"/>
      <c r="CH38" s="16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Z38" s="17">
        <f>IFERROR(CJ38-DE38,"")</f>
        <v/>
      </c>
      <c r="EA38" s="17">
        <f>IFERROR(CK38-DF38,"")</f>
        <v/>
      </c>
      <c r="EB38" s="17">
        <f>IFERROR(CL38-DG38,"")</f>
        <v/>
      </c>
      <c r="EC38" s="17">
        <f>IFERROR(CM38-DH38,"")</f>
        <v/>
      </c>
      <c r="ED38" s="17">
        <f>IFERROR(CN38-DI38,"")</f>
        <v/>
      </c>
      <c r="EE38" s="17">
        <f>IFERROR(CO38-DJ38,"")</f>
        <v/>
      </c>
      <c r="EF38" s="17">
        <f>IFERROR(CP38-DK38,"")</f>
        <v/>
      </c>
      <c r="EG38" s="17">
        <f>IFERROR(CQ38-DL38,"")</f>
        <v/>
      </c>
      <c r="EH38" s="17">
        <f>IFERROR(CR38-DM38,"")</f>
        <v/>
      </c>
      <c r="EI38" s="17">
        <f>IFERROR(CS38-DN38,"")</f>
        <v/>
      </c>
      <c r="EJ38" s="17">
        <f>IFERROR(CT38-DO38,"")</f>
        <v/>
      </c>
      <c r="EK38" s="17">
        <f>IFERROR(CU38-DP38,"")</f>
        <v/>
      </c>
      <c r="EL38" s="17">
        <f>IFERROR(CV38-DQ38,"")</f>
        <v/>
      </c>
      <c r="EM38" s="17">
        <f>IFERROR(CW38-DR38,"")</f>
        <v/>
      </c>
      <c r="EN38" s="17">
        <f>IFERROR(CX38-DS38,"")</f>
        <v/>
      </c>
      <c r="EO38" s="17">
        <f>IFERROR(CY38-DT38,"")</f>
        <v/>
      </c>
      <c r="EP38" s="17">
        <f>IFERROR(CZ38-DU38,"")</f>
        <v/>
      </c>
      <c r="EQ38" s="17">
        <f>IFERROR(DA38-DV38,"")</f>
        <v/>
      </c>
      <c r="ER38" s="17">
        <f>IFERROR(DB38-DW38,"")</f>
        <v/>
      </c>
      <c r="ES38" s="17">
        <f>IFERROR(DC38-DX38,"")</f>
        <v/>
      </c>
      <c r="EU38" s="16" t="n"/>
      <c r="EV38" s="16" t="n"/>
      <c r="EW38" s="16" t="n"/>
      <c r="EX38" s="16" t="n"/>
      <c r="EY38" s="16" t="n"/>
      <c r="EZ38" s="16" t="n"/>
      <c r="FA38" s="16" t="n"/>
      <c r="FB38" s="16" t="n"/>
      <c r="FC38" s="16" t="n"/>
      <c r="FD38" s="16" t="n"/>
      <c r="FE38" s="16" t="n"/>
      <c r="FF38" s="16" t="n"/>
      <c r="FG38" s="16" t="n"/>
      <c r="FH38" s="16" t="n"/>
      <c r="FI38" s="16" t="n"/>
      <c r="FJ38" s="16" t="n"/>
      <c r="FK38" s="16" t="n"/>
      <c r="FL38" s="16" t="n"/>
      <c r="FM38" s="16" t="n"/>
      <c r="FN38" s="16" t="n"/>
    </row>
    <row r="39">
      <c r="B39" s="15" t="n">
        <v>31</v>
      </c>
      <c r="C39" s="15" t="inlineStr">
        <is>
          <t>Fri</t>
        </is>
      </c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  <c r="AP39" s="16" t="n"/>
      <c r="AQ39" s="16" t="n"/>
      <c r="AR39" s="16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O39" s="16" t="n"/>
      <c r="BP39" s="16" t="n"/>
      <c r="BQ39" s="16" t="n"/>
      <c r="BR39" s="16" t="n"/>
      <c r="BS39" s="16" t="n"/>
      <c r="BT39" s="16" t="n"/>
      <c r="BU39" s="16" t="n"/>
      <c r="BV39" s="16" t="n"/>
      <c r="BW39" s="16" t="n"/>
      <c r="BX39" s="16" t="n"/>
      <c r="BY39" s="16" t="n"/>
      <c r="BZ39" s="16" t="n"/>
      <c r="CA39" s="16" t="n"/>
      <c r="CB39" s="16" t="n"/>
      <c r="CC39" s="16" t="n"/>
      <c r="CD39" s="16" t="n"/>
      <c r="CE39" s="16" t="n"/>
      <c r="CF39" s="16" t="n"/>
      <c r="CG39" s="16" t="n"/>
      <c r="CH39" s="16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Z39" s="17">
        <f>IFERROR(CJ39-DE39,"")</f>
        <v/>
      </c>
      <c r="EA39" s="17">
        <f>IFERROR(CK39-DF39,"")</f>
        <v/>
      </c>
      <c r="EB39" s="17">
        <f>IFERROR(CL39-DG39,"")</f>
        <v/>
      </c>
      <c r="EC39" s="17">
        <f>IFERROR(CM39-DH39,"")</f>
        <v/>
      </c>
      <c r="ED39" s="17">
        <f>IFERROR(CN39-DI39,"")</f>
        <v/>
      </c>
      <c r="EE39" s="17">
        <f>IFERROR(CO39-DJ39,"")</f>
        <v/>
      </c>
      <c r="EF39" s="17">
        <f>IFERROR(CP39-DK39,"")</f>
        <v/>
      </c>
      <c r="EG39" s="17">
        <f>IFERROR(CQ39-DL39,"")</f>
        <v/>
      </c>
      <c r="EH39" s="17">
        <f>IFERROR(CR39-DM39,"")</f>
        <v/>
      </c>
      <c r="EI39" s="17">
        <f>IFERROR(CS39-DN39,"")</f>
        <v/>
      </c>
      <c r="EJ39" s="17">
        <f>IFERROR(CT39-DO39,"")</f>
        <v/>
      </c>
      <c r="EK39" s="17">
        <f>IFERROR(CU39-DP39,"")</f>
        <v/>
      </c>
      <c r="EL39" s="17">
        <f>IFERROR(CV39-DQ39,"")</f>
        <v/>
      </c>
      <c r="EM39" s="17">
        <f>IFERROR(CW39-DR39,"")</f>
        <v/>
      </c>
      <c r="EN39" s="17">
        <f>IFERROR(CX39-DS39,"")</f>
        <v/>
      </c>
      <c r="EO39" s="17">
        <f>IFERROR(CY39-DT39,"")</f>
        <v/>
      </c>
      <c r="EP39" s="17">
        <f>IFERROR(CZ39-DU39,"")</f>
        <v/>
      </c>
      <c r="EQ39" s="17">
        <f>IFERROR(DA39-DV39,"")</f>
        <v/>
      </c>
      <c r="ER39" s="17">
        <f>IFERROR(DB39-DW39,"")</f>
        <v/>
      </c>
      <c r="ES39" s="17">
        <f>IFERROR(DC39-DX39,"")</f>
        <v/>
      </c>
      <c r="EU39" s="16" t="n"/>
      <c r="EV39" s="16" t="n"/>
      <c r="EW39" s="16" t="n"/>
      <c r="EX39" s="16" t="n"/>
      <c r="EY39" s="16" t="n"/>
      <c r="EZ39" s="16" t="n"/>
      <c r="FA39" s="16" t="n"/>
      <c r="FB39" s="16" t="n"/>
      <c r="FC39" s="16" t="n"/>
      <c r="FD39" s="16" t="n"/>
      <c r="FE39" s="16" t="n"/>
      <c r="FF39" s="16" t="n"/>
      <c r="FG39" s="16" t="n"/>
      <c r="FH39" s="16" t="n"/>
      <c r="FI39" s="16" t="n"/>
      <c r="FJ39" s="16" t="n"/>
      <c r="FK39" s="16" t="n"/>
      <c r="FL39" s="16" t="n"/>
      <c r="FM39" s="16" t="n"/>
      <c r="FN39" s="16" t="n"/>
    </row>
    <row r="40">
      <c r="B40" s="15" t="n">
        <v>32</v>
      </c>
      <c r="C40" s="15" t="inlineStr">
        <is>
          <t>Sat</t>
        </is>
      </c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O40" s="16" t="n"/>
      <c r="BP40" s="16" t="n"/>
      <c r="BQ40" s="16" t="n"/>
      <c r="BR40" s="16" t="n"/>
      <c r="BS40" s="16" t="n"/>
      <c r="BT40" s="16" t="n"/>
      <c r="BU40" s="16" t="n"/>
      <c r="BV40" s="16" t="n"/>
      <c r="BW40" s="16" t="n"/>
      <c r="BX40" s="16" t="n"/>
      <c r="BY40" s="16" t="n"/>
      <c r="BZ40" s="16" t="n"/>
      <c r="CA40" s="16" t="n"/>
      <c r="CB40" s="16" t="n"/>
      <c r="CC40" s="16" t="n"/>
      <c r="CD40" s="16" t="n"/>
      <c r="CE40" s="16" t="n"/>
      <c r="CF40" s="16" t="n"/>
      <c r="CG40" s="16" t="n"/>
      <c r="CH40" s="16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Z40" s="17">
        <f>IFERROR(CJ40-DE40,"")</f>
        <v/>
      </c>
      <c r="EA40" s="17">
        <f>IFERROR(CK40-DF40,"")</f>
        <v/>
      </c>
      <c r="EB40" s="17">
        <f>IFERROR(CL40-DG40,"")</f>
        <v/>
      </c>
      <c r="EC40" s="17">
        <f>IFERROR(CM40-DH40,"")</f>
        <v/>
      </c>
      <c r="ED40" s="17">
        <f>IFERROR(CN40-DI40,"")</f>
        <v/>
      </c>
      <c r="EE40" s="17">
        <f>IFERROR(CO40-DJ40,"")</f>
        <v/>
      </c>
      <c r="EF40" s="17">
        <f>IFERROR(CP40-DK40,"")</f>
        <v/>
      </c>
      <c r="EG40" s="17">
        <f>IFERROR(CQ40-DL40,"")</f>
        <v/>
      </c>
      <c r="EH40" s="17">
        <f>IFERROR(CR40-DM40,"")</f>
        <v/>
      </c>
      <c r="EI40" s="17">
        <f>IFERROR(CS40-DN40,"")</f>
        <v/>
      </c>
      <c r="EJ40" s="17">
        <f>IFERROR(CT40-DO40,"")</f>
        <v/>
      </c>
      <c r="EK40" s="17">
        <f>IFERROR(CU40-DP40,"")</f>
        <v/>
      </c>
      <c r="EL40" s="17">
        <f>IFERROR(CV40-DQ40,"")</f>
        <v/>
      </c>
      <c r="EM40" s="17">
        <f>IFERROR(CW40-DR40,"")</f>
        <v/>
      </c>
      <c r="EN40" s="17">
        <f>IFERROR(CX40-DS40,"")</f>
        <v/>
      </c>
      <c r="EO40" s="17">
        <f>IFERROR(CY40-DT40,"")</f>
        <v/>
      </c>
      <c r="EP40" s="17">
        <f>IFERROR(CZ40-DU40,"")</f>
        <v/>
      </c>
      <c r="EQ40" s="17">
        <f>IFERROR(DA40-DV40,"")</f>
        <v/>
      </c>
      <c r="ER40" s="17">
        <f>IFERROR(DB40-DW40,"")</f>
        <v/>
      </c>
      <c r="ES40" s="17">
        <f>IFERROR(DC40-DX40,"")</f>
        <v/>
      </c>
      <c r="EU40" s="16" t="n"/>
      <c r="EV40" s="16" t="n"/>
      <c r="EW40" s="16" t="n"/>
      <c r="EX40" s="16" t="n"/>
      <c r="EY40" s="16" t="n"/>
      <c r="EZ40" s="16" t="n"/>
      <c r="FA40" s="16" t="n"/>
      <c r="FB40" s="16" t="n"/>
      <c r="FC40" s="16" t="n"/>
      <c r="FD40" s="16" t="n"/>
      <c r="FE40" s="16" t="n"/>
      <c r="FF40" s="16" t="n"/>
      <c r="FG40" s="16" t="n"/>
      <c r="FH40" s="16" t="n"/>
      <c r="FI40" s="16" t="n"/>
      <c r="FJ40" s="16" t="n"/>
      <c r="FK40" s="16" t="n"/>
      <c r="FL40" s="16" t="n"/>
      <c r="FM40" s="16" t="n"/>
      <c r="FN40" s="16" t="n"/>
    </row>
    <row r="41">
      <c r="B41" s="15" t="n">
        <v>33</v>
      </c>
      <c r="C41" s="15" t="inlineStr">
        <is>
          <t>Sun</t>
        </is>
      </c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O41" s="16" t="n"/>
      <c r="BP41" s="16" t="n"/>
      <c r="BQ41" s="16" t="n"/>
      <c r="BR41" s="16" t="n"/>
      <c r="BS41" s="16" t="n"/>
      <c r="BT41" s="16" t="n"/>
      <c r="BU41" s="16" t="n"/>
      <c r="BV41" s="16" t="n"/>
      <c r="BW41" s="16" t="n"/>
      <c r="BX41" s="16" t="n"/>
      <c r="BY41" s="16" t="n"/>
      <c r="BZ41" s="16" t="n"/>
      <c r="CA41" s="16" t="n"/>
      <c r="CB41" s="16" t="n"/>
      <c r="CC41" s="16" t="n"/>
      <c r="CD41" s="16" t="n"/>
      <c r="CE41" s="16" t="n"/>
      <c r="CF41" s="16" t="n"/>
      <c r="CG41" s="16" t="n"/>
      <c r="CH41" s="16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Z41" s="17">
        <f>IFERROR(CJ41-DE41,"")</f>
        <v/>
      </c>
      <c r="EA41" s="17">
        <f>IFERROR(CK41-DF41,"")</f>
        <v/>
      </c>
      <c r="EB41" s="17">
        <f>IFERROR(CL41-DG41,"")</f>
        <v/>
      </c>
      <c r="EC41" s="17">
        <f>IFERROR(CM41-DH41,"")</f>
        <v/>
      </c>
      <c r="ED41" s="17">
        <f>IFERROR(CN41-DI41,"")</f>
        <v/>
      </c>
      <c r="EE41" s="17">
        <f>IFERROR(CO41-DJ41,"")</f>
        <v/>
      </c>
      <c r="EF41" s="17">
        <f>IFERROR(CP41-DK41,"")</f>
        <v/>
      </c>
      <c r="EG41" s="17">
        <f>IFERROR(CQ41-DL41,"")</f>
        <v/>
      </c>
      <c r="EH41" s="17">
        <f>IFERROR(CR41-DM41,"")</f>
        <v/>
      </c>
      <c r="EI41" s="17">
        <f>IFERROR(CS41-DN41,"")</f>
        <v/>
      </c>
      <c r="EJ41" s="17">
        <f>IFERROR(CT41-DO41,"")</f>
        <v/>
      </c>
      <c r="EK41" s="17">
        <f>IFERROR(CU41-DP41,"")</f>
        <v/>
      </c>
      <c r="EL41" s="17">
        <f>IFERROR(CV41-DQ41,"")</f>
        <v/>
      </c>
      <c r="EM41" s="17">
        <f>IFERROR(CW41-DR41,"")</f>
        <v/>
      </c>
      <c r="EN41" s="17">
        <f>IFERROR(CX41-DS41,"")</f>
        <v/>
      </c>
      <c r="EO41" s="17">
        <f>IFERROR(CY41-DT41,"")</f>
        <v/>
      </c>
      <c r="EP41" s="17">
        <f>IFERROR(CZ41-DU41,"")</f>
        <v/>
      </c>
      <c r="EQ41" s="17">
        <f>IFERROR(DA41-DV41,"")</f>
        <v/>
      </c>
      <c r="ER41" s="17">
        <f>IFERROR(DB41-DW41,"")</f>
        <v/>
      </c>
      <c r="ES41" s="17">
        <f>IFERROR(DC41-DX41,"")</f>
        <v/>
      </c>
      <c r="EU41" s="16" t="n"/>
      <c r="EV41" s="16" t="n"/>
      <c r="EW41" s="16" t="n"/>
      <c r="EX41" s="16" t="n"/>
      <c r="EY41" s="16" t="n"/>
      <c r="EZ41" s="16" t="n"/>
      <c r="FA41" s="16" t="n"/>
      <c r="FB41" s="16" t="n"/>
      <c r="FC41" s="16" t="n"/>
      <c r="FD41" s="16" t="n"/>
      <c r="FE41" s="16" t="n"/>
      <c r="FF41" s="16" t="n"/>
      <c r="FG41" s="16" t="n"/>
      <c r="FH41" s="16" t="n"/>
      <c r="FI41" s="16" t="n"/>
      <c r="FJ41" s="16" t="n"/>
      <c r="FK41" s="16" t="n"/>
      <c r="FL41" s="16" t="n"/>
      <c r="FM41" s="16" t="n"/>
      <c r="FN41" s="16" t="n"/>
    </row>
    <row r="42">
      <c r="B42" s="19" t="inlineStr">
        <is>
          <t>TOTAL</t>
        </is>
      </c>
      <c r="C42" s="20" t="n"/>
      <c r="D42" s="21">
        <f>IF(COUNT(D9:D41)=0,"",SUM(D9:D41))</f>
        <v/>
      </c>
      <c r="E42" s="21">
        <f>IF(COUNT(E9:E41)=0,"",SUM(E9:E41))</f>
        <v/>
      </c>
      <c r="F42" s="21">
        <f>IF(COUNT(F9:F41)=0,"",SUM(F9:F41))</f>
        <v/>
      </c>
      <c r="G42" s="21">
        <f>IF(COUNT(G9:G41)=0,"",SUM(G9:G41))</f>
        <v/>
      </c>
      <c r="H42" s="21">
        <f>IF(COUNT(H9:H41)=0,"",SUM(H9:H41))</f>
        <v/>
      </c>
      <c r="I42" s="21">
        <f>IF(COUNT(I9:I41)=0,"",SUM(I9:I41))</f>
        <v/>
      </c>
      <c r="J42" s="21">
        <f>IF(COUNT(J9:J41)=0,"",SUM(J9:J41))</f>
        <v/>
      </c>
      <c r="K42" s="21">
        <f>IF(COUNT(K9:K41)=0,"",SUM(K9:K41))</f>
        <v/>
      </c>
      <c r="L42" s="21">
        <f>IF(COUNT(L9:L41)=0,"",SUM(L9:L41))</f>
        <v/>
      </c>
      <c r="M42" s="21">
        <f>IF(COUNT(M9:M41)=0,"",SUM(M9:M41))</f>
        <v/>
      </c>
      <c r="N42" s="21">
        <f>IF(COUNT(N9:N41)=0,"",SUM(N9:N41))</f>
        <v/>
      </c>
      <c r="O42" s="21">
        <f>IF(COUNT(O9:O41)=0,"",SUM(O9:O41))</f>
        <v/>
      </c>
      <c r="P42" s="21">
        <f>IF(COUNT(P9:P41)=0,"",SUM(P9:P41))</f>
        <v/>
      </c>
      <c r="Q42" s="21">
        <f>IF(COUNT(Q9:Q41)=0,"",SUM(Q9:Q41))</f>
        <v/>
      </c>
      <c r="R42" s="21">
        <f>IF(COUNT(R9:R41)=0,"",SUM(R9:R41))</f>
        <v/>
      </c>
      <c r="S42" s="21">
        <f>IF(COUNT(S9:S41)=0,"",SUM(S9:S41))</f>
        <v/>
      </c>
      <c r="T42" s="21">
        <f>IF(COUNT(T9:T41)=0,"",SUM(T9:T41))</f>
        <v/>
      </c>
      <c r="U42" s="21">
        <f>IF(COUNT(U9:U41)=0,"",SUM(U9:U41))</f>
        <v/>
      </c>
      <c r="V42" s="21">
        <f>IF(COUNT(V9:V41)=0,"",SUM(V9:V41))</f>
        <v/>
      </c>
      <c r="W42" s="21">
        <f>IF(COUNT(W9:W41)=0,"",SUM(W9:W41))</f>
        <v/>
      </c>
      <c r="Y42" s="22">
        <f>SUM(Y9:Y41)</f>
        <v/>
      </c>
      <c r="Z42" s="22">
        <f>SUM(Z9:Z41)</f>
        <v/>
      </c>
      <c r="AA42" s="22">
        <f>SUM(AA9:AA41)</f>
        <v/>
      </c>
      <c r="AB42" s="22">
        <f>SUM(AB9:AB41)</f>
        <v/>
      </c>
      <c r="AC42" s="22">
        <f>SUM(AC9:AC41)</f>
        <v/>
      </c>
      <c r="AD42" s="22">
        <f>SUM(AD9:AD41)</f>
        <v/>
      </c>
      <c r="AE42" s="22">
        <f>SUM(AE9:AE41)</f>
        <v/>
      </c>
      <c r="AF42" s="22">
        <f>SUM(AF9:AF41)</f>
        <v/>
      </c>
      <c r="AG42" s="22">
        <f>SUM(AG9:AG41)</f>
        <v/>
      </c>
      <c r="AH42" s="22">
        <f>SUM(AH9:AH41)</f>
        <v/>
      </c>
      <c r="AI42" s="22">
        <f>SUM(AI9:AI41)</f>
        <v/>
      </c>
      <c r="AJ42" s="22">
        <f>SUM(AJ9:AJ41)</f>
        <v/>
      </c>
      <c r="AK42" s="22">
        <f>SUM(AK9:AK41)</f>
        <v/>
      </c>
      <c r="AL42" s="22">
        <f>SUM(AL9:AL41)</f>
        <v/>
      </c>
      <c r="AM42" s="22">
        <f>SUM(AM9:AM41)</f>
        <v/>
      </c>
      <c r="AN42" s="22">
        <f>SUM(AN9:AN41)</f>
        <v/>
      </c>
      <c r="AO42" s="22">
        <f>SUM(AO9:AO41)</f>
        <v/>
      </c>
      <c r="AP42" s="22">
        <f>SUM(AP9:AP41)</f>
        <v/>
      </c>
      <c r="AQ42" s="22">
        <f>SUM(AQ9:AQ41)</f>
        <v/>
      </c>
      <c r="AR42" s="22">
        <f>SUM(AR9:AR41)</f>
        <v/>
      </c>
      <c r="AT42" s="23">
        <f>IF(COUNT(AT9:AT41)=0,"",SUM(AT9:AT41))</f>
        <v/>
      </c>
      <c r="AU42" s="23">
        <f>IF(COUNT(AU9:AU41)=0,"",SUM(AU9:AU41))</f>
        <v/>
      </c>
      <c r="AV42" s="23">
        <f>IF(COUNT(AV9:AV41)=0,"",SUM(AV9:AV41))</f>
        <v/>
      </c>
      <c r="AW42" s="23">
        <f>IF(COUNT(AW9:AW41)=0,"",SUM(AW9:AW41))</f>
        <v/>
      </c>
      <c r="AX42" s="23">
        <f>IF(COUNT(AX9:AX41)=0,"",SUM(AX9:AX41))</f>
        <v/>
      </c>
      <c r="AY42" s="23">
        <f>IF(COUNT(AY9:AY41)=0,"",SUM(AY9:AY41))</f>
        <v/>
      </c>
      <c r="AZ42" s="23">
        <f>IF(COUNT(AZ9:AZ41)=0,"",SUM(AZ9:AZ41))</f>
        <v/>
      </c>
      <c r="BA42" s="23">
        <f>IF(COUNT(BA9:BA41)=0,"",SUM(BA9:BA41))</f>
        <v/>
      </c>
      <c r="BB42" s="23">
        <f>IF(COUNT(BB9:BB41)=0,"",SUM(BB9:BB41))</f>
        <v/>
      </c>
      <c r="BC42" s="23">
        <f>IF(COUNT(BC9:BC41)=0,"",SUM(BC9:BC41))</f>
        <v/>
      </c>
      <c r="BD42" s="23">
        <f>IF(COUNT(BD9:BD41)=0,"",SUM(BD9:BD41))</f>
        <v/>
      </c>
      <c r="BE42" s="23">
        <f>IF(COUNT(BE9:BE41)=0,"",SUM(BE9:BE41))</f>
        <v/>
      </c>
      <c r="BF42" s="23">
        <f>IF(COUNT(BF9:BF41)=0,"",SUM(BF9:BF41))</f>
        <v/>
      </c>
      <c r="BG42" s="23">
        <f>IF(COUNT(BG9:BG41)=0,"",SUM(BG9:BG41))</f>
        <v/>
      </c>
      <c r="BH42" s="23">
        <f>IF(COUNT(BH9:BH41)=0,"",SUM(BH9:BH41))</f>
        <v/>
      </c>
      <c r="BI42" s="23">
        <f>IF(COUNT(BI9:BI41)=0,"",SUM(BI9:BI41))</f>
        <v/>
      </c>
      <c r="BJ42" s="23">
        <f>IF(COUNT(BJ9:BJ41)=0,"",SUM(BJ9:BJ41))</f>
        <v/>
      </c>
      <c r="BK42" s="23">
        <f>IF(COUNT(BK9:BK41)=0,"",SUM(BK9:BK41))</f>
        <v/>
      </c>
      <c r="BL42" s="23">
        <f>IF(COUNT(BL9:BL41)=0,"",SUM(BL9:BL41))</f>
        <v/>
      </c>
      <c r="BM42" s="23">
        <f>IF(COUNT(BM9:BM41)=0,"",SUM(BM9:BM41))</f>
        <v/>
      </c>
      <c r="BO42" s="24">
        <f>IF(COUNT(BO9:BO41)=0,"",SUM(BO9:BO41))</f>
        <v/>
      </c>
      <c r="BP42" s="24">
        <f>IF(COUNT(BP9:BP41)=0,"",SUM(BP9:BP41))</f>
        <v/>
      </c>
      <c r="BQ42" s="24">
        <f>IF(COUNT(BQ9:BQ41)=0,"",SUM(BQ9:BQ41))</f>
        <v/>
      </c>
      <c r="BR42" s="24">
        <f>IF(COUNT(BR9:BR41)=0,"",SUM(BR9:BR41))</f>
        <v/>
      </c>
      <c r="BS42" s="24">
        <f>IF(COUNT(BS9:BS41)=0,"",SUM(BS9:BS41))</f>
        <v/>
      </c>
      <c r="BT42" s="24">
        <f>IF(COUNT(BT9:BT41)=0,"",SUM(BT9:BT41))</f>
        <v/>
      </c>
      <c r="BU42" s="24">
        <f>IF(COUNT(BU9:BU41)=0,"",SUM(BU9:BU41))</f>
        <v/>
      </c>
      <c r="BV42" s="24">
        <f>IF(COUNT(BV9:BV41)=0,"",SUM(BV9:BV41))</f>
        <v/>
      </c>
      <c r="BW42" s="24">
        <f>IF(COUNT(BW9:BW41)=0,"",SUM(BW9:BW41))</f>
        <v/>
      </c>
      <c r="BX42" s="24">
        <f>IF(COUNT(BX9:BX41)=0,"",SUM(BX9:BX41))</f>
        <v/>
      </c>
      <c r="BY42" s="24">
        <f>IF(COUNT(BY9:BY41)=0,"",SUM(BY9:BY41))</f>
        <v/>
      </c>
      <c r="BZ42" s="24">
        <f>IF(COUNT(BZ9:BZ41)=0,"",SUM(BZ9:BZ41))</f>
        <v/>
      </c>
      <c r="CA42" s="24">
        <f>IF(COUNT(CA9:CA41)=0,"",SUM(CA9:CA41))</f>
        <v/>
      </c>
      <c r="CB42" s="24">
        <f>IF(COUNT(CB9:CB41)=0,"",SUM(CB9:CB41))</f>
        <v/>
      </c>
      <c r="CC42" s="24">
        <f>IF(COUNT(CC9:CC41)=0,"",SUM(CC9:CC41))</f>
        <v/>
      </c>
      <c r="CD42" s="24">
        <f>IF(COUNT(CD9:CD41)=0,"",SUM(CD9:CD41))</f>
        <v/>
      </c>
      <c r="CE42" s="24">
        <f>IF(COUNT(CE9:CE41)=0,"",SUM(CE9:CE41))</f>
        <v/>
      </c>
      <c r="CF42" s="24">
        <f>IF(COUNT(CF9:CF41)=0,"",SUM(CF9:CF41))</f>
        <v/>
      </c>
      <c r="CG42" s="24">
        <f>IF(COUNT(CG9:CG41)=0,"",SUM(CG9:CG41))</f>
        <v/>
      </c>
      <c r="CH42" s="24">
        <f>IF(COUNT(CH9:CH41)=0,"",SUM(CH9:CH41))</f>
        <v/>
      </c>
      <c r="CJ42" s="25">
        <f>IF(COUNT(CJ9:CJ41)=0,"",SUM(CJ9:CJ41))</f>
        <v/>
      </c>
      <c r="CK42" s="25">
        <f>IF(COUNT(CK9:CK41)=0,"",SUM(CK9:CK41))</f>
        <v/>
      </c>
      <c r="CL42" s="25">
        <f>IF(COUNT(CL9:CL41)=0,"",SUM(CL9:CL41))</f>
        <v/>
      </c>
      <c r="CM42" s="25">
        <f>IF(COUNT(CM9:CM41)=0,"",SUM(CM9:CM41))</f>
        <v/>
      </c>
      <c r="CN42" s="25">
        <f>IF(COUNT(CN9:CN41)=0,"",SUM(CN9:CN41))</f>
        <v/>
      </c>
      <c r="CO42" s="25">
        <f>IF(COUNT(CO9:CO41)=0,"",SUM(CO9:CO41))</f>
        <v/>
      </c>
      <c r="CP42" s="25">
        <f>IF(COUNT(CP9:CP41)=0,"",SUM(CP9:CP41))</f>
        <v/>
      </c>
      <c r="CQ42" s="25">
        <f>IF(COUNT(CQ9:CQ41)=0,"",SUM(CQ9:CQ41))</f>
        <v/>
      </c>
      <c r="CR42" s="25">
        <f>IF(COUNT(CR9:CR41)=0,"",SUM(CR9:CR41))</f>
        <v/>
      </c>
      <c r="CS42" s="25">
        <f>IF(COUNT(CS9:CS41)=0,"",SUM(CS9:CS41))</f>
        <v/>
      </c>
      <c r="CT42" s="25">
        <f>IF(COUNT(CT9:CT41)=0,"",SUM(CT9:CT41))</f>
        <v/>
      </c>
      <c r="CU42" s="25">
        <f>IF(COUNT(CU9:CU41)=0,"",SUM(CU9:CU41))</f>
        <v/>
      </c>
      <c r="CV42" s="25">
        <f>IF(COUNT(CV9:CV41)=0,"",SUM(CV9:CV41))</f>
        <v/>
      </c>
      <c r="CW42" s="25">
        <f>IF(COUNT(CW9:CW41)=0,"",SUM(CW9:CW41))</f>
        <v/>
      </c>
      <c r="CX42" s="25">
        <f>IF(COUNT(CX9:CX41)=0,"",SUM(CX9:CX41))</f>
        <v/>
      </c>
      <c r="CY42" s="25">
        <f>IF(COUNT(CY9:CY41)=0,"",SUM(CY9:CY41))</f>
        <v/>
      </c>
      <c r="CZ42" s="25">
        <f>IF(COUNT(CZ9:CZ41)=0,"",SUM(CZ9:CZ41))</f>
        <v/>
      </c>
      <c r="DA42" s="25">
        <f>IF(COUNT(DA9:DA41)=0,"",SUM(DA9:DA41))</f>
        <v/>
      </c>
      <c r="DB42" s="25">
        <f>IF(COUNT(DB9:DB41)=0,"",SUM(DB9:DB41))</f>
        <v/>
      </c>
      <c r="DC42" s="25">
        <f>IF(COUNT(DC9:DC41)=0,"",SUM(DC9:DC41))</f>
        <v/>
      </c>
      <c r="DE42" s="25">
        <f>IF(COUNT(DE9:DE41)=0,"",SUM(DE9:DE41))</f>
        <v/>
      </c>
      <c r="DF42" s="25">
        <f>IF(COUNT(DF9:DF41)=0,"",SUM(DF9:DF41))</f>
        <v/>
      </c>
      <c r="DG42" s="25">
        <f>IF(COUNT(DG9:DG41)=0,"",SUM(DG9:DG41))</f>
        <v/>
      </c>
      <c r="DH42" s="25">
        <f>IF(COUNT(DH9:DH41)=0,"",SUM(DH9:DH41))</f>
        <v/>
      </c>
      <c r="DI42" s="25">
        <f>IF(COUNT(DI9:DI41)=0,"",SUM(DI9:DI41))</f>
        <v/>
      </c>
      <c r="DJ42" s="25">
        <f>IF(COUNT(DJ9:DJ41)=0,"",SUM(DJ9:DJ41))</f>
        <v/>
      </c>
      <c r="DK42" s="25">
        <f>IF(COUNT(DK9:DK41)=0,"",SUM(DK9:DK41))</f>
        <v/>
      </c>
      <c r="DL42" s="25">
        <f>IF(COUNT(DL9:DL41)=0,"",SUM(DL9:DL41))</f>
        <v/>
      </c>
      <c r="DM42" s="25">
        <f>IF(COUNT(DM9:DM41)=0,"",SUM(DM9:DM41))</f>
        <v/>
      </c>
      <c r="DN42" s="25">
        <f>IF(COUNT(DN9:DN41)=0,"",SUM(DN9:DN41))</f>
        <v/>
      </c>
      <c r="DO42" s="25">
        <f>IF(COUNT(DO9:DO41)=0,"",SUM(DO9:DO41))</f>
        <v/>
      </c>
      <c r="DP42" s="25">
        <f>IF(COUNT(DP9:DP41)=0,"",SUM(DP9:DP41))</f>
        <v/>
      </c>
      <c r="DQ42" s="25">
        <f>IF(COUNT(DQ9:DQ41)=0,"",SUM(DQ9:DQ41))</f>
        <v/>
      </c>
      <c r="DR42" s="25">
        <f>IF(COUNT(DR9:DR41)=0,"",SUM(DR9:DR41))</f>
        <v/>
      </c>
      <c r="DS42" s="25">
        <f>IF(COUNT(DS9:DS41)=0,"",SUM(DS9:DS41))</f>
        <v/>
      </c>
      <c r="DT42" s="25">
        <f>IF(COUNT(DT9:DT41)=0,"",SUM(DT9:DT41))</f>
        <v/>
      </c>
      <c r="DU42" s="25">
        <f>IF(COUNT(DU9:DU41)=0,"",SUM(DU9:DU41))</f>
        <v/>
      </c>
      <c r="DV42" s="25">
        <f>IF(COUNT(DV9:DV41)=0,"",SUM(DV9:DV41))</f>
        <v/>
      </c>
      <c r="DW42" s="25">
        <f>IF(COUNT(DW9:DW41)=0,"",SUM(DW9:DW41))</f>
        <v/>
      </c>
      <c r="DX42" s="25">
        <f>IF(COUNT(DX9:DX41)=0,"",SUM(DX9:DX41))</f>
        <v/>
      </c>
      <c r="DZ42" s="23">
        <f>IF(COUNT(DZ9:DZ41)=0,"",SUM(DZ9:DZ41))</f>
        <v/>
      </c>
      <c r="EA42" s="23">
        <f>IF(COUNT(EA9:EA41)=0,"",SUM(EA9:EA41))</f>
        <v/>
      </c>
      <c r="EB42" s="23">
        <f>IF(COUNT(EB9:EB41)=0,"",SUM(EB9:EB41))</f>
        <v/>
      </c>
      <c r="EC42" s="23">
        <f>IF(COUNT(EC9:EC41)=0,"",SUM(EC9:EC41))</f>
        <v/>
      </c>
      <c r="ED42" s="23">
        <f>IF(COUNT(ED9:ED41)=0,"",SUM(ED9:ED41))</f>
        <v/>
      </c>
      <c r="EE42" s="23">
        <f>IF(COUNT(EE9:EE41)=0,"",SUM(EE9:EE41))</f>
        <v/>
      </c>
      <c r="EF42" s="23">
        <f>IF(COUNT(EF9:EF41)=0,"",SUM(EF9:EF41))</f>
        <v/>
      </c>
      <c r="EG42" s="23">
        <f>IF(COUNT(EG9:EG41)=0,"",SUM(EG9:EG41))</f>
        <v/>
      </c>
      <c r="EH42" s="23">
        <f>IF(COUNT(EH9:EH41)=0,"",SUM(EH9:EH41))</f>
        <v/>
      </c>
      <c r="EI42" s="23">
        <f>IF(COUNT(EI9:EI41)=0,"",SUM(EI9:EI41))</f>
        <v/>
      </c>
      <c r="EJ42" s="23">
        <f>IF(COUNT(EJ9:EJ41)=0,"",SUM(EJ9:EJ41))</f>
        <v/>
      </c>
      <c r="EK42" s="23">
        <f>IF(COUNT(EK9:EK41)=0,"",SUM(EK9:EK41))</f>
        <v/>
      </c>
      <c r="EL42" s="23">
        <f>IF(COUNT(EL9:EL41)=0,"",SUM(EL9:EL41))</f>
        <v/>
      </c>
      <c r="EM42" s="23">
        <f>IF(COUNT(EM9:EM41)=0,"",SUM(EM9:EM41))</f>
        <v/>
      </c>
      <c r="EN42" s="23">
        <f>IF(COUNT(EN9:EN41)=0,"",SUM(EN9:EN41))</f>
        <v/>
      </c>
      <c r="EO42" s="23">
        <f>IF(COUNT(EO9:EO41)=0,"",SUM(EO9:EO41))</f>
        <v/>
      </c>
      <c r="EP42" s="23">
        <f>IF(COUNT(EP9:EP41)=0,"",SUM(EP9:EP41))</f>
        <v/>
      </c>
      <c r="EQ42" s="23">
        <f>IF(COUNT(EQ9:EQ41)=0,"",SUM(EQ9:EQ41))</f>
        <v/>
      </c>
      <c r="ER42" s="23">
        <f>IF(COUNT(ER9:ER41)=0,"",SUM(ER9:ER41))</f>
        <v/>
      </c>
      <c r="ES42" s="23">
        <f>IF(COUNT(ES9:ES41)=0,"",SUM(ES9:ES41))</f>
        <v/>
      </c>
      <c r="EU42" s="21">
        <f>SUM(EU9:EU41)</f>
        <v/>
      </c>
      <c r="EV42" s="21">
        <f>SUM(EV9:EV41)</f>
        <v/>
      </c>
      <c r="EW42" s="21">
        <f>SUM(EW9:EW41)</f>
        <v/>
      </c>
      <c r="EX42" s="21">
        <f>SUM(EX9:EX41)</f>
        <v/>
      </c>
      <c r="EY42" s="21">
        <f>SUM(EY9:EY41)</f>
        <v/>
      </c>
      <c r="EZ42" s="21">
        <f>SUM(EZ9:EZ41)</f>
        <v/>
      </c>
      <c r="FA42" s="21">
        <f>SUM(FA9:FA41)</f>
        <v/>
      </c>
      <c r="FB42" s="21">
        <f>SUM(FB9:FB41)</f>
        <v/>
      </c>
      <c r="FC42" s="21">
        <f>SUM(FC9:FC41)</f>
        <v/>
      </c>
      <c r="FD42" s="21">
        <f>SUM(FD9:FD41)</f>
        <v/>
      </c>
      <c r="FE42" s="21">
        <f>SUM(FE9:FE41)</f>
        <v/>
      </c>
      <c r="FF42" s="21">
        <f>SUM(FF9:FF41)</f>
        <v/>
      </c>
      <c r="FG42" s="21">
        <f>SUM(FG9:FG41)</f>
        <v/>
      </c>
      <c r="FH42" s="21">
        <f>SUM(FH9:FH41)</f>
        <v/>
      </c>
      <c r="FI42" s="21">
        <f>SUM(FI9:FI41)</f>
        <v/>
      </c>
      <c r="FJ42" s="21">
        <f>SUM(FJ9:FJ41)</f>
        <v/>
      </c>
      <c r="FK42" s="21">
        <f>SUM(FK9:FK41)</f>
        <v/>
      </c>
      <c r="FL42" s="21">
        <f>SUM(FL9:FL41)</f>
        <v/>
      </c>
      <c r="FM42" s="21">
        <f>SUM(FM9:FM41)</f>
        <v/>
      </c>
      <c r="FN42" s="21">
        <f>SUM(FN9:FN41)</f>
        <v/>
      </c>
    </row>
    <row r="44">
      <c r="B44" s="26" t="inlineStr">
        <is>
          <t>LEGEND / ALLOCATION RULES (D60, 2026-10-14 — EcoGainsSim_Daily.gs, DAILY_ALLOC_MODEL = settle)</t>
        </is>
      </c>
    </row>
    <row r="45">
      <c r="B45" s="5" t="inlineStr">
        <is>
          <t>CURRENT GAINS, CURRENT SPEND, CURRENT NET are DATA: data_econ_daily, per earner per day (window-earner denominator, so the 33 days sum to the data_econ window total). They are BLANK past the last day the pull carries — a day with no row is "not pulled yet", never 0 — and blank unless Source = ALL (the data is game-wide).</t>
        </is>
      </c>
    </row>
    <row r="46">
      <c r="B46" s="5" t="inlineStr">
        <is>
          <t>NEW GAINS is the SIM of cal_new. Δ GAINS = data − sim: positive means the data sits above the sim. While cal_curr is the live calendar this Δ mixes the redesign with model error; the validation lane on the far right (SIM of cal_curr) separates them: data − sim_new = (data − sim_curr) + (sim_curr − sim_new).</t>
        </is>
      </c>
    </row>
    <row r="47">
      <c r="B47" s="5" t="inlineStr">
        <is>
          <t>NEW NET = data gain + the sim’s day shift (sim NEW − sim cal_curr) − data spend: anchored to the data, so when the redesign changes nothing it equals CURRENT NET exactly. Δ NET = CURRENT NET − NEW NET (data − sim).</t>
        </is>
      </c>
    </row>
    <row r="48">
      <c r="B48" s="5" t="inlineStr">
        <is>
          <t>PLACEMENT (measured against the data before it was built, harness/_probe_daily_alloc*.js): rank-family lumps (Bomb/Chuck/Red Challenge, Level Race, Flash Race, Target Day, Kite, Team Event, Team Race, Flock Flurry) land the DATE AFTER the grid cell — a 1-day cell is a 2-date event, the board settles and pays on the next date. Authored per source on the optional sim_settle sheet (settle_days; lag_0..2 to spread a payout over +0/+1/+2 once the lag data exists). The 7-day view sums the EARN day instead.</t>
        </is>
      </c>
    </row>
    <row r="49">
      <c r="B49" s="5" t="inlineStr">
        <is>
          <t>Collections (Hatchling Hideaway, Bomb’s Ballet, Jigsaw, Photoshoot) spread by the MEAN accrual curve’s marginal; Season Pass (Free/Paid) spreads ∝ active rate over every day its lane is open (no reach split — the 3-day stub artefact is gone); Core / Saga / Daily Gift pay daily ∝ weekday/weekend active rate; Night Sky over its daily instances; Rainbow Maker ∝ active rate within its instances. Non-calendar sources (Ads, Other, IAPs, FlowerCoop) are flat ÷33. River Rush must be DRAWN on cal_curr (days 2–8, 16–22, 30–33) — off-grid it is flat and SPTx2 is placed on the wrong days.</t>
        </is>
      </c>
    </row>
    <row r="50">
      <c r="B50" s="5" t="inlineStr">
        <is>
          <t>Reading the comparison: a single day’s % is NOT a verdict — the data’s own day-to-day CV is 17–29% for the smooth resources. Read cumulative-through-day-N (N ≥ 7) against the resource’s week-over-week CV (HC 2–12%, boosters 3–22%, UL 10–30%), and timing on 3-day centred sums (±1 day). SPT is dominated by the synthetic Core anchor and SPTx2 by River Rush’s schedule until those are fixed.</t>
        </is>
      </c>
    </row>
    <row r="51">
      <c r="B51" s="5" t="inlineStr">
        <is>
          <t>Weekend rows (Fri/Sat/Sun) are tinted. Window totals of the SIM blocks reconcile with EcoGainsSim_HC (TOTAL row); the data blocks total only the days pulled (blank = no data, not zero).</t>
        </is>
      </c>
    </row>
    <row r="52">
      <c r="B52" s="5" t="inlineStr">
        <is>
          <t>PACKS and ToF_Ticket are gains-only and simulated-side only: the data blocks leave their columns BLANK (no telemetry is not a measured 0).</t>
        </is>
      </c>
    </row>
  </sheetData>
  <conditionalFormatting sqref="AT9:BM41">
    <cfRule type="cellIs" priority="1" operator="lessThan" dxfId="0" stopIfTrue="1">
      <formula>0</formula>
    </cfRule>
    <cfRule type="cellIs" priority="2" operator="greaterThan" dxfId="1" stopIfTrue="1">
      <formula>0</formula>
    </cfRule>
  </conditionalFormatting>
  <conditionalFormatting sqref="DZ9:ES41">
    <cfRule type="cellIs" priority="3" operator="lessThan" dxfId="0" stopIfTrue="1">
      <formula>0</formula>
    </cfRule>
    <cfRule type="cellIs" priority="4" operator="greaterThan" dxfId="1" stopIfTrue="1">
      <formula>0</formula>
    </cfRule>
  </conditionalFormatting>
  <conditionalFormatting sqref="B9:FN41">
    <cfRule type="expression" priority="5" dxfId="2">
      <formula>OR($C9="Fri",$C9="Sat",$C9="Sun")</formula>
    </cfRule>
  </conditionalFormatting>
  <dataValidations count="3">
    <dataValidation sqref="C3" showDropDown="0" showInputMessage="0" showErrorMessage="0" allowBlank="0" type="list">
      <formula1>"NONPAYER,PAYER"</formula1>
    </dataValidation>
    <dataValidation sqref="C4" showDropDown="0" showInputMessage="0" showErrorMessage="0" allowBlank="0" type="list">
      <formula1>"0-9,10-19,20-39,40-99,100+"</formula1>
    </dataValidation>
    <dataValidation sqref="C5" showDropDown="0" showInputMessage="0" showErrorMessage="0" allowBlank="0" type="list">
      <formula1>=$FP$2:$FP$27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2026-10-14T11:18:42Z</dcterms:created>
  <dcterms:modified xmlns:dcterms="http://purl.org/dc/terms/" xmlns:xsi="http://www.w3.org/2001/XMLSchema-instance" xsi:type="dcterms:W3CDTF">2026-10-14T11:18:42Z</dcterms:modified>
</cp:coreProperties>
</file>