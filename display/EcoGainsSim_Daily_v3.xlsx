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GainsSim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FF808080"/>
      <sz val="9"/>
    </font>
    <font>
      <name val="Arial"/>
      <color rgb="FF808080"/>
      <sz val="8"/>
    </font>
    <font>
      <name val="Arial"/>
      <b val="1"/>
      <color rgb="FFFFFFFF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</fonts>
  <fills count="1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CFE2F3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666666"/>
      </patternFill>
    </fill>
    <fill>
      <patternFill patternType="solid">
        <fgColor rgb="FFEFEFEF"/>
      </patternFill>
    </fill>
    <fill>
      <patternFill patternType="solid">
        <fgColor rgb="FF7030A0"/>
      </patternFill>
    </fill>
    <fill>
      <patternFill patternType="solid">
        <fgColor rgb="FFE9D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9" borderId="0" pivotButton="0" quotePrefix="0" xfId="0"/>
    <xf numFmtId="0" fontId="6" fillId="11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6" fillId="11" borderId="1" pivotButton="0" quotePrefix="0" xfId="0"/>
    <xf numFmtId="0" fontId="0" fillId="11" borderId="1" pivotButton="0" quotePrefix="0" xfId="0"/>
    <xf numFmtId="4" fontId="2" fillId="4" borderId="1" applyAlignment="1" pivotButton="0" quotePrefix="0" xfId="0">
      <alignment horizontal="center"/>
    </xf>
    <xf numFmtId="4" fontId="2" fillId="6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4" fontId="2" fillId="10" borderId="1" applyAlignment="1" pivotButton="0" quotePrefix="0" xfId="0">
      <alignment horizontal="center"/>
    </xf>
    <xf numFmtId="165" fontId="2" fillId="1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color rgb="FF990000"/>
      </font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D9EAD3"/>
        </patternFill>
      </fill>
    </dxf>
    <dxf>
      <fill>
        <patternFill patternType="solid">
          <fgColor rgb="FFFEF8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P48"/>
  <sheetViews>
    <sheetView showGridLines="0" workbookViewId="0">
      <selection activeCell="A1" sqref="A1"/>
    </sheetView>
  </sheetViews>
  <sheetFormatPr baseColWidth="8" defaultRowHeight="15"/>
  <cols>
    <col width="1.75" customWidth="1" min="1" max="1"/>
    <col width="5.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2.8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2.8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2.8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2.8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2.8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2.8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2.8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2.88" customWidth="1" min="171" max="171"/>
    <col width="21" customWidth="1" min="172" max="172"/>
  </cols>
  <sheetData>
    <row r="1">
      <c r="B1" s="1" t="inlineStr">
        <is>
          <t>DAILY RESOURCE GAINS + NET — data vs sim, 28-day window, per earner (days and weekdays from the calendar sheets: day 1 = the first 1 on row 4)</t>
        </is>
      </c>
      <c r="FP1" s="2" t="inlineStr">
        <is>
          <t>source dropdown list</t>
        </is>
      </c>
    </row>
    <row r="2">
      <c r="FP2" s="2" t="inlineStr">
        <is>
          <t>ALL</t>
        </is>
      </c>
    </row>
    <row r="3">
      <c r="B3" s="3" t="inlineStr">
        <is>
          <t>Payer</t>
        </is>
      </c>
      <c r="C3" s="4" t="inlineStr">
        <is>
          <t>NONPAYER</t>
        </is>
      </c>
      <c r="D3" s="5" t="inlineStr">
        <is>
          <t>◀ filters (dropdowns) — the whole table re-simulates on change</t>
        </is>
      </c>
      <c r="FP3" s="2" t="inlineStr">
        <is>
          <t>Ads</t>
        </is>
      </c>
    </row>
    <row r="4">
      <c r="B4" s="3" t="inlineStr">
        <is>
          <t>Segment</t>
        </is>
      </c>
      <c r="C4" s="4" t="inlineStr">
        <is>
          <t>0-9</t>
        </is>
      </c>
      <c r="FP4" s="2" t="inlineStr">
        <is>
          <t>Bomb Challenge</t>
        </is>
      </c>
    </row>
    <row r="5">
      <c r="B5" s="3" t="inlineStr">
        <is>
          <t>Source</t>
        </is>
      </c>
      <c r="C5" s="4" t="inlineStr">
        <is>
          <t>ALL</t>
        </is>
      </c>
      <c r="FP5" s="2" t="inlineStr">
        <is>
          <t>Bomb's Ballet</t>
        </is>
      </c>
    </row>
    <row r="6">
      <c r="FP6" s="2" t="inlineStr">
        <is>
          <t>Chuck Challenge</t>
        </is>
      </c>
    </row>
    <row r="7">
      <c r="D7" s="6" t="inlineStr">
        <is>
          <t>◄ CURRENT GAINS (data: data_econ_daily, per earner) ►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Y7" s="7" t="inlineStr">
        <is>
          <t>◄ NEW GAINS (sim, cal_new) ►</t>
        </is>
      </c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T7" s="8" t="inlineStr">
        <is>
          <t>Δ GAINS   data − sim</t>
        </is>
      </c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O7" s="9" t="inlineStr">
        <is>
          <t>◄ CURRENT SPEND (data, per earner) ►</t>
        </is>
      </c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J7" s="9" t="inlineStr">
        <is>
          <t>◄ CURRENT NET (data: gain − spend) ►</t>
        </is>
      </c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E7" s="9" t="inlineStr">
        <is>
          <t>◄ NEW NET (sim: data gain + sim Δ − spend) ►</t>
        </is>
      </c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Z7" s="8" t="inlineStr">
        <is>
          <t>Δ NET   data − sim</t>
        </is>
      </c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U7" s="6" t="inlineStr">
        <is>
          <t>◄ SIM of cal_curr — validation lane (data − this = model error) ►</t>
        </is>
      </c>
      <c r="EV7" s="6" t="n"/>
      <c r="EW7" s="6" t="n"/>
      <c r="EX7" s="6" t="n"/>
      <c r="EY7" s="6" t="n"/>
      <c r="EZ7" s="6" t="n"/>
      <c r="FA7" s="6" t="n"/>
      <c r="FB7" s="6" t="n"/>
      <c r="FC7" s="6" t="n"/>
      <c r="FD7" s="6" t="n"/>
      <c r="FE7" s="6" t="n"/>
      <c r="FF7" s="6" t="n"/>
      <c r="FG7" s="6" t="n"/>
      <c r="FH7" s="6" t="n"/>
      <c r="FI7" s="6" t="n"/>
      <c r="FJ7" s="6" t="n"/>
      <c r="FK7" s="6" t="n"/>
      <c r="FL7" s="6" t="n"/>
      <c r="FM7" s="6" t="n"/>
      <c r="FN7" s="6" t="n"/>
      <c r="FP7" s="2" t="inlineStr">
        <is>
          <t>Core</t>
        </is>
      </c>
    </row>
    <row r="8">
      <c r="B8" s="10" t="inlineStr">
        <is>
          <t>Day</t>
        </is>
      </c>
      <c r="C8" s="10" t="inlineStr">
        <is>
          <t>DoW</t>
        </is>
      </c>
      <c r="D8" s="11" t="inlineStr">
        <is>
          <t>HC</t>
        </is>
      </c>
      <c r="E8" s="11" t="inlineStr">
        <is>
          <t>Slingshot</t>
        </is>
      </c>
      <c r="F8" s="11" t="inlineStr">
        <is>
          <t>Shuffle</t>
        </is>
      </c>
      <c r="G8" s="11" t="inlineStr">
        <is>
          <t>Comet</t>
        </is>
      </c>
      <c r="H8" s="11" t="inlineStr">
        <is>
          <t>Red</t>
        </is>
      </c>
      <c r="I8" s="11" t="inlineStr">
        <is>
          <t>Chuck</t>
        </is>
      </c>
      <c r="J8" s="11" t="inlineStr">
        <is>
          <t>Bomb</t>
        </is>
      </c>
      <c r="K8" s="11" t="inlineStr">
        <is>
          <t>UL Bomb</t>
        </is>
      </c>
      <c r="L8" s="11" t="inlineStr">
        <is>
          <t>UL Chuck</t>
        </is>
      </c>
      <c r="M8" s="11" t="inlineStr">
        <is>
          <t>UL Red</t>
        </is>
      </c>
      <c r="N8" s="11" t="inlineStr">
        <is>
          <t>Unlimited Lives</t>
        </is>
      </c>
      <c r="O8" s="11" t="inlineStr">
        <is>
          <t>SPT</t>
        </is>
      </c>
      <c r="P8" s="11" t="inlineStr">
        <is>
          <t>SPTx2</t>
        </is>
      </c>
      <c r="Q8" s="11" t="inlineStr">
        <is>
          <t>1-star Pack</t>
        </is>
      </c>
      <c r="R8" s="11" t="inlineStr">
        <is>
          <t>2-star Pack</t>
        </is>
      </c>
      <c r="S8" s="11" t="inlineStr">
        <is>
          <t>3-star Pack</t>
        </is>
      </c>
      <c r="T8" s="11" t="inlineStr">
        <is>
          <t>4-star Pack</t>
        </is>
      </c>
      <c r="U8" s="11" t="inlineStr">
        <is>
          <t>5-star Pack</t>
        </is>
      </c>
      <c r="V8" s="11" t="inlineStr">
        <is>
          <t>6-star Pack</t>
        </is>
      </c>
      <c r="W8" s="11" t="inlineStr">
        <is>
          <t>ToF_Ticket</t>
        </is>
      </c>
      <c r="Y8" s="12" t="inlineStr">
        <is>
          <t>HC</t>
        </is>
      </c>
      <c r="Z8" s="12" t="inlineStr">
        <is>
          <t>Slingshot</t>
        </is>
      </c>
      <c r="AA8" s="12" t="inlineStr">
        <is>
          <t>Shuffle</t>
        </is>
      </c>
      <c r="AB8" s="12" t="inlineStr">
        <is>
          <t>Comet</t>
        </is>
      </c>
      <c r="AC8" s="12" t="inlineStr">
        <is>
          <t>Red</t>
        </is>
      </c>
      <c r="AD8" s="12" t="inlineStr">
        <is>
          <t>Chuck</t>
        </is>
      </c>
      <c r="AE8" s="12" t="inlineStr">
        <is>
          <t>Bomb</t>
        </is>
      </c>
      <c r="AF8" s="12" t="inlineStr">
        <is>
          <t>UL Bomb</t>
        </is>
      </c>
      <c r="AG8" s="12" t="inlineStr">
        <is>
          <t>UL Chuck</t>
        </is>
      </c>
      <c r="AH8" s="12" t="inlineStr">
        <is>
          <t>UL Red</t>
        </is>
      </c>
      <c r="AI8" s="12" t="inlineStr">
        <is>
          <t>Unlimited Lives</t>
        </is>
      </c>
      <c r="AJ8" s="12" t="inlineStr">
        <is>
          <t>SPT</t>
        </is>
      </c>
      <c r="AK8" s="12" t="inlineStr">
        <is>
          <t>SPTx2</t>
        </is>
      </c>
      <c r="AL8" s="12" t="inlineStr">
        <is>
          <t>1-star Pack</t>
        </is>
      </c>
      <c r="AM8" s="12" t="inlineStr">
        <is>
          <t>2-star Pack</t>
        </is>
      </c>
      <c r="AN8" s="12" t="inlineStr">
        <is>
          <t>3-star Pack</t>
        </is>
      </c>
      <c r="AO8" s="12" t="inlineStr">
        <is>
          <t>4-star Pack</t>
        </is>
      </c>
      <c r="AP8" s="12" t="inlineStr">
        <is>
          <t>5-star Pack</t>
        </is>
      </c>
      <c r="AQ8" s="12" t="inlineStr">
        <is>
          <t>6-star Pack</t>
        </is>
      </c>
      <c r="AR8" s="12" t="inlineStr">
        <is>
          <t>ToF_Ticket</t>
        </is>
      </c>
      <c r="AT8" s="13" t="inlineStr">
        <is>
          <t>HC</t>
        </is>
      </c>
      <c r="AU8" s="13" t="inlineStr">
        <is>
          <t>Slingshot</t>
        </is>
      </c>
      <c r="AV8" s="13" t="inlineStr">
        <is>
          <t>Shuffle</t>
        </is>
      </c>
      <c r="AW8" s="13" t="inlineStr">
        <is>
          <t>Comet</t>
        </is>
      </c>
      <c r="AX8" s="13" t="inlineStr">
        <is>
          <t>Red</t>
        </is>
      </c>
      <c r="AY8" s="13" t="inlineStr">
        <is>
          <t>Chuck</t>
        </is>
      </c>
      <c r="AZ8" s="13" t="inlineStr">
        <is>
          <t>Bomb</t>
        </is>
      </c>
      <c r="BA8" s="13" t="inlineStr">
        <is>
          <t>UL Bomb</t>
        </is>
      </c>
      <c r="BB8" s="13" t="inlineStr">
        <is>
          <t>UL Chuck</t>
        </is>
      </c>
      <c r="BC8" s="13" t="inlineStr">
        <is>
          <t>UL Red</t>
        </is>
      </c>
      <c r="BD8" s="13" t="inlineStr">
        <is>
          <t>Unlimited Lives</t>
        </is>
      </c>
      <c r="BE8" s="13" t="inlineStr">
        <is>
          <t>SPT</t>
        </is>
      </c>
      <c r="BF8" s="13" t="inlineStr">
        <is>
          <t>SPTx2</t>
        </is>
      </c>
      <c r="BG8" s="13" t="inlineStr">
        <is>
          <t>1-star Pack</t>
        </is>
      </c>
      <c r="BH8" s="13" t="inlineStr">
        <is>
          <t>2-star Pack</t>
        </is>
      </c>
      <c r="BI8" s="13" t="inlineStr">
        <is>
          <t>3-star Pack</t>
        </is>
      </c>
      <c r="BJ8" s="13" t="inlineStr">
        <is>
          <t>4-star Pack</t>
        </is>
      </c>
      <c r="BK8" s="13" t="inlineStr">
        <is>
          <t>5-star Pack</t>
        </is>
      </c>
      <c r="BL8" s="13" t="inlineStr">
        <is>
          <t>6-star Pack</t>
        </is>
      </c>
      <c r="BM8" s="13" t="inlineStr">
        <is>
          <t>ToF_Ticket</t>
        </is>
      </c>
      <c r="BO8" s="14" t="inlineStr">
        <is>
          <t>HC</t>
        </is>
      </c>
      <c r="BP8" s="14" t="inlineStr">
        <is>
          <t>Slingshot</t>
        </is>
      </c>
      <c r="BQ8" s="14" t="inlineStr">
        <is>
          <t>Shuffle</t>
        </is>
      </c>
      <c r="BR8" s="14" t="inlineStr">
        <is>
          <t>Comet</t>
        </is>
      </c>
      <c r="BS8" s="14" t="inlineStr">
        <is>
          <t>Red</t>
        </is>
      </c>
      <c r="BT8" s="14" t="inlineStr">
        <is>
          <t>Chuck</t>
        </is>
      </c>
      <c r="BU8" s="14" t="inlineStr">
        <is>
          <t>Bomb</t>
        </is>
      </c>
      <c r="BV8" s="14" t="inlineStr">
        <is>
          <t>UL Bomb</t>
        </is>
      </c>
      <c r="BW8" s="14" t="inlineStr">
        <is>
          <t>UL Chuck</t>
        </is>
      </c>
      <c r="BX8" s="14" t="inlineStr">
        <is>
          <t>UL Red</t>
        </is>
      </c>
      <c r="BY8" s="14" t="inlineStr">
        <is>
          <t>Unlimited Lives</t>
        </is>
      </c>
      <c r="BZ8" s="14" t="inlineStr">
        <is>
          <t>SPT</t>
        </is>
      </c>
      <c r="CA8" s="14" t="inlineStr">
        <is>
          <t>SPTx2</t>
        </is>
      </c>
      <c r="CB8" s="14" t="inlineStr">
        <is>
          <t>1-star Pack</t>
        </is>
      </c>
      <c r="CC8" s="14" t="inlineStr">
        <is>
          <t>2-star Pack</t>
        </is>
      </c>
      <c r="CD8" s="14" t="inlineStr">
        <is>
          <t>3-star Pack</t>
        </is>
      </c>
      <c r="CE8" s="14" t="inlineStr">
        <is>
          <t>4-star Pack</t>
        </is>
      </c>
      <c r="CF8" s="14" t="inlineStr">
        <is>
          <t>5-star Pack</t>
        </is>
      </c>
      <c r="CG8" s="14" t="inlineStr">
        <is>
          <t>6-star Pack</t>
        </is>
      </c>
      <c r="CH8" s="14" t="inlineStr">
        <is>
          <t>ToF_Ticket</t>
        </is>
      </c>
      <c r="CJ8" s="14" t="inlineStr">
        <is>
          <t>HC</t>
        </is>
      </c>
      <c r="CK8" s="14" t="inlineStr">
        <is>
          <t>Slingshot</t>
        </is>
      </c>
      <c r="CL8" s="14" t="inlineStr">
        <is>
          <t>Shuffle</t>
        </is>
      </c>
      <c r="CM8" s="14" t="inlineStr">
        <is>
          <t>Comet</t>
        </is>
      </c>
      <c r="CN8" s="14" t="inlineStr">
        <is>
          <t>Red</t>
        </is>
      </c>
      <c r="CO8" s="14" t="inlineStr">
        <is>
          <t>Chuck</t>
        </is>
      </c>
      <c r="CP8" s="14" t="inlineStr">
        <is>
          <t>Bomb</t>
        </is>
      </c>
      <c r="CQ8" s="14" t="inlineStr">
        <is>
          <t>UL Bomb</t>
        </is>
      </c>
      <c r="CR8" s="14" t="inlineStr">
        <is>
          <t>UL Chuck</t>
        </is>
      </c>
      <c r="CS8" s="14" t="inlineStr">
        <is>
          <t>UL Red</t>
        </is>
      </c>
      <c r="CT8" s="14" t="inlineStr">
        <is>
          <t>Unlimited Lives</t>
        </is>
      </c>
      <c r="CU8" s="14" t="inlineStr">
        <is>
          <t>SPT</t>
        </is>
      </c>
      <c r="CV8" s="14" t="inlineStr">
        <is>
          <t>SPTx2</t>
        </is>
      </c>
      <c r="CW8" s="14" t="inlineStr">
        <is>
          <t>1-star Pack</t>
        </is>
      </c>
      <c r="CX8" s="14" t="inlineStr">
        <is>
          <t>2-star Pack</t>
        </is>
      </c>
      <c r="CY8" s="14" t="inlineStr">
        <is>
          <t>3-star Pack</t>
        </is>
      </c>
      <c r="CZ8" s="14" t="inlineStr">
        <is>
          <t>4-star Pack</t>
        </is>
      </c>
      <c r="DA8" s="14" t="inlineStr">
        <is>
          <t>5-star Pack</t>
        </is>
      </c>
      <c r="DB8" s="14" t="inlineStr">
        <is>
          <t>6-star Pack</t>
        </is>
      </c>
      <c r="DC8" s="14" t="inlineStr">
        <is>
          <t>ToF_Ticket</t>
        </is>
      </c>
      <c r="DE8" s="14" t="inlineStr">
        <is>
          <t>HC</t>
        </is>
      </c>
      <c r="DF8" s="14" t="inlineStr">
        <is>
          <t>Slingshot</t>
        </is>
      </c>
      <c r="DG8" s="14" t="inlineStr">
        <is>
          <t>Shuffle</t>
        </is>
      </c>
      <c r="DH8" s="14" t="inlineStr">
        <is>
          <t>Comet</t>
        </is>
      </c>
      <c r="DI8" s="14" t="inlineStr">
        <is>
          <t>Red</t>
        </is>
      </c>
      <c r="DJ8" s="14" t="inlineStr">
        <is>
          <t>Chuck</t>
        </is>
      </c>
      <c r="DK8" s="14" t="inlineStr">
        <is>
          <t>Bomb</t>
        </is>
      </c>
      <c r="DL8" s="14" t="inlineStr">
        <is>
          <t>UL Bomb</t>
        </is>
      </c>
      <c r="DM8" s="14" t="inlineStr">
        <is>
          <t>UL Chuck</t>
        </is>
      </c>
      <c r="DN8" s="14" t="inlineStr">
        <is>
          <t>UL Red</t>
        </is>
      </c>
      <c r="DO8" s="14" t="inlineStr">
        <is>
          <t>Unlimited Lives</t>
        </is>
      </c>
      <c r="DP8" s="14" t="inlineStr">
        <is>
          <t>SPT</t>
        </is>
      </c>
      <c r="DQ8" s="14" t="inlineStr">
        <is>
          <t>SPTx2</t>
        </is>
      </c>
      <c r="DR8" s="14" t="inlineStr">
        <is>
          <t>1-star Pack</t>
        </is>
      </c>
      <c r="DS8" s="14" t="inlineStr">
        <is>
          <t>2-star Pack</t>
        </is>
      </c>
      <c r="DT8" s="14" t="inlineStr">
        <is>
          <t>3-star Pack</t>
        </is>
      </c>
      <c r="DU8" s="14" t="inlineStr">
        <is>
          <t>4-star Pack</t>
        </is>
      </c>
      <c r="DV8" s="14" t="inlineStr">
        <is>
          <t>5-star Pack</t>
        </is>
      </c>
      <c r="DW8" s="14" t="inlineStr">
        <is>
          <t>6-star Pack</t>
        </is>
      </c>
      <c r="DX8" s="14" t="inlineStr">
        <is>
          <t>ToF_Ticket</t>
        </is>
      </c>
      <c r="DZ8" s="13" t="inlineStr">
        <is>
          <t>HC</t>
        </is>
      </c>
      <c r="EA8" s="13" t="inlineStr">
        <is>
          <t>Slingshot</t>
        </is>
      </c>
      <c r="EB8" s="13" t="inlineStr">
        <is>
          <t>Shuffle</t>
        </is>
      </c>
      <c r="EC8" s="13" t="inlineStr">
        <is>
          <t>Comet</t>
        </is>
      </c>
      <c r="ED8" s="13" t="inlineStr">
        <is>
          <t>Red</t>
        </is>
      </c>
      <c r="EE8" s="13" t="inlineStr">
        <is>
          <t>Chuck</t>
        </is>
      </c>
      <c r="EF8" s="13" t="inlineStr">
        <is>
          <t>Bomb</t>
        </is>
      </c>
      <c r="EG8" s="13" t="inlineStr">
        <is>
          <t>UL Bomb</t>
        </is>
      </c>
      <c r="EH8" s="13" t="inlineStr">
        <is>
          <t>UL Chuck</t>
        </is>
      </c>
      <c r="EI8" s="13" t="inlineStr">
        <is>
          <t>UL Red</t>
        </is>
      </c>
      <c r="EJ8" s="13" t="inlineStr">
        <is>
          <t>Unlimited Lives</t>
        </is>
      </c>
      <c r="EK8" s="13" t="inlineStr">
        <is>
          <t>SPT</t>
        </is>
      </c>
      <c r="EL8" s="13" t="inlineStr">
        <is>
          <t>SPTx2</t>
        </is>
      </c>
      <c r="EM8" s="13" t="inlineStr">
        <is>
          <t>1-star Pack</t>
        </is>
      </c>
      <c r="EN8" s="13" t="inlineStr">
        <is>
          <t>2-star Pack</t>
        </is>
      </c>
      <c r="EO8" s="13" t="inlineStr">
        <is>
          <t>3-star Pack</t>
        </is>
      </c>
      <c r="EP8" s="13" t="inlineStr">
        <is>
          <t>4-star Pack</t>
        </is>
      </c>
      <c r="EQ8" s="13" t="inlineStr">
        <is>
          <t>5-star Pack</t>
        </is>
      </c>
      <c r="ER8" s="13" t="inlineStr">
        <is>
          <t>6-star Pack</t>
        </is>
      </c>
      <c r="ES8" s="13" t="inlineStr">
        <is>
          <t>ToF_Ticket</t>
        </is>
      </c>
      <c r="EU8" s="11" t="inlineStr">
        <is>
          <t>HC</t>
        </is>
      </c>
      <c r="EV8" s="11" t="inlineStr">
        <is>
          <t>Slingshot</t>
        </is>
      </c>
      <c r="EW8" s="11" t="inlineStr">
        <is>
          <t>Shuffle</t>
        </is>
      </c>
      <c r="EX8" s="11" t="inlineStr">
        <is>
          <t>Comet</t>
        </is>
      </c>
      <c r="EY8" s="11" t="inlineStr">
        <is>
          <t>Red</t>
        </is>
      </c>
      <c r="EZ8" s="11" t="inlineStr">
        <is>
          <t>Chuck</t>
        </is>
      </c>
      <c r="FA8" s="11" t="inlineStr">
        <is>
          <t>Bomb</t>
        </is>
      </c>
      <c r="FB8" s="11" t="inlineStr">
        <is>
          <t>UL Bomb</t>
        </is>
      </c>
      <c r="FC8" s="11" t="inlineStr">
        <is>
          <t>UL Chuck</t>
        </is>
      </c>
      <c r="FD8" s="11" t="inlineStr">
        <is>
          <t>UL Red</t>
        </is>
      </c>
      <c r="FE8" s="11" t="inlineStr">
        <is>
          <t>Unlimited Lives</t>
        </is>
      </c>
      <c r="FF8" s="11" t="inlineStr">
        <is>
          <t>SPT</t>
        </is>
      </c>
      <c r="FG8" s="11" t="inlineStr">
        <is>
          <t>SPTx2</t>
        </is>
      </c>
      <c r="FH8" s="11" t="inlineStr">
        <is>
          <t>1-star Pack</t>
        </is>
      </c>
      <c r="FI8" s="11" t="inlineStr">
        <is>
          <t>2-star Pack</t>
        </is>
      </c>
      <c r="FJ8" s="11" t="inlineStr">
        <is>
          <t>3-star Pack</t>
        </is>
      </c>
      <c r="FK8" s="11" t="inlineStr">
        <is>
          <t>4-star Pack</t>
        </is>
      </c>
      <c r="FL8" s="11" t="inlineStr">
        <is>
          <t>5-star Pack</t>
        </is>
      </c>
      <c r="FM8" s="11" t="inlineStr">
        <is>
          <t>6-star Pack</t>
        </is>
      </c>
      <c r="FN8" s="11" t="inlineStr">
        <is>
          <t>ToF_Ticket</t>
        </is>
      </c>
      <c r="FP8" s="2" t="inlineStr">
        <is>
          <t>Daily Gift</t>
        </is>
      </c>
    </row>
    <row r="9">
      <c r="B9" s="15" t="n">
        <v>1</v>
      </c>
      <c r="C9" s="15">
        <f>IFERROR(LEFT(INDEX(cal_new!$A$3:$AH$3,1,MATCH(1,cal_new!$A$4:$AH$4,0)+B9-1),3),"")</f>
        <v/>
      </c>
      <c r="D9" s="16">
        <f>LET(payer,$C$3, segment,$C$4, source,$C$5, ECOGAINS_DAILY(payer, segment, source, "DATA", sim_refresh!$A$1))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Y9" s="16">
        <f>LET(payer,$C$3, segment,$C$4, source,$C$5, ECOGAINS_DAILY(payer, segment, source, "NEW", sim_refresh!$A$1))</f>
        <v/>
      </c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T9" s="17">
        <f>LET(payer,$C$3, segment,$C$4, source,$C$5, ECOGAINS_DAILY(payer, segment, source, "DATADIFF", sim_refresh!$A$1))</f>
        <v/>
      </c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O9" s="16">
        <f>LET(payer,$C$3, segment,$C$4, source,$C$5, ECOGAINS_DAILY(payer, segment, source, "SPEND", sim_refresh!$A$1))</f>
        <v/>
      </c>
      <c r="BP9" s="16" t="n"/>
      <c r="BQ9" s="16" t="n"/>
      <c r="BR9" s="16" t="n"/>
      <c r="BS9" s="16" t="n"/>
      <c r="BT9" s="16" t="n"/>
      <c r="BU9" s="16" t="n"/>
      <c r="BV9" s="16" t="n"/>
      <c r="BW9" s="16" t="n"/>
      <c r="BX9" s="16" t="n"/>
      <c r="BY9" s="16" t="n"/>
      <c r="BZ9" s="16" t="n"/>
      <c r="CA9" s="16" t="n"/>
      <c r="CB9" s="16" t="n"/>
      <c r="CC9" s="16" t="n"/>
      <c r="CD9" s="16" t="n"/>
      <c r="CE9" s="16" t="n"/>
      <c r="CF9" s="16" t="n"/>
      <c r="CG9" s="16" t="n"/>
      <c r="CH9" s="16" t="n"/>
      <c r="CJ9" s="18">
        <f>LET(payer,$C$3, segment,$C$4, source,$C$5, ECOGAINS_DAILY(payer, segment, source, "CURNET", sim_refresh!$A$1))</f>
        <v/>
      </c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E9" s="18">
        <f>LET(payer,$C$3, segment,$C$4, source,$C$5, ECOGAINS_DAILY(payer, segment, source, "NEWNET", sim_refresh!$A$1))</f>
        <v/>
      </c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Z9" s="17">
        <f>IF(OR(CJ9="",DE9=""),"",IFERROR(CJ9-DE9,""))</f>
        <v/>
      </c>
      <c r="EA9" s="17">
        <f>IF(OR(CK9="",DF9=""),"",IFERROR(CK9-DF9,""))</f>
        <v/>
      </c>
      <c r="EB9" s="17">
        <f>IF(OR(CL9="",DG9=""),"",IFERROR(CL9-DG9,""))</f>
        <v/>
      </c>
      <c r="EC9" s="17">
        <f>IF(OR(CM9="",DH9=""),"",IFERROR(CM9-DH9,""))</f>
        <v/>
      </c>
      <c r="ED9" s="17">
        <f>IF(OR(CN9="",DI9=""),"",IFERROR(CN9-DI9,""))</f>
        <v/>
      </c>
      <c r="EE9" s="17">
        <f>IF(OR(CO9="",DJ9=""),"",IFERROR(CO9-DJ9,""))</f>
        <v/>
      </c>
      <c r="EF9" s="17">
        <f>IF(OR(CP9="",DK9=""),"",IFERROR(CP9-DK9,""))</f>
        <v/>
      </c>
      <c r="EG9" s="17">
        <f>IF(OR(CQ9="",DL9=""),"",IFERROR(CQ9-DL9,""))</f>
        <v/>
      </c>
      <c r="EH9" s="17">
        <f>IF(OR(CR9="",DM9=""),"",IFERROR(CR9-DM9,""))</f>
        <v/>
      </c>
      <c r="EI9" s="17">
        <f>IF(OR(CS9="",DN9=""),"",IFERROR(CS9-DN9,""))</f>
        <v/>
      </c>
      <c r="EJ9" s="17">
        <f>IF(OR(CT9="",DO9=""),"",IFERROR(CT9-DO9,""))</f>
        <v/>
      </c>
      <c r="EK9" s="17">
        <f>IF(OR(CU9="",DP9=""),"",IFERROR(CU9-DP9,""))</f>
        <v/>
      </c>
      <c r="EL9" s="17">
        <f>IF(OR(CV9="",DQ9=""),"",IFERROR(CV9-DQ9,""))</f>
        <v/>
      </c>
      <c r="EM9" s="17">
        <f>IF(OR(CW9="",DR9=""),"",IFERROR(CW9-DR9,""))</f>
        <v/>
      </c>
      <c r="EN9" s="17">
        <f>IF(OR(CX9="",DS9=""),"",IFERROR(CX9-DS9,""))</f>
        <v/>
      </c>
      <c r="EO9" s="17">
        <f>IF(OR(CY9="",DT9=""),"",IFERROR(CY9-DT9,""))</f>
        <v/>
      </c>
      <c r="EP9" s="17">
        <f>IF(OR(CZ9="",DU9=""),"",IFERROR(CZ9-DU9,""))</f>
        <v/>
      </c>
      <c r="EQ9" s="17">
        <f>IF(OR(DA9="",DV9=""),"",IFERROR(DA9-DV9,""))</f>
        <v/>
      </c>
      <c r="ER9" s="17">
        <f>IF(OR(DB9="",DW9=""),"",IFERROR(DB9-DW9,""))</f>
        <v/>
      </c>
      <c r="ES9" s="17">
        <f>IF(OR(DC9="",DX9=""),"",IFERROR(DC9-DX9,""))</f>
        <v/>
      </c>
      <c r="EU9" s="16">
        <f>LET(payer,$C$3, segment,$C$4, source,$C$5, ECOGAINS_DAILY(payer, segment, source, "CURRENT", sim_refresh!$A$1))</f>
        <v/>
      </c>
      <c r="EV9" s="16" t="n"/>
      <c r="EW9" s="16" t="n"/>
      <c r="EX9" s="16" t="n"/>
      <c r="EY9" s="16" t="n"/>
      <c r="EZ9" s="16" t="n"/>
      <c r="FA9" s="16" t="n"/>
      <c r="FB9" s="16" t="n"/>
      <c r="FC9" s="16" t="n"/>
      <c r="FD9" s="16" t="n"/>
      <c r="FE9" s="16" t="n"/>
      <c r="FF9" s="16" t="n"/>
      <c r="FG9" s="16" t="n"/>
      <c r="FH9" s="16" t="n"/>
      <c r="FI9" s="16" t="n"/>
      <c r="FJ9" s="16" t="n"/>
      <c r="FK9" s="16" t="n"/>
      <c r="FL9" s="16" t="n"/>
      <c r="FM9" s="16" t="n"/>
      <c r="FN9" s="16" t="n"/>
      <c r="FP9" s="2" t="inlineStr">
        <is>
          <t>Daily Night Sky Prize</t>
        </is>
      </c>
    </row>
    <row r="10">
      <c r="B10" s="15" t="n">
        <v>2</v>
      </c>
      <c r="C10" s="15">
        <f>IFERROR(LEFT(INDEX(cal_new!$A$3:$AH$3,1,MATCH(1,cal_new!$A$4:$AH$4,0)+B10-1),3),"")</f>
        <v/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  <c r="CE10" s="16" t="n"/>
      <c r="CF10" s="16" t="n"/>
      <c r="CG10" s="16" t="n"/>
      <c r="CH10" s="16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Z10" s="17">
        <f>IF(OR(CJ10="",DE10=""),"",IFERROR(CJ10-DE10,""))</f>
        <v/>
      </c>
      <c r="EA10" s="17">
        <f>IF(OR(CK10="",DF10=""),"",IFERROR(CK10-DF10,""))</f>
        <v/>
      </c>
      <c r="EB10" s="17">
        <f>IF(OR(CL10="",DG10=""),"",IFERROR(CL10-DG10,""))</f>
        <v/>
      </c>
      <c r="EC10" s="17">
        <f>IF(OR(CM10="",DH10=""),"",IFERROR(CM10-DH10,""))</f>
        <v/>
      </c>
      <c r="ED10" s="17">
        <f>IF(OR(CN10="",DI10=""),"",IFERROR(CN10-DI10,""))</f>
        <v/>
      </c>
      <c r="EE10" s="17">
        <f>IF(OR(CO10="",DJ10=""),"",IFERROR(CO10-DJ10,""))</f>
        <v/>
      </c>
      <c r="EF10" s="17">
        <f>IF(OR(CP10="",DK10=""),"",IFERROR(CP10-DK10,""))</f>
        <v/>
      </c>
      <c r="EG10" s="17">
        <f>IF(OR(CQ10="",DL10=""),"",IFERROR(CQ10-DL10,""))</f>
        <v/>
      </c>
      <c r="EH10" s="17">
        <f>IF(OR(CR10="",DM10=""),"",IFERROR(CR10-DM10,""))</f>
        <v/>
      </c>
      <c r="EI10" s="17">
        <f>IF(OR(CS10="",DN10=""),"",IFERROR(CS10-DN10,""))</f>
        <v/>
      </c>
      <c r="EJ10" s="17">
        <f>IF(OR(CT10="",DO10=""),"",IFERROR(CT10-DO10,""))</f>
        <v/>
      </c>
      <c r="EK10" s="17">
        <f>IF(OR(CU10="",DP10=""),"",IFERROR(CU10-DP10,""))</f>
        <v/>
      </c>
      <c r="EL10" s="17">
        <f>IF(OR(CV10="",DQ10=""),"",IFERROR(CV10-DQ10,""))</f>
        <v/>
      </c>
      <c r="EM10" s="17">
        <f>IF(OR(CW10="",DR10=""),"",IFERROR(CW10-DR10,""))</f>
        <v/>
      </c>
      <c r="EN10" s="17">
        <f>IF(OR(CX10="",DS10=""),"",IFERROR(CX10-DS10,""))</f>
        <v/>
      </c>
      <c r="EO10" s="17">
        <f>IF(OR(CY10="",DT10=""),"",IFERROR(CY10-DT10,""))</f>
        <v/>
      </c>
      <c r="EP10" s="17">
        <f>IF(OR(CZ10="",DU10=""),"",IFERROR(CZ10-DU10,""))</f>
        <v/>
      </c>
      <c r="EQ10" s="17">
        <f>IF(OR(DA10="",DV10=""),"",IFERROR(DA10-DV10,""))</f>
        <v/>
      </c>
      <c r="ER10" s="17">
        <f>IF(OR(DB10="",DW10=""),"",IFERROR(DB10-DW10,""))</f>
        <v/>
      </c>
      <c r="ES10" s="17">
        <f>IF(OR(DC10="",DX10=""),"",IFERROR(DC10-DX10,""))</f>
        <v/>
      </c>
      <c r="EU10" s="16" t="n"/>
      <c r="EV10" s="16" t="n"/>
      <c r="EW10" s="16" t="n"/>
      <c r="EX10" s="16" t="n"/>
      <c r="EY10" s="16" t="n"/>
      <c r="EZ10" s="16" t="n"/>
      <c r="FA10" s="16" t="n"/>
      <c r="FB10" s="16" t="n"/>
      <c r="FC10" s="16" t="n"/>
      <c r="FD10" s="16" t="n"/>
      <c r="FE10" s="16" t="n"/>
      <c r="FF10" s="16" t="n"/>
      <c r="FG10" s="16" t="n"/>
      <c r="FH10" s="16" t="n"/>
      <c r="FI10" s="16" t="n"/>
      <c r="FJ10" s="16" t="n"/>
      <c r="FK10" s="16" t="n"/>
      <c r="FL10" s="16" t="n"/>
      <c r="FM10" s="16" t="n"/>
      <c r="FN10" s="16" t="n"/>
      <c r="FP10" s="2" t="inlineStr">
        <is>
          <t>Flock Flurry</t>
        </is>
      </c>
    </row>
    <row r="11">
      <c r="B11" s="15" t="n">
        <v>3</v>
      </c>
      <c r="C11" s="15">
        <f>IFERROR(LEFT(INDEX(cal_new!$A$3:$AH$3,1,MATCH(1,cal_new!$A$4:$AH$4,0)+B11-1),3),"")</f>
        <v/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  <c r="BZ11" s="16" t="n"/>
      <c r="CA11" s="16" t="n"/>
      <c r="CB11" s="16" t="n"/>
      <c r="CC11" s="16" t="n"/>
      <c r="CD11" s="16" t="n"/>
      <c r="CE11" s="16" t="n"/>
      <c r="CF11" s="16" t="n"/>
      <c r="CG11" s="16" t="n"/>
      <c r="CH11" s="16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Z11" s="17">
        <f>IF(OR(CJ11="",DE11=""),"",IFERROR(CJ11-DE11,""))</f>
        <v/>
      </c>
      <c r="EA11" s="17">
        <f>IF(OR(CK11="",DF11=""),"",IFERROR(CK11-DF11,""))</f>
        <v/>
      </c>
      <c r="EB11" s="17">
        <f>IF(OR(CL11="",DG11=""),"",IFERROR(CL11-DG11,""))</f>
        <v/>
      </c>
      <c r="EC11" s="17">
        <f>IF(OR(CM11="",DH11=""),"",IFERROR(CM11-DH11,""))</f>
        <v/>
      </c>
      <c r="ED11" s="17">
        <f>IF(OR(CN11="",DI11=""),"",IFERROR(CN11-DI11,""))</f>
        <v/>
      </c>
      <c r="EE11" s="17">
        <f>IF(OR(CO11="",DJ11=""),"",IFERROR(CO11-DJ11,""))</f>
        <v/>
      </c>
      <c r="EF11" s="17">
        <f>IF(OR(CP11="",DK11=""),"",IFERROR(CP11-DK11,""))</f>
        <v/>
      </c>
      <c r="EG11" s="17">
        <f>IF(OR(CQ11="",DL11=""),"",IFERROR(CQ11-DL11,""))</f>
        <v/>
      </c>
      <c r="EH11" s="17">
        <f>IF(OR(CR11="",DM11=""),"",IFERROR(CR11-DM11,""))</f>
        <v/>
      </c>
      <c r="EI11" s="17">
        <f>IF(OR(CS11="",DN11=""),"",IFERROR(CS11-DN11,""))</f>
        <v/>
      </c>
      <c r="EJ11" s="17">
        <f>IF(OR(CT11="",DO11=""),"",IFERROR(CT11-DO11,""))</f>
        <v/>
      </c>
      <c r="EK11" s="17">
        <f>IF(OR(CU11="",DP11=""),"",IFERROR(CU11-DP11,""))</f>
        <v/>
      </c>
      <c r="EL11" s="17">
        <f>IF(OR(CV11="",DQ11=""),"",IFERROR(CV11-DQ11,""))</f>
        <v/>
      </c>
      <c r="EM11" s="17">
        <f>IF(OR(CW11="",DR11=""),"",IFERROR(CW11-DR11,""))</f>
        <v/>
      </c>
      <c r="EN11" s="17">
        <f>IF(OR(CX11="",DS11=""),"",IFERROR(CX11-DS11,""))</f>
        <v/>
      </c>
      <c r="EO11" s="17">
        <f>IF(OR(CY11="",DT11=""),"",IFERROR(CY11-DT11,""))</f>
        <v/>
      </c>
      <c r="EP11" s="17">
        <f>IF(OR(CZ11="",DU11=""),"",IFERROR(CZ11-DU11,""))</f>
        <v/>
      </c>
      <c r="EQ11" s="17">
        <f>IF(OR(DA11="",DV11=""),"",IFERROR(DA11-DV11,""))</f>
        <v/>
      </c>
      <c r="ER11" s="17">
        <f>IF(OR(DB11="",DW11=""),"",IFERROR(DB11-DW11,""))</f>
        <v/>
      </c>
      <c r="ES11" s="17">
        <f>IF(OR(DC11="",DX11=""),"",IFERROR(DC11-DX11,""))</f>
        <v/>
      </c>
      <c r="EU11" s="16" t="n"/>
      <c r="EV11" s="16" t="n"/>
      <c r="EW11" s="16" t="n"/>
      <c r="EX11" s="16" t="n"/>
      <c r="EY11" s="16" t="n"/>
      <c r="EZ11" s="16" t="n"/>
      <c r="FA11" s="16" t="n"/>
      <c r="FB11" s="16" t="n"/>
      <c r="FC11" s="16" t="n"/>
      <c r="FD11" s="16" t="n"/>
      <c r="FE11" s="16" t="n"/>
      <c r="FF11" s="16" t="n"/>
      <c r="FG11" s="16" t="n"/>
      <c r="FH11" s="16" t="n"/>
      <c r="FI11" s="16" t="n"/>
      <c r="FJ11" s="16" t="n"/>
      <c r="FK11" s="16" t="n"/>
      <c r="FL11" s="16" t="n"/>
      <c r="FM11" s="16" t="n"/>
      <c r="FN11" s="16" t="n"/>
      <c r="FP11" s="2" t="inlineStr">
        <is>
          <t>Hatchling Hideaway</t>
        </is>
      </c>
    </row>
    <row r="12">
      <c r="B12" s="15" t="n">
        <v>4</v>
      </c>
      <c r="C12" s="15">
        <f>IFERROR(LEFT(INDEX(cal_new!$A$3:$AH$3,1,MATCH(1,cal_new!$A$4:$AH$4,0)+B12-1),3),"")</f>
        <v/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6" t="n"/>
      <c r="CG12" s="16" t="n"/>
      <c r="CH12" s="16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Z12" s="17">
        <f>IF(OR(CJ12="",DE12=""),"",IFERROR(CJ12-DE12,""))</f>
        <v/>
      </c>
      <c r="EA12" s="17">
        <f>IF(OR(CK12="",DF12=""),"",IFERROR(CK12-DF12,""))</f>
        <v/>
      </c>
      <c r="EB12" s="17">
        <f>IF(OR(CL12="",DG12=""),"",IFERROR(CL12-DG12,""))</f>
        <v/>
      </c>
      <c r="EC12" s="17">
        <f>IF(OR(CM12="",DH12=""),"",IFERROR(CM12-DH12,""))</f>
        <v/>
      </c>
      <c r="ED12" s="17">
        <f>IF(OR(CN12="",DI12=""),"",IFERROR(CN12-DI12,""))</f>
        <v/>
      </c>
      <c r="EE12" s="17">
        <f>IF(OR(CO12="",DJ12=""),"",IFERROR(CO12-DJ12,""))</f>
        <v/>
      </c>
      <c r="EF12" s="17">
        <f>IF(OR(CP12="",DK12=""),"",IFERROR(CP12-DK12,""))</f>
        <v/>
      </c>
      <c r="EG12" s="17">
        <f>IF(OR(CQ12="",DL12=""),"",IFERROR(CQ12-DL12,""))</f>
        <v/>
      </c>
      <c r="EH12" s="17">
        <f>IF(OR(CR12="",DM12=""),"",IFERROR(CR12-DM12,""))</f>
        <v/>
      </c>
      <c r="EI12" s="17">
        <f>IF(OR(CS12="",DN12=""),"",IFERROR(CS12-DN12,""))</f>
        <v/>
      </c>
      <c r="EJ12" s="17">
        <f>IF(OR(CT12="",DO12=""),"",IFERROR(CT12-DO12,""))</f>
        <v/>
      </c>
      <c r="EK12" s="17">
        <f>IF(OR(CU12="",DP12=""),"",IFERROR(CU12-DP12,""))</f>
        <v/>
      </c>
      <c r="EL12" s="17">
        <f>IF(OR(CV12="",DQ12=""),"",IFERROR(CV12-DQ12,""))</f>
        <v/>
      </c>
      <c r="EM12" s="17">
        <f>IF(OR(CW12="",DR12=""),"",IFERROR(CW12-DR12,""))</f>
        <v/>
      </c>
      <c r="EN12" s="17">
        <f>IF(OR(CX12="",DS12=""),"",IFERROR(CX12-DS12,""))</f>
        <v/>
      </c>
      <c r="EO12" s="17">
        <f>IF(OR(CY12="",DT12=""),"",IFERROR(CY12-DT12,""))</f>
        <v/>
      </c>
      <c r="EP12" s="17">
        <f>IF(OR(CZ12="",DU12=""),"",IFERROR(CZ12-DU12,""))</f>
        <v/>
      </c>
      <c r="EQ12" s="17">
        <f>IF(OR(DA12="",DV12=""),"",IFERROR(DA12-DV12,""))</f>
        <v/>
      </c>
      <c r="ER12" s="17">
        <f>IF(OR(DB12="",DW12=""),"",IFERROR(DB12-DW12,""))</f>
        <v/>
      </c>
      <c r="ES12" s="17">
        <f>IF(OR(DC12="",DX12=""),"",IFERROR(DC12-DX12,""))</f>
        <v/>
      </c>
      <c r="EU12" s="16" t="n"/>
      <c r="EV12" s="16" t="n"/>
      <c r="EW12" s="16" t="n"/>
      <c r="EX12" s="16" t="n"/>
      <c r="EY12" s="16" t="n"/>
      <c r="EZ12" s="16" t="n"/>
      <c r="FA12" s="16" t="n"/>
      <c r="FB12" s="16" t="n"/>
      <c r="FC12" s="16" t="n"/>
      <c r="FD12" s="16" t="n"/>
      <c r="FE12" s="16" t="n"/>
      <c r="FF12" s="16" t="n"/>
      <c r="FG12" s="16" t="n"/>
      <c r="FH12" s="16" t="n"/>
      <c r="FI12" s="16" t="n"/>
      <c r="FJ12" s="16" t="n"/>
      <c r="FK12" s="16" t="n"/>
      <c r="FL12" s="16" t="n"/>
      <c r="FM12" s="16" t="n"/>
      <c r="FN12" s="16" t="n"/>
      <c r="FP12" s="2" t="inlineStr">
        <is>
          <t>Jigsaw</t>
        </is>
      </c>
    </row>
    <row r="13">
      <c r="B13" s="15" t="n">
        <v>5</v>
      </c>
      <c r="C13" s="15">
        <f>IFERROR(LEFT(INDEX(cal_new!$A$3:$AH$3,1,MATCH(1,cal_new!$A$4:$AH$4,0)+B13-1),3),"")</f>
        <v/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  <c r="CE13" s="16" t="n"/>
      <c r="CF13" s="16" t="n"/>
      <c r="CG13" s="16" t="n"/>
      <c r="CH13" s="16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Z13" s="17">
        <f>IF(OR(CJ13="",DE13=""),"",IFERROR(CJ13-DE13,""))</f>
        <v/>
      </c>
      <c r="EA13" s="17">
        <f>IF(OR(CK13="",DF13=""),"",IFERROR(CK13-DF13,""))</f>
        <v/>
      </c>
      <c r="EB13" s="17">
        <f>IF(OR(CL13="",DG13=""),"",IFERROR(CL13-DG13,""))</f>
        <v/>
      </c>
      <c r="EC13" s="17">
        <f>IF(OR(CM13="",DH13=""),"",IFERROR(CM13-DH13,""))</f>
        <v/>
      </c>
      <c r="ED13" s="17">
        <f>IF(OR(CN13="",DI13=""),"",IFERROR(CN13-DI13,""))</f>
        <v/>
      </c>
      <c r="EE13" s="17">
        <f>IF(OR(CO13="",DJ13=""),"",IFERROR(CO13-DJ13,""))</f>
        <v/>
      </c>
      <c r="EF13" s="17">
        <f>IF(OR(CP13="",DK13=""),"",IFERROR(CP13-DK13,""))</f>
        <v/>
      </c>
      <c r="EG13" s="17">
        <f>IF(OR(CQ13="",DL13=""),"",IFERROR(CQ13-DL13,""))</f>
        <v/>
      </c>
      <c r="EH13" s="17">
        <f>IF(OR(CR13="",DM13=""),"",IFERROR(CR13-DM13,""))</f>
        <v/>
      </c>
      <c r="EI13" s="17">
        <f>IF(OR(CS13="",DN13=""),"",IFERROR(CS13-DN13,""))</f>
        <v/>
      </c>
      <c r="EJ13" s="17">
        <f>IF(OR(CT13="",DO13=""),"",IFERROR(CT13-DO13,""))</f>
        <v/>
      </c>
      <c r="EK13" s="17">
        <f>IF(OR(CU13="",DP13=""),"",IFERROR(CU13-DP13,""))</f>
        <v/>
      </c>
      <c r="EL13" s="17">
        <f>IF(OR(CV13="",DQ13=""),"",IFERROR(CV13-DQ13,""))</f>
        <v/>
      </c>
      <c r="EM13" s="17">
        <f>IF(OR(CW13="",DR13=""),"",IFERROR(CW13-DR13,""))</f>
        <v/>
      </c>
      <c r="EN13" s="17">
        <f>IF(OR(CX13="",DS13=""),"",IFERROR(CX13-DS13,""))</f>
        <v/>
      </c>
      <c r="EO13" s="17">
        <f>IF(OR(CY13="",DT13=""),"",IFERROR(CY13-DT13,""))</f>
        <v/>
      </c>
      <c r="EP13" s="17">
        <f>IF(OR(CZ13="",DU13=""),"",IFERROR(CZ13-DU13,""))</f>
        <v/>
      </c>
      <c r="EQ13" s="17">
        <f>IF(OR(DA13="",DV13=""),"",IFERROR(DA13-DV13,""))</f>
        <v/>
      </c>
      <c r="ER13" s="17">
        <f>IF(OR(DB13="",DW13=""),"",IFERROR(DB13-DW13,""))</f>
        <v/>
      </c>
      <c r="ES13" s="17">
        <f>IF(OR(DC13="",DX13=""),"",IFERROR(DC13-DX13,""))</f>
        <v/>
      </c>
      <c r="EU13" s="16" t="n"/>
      <c r="EV13" s="16" t="n"/>
      <c r="EW13" s="16" t="n"/>
      <c r="EX13" s="16" t="n"/>
      <c r="EY13" s="16" t="n"/>
      <c r="EZ13" s="16" t="n"/>
      <c r="FA13" s="16" t="n"/>
      <c r="FB13" s="16" t="n"/>
      <c r="FC13" s="16" t="n"/>
      <c r="FD13" s="16" t="n"/>
      <c r="FE13" s="16" t="n"/>
      <c r="FF13" s="16" t="n"/>
      <c r="FG13" s="16" t="n"/>
      <c r="FH13" s="16" t="n"/>
      <c r="FI13" s="16" t="n"/>
      <c r="FJ13" s="16" t="n"/>
      <c r="FK13" s="16" t="n"/>
      <c r="FL13" s="16" t="n"/>
      <c r="FM13" s="16" t="n"/>
      <c r="FN13" s="16" t="n"/>
      <c r="FP13" s="2" t="inlineStr">
        <is>
          <t>Kite Festival</t>
        </is>
      </c>
    </row>
    <row r="14">
      <c r="B14" s="15" t="n">
        <v>6</v>
      </c>
      <c r="C14" s="15">
        <f>IFERROR(LEFT(INDEX(cal_new!$A$3:$AH$3,1,MATCH(1,cal_new!$A$4:$AH$4,0)+B14-1),3),"")</f>
        <v/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  <c r="BX14" s="16" t="n"/>
      <c r="BY14" s="16" t="n"/>
      <c r="BZ14" s="16" t="n"/>
      <c r="CA14" s="16" t="n"/>
      <c r="CB14" s="16" t="n"/>
      <c r="CC14" s="16" t="n"/>
      <c r="CD14" s="16" t="n"/>
      <c r="CE14" s="16" t="n"/>
      <c r="CF14" s="16" t="n"/>
      <c r="CG14" s="16" t="n"/>
      <c r="CH14" s="16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Z14" s="17">
        <f>IF(OR(CJ14="",DE14=""),"",IFERROR(CJ14-DE14,""))</f>
        <v/>
      </c>
      <c r="EA14" s="17">
        <f>IF(OR(CK14="",DF14=""),"",IFERROR(CK14-DF14,""))</f>
        <v/>
      </c>
      <c r="EB14" s="17">
        <f>IF(OR(CL14="",DG14=""),"",IFERROR(CL14-DG14,""))</f>
        <v/>
      </c>
      <c r="EC14" s="17">
        <f>IF(OR(CM14="",DH14=""),"",IFERROR(CM14-DH14,""))</f>
        <v/>
      </c>
      <c r="ED14" s="17">
        <f>IF(OR(CN14="",DI14=""),"",IFERROR(CN14-DI14,""))</f>
        <v/>
      </c>
      <c r="EE14" s="17">
        <f>IF(OR(CO14="",DJ14=""),"",IFERROR(CO14-DJ14,""))</f>
        <v/>
      </c>
      <c r="EF14" s="17">
        <f>IF(OR(CP14="",DK14=""),"",IFERROR(CP14-DK14,""))</f>
        <v/>
      </c>
      <c r="EG14" s="17">
        <f>IF(OR(CQ14="",DL14=""),"",IFERROR(CQ14-DL14,""))</f>
        <v/>
      </c>
      <c r="EH14" s="17">
        <f>IF(OR(CR14="",DM14=""),"",IFERROR(CR14-DM14,""))</f>
        <v/>
      </c>
      <c r="EI14" s="17">
        <f>IF(OR(CS14="",DN14=""),"",IFERROR(CS14-DN14,""))</f>
        <v/>
      </c>
      <c r="EJ14" s="17">
        <f>IF(OR(CT14="",DO14=""),"",IFERROR(CT14-DO14,""))</f>
        <v/>
      </c>
      <c r="EK14" s="17">
        <f>IF(OR(CU14="",DP14=""),"",IFERROR(CU14-DP14,""))</f>
        <v/>
      </c>
      <c r="EL14" s="17">
        <f>IF(OR(CV14="",DQ14=""),"",IFERROR(CV14-DQ14,""))</f>
        <v/>
      </c>
      <c r="EM14" s="17">
        <f>IF(OR(CW14="",DR14=""),"",IFERROR(CW14-DR14,""))</f>
        <v/>
      </c>
      <c r="EN14" s="17">
        <f>IF(OR(CX14="",DS14=""),"",IFERROR(CX14-DS14,""))</f>
        <v/>
      </c>
      <c r="EO14" s="17">
        <f>IF(OR(CY14="",DT14=""),"",IFERROR(CY14-DT14,""))</f>
        <v/>
      </c>
      <c r="EP14" s="17">
        <f>IF(OR(CZ14="",DU14=""),"",IFERROR(CZ14-DU14,""))</f>
        <v/>
      </c>
      <c r="EQ14" s="17">
        <f>IF(OR(DA14="",DV14=""),"",IFERROR(DA14-DV14,""))</f>
        <v/>
      </c>
      <c r="ER14" s="17">
        <f>IF(OR(DB14="",DW14=""),"",IFERROR(DB14-DW14,""))</f>
        <v/>
      </c>
      <c r="ES14" s="17">
        <f>IF(OR(DC14="",DX14=""),"",IFERROR(DC14-DX14,""))</f>
        <v/>
      </c>
      <c r="EU14" s="16" t="n"/>
      <c r="EV14" s="16" t="n"/>
      <c r="EW14" s="16" t="n"/>
      <c r="EX14" s="16" t="n"/>
      <c r="EY14" s="16" t="n"/>
      <c r="EZ14" s="16" t="n"/>
      <c r="FA14" s="16" t="n"/>
      <c r="FB14" s="16" t="n"/>
      <c r="FC14" s="16" t="n"/>
      <c r="FD14" s="16" t="n"/>
      <c r="FE14" s="16" t="n"/>
      <c r="FF14" s="16" t="n"/>
      <c r="FG14" s="16" t="n"/>
      <c r="FH14" s="16" t="n"/>
      <c r="FI14" s="16" t="n"/>
      <c r="FJ14" s="16" t="n"/>
      <c r="FK14" s="16" t="n"/>
      <c r="FL14" s="16" t="n"/>
      <c r="FM14" s="16" t="n"/>
      <c r="FN14" s="16" t="n"/>
      <c r="FP14" s="2" t="inlineStr">
        <is>
          <t>Level Race</t>
        </is>
      </c>
    </row>
    <row r="15">
      <c r="B15" s="15" t="n">
        <v>7</v>
      </c>
      <c r="C15" s="15">
        <f>IFERROR(LEFT(INDEX(cal_new!$A$3:$AH$3,1,MATCH(1,cal_new!$A$4:$AH$4,0)+B15-1),3),"")</f>
        <v/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6" t="n"/>
      <c r="BY15" s="16" t="n"/>
      <c r="BZ15" s="16" t="n"/>
      <c r="CA15" s="16" t="n"/>
      <c r="CB15" s="16" t="n"/>
      <c r="CC15" s="16" t="n"/>
      <c r="CD15" s="16" t="n"/>
      <c r="CE15" s="16" t="n"/>
      <c r="CF15" s="16" t="n"/>
      <c r="CG15" s="16" t="n"/>
      <c r="CH15" s="16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Z15" s="17">
        <f>IF(OR(CJ15="",DE15=""),"",IFERROR(CJ15-DE15,""))</f>
        <v/>
      </c>
      <c r="EA15" s="17">
        <f>IF(OR(CK15="",DF15=""),"",IFERROR(CK15-DF15,""))</f>
        <v/>
      </c>
      <c r="EB15" s="17">
        <f>IF(OR(CL15="",DG15=""),"",IFERROR(CL15-DG15,""))</f>
        <v/>
      </c>
      <c r="EC15" s="17">
        <f>IF(OR(CM15="",DH15=""),"",IFERROR(CM15-DH15,""))</f>
        <v/>
      </c>
      <c r="ED15" s="17">
        <f>IF(OR(CN15="",DI15=""),"",IFERROR(CN15-DI15,""))</f>
        <v/>
      </c>
      <c r="EE15" s="17">
        <f>IF(OR(CO15="",DJ15=""),"",IFERROR(CO15-DJ15,""))</f>
        <v/>
      </c>
      <c r="EF15" s="17">
        <f>IF(OR(CP15="",DK15=""),"",IFERROR(CP15-DK15,""))</f>
        <v/>
      </c>
      <c r="EG15" s="17">
        <f>IF(OR(CQ15="",DL15=""),"",IFERROR(CQ15-DL15,""))</f>
        <v/>
      </c>
      <c r="EH15" s="17">
        <f>IF(OR(CR15="",DM15=""),"",IFERROR(CR15-DM15,""))</f>
        <v/>
      </c>
      <c r="EI15" s="17">
        <f>IF(OR(CS15="",DN15=""),"",IFERROR(CS15-DN15,""))</f>
        <v/>
      </c>
      <c r="EJ15" s="17">
        <f>IF(OR(CT15="",DO15=""),"",IFERROR(CT15-DO15,""))</f>
        <v/>
      </c>
      <c r="EK15" s="17">
        <f>IF(OR(CU15="",DP15=""),"",IFERROR(CU15-DP15,""))</f>
        <v/>
      </c>
      <c r="EL15" s="17">
        <f>IF(OR(CV15="",DQ15=""),"",IFERROR(CV15-DQ15,""))</f>
        <v/>
      </c>
      <c r="EM15" s="17">
        <f>IF(OR(CW15="",DR15=""),"",IFERROR(CW15-DR15,""))</f>
        <v/>
      </c>
      <c r="EN15" s="17">
        <f>IF(OR(CX15="",DS15=""),"",IFERROR(CX15-DS15,""))</f>
        <v/>
      </c>
      <c r="EO15" s="17">
        <f>IF(OR(CY15="",DT15=""),"",IFERROR(CY15-DT15,""))</f>
        <v/>
      </c>
      <c r="EP15" s="17">
        <f>IF(OR(CZ15="",DU15=""),"",IFERROR(CZ15-DU15,""))</f>
        <v/>
      </c>
      <c r="EQ15" s="17">
        <f>IF(OR(DA15="",DV15=""),"",IFERROR(DA15-DV15,""))</f>
        <v/>
      </c>
      <c r="ER15" s="17">
        <f>IF(OR(DB15="",DW15=""),"",IFERROR(DB15-DW15,""))</f>
        <v/>
      </c>
      <c r="ES15" s="17">
        <f>IF(OR(DC15="",DX15=""),"",IFERROR(DC15-DX15,""))</f>
        <v/>
      </c>
      <c r="EU15" s="16" t="n"/>
      <c r="EV15" s="16" t="n"/>
      <c r="EW15" s="16" t="n"/>
      <c r="EX15" s="16" t="n"/>
      <c r="EY15" s="16" t="n"/>
      <c r="EZ15" s="16" t="n"/>
      <c r="FA15" s="16" t="n"/>
      <c r="FB15" s="16" t="n"/>
      <c r="FC15" s="16" t="n"/>
      <c r="FD15" s="16" t="n"/>
      <c r="FE15" s="16" t="n"/>
      <c r="FF15" s="16" t="n"/>
      <c r="FG15" s="16" t="n"/>
      <c r="FH15" s="16" t="n"/>
      <c r="FI15" s="16" t="n"/>
      <c r="FJ15" s="16" t="n"/>
      <c r="FK15" s="16" t="n"/>
      <c r="FL15" s="16" t="n"/>
      <c r="FM15" s="16" t="n"/>
      <c r="FN15" s="16" t="n"/>
      <c r="FP15" s="2" t="inlineStr">
        <is>
          <t>Other</t>
        </is>
      </c>
    </row>
    <row r="16">
      <c r="B16" s="15" t="n">
        <v>8</v>
      </c>
      <c r="C16" s="15">
        <f>IFERROR(LEFT(INDEX(cal_new!$A$3:$AH$3,1,MATCH(1,cal_new!$A$4:$AH$4,0)+B16-1),3),"")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  <c r="CA16" s="16" t="n"/>
      <c r="CB16" s="16" t="n"/>
      <c r="CC16" s="16" t="n"/>
      <c r="CD16" s="16" t="n"/>
      <c r="CE16" s="16" t="n"/>
      <c r="CF16" s="16" t="n"/>
      <c r="CG16" s="16" t="n"/>
      <c r="CH16" s="16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Z16" s="17">
        <f>IF(OR(CJ16="",DE16=""),"",IFERROR(CJ16-DE16,""))</f>
        <v/>
      </c>
      <c r="EA16" s="17">
        <f>IF(OR(CK16="",DF16=""),"",IFERROR(CK16-DF16,""))</f>
        <v/>
      </c>
      <c r="EB16" s="17">
        <f>IF(OR(CL16="",DG16=""),"",IFERROR(CL16-DG16,""))</f>
        <v/>
      </c>
      <c r="EC16" s="17">
        <f>IF(OR(CM16="",DH16=""),"",IFERROR(CM16-DH16,""))</f>
        <v/>
      </c>
      <c r="ED16" s="17">
        <f>IF(OR(CN16="",DI16=""),"",IFERROR(CN16-DI16,""))</f>
        <v/>
      </c>
      <c r="EE16" s="17">
        <f>IF(OR(CO16="",DJ16=""),"",IFERROR(CO16-DJ16,""))</f>
        <v/>
      </c>
      <c r="EF16" s="17">
        <f>IF(OR(CP16="",DK16=""),"",IFERROR(CP16-DK16,""))</f>
        <v/>
      </c>
      <c r="EG16" s="17">
        <f>IF(OR(CQ16="",DL16=""),"",IFERROR(CQ16-DL16,""))</f>
        <v/>
      </c>
      <c r="EH16" s="17">
        <f>IF(OR(CR16="",DM16=""),"",IFERROR(CR16-DM16,""))</f>
        <v/>
      </c>
      <c r="EI16" s="17">
        <f>IF(OR(CS16="",DN16=""),"",IFERROR(CS16-DN16,""))</f>
        <v/>
      </c>
      <c r="EJ16" s="17">
        <f>IF(OR(CT16="",DO16=""),"",IFERROR(CT16-DO16,""))</f>
        <v/>
      </c>
      <c r="EK16" s="17">
        <f>IF(OR(CU16="",DP16=""),"",IFERROR(CU16-DP16,""))</f>
        <v/>
      </c>
      <c r="EL16" s="17">
        <f>IF(OR(CV16="",DQ16=""),"",IFERROR(CV16-DQ16,""))</f>
        <v/>
      </c>
      <c r="EM16" s="17">
        <f>IF(OR(CW16="",DR16=""),"",IFERROR(CW16-DR16,""))</f>
        <v/>
      </c>
      <c r="EN16" s="17">
        <f>IF(OR(CX16="",DS16=""),"",IFERROR(CX16-DS16,""))</f>
        <v/>
      </c>
      <c r="EO16" s="17">
        <f>IF(OR(CY16="",DT16=""),"",IFERROR(CY16-DT16,""))</f>
        <v/>
      </c>
      <c r="EP16" s="17">
        <f>IF(OR(CZ16="",DU16=""),"",IFERROR(CZ16-DU16,""))</f>
        <v/>
      </c>
      <c r="EQ16" s="17">
        <f>IF(OR(DA16="",DV16=""),"",IFERROR(DA16-DV16,""))</f>
        <v/>
      </c>
      <c r="ER16" s="17">
        <f>IF(OR(DB16="",DW16=""),"",IFERROR(DB16-DW16,""))</f>
        <v/>
      </c>
      <c r="ES16" s="17">
        <f>IF(OR(DC16="",DX16=""),"",IFERROR(DC16-DX16,""))</f>
        <v/>
      </c>
      <c r="EU16" s="16" t="n"/>
      <c r="EV16" s="16" t="n"/>
      <c r="EW16" s="16" t="n"/>
      <c r="EX16" s="16" t="n"/>
      <c r="EY16" s="16" t="n"/>
      <c r="EZ16" s="16" t="n"/>
      <c r="FA16" s="16" t="n"/>
      <c r="FB16" s="16" t="n"/>
      <c r="FC16" s="16" t="n"/>
      <c r="FD16" s="16" t="n"/>
      <c r="FE16" s="16" t="n"/>
      <c r="FF16" s="16" t="n"/>
      <c r="FG16" s="16" t="n"/>
      <c r="FH16" s="16" t="n"/>
      <c r="FI16" s="16" t="n"/>
      <c r="FJ16" s="16" t="n"/>
      <c r="FK16" s="16" t="n"/>
      <c r="FL16" s="16" t="n"/>
      <c r="FM16" s="16" t="n"/>
      <c r="FN16" s="16" t="n"/>
      <c r="FP16" s="2" t="inlineStr">
        <is>
          <t>Photoshoot</t>
        </is>
      </c>
    </row>
    <row r="17">
      <c r="B17" s="15" t="n">
        <v>9</v>
      </c>
      <c r="C17" s="15">
        <f>IFERROR(LEFT(INDEX(cal_new!$A$3:$AH$3,1,MATCH(1,cal_new!$A$4:$AH$4,0)+B17-1),3),"")</f>
        <v/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  <c r="BZ17" s="16" t="n"/>
      <c r="CA17" s="16" t="n"/>
      <c r="CB17" s="16" t="n"/>
      <c r="CC17" s="16" t="n"/>
      <c r="CD17" s="16" t="n"/>
      <c r="CE17" s="16" t="n"/>
      <c r="CF17" s="16" t="n"/>
      <c r="CG17" s="16" t="n"/>
      <c r="CH17" s="16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Z17" s="17">
        <f>IF(OR(CJ17="",DE17=""),"",IFERROR(CJ17-DE17,""))</f>
        <v/>
      </c>
      <c r="EA17" s="17">
        <f>IF(OR(CK17="",DF17=""),"",IFERROR(CK17-DF17,""))</f>
        <v/>
      </c>
      <c r="EB17" s="17">
        <f>IF(OR(CL17="",DG17=""),"",IFERROR(CL17-DG17,""))</f>
        <v/>
      </c>
      <c r="EC17" s="17">
        <f>IF(OR(CM17="",DH17=""),"",IFERROR(CM17-DH17,""))</f>
        <v/>
      </c>
      <c r="ED17" s="17">
        <f>IF(OR(CN17="",DI17=""),"",IFERROR(CN17-DI17,""))</f>
        <v/>
      </c>
      <c r="EE17" s="17">
        <f>IF(OR(CO17="",DJ17=""),"",IFERROR(CO17-DJ17,""))</f>
        <v/>
      </c>
      <c r="EF17" s="17">
        <f>IF(OR(CP17="",DK17=""),"",IFERROR(CP17-DK17,""))</f>
        <v/>
      </c>
      <c r="EG17" s="17">
        <f>IF(OR(CQ17="",DL17=""),"",IFERROR(CQ17-DL17,""))</f>
        <v/>
      </c>
      <c r="EH17" s="17">
        <f>IF(OR(CR17="",DM17=""),"",IFERROR(CR17-DM17,""))</f>
        <v/>
      </c>
      <c r="EI17" s="17">
        <f>IF(OR(CS17="",DN17=""),"",IFERROR(CS17-DN17,""))</f>
        <v/>
      </c>
      <c r="EJ17" s="17">
        <f>IF(OR(CT17="",DO17=""),"",IFERROR(CT17-DO17,""))</f>
        <v/>
      </c>
      <c r="EK17" s="17">
        <f>IF(OR(CU17="",DP17=""),"",IFERROR(CU17-DP17,""))</f>
        <v/>
      </c>
      <c r="EL17" s="17">
        <f>IF(OR(CV17="",DQ17=""),"",IFERROR(CV17-DQ17,""))</f>
        <v/>
      </c>
      <c r="EM17" s="17">
        <f>IF(OR(CW17="",DR17=""),"",IFERROR(CW17-DR17,""))</f>
        <v/>
      </c>
      <c r="EN17" s="17">
        <f>IF(OR(CX17="",DS17=""),"",IFERROR(CX17-DS17,""))</f>
        <v/>
      </c>
      <c r="EO17" s="17">
        <f>IF(OR(CY17="",DT17=""),"",IFERROR(CY17-DT17,""))</f>
        <v/>
      </c>
      <c r="EP17" s="17">
        <f>IF(OR(CZ17="",DU17=""),"",IFERROR(CZ17-DU17,""))</f>
        <v/>
      </c>
      <c r="EQ17" s="17">
        <f>IF(OR(DA17="",DV17=""),"",IFERROR(DA17-DV17,""))</f>
        <v/>
      </c>
      <c r="ER17" s="17">
        <f>IF(OR(DB17="",DW17=""),"",IFERROR(DB17-DW17,""))</f>
        <v/>
      </c>
      <c r="ES17" s="17">
        <f>IF(OR(DC17="",DX17=""),"",IFERROR(DC17-DX17,""))</f>
        <v/>
      </c>
      <c r="EU17" s="16" t="n"/>
      <c r="EV17" s="16" t="n"/>
      <c r="EW17" s="16" t="n"/>
      <c r="EX17" s="16" t="n"/>
      <c r="EY17" s="16" t="n"/>
      <c r="EZ17" s="16" t="n"/>
      <c r="FA17" s="16" t="n"/>
      <c r="FB17" s="16" t="n"/>
      <c r="FC17" s="16" t="n"/>
      <c r="FD17" s="16" t="n"/>
      <c r="FE17" s="16" t="n"/>
      <c r="FF17" s="16" t="n"/>
      <c r="FG17" s="16" t="n"/>
      <c r="FH17" s="16" t="n"/>
      <c r="FI17" s="16" t="n"/>
      <c r="FJ17" s="16" t="n"/>
      <c r="FK17" s="16" t="n"/>
      <c r="FL17" s="16" t="n"/>
      <c r="FM17" s="16" t="n"/>
      <c r="FN17" s="16" t="n"/>
      <c r="FP17" s="2" t="inlineStr">
        <is>
          <t>Red Challenge</t>
        </is>
      </c>
    </row>
    <row r="18">
      <c r="B18" s="15" t="n">
        <v>10</v>
      </c>
      <c r="C18" s="15">
        <f>IFERROR(LEFT(INDEX(cal_new!$A$3:$AH$3,1,MATCH(1,cal_new!$A$4:$AH$4,0)+B18-1),3),"")</f>
        <v/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6" t="n"/>
      <c r="CF18" s="16" t="n"/>
      <c r="CG18" s="16" t="n"/>
      <c r="CH18" s="16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Z18" s="17">
        <f>IF(OR(CJ18="",DE18=""),"",IFERROR(CJ18-DE18,""))</f>
        <v/>
      </c>
      <c r="EA18" s="17">
        <f>IF(OR(CK18="",DF18=""),"",IFERROR(CK18-DF18,""))</f>
        <v/>
      </c>
      <c r="EB18" s="17">
        <f>IF(OR(CL18="",DG18=""),"",IFERROR(CL18-DG18,""))</f>
        <v/>
      </c>
      <c r="EC18" s="17">
        <f>IF(OR(CM18="",DH18=""),"",IFERROR(CM18-DH18,""))</f>
        <v/>
      </c>
      <c r="ED18" s="17">
        <f>IF(OR(CN18="",DI18=""),"",IFERROR(CN18-DI18,""))</f>
        <v/>
      </c>
      <c r="EE18" s="17">
        <f>IF(OR(CO18="",DJ18=""),"",IFERROR(CO18-DJ18,""))</f>
        <v/>
      </c>
      <c r="EF18" s="17">
        <f>IF(OR(CP18="",DK18=""),"",IFERROR(CP18-DK18,""))</f>
        <v/>
      </c>
      <c r="EG18" s="17">
        <f>IF(OR(CQ18="",DL18=""),"",IFERROR(CQ18-DL18,""))</f>
        <v/>
      </c>
      <c r="EH18" s="17">
        <f>IF(OR(CR18="",DM18=""),"",IFERROR(CR18-DM18,""))</f>
        <v/>
      </c>
      <c r="EI18" s="17">
        <f>IF(OR(CS18="",DN18=""),"",IFERROR(CS18-DN18,""))</f>
        <v/>
      </c>
      <c r="EJ18" s="17">
        <f>IF(OR(CT18="",DO18=""),"",IFERROR(CT18-DO18,""))</f>
        <v/>
      </c>
      <c r="EK18" s="17">
        <f>IF(OR(CU18="",DP18=""),"",IFERROR(CU18-DP18,""))</f>
        <v/>
      </c>
      <c r="EL18" s="17">
        <f>IF(OR(CV18="",DQ18=""),"",IFERROR(CV18-DQ18,""))</f>
        <v/>
      </c>
      <c r="EM18" s="17">
        <f>IF(OR(CW18="",DR18=""),"",IFERROR(CW18-DR18,""))</f>
        <v/>
      </c>
      <c r="EN18" s="17">
        <f>IF(OR(CX18="",DS18=""),"",IFERROR(CX18-DS18,""))</f>
        <v/>
      </c>
      <c r="EO18" s="17">
        <f>IF(OR(CY18="",DT18=""),"",IFERROR(CY18-DT18,""))</f>
        <v/>
      </c>
      <c r="EP18" s="17">
        <f>IF(OR(CZ18="",DU18=""),"",IFERROR(CZ18-DU18,""))</f>
        <v/>
      </c>
      <c r="EQ18" s="17">
        <f>IF(OR(DA18="",DV18=""),"",IFERROR(DA18-DV18,""))</f>
        <v/>
      </c>
      <c r="ER18" s="17">
        <f>IF(OR(DB18="",DW18=""),"",IFERROR(DB18-DW18,""))</f>
        <v/>
      </c>
      <c r="ES18" s="17">
        <f>IF(OR(DC18="",DX18=""),"",IFERROR(DC18-DX18,""))</f>
        <v/>
      </c>
      <c r="EU18" s="16" t="n"/>
      <c r="EV18" s="16" t="n"/>
      <c r="EW18" s="16" t="n"/>
      <c r="EX18" s="16" t="n"/>
      <c r="EY18" s="16" t="n"/>
      <c r="EZ18" s="16" t="n"/>
      <c r="FA18" s="16" t="n"/>
      <c r="FB18" s="16" t="n"/>
      <c r="FC18" s="16" t="n"/>
      <c r="FD18" s="16" t="n"/>
      <c r="FE18" s="16" t="n"/>
      <c r="FF18" s="16" t="n"/>
      <c r="FG18" s="16" t="n"/>
      <c r="FH18" s="16" t="n"/>
      <c r="FI18" s="16" t="n"/>
      <c r="FJ18" s="16" t="n"/>
      <c r="FK18" s="16" t="n"/>
      <c r="FL18" s="16" t="n"/>
      <c r="FM18" s="16" t="n"/>
      <c r="FN18" s="16" t="n"/>
      <c r="FP18" s="2" t="inlineStr">
        <is>
          <t>River Rush</t>
        </is>
      </c>
    </row>
    <row r="19">
      <c r="B19" s="15" t="n">
        <v>11</v>
      </c>
      <c r="C19" s="15">
        <f>IFERROR(LEFT(INDEX(cal_new!$A$3:$AH$3,1,MATCH(1,cal_new!$A$4:$AH$4,0)+B19-1),3),"")</f>
        <v/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16" t="n"/>
      <c r="CF19" s="16" t="n"/>
      <c r="CG19" s="16" t="n"/>
      <c r="CH19" s="16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Z19" s="17">
        <f>IF(OR(CJ19="",DE19=""),"",IFERROR(CJ19-DE19,""))</f>
        <v/>
      </c>
      <c r="EA19" s="17">
        <f>IF(OR(CK19="",DF19=""),"",IFERROR(CK19-DF19,""))</f>
        <v/>
      </c>
      <c r="EB19" s="17">
        <f>IF(OR(CL19="",DG19=""),"",IFERROR(CL19-DG19,""))</f>
        <v/>
      </c>
      <c r="EC19" s="17">
        <f>IF(OR(CM19="",DH19=""),"",IFERROR(CM19-DH19,""))</f>
        <v/>
      </c>
      <c r="ED19" s="17">
        <f>IF(OR(CN19="",DI19=""),"",IFERROR(CN19-DI19,""))</f>
        <v/>
      </c>
      <c r="EE19" s="17">
        <f>IF(OR(CO19="",DJ19=""),"",IFERROR(CO19-DJ19,""))</f>
        <v/>
      </c>
      <c r="EF19" s="17">
        <f>IF(OR(CP19="",DK19=""),"",IFERROR(CP19-DK19,""))</f>
        <v/>
      </c>
      <c r="EG19" s="17">
        <f>IF(OR(CQ19="",DL19=""),"",IFERROR(CQ19-DL19,""))</f>
        <v/>
      </c>
      <c r="EH19" s="17">
        <f>IF(OR(CR19="",DM19=""),"",IFERROR(CR19-DM19,""))</f>
        <v/>
      </c>
      <c r="EI19" s="17">
        <f>IF(OR(CS19="",DN19=""),"",IFERROR(CS19-DN19,""))</f>
        <v/>
      </c>
      <c r="EJ19" s="17">
        <f>IF(OR(CT19="",DO19=""),"",IFERROR(CT19-DO19,""))</f>
        <v/>
      </c>
      <c r="EK19" s="17">
        <f>IF(OR(CU19="",DP19=""),"",IFERROR(CU19-DP19,""))</f>
        <v/>
      </c>
      <c r="EL19" s="17">
        <f>IF(OR(CV19="",DQ19=""),"",IFERROR(CV19-DQ19,""))</f>
        <v/>
      </c>
      <c r="EM19" s="17">
        <f>IF(OR(CW19="",DR19=""),"",IFERROR(CW19-DR19,""))</f>
        <v/>
      </c>
      <c r="EN19" s="17">
        <f>IF(OR(CX19="",DS19=""),"",IFERROR(CX19-DS19,""))</f>
        <v/>
      </c>
      <c r="EO19" s="17">
        <f>IF(OR(CY19="",DT19=""),"",IFERROR(CY19-DT19,""))</f>
        <v/>
      </c>
      <c r="EP19" s="17">
        <f>IF(OR(CZ19="",DU19=""),"",IFERROR(CZ19-DU19,""))</f>
        <v/>
      </c>
      <c r="EQ19" s="17">
        <f>IF(OR(DA19="",DV19=""),"",IFERROR(DA19-DV19,""))</f>
        <v/>
      </c>
      <c r="ER19" s="17">
        <f>IF(OR(DB19="",DW19=""),"",IFERROR(DB19-DW19,""))</f>
        <v/>
      </c>
      <c r="ES19" s="17">
        <f>IF(OR(DC19="",DX19=""),"",IFERROR(DC19-DX19,""))</f>
        <v/>
      </c>
      <c r="EU19" s="16" t="n"/>
      <c r="EV19" s="16" t="n"/>
      <c r="EW19" s="16" t="n"/>
      <c r="EX19" s="16" t="n"/>
      <c r="EY19" s="16" t="n"/>
      <c r="EZ19" s="16" t="n"/>
      <c r="FA19" s="16" t="n"/>
      <c r="FB19" s="16" t="n"/>
      <c r="FC19" s="16" t="n"/>
      <c r="FD19" s="16" t="n"/>
      <c r="FE19" s="16" t="n"/>
      <c r="FF19" s="16" t="n"/>
      <c r="FG19" s="16" t="n"/>
      <c r="FH19" s="16" t="n"/>
      <c r="FI19" s="16" t="n"/>
      <c r="FJ19" s="16" t="n"/>
      <c r="FK19" s="16" t="n"/>
      <c r="FL19" s="16" t="n"/>
      <c r="FM19" s="16" t="n"/>
      <c r="FN19" s="16" t="n"/>
      <c r="FP19" s="2" t="inlineStr">
        <is>
          <t>Saga</t>
        </is>
      </c>
    </row>
    <row r="20">
      <c r="B20" s="15" t="n">
        <v>12</v>
      </c>
      <c r="C20" s="15">
        <f>IFERROR(LEFT(INDEX(cal_new!$A$3:$AH$3,1,MATCH(1,cal_new!$A$4:$AH$4,0)+B20-1),3),"")</f>
        <v/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  <c r="BX20" s="16" t="n"/>
      <c r="BY20" s="16" t="n"/>
      <c r="BZ20" s="16" t="n"/>
      <c r="CA20" s="16" t="n"/>
      <c r="CB20" s="16" t="n"/>
      <c r="CC20" s="16" t="n"/>
      <c r="CD20" s="16" t="n"/>
      <c r="CE20" s="16" t="n"/>
      <c r="CF20" s="16" t="n"/>
      <c r="CG20" s="16" t="n"/>
      <c r="CH20" s="16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Z20" s="17">
        <f>IF(OR(CJ20="",DE20=""),"",IFERROR(CJ20-DE20,""))</f>
        <v/>
      </c>
      <c r="EA20" s="17">
        <f>IF(OR(CK20="",DF20=""),"",IFERROR(CK20-DF20,""))</f>
        <v/>
      </c>
      <c r="EB20" s="17">
        <f>IF(OR(CL20="",DG20=""),"",IFERROR(CL20-DG20,""))</f>
        <v/>
      </c>
      <c r="EC20" s="17">
        <f>IF(OR(CM20="",DH20=""),"",IFERROR(CM20-DH20,""))</f>
        <v/>
      </c>
      <c r="ED20" s="17">
        <f>IF(OR(CN20="",DI20=""),"",IFERROR(CN20-DI20,""))</f>
        <v/>
      </c>
      <c r="EE20" s="17">
        <f>IF(OR(CO20="",DJ20=""),"",IFERROR(CO20-DJ20,""))</f>
        <v/>
      </c>
      <c r="EF20" s="17">
        <f>IF(OR(CP20="",DK20=""),"",IFERROR(CP20-DK20,""))</f>
        <v/>
      </c>
      <c r="EG20" s="17">
        <f>IF(OR(CQ20="",DL20=""),"",IFERROR(CQ20-DL20,""))</f>
        <v/>
      </c>
      <c r="EH20" s="17">
        <f>IF(OR(CR20="",DM20=""),"",IFERROR(CR20-DM20,""))</f>
        <v/>
      </c>
      <c r="EI20" s="17">
        <f>IF(OR(CS20="",DN20=""),"",IFERROR(CS20-DN20,""))</f>
        <v/>
      </c>
      <c r="EJ20" s="17">
        <f>IF(OR(CT20="",DO20=""),"",IFERROR(CT20-DO20,""))</f>
        <v/>
      </c>
      <c r="EK20" s="17">
        <f>IF(OR(CU20="",DP20=""),"",IFERROR(CU20-DP20,""))</f>
        <v/>
      </c>
      <c r="EL20" s="17">
        <f>IF(OR(CV20="",DQ20=""),"",IFERROR(CV20-DQ20,""))</f>
        <v/>
      </c>
      <c r="EM20" s="17">
        <f>IF(OR(CW20="",DR20=""),"",IFERROR(CW20-DR20,""))</f>
        <v/>
      </c>
      <c r="EN20" s="17">
        <f>IF(OR(CX20="",DS20=""),"",IFERROR(CX20-DS20,""))</f>
        <v/>
      </c>
      <c r="EO20" s="17">
        <f>IF(OR(CY20="",DT20=""),"",IFERROR(CY20-DT20,""))</f>
        <v/>
      </c>
      <c r="EP20" s="17">
        <f>IF(OR(CZ20="",DU20=""),"",IFERROR(CZ20-DU20,""))</f>
        <v/>
      </c>
      <c r="EQ20" s="17">
        <f>IF(OR(DA20="",DV20=""),"",IFERROR(DA20-DV20,""))</f>
        <v/>
      </c>
      <c r="ER20" s="17">
        <f>IF(OR(DB20="",DW20=""),"",IFERROR(DB20-DW20,""))</f>
        <v/>
      </c>
      <c r="ES20" s="17">
        <f>IF(OR(DC20="",DX20=""),"",IFERROR(DC20-DX20,""))</f>
        <v/>
      </c>
      <c r="EU20" s="16" t="n"/>
      <c r="EV20" s="16" t="n"/>
      <c r="EW20" s="16" t="n"/>
      <c r="EX20" s="16" t="n"/>
      <c r="EY20" s="16" t="n"/>
      <c r="EZ20" s="16" t="n"/>
      <c r="FA20" s="16" t="n"/>
      <c r="FB20" s="16" t="n"/>
      <c r="FC20" s="16" t="n"/>
      <c r="FD20" s="16" t="n"/>
      <c r="FE20" s="16" t="n"/>
      <c r="FF20" s="16" t="n"/>
      <c r="FG20" s="16" t="n"/>
      <c r="FH20" s="16" t="n"/>
      <c r="FI20" s="16" t="n"/>
      <c r="FJ20" s="16" t="n"/>
      <c r="FK20" s="16" t="n"/>
      <c r="FL20" s="16" t="n"/>
      <c r="FM20" s="16" t="n"/>
      <c r="FN20" s="16" t="n"/>
      <c r="FP20" s="2" t="inlineStr">
        <is>
          <t>Season Pass (Free)</t>
        </is>
      </c>
    </row>
    <row r="21">
      <c r="B21" s="15" t="n">
        <v>13</v>
      </c>
      <c r="C21" s="15">
        <f>IFERROR(LEFT(INDEX(cal_new!$A$3:$AH$3,1,MATCH(1,cal_new!$A$4:$AH$4,0)+B21-1),3),"")</f>
        <v/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  <c r="BX21" s="16" t="n"/>
      <c r="BY21" s="16" t="n"/>
      <c r="BZ21" s="16" t="n"/>
      <c r="CA21" s="16" t="n"/>
      <c r="CB21" s="16" t="n"/>
      <c r="CC21" s="16" t="n"/>
      <c r="CD21" s="16" t="n"/>
      <c r="CE21" s="16" t="n"/>
      <c r="CF21" s="16" t="n"/>
      <c r="CG21" s="16" t="n"/>
      <c r="CH21" s="16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Z21" s="17">
        <f>IF(OR(CJ21="",DE21=""),"",IFERROR(CJ21-DE21,""))</f>
        <v/>
      </c>
      <c r="EA21" s="17">
        <f>IF(OR(CK21="",DF21=""),"",IFERROR(CK21-DF21,""))</f>
        <v/>
      </c>
      <c r="EB21" s="17">
        <f>IF(OR(CL21="",DG21=""),"",IFERROR(CL21-DG21,""))</f>
        <v/>
      </c>
      <c r="EC21" s="17">
        <f>IF(OR(CM21="",DH21=""),"",IFERROR(CM21-DH21,""))</f>
        <v/>
      </c>
      <c r="ED21" s="17">
        <f>IF(OR(CN21="",DI21=""),"",IFERROR(CN21-DI21,""))</f>
        <v/>
      </c>
      <c r="EE21" s="17">
        <f>IF(OR(CO21="",DJ21=""),"",IFERROR(CO21-DJ21,""))</f>
        <v/>
      </c>
      <c r="EF21" s="17">
        <f>IF(OR(CP21="",DK21=""),"",IFERROR(CP21-DK21,""))</f>
        <v/>
      </c>
      <c r="EG21" s="17">
        <f>IF(OR(CQ21="",DL21=""),"",IFERROR(CQ21-DL21,""))</f>
        <v/>
      </c>
      <c r="EH21" s="17">
        <f>IF(OR(CR21="",DM21=""),"",IFERROR(CR21-DM21,""))</f>
        <v/>
      </c>
      <c r="EI21" s="17">
        <f>IF(OR(CS21="",DN21=""),"",IFERROR(CS21-DN21,""))</f>
        <v/>
      </c>
      <c r="EJ21" s="17">
        <f>IF(OR(CT21="",DO21=""),"",IFERROR(CT21-DO21,""))</f>
        <v/>
      </c>
      <c r="EK21" s="17">
        <f>IF(OR(CU21="",DP21=""),"",IFERROR(CU21-DP21,""))</f>
        <v/>
      </c>
      <c r="EL21" s="17">
        <f>IF(OR(CV21="",DQ21=""),"",IFERROR(CV21-DQ21,""))</f>
        <v/>
      </c>
      <c r="EM21" s="17">
        <f>IF(OR(CW21="",DR21=""),"",IFERROR(CW21-DR21,""))</f>
        <v/>
      </c>
      <c r="EN21" s="17">
        <f>IF(OR(CX21="",DS21=""),"",IFERROR(CX21-DS21,""))</f>
        <v/>
      </c>
      <c r="EO21" s="17">
        <f>IF(OR(CY21="",DT21=""),"",IFERROR(CY21-DT21,""))</f>
        <v/>
      </c>
      <c r="EP21" s="17">
        <f>IF(OR(CZ21="",DU21=""),"",IFERROR(CZ21-DU21,""))</f>
        <v/>
      </c>
      <c r="EQ21" s="17">
        <f>IF(OR(DA21="",DV21=""),"",IFERROR(DA21-DV21,""))</f>
        <v/>
      </c>
      <c r="ER21" s="17">
        <f>IF(OR(DB21="",DW21=""),"",IFERROR(DB21-DW21,""))</f>
        <v/>
      </c>
      <c r="ES21" s="17">
        <f>IF(OR(DC21="",DX21=""),"",IFERROR(DC21-DX21,""))</f>
        <v/>
      </c>
      <c r="EU21" s="16" t="n"/>
      <c r="EV21" s="16" t="n"/>
      <c r="EW21" s="16" t="n"/>
      <c r="EX21" s="16" t="n"/>
      <c r="EY21" s="16" t="n"/>
      <c r="EZ21" s="16" t="n"/>
      <c r="FA21" s="16" t="n"/>
      <c r="FB21" s="16" t="n"/>
      <c r="FC21" s="16" t="n"/>
      <c r="FD21" s="16" t="n"/>
      <c r="FE21" s="16" t="n"/>
      <c r="FF21" s="16" t="n"/>
      <c r="FG21" s="16" t="n"/>
      <c r="FH21" s="16" t="n"/>
      <c r="FI21" s="16" t="n"/>
      <c r="FJ21" s="16" t="n"/>
      <c r="FK21" s="16" t="n"/>
      <c r="FL21" s="16" t="n"/>
      <c r="FM21" s="16" t="n"/>
      <c r="FN21" s="16" t="n"/>
      <c r="FP21" s="2" t="inlineStr">
        <is>
          <t>Target Day</t>
        </is>
      </c>
    </row>
    <row r="22">
      <c r="B22" s="15" t="n">
        <v>14</v>
      </c>
      <c r="C22" s="15">
        <f>IFERROR(LEFT(INDEX(cal_new!$A$3:$AH$3,1,MATCH(1,cal_new!$A$4:$AH$4,0)+B22-1),3),"")</f>
        <v/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  <c r="BX22" s="16" t="n"/>
      <c r="BY22" s="16" t="n"/>
      <c r="BZ22" s="16" t="n"/>
      <c r="CA22" s="16" t="n"/>
      <c r="CB22" s="16" t="n"/>
      <c r="CC22" s="16" t="n"/>
      <c r="CD22" s="16" t="n"/>
      <c r="CE22" s="16" t="n"/>
      <c r="CF22" s="16" t="n"/>
      <c r="CG22" s="16" t="n"/>
      <c r="CH22" s="16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Z22" s="17">
        <f>IF(OR(CJ22="",DE22=""),"",IFERROR(CJ22-DE22,""))</f>
        <v/>
      </c>
      <c r="EA22" s="17">
        <f>IF(OR(CK22="",DF22=""),"",IFERROR(CK22-DF22,""))</f>
        <v/>
      </c>
      <c r="EB22" s="17">
        <f>IF(OR(CL22="",DG22=""),"",IFERROR(CL22-DG22,""))</f>
        <v/>
      </c>
      <c r="EC22" s="17">
        <f>IF(OR(CM22="",DH22=""),"",IFERROR(CM22-DH22,""))</f>
        <v/>
      </c>
      <c r="ED22" s="17">
        <f>IF(OR(CN22="",DI22=""),"",IFERROR(CN22-DI22,""))</f>
        <v/>
      </c>
      <c r="EE22" s="17">
        <f>IF(OR(CO22="",DJ22=""),"",IFERROR(CO22-DJ22,""))</f>
        <v/>
      </c>
      <c r="EF22" s="17">
        <f>IF(OR(CP22="",DK22=""),"",IFERROR(CP22-DK22,""))</f>
        <v/>
      </c>
      <c r="EG22" s="17">
        <f>IF(OR(CQ22="",DL22=""),"",IFERROR(CQ22-DL22,""))</f>
        <v/>
      </c>
      <c r="EH22" s="17">
        <f>IF(OR(CR22="",DM22=""),"",IFERROR(CR22-DM22,""))</f>
        <v/>
      </c>
      <c r="EI22" s="17">
        <f>IF(OR(CS22="",DN22=""),"",IFERROR(CS22-DN22,""))</f>
        <v/>
      </c>
      <c r="EJ22" s="17">
        <f>IF(OR(CT22="",DO22=""),"",IFERROR(CT22-DO22,""))</f>
        <v/>
      </c>
      <c r="EK22" s="17">
        <f>IF(OR(CU22="",DP22=""),"",IFERROR(CU22-DP22,""))</f>
        <v/>
      </c>
      <c r="EL22" s="17">
        <f>IF(OR(CV22="",DQ22=""),"",IFERROR(CV22-DQ22,""))</f>
        <v/>
      </c>
      <c r="EM22" s="17">
        <f>IF(OR(CW22="",DR22=""),"",IFERROR(CW22-DR22,""))</f>
        <v/>
      </c>
      <c r="EN22" s="17">
        <f>IF(OR(CX22="",DS22=""),"",IFERROR(CX22-DS22,""))</f>
        <v/>
      </c>
      <c r="EO22" s="17">
        <f>IF(OR(CY22="",DT22=""),"",IFERROR(CY22-DT22,""))</f>
        <v/>
      </c>
      <c r="EP22" s="17">
        <f>IF(OR(CZ22="",DU22=""),"",IFERROR(CZ22-DU22,""))</f>
        <v/>
      </c>
      <c r="EQ22" s="17">
        <f>IF(OR(DA22="",DV22=""),"",IFERROR(DA22-DV22,""))</f>
        <v/>
      </c>
      <c r="ER22" s="17">
        <f>IF(OR(DB22="",DW22=""),"",IFERROR(DB22-DW22,""))</f>
        <v/>
      </c>
      <c r="ES22" s="17">
        <f>IF(OR(DC22="",DX22=""),"",IFERROR(DC22-DX22,""))</f>
        <v/>
      </c>
      <c r="EU22" s="16" t="n"/>
      <c r="EV22" s="16" t="n"/>
      <c r="EW22" s="16" t="n"/>
      <c r="EX22" s="16" t="n"/>
      <c r="EY22" s="16" t="n"/>
      <c r="EZ22" s="16" t="n"/>
      <c r="FA22" s="16" t="n"/>
      <c r="FB22" s="16" t="n"/>
      <c r="FC22" s="16" t="n"/>
      <c r="FD22" s="16" t="n"/>
      <c r="FE22" s="16" t="n"/>
      <c r="FF22" s="16" t="n"/>
      <c r="FG22" s="16" t="n"/>
      <c r="FH22" s="16" t="n"/>
      <c r="FI22" s="16" t="n"/>
      <c r="FJ22" s="16" t="n"/>
      <c r="FK22" s="16" t="n"/>
      <c r="FL22" s="16" t="n"/>
      <c r="FM22" s="16" t="n"/>
      <c r="FN22" s="16" t="n"/>
      <c r="FP22" s="2" t="inlineStr">
        <is>
          <t>Team Event</t>
        </is>
      </c>
    </row>
    <row r="23">
      <c r="B23" s="15" t="n">
        <v>15</v>
      </c>
      <c r="C23" s="15">
        <f>IFERROR(LEFT(INDEX(cal_new!$A$3:$AH$3,1,MATCH(1,cal_new!$A$4:$AH$4,0)+B23-1),3),"")</f>
        <v/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  <c r="CE23" s="16" t="n"/>
      <c r="CF23" s="16" t="n"/>
      <c r="CG23" s="16" t="n"/>
      <c r="CH23" s="16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Z23" s="17">
        <f>IF(OR(CJ23="",DE23=""),"",IFERROR(CJ23-DE23,""))</f>
        <v/>
      </c>
      <c r="EA23" s="17">
        <f>IF(OR(CK23="",DF23=""),"",IFERROR(CK23-DF23,""))</f>
        <v/>
      </c>
      <c r="EB23" s="17">
        <f>IF(OR(CL23="",DG23=""),"",IFERROR(CL23-DG23,""))</f>
        <v/>
      </c>
      <c r="EC23" s="17">
        <f>IF(OR(CM23="",DH23=""),"",IFERROR(CM23-DH23,""))</f>
        <v/>
      </c>
      <c r="ED23" s="17">
        <f>IF(OR(CN23="",DI23=""),"",IFERROR(CN23-DI23,""))</f>
        <v/>
      </c>
      <c r="EE23" s="17">
        <f>IF(OR(CO23="",DJ23=""),"",IFERROR(CO23-DJ23,""))</f>
        <v/>
      </c>
      <c r="EF23" s="17">
        <f>IF(OR(CP23="",DK23=""),"",IFERROR(CP23-DK23,""))</f>
        <v/>
      </c>
      <c r="EG23" s="17">
        <f>IF(OR(CQ23="",DL23=""),"",IFERROR(CQ23-DL23,""))</f>
        <v/>
      </c>
      <c r="EH23" s="17">
        <f>IF(OR(CR23="",DM23=""),"",IFERROR(CR23-DM23,""))</f>
        <v/>
      </c>
      <c r="EI23" s="17">
        <f>IF(OR(CS23="",DN23=""),"",IFERROR(CS23-DN23,""))</f>
        <v/>
      </c>
      <c r="EJ23" s="17">
        <f>IF(OR(CT23="",DO23=""),"",IFERROR(CT23-DO23,""))</f>
        <v/>
      </c>
      <c r="EK23" s="17">
        <f>IF(OR(CU23="",DP23=""),"",IFERROR(CU23-DP23,""))</f>
        <v/>
      </c>
      <c r="EL23" s="17">
        <f>IF(OR(CV23="",DQ23=""),"",IFERROR(CV23-DQ23,""))</f>
        <v/>
      </c>
      <c r="EM23" s="17">
        <f>IF(OR(CW23="",DR23=""),"",IFERROR(CW23-DR23,""))</f>
        <v/>
      </c>
      <c r="EN23" s="17">
        <f>IF(OR(CX23="",DS23=""),"",IFERROR(CX23-DS23,""))</f>
        <v/>
      </c>
      <c r="EO23" s="17">
        <f>IF(OR(CY23="",DT23=""),"",IFERROR(CY23-DT23,""))</f>
        <v/>
      </c>
      <c r="EP23" s="17">
        <f>IF(OR(CZ23="",DU23=""),"",IFERROR(CZ23-DU23,""))</f>
        <v/>
      </c>
      <c r="EQ23" s="17">
        <f>IF(OR(DA23="",DV23=""),"",IFERROR(DA23-DV23,""))</f>
        <v/>
      </c>
      <c r="ER23" s="17">
        <f>IF(OR(DB23="",DW23=""),"",IFERROR(DB23-DW23,""))</f>
        <v/>
      </c>
      <c r="ES23" s="17">
        <f>IF(OR(DC23="",DX23=""),"",IFERROR(DC23-DX23,""))</f>
        <v/>
      </c>
      <c r="EU23" s="16" t="n"/>
      <c r="EV23" s="16" t="n"/>
      <c r="EW23" s="16" t="n"/>
      <c r="EX23" s="16" t="n"/>
      <c r="EY23" s="16" t="n"/>
      <c r="EZ23" s="16" t="n"/>
      <c r="FA23" s="16" t="n"/>
      <c r="FB23" s="16" t="n"/>
      <c r="FC23" s="16" t="n"/>
      <c r="FD23" s="16" t="n"/>
      <c r="FE23" s="16" t="n"/>
      <c r="FF23" s="16" t="n"/>
      <c r="FG23" s="16" t="n"/>
      <c r="FH23" s="16" t="n"/>
      <c r="FI23" s="16" t="n"/>
      <c r="FJ23" s="16" t="n"/>
      <c r="FK23" s="16" t="n"/>
      <c r="FL23" s="16" t="n"/>
      <c r="FM23" s="16" t="n"/>
      <c r="FN23" s="16" t="n"/>
      <c r="FP23" s="2" t="inlineStr">
        <is>
          <t>Team Race</t>
        </is>
      </c>
    </row>
    <row r="24">
      <c r="B24" s="15" t="n">
        <v>16</v>
      </c>
      <c r="C24" s="15">
        <f>IFERROR(LEFT(INDEX(cal_new!$A$3:$AH$3,1,MATCH(1,cal_new!$A$4:$AH$4,0)+B24-1),3),"")</f>
        <v/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16" t="n"/>
      <c r="CD24" s="16" t="n"/>
      <c r="CE24" s="16" t="n"/>
      <c r="CF24" s="16" t="n"/>
      <c r="CG24" s="16" t="n"/>
      <c r="CH24" s="16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Z24" s="17">
        <f>IF(OR(CJ24="",DE24=""),"",IFERROR(CJ24-DE24,""))</f>
        <v/>
      </c>
      <c r="EA24" s="17">
        <f>IF(OR(CK24="",DF24=""),"",IFERROR(CK24-DF24,""))</f>
        <v/>
      </c>
      <c r="EB24" s="17">
        <f>IF(OR(CL24="",DG24=""),"",IFERROR(CL24-DG24,""))</f>
        <v/>
      </c>
      <c r="EC24" s="17">
        <f>IF(OR(CM24="",DH24=""),"",IFERROR(CM24-DH24,""))</f>
        <v/>
      </c>
      <c r="ED24" s="17">
        <f>IF(OR(CN24="",DI24=""),"",IFERROR(CN24-DI24,""))</f>
        <v/>
      </c>
      <c r="EE24" s="17">
        <f>IF(OR(CO24="",DJ24=""),"",IFERROR(CO24-DJ24,""))</f>
        <v/>
      </c>
      <c r="EF24" s="17">
        <f>IF(OR(CP24="",DK24=""),"",IFERROR(CP24-DK24,""))</f>
        <v/>
      </c>
      <c r="EG24" s="17">
        <f>IF(OR(CQ24="",DL24=""),"",IFERROR(CQ24-DL24,""))</f>
        <v/>
      </c>
      <c r="EH24" s="17">
        <f>IF(OR(CR24="",DM24=""),"",IFERROR(CR24-DM24,""))</f>
        <v/>
      </c>
      <c r="EI24" s="17">
        <f>IF(OR(CS24="",DN24=""),"",IFERROR(CS24-DN24,""))</f>
        <v/>
      </c>
      <c r="EJ24" s="17">
        <f>IF(OR(CT24="",DO24=""),"",IFERROR(CT24-DO24,""))</f>
        <v/>
      </c>
      <c r="EK24" s="17">
        <f>IF(OR(CU24="",DP24=""),"",IFERROR(CU24-DP24,""))</f>
        <v/>
      </c>
      <c r="EL24" s="17">
        <f>IF(OR(CV24="",DQ24=""),"",IFERROR(CV24-DQ24,""))</f>
        <v/>
      </c>
      <c r="EM24" s="17">
        <f>IF(OR(CW24="",DR24=""),"",IFERROR(CW24-DR24,""))</f>
        <v/>
      </c>
      <c r="EN24" s="17">
        <f>IF(OR(CX24="",DS24=""),"",IFERROR(CX24-DS24,""))</f>
        <v/>
      </c>
      <c r="EO24" s="17">
        <f>IF(OR(CY24="",DT24=""),"",IFERROR(CY24-DT24,""))</f>
        <v/>
      </c>
      <c r="EP24" s="17">
        <f>IF(OR(CZ24="",DU24=""),"",IFERROR(CZ24-DU24,""))</f>
        <v/>
      </c>
      <c r="EQ24" s="17">
        <f>IF(OR(DA24="",DV24=""),"",IFERROR(DA24-DV24,""))</f>
        <v/>
      </c>
      <c r="ER24" s="17">
        <f>IF(OR(DB24="",DW24=""),"",IFERROR(DB24-DW24,""))</f>
        <v/>
      </c>
      <c r="ES24" s="17">
        <f>IF(OR(DC24="",DX24=""),"",IFERROR(DC24-DX24,""))</f>
        <v/>
      </c>
      <c r="EU24" s="16" t="n"/>
      <c r="EV24" s="16" t="n"/>
      <c r="EW24" s="16" t="n"/>
      <c r="EX24" s="16" t="n"/>
      <c r="EY24" s="16" t="n"/>
      <c r="EZ24" s="16" t="n"/>
      <c r="FA24" s="16" t="n"/>
      <c r="FB24" s="16" t="n"/>
      <c r="FC24" s="16" t="n"/>
      <c r="FD24" s="16" t="n"/>
      <c r="FE24" s="16" t="n"/>
      <c r="FF24" s="16" t="n"/>
      <c r="FG24" s="16" t="n"/>
      <c r="FH24" s="16" t="n"/>
      <c r="FI24" s="16" t="n"/>
      <c r="FJ24" s="16" t="n"/>
      <c r="FK24" s="16" t="n"/>
      <c r="FL24" s="16" t="n"/>
      <c r="FM24" s="16" t="n"/>
      <c r="FN24" s="16" t="n"/>
      <c r="FP24" s="2" t="inlineStr">
        <is>
          <t>Flash Race</t>
        </is>
      </c>
    </row>
    <row r="25">
      <c r="B25" s="15" t="n">
        <v>17</v>
      </c>
      <c r="C25" s="15">
        <f>IFERROR(LEFT(INDEX(cal_new!$A$3:$AH$3,1,MATCH(1,cal_new!$A$4:$AH$4,0)+B25-1),3),"")</f>
        <v/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E25" s="16" t="n"/>
      <c r="CF25" s="16" t="n"/>
      <c r="CG25" s="16" t="n"/>
      <c r="CH25" s="16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Z25" s="17">
        <f>IF(OR(CJ25="",DE25=""),"",IFERROR(CJ25-DE25,""))</f>
        <v/>
      </c>
      <c r="EA25" s="17">
        <f>IF(OR(CK25="",DF25=""),"",IFERROR(CK25-DF25,""))</f>
        <v/>
      </c>
      <c r="EB25" s="17">
        <f>IF(OR(CL25="",DG25=""),"",IFERROR(CL25-DG25,""))</f>
        <v/>
      </c>
      <c r="EC25" s="17">
        <f>IF(OR(CM25="",DH25=""),"",IFERROR(CM25-DH25,""))</f>
        <v/>
      </c>
      <c r="ED25" s="17">
        <f>IF(OR(CN25="",DI25=""),"",IFERROR(CN25-DI25,""))</f>
        <v/>
      </c>
      <c r="EE25" s="17">
        <f>IF(OR(CO25="",DJ25=""),"",IFERROR(CO25-DJ25,""))</f>
        <v/>
      </c>
      <c r="EF25" s="17">
        <f>IF(OR(CP25="",DK25=""),"",IFERROR(CP25-DK25,""))</f>
        <v/>
      </c>
      <c r="EG25" s="17">
        <f>IF(OR(CQ25="",DL25=""),"",IFERROR(CQ25-DL25,""))</f>
        <v/>
      </c>
      <c r="EH25" s="17">
        <f>IF(OR(CR25="",DM25=""),"",IFERROR(CR25-DM25,""))</f>
        <v/>
      </c>
      <c r="EI25" s="17">
        <f>IF(OR(CS25="",DN25=""),"",IFERROR(CS25-DN25,""))</f>
        <v/>
      </c>
      <c r="EJ25" s="17">
        <f>IF(OR(CT25="",DO25=""),"",IFERROR(CT25-DO25,""))</f>
        <v/>
      </c>
      <c r="EK25" s="17">
        <f>IF(OR(CU25="",DP25=""),"",IFERROR(CU25-DP25,""))</f>
        <v/>
      </c>
      <c r="EL25" s="17">
        <f>IF(OR(CV25="",DQ25=""),"",IFERROR(CV25-DQ25,""))</f>
        <v/>
      </c>
      <c r="EM25" s="17">
        <f>IF(OR(CW25="",DR25=""),"",IFERROR(CW25-DR25,""))</f>
        <v/>
      </c>
      <c r="EN25" s="17">
        <f>IF(OR(CX25="",DS25=""),"",IFERROR(CX25-DS25,""))</f>
        <v/>
      </c>
      <c r="EO25" s="17">
        <f>IF(OR(CY25="",DT25=""),"",IFERROR(CY25-DT25,""))</f>
        <v/>
      </c>
      <c r="EP25" s="17">
        <f>IF(OR(CZ25="",DU25=""),"",IFERROR(CZ25-DU25,""))</f>
        <v/>
      </c>
      <c r="EQ25" s="17">
        <f>IF(OR(DA25="",DV25=""),"",IFERROR(DA25-DV25,""))</f>
        <v/>
      </c>
      <c r="ER25" s="17">
        <f>IF(OR(DB25="",DW25=""),"",IFERROR(DB25-DW25,""))</f>
        <v/>
      </c>
      <c r="ES25" s="17">
        <f>IF(OR(DC25="",DX25=""),"",IFERROR(DC25-DX25,""))</f>
        <v/>
      </c>
      <c r="EU25" s="16" t="n"/>
      <c r="EV25" s="16" t="n"/>
      <c r="EW25" s="16" t="n"/>
      <c r="EX25" s="16" t="n"/>
      <c r="EY25" s="16" t="n"/>
      <c r="EZ25" s="16" t="n"/>
      <c r="FA25" s="16" t="n"/>
      <c r="FB25" s="16" t="n"/>
      <c r="FC25" s="16" t="n"/>
      <c r="FD25" s="16" t="n"/>
      <c r="FE25" s="16" t="n"/>
      <c r="FF25" s="16" t="n"/>
      <c r="FG25" s="16" t="n"/>
      <c r="FH25" s="16" t="n"/>
      <c r="FI25" s="16" t="n"/>
      <c r="FJ25" s="16" t="n"/>
      <c r="FK25" s="16" t="n"/>
      <c r="FL25" s="16" t="n"/>
      <c r="FM25" s="16" t="n"/>
      <c r="FN25" s="16" t="n"/>
      <c r="FP25" s="2" t="inlineStr">
        <is>
          <t>FlowerCoop</t>
        </is>
      </c>
    </row>
    <row r="26">
      <c r="B26" s="15" t="n">
        <v>18</v>
      </c>
      <c r="C26" s="15">
        <f>IFERROR(LEFT(INDEX(cal_new!$A$3:$AH$3,1,MATCH(1,cal_new!$A$4:$AH$4,0)+B26-1),3),"")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16" t="n"/>
      <c r="CB26" s="16" t="n"/>
      <c r="CC26" s="16" t="n"/>
      <c r="CD26" s="16" t="n"/>
      <c r="CE26" s="16" t="n"/>
      <c r="CF26" s="16" t="n"/>
      <c r="CG26" s="16" t="n"/>
      <c r="CH26" s="16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Z26" s="17">
        <f>IF(OR(CJ26="",DE26=""),"",IFERROR(CJ26-DE26,""))</f>
        <v/>
      </c>
      <c r="EA26" s="17">
        <f>IF(OR(CK26="",DF26=""),"",IFERROR(CK26-DF26,""))</f>
        <v/>
      </c>
      <c r="EB26" s="17">
        <f>IF(OR(CL26="",DG26=""),"",IFERROR(CL26-DG26,""))</f>
        <v/>
      </c>
      <c r="EC26" s="17">
        <f>IF(OR(CM26="",DH26=""),"",IFERROR(CM26-DH26,""))</f>
        <v/>
      </c>
      <c r="ED26" s="17">
        <f>IF(OR(CN26="",DI26=""),"",IFERROR(CN26-DI26,""))</f>
        <v/>
      </c>
      <c r="EE26" s="17">
        <f>IF(OR(CO26="",DJ26=""),"",IFERROR(CO26-DJ26,""))</f>
        <v/>
      </c>
      <c r="EF26" s="17">
        <f>IF(OR(CP26="",DK26=""),"",IFERROR(CP26-DK26,""))</f>
        <v/>
      </c>
      <c r="EG26" s="17">
        <f>IF(OR(CQ26="",DL26=""),"",IFERROR(CQ26-DL26,""))</f>
        <v/>
      </c>
      <c r="EH26" s="17">
        <f>IF(OR(CR26="",DM26=""),"",IFERROR(CR26-DM26,""))</f>
        <v/>
      </c>
      <c r="EI26" s="17">
        <f>IF(OR(CS26="",DN26=""),"",IFERROR(CS26-DN26,""))</f>
        <v/>
      </c>
      <c r="EJ26" s="17">
        <f>IF(OR(CT26="",DO26=""),"",IFERROR(CT26-DO26,""))</f>
        <v/>
      </c>
      <c r="EK26" s="17">
        <f>IF(OR(CU26="",DP26=""),"",IFERROR(CU26-DP26,""))</f>
        <v/>
      </c>
      <c r="EL26" s="17">
        <f>IF(OR(CV26="",DQ26=""),"",IFERROR(CV26-DQ26,""))</f>
        <v/>
      </c>
      <c r="EM26" s="17">
        <f>IF(OR(CW26="",DR26=""),"",IFERROR(CW26-DR26,""))</f>
        <v/>
      </c>
      <c r="EN26" s="17">
        <f>IF(OR(CX26="",DS26=""),"",IFERROR(CX26-DS26,""))</f>
        <v/>
      </c>
      <c r="EO26" s="17">
        <f>IF(OR(CY26="",DT26=""),"",IFERROR(CY26-DT26,""))</f>
        <v/>
      </c>
      <c r="EP26" s="17">
        <f>IF(OR(CZ26="",DU26=""),"",IFERROR(CZ26-DU26,""))</f>
        <v/>
      </c>
      <c r="EQ26" s="17">
        <f>IF(OR(DA26="",DV26=""),"",IFERROR(DA26-DV26,""))</f>
        <v/>
      </c>
      <c r="ER26" s="17">
        <f>IF(OR(DB26="",DW26=""),"",IFERROR(DB26-DW26,""))</f>
        <v/>
      </c>
      <c r="ES26" s="17">
        <f>IF(OR(DC26="",DX26=""),"",IFERROR(DC26-DX26,""))</f>
        <v/>
      </c>
      <c r="EU26" s="16" t="n"/>
      <c r="EV26" s="16" t="n"/>
      <c r="EW26" s="16" t="n"/>
      <c r="EX26" s="16" t="n"/>
      <c r="EY26" s="16" t="n"/>
      <c r="EZ26" s="16" t="n"/>
      <c r="FA26" s="16" t="n"/>
      <c r="FB26" s="16" t="n"/>
      <c r="FC26" s="16" t="n"/>
      <c r="FD26" s="16" t="n"/>
      <c r="FE26" s="16" t="n"/>
      <c r="FF26" s="16" t="n"/>
      <c r="FG26" s="16" t="n"/>
      <c r="FH26" s="16" t="n"/>
      <c r="FI26" s="16" t="n"/>
      <c r="FJ26" s="16" t="n"/>
      <c r="FK26" s="16" t="n"/>
      <c r="FL26" s="16" t="n"/>
      <c r="FM26" s="16" t="n"/>
      <c r="FN26" s="16" t="n"/>
      <c r="FP26" s="2" t="inlineStr">
        <is>
          <t>Rainbow Maker</t>
        </is>
      </c>
    </row>
    <row r="27">
      <c r="B27" s="15" t="n">
        <v>19</v>
      </c>
      <c r="C27" s="15">
        <f>IFERROR(LEFT(INDEX(cal_new!$A$3:$AH$3,1,MATCH(1,cal_new!$A$4:$AH$4,0)+B27-1),3),"")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  <c r="BX27" s="16" t="n"/>
      <c r="BY27" s="16" t="n"/>
      <c r="BZ27" s="16" t="n"/>
      <c r="CA27" s="16" t="n"/>
      <c r="CB27" s="16" t="n"/>
      <c r="CC27" s="16" t="n"/>
      <c r="CD27" s="16" t="n"/>
      <c r="CE27" s="16" t="n"/>
      <c r="CF27" s="16" t="n"/>
      <c r="CG27" s="16" t="n"/>
      <c r="CH27" s="16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Z27" s="17">
        <f>IF(OR(CJ27="",DE27=""),"",IFERROR(CJ27-DE27,""))</f>
        <v/>
      </c>
      <c r="EA27" s="17">
        <f>IF(OR(CK27="",DF27=""),"",IFERROR(CK27-DF27,""))</f>
        <v/>
      </c>
      <c r="EB27" s="17">
        <f>IF(OR(CL27="",DG27=""),"",IFERROR(CL27-DG27,""))</f>
        <v/>
      </c>
      <c r="EC27" s="17">
        <f>IF(OR(CM27="",DH27=""),"",IFERROR(CM27-DH27,""))</f>
        <v/>
      </c>
      <c r="ED27" s="17">
        <f>IF(OR(CN27="",DI27=""),"",IFERROR(CN27-DI27,""))</f>
        <v/>
      </c>
      <c r="EE27" s="17">
        <f>IF(OR(CO27="",DJ27=""),"",IFERROR(CO27-DJ27,""))</f>
        <v/>
      </c>
      <c r="EF27" s="17">
        <f>IF(OR(CP27="",DK27=""),"",IFERROR(CP27-DK27,""))</f>
        <v/>
      </c>
      <c r="EG27" s="17">
        <f>IF(OR(CQ27="",DL27=""),"",IFERROR(CQ27-DL27,""))</f>
        <v/>
      </c>
      <c r="EH27" s="17">
        <f>IF(OR(CR27="",DM27=""),"",IFERROR(CR27-DM27,""))</f>
        <v/>
      </c>
      <c r="EI27" s="17">
        <f>IF(OR(CS27="",DN27=""),"",IFERROR(CS27-DN27,""))</f>
        <v/>
      </c>
      <c r="EJ27" s="17">
        <f>IF(OR(CT27="",DO27=""),"",IFERROR(CT27-DO27,""))</f>
        <v/>
      </c>
      <c r="EK27" s="17">
        <f>IF(OR(CU27="",DP27=""),"",IFERROR(CU27-DP27,""))</f>
        <v/>
      </c>
      <c r="EL27" s="17">
        <f>IF(OR(CV27="",DQ27=""),"",IFERROR(CV27-DQ27,""))</f>
        <v/>
      </c>
      <c r="EM27" s="17">
        <f>IF(OR(CW27="",DR27=""),"",IFERROR(CW27-DR27,""))</f>
        <v/>
      </c>
      <c r="EN27" s="17">
        <f>IF(OR(CX27="",DS27=""),"",IFERROR(CX27-DS27,""))</f>
        <v/>
      </c>
      <c r="EO27" s="17">
        <f>IF(OR(CY27="",DT27=""),"",IFERROR(CY27-DT27,""))</f>
        <v/>
      </c>
      <c r="EP27" s="17">
        <f>IF(OR(CZ27="",DU27=""),"",IFERROR(CZ27-DU27,""))</f>
        <v/>
      </c>
      <c r="EQ27" s="17">
        <f>IF(OR(DA27="",DV27=""),"",IFERROR(DA27-DV27,""))</f>
        <v/>
      </c>
      <c r="ER27" s="17">
        <f>IF(OR(DB27="",DW27=""),"",IFERROR(DB27-DW27,""))</f>
        <v/>
      </c>
      <c r="ES27" s="17">
        <f>IF(OR(DC27="",DX27=""),"",IFERROR(DC27-DX27,""))</f>
        <v/>
      </c>
      <c r="EU27" s="16" t="n"/>
      <c r="EV27" s="16" t="n"/>
      <c r="EW27" s="16" t="n"/>
      <c r="EX27" s="16" t="n"/>
      <c r="EY27" s="16" t="n"/>
      <c r="EZ27" s="16" t="n"/>
      <c r="FA27" s="16" t="n"/>
      <c r="FB27" s="16" t="n"/>
      <c r="FC27" s="16" t="n"/>
      <c r="FD27" s="16" t="n"/>
      <c r="FE27" s="16" t="n"/>
      <c r="FF27" s="16" t="n"/>
      <c r="FG27" s="16" t="n"/>
      <c r="FH27" s="16" t="n"/>
      <c r="FI27" s="16" t="n"/>
      <c r="FJ27" s="16" t="n"/>
      <c r="FK27" s="16" t="n"/>
      <c r="FL27" s="16" t="n"/>
      <c r="FM27" s="16" t="n"/>
      <c r="FN27" s="16" t="n"/>
      <c r="FP27" s="2" t="inlineStr">
        <is>
          <t>IAPs</t>
        </is>
      </c>
    </row>
    <row r="28">
      <c r="B28" s="15" t="n">
        <v>20</v>
      </c>
      <c r="C28" s="15">
        <f>IFERROR(LEFT(INDEX(cal_new!$A$3:$AH$3,1,MATCH(1,cal_new!$A$4:$AH$4,0)+B28-1),3),"")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  <c r="BX28" s="16" t="n"/>
      <c r="BY28" s="16" t="n"/>
      <c r="BZ28" s="16" t="n"/>
      <c r="CA28" s="16" t="n"/>
      <c r="CB28" s="16" t="n"/>
      <c r="CC28" s="16" t="n"/>
      <c r="CD28" s="16" t="n"/>
      <c r="CE28" s="16" t="n"/>
      <c r="CF28" s="16" t="n"/>
      <c r="CG28" s="16" t="n"/>
      <c r="CH28" s="16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Z28" s="17">
        <f>IF(OR(CJ28="",DE28=""),"",IFERROR(CJ28-DE28,""))</f>
        <v/>
      </c>
      <c r="EA28" s="17">
        <f>IF(OR(CK28="",DF28=""),"",IFERROR(CK28-DF28,""))</f>
        <v/>
      </c>
      <c r="EB28" s="17">
        <f>IF(OR(CL28="",DG28=""),"",IFERROR(CL28-DG28,""))</f>
        <v/>
      </c>
      <c r="EC28" s="17">
        <f>IF(OR(CM28="",DH28=""),"",IFERROR(CM28-DH28,""))</f>
        <v/>
      </c>
      <c r="ED28" s="17">
        <f>IF(OR(CN28="",DI28=""),"",IFERROR(CN28-DI28,""))</f>
        <v/>
      </c>
      <c r="EE28" s="17">
        <f>IF(OR(CO28="",DJ28=""),"",IFERROR(CO28-DJ28,""))</f>
        <v/>
      </c>
      <c r="EF28" s="17">
        <f>IF(OR(CP28="",DK28=""),"",IFERROR(CP28-DK28,""))</f>
        <v/>
      </c>
      <c r="EG28" s="17">
        <f>IF(OR(CQ28="",DL28=""),"",IFERROR(CQ28-DL28,""))</f>
        <v/>
      </c>
      <c r="EH28" s="17">
        <f>IF(OR(CR28="",DM28=""),"",IFERROR(CR28-DM28,""))</f>
        <v/>
      </c>
      <c r="EI28" s="17">
        <f>IF(OR(CS28="",DN28=""),"",IFERROR(CS28-DN28,""))</f>
        <v/>
      </c>
      <c r="EJ28" s="17">
        <f>IF(OR(CT28="",DO28=""),"",IFERROR(CT28-DO28,""))</f>
        <v/>
      </c>
      <c r="EK28" s="17">
        <f>IF(OR(CU28="",DP28=""),"",IFERROR(CU28-DP28,""))</f>
        <v/>
      </c>
      <c r="EL28" s="17">
        <f>IF(OR(CV28="",DQ28=""),"",IFERROR(CV28-DQ28,""))</f>
        <v/>
      </c>
      <c r="EM28" s="17">
        <f>IF(OR(CW28="",DR28=""),"",IFERROR(CW28-DR28,""))</f>
        <v/>
      </c>
      <c r="EN28" s="17">
        <f>IF(OR(CX28="",DS28=""),"",IFERROR(CX28-DS28,""))</f>
        <v/>
      </c>
      <c r="EO28" s="17">
        <f>IF(OR(CY28="",DT28=""),"",IFERROR(CY28-DT28,""))</f>
        <v/>
      </c>
      <c r="EP28" s="17">
        <f>IF(OR(CZ28="",DU28=""),"",IFERROR(CZ28-DU28,""))</f>
        <v/>
      </c>
      <c r="EQ28" s="17">
        <f>IF(OR(DA28="",DV28=""),"",IFERROR(DA28-DV28,""))</f>
        <v/>
      </c>
      <c r="ER28" s="17">
        <f>IF(OR(DB28="",DW28=""),"",IFERROR(DB28-DW28,""))</f>
        <v/>
      </c>
      <c r="ES28" s="17">
        <f>IF(OR(DC28="",DX28=""),"",IFERROR(DC28-DX28,""))</f>
        <v/>
      </c>
      <c r="EU28" s="16" t="n"/>
      <c r="EV28" s="16" t="n"/>
      <c r="EW28" s="16" t="n"/>
      <c r="EX28" s="16" t="n"/>
      <c r="EY28" s="16" t="n"/>
      <c r="EZ28" s="16" t="n"/>
      <c r="FA28" s="16" t="n"/>
      <c r="FB28" s="16" t="n"/>
      <c r="FC28" s="16" t="n"/>
      <c r="FD28" s="16" t="n"/>
      <c r="FE28" s="16" t="n"/>
      <c r="FF28" s="16" t="n"/>
      <c r="FG28" s="16" t="n"/>
      <c r="FH28" s="16" t="n"/>
      <c r="FI28" s="16" t="n"/>
      <c r="FJ28" s="16" t="n"/>
      <c r="FK28" s="16" t="n"/>
      <c r="FL28" s="16" t="n"/>
      <c r="FM28" s="16" t="n"/>
      <c r="FN28" s="16" t="n"/>
    </row>
    <row r="29">
      <c r="B29" s="15" t="n">
        <v>21</v>
      </c>
      <c r="C29" s="15">
        <f>IFERROR(LEFT(INDEX(cal_new!$A$3:$AH$3,1,MATCH(1,cal_new!$A$4:$AH$4,0)+B29-1),3),"")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  <c r="BX29" s="16" t="n"/>
      <c r="BY29" s="16" t="n"/>
      <c r="BZ29" s="16" t="n"/>
      <c r="CA29" s="16" t="n"/>
      <c r="CB29" s="16" t="n"/>
      <c r="CC29" s="16" t="n"/>
      <c r="CD29" s="16" t="n"/>
      <c r="CE29" s="16" t="n"/>
      <c r="CF29" s="16" t="n"/>
      <c r="CG29" s="16" t="n"/>
      <c r="CH29" s="16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Z29" s="17">
        <f>IF(OR(CJ29="",DE29=""),"",IFERROR(CJ29-DE29,""))</f>
        <v/>
      </c>
      <c r="EA29" s="17">
        <f>IF(OR(CK29="",DF29=""),"",IFERROR(CK29-DF29,""))</f>
        <v/>
      </c>
      <c r="EB29" s="17">
        <f>IF(OR(CL29="",DG29=""),"",IFERROR(CL29-DG29,""))</f>
        <v/>
      </c>
      <c r="EC29" s="17">
        <f>IF(OR(CM29="",DH29=""),"",IFERROR(CM29-DH29,""))</f>
        <v/>
      </c>
      <c r="ED29" s="17">
        <f>IF(OR(CN29="",DI29=""),"",IFERROR(CN29-DI29,""))</f>
        <v/>
      </c>
      <c r="EE29" s="17">
        <f>IF(OR(CO29="",DJ29=""),"",IFERROR(CO29-DJ29,""))</f>
        <v/>
      </c>
      <c r="EF29" s="17">
        <f>IF(OR(CP29="",DK29=""),"",IFERROR(CP29-DK29,""))</f>
        <v/>
      </c>
      <c r="EG29" s="17">
        <f>IF(OR(CQ29="",DL29=""),"",IFERROR(CQ29-DL29,""))</f>
        <v/>
      </c>
      <c r="EH29" s="17">
        <f>IF(OR(CR29="",DM29=""),"",IFERROR(CR29-DM29,""))</f>
        <v/>
      </c>
      <c r="EI29" s="17">
        <f>IF(OR(CS29="",DN29=""),"",IFERROR(CS29-DN29,""))</f>
        <v/>
      </c>
      <c r="EJ29" s="17">
        <f>IF(OR(CT29="",DO29=""),"",IFERROR(CT29-DO29,""))</f>
        <v/>
      </c>
      <c r="EK29" s="17">
        <f>IF(OR(CU29="",DP29=""),"",IFERROR(CU29-DP29,""))</f>
        <v/>
      </c>
      <c r="EL29" s="17">
        <f>IF(OR(CV29="",DQ29=""),"",IFERROR(CV29-DQ29,""))</f>
        <v/>
      </c>
      <c r="EM29" s="17">
        <f>IF(OR(CW29="",DR29=""),"",IFERROR(CW29-DR29,""))</f>
        <v/>
      </c>
      <c r="EN29" s="17">
        <f>IF(OR(CX29="",DS29=""),"",IFERROR(CX29-DS29,""))</f>
        <v/>
      </c>
      <c r="EO29" s="17">
        <f>IF(OR(CY29="",DT29=""),"",IFERROR(CY29-DT29,""))</f>
        <v/>
      </c>
      <c r="EP29" s="17">
        <f>IF(OR(CZ29="",DU29=""),"",IFERROR(CZ29-DU29,""))</f>
        <v/>
      </c>
      <c r="EQ29" s="17">
        <f>IF(OR(DA29="",DV29=""),"",IFERROR(DA29-DV29,""))</f>
        <v/>
      </c>
      <c r="ER29" s="17">
        <f>IF(OR(DB29="",DW29=""),"",IFERROR(DB29-DW29,""))</f>
        <v/>
      </c>
      <c r="ES29" s="17">
        <f>IF(OR(DC29="",DX29=""),"",IFERROR(DC29-DX29,""))</f>
        <v/>
      </c>
      <c r="EU29" s="16" t="n"/>
      <c r="EV29" s="16" t="n"/>
      <c r="EW29" s="16" t="n"/>
      <c r="EX29" s="16" t="n"/>
      <c r="EY29" s="16" t="n"/>
      <c r="EZ29" s="16" t="n"/>
      <c r="FA29" s="16" t="n"/>
      <c r="FB29" s="16" t="n"/>
      <c r="FC29" s="16" t="n"/>
      <c r="FD29" s="16" t="n"/>
      <c r="FE29" s="16" t="n"/>
      <c r="FF29" s="16" t="n"/>
      <c r="FG29" s="16" t="n"/>
      <c r="FH29" s="16" t="n"/>
      <c r="FI29" s="16" t="n"/>
      <c r="FJ29" s="16" t="n"/>
      <c r="FK29" s="16" t="n"/>
      <c r="FL29" s="16" t="n"/>
      <c r="FM29" s="16" t="n"/>
      <c r="FN29" s="16" t="n"/>
    </row>
    <row r="30">
      <c r="B30" s="15" t="n">
        <v>22</v>
      </c>
      <c r="C30" s="15">
        <f>IFERROR(LEFT(INDEX(cal_new!$A$3:$AH$3,1,MATCH(1,cal_new!$A$4:$AH$4,0)+B30-1),3),"")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  <c r="CE30" s="16" t="n"/>
      <c r="CF30" s="16" t="n"/>
      <c r="CG30" s="16" t="n"/>
      <c r="CH30" s="16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Z30" s="17">
        <f>IF(OR(CJ30="",DE30=""),"",IFERROR(CJ30-DE30,""))</f>
        <v/>
      </c>
      <c r="EA30" s="17">
        <f>IF(OR(CK30="",DF30=""),"",IFERROR(CK30-DF30,""))</f>
        <v/>
      </c>
      <c r="EB30" s="17">
        <f>IF(OR(CL30="",DG30=""),"",IFERROR(CL30-DG30,""))</f>
        <v/>
      </c>
      <c r="EC30" s="17">
        <f>IF(OR(CM30="",DH30=""),"",IFERROR(CM30-DH30,""))</f>
        <v/>
      </c>
      <c r="ED30" s="17">
        <f>IF(OR(CN30="",DI30=""),"",IFERROR(CN30-DI30,""))</f>
        <v/>
      </c>
      <c r="EE30" s="17">
        <f>IF(OR(CO30="",DJ30=""),"",IFERROR(CO30-DJ30,""))</f>
        <v/>
      </c>
      <c r="EF30" s="17">
        <f>IF(OR(CP30="",DK30=""),"",IFERROR(CP30-DK30,""))</f>
        <v/>
      </c>
      <c r="EG30" s="17">
        <f>IF(OR(CQ30="",DL30=""),"",IFERROR(CQ30-DL30,""))</f>
        <v/>
      </c>
      <c r="EH30" s="17">
        <f>IF(OR(CR30="",DM30=""),"",IFERROR(CR30-DM30,""))</f>
        <v/>
      </c>
      <c r="EI30" s="17">
        <f>IF(OR(CS30="",DN30=""),"",IFERROR(CS30-DN30,""))</f>
        <v/>
      </c>
      <c r="EJ30" s="17">
        <f>IF(OR(CT30="",DO30=""),"",IFERROR(CT30-DO30,""))</f>
        <v/>
      </c>
      <c r="EK30" s="17">
        <f>IF(OR(CU30="",DP30=""),"",IFERROR(CU30-DP30,""))</f>
        <v/>
      </c>
      <c r="EL30" s="17">
        <f>IF(OR(CV30="",DQ30=""),"",IFERROR(CV30-DQ30,""))</f>
        <v/>
      </c>
      <c r="EM30" s="17">
        <f>IF(OR(CW30="",DR30=""),"",IFERROR(CW30-DR30,""))</f>
        <v/>
      </c>
      <c r="EN30" s="17">
        <f>IF(OR(CX30="",DS30=""),"",IFERROR(CX30-DS30,""))</f>
        <v/>
      </c>
      <c r="EO30" s="17">
        <f>IF(OR(CY30="",DT30=""),"",IFERROR(CY30-DT30,""))</f>
        <v/>
      </c>
      <c r="EP30" s="17">
        <f>IF(OR(CZ30="",DU30=""),"",IFERROR(CZ30-DU30,""))</f>
        <v/>
      </c>
      <c r="EQ30" s="17">
        <f>IF(OR(DA30="",DV30=""),"",IFERROR(DA30-DV30,""))</f>
        <v/>
      </c>
      <c r="ER30" s="17">
        <f>IF(OR(DB30="",DW30=""),"",IFERROR(DB30-DW30,""))</f>
        <v/>
      </c>
      <c r="ES30" s="17">
        <f>IF(OR(DC30="",DX30=""),"",IFERROR(DC30-DX30,""))</f>
        <v/>
      </c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  <c r="FJ30" s="16" t="n"/>
      <c r="FK30" s="16" t="n"/>
      <c r="FL30" s="16" t="n"/>
      <c r="FM30" s="16" t="n"/>
      <c r="FN30" s="16" t="n"/>
    </row>
    <row r="31">
      <c r="B31" s="15" t="n">
        <v>23</v>
      </c>
      <c r="C31" s="15">
        <f>IFERROR(LEFT(INDEX(cal_new!$A$3:$AH$3,1,MATCH(1,cal_new!$A$4:$AH$4,0)+B31-1),3),"")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  <c r="BX31" s="16" t="n"/>
      <c r="BY31" s="16" t="n"/>
      <c r="BZ31" s="16" t="n"/>
      <c r="CA31" s="16" t="n"/>
      <c r="CB31" s="16" t="n"/>
      <c r="CC31" s="16" t="n"/>
      <c r="CD31" s="16" t="n"/>
      <c r="CE31" s="16" t="n"/>
      <c r="CF31" s="16" t="n"/>
      <c r="CG31" s="16" t="n"/>
      <c r="CH31" s="16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Z31" s="17">
        <f>IF(OR(CJ31="",DE31=""),"",IFERROR(CJ31-DE31,""))</f>
        <v/>
      </c>
      <c r="EA31" s="17">
        <f>IF(OR(CK31="",DF31=""),"",IFERROR(CK31-DF31,""))</f>
        <v/>
      </c>
      <c r="EB31" s="17">
        <f>IF(OR(CL31="",DG31=""),"",IFERROR(CL31-DG31,""))</f>
        <v/>
      </c>
      <c r="EC31" s="17">
        <f>IF(OR(CM31="",DH31=""),"",IFERROR(CM31-DH31,""))</f>
        <v/>
      </c>
      <c r="ED31" s="17">
        <f>IF(OR(CN31="",DI31=""),"",IFERROR(CN31-DI31,""))</f>
        <v/>
      </c>
      <c r="EE31" s="17">
        <f>IF(OR(CO31="",DJ31=""),"",IFERROR(CO31-DJ31,""))</f>
        <v/>
      </c>
      <c r="EF31" s="17">
        <f>IF(OR(CP31="",DK31=""),"",IFERROR(CP31-DK31,""))</f>
        <v/>
      </c>
      <c r="EG31" s="17">
        <f>IF(OR(CQ31="",DL31=""),"",IFERROR(CQ31-DL31,""))</f>
        <v/>
      </c>
      <c r="EH31" s="17">
        <f>IF(OR(CR31="",DM31=""),"",IFERROR(CR31-DM31,""))</f>
        <v/>
      </c>
      <c r="EI31" s="17">
        <f>IF(OR(CS31="",DN31=""),"",IFERROR(CS31-DN31,""))</f>
        <v/>
      </c>
      <c r="EJ31" s="17">
        <f>IF(OR(CT31="",DO31=""),"",IFERROR(CT31-DO31,""))</f>
        <v/>
      </c>
      <c r="EK31" s="17">
        <f>IF(OR(CU31="",DP31=""),"",IFERROR(CU31-DP31,""))</f>
        <v/>
      </c>
      <c r="EL31" s="17">
        <f>IF(OR(CV31="",DQ31=""),"",IFERROR(CV31-DQ31,""))</f>
        <v/>
      </c>
      <c r="EM31" s="17">
        <f>IF(OR(CW31="",DR31=""),"",IFERROR(CW31-DR31,""))</f>
        <v/>
      </c>
      <c r="EN31" s="17">
        <f>IF(OR(CX31="",DS31=""),"",IFERROR(CX31-DS31,""))</f>
        <v/>
      </c>
      <c r="EO31" s="17">
        <f>IF(OR(CY31="",DT31=""),"",IFERROR(CY31-DT31,""))</f>
        <v/>
      </c>
      <c r="EP31" s="17">
        <f>IF(OR(CZ31="",DU31=""),"",IFERROR(CZ31-DU31,""))</f>
        <v/>
      </c>
      <c r="EQ31" s="17">
        <f>IF(OR(DA31="",DV31=""),"",IFERROR(DA31-DV31,""))</f>
        <v/>
      </c>
      <c r="ER31" s="17">
        <f>IF(OR(DB31="",DW31=""),"",IFERROR(DB31-DW31,""))</f>
        <v/>
      </c>
      <c r="ES31" s="17">
        <f>IF(OR(DC31="",DX31=""),"",IFERROR(DC31-DX31,""))</f>
        <v/>
      </c>
      <c r="EU31" s="16" t="n"/>
      <c r="EV31" s="16" t="n"/>
      <c r="EW31" s="16" t="n"/>
      <c r="EX31" s="16" t="n"/>
      <c r="EY31" s="16" t="n"/>
      <c r="EZ31" s="16" t="n"/>
      <c r="FA31" s="16" t="n"/>
      <c r="FB31" s="16" t="n"/>
      <c r="FC31" s="16" t="n"/>
      <c r="FD31" s="16" t="n"/>
      <c r="FE31" s="16" t="n"/>
      <c r="FF31" s="16" t="n"/>
      <c r="FG31" s="16" t="n"/>
      <c r="FH31" s="16" t="n"/>
      <c r="FI31" s="16" t="n"/>
      <c r="FJ31" s="16" t="n"/>
      <c r="FK31" s="16" t="n"/>
      <c r="FL31" s="16" t="n"/>
      <c r="FM31" s="16" t="n"/>
      <c r="FN31" s="16" t="n"/>
    </row>
    <row r="32">
      <c r="B32" s="15" t="n">
        <v>24</v>
      </c>
      <c r="C32" s="15">
        <f>IFERROR(LEFT(INDEX(cal_new!$A$3:$AH$3,1,MATCH(1,cal_new!$A$4:$AH$4,0)+B32-1),3),"")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  <c r="CE32" s="16" t="n"/>
      <c r="CF32" s="16" t="n"/>
      <c r="CG32" s="16" t="n"/>
      <c r="CH32" s="16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Z32" s="17">
        <f>IF(OR(CJ32="",DE32=""),"",IFERROR(CJ32-DE32,""))</f>
        <v/>
      </c>
      <c r="EA32" s="17">
        <f>IF(OR(CK32="",DF32=""),"",IFERROR(CK32-DF32,""))</f>
        <v/>
      </c>
      <c r="EB32" s="17">
        <f>IF(OR(CL32="",DG32=""),"",IFERROR(CL32-DG32,""))</f>
        <v/>
      </c>
      <c r="EC32" s="17">
        <f>IF(OR(CM32="",DH32=""),"",IFERROR(CM32-DH32,""))</f>
        <v/>
      </c>
      <c r="ED32" s="17">
        <f>IF(OR(CN32="",DI32=""),"",IFERROR(CN32-DI32,""))</f>
        <v/>
      </c>
      <c r="EE32" s="17">
        <f>IF(OR(CO32="",DJ32=""),"",IFERROR(CO32-DJ32,""))</f>
        <v/>
      </c>
      <c r="EF32" s="17">
        <f>IF(OR(CP32="",DK32=""),"",IFERROR(CP32-DK32,""))</f>
        <v/>
      </c>
      <c r="EG32" s="17">
        <f>IF(OR(CQ32="",DL32=""),"",IFERROR(CQ32-DL32,""))</f>
        <v/>
      </c>
      <c r="EH32" s="17">
        <f>IF(OR(CR32="",DM32=""),"",IFERROR(CR32-DM32,""))</f>
        <v/>
      </c>
      <c r="EI32" s="17">
        <f>IF(OR(CS32="",DN32=""),"",IFERROR(CS32-DN32,""))</f>
        <v/>
      </c>
      <c r="EJ32" s="17">
        <f>IF(OR(CT32="",DO32=""),"",IFERROR(CT32-DO32,""))</f>
        <v/>
      </c>
      <c r="EK32" s="17">
        <f>IF(OR(CU32="",DP32=""),"",IFERROR(CU32-DP32,""))</f>
        <v/>
      </c>
      <c r="EL32" s="17">
        <f>IF(OR(CV32="",DQ32=""),"",IFERROR(CV32-DQ32,""))</f>
        <v/>
      </c>
      <c r="EM32" s="17">
        <f>IF(OR(CW32="",DR32=""),"",IFERROR(CW32-DR32,""))</f>
        <v/>
      </c>
      <c r="EN32" s="17">
        <f>IF(OR(CX32="",DS32=""),"",IFERROR(CX32-DS32,""))</f>
        <v/>
      </c>
      <c r="EO32" s="17">
        <f>IF(OR(CY32="",DT32=""),"",IFERROR(CY32-DT32,""))</f>
        <v/>
      </c>
      <c r="EP32" s="17">
        <f>IF(OR(CZ32="",DU32=""),"",IFERROR(CZ32-DU32,""))</f>
        <v/>
      </c>
      <c r="EQ32" s="17">
        <f>IF(OR(DA32="",DV32=""),"",IFERROR(DA32-DV32,""))</f>
        <v/>
      </c>
      <c r="ER32" s="17">
        <f>IF(OR(DB32="",DW32=""),"",IFERROR(DB32-DW32,""))</f>
        <v/>
      </c>
      <c r="ES32" s="17">
        <f>IF(OR(DC32="",DX32=""),"",IFERROR(DC32-DX32,""))</f>
        <v/>
      </c>
      <c r="EU32" s="16" t="n"/>
      <c r="EV32" s="16" t="n"/>
      <c r="EW32" s="16" t="n"/>
      <c r="EX32" s="16" t="n"/>
      <c r="EY32" s="16" t="n"/>
      <c r="EZ32" s="16" t="n"/>
      <c r="FA32" s="16" t="n"/>
      <c r="FB32" s="16" t="n"/>
      <c r="FC32" s="16" t="n"/>
      <c r="FD32" s="16" t="n"/>
      <c r="FE32" s="16" t="n"/>
      <c r="FF32" s="16" t="n"/>
      <c r="FG32" s="16" t="n"/>
      <c r="FH32" s="16" t="n"/>
      <c r="FI32" s="16" t="n"/>
      <c r="FJ32" s="16" t="n"/>
      <c r="FK32" s="16" t="n"/>
      <c r="FL32" s="16" t="n"/>
      <c r="FM32" s="16" t="n"/>
      <c r="FN32" s="16" t="n"/>
    </row>
    <row r="33">
      <c r="B33" s="15" t="n">
        <v>25</v>
      </c>
      <c r="C33" s="15">
        <f>IFERROR(LEFT(INDEX(cal_new!$A$3:$AH$3,1,MATCH(1,cal_new!$A$4:$AH$4,0)+B33-1),3),"")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  <c r="BX33" s="16" t="n"/>
      <c r="BY33" s="16" t="n"/>
      <c r="BZ33" s="16" t="n"/>
      <c r="CA33" s="16" t="n"/>
      <c r="CB33" s="16" t="n"/>
      <c r="CC33" s="16" t="n"/>
      <c r="CD33" s="16" t="n"/>
      <c r="CE33" s="16" t="n"/>
      <c r="CF33" s="16" t="n"/>
      <c r="CG33" s="16" t="n"/>
      <c r="CH33" s="16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Z33" s="17">
        <f>IF(OR(CJ33="",DE33=""),"",IFERROR(CJ33-DE33,""))</f>
        <v/>
      </c>
      <c r="EA33" s="17">
        <f>IF(OR(CK33="",DF33=""),"",IFERROR(CK33-DF33,""))</f>
        <v/>
      </c>
      <c r="EB33" s="17">
        <f>IF(OR(CL33="",DG33=""),"",IFERROR(CL33-DG33,""))</f>
        <v/>
      </c>
      <c r="EC33" s="17">
        <f>IF(OR(CM33="",DH33=""),"",IFERROR(CM33-DH33,""))</f>
        <v/>
      </c>
      <c r="ED33" s="17">
        <f>IF(OR(CN33="",DI33=""),"",IFERROR(CN33-DI33,""))</f>
        <v/>
      </c>
      <c r="EE33" s="17">
        <f>IF(OR(CO33="",DJ33=""),"",IFERROR(CO33-DJ33,""))</f>
        <v/>
      </c>
      <c r="EF33" s="17">
        <f>IF(OR(CP33="",DK33=""),"",IFERROR(CP33-DK33,""))</f>
        <v/>
      </c>
      <c r="EG33" s="17">
        <f>IF(OR(CQ33="",DL33=""),"",IFERROR(CQ33-DL33,""))</f>
        <v/>
      </c>
      <c r="EH33" s="17">
        <f>IF(OR(CR33="",DM33=""),"",IFERROR(CR33-DM33,""))</f>
        <v/>
      </c>
      <c r="EI33" s="17">
        <f>IF(OR(CS33="",DN33=""),"",IFERROR(CS33-DN33,""))</f>
        <v/>
      </c>
      <c r="EJ33" s="17">
        <f>IF(OR(CT33="",DO33=""),"",IFERROR(CT33-DO33,""))</f>
        <v/>
      </c>
      <c r="EK33" s="17">
        <f>IF(OR(CU33="",DP33=""),"",IFERROR(CU33-DP33,""))</f>
        <v/>
      </c>
      <c r="EL33" s="17">
        <f>IF(OR(CV33="",DQ33=""),"",IFERROR(CV33-DQ33,""))</f>
        <v/>
      </c>
      <c r="EM33" s="17">
        <f>IF(OR(CW33="",DR33=""),"",IFERROR(CW33-DR33,""))</f>
        <v/>
      </c>
      <c r="EN33" s="17">
        <f>IF(OR(CX33="",DS33=""),"",IFERROR(CX33-DS33,""))</f>
        <v/>
      </c>
      <c r="EO33" s="17">
        <f>IF(OR(CY33="",DT33=""),"",IFERROR(CY33-DT33,""))</f>
        <v/>
      </c>
      <c r="EP33" s="17">
        <f>IF(OR(CZ33="",DU33=""),"",IFERROR(CZ33-DU33,""))</f>
        <v/>
      </c>
      <c r="EQ33" s="17">
        <f>IF(OR(DA33="",DV33=""),"",IFERROR(DA33-DV33,""))</f>
        <v/>
      </c>
      <c r="ER33" s="17">
        <f>IF(OR(DB33="",DW33=""),"",IFERROR(DB33-DW33,""))</f>
        <v/>
      </c>
      <c r="ES33" s="17">
        <f>IF(OR(DC33="",DX33=""),"",IFERROR(DC33-DX33,""))</f>
        <v/>
      </c>
      <c r="EU33" s="16" t="n"/>
      <c r="EV33" s="16" t="n"/>
      <c r="EW33" s="16" t="n"/>
      <c r="EX33" s="16" t="n"/>
      <c r="EY33" s="16" t="n"/>
      <c r="EZ33" s="16" t="n"/>
      <c r="FA33" s="16" t="n"/>
      <c r="FB33" s="16" t="n"/>
      <c r="FC33" s="16" t="n"/>
      <c r="FD33" s="16" t="n"/>
      <c r="FE33" s="16" t="n"/>
      <c r="FF33" s="16" t="n"/>
      <c r="FG33" s="16" t="n"/>
      <c r="FH33" s="16" t="n"/>
      <c r="FI33" s="16" t="n"/>
      <c r="FJ33" s="16" t="n"/>
      <c r="FK33" s="16" t="n"/>
      <c r="FL33" s="16" t="n"/>
      <c r="FM33" s="16" t="n"/>
      <c r="FN33" s="16" t="n"/>
    </row>
    <row r="34">
      <c r="B34" s="15" t="n">
        <v>26</v>
      </c>
      <c r="C34" s="15">
        <f>IFERROR(LEFT(INDEX(cal_new!$A$3:$AH$3,1,MATCH(1,cal_new!$A$4:$AH$4,0)+B34-1),3),"")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  <c r="BX34" s="16" t="n"/>
      <c r="BY34" s="16" t="n"/>
      <c r="BZ34" s="16" t="n"/>
      <c r="CA34" s="16" t="n"/>
      <c r="CB34" s="16" t="n"/>
      <c r="CC34" s="16" t="n"/>
      <c r="CD34" s="16" t="n"/>
      <c r="CE34" s="16" t="n"/>
      <c r="CF34" s="16" t="n"/>
      <c r="CG34" s="16" t="n"/>
      <c r="CH34" s="16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Z34" s="17">
        <f>IF(OR(CJ34="",DE34=""),"",IFERROR(CJ34-DE34,""))</f>
        <v/>
      </c>
      <c r="EA34" s="17">
        <f>IF(OR(CK34="",DF34=""),"",IFERROR(CK34-DF34,""))</f>
        <v/>
      </c>
      <c r="EB34" s="17">
        <f>IF(OR(CL34="",DG34=""),"",IFERROR(CL34-DG34,""))</f>
        <v/>
      </c>
      <c r="EC34" s="17">
        <f>IF(OR(CM34="",DH34=""),"",IFERROR(CM34-DH34,""))</f>
        <v/>
      </c>
      <c r="ED34" s="17">
        <f>IF(OR(CN34="",DI34=""),"",IFERROR(CN34-DI34,""))</f>
        <v/>
      </c>
      <c r="EE34" s="17">
        <f>IF(OR(CO34="",DJ34=""),"",IFERROR(CO34-DJ34,""))</f>
        <v/>
      </c>
      <c r="EF34" s="17">
        <f>IF(OR(CP34="",DK34=""),"",IFERROR(CP34-DK34,""))</f>
        <v/>
      </c>
      <c r="EG34" s="17">
        <f>IF(OR(CQ34="",DL34=""),"",IFERROR(CQ34-DL34,""))</f>
        <v/>
      </c>
      <c r="EH34" s="17">
        <f>IF(OR(CR34="",DM34=""),"",IFERROR(CR34-DM34,""))</f>
        <v/>
      </c>
      <c r="EI34" s="17">
        <f>IF(OR(CS34="",DN34=""),"",IFERROR(CS34-DN34,""))</f>
        <v/>
      </c>
      <c r="EJ34" s="17">
        <f>IF(OR(CT34="",DO34=""),"",IFERROR(CT34-DO34,""))</f>
        <v/>
      </c>
      <c r="EK34" s="17">
        <f>IF(OR(CU34="",DP34=""),"",IFERROR(CU34-DP34,""))</f>
        <v/>
      </c>
      <c r="EL34" s="17">
        <f>IF(OR(CV34="",DQ34=""),"",IFERROR(CV34-DQ34,""))</f>
        <v/>
      </c>
      <c r="EM34" s="17">
        <f>IF(OR(CW34="",DR34=""),"",IFERROR(CW34-DR34,""))</f>
        <v/>
      </c>
      <c r="EN34" s="17">
        <f>IF(OR(CX34="",DS34=""),"",IFERROR(CX34-DS34,""))</f>
        <v/>
      </c>
      <c r="EO34" s="17">
        <f>IF(OR(CY34="",DT34=""),"",IFERROR(CY34-DT34,""))</f>
        <v/>
      </c>
      <c r="EP34" s="17">
        <f>IF(OR(CZ34="",DU34=""),"",IFERROR(CZ34-DU34,""))</f>
        <v/>
      </c>
      <c r="EQ34" s="17">
        <f>IF(OR(DA34="",DV34=""),"",IFERROR(DA34-DV34,""))</f>
        <v/>
      </c>
      <c r="ER34" s="17">
        <f>IF(OR(DB34="",DW34=""),"",IFERROR(DB34-DW34,""))</f>
        <v/>
      </c>
      <c r="ES34" s="17">
        <f>IF(OR(DC34="",DX34=""),"",IFERROR(DC34-DX34,""))</f>
        <v/>
      </c>
      <c r="EU34" s="16" t="n"/>
      <c r="EV34" s="16" t="n"/>
      <c r="EW34" s="16" t="n"/>
      <c r="EX34" s="16" t="n"/>
      <c r="EY34" s="16" t="n"/>
      <c r="EZ34" s="16" t="n"/>
      <c r="FA34" s="16" t="n"/>
      <c r="FB34" s="16" t="n"/>
      <c r="FC34" s="16" t="n"/>
      <c r="FD34" s="16" t="n"/>
      <c r="FE34" s="16" t="n"/>
      <c r="FF34" s="16" t="n"/>
      <c r="FG34" s="16" t="n"/>
      <c r="FH34" s="16" t="n"/>
      <c r="FI34" s="16" t="n"/>
      <c r="FJ34" s="16" t="n"/>
      <c r="FK34" s="16" t="n"/>
      <c r="FL34" s="16" t="n"/>
      <c r="FM34" s="16" t="n"/>
      <c r="FN34" s="16" t="n"/>
    </row>
    <row r="35">
      <c r="B35" s="15" t="n">
        <v>27</v>
      </c>
      <c r="C35" s="15">
        <f>IFERROR(LEFT(INDEX(cal_new!$A$3:$AH$3,1,MATCH(1,cal_new!$A$4:$AH$4,0)+B35-1),3),"")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16" t="n"/>
      <c r="CA35" s="16" t="n"/>
      <c r="CB35" s="16" t="n"/>
      <c r="CC35" s="16" t="n"/>
      <c r="CD35" s="16" t="n"/>
      <c r="CE35" s="16" t="n"/>
      <c r="CF35" s="16" t="n"/>
      <c r="CG35" s="16" t="n"/>
      <c r="CH35" s="16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Z35" s="17">
        <f>IF(OR(CJ35="",DE35=""),"",IFERROR(CJ35-DE35,""))</f>
        <v/>
      </c>
      <c r="EA35" s="17">
        <f>IF(OR(CK35="",DF35=""),"",IFERROR(CK35-DF35,""))</f>
        <v/>
      </c>
      <c r="EB35" s="17">
        <f>IF(OR(CL35="",DG35=""),"",IFERROR(CL35-DG35,""))</f>
        <v/>
      </c>
      <c r="EC35" s="17">
        <f>IF(OR(CM35="",DH35=""),"",IFERROR(CM35-DH35,""))</f>
        <v/>
      </c>
      <c r="ED35" s="17">
        <f>IF(OR(CN35="",DI35=""),"",IFERROR(CN35-DI35,""))</f>
        <v/>
      </c>
      <c r="EE35" s="17">
        <f>IF(OR(CO35="",DJ35=""),"",IFERROR(CO35-DJ35,""))</f>
        <v/>
      </c>
      <c r="EF35" s="17">
        <f>IF(OR(CP35="",DK35=""),"",IFERROR(CP35-DK35,""))</f>
        <v/>
      </c>
      <c r="EG35" s="17">
        <f>IF(OR(CQ35="",DL35=""),"",IFERROR(CQ35-DL35,""))</f>
        <v/>
      </c>
      <c r="EH35" s="17">
        <f>IF(OR(CR35="",DM35=""),"",IFERROR(CR35-DM35,""))</f>
        <v/>
      </c>
      <c r="EI35" s="17">
        <f>IF(OR(CS35="",DN35=""),"",IFERROR(CS35-DN35,""))</f>
        <v/>
      </c>
      <c r="EJ35" s="17">
        <f>IF(OR(CT35="",DO35=""),"",IFERROR(CT35-DO35,""))</f>
        <v/>
      </c>
      <c r="EK35" s="17">
        <f>IF(OR(CU35="",DP35=""),"",IFERROR(CU35-DP35,""))</f>
        <v/>
      </c>
      <c r="EL35" s="17">
        <f>IF(OR(CV35="",DQ35=""),"",IFERROR(CV35-DQ35,""))</f>
        <v/>
      </c>
      <c r="EM35" s="17">
        <f>IF(OR(CW35="",DR35=""),"",IFERROR(CW35-DR35,""))</f>
        <v/>
      </c>
      <c r="EN35" s="17">
        <f>IF(OR(CX35="",DS35=""),"",IFERROR(CX35-DS35,""))</f>
        <v/>
      </c>
      <c r="EO35" s="17">
        <f>IF(OR(CY35="",DT35=""),"",IFERROR(CY35-DT35,""))</f>
        <v/>
      </c>
      <c r="EP35" s="17">
        <f>IF(OR(CZ35="",DU35=""),"",IFERROR(CZ35-DU35,""))</f>
        <v/>
      </c>
      <c r="EQ35" s="17">
        <f>IF(OR(DA35="",DV35=""),"",IFERROR(DA35-DV35,""))</f>
        <v/>
      </c>
      <c r="ER35" s="17">
        <f>IF(OR(DB35="",DW35=""),"",IFERROR(DB35-DW35,""))</f>
        <v/>
      </c>
      <c r="ES35" s="17">
        <f>IF(OR(DC35="",DX35=""),"",IFERROR(DC35-DX35,""))</f>
        <v/>
      </c>
      <c r="EU35" s="16" t="n"/>
      <c r="EV35" s="16" t="n"/>
      <c r="EW35" s="16" t="n"/>
      <c r="EX35" s="16" t="n"/>
      <c r="EY35" s="16" t="n"/>
      <c r="EZ35" s="16" t="n"/>
      <c r="FA35" s="16" t="n"/>
      <c r="FB35" s="16" t="n"/>
      <c r="FC35" s="16" t="n"/>
      <c r="FD35" s="16" t="n"/>
      <c r="FE35" s="16" t="n"/>
      <c r="FF35" s="16" t="n"/>
      <c r="FG35" s="16" t="n"/>
      <c r="FH35" s="16" t="n"/>
      <c r="FI35" s="16" t="n"/>
      <c r="FJ35" s="16" t="n"/>
      <c r="FK35" s="16" t="n"/>
      <c r="FL35" s="16" t="n"/>
      <c r="FM35" s="16" t="n"/>
      <c r="FN35" s="16" t="n"/>
    </row>
    <row r="36">
      <c r="B36" s="15" t="n">
        <v>28</v>
      </c>
      <c r="C36" s="15">
        <f>IFERROR(LEFT(INDEX(cal_new!$A$3:$AH$3,1,MATCH(1,cal_new!$A$4:$AH$4,0)+B36-1),3),"")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16" t="n"/>
      <c r="CA36" s="16" t="n"/>
      <c r="CB36" s="16" t="n"/>
      <c r="CC36" s="16" t="n"/>
      <c r="CD36" s="16" t="n"/>
      <c r="CE36" s="16" t="n"/>
      <c r="CF36" s="16" t="n"/>
      <c r="CG36" s="16" t="n"/>
      <c r="CH36" s="16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Z36" s="17">
        <f>IF(OR(CJ36="",DE36=""),"",IFERROR(CJ36-DE36,""))</f>
        <v/>
      </c>
      <c r="EA36" s="17">
        <f>IF(OR(CK36="",DF36=""),"",IFERROR(CK36-DF36,""))</f>
        <v/>
      </c>
      <c r="EB36" s="17">
        <f>IF(OR(CL36="",DG36=""),"",IFERROR(CL36-DG36,""))</f>
        <v/>
      </c>
      <c r="EC36" s="17">
        <f>IF(OR(CM36="",DH36=""),"",IFERROR(CM36-DH36,""))</f>
        <v/>
      </c>
      <c r="ED36" s="17">
        <f>IF(OR(CN36="",DI36=""),"",IFERROR(CN36-DI36,""))</f>
        <v/>
      </c>
      <c r="EE36" s="17">
        <f>IF(OR(CO36="",DJ36=""),"",IFERROR(CO36-DJ36,""))</f>
        <v/>
      </c>
      <c r="EF36" s="17">
        <f>IF(OR(CP36="",DK36=""),"",IFERROR(CP36-DK36,""))</f>
        <v/>
      </c>
      <c r="EG36" s="17">
        <f>IF(OR(CQ36="",DL36=""),"",IFERROR(CQ36-DL36,""))</f>
        <v/>
      </c>
      <c r="EH36" s="17">
        <f>IF(OR(CR36="",DM36=""),"",IFERROR(CR36-DM36,""))</f>
        <v/>
      </c>
      <c r="EI36" s="17">
        <f>IF(OR(CS36="",DN36=""),"",IFERROR(CS36-DN36,""))</f>
        <v/>
      </c>
      <c r="EJ36" s="17">
        <f>IF(OR(CT36="",DO36=""),"",IFERROR(CT36-DO36,""))</f>
        <v/>
      </c>
      <c r="EK36" s="17">
        <f>IF(OR(CU36="",DP36=""),"",IFERROR(CU36-DP36,""))</f>
        <v/>
      </c>
      <c r="EL36" s="17">
        <f>IF(OR(CV36="",DQ36=""),"",IFERROR(CV36-DQ36,""))</f>
        <v/>
      </c>
      <c r="EM36" s="17">
        <f>IF(OR(CW36="",DR36=""),"",IFERROR(CW36-DR36,""))</f>
        <v/>
      </c>
      <c r="EN36" s="17">
        <f>IF(OR(CX36="",DS36=""),"",IFERROR(CX36-DS36,""))</f>
        <v/>
      </c>
      <c r="EO36" s="17">
        <f>IF(OR(CY36="",DT36=""),"",IFERROR(CY36-DT36,""))</f>
        <v/>
      </c>
      <c r="EP36" s="17">
        <f>IF(OR(CZ36="",DU36=""),"",IFERROR(CZ36-DU36,""))</f>
        <v/>
      </c>
      <c r="EQ36" s="17">
        <f>IF(OR(DA36="",DV36=""),"",IFERROR(DA36-DV36,""))</f>
        <v/>
      </c>
      <c r="ER36" s="17">
        <f>IF(OR(DB36="",DW36=""),"",IFERROR(DB36-DW36,""))</f>
        <v/>
      </c>
      <c r="ES36" s="17">
        <f>IF(OR(DC36="",DX36=""),"",IFERROR(DC36-DX36,""))</f>
        <v/>
      </c>
      <c r="EU36" s="16" t="n"/>
      <c r="EV36" s="16" t="n"/>
      <c r="EW36" s="16" t="n"/>
      <c r="EX36" s="16" t="n"/>
      <c r="EY36" s="16" t="n"/>
      <c r="EZ36" s="16" t="n"/>
      <c r="FA36" s="16" t="n"/>
      <c r="FB36" s="16" t="n"/>
      <c r="FC36" s="16" t="n"/>
      <c r="FD36" s="16" t="n"/>
      <c r="FE36" s="16" t="n"/>
      <c r="FF36" s="16" t="n"/>
      <c r="FG36" s="16" t="n"/>
      <c r="FH36" s="16" t="n"/>
      <c r="FI36" s="16" t="n"/>
      <c r="FJ36" s="16" t="n"/>
      <c r="FK36" s="16" t="n"/>
      <c r="FL36" s="16" t="n"/>
      <c r="FM36" s="16" t="n"/>
      <c r="FN36" s="16" t="n"/>
    </row>
    <row r="37">
      <c r="B37" s="19" t="inlineStr">
        <is>
          <t>TOTAL</t>
        </is>
      </c>
      <c r="C37" s="20" t="n"/>
      <c r="D37" s="21">
        <f>IF(COUNT(D9:D36)=0,"",SUM(D9:D36))</f>
        <v/>
      </c>
      <c r="E37" s="21">
        <f>IF(COUNT(E9:E36)=0,"",SUM(E9:E36))</f>
        <v/>
      </c>
      <c r="F37" s="21">
        <f>IF(COUNT(F9:F36)=0,"",SUM(F9:F36))</f>
        <v/>
      </c>
      <c r="G37" s="21">
        <f>IF(COUNT(G9:G36)=0,"",SUM(G9:G36))</f>
        <v/>
      </c>
      <c r="H37" s="21">
        <f>IF(COUNT(H9:H36)=0,"",SUM(H9:H36))</f>
        <v/>
      </c>
      <c r="I37" s="21">
        <f>IF(COUNT(I9:I36)=0,"",SUM(I9:I36))</f>
        <v/>
      </c>
      <c r="J37" s="21">
        <f>IF(COUNT(J9:J36)=0,"",SUM(J9:J36))</f>
        <v/>
      </c>
      <c r="K37" s="21">
        <f>IF(COUNT(K9:K36)=0,"",SUM(K9:K36))</f>
        <v/>
      </c>
      <c r="L37" s="21">
        <f>IF(COUNT(L9:L36)=0,"",SUM(L9:L36))</f>
        <v/>
      </c>
      <c r="M37" s="21">
        <f>IF(COUNT(M9:M36)=0,"",SUM(M9:M36))</f>
        <v/>
      </c>
      <c r="N37" s="21">
        <f>IF(COUNT(N9:N36)=0,"",SUM(N9:N36))</f>
        <v/>
      </c>
      <c r="O37" s="21">
        <f>IF(COUNT(O9:O36)=0,"",SUM(O9:O36))</f>
        <v/>
      </c>
      <c r="P37" s="21">
        <f>IF(COUNT(P9:P36)=0,"",SUM(P9:P36))</f>
        <v/>
      </c>
      <c r="Q37" s="21">
        <f>IF(COUNT(Q9:Q36)=0,"",SUM(Q9:Q36))</f>
        <v/>
      </c>
      <c r="R37" s="21">
        <f>IF(COUNT(R9:R36)=0,"",SUM(R9:R36))</f>
        <v/>
      </c>
      <c r="S37" s="21">
        <f>IF(COUNT(S9:S36)=0,"",SUM(S9:S36))</f>
        <v/>
      </c>
      <c r="T37" s="21">
        <f>IF(COUNT(T9:T36)=0,"",SUM(T9:T36))</f>
        <v/>
      </c>
      <c r="U37" s="21">
        <f>IF(COUNT(U9:U36)=0,"",SUM(U9:U36))</f>
        <v/>
      </c>
      <c r="V37" s="21">
        <f>IF(COUNT(V9:V36)=0,"",SUM(V9:V36))</f>
        <v/>
      </c>
      <c r="W37" s="21">
        <f>IF(COUNT(W9:W36)=0,"",SUM(W9:W36))</f>
        <v/>
      </c>
      <c r="Y37" s="22">
        <f>SUM(Y9:Y36)</f>
        <v/>
      </c>
      <c r="Z37" s="22">
        <f>SUM(Z9:Z36)</f>
        <v/>
      </c>
      <c r="AA37" s="22">
        <f>SUM(AA9:AA36)</f>
        <v/>
      </c>
      <c r="AB37" s="22">
        <f>SUM(AB9:AB36)</f>
        <v/>
      </c>
      <c r="AC37" s="22">
        <f>SUM(AC9:AC36)</f>
        <v/>
      </c>
      <c r="AD37" s="22">
        <f>SUM(AD9:AD36)</f>
        <v/>
      </c>
      <c r="AE37" s="22">
        <f>SUM(AE9:AE36)</f>
        <v/>
      </c>
      <c r="AF37" s="22">
        <f>SUM(AF9:AF36)</f>
        <v/>
      </c>
      <c r="AG37" s="22">
        <f>SUM(AG9:AG36)</f>
        <v/>
      </c>
      <c r="AH37" s="22">
        <f>SUM(AH9:AH36)</f>
        <v/>
      </c>
      <c r="AI37" s="22">
        <f>SUM(AI9:AI36)</f>
        <v/>
      </c>
      <c r="AJ37" s="22">
        <f>SUM(AJ9:AJ36)</f>
        <v/>
      </c>
      <c r="AK37" s="22">
        <f>SUM(AK9:AK36)</f>
        <v/>
      </c>
      <c r="AL37" s="22">
        <f>SUM(AL9:AL36)</f>
        <v/>
      </c>
      <c r="AM37" s="22">
        <f>SUM(AM9:AM36)</f>
        <v/>
      </c>
      <c r="AN37" s="22">
        <f>SUM(AN9:AN36)</f>
        <v/>
      </c>
      <c r="AO37" s="22">
        <f>SUM(AO9:AO36)</f>
        <v/>
      </c>
      <c r="AP37" s="22">
        <f>SUM(AP9:AP36)</f>
        <v/>
      </c>
      <c r="AQ37" s="22">
        <f>SUM(AQ9:AQ36)</f>
        <v/>
      </c>
      <c r="AR37" s="22">
        <f>SUM(AR9:AR36)</f>
        <v/>
      </c>
      <c r="AT37" s="23">
        <f>IF(COUNT(AT9:AT36)=0,"",SUM(AT9:AT36))</f>
        <v/>
      </c>
      <c r="AU37" s="23">
        <f>IF(COUNT(AU9:AU36)=0,"",SUM(AU9:AU36))</f>
        <v/>
      </c>
      <c r="AV37" s="23">
        <f>IF(COUNT(AV9:AV36)=0,"",SUM(AV9:AV36))</f>
        <v/>
      </c>
      <c r="AW37" s="23">
        <f>IF(COUNT(AW9:AW36)=0,"",SUM(AW9:AW36))</f>
        <v/>
      </c>
      <c r="AX37" s="23">
        <f>IF(COUNT(AX9:AX36)=0,"",SUM(AX9:AX36))</f>
        <v/>
      </c>
      <c r="AY37" s="23">
        <f>IF(COUNT(AY9:AY36)=0,"",SUM(AY9:AY36))</f>
        <v/>
      </c>
      <c r="AZ37" s="23">
        <f>IF(COUNT(AZ9:AZ36)=0,"",SUM(AZ9:AZ36))</f>
        <v/>
      </c>
      <c r="BA37" s="23">
        <f>IF(COUNT(BA9:BA36)=0,"",SUM(BA9:BA36))</f>
        <v/>
      </c>
      <c r="BB37" s="23">
        <f>IF(COUNT(BB9:BB36)=0,"",SUM(BB9:BB36))</f>
        <v/>
      </c>
      <c r="BC37" s="23">
        <f>IF(COUNT(BC9:BC36)=0,"",SUM(BC9:BC36))</f>
        <v/>
      </c>
      <c r="BD37" s="23">
        <f>IF(COUNT(BD9:BD36)=0,"",SUM(BD9:BD36))</f>
        <v/>
      </c>
      <c r="BE37" s="23">
        <f>IF(COUNT(BE9:BE36)=0,"",SUM(BE9:BE36))</f>
        <v/>
      </c>
      <c r="BF37" s="23">
        <f>IF(COUNT(BF9:BF36)=0,"",SUM(BF9:BF36))</f>
        <v/>
      </c>
      <c r="BG37" s="23">
        <f>IF(COUNT(BG9:BG36)=0,"",SUM(BG9:BG36))</f>
        <v/>
      </c>
      <c r="BH37" s="23">
        <f>IF(COUNT(BH9:BH36)=0,"",SUM(BH9:BH36))</f>
        <v/>
      </c>
      <c r="BI37" s="23">
        <f>IF(COUNT(BI9:BI36)=0,"",SUM(BI9:BI36))</f>
        <v/>
      </c>
      <c r="BJ37" s="23">
        <f>IF(COUNT(BJ9:BJ36)=0,"",SUM(BJ9:BJ36))</f>
        <v/>
      </c>
      <c r="BK37" s="23">
        <f>IF(COUNT(BK9:BK36)=0,"",SUM(BK9:BK36))</f>
        <v/>
      </c>
      <c r="BL37" s="23">
        <f>IF(COUNT(BL9:BL36)=0,"",SUM(BL9:BL36))</f>
        <v/>
      </c>
      <c r="BM37" s="23">
        <f>IF(COUNT(BM9:BM36)=0,"",SUM(BM9:BM36))</f>
        <v/>
      </c>
      <c r="BO37" s="24">
        <f>IF(COUNT(BO9:BO36)=0,"",SUM(BO9:BO36))</f>
        <v/>
      </c>
      <c r="BP37" s="24">
        <f>IF(COUNT(BP9:BP36)=0,"",SUM(BP9:BP36))</f>
        <v/>
      </c>
      <c r="BQ37" s="24">
        <f>IF(COUNT(BQ9:BQ36)=0,"",SUM(BQ9:BQ36))</f>
        <v/>
      </c>
      <c r="BR37" s="24">
        <f>IF(COUNT(BR9:BR36)=0,"",SUM(BR9:BR36))</f>
        <v/>
      </c>
      <c r="BS37" s="24">
        <f>IF(COUNT(BS9:BS36)=0,"",SUM(BS9:BS36))</f>
        <v/>
      </c>
      <c r="BT37" s="24">
        <f>IF(COUNT(BT9:BT36)=0,"",SUM(BT9:BT36))</f>
        <v/>
      </c>
      <c r="BU37" s="24">
        <f>IF(COUNT(BU9:BU36)=0,"",SUM(BU9:BU36))</f>
        <v/>
      </c>
      <c r="BV37" s="24">
        <f>IF(COUNT(BV9:BV36)=0,"",SUM(BV9:BV36))</f>
        <v/>
      </c>
      <c r="BW37" s="24">
        <f>IF(COUNT(BW9:BW36)=0,"",SUM(BW9:BW36))</f>
        <v/>
      </c>
      <c r="BX37" s="24">
        <f>IF(COUNT(BX9:BX36)=0,"",SUM(BX9:BX36))</f>
        <v/>
      </c>
      <c r="BY37" s="24">
        <f>IF(COUNT(BY9:BY36)=0,"",SUM(BY9:BY36))</f>
        <v/>
      </c>
      <c r="BZ37" s="24">
        <f>IF(COUNT(BZ9:BZ36)=0,"",SUM(BZ9:BZ36))</f>
        <v/>
      </c>
      <c r="CA37" s="24">
        <f>IF(COUNT(CA9:CA36)=0,"",SUM(CA9:CA36))</f>
        <v/>
      </c>
      <c r="CB37" s="24">
        <f>IF(COUNT(CB9:CB36)=0,"",SUM(CB9:CB36))</f>
        <v/>
      </c>
      <c r="CC37" s="24">
        <f>IF(COUNT(CC9:CC36)=0,"",SUM(CC9:CC36))</f>
        <v/>
      </c>
      <c r="CD37" s="24">
        <f>IF(COUNT(CD9:CD36)=0,"",SUM(CD9:CD36))</f>
        <v/>
      </c>
      <c r="CE37" s="24">
        <f>IF(COUNT(CE9:CE36)=0,"",SUM(CE9:CE36))</f>
        <v/>
      </c>
      <c r="CF37" s="24">
        <f>IF(COUNT(CF9:CF36)=0,"",SUM(CF9:CF36))</f>
        <v/>
      </c>
      <c r="CG37" s="24">
        <f>IF(COUNT(CG9:CG36)=0,"",SUM(CG9:CG36))</f>
        <v/>
      </c>
      <c r="CH37" s="24">
        <f>IF(COUNT(CH9:CH36)=0,"",SUM(CH9:CH36))</f>
        <v/>
      </c>
      <c r="CJ37" s="25">
        <f>IF(COUNT(CJ9:CJ36)=0,"",SUM(CJ9:CJ36))</f>
        <v/>
      </c>
      <c r="CK37" s="25">
        <f>IF(COUNT(CK9:CK36)=0,"",SUM(CK9:CK36))</f>
        <v/>
      </c>
      <c r="CL37" s="25">
        <f>IF(COUNT(CL9:CL36)=0,"",SUM(CL9:CL36))</f>
        <v/>
      </c>
      <c r="CM37" s="25">
        <f>IF(COUNT(CM9:CM36)=0,"",SUM(CM9:CM36))</f>
        <v/>
      </c>
      <c r="CN37" s="25">
        <f>IF(COUNT(CN9:CN36)=0,"",SUM(CN9:CN36))</f>
        <v/>
      </c>
      <c r="CO37" s="25">
        <f>IF(COUNT(CO9:CO36)=0,"",SUM(CO9:CO36))</f>
        <v/>
      </c>
      <c r="CP37" s="25">
        <f>IF(COUNT(CP9:CP36)=0,"",SUM(CP9:CP36))</f>
        <v/>
      </c>
      <c r="CQ37" s="25">
        <f>IF(COUNT(CQ9:CQ36)=0,"",SUM(CQ9:CQ36))</f>
        <v/>
      </c>
      <c r="CR37" s="25">
        <f>IF(COUNT(CR9:CR36)=0,"",SUM(CR9:CR36))</f>
        <v/>
      </c>
      <c r="CS37" s="25">
        <f>IF(COUNT(CS9:CS36)=0,"",SUM(CS9:CS36))</f>
        <v/>
      </c>
      <c r="CT37" s="25">
        <f>IF(COUNT(CT9:CT36)=0,"",SUM(CT9:CT36))</f>
        <v/>
      </c>
      <c r="CU37" s="25">
        <f>IF(COUNT(CU9:CU36)=0,"",SUM(CU9:CU36))</f>
        <v/>
      </c>
      <c r="CV37" s="25">
        <f>IF(COUNT(CV9:CV36)=0,"",SUM(CV9:CV36))</f>
        <v/>
      </c>
      <c r="CW37" s="25">
        <f>IF(COUNT(CW9:CW36)=0,"",SUM(CW9:CW36))</f>
        <v/>
      </c>
      <c r="CX37" s="25">
        <f>IF(COUNT(CX9:CX36)=0,"",SUM(CX9:CX36))</f>
        <v/>
      </c>
      <c r="CY37" s="25">
        <f>IF(COUNT(CY9:CY36)=0,"",SUM(CY9:CY36))</f>
        <v/>
      </c>
      <c r="CZ37" s="25">
        <f>IF(COUNT(CZ9:CZ36)=0,"",SUM(CZ9:CZ36))</f>
        <v/>
      </c>
      <c r="DA37" s="25">
        <f>IF(COUNT(DA9:DA36)=0,"",SUM(DA9:DA36))</f>
        <v/>
      </c>
      <c r="DB37" s="25">
        <f>IF(COUNT(DB9:DB36)=0,"",SUM(DB9:DB36))</f>
        <v/>
      </c>
      <c r="DC37" s="25">
        <f>IF(COUNT(DC9:DC36)=0,"",SUM(DC9:DC36))</f>
        <v/>
      </c>
      <c r="DE37" s="25">
        <f>IF(COUNT(DE9:DE36)=0,"",SUM(DE9:DE36))</f>
        <v/>
      </c>
      <c r="DF37" s="25">
        <f>IF(COUNT(DF9:DF36)=0,"",SUM(DF9:DF36))</f>
        <v/>
      </c>
      <c r="DG37" s="25">
        <f>IF(COUNT(DG9:DG36)=0,"",SUM(DG9:DG36))</f>
        <v/>
      </c>
      <c r="DH37" s="25">
        <f>IF(COUNT(DH9:DH36)=0,"",SUM(DH9:DH36))</f>
        <v/>
      </c>
      <c r="DI37" s="25">
        <f>IF(COUNT(DI9:DI36)=0,"",SUM(DI9:DI36))</f>
        <v/>
      </c>
      <c r="DJ37" s="25">
        <f>IF(COUNT(DJ9:DJ36)=0,"",SUM(DJ9:DJ36))</f>
        <v/>
      </c>
      <c r="DK37" s="25">
        <f>IF(COUNT(DK9:DK36)=0,"",SUM(DK9:DK36))</f>
        <v/>
      </c>
      <c r="DL37" s="25">
        <f>IF(COUNT(DL9:DL36)=0,"",SUM(DL9:DL36))</f>
        <v/>
      </c>
      <c r="DM37" s="25">
        <f>IF(COUNT(DM9:DM36)=0,"",SUM(DM9:DM36))</f>
        <v/>
      </c>
      <c r="DN37" s="25">
        <f>IF(COUNT(DN9:DN36)=0,"",SUM(DN9:DN36))</f>
        <v/>
      </c>
      <c r="DO37" s="25">
        <f>IF(COUNT(DO9:DO36)=0,"",SUM(DO9:DO36))</f>
        <v/>
      </c>
      <c r="DP37" s="25">
        <f>IF(COUNT(DP9:DP36)=0,"",SUM(DP9:DP36))</f>
        <v/>
      </c>
      <c r="DQ37" s="25">
        <f>IF(COUNT(DQ9:DQ36)=0,"",SUM(DQ9:DQ36))</f>
        <v/>
      </c>
      <c r="DR37" s="25">
        <f>IF(COUNT(DR9:DR36)=0,"",SUM(DR9:DR36))</f>
        <v/>
      </c>
      <c r="DS37" s="25">
        <f>IF(COUNT(DS9:DS36)=0,"",SUM(DS9:DS36))</f>
        <v/>
      </c>
      <c r="DT37" s="25">
        <f>IF(COUNT(DT9:DT36)=0,"",SUM(DT9:DT36))</f>
        <v/>
      </c>
      <c r="DU37" s="25">
        <f>IF(COUNT(DU9:DU36)=0,"",SUM(DU9:DU36))</f>
        <v/>
      </c>
      <c r="DV37" s="25">
        <f>IF(COUNT(DV9:DV36)=0,"",SUM(DV9:DV36))</f>
        <v/>
      </c>
      <c r="DW37" s="25">
        <f>IF(COUNT(DW9:DW36)=0,"",SUM(DW9:DW36))</f>
        <v/>
      </c>
      <c r="DX37" s="25">
        <f>IF(COUNT(DX9:DX36)=0,"",SUM(DX9:DX36))</f>
        <v/>
      </c>
      <c r="DZ37" s="23">
        <f>IF(COUNT(DZ9:DZ36)=0,"",SUM(DZ9:DZ36))</f>
        <v/>
      </c>
      <c r="EA37" s="23">
        <f>IF(COUNT(EA9:EA36)=0,"",SUM(EA9:EA36))</f>
        <v/>
      </c>
      <c r="EB37" s="23">
        <f>IF(COUNT(EB9:EB36)=0,"",SUM(EB9:EB36))</f>
        <v/>
      </c>
      <c r="EC37" s="23">
        <f>IF(COUNT(EC9:EC36)=0,"",SUM(EC9:EC36))</f>
        <v/>
      </c>
      <c r="ED37" s="23">
        <f>IF(COUNT(ED9:ED36)=0,"",SUM(ED9:ED36))</f>
        <v/>
      </c>
      <c r="EE37" s="23">
        <f>IF(COUNT(EE9:EE36)=0,"",SUM(EE9:EE36))</f>
        <v/>
      </c>
      <c r="EF37" s="23">
        <f>IF(COUNT(EF9:EF36)=0,"",SUM(EF9:EF36))</f>
        <v/>
      </c>
      <c r="EG37" s="23">
        <f>IF(COUNT(EG9:EG36)=0,"",SUM(EG9:EG36))</f>
        <v/>
      </c>
      <c r="EH37" s="23">
        <f>IF(COUNT(EH9:EH36)=0,"",SUM(EH9:EH36))</f>
        <v/>
      </c>
      <c r="EI37" s="23">
        <f>IF(COUNT(EI9:EI36)=0,"",SUM(EI9:EI36))</f>
        <v/>
      </c>
      <c r="EJ37" s="23">
        <f>IF(COUNT(EJ9:EJ36)=0,"",SUM(EJ9:EJ36))</f>
        <v/>
      </c>
      <c r="EK37" s="23">
        <f>IF(COUNT(EK9:EK36)=0,"",SUM(EK9:EK36))</f>
        <v/>
      </c>
      <c r="EL37" s="23">
        <f>IF(COUNT(EL9:EL36)=0,"",SUM(EL9:EL36))</f>
        <v/>
      </c>
      <c r="EM37" s="23">
        <f>IF(COUNT(EM9:EM36)=0,"",SUM(EM9:EM36))</f>
        <v/>
      </c>
      <c r="EN37" s="23">
        <f>IF(COUNT(EN9:EN36)=0,"",SUM(EN9:EN36))</f>
        <v/>
      </c>
      <c r="EO37" s="23">
        <f>IF(COUNT(EO9:EO36)=0,"",SUM(EO9:EO36))</f>
        <v/>
      </c>
      <c r="EP37" s="23">
        <f>IF(COUNT(EP9:EP36)=0,"",SUM(EP9:EP36))</f>
        <v/>
      </c>
      <c r="EQ37" s="23">
        <f>IF(COUNT(EQ9:EQ36)=0,"",SUM(EQ9:EQ36))</f>
        <v/>
      </c>
      <c r="ER37" s="23">
        <f>IF(COUNT(ER9:ER36)=0,"",SUM(ER9:ER36))</f>
        <v/>
      </c>
      <c r="ES37" s="23">
        <f>IF(COUNT(ES9:ES36)=0,"",SUM(ES9:ES36))</f>
        <v/>
      </c>
      <c r="EU37" s="21">
        <f>SUM(EU9:EU36)</f>
        <v/>
      </c>
      <c r="EV37" s="21">
        <f>SUM(EV9:EV36)</f>
        <v/>
      </c>
      <c r="EW37" s="21">
        <f>SUM(EW9:EW36)</f>
        <v/>
      </c>
      <c r="EX37" s="21">
        <f>SUM(EX9:EX36)</f>
        <v/>
      </c>
      <c r="EY37" s="21">
        <f>SUM(EY9:EY36)</f>
        <v/>
      </c>
      <c r="EZ37" s="21">
        <f>SUM(EZ9:EZ36)</f>
        <v/>
      </c>
      <c r="FA37" s="21">
        <f>SUM(FA9:FA36)</f>
        <v/>
      </c>
      <c r="FB37" s="21">
        <f>SUM(FB9:FB36)</f>
        <v/>
      </c>
      <c r="FC37" s="21">
        <f>SUM(FC9:FC36)</f>
        <v/>
      </c>
      <c r="FD37" s="21">
        <f>SUM(FD9:FD36)</f>
        <v/>
      </c>
      <c r="FE37" s="21">
        <f>SUM(FE9:FE36)</f>
        <v/>
      </c>
      <c r="FF37" s="21">
        <f>SUM(FF9:FF36)</f>
        <v/>
      </c>
      <c r="FG37" s="21">
        <f>SUM(FG9:FG36)</f>
        <v/>
      </c>
      <c r="FH37" s="21">
        <f>SUM(FH9:FH36)</f>
        <v/>
      </c>
      <c r="FI37" s="21">
        <f>SUM(FI9:FI36)</f>
        <v/>
      </c>
      <c r="FJ37" s="21">
        <f>SUM(FJ9:FJ36)</f>
        <v/>
      </c>
      <c r="FK37" s="21">
        <f>SUM(FK9:FK36)</f>
        <v/>
      </c>
      <c r="FL37" s="21">
        <f>SUM(FL9:FL36)</f>
        <v/>
      </c>
      <c r="FM37" s="21">
        <f>SUM(FM9:FM36)</f>
        <v/>
      </c>
      <c r="FN37" s="21">
        <f>SUM(FN9:FN36)</f>
        <v/>
      </c>
    </row>
    <row r="39">
      <c r="B39" s="26" t="inlineStr">
        <is>
          <t>LEGEND / ALLOCATION RULES (D60, 2026-10-14 — EcoGainsSim_Daily.gs, DAILY_ALLOC_MODEL = settle)</t>
        </is>
      </c>
    </row>
    <row r="40">
      <c r="B40" s="5" t="inlineStr">
        <is>
          <t>CURRENT GAINS, CURRENT SPEND, CURRENT NET are DATA: data_econ_daily, per earner per day (window-earner denominator, so the days of the pull sum to the data_econ window total). They are BLANK past the last day the pull carries — a day with no row is "not pulled yet", never 0 — and blank unless Source = ALL (the data is game-wide).</t>
        </is>
      </c>
    </row>
    <row r="41">
      <c r="B41" s="5" t="inlineStr">
        <is>
          <t>NEW GAINS is the SIM of cal_new. Δ GAINS = data − sim: positive means the data sits above the sim. While cal_curr is the live calendar this Δ mixes the redesign with model error; the validation lane on the far right (SIM of cal_curr) separates them: data − sim_new = (data − sim_curr) + (sim_curr − sim_new).</t>
        </is>
      </c>
    </row>
    <row r="42">
      <c r="B42" s="5" t="inlineStr">
        <is>
          <t>NEW NET = data gain + the sim’s day shift (sim NEW − sim cal_curr) − data spend: anchored to the data, so when the redesign changes nothing it equals CURRENT NET exactly. Δ NET = CURRENT NET − NEW NET (data − sim).</t>
        </is>
      </c>
    </row>
    <row r="43">
      <c r="B43" s="5" t="inlineStr">
        <is>
          <t>PLACEMENT (measured against the data before it was built, harness/_probe_daily_alloc*.js): rank-family lumps (Bomb/Chuck/Red Challenge, Level Race, Flash Race, Target Day, Kite, Team Event, Team Race, Flock Flurry) land the DATE AFTER the grid cell — a 1-day cell is a 2-date event, the board settles and pays on the next date. Authored per source on the optional sim_settle sheet (settle_days; lag_0..2 to spread a payout over +0/+1/+2 once the lag data exists). The 7-day view sums the EARN day instead.</t>
        </is>
      </c>
    </row>
    <row r="44">
      <c r="B44" s="5" t="inlineStr">
        <is>
          <t>Collections (Hatchling Hideaway, Bomb’s Ballet, Jigsaw, Photoshoot) spread by the MEAN accrual curve’s marginal; Season Pass (Free/Paid) spreads ∝ active rate over every day its lane is open (no reach split — the 3-day stub artefact is gone); Core / Saga / Daily Gift pay daily ∝ weekday/weekend active rate; Night Sky over its daily instances; Rainbow Maker ∝ active rate within its instances. Non-calendar sources (Ads, Other, IAPs, FlowerCoop) are flat over the window. River Rush must be DRAWN on cal_curr — off-grid it is flat and SPTx2 is placed on the wrong days.</t>
        </is>
      </c>
    </row>
    <row r="45">
      <c r="B45" s="5" t="inlineStr">
        <is>
          <t>Reading the comparison: a single day’s % is NOT a verdict — the data’s own day-to-day CV is 17–29% for the smooth resources. Read cumulative-through-day-N (N ≥ 7) against the resource’s week-over-week CV (HC 2–12%, boosters 3–22%, UL 10–30%), and timing on 3-day centred sums (±1 day). SPT is dominated by the synthetic Core anchor and SPTx2 by River Rush’s schedule until those are fixed.</t>
        </is>
      </c>
    </row>
    <row r="46">
      <c r="B46" s="5" t="inlineStr">
        <is>
          <t>WINDOW: 28 days, day 1 = the column holding the first 1 on the calendars' day-number row (row 4); the blacked-out columns before it are not counted, but cal_curr's events there still scale the measured side to the window (D71). The data blocks read the pull by calendar day, so re-pull data_econ_daily_live with window_start_date = the date of day 1.</t>
        </is>
      </c>
    </row>
    <row r="47">
      <c r="B47" s="5" t="inlineStr">
        <is>
          <t>Weekend rows (Fri/Sat/Sun) are tinted. Window totals of the SIM blocks reconcile with EcoGainsSim_HC (TOTAL row); the data blocks total only the days pulled (blank = no data, not zero).</t>
        </is>
      </c>
    </row>
    <row r="48">
      <c r="B48" s="5" t="inlineStr">
        <is>
          <t>PACKS and ToF_Ticket are gains-only and simulated-side only: the data blocks leave their columns BLANK (no telemetry is not a measured 0).</t>
        </is>
      </c>
    </row>
  </sheetData>
  <conditionalFormatting sqref="AT9:BM36">
    <cfRule type="cellIs" priority="1" operator="lessThan" dxfId="0" stopIfTrue="1">
      <formula>0</formula>
    </cfRule>
    <cfRule type="cellIs" priority="2" operator="greaterThan" dxfId="1" stopIfTrue="1">
      <formula>0</formula>
    </cfRule>
  </conditionalFormatting>
  <conditionalFormatting sqref="DZ9:ES36">
    <cfRule type="cellIs" priority="3" operator="lessThan" dxfId="0" stopIfTrue="1">
      <formula>0</formula>
    </cfRule>
    <cfRule type="cellIs" priority="4" operator="greaterThan" dxfId="1" stopIfTrue="1">
      <formula>0</formula>
    </cfRule>
  </conditionalFormatting>
  <conditionalFormatting sqref="B9:FN36">
    <cfRule type="expression" priority="5" dxfId="2">
      <formula>OR($C9="Fri",$C9="Sat",$C9="Sun")</formula>
    </cfRule>
  </conditionalFormatting>
  <dataValidations count="3">
    <dataValidation sqref="C3" showDropDown="0" showInputMessage="0" showErrorMessage="0" allowBlank="0" type="list">
      <formula1>"NONPAYER,PAYER"</formula1>
    </dataValidation>
    <dataValidation sqref="C4" showDropDown="0" showInputMessage="0" showErrorMessage="0" allowBlank="0" type="list">
      <formula1>"0-9,10-19,20-39,40-99,100+"</formula1>
    </dataValidation>
    <dataValidation sqref="C5" showDropDown="0" showInputMessage="0" showErrorMessage="0" allowBlank="0" type="list">
      <formula1>=$FP$2:$FP$27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2026-10-28T08:55:11Z</dcterms:created>
  <dcterms:modified xmlns:dcterms="http://purl.org/dc/terms/" xmlns:xsi="http://www.w3.org/2001/XMLSchema-instance" xsi:type="dcterms:W3CDTF">2026-10-28T08:55:11Z</dcterms:modified>
</cp:coreProperties>
</file>