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_v2" sheetId="1" state="visible" r:id="rId1"/>
    <sheet name="HH_v2" sheetId="2" state="visible" r:id="rId2"/>
    <sheet name="BB_v2" sheetId="3" state="visible" r:id="rId3"/>
    <sheet name="Ph_v2" sheetId="4" state="visible" r:id="rId4"/>
    <sheet name="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1"/>
      <sz val="9"/>
    </font>
    <font>
      <name val="Arial"/>
      <color theme="1"/>
      <sz val="11"/>
    </font>
    <font>
      <name val="Calibri"/>
      <color theme="1"/>
      <sz val="11"/>
    </font>
    <font>
      <name val="Arial"/>
      <b val="1"/>
      <sz val="11"/>
    </font>
    <font>
      <name val="Arial"/>
      <b val="1"/>
      <sz val="9"/>
    </font>
    <font>
      <name val="Arial"/>
      <color rgb="FF808080"/>
      <sz val="8"/>
    </font>
    <font>
      <name val="Arial"/>
      <color theme="1"/>
      <scheme val="minor"/>
    </font>
    <font>
      <name val="Arial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7CB4D"/>
        <bgColor rgb="FFF7CB4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9">
    <border>
      <left/>
      <right/>
      <top/>
      <bottom/>
      <diagonal/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7" fillId="0" borderId="1" pivotButton="0" quotePrefix="0" xfId="0"/>
    <xf numFmtId="0" fontId="3" fillId="2" borderId="2" applyAlignment="1" pivotButton="0" quotePrefix="0" xfId="0">
      <alignment horizontal="left" vertical="center"/>
    </xf>
    <xf numFmtId="0" fontId="8" fillId="0" borderId="1" pivotButton="0" quotePrefix="0" xfId="0"/>
    <xf numFmtId="0" fontId="8" fillId="8" borderId="7" applyAlignment="1" pivotButton="0" quotePrefix="0" xfId="0">
      <alignment horizontal="center"/>
    </xf>
    <xf numFmtId="0" fontId="2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8" fillId="9" borderId="7" applyAlignment="1" pivotButton="0" quotePrefix="0" xfId="0">
      <alignment horizontal="center"/>
    </xf>
    <xf numFmtId="0" fontId="6" fillId="10" borderId="7" applyAlignment="1" pivotButton="0" quotePrefix="0" xfId="0">
      <alignment horizontal="center"/>
    </xf>
    <xf numFmtId="1" fontId="6" fillId="10" borderId="7" applyAlignment="1" pivotButton="0" quotePrefix="0" xfId="0">
      <alignment horizontal="center"/>
    </xf>
    <xf numFmtId="0" fontId="6" fillId="10" borderId="7" applyAlignment="1" pivotButton="0" quotePrefix="0" xfId="0">
      <alignment horizontal="left"/>
    </xf>
    <xf numFmtId="0" fontId="2" fillId="7" borderId="4" applyAlignment="1" pivotButton="0" quotePrefix="0" xfId="0">
      <alignment horizontal="center" vertical="bottom" wrapText="1"/>
    </xf>
    <xf numFmtId="0" fontId="2" fillId="7" borderId="5" applyAlignment="1" pivotButton="0" quotePrefix="0" xfId="0">
      <alignment horizontal="center" vertical="bottom" wrapText="1"/>
    </xf>
    <xf numFmtId="0" fontId="2" fillId="7" borderId="6" applyAlignment="1" pivotButton="0" quotePrefix="0" xfId="0">
      <alignment horizontal="center" vertical="bottom" textRotation="180"/>
    </xf>
    <xf numFmtId="0" fontId="2" fillId="7" borderId="4" applyAlignment="1" pivotButton="0" quotePrefix="0" xfId="0">
      <alignment horizontal="center" vertical="bottom" textRotation="180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9" fontId="8" fillId="8" borderId="7" pivotButton="0" quotePrefix="0" xfId="0"/>
    <xf numFmtId="0" fontId="8" fillId="9" borderId="7" pivotButton="0" quotePrefix="0" xfId="0"/>
    <xf numFmtId="0" fontId="6" fillId="0" borderId="7" pivotButton="0" quotePrefix="0" xfId="0"/>
    <xf numFmtId="0" fontId="6" fillId="8" borderId="7" pivotButton="0" quotePrefix="0" xfId="0"/>
    <xf numFmtId="164" fontId="6" fillId="10" borderId="7" pivotButton="0" quotePrefix="0" xfId="0"/>
    <xf numFmtId="0" fontId="9" fillId="0" borderId="1" pivotButton="0" quotePrefix="0" xfId="0"/>
    <xf numFmtId="0" fontId="5" fillId="0" borderId="5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3" fontId="6" fillId="10" borderId="7" pivotButton="0" quotePrefix="0" xfId="0"/>
    <xf numFmtId="0" fontId="5" fillId="3" borderId="2" applyAlignment="1" pivotButton="0" quotePrefix="0" xfId="0">
      <alignment horizontal="center" vertical="center" wrapText="1"/>
    </xf>
    <xf numFmtId="0" fontId="2" fillId="7" borderId="8" applyAlignment="1" pivotButton="0" quotePrefix="0" xfId="0">
      <alignment horizontal="center" vertical="bottom" textRotation="180"/>
    </xf>
    <xf numFmtId="0" fontId="5" fillId="0" borderId="8" applyAlignment="1" pivotButton="0" quotePrefix="0" xfId="0">
      <alignment horizontal="center" vertical="center"/>
    </xf>
    <xf numFmtId="0" fontId="10" fillId="0" borderId="1" pivotButton="0" quotePrefix="0" xfId="0"/>
    <xf numFmtId="0" fontId="1" fillId="0" borderId="1" pivotButton="0" quotePrefix="0" xfId="0"/>
    <xf numFmtId="0" fontId="11" fillId="0" borderId="1" pivotButton="0" quotePrefix="0" xfId="0"/>
    <xf numFmtId="0" fontId="3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"/>
  <sheetViews>
    <sheetView workbookViewId="0">
      <selection activeCell="A1" sqref="A1"/>
    </sheetView>
  </sheetViews>
  <sheetFormatPr baseColWidth="8" defaultRowHeight="15"/>
  <cols>
    <col width="18.75" customWidth="1" min="1" max="1"/>
    <col width="14" customWidth="1" min="2" max="2"/>
    <col width="4.5" customWidth="1" min="3" max="3"/>
    <col width="7.5" customWidth="1" min="24" max="24"/>
    <col width="7.63" customWidth="1" min="25" max="25"/>
    <col width="2.88" customWidth="1" min="33" max="33"/>
    <col width="11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  <col width="6" customWidth="1" min="46" max="46"/>
    <col width="8" customWidth="1" min="47" max="47"/>
    <col width="13" customWidth="1" min="48" max="48"/>
  </cols>
  <sheetData>
    <row r="1" ht="21.75" customHeight="1">
      <c r="A1" s="1" t="inlineStr">
        <is>
          <t>Jigsaw Puzzle</t>
        </is>
      </c>
      <c r="AH1" s="2" t="inlineStr">
        <is>
          <t>Player Reach Simulation (per event day) — SIMULATED</t>
        </is>
      </c>
    </row>
    <row r="2" ht="19.5" customHeight="1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AH2" s="4" t="inlineStr">
        <is>
          <t>Percentile</t>
        </is>
      </c>
      <c r="AI2" s="5" t="inlineStr">
        <is>
          <t>Avg</t>
        </is>
      </c>
    </row>
    <row r="3">
      <c r="A3" s="6" t="inlineStr">
        <is>
          <t>EventDuration</t>
        </is>
      </c>
      <c r="B3" s="7" t="n">
        <v>3</v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requiredPlayerLevel</t>
        </is>
      </c>
      <c r="B4" s="7" t="n">
        <v>1</v>
      </c>
    </row>
    <row r="5">
      <c r="A5" s="6" t="inlineStr">
        <is>
          <t>requiredSagaLevel</t>
        </is>
      </c>
      <c r="B5" s="7" t="n">
        <v>15</v>
      </c>
      <c r="AH5" s="8" t="inlineStr">
        <is>
          <t>Day_of_event</t>
        </is>
      </c>
      <c r="AI5" s="8" t="inlineStr">
        <is>
          <t>0-9_ms</t>
        </is>
      </c>
      <c r="AJ5" s="8" t="inlineStr">
        <is>
          <t>0-9_reward</t>
        </is>
      </c>
      <c r="AK5" s="8" t="inlineStr">
        <is>
          <t>10-19_ms</t>
        </is>
      </c>
      <c r="AL5" s="8" t="inlineStr">
        <is>
          <t>10-19_reward</t>
        </is>
      </c>
      <c r="AM5" s="8" t="inlineStr">
        <is>
          <t>20-39_ms</t>
        </is>
      </c>
      <c r="AN5" s="8" t="inlineStr">
        <is>
          <t>20-39_reward</t>
        </is>
      </c>
      <c r="AO5" s="8" t="inlineStr">
        <is>
          <t>40-99_ms</t>
        </is>
      </c>
      <c r="AP5" s="8" t="inlineStr">
        <is>
          <t>40-99_reward</t>
        </is>
      </c>
      <c r="AQ5" s="8" t="inlineStr">
        <is>
          <t>100_ms</t>
        </is>
      </c>
      <c r="AR5" s="8" t="inlineStr">
        <is>
          <t>100_reward</t>
        </is>
      </c>
    </row>
    <row r="6">
      <c r="A6" s="6" t="inlineStr">
        <is>
          <t>tokenMultiplier</t>
        </is>
      </c>
      <c r="B6" s="7" t="n">
        <v>2</v>
      </c>
      <c r="AH6" s="9">
        <f>IF(1&lt;=$B$3,1,"")</f>
        <v/>
      </c>
      <c r="AI6" s="10">
        <f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/>
      </c>
      <c r="AJ6" s="11">
        <f>IF($AH6="","",IF(AI6=0,"{}",LET(m,AI6,s,MMULT(SEQUENCE(1,m,1,0),ARRAY_CONSTRAIN($C$11:$W$22,m,21)),"{"&amp;TEXTJOIN(", ",TRUE,ARRAYFORMULA(IF(s&gt;0,$C$10:$W$10&amp;": "&amp;ROUND(s,2),"")))&amp;"}")))</f>
        <v/>
      </c>
      <c r="AK6" s="10">
        <f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/>
      </c>
      <c r="AL6" s="11">
        <f>IF($AH6="","",IF(AK6=0,"{}",LET(m,AK6,s,MMULT(SEQUENCE(1,m,1,0),ARRAY_CONSTRAIN($C$11:$W$22,m,21)),"{"&amp;TEXTJOIN(", ",TRUE,ARRAYFORMULA(IF(s&gt;0,$C$10:$W$10&amp;": "&amp;ROUND(s,2),"")))&amp;"}")))</f>
        <v/>
      </c>
      <c r="AM6" s="10">
        <f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/>
      </c>
      <c r="AN6" s="11">
        <f>IF($AH6="","",IF(AM6=0,"{}",LET(m,AM6,s,MMULT(SEQUENCE(1,m,1,0),ARRAY_CONSTRAIN($C$11:$W$22,m,21)),"{"&amp;TEXTJOIN(", ",TRUE,ARRAYFORMULA(IF(s&gt;0,$C$10:$W$10&amp;": "&amp;ROUND(s,2),"")))&amp;"}")))</f>
        <v/>
      </c>
      <c r="AO6" s="10">
        <f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/>
      </c>
      <c r="AP6" s="11">
        <f>IF($AH6="","",IF(AO6=0,"{}",LET(m,AO6,s,MMULT(SEQUENCE(1,m,1,0),ARRAY_CONSTRAIN($C$11:$W$22,m,21)),"{"&amp;TEXTJOIN(", ",TRUE,ARRAYFORMULA(IF(s&gt;0,$C$10:$W$10&amp;": "&amp;ROUND(s,2),"")))&amp;"}")))</f>
        <v/>
      </c>
      <c r="AQ6" s="10">
        <f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/>
      </c>
      <c r="AR6" s="11">
        <f>IF($AH6="","",IF(AQ6=0,"{}",LET(m,AQ6,s,MMULT(SEQUENCE(1,m,1,0),ARRAY_CONSTRAIN($C$11:$W$22,m,21)),"{"&amp;TEXTJOIN(", ",TRUE,ARRAYFORMULA(IF(s&gt;0,$C$10:$W$10&amp;": "&amp;ROUND(s,2),"")))&amp;"}")))</f>
        <v/>
      </c>
    </row>
    <row r="7">
      <c r="A7" s="6" t="inlineStr">
        <is>
          <t>scoreDoubler</t>
        </is>
      </c>
      <c r="B7" s="7">
        <f>TRUE()</f>
        <v/>
      </c>
      <c r="AH7" s="9">
        <f>IF(2&lt;=$B$3,2,"")</f>
        <v/>
      </c>
      <c r="AI7" s="10">
        <f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/>
      </c>
      <c r="AJ7" s="11">
        <f>IF($AH7="","",IF(AI7=0,"{}",LET(m,AI7,s,MMULT(SEQUENCE(1,m,1,0),ARRAY_CONSTRAIN($C$11:$W$22,m,21)),"{"&amp;TEXTJOIN(", ",TRUE,ARRAYFORMULA(IF(s&gt;0,$C$10:$W$10&amp;": "&amp;ROUND(s,2),"")))&amp;"}")))</f>
        <v/>
      </c>
      <c r="AK7" s="10">
        <f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/>
      </c>
      <c r="AL7" s="11">
        <f>IF($AH7="","",IF(AK7=0,"{}",LET(m,AK7,s,MMULT(SEQUENCE(1,m,1,0),ARRAY_CONSTRAIN($C$11:$W$22,m,21)),"{"&amp;TEXTJOIN(", ",TRUE,ARRAYFORMULA(IF(s&gt;0,$C$10:$W$10&amp;": "&amp;ROUND(s,2),"")))&amp;"}")))</f>
        <v/>
      </c>
      <c r="AM7" s="10">
        <f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/>
      </c>
      <c r="AN7" s="11">
        <f>IF($AH7="","",IF(AM7=0,"{}",LET(m,AM7,s,MMULT(SEQUENCE(1,m,1,0),ARRAY_CONSTRAIN($C$11:$W$22,m,21)),"{"&amp;TEXTJOIN(", ",TRUE,ARRAYFORMULA(IF(s&gt;0,$C$10:$W$10&amp;": "&amp;ROUND(s,2),"")))&amp;"}")))</f>
        <v/>
      </c>
      <c r="AO7" s="10">
        <f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/>
      </c>
      <c r="AP7" s="11">
        <f>IF($AH7="","",IF(AO7=0,"{}",LET(m,AO7,s,MMULT(SEQUENCE(1,m,1,0),ARRAY_CONSTRAIN($C$11:$W$22,m,21)),"{"&amp;TEXTJOIN(", ",TRUE,ARRAYFORMULA(IF(s&gt;0,$C$10:$W$10&amp;": "&amp;ROUND(s,2),"")))&amp;"}")))</f>
        <v/>
      </c>
      <c r="AQ7" s="10">
        <f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/>
      </c>
      <c r="AR7" s="11">
        <f>IF($AH7="","",IF(AQ7=0,"{}",LET(m,AQ7,s,MMULT(SEQUENCE(1,m,1,0),ARRAY_CONSTRAIN($C$11:$W$22,m,21)),"{"&amp;TEXTJOIN(", ",TRUE,ARRAYFORMULA(IF(s&gt;0,$C$10:$W$10&amp;": "&amp;ROUND(s,2),"")))&amp;"}")))</f>
        <v/>
      </c>
    </row>
    <row r="8">
      <c r="AH8" s="9">
        <f>IF(3&lt;=$B$3,3,"")</f>
        <v/>
      </c>
      <c r="AI8" s="10">
        <f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/>
      </c>
      <c r="AJ8" s="11">
        <f>IF($AH8="","",IF(AI8=0,"{}",LET(m,AI8,s,MMULT(SEQUENCE(1,m,1,0),ARRAY_CONSTRAIN($C$11:$W$22,m,21)),"{"&amp;TEXTJOIN(", ",TRUE,ARRAYFORMULA(IF(s&gt;0,$C$10:$W$10&amp;": "&amp;ROUND(s,2),"")))&amp;"}")))</f>
        <v/>
      </c>
      <c r="AK8" s="10">
        <f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/>
      </c>
      <c r="AL8" s="11">
        <f>IF($AH8="","",IF(AK8=0,"{}",LET(m,AK8,s,MMULT(SEQUENCE(1,m,1,0),ARRAY_CONSTRAIN($C$11:$W$22,m,21)),"{"&amp;TEXTJOIN(", ",TRUE,ARRAYFORMULA(IF(s&gt;0,$C$10:$W$10&amp;": "&amp;ROUND(s,2),"")))&amp;"}")))</f>
        <v/>
      </c>
      <c r="AM8" s="10">
        <f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/>
      </c>
      <c r="AN8" s="11">
        <f>IF($AH8="","",IF(AM8=0,"{}",LET(m,AM8,s,MMULT(SEQUENCE(1,m,1,0),ARRAY_CONSTRAIN($C$11:$W$22,m,21)),"{"&amp;TEXTJOIN(", ",TRUE,ARRAYFORMULA(IF(s&gt;0,$C$10:$W$10&amp;": "&amp;ROUND(s,2),"")))&amp;"}")))</f>
        <v/>
      </c>
      <c r="AO8" s="10">
        <f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/>
      </c>
      <c r="AP8" s="11">
        <f>IF($AH8="","",IF(AO8=0,"{}",LET(m,AO8,s,MMULT(SEQUENCE(1,m,1,0),ARRAY_CONSTRAIN($C$11:$W$22,m,21)),"{"&amp;TEXTJOIN(", ",TRUE,ARRAYFORMULA(IF(s&gt;0,$C$10:$W$10&amp;": "&amp;ROUND(s,2),"")))&amp;"}")))</f>
        <v/>
      </c>
      <c r="AQ8" s="10">
        <f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/>
      </c>
      <c r="AR8" s="11">
        <f>IF($AH8="","",IF(AQ8=0,"{}",LET(m,AQ8,s,MMULT(SEQUENCE(1,m,1,0),ARRAY_CONSTRAIN($C$11:$W$22,m,21)),"{"&amp;TEXTJOIN(", ",TRUE,ARRAYFORMULA(IF(s&gt;0,$C$10:$W$10&amp;": "&amp;ROUND(s,2),"")))&amp;"}")))</f>
        <v/>
      </c>
    </row>
    <row r="9" ht="19.5" customHeight="1">
      <c r="A9" s="3" t="inlineStr">
        <is>
          <t>Goals and Rewards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AH9" s="9">
        <f>IF(4&lt;=$B$3,4,"")</f>
        <v/>
      </c>
      <c r="AI9" s="10">
        <f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1">
        <f>IF($AH9="","",IF(AI9=0,"{}",LET(m,AI9,s,MMULT(SEQUENCE(1,m,1,0),ARRAY_CONSTRAIN($C$11:$W$22,m,21)),"{"&amp;TEXTJOIN(", ",TRUE,ARRAYFORMULA(IF(s&gt;0,$C$10:$W$10&amp;": "&amp;ROUND(s,2),"")))&amp;"}")))</f>
        <v/>
      </c>
      <c r="AK9" s="10">
        <f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1">
        <f>IF($AH9="","",IF(AK9=0,"{}",LET(m,AK9,s,MMULT(SEQUENCE(1,m,1,0),ARRAY_CONSTRAIN($C$11:$W$22,m,21)),"{"&amp;TEXTJOIN(", ",TRUE,ARRAYFORMULA(IF(s&gt;0,$C$10:$W$10&amp;": "&amp;ROUND(s,2),"")))&amp;"}")))</f>
        <v/>
      </c>
      <c r="AM9" s="10">
        <f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1">
        <f>IF($AH9="","",IF(AM9=0,"{}",LET(m,AM9,s,MMULT(SEQUENCE(1,m,1,0),ARRAY_CONSTRAIN($C$11:$W$22,m,21)),"{"&amp;TEXTJOIN(", ",TRUE,ARRAYFORMULA(IF(s&gt;0,$C$10:$W$10&amp;": "&amp;ROUND(s,2),"")))&amp;"}")))</f>
        <v/>
      </c>
      <c r="AO9" s="10">
        <f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1">
        <f>IF($AH9="","",IF(AO9=0,"{}",LET(m,AO9,s,MMULT(SEQUENCE(1,m,1,0),ARRAY_CONSTRAIN($C$11:$W$22,m,21)),"{"&amp;TEXTJOIN(", ",TRUE,ARRAYFORMULA(IF(s&gt;0,$C$10:$W$10&amp;": "&amp;ROUND(s,2),"")))&amp;"}")))</f>
        <v/>
      </c>
      <c r="AQ9" s="10">
        <f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1">
        <f>IF($AH9="","",IF(AQ9=0,"{}",LET(m,AQ9,s,MMULT(SEQUENCE(1,m,1,0),ARRAY_CONSTRAIN($C$11:$W$22,m,21)),"{"&amp;TEXTJOIN(", ",TRUE,ARRAYFORMULA(IF(s&gt;0,$C$10:$W$10&amp;": "&amp;ROUND(s,2),"")))&amp;"}")))</f>
        <v/>
      </c>
    </row>
    <row r="10" ht="90" customHeight="1">
      <c r="A10" s="12" t="inlineStr">
        <is>
          <t>Milestone</t>
        </is>
      </c>
      <c r="B10" s="13" t="inlineStr">
        <is>
          <t>Cumul token req</t>
        </is>
      </c>
      <c r="C10" s="14" t="inlineStr">
        <is>
          <t>Coins</t>
        </is>
      </c>
      <c r="D10" s="15" t="inlineStr">
        <is>
          <t>SPT</t>
        </is>
      </c>
      <c r="E10" s="15" t="inlineStr">
        <is>
          <t>SPT x2</t>
        </is>
      </c>
      <c r="F10" s="15" t="inlineStr">
        <is>
          <t>Red</t>
        </is>
      </c>
      <c r="G10" s="15" t="inlineStr">
        <is>
          <t>Chuck</t>
        </is>
      </c>
      <c r="H10" s="15" t="inlineStr">
        <is>
          <t>Bomb</t>
        </is>
      </c>
      <c r="I10" s="15" t="inlineStr">
        <is>
          <t>Slingshot</t>
        </is>
      </c>
      <c r="J10" s="15" t="inlineStr">
        <is>
          <t>Shuffle</t>
        </is>
      </c>
      <c r="K10" s="15" t="inlineStr">
        <is>
          <t>Comet</t>
        </is>
      </c>
      <c r="L10" s="15" t="inlineStr">
        <is>
          <t>Unlimited Lives</t>
        </is>
      </c>
      <c r="M10" s="15" t="inlineStr">
        <is>
          <t>Unlimited Red</t>
        </is>
      </c>
      <c r="N10" s="15" t="inlineStr">
        <is>
          <t>Unlimited Chuck</t>
        </is>
      </c>
      <c r="O10" s="15" t="inlineStr">
        <is>
          <t>Unlimited Bomb</t>
        </is>
      </c>
      <c r="P10" s="15" t="inlineStr">
        <is>
          <t>COOP Token</t>
        </is>
      </c>
      <c r="Q10" s="15" t="inlineStr">
        <is>
          <t>Avatar</t>
        </is>
      </c>
      <c r="R10" s="15" t="inlineStr">
        <is>
          <t>1-star Dly</t>
        </is>
      </c>
      <c r="S10" s="15" t="inlineStr">
        <is>
          <t>2-star Dly</t>
        </is>
      </c>
      <c r="T10" s="15" t="inlineStr">
        <is>
          <t>3-star Dly</t>
        </is>
      </c>
      <c r="U10" s="15" t="inlineStr">
        <is>
          <t>4-star Dly</t>
        </is>
      </c>
      <c r="V10" s="15" t="inlineStr">
        <is>
          <t>5-star Dly</t>
        </is>
      </c>
      <c r="W10" s="15" t="inlineStr">
        <is>
          <t>6-star Dly</t>
        </is>
      </c>
      <c r="AH10" s="9">
        <f>IF(5&lt;=$B$3,5,"")</f>
        <v/>
      </c>
      <c r="AI10" s="10">
        <f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1">
        <f>IF($AH10="","",IF(AI10=0,"{}",LET(m,AI10,s,MMULT(SEQUENCE(1,m,1,0),ARRAY_CONSTRAIN($C$11:$W$22,m,21)),"{"&amp;TEXTJOIN(", ",TRUE,ARRAYFORMULA(IF(s&gt;0,$C$10:$W$10&amp;": "&amp;ROUND(s,2),"")))&amp;"}")))</f>
        <v/>
      </c>
      <c r="AK10" s="10">
        <f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1">
        <f>IF($AH10="","",IF(AK10=0,"{}",LET(m,AK10,s,MMULT(SEQUENCE(1,m,1,0),ARRAY_CONSTRAIN($C$11:$W$22,m,21)),"{"&amp;TEXTJOIN(", ",TRUE,ARRAYFORMULA(IF(s&gt;0,$C$10:$W$10&amp;": "&amp;ROUND(s,2),"")))&amp;"}")))</f>
        <v/>
      </c>
      <c r="AM10" s="10">
        <f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1">
        <f>IF($AH10="","",IF(AM10=0,"{}",LET(m,AM10,s,MMULT(SEQUENCE(1,m,1,0),ARRAY_CONSTRAIN($C$11:$W$22,m,21)),"{"&amp;TEXTJOIN(", ",TRUE,ARRAYFORMULA(IF(s&gt;0,$C$10:$W$10&amp;": "&amp;ROUND(s,2),"")))&amp;"}")))</f>
        <v/>
      </c>
      <c r="AO10" s="10">
        <f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1">
        <f>IF($AH10="","",IF(AO10=0,"{}",LET(m,AO10,s,MMULT(SEQUENCE(1,m,1,0),ARRAY_CONSTRAIN($C$11:$W$22,m,21)),"{"&amp;TEXTJOIN(", ",TRUE,ARRAYFORMULA(IF(s&gt;0,$C$10:$W$10&amp;": "&amp;ROUND(s,2),"")))&amp;"}")))</f>
        <v/>
      </c>
      <c r="AQ10" s="10">
        <f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1">
        <f>IF($AH10="","",IF(AQ10=0,"{}",LET(m,AQ10,s,MMULT(SEQUENCE(1,m,1,0),ARRAY_CONSTRAIN($C$11:$W$22,m,21)),"{"&amp;TEXTJOIN(", ",TRUE,ARRAYFORMULA(IF(s&gt;0,$C$10:$W$10&amp;": "&amp;ROUND(s,2),"")))&amp;"}")))</f>
        <v/>
      </c>
    </row>
    <row r="11">
      <c r="A11" s="16" t="n">
        <v>1</v>
      </c>
      <c r="B11" s="17" t="n">
        <v>30</v>
      </c>
      <c r="C11" s="18" t="n">
        <v>0</v>
      </c>
      <c r="D11" s="16" t="n">
        <v>0</v>
      </c>
      <c r="E11" s="16" t="n">
        <v>0</v>
      </c>
      <c r="F11" s="16" t="n">
        <v>0</v>
      </c>
      <c r="G11" s="16" t="n">
        <v>1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AH11" s="9">
        <f>IF(6&lt;=$B$3,6,"")</f>
        <v/>
      </c>
      <c r="AI11" s="10">
        <f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1">
        <f>IF($AH11="","",IF(AI11=0,"{}",LET(m,AI11,s,MMULT(SEQUENCE(1,m,1,0),ARRAY_CONSTRAIN($C$11:$W$22,m,21)),"{"&amp;TEXTJOIN(", ",TRUE,ARRAYFORMULA(IF(s&gt;0,$C$10:$W$10&amp;": "&amp;ROUND(s,2),"")))&amp;"}")))</f>
        <v/>
      </c>
      <c r="AK11" s="10">
        <f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1">
        <f>IF($AH11="","",IF(AK11=0,"{}",LET(m,AK11,s,MMULT(SEQUENCE(1,m,1,0),ARRAY_CONSTRAIN($C$11:$W$22,m,21)),"{"&amp;TEXTJOIN(", ",TRUE,ARRAYFORMULA(IF(s&gt;0,$C$10:$W$10&amp;": "&amp;ROUND(s,2),"")))&amp;"}")))</f>
        <v/>
      </c>
      <c r="AM11" s="10">
        <f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1">
        <f>IF($AH11="","",IF(AM11=0,"{}",LET(m,AM11,s,MMULT(SEQUENCE(1,m,1,0),ARRAY_CONSTRAIN($C$11:$W$22,m,21)),"{"&amp;TEXTJOIN(", ",TRUE,ARRAYFORMULA(IF(s&gt;0,$C$10:$W$10&amp;": "&amp;ROUND(s,2),"")))&amp;"}")))</f>
        <v/>
      </c>
      <c r="AO11" s="10">
        <f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1">
        <f>IF($AH11="","",IF(AO11=0,"{}",LET(m,AO11,s,MMULT(SEQUENCE(1,m,1,0),ARRAY_CONSTRAIN($C$11:$W$22,m,21)),"{"&amp;TEXTJOIN(", ",TRUE,ARRAYFORMULA(IF(s&gt;0,$C$10:$W$10&amp;": "&amp;ROUND(s,2),"")))&amp;"}")))</f>
        <v/>
      </c>
      <c r="AQ11" s="10">
        <f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1">
        <f>IF($AH11="","",IF(AQ11=0,"{}",LET(m,AQ11,s,MMULT(SEQUENCE(1,m,1,0),ARRAY_CONSTRAIN($C$11:$W$22,m,21)),"{"&amp;TEXTJOIN(", ",TRUE,ARRAYFORMULA(IF(s&gt;0,$C$10:$W$10&amp;": "&amp;ROUND(s,2),"")))&amp;"}")))</f>
        <v/>
      </c>
    </row>
    <row r="12">
      <c r="A12" s="16" t="n">
        <v>2</v>
      </c>
      <c r="B12" s="17" t="n">
        <v>80</v>
      </c>
      <c r="C12" s="18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10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AH12" s="9">
        <f>IF(7&lt;=$B$3,7,"")</f>
        <v/>
      </c>
      <c r="AI12" s="10">
        <f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1">
        <f>IF($AH12="","",IF(AI12=0,"{}",LET(m,AI12,s,MMULT(SEQUENCE(1,m,1,0),ARRAY_CONSTRAIN($C$11:$W$22,m,21)),"{"&amp;TEXTJOIN(", ",TRUE,ARRAYFORMULA(IF(s&gt;0,$C$10:$W$10&amp;": "&amp;ROUND(s,2),"")))&amp;"}")))</f>
        <v/>
      </c>
      <c r="AK12" s="10">
        <f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1">
        <f>IF($AH12="","",IF(AK12=0,"{}",LET(m,AK12,s,MMULT(SEQUENCE(1,m,1,0),ARRAY_CONSTRAIN($C$11:$W$22,m,21)),"{"&amp;TEXTJOIN(", ",TRUE,ARRAYFORMULA(IF(s&gt;0,$C$10:$W$10&amp;": "&amp;ROUND(s,2),"")))&amp;"}")))</f>
        <v/>
      </c>
      <c r="AM12" s="10">
        <f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1">
        <f>IF($AH12="","",IF(AM12=0,"{}",LET(m,AM12,s,MMULT(SEQUENCE(1,m,1,0),ARRAY_CONSTRAIN($C$11:$W$22,m,21)),"{"&amp;TEXTJOIN(", ",TRUE,ARRAYFORMULA(IF(s&gt;0,$C$10:$W$10&amp;": "&amp;ROUND(s,2),"")))&amp;"}")))</f>
        <v/>
      </c>
      <c r="AO12" s="10">
        <f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1">
        <f>IF($AH12="","",IF(AO12=0,"{}",LET(m,AO12,s,MMULT(SEQUENCE(1,m,1,0),ARRAY_CONSTRAIN($C$11:$W$22,m,21)),"{"&amp;TEXTJOIN(", ",TRUE,ARRAYFORMULA(IF(s&gt;0,$C$10:$W$10&amp;": "&amp;ROUND(s,2),"")))&amp;"}")))</f>
        <v/>
      </c>
      <c r="AQ12" s="10">
        <f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1">
        <f>IF($AH12="","",IF(AQ12=0,"{}",LET(m,AQ12,s,MMULT(SEQUENCE(1,m,1,0),ARRAY_CONSTRAIN($C$11:$W$22,m,21)),"{"&amp;TEXTJOIN(", ",TRUE,ARRAYFORMULA(IF(s&gt;0,$C$10:$W$10&amp;": "&amp;ROUND(s,2),"")))&amp;"}")))</f>
        <v/>
      </c>
    </row>
    <row r="13">
      <c r="A13" s="16" t="n">
        <v>3</v>
      </c>
      <c r="B13" s="17" t="n">
        <v>150</v>
      </c>
      <c r="C13" s="18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10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</row>
    <row r="14">
      <c r="A14" s="16" t="n">
        <v>4</v>
      </c>
      <c r="B14" s="17" t="n">
        <v>250</v>
      </c>
      <c r="C14" s="18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30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</row>
    <row r="15">
      <c r="A15" s="16" t="n">
        <v>5</v>
      </c>
      <c r="B15" s="17" t="n">
        <v>370</v>
      </c>
      <c r="C15" s="18" t="n">
        <v>25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</row>
    <row r="16">
      <c r="A16" s="16" t="n">
        <v>6</v>
      </c>
      <c r="B16" s="17" t="n">
        <v>520</v>
      </c>
      <c r="C16" s="18" t="n">
        <v>0</v>
      </c>
      <c r="D16" s="16" t="n">
        <v>0</v>
      </c>
      <c r="E16" s="16" t="n">
        <v>0</v>
      </c>
      <c r="F16" s="16" t="n">
        <v>1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10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</row>
    <row r="17">
      <c r="A17" s="16" t="n">
        <v>7</v>
      </c>
      <c r="B17" s="17" t="n">
        <v>690</v>
      </c>
      <c r="C17" s="18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60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</row>
    <row r="18">
      <c r="A18" s="16" t="n">
        <v>8</v>
      </c>
      <c r="B18" s="17" t="n">
        <v>890</v>
      </c>
      <c r="C18" s="18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15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</row>
    <row r="19">
      <c r="A19" s="16" t="n">
        <v>9</v>
      </c>
      <c r="B19" s="17" t="n">
        <v>1110</v>
      </c>
      <c r="C19" s="18" t="n">
        <v>25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</row>
    <row r="20">
      <c r="A20" s="16" t="n">
        <v>10</v>
      </c>
      <c r="B20" s="17" t="n">
        <v>1360</v>
      </c>
      <c r="C20" s="18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15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</row>
    <row r="21" ht="15.75" customHeight="1">
      <c r="A21" s="16" t="n">
        <v>11</v>
      </c>
      <c r="B21" s="17" t="n">
        <v>1630</v>
      </c>
      <c r="C21" s="18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</row>
    <row r="22" ht="15.75" customHeight="1">
      <c r="A22" s="16" t="n">
        <v>12</v>
      </c>
      <c r="B22" s="17" t="n">
        <v>1930</v>
      </c>
      <c r="C22" s="18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60</v>
      </c>
      <c r="M22" s="16" t="n">
        <v>0</v>
      </c>
      <c r="N22" s="16" t="n">
        <v>0</v>
      </c>
      <c r="O22" s="16" t="n">
        <v>15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</row>
    <row r="23" ht="15.75" customHeight="1"/>
    <row r="24" ht="15.75" customHeight="1"/>
    <row r="25" ht="15.75" customHeight="1"/>
    <row r="26" ht="15.75" customHeight="1"/>
  </sheetData>
  <dataValidations count="2">
    <dataValidation sqref="AI2" showDropDown="0" showInputMessage="0" showErrorMessage="0" allowBlank="0" type="list">
      <formula1>"Avg,p25,p50,p75"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RowHeight="15"/>
  <cols>
    <col width="24.75" customWidth="1" min="1" max="1"/>
    <col width="4.5" customWidth="1" min="2" max="2"/>
    <col width="7.5" customWidth="1" min="23" max="23"/>
    <col width="7.63" customWidth="1" min="24" max="24"/>
    <col width="2.88" customWidth="1" min="33" max="33"/>
    <col width="11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  <col width="7.63" customWidth="1" min="45" max="45"/>
    <col width="6" customWidth="1" min="46" max="46"/>
    <col width="8" customWidth="1" min="47" max="47"/>
    <col width="13" customWidth="1" min="48" max="48"/>
  </cols>
  <sheetData>
    <row r="1" ht="21.75" customHeight="1">
      <c r="A1" s="1" t="inlineStr">
        <is>
          <t>Hatchling Hideaway</t>
        </is>
      </c>
      <c r="AH1" s="2" t="inlineStr">
        <is>
          <t>Player Reach Simulation (per event day) — SIMULATED</t>
        </is>
      </c>
    </row>
    <row r="2" ht="19.5" customHeight="1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AH2" s="4" t="inlineStr">
        <is>
          <t>Percentile</t>
        </is>
      </c>
      <c r="AI2" s="5" t="inlineStr">
        <is>
          <t>Avg</t>
        </is>
      </c>
      <c r="AT2" s="4" t="inlineStr">
        <is>
          <t>accuracy</t>
        </is>
      </c>
      <c r="AU2" s="19" t="n">
        <v>0.8</v>
      </c>
    </row>
    <row r="3">
      <c r="A3" s="6" t="inlineStr">
        <is>
          <t>EventDuration</t>
        </is>
      </c>
      <c r="B3" s="7" t="n">
        <v>4</v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requiredPlayerLevel</t>
        </is>
      </c>
      <c r="B4" s="7" t="n">
        <v>1</v>
      </c>
      <c r="AT4" s="20" t="inlineStr">
        <is>
          <t>Gate</t>
        </is>
      </c>
      <c r="AU4" s="20" t="inlineStr">
        <is>
          <t>Tiles</t>
        </is>
      </c>
      <c r="AV4" s="20" t="inlineStr">
        <is>
          <t>Cum tokens req</t>
        </is>
      </c>
    </row>
    <row r="5">
      <c r="A5" s="6" t="inlineStr">
        <is>
          <t>requiredSagaLevel</t>
        </is>
      </c>
      <c r="B5" s="7" t="n">
        <v>15</v>
      </c>
      <c r="AH5" s="8" t="inlineStr">
        <is>
          <t>Day_of_event</t>
        </is>
      </c>
      <c r="AI5" s="8" t="inlineStr">
        <is>
          <t>0-9_ms</t>
        </is>
      </c>
      <c r="AJ5" s="8" t="inlineStr">
        <is>
          <t>0-9_reward</t>
        </is>
      </c>
      <c r="AK5" s="8" t="inlineStr">
        <is>
          <t>10-19_ms</t>
        </is>
      </c>
      <c r="AL5" s="8" t="inlineStr">
        <is>
          <t>10-19_reward</t>
        </is>
      </c>
      <c r="AM5" s="8" t="inlineStr">
        <is>
          <t>20-39_ms</t>
        </is>
      </c>
      <c r="AN5" s="8" t="inlineStr">
        <is>
          <t>20-39_reward</t>
        </is>
      </c>
      <c r="AO5" s="8" t="inlineStr">
        <is>
          <t>40-99_ms</t>
        </is>
      </c>
      <c r="AP5" s="8" t="inlineStr">
        <is>
          <t>40-99_reward</t>
        </is>
      </c>
      <c r="AQ5" s="8" t="inlineStr">
        <is>
          <t>100_ms</t>
        </is>
      </c>
      <c r="AR5" s="8" t="inlineStr">
        <is>
          <t>100_reward</t>
        </is>
      </c>
      <c r="AT5" s="21" t="n">
        <v>1</v>
      </c>
      <c r="AU5" s="22" t="n">
        <v>16</v>
      </c>
      <c r="AV5" s="23">
        <f>SUM($AU$5:$AU5)/$AU$2</f>
        <v/>
      </c>
    </row>
    <row r="6">
      <c r="A6" s="6" t="inlineStr">
        <is>
          <t>NormalLevelTokenReward</t>
        </is>
      </c>
      <c r="B6" s="7" t="n">
        <v>1</v>
      </c>
      <c r="AH6" s="9">
        <f>IF(1&lt;=$B$3,1,"")</f>
        <v/>
      </c>
      <c r="AI6" s="10">
        <f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/>
      </c>
      <c r="AJ6" s="11">
        <f>IF($AH6="","",IF(AI6=0,"{}",LET(m,AI6,s,MMULT(SEQUENCE(1,m,1,0),ARRAY_CONSTRAIN($B$12:$V$16,m,21)),"{"&amp;TEXTJOIN(", ",TRUE,ARRAYFORMULA(IF(s&gt;0,$B$11:$V$11&amp;": "&amp;ROUND(s,2),"")))&amp;"}")))</f>
        <v/>
      </c>
      <c r="AK6" s="10">
        <f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/>
      </c>
      <c r="AL6" s="11">
        <f>IF($AH6="","",IF(AK6=0,"{}",LET(m,AK6,s,MMULT(SEQUENCE(1,m,1,0),ARRAY_CONSTRAIN($B$12:$V$16,m,21)),"{"&amp;TEXTJOIN(", ",TRUE,ARRAYFORMULA(IF(s&gt;0,$B$11:$V$11&amp;": "&amp;ROUND(s,2),"")))&amp;"}")))</f>
        <v/>
      </c>
      <c r="AM6" s="10">
        <f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/>
      </c>
      <c r="AN6" s="11">
        <f>IF($AH6="","",IF(AM6=0,"{}",LET(m,AM6,s,MMULT(SEQUENCE(1,m,1,0),ARRAY_CONSTRAIN($B$12:$V$16,m,21)),"{"&amp;TEXTJOIN(", ",TRUE,ARRAYFORMULA(IF(s&gt;0,$B$11:$V$11&amp;": "&amp;ROUND(s,2),"")))&amp;"}")))</f>
        <v/>
      </c>
      <c r="AO6" s="10">
        <f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/>
      </c>
      <c r="AP6" s="11">
        <f>IF($AH6="","",IF(AO6=0,"{}",LET(m,AO6,s,MMULT(SEQUENCE(1,m,1,0),ARRAY_CONSTRAIN($B$12:$V$16,m,21)),"{"&amp;TEXTJOIN(", ",TRUE,ARRAYFORMULA(IF(s&gt;0,$B$11:$V$11&amp;": "&amp;ROUND(s,2),"")))&amp;"}")))</f>
        <v/>
      </c>
      <c r="AQ6" s="10">
        <f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/>
      </c>
      <c r="AR6" s="11">
        <f>IF($AH6="","",IF(AQ6=0,"{}",LET(m,AQ6,s,MMULT(SEQUENCE(1,m,1,0),ARRAY_CONSTRAIN($B$12:$V$16,m,21)),"{"&amp;TEXTJOIN(", ",TRUE,ARRAYFORMULA(IF(s&gt;0,$B$11:$V$11&amp;": "&amp;ROUND(s,2),"")))&amp;"}")))</f>
        <v/>
      </c>
      <c r="AT6" s="21" t="n">
        <v>2</v>
      </c>
      <c r="AU6" s="22" t="n">
        <v>25</v>
      </c>
      <c r="AV6" s="23">
        <f>SUM($AU$5:$AU6)/$AU$2</f>
        <v/>
      </c>
    </row>
    <row r="7">
      <c r="A7" s="6" t="inlineStr">
        <is>
          <t>HardLevelTokenReward</t>
        </is>
      </c>
      <c r="B7" s="7" t="n">
        <v>2</v>
      </c>
      <c r="AH7" s="9">
        <f>IF(2&lt;=$B$3,2,"")</f>
        <v/>
      </c>
      <c r="AI7" s="10">
        <f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/>
      </c>
      <c r="AJ7" s="11">
        <f>IF($AH7="","",IF(AI7=0,"{}",LET(m,AI7,s,MMULT(SEQUENCE(1,m,1,0),ARRAY_CONSTRAIN($B$12:$V$16,m,21)),"{"&amp;TEXTJOIN(", ",TRUE,ARRAYFORMULA(IF(s&gt;0,$B$11:$V$11&amp;": "&amp;ROUND(s,2),"")))&amp;"}")))</f>
        <v/>
      </c>
      <c r="AK7" s="10">
        <f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/>
      </c>
      <c r="AL7" s="11">
        <f>IF($AH7="","",IF(AK7=0,"{}",LET(m,AK7,s,MMULT(SEQUENCE(1,m,1,0),ARRAY_CONSTRAIN($B$12:$V$16,m,21)),"{"&amp;TEXTJOIN(", ",TRUE,ARRAYFORMULA(IF(s&gt;0,$B$11:$V$11&amp;": "&amp;ROUND(s,2),"")))&amp;"}")))</f>
        <v/>
      </c>
      <c r="AM7" s="10">
        <f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/>
      </c>
      <c r="AN7" s="11">
        <f>IF($AH7="","",IF(AM7=0,"{}",LET(m,AM7,s,MMULT(SEQUENCE(1,m,1,0),ARRAY_CONSTRAIN($B$12:$V$16,m,21)),"{"&amp;TEXTJOIN(", ",TRUE,ARRAYFORMULA(IF(s&gt;0,$B$11:$V$11&amp;": "&amp;ROUND(s,2),"")))&amp;"}")))</f>
        <v/>
      </c>
      <c r="AO7" s="10">
        <f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/>
      </c>
      <c r="AP7" s="11">
        <f>IF($AH7="","",IF(AO7=0,"{}",LET(m,AO7,s,MMULT(SEQUENCE(1,m,1,0),ARRAY_CONSTRAIN($B$12:$V$16,m,21)),"{"&amp;TEXTJOIN(", ",TRUE,ARRAYFORMULA(IF(s&gt;0,$B$11:$V$11&amp;": "&amp;ROUND(s,2),"")))&amp;"}")))</f>
        <v/>
      </c>
      <c r="AQ7" s="10">
        <f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/>
      </c>
      <c r="AR7" s="11">
        <f>IF($AH7="","",IF(AQ7=0,"{}",LET(m,AQ7,s,MMULT(SEQUENCE(1,m,1,0),ARRAY_CONSTRAIN($B$12:$V$16,m,21)),"{"&amp;TEXTJOIN(", ",TRUE,ARRAYFORMULA(IF(s&gt;0,$B$11:$V$11&amp;": "&amp;ROUND(s,2),"")))&amp;"}")))</f>
        <v/>
      </c>
      <c r="AT7" s="21" t="n">
        <v>3</v>
      </c>
      <c r="AU7" s="22" t="n">
        <v>36</v>
      </c>
      <c r="AV7" s="23">
        <f>SUM($AU$5:$AU7)/$AU$2</f>
        <v/>
      </c>
    </row>
    <row r="8">
      <c r="A8" s="6" t="inlineStr">
        <is>
          <t>ExtremeLevelTokenReward</t>
        </is>
      </c>
      <c r="B8" s="7" t="n">
        <v>3</v>
      </c>
      <c r="AH8" s="9">
        <f>IF(3&lt;=$B$3,3,"")</f>
        <v/>
      </c>
      <c r="AI8" s="10">
        <f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/>
      </c>
      <c r="AJ8" s="11">
        <f>IF($AH8="","",IF(AI8=0,"{}",LET(m,AI8,s,MMULT(SEQUENCE(1,m,1,0),ARRAY_CONSTRAIN($B$12:$V$16,m,21)),"{"&amp;TEXTJOIN(", ",TRUE,ARRAYFORMULA(IF(s&gt;0,$B$11:$V$11&amp;": "&amp;ROUND(s,2),"")))&amp;"}")))</f>
        <v/>
      </c>
      <c r="AK8" s="10">
        <f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/>
      </c>
      <c r="AL8" s="11">
        <f>IF($AH8="","",IF(AK8=0,"{}",LET(m,AK8,s,MMULT(SEQUENCE(1,m,1,0),ARRAY_CONSTRAIN($B$12:$V$16,m,21)),"{"&amp;TEXTJOIN(", ",TRUE,ARRAYFORMULA(IF(s&gt;0,$B$11:$V$11&amp;": "&amp;ROUND(s,2),"")))&amp;"}")))</f>
        <v/>
      </c>
      <c r="AM8" s="10">
        <f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/>
      </c>
      <c r="AN8" s="11">
        <f>IF($AH8="","",IF(AM8=0,"{}",LET(m,AM8,s,MMULT(SEQUENCE(1,m,1,0),ARRAY_CONSTRAIN($B$12:$V$16,m,21)),"{"&amp;TEXTJOIN(", ",TRUE,ARRAYFORMULA(IF(s&gt;0,$B$11:$V$11&amp;": "&amp;ROUND(s,2),"")))&amp;"}")))</f>
        <v/>
      </c>
      <c r="AO8" s="10">
        <f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/>
      </c>
      <c r="AP8" s="11">
        <f>IF($AH8="","",IF(AO8=0,"{}",LET(m,AO8,s,MMULT(SEQUENCE(1,m,1,0),ARRAY_CONSTRAIN($B$12:$V$16,m,21)),"{"&amp;TEXTJOIN(", ",TRUE,ARRAYFORMULA(IF(s&gt;0,$B$11:$V$11&amp;": "&amp;ROUND(s,2),"")))&amp;"}")))</f>
        <v/>
      </c>
      <c r="AQ8" s="10">
        <f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/>
      </c>
      <c r="AR8" s="11">
        <f>IF($AH8="","",IF(AQ8=0,"{}",LET(m,AQ8,s,MMULT(SEQUENCE(1,m,1,0),ARRAY_CONSTRAIN($B$12:$V$16,m,21)),"{"&amp;TEXTJOIN(", ",TRUE,ARRAYFORMULA(IF(s&gt;0,$B$11:$V$11&amp;": "&amp;ROUND(s,2),"")))&amp;"}")))</f>
        <v/>
      </c>
      <c r="AT8" s="21" t="n">
        <v>4</v>
      </c>
      <c r="AU8" s="22" t="n">
        <v>49</v>
      </c>
      <c r="AV8" s="23">
        <f>SUM($AU$5:$AU8)/$AU$2</f>
        <v/>
      </c>
    </row>
    <row r="9">
      <c r="AH9" s="9">
        <f>IF(4&lt;=$B$3,4,"")</f>
        <v/>
      </c>
      <c r="AI9" s="10">
        <f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/>
      </c>
      <c r="AJ9" s="11">
        <f>IF($AH9="","",IF(AI9=0,"{}",LET(m,AI9,s,MMULT(SEQUENCE(1,m,1,0),ARRAY_CONSTRAIN($B$12:$V$16,m,21)),"{"&amp;TEXTJOIN(", ",TRUE,ARRAYFORMULA(IF(s&gt;0,$B$11:$V$11&amp;": "&amp;ROUND(s,2),"")))&amp;"}")))</f>
        <v/>
      </c>
      <c r="AK9" s="10">
        <f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/>
      </c>
      <c r="AL9" s="11">
        <f>IF($AH9="","",IF(AK9=0,"{}",LET(m,AK9,s,MMULT(SEQUENCE(1,m,1,0),ARRAY_CONSTRAIN($B$12:$V$16,m,21)),"{"&amp;TEXTJOIN(", ",TRUE,ARRAYFORMULA(IF(s&gt;0,$B$11:$V$11&amp;": "&amp;ROUND(s,2),"")))&amp;"}")))</f>
        <v/>
      </c>
      <c r="AM9" s="10">
        <f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/>
      </c>
      <c r="AN9" s="11">
        <f>IF($AH9="","",IF(AM9=0,"{}",LET(m,AM9,s,MMULT(SEQUENCE(1,m,1,0),ARRAY_CONSTRAIN($B$12:$V$16,m,21)),"{"&amp;TEXTJOIN(", ",TRUE,ARRAYFORMULA(IF(s&gt;0,$B$11:$V$11&amp;": "&amp;ROUND(s,2),"")))&amp;"}")))</f>
        <v/>
      </c>
      <c r="AO9" s="10">
        <f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/>
      </c>
      <c r="AP9" s="11">
        <f>IF($AH9="","",IF(AO9=0,"{}",LET(m,AO9,s,MMULT(SEQUENCE(1,m,1,0),ARRAY_CONSTRAIN($B$12:$V$16,m,21)),"{"&amp;TEXTJOIN(", ",TRUE,ARRAYFORMULA(IF(s&gt;0,$B$11:$V$11&amp;": "&amp;ROUND(s,2),"")))&amp;"}")))</f>
        <v/>
      </c>
      <c r="AQ9" s="10">
        <f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/>
      </c>
      <c r="AR9" s="11">
        <f>IF($AH9="","",IF(AQ9=0,"{}",LET(m,AQ9,s,MMULT(SEQUENCE(1,m,1,0),ARRAY_CONSTRAIN($B$12:$V$16,m,21)),"{"&amp;TEXTJOIN(", ",TRUE,ARRAYFORMULA(IF(s&gt;0,$B$11:$V$11&amp;": "&amp;ROUND(s,2),"")))&amp;"}")))</f>
        <v/>
      </c>
      <c r="AT9" s="21" t="n">
        <v>5</v>
      </c>
      <c r="AU9" s="22" t="n">
        <v>64</v>
      </c>
      <c r="AV9" s="23">
        <f>SUM($AU$5:$AU9)/$AU$2</f>
        <v/>
      </c>
    </row>
    <row r="10" ht="19.5" customHeight="1">
      <c r="A10" s="3" t="inlineStr">
        <is>
          <t>Goals and Rewards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AH10" s="9">
        <f>IF(5&lt;=$B$3,5,"")</f>
        <v/>
      </c>
      <c r="AI10" s="10">
        <f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1">
        <f>IF($AH10="","",IF(AI10=0,"{}",LET(m,AI10,s,MMULT(SEQUENCE(1,m,1,0),ARRAY_CONSTRAIN($B$12:$V$16,m,21)),"{"&amp;TEXTJOIN(", ",TRUE,ARRAYFORMULA(IF(s&gt;0,$B$11:$V$11&amp;": "&amp;ROUND(s,2),"")))&amp;"}")))</f>
        <v/>
      </c>
      <c r="AK10" s="10">
        <f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1">
        <f>IF($AH10="","",IF(AK10=0,"{}",LET(m,AK10,s,MMULT(SEQUENCE(1,m,1,0),ARRAY_CONSTRAIN($B$12:$V$16,m,21)),"{"&amp;TEXTJOIN(", ",TRUE,ARRAYFORMULA(IF(s&gt;0,$B$11:$V$11&amp;": "&amp;ROUND(s,2),"")))&amp;"}")))</f>
        <v/>
      </c>
      <c r="AM10" s="10">
        <f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1">
        <f>IF($AH10="","",IF(AM10=0,"{}",LET(m,AM10,s,MMULT(SEQUENCE(1,m,1,0),ARRAY_CONSTRAIN($B$12:$V$16,m,21)),"{"&amp;TEXTJOIN(", ",TRUE,ARRAYFORMULA(IF(s&gt;0,$B$11:$V$11&amp;": "&amp;ROUND(s,2),"")))&amp;"}")))</f>
        <v/>
      </c>
      <c r="AO10" s="10">
        <f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1">
        <f>IF($AH10="","",IF(AO10=0,"{}",LET(m,AO10,s,MMULT(SEQUENCE(1,m,1,0),ARRAY_CONSTRAIN($B$12:$V$16,m,21)),"{"&amp;TEXTJOIN(", ",TRUE,ARRAYFORMULA(IF(s&gt;0,$B$11:$V$11&amp;": "&amp;ROUND(s,2),"")))&amp;"}")))</f>
        <v/>
      </c>
      <c r="AQ10" s="10">
        <f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1">
        <f>IF($AH10="","",IF(AQ10=0,"{}",LET(m,AQ10,s,MMULT(SEQUENCE(1,m,1,0),ARRAY_CONSTRAIN($B$12:$V$16,m,21)),"{"&amp;TEXTJOIN(", ",TRUE,ARRAYFORMULA(IF(s&gt;0,$B$11:$V$11&amp;": "&amp;ROUND(s,2),"")))&amp;"}")))</f>
        <v/>
      </c>
    </row>
    <row r="11" ht="90" customHeight="1">
      <c r="A11" s="13" t="inlineStr">
        <is>
          <t>Gate number</t>
        </is>
      </c>
      <c r="B11" s="14" t="inlineStr">
        <is>
          <t>Coins</t>
        </is>
      </c>
      <c r="C11" s="15" t="inlineStr">
        <is>
          <t>SPT</t>
        </is>
      </c>
      <c r="D11" s="15" t="inlineStr">
        <is>
          <t>SPT x2</t>
        </is>
      </c>
      <c r="E11" s="15" t="inlineStr">
        <is>
          <t>Red</t>
        </is>
      </c>
      <c r="F11" s="15" t="inlineStr">
        <is>
          <t>Chuck</t>
        </is>
      </c>
      <c r="G11" s="15" t="inlineStr">
        <is>
          <t>Bomb</t>
        </is>
      </c>
      <c r="H11" s="15" t="inlineStr">
        <is>
          <t>Slingshot</t>
        </is>
      </c>
      <c r="I11" s="15" t="inlineStr">
        <is>
          <t>Shuffle</t>
        </is>
      </c>
      <c r="J11" s="15" t="inlineStr">
        <is>
          <t>Comet</t>
        </is>
      </c>
      <c r="K11" s="15" t="inlineStr">
        <is>
          <t>Unlimited Lives</t>
        </is>
      </c>
      <c r="L11" s="15" t="inlineStr">
        <is>
          <t>Unlimited Red</t>
        </is>
      </c>
      <c r="M11" s="15" t="inlineStr">
        <is>
          <t>Unlimited Chuck</t>
        </is>
      </c>
      <c r="N11" s="15" t="inlineStr">
        <is>
          <t>Unlimited Bomb</t>
        </is>
      </c>
      <c r="O11" s="15" t="inlineStr">
        <is>
          <t>COOP Token</t>
        </is>
      </c>
      <c r="P11" s="15" t="inlineStr">
        <is>
          <t>Avatar</t>
        </is>
      </c>
      <c r="Q11" s="15" t="inlineStr">
        <is>
          <t>1-star Dly</t>
        </is>
      </c>
      <c r="R11" s="15" t="inlineStr">
        <is>
          <t>2-star Dly</t>
        </is>
      </c>
      <c r="S11" s="15" t="inlineStr">
        <is>
          <t>3-star Dly</t>
        </is>
      </c>
      <c r="T11" s="15" t="inlineStr">
        <is>
          <t>4-star Dly</t>
        </is>
      </c>
      <c r="U11" s="15" t="inlineStr">
        <is>
          <t>5-star Dly</t>
        </is>
      </c>
      <c r="V11" s="15" t="inlineStr">
        <is>
          <t>6-star Dly</t>
        </is>
      </c>
      <c r="AH11" s="9">
        <f>IF(6&lt;=$B$3,6,"")</f>
        <v/>
      </c>
      <c r="AI11" s="10">
        <f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1">
        <f>IF($AH11="","",IF(AI11=0,"{}",LET(m,AI11,s,MMULT(SEQUENCE(1,m,1,0),ARRAY_CONSTRAIN($B$12:$V$16,m,21)),"{"&amp;TEXTJOIN(", ",TRUE,ARRAYFORMULA(IF(s&gt;0,$B$11:$V$11&amp;": "&amp;ROUND(s,2),"")))&amp;"}")))</f>
        <v/>
      </c>
      <c r="AK11" s="10">
        <f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1">
        <f>IF($AH11="","",IF(AK11=0,"{}",LET(m,AK11,s,MMULT(SEQUENCE(1,m,1,0),ARRAY_CONSTRAIN($B$12:$V$16,m,21)),"{"&amp;TEXTJOIN(", ",TRUE,ARRAYFORMULA(IF(s&gt;0,$B$11:$V$11&amp;": "&amp;ROUND(s,2),"")))&amp;"}")))</f>
        <v/>
      </c>
      <c r="AM11" s="10">
        <f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1">
        <f>IF($AH11="","",IF(AM11=0,"{}",LET(m,AM11,s,MMULT(SEQUENCE(1,m,1,0),ARRAY_CONSTRAIN($B$12:$V$16,m,21)),"{"&amp;TEXTJOIN(", ",TRUE,ARRAYFORMULA(IF(s&gt;0,$B$11:$V$11&amp;": "&amp;ROUND(s,2),"")))&amp;"}")))</f>
        <v/>
      </c>
      <c r="AO11" s="10">
        <f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1">
        <f>IF($AH11="","",IF(AO11=0,"{}",LET(m,AO11,s,MMULT(SEQUENCE(1,m,1,0),ARRAY_CONSTRAIN($B$12:$V$16,m,21)),"{"&amp;TEXTJOIN(", ",TRUE,ARRAYFORMULA(IF(s&gt;0,$B$11:$V$11&amp;": "&amp;ROUND(s,2),"")))&amp;"}")))</f>
        <v/>
      </c>
      <c r="AQ11" s="10">
        <f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1">
        <f>IF($AH11="","",IF(AQ11=0,"{}",LET(m,AQ11,s,MMULT(SEQUENCE(1,m,1,0),ARRAY_CONSTRAIN($B$12:$V$16,m,21)),"{"&amp;TEXTJOIN(", ",TRUE,ARRAYFORMULA(IF(s&gt;0,$B$11:$V$11&amp;": "&amp;ROUND(s,2),"")))&amp;"}")))</f>
        <v/>
      </c>
      <c r="AT11" s="24" t="inlineStr">
        <is>
          <t>treasure-dig: player finds gems ~80% of taps → needs tiles ÷ accuracy tokens per gate</t>
        </is>
      </c>
    </row>
    <row r="12">
      <c r="A12" s="25" t="inlineStr">
        <is>
          <t>Gate 1</t>
        </is>
      </c>
      <c r="B12" s="18" t="n">
        <v>0</v>
      </c>
      <c r="C12" s="16" t="n">
        <v>0</v>
      </c>
      <c r="D12" s="16" t="n">
        <v>0</v>
      </c>
      <c r="E12" s="16" t="n">
        <v>1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60</v>
      </c>
      <c r="L12" s="16" t="n">
        <v>0</v>
      </c>
      <c r="M12" s="16" t="n">
        <v>0</v>
      </c>
      <c r="N12" s="16" t="n">
        <v>0</v>
      </c>
      <c r="O12" s="16" t="n">
        <v>5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AH12" s="9">
        <f>IF(7&lt;=$B$3,7,"")</f>
        <v/>
      </c>
      <c r="AI12" s="10">
        <f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1">
        <f>IF($AH12="","",IF(AI12=0,"{}",LET(m,AI12,s,MMULT(SEQUENCE(1,m,1,0),ARRAY_CONSTRAIN($B$12:$V$16,m,21)),"{"&amp;TEXTJOIN(", ",TRUE,ARRAYFORMULA(IF(s&gt;0,$B$11:$V$11&amp;": "&amp;ROUND(s,2),"")))&amp;"}")))</f>
        <v/>
      </c>
      <c r="AK12" s="10">
        <f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1">
        <f>IF($AH12="","",IF(AK12=0,"{}",LET(m,AK12,s,MMULT(SEQUENCE(1,m,1,0),ARRAY_CONSTRAIN($B$12:$V$16,m,21)),"{"&amp;TEXTJOIN(", ",TRUE,ARRAYFORMULA(IF(s&gt;0,$B$11:$V$11&amp;": "&amp;ROUND(s,2),"")))&amp;"}")))</f>
        <v/>
      </c>
      <c r="AM12" s="10">
        <f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1">
        <f>IF($AH12="","",IF(AM12=0,"{}",LET(m,AM12,s,MMULT(SEQUENCE(1,m,1,0),ARRAY_CONSTRAIN($B$12:$V$16,m,21)),"{"&amp;TEXTJOIN(", ",TRUE,ARRAYFORMULA(IF(s&gt;0,$B$11:$V$11&amp;": "&amp;ROUND(s,2),"")))&amp;"}")))</f>
        <v/>
      </c>
      <c r="AO12" s="10">
        <f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1">
        <f>IF($AH12="","",IF(AO12=0,"{}",LET(m,AO12,s,MMULT(SEQUENCE(1,m,1,0),ARRAY_CONSTRAIN($B$12:$V$16,m,21)),"{"&amp;TEXTJOIN(", ",TRUE,ARRAYFORMULA(IF(s&gt;0,$B$11:$V$11&amp;": "&amp;ROUND(s,2),"")))&amp;"}")))</f>
        <v/>
      </c>
      <c r="AQ12" s="10">
        <f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1">
        <f>IF($AH12="","",IF(AQ12=0,"{}",LET(m,AQ12,s,MMULT(SEQUENCE(1,m,1,0),ARRAY_CONSTRAIN($B$12:$V$16,m,21)),"{"&amp;TEXTJOIN(", ",TRUE,ARRAYFORMULA(IF(s&gt;0,$B$11:$V$11&amp;": "&amp;ROUND(s,2),"")))&amp;"}")))</f>
        <v/>
      </c>
    </row>
    <row r="13">
      <c r="A13" s="25" t="inlineStr">
        <is>
          <t>Gate 2</t>
        </is>
      </c>
      <c r="B13" s="18" t="n">
        <v>10</v>
      </c>
      <c r="C13" s="16" t="n">
        <v>0</v>
      </c>
      <c r="D13" s="16" t="n">
        <v>0</v>
      </c>
      <c r="E13" s="16" t="n">
        <v>0</v>
      </c>
      <c r="F13" s="16" t="n">
        <v>1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10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</row>
    <row r="14">
      <c r="A14" s="25" t="inlineStr">
        <is>
          <t>Gate 3</t>
        </is>
      </c>
      <c r="B14" s="18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1</v>
      </c>
      <c r="H14" s="16" t="n">
        <v>0</v>
      </c>
      <c r="I14" s="16" t="n">
        <v>0</v>
      </c>
      <c r="J14" s="16" t="n">
        <v>1</v>
      </c>
      <c r="K14" s="16" t="n">
        <v>30</v>
      </c>
      <c r="L14" s="16" t="n">
        <v>0</v>
      </c>
      <c r="M14" s="16" t="n">
        <v>0</v>
      </c>
      <c r="N14" s="16" t="n">
        <v>0</v>
      </c>
      <c r="O14" s="16" t="n">
        <v>20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</row>
    <row r="15">
      <c r="A15" s="25" t="inlineStr">
        <is>
          <t>Gate 4</t>
        </is>
      </c>
      <c r="B15" s="18" t="n">
        <v>15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1</v>
      </c>
      <c r="J15" s="16" t="n">
        <v>0</v>
      </c>
      <c r="K15" s="16" t="n">
        <v>0</v>
      </c>
      <c r="L15" s="16" t="n">
        <v>10</v>
      </c>
      <c r="M15" s="16" t="n">
        <v>0</v>
      </c>
      <c r="N15" s="16" t="n">
        <v>0</v>
      </c>
      <c r="O15" s="16" t="n">
        <v>50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</row>
    <row r="16">
      <c r="A16" s="25" t="inlineStr">
        <is>
          <t>Gate 5</t>
        </is>
      </c>
      <c r="B16" s="18" t="n">
        <v>40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1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10</v>
      </c>
      <c r="N16" s="16" t="n">
        <v>0</v>
      </c>
      <c r="O16" s="16" t="n">
        <v>70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</row>
    <row r="21" ht="15.75" customHeight="1">
      <c r="A21" s="1" t="n"/>
    </row>
  </sheetData>
  <dataValidations count="2">
    <dataValidation sqref="AI2" showDropDown="0" showInputMessage="0" showErrorMessage="0" allowBlank="0" type="list">
      <formula1>"Avg,p25,p50,p75"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cols>
    <col width="23.13" customWidth="1" min="1" max="1"/>
    <col width="7" customWidth="1" min="2" max="2"/>
    <col width="3.75" customWidth="1" min="3" max="3"/>
    <col width="7.5" customWidth="1" min="24" max="24"/>
    <col width="7.63" customWidth="1" min="25" max="25"/>
    <col width="2.88" customWidth="1" min="33" max="33"/>
    <col width="11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  <col width="6" customWidth="1" min="46" max="46"/>
    <col width="8" customWidth="1" min="47" max="47"/>
    <col width="13" customWidth="1" min="48" max="48"/>
  </cols>
  <sheetData>
    <row r="1" ht="21.75" customHeight="1">
      <c r="A1" s="1" t="inlineStr">
        <is>
          <t>Bomb's Ballet</t>
        </is>
      </c>
      <c r="AH1" s="2" t="inlineStr">
        <is>
          <t>Player Reach Simulation (per event day) — SIMULATED</t>
        </is>
      </c>
    </row>
    <row r="2" ht="19.5" customHeight="1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AH2" s="4" t="inlineStr">
        <is>
          <t>Percentile</t>
        </is>
      </c>
      <c r="AI2" s="5" t="inlineStr">
        <is>
          <t>Avg</t>
        </is>
      </c>
    </row>
    <row r="3">
      <c r="A3" s="6" t="inlineStr">
        <is>
          <t>EventDuration (days)</t>
        </is>
      </c>
      <c r="B3" s="7" t="n">
        <v>3</v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tokensPerLevel</t>
        </is>
      </c>
      <c r="B4" s="7" t="n">
        <v>5</v>
      </c>
    </row>
    <row r="5">
      <c r="A5" s="6" t="inlineStr">
        <is>
          <t>spawnTokensOnlyOnFirstTry</t>
        </is>
      </c>
      <c r="B5" s="7">
        <f>TRUE()</f>
        <v/>
      </c>
      <c r="AH5" s="8" t="inlineStr">
        <is>
          <t>Day_of_event</t>
        </is>
      </c>
      <c r="AI5" s="8" t="inlineStr">
        <is>
          <t>0-9_ms</t>
        </is>
      </c>
      <c r="AJ5" s="8" t="inlineStr">
        <is>
          <t>0-9_reward</t>
        </is>
      </c>
      <c r="AK5" s="8" t="inlineStr">
        <is>
          <t>10-19_ms</t>
        </is>
      </c>
      <c r="AL5" s="8" t="inlineStr">
        <is>
          <t>10-19_reward</t>
        </is>
      </c>
      <c r="AM5" s="8" t="inlineStr">
        <is>
          <t>20-39_ms</t>
        </is>
      </c>
      <c r="AN5" s="8" t="inlineStr">
        <is>
          <t>20-39_reward</t>
        </is>
      </c>
      <c r="AO5" s="8" t="inlineStr">
        <is>
          <t>40-99_ms</t>
        </is>
      </c>
      <c r="AP5" s="8" t="inlineStr">
        <is>
          <t>40-99_reward</t>
        </is>
      </c>
      <c r="AQ5" s="8" t="inlineStr">
        <is>
          <t>100_ms</t>
        </is>
      </c>
      <c r="AR5" s="8" t="inlineStr">
        <is>
          <t>100_reward</t>
        </is>
      </c>
    </row>
    <row r="6">
      <c r="AH6" s="9">
        <f>IF(1&lt;=$B$3,1,"")</f>
        <v/>
      </c>
      <c r="AI6" s="10">
        <f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/>
      </c>
      <c r="AJ6" s="11">
        <f>IF($AH6="","",IF(AI6=0,"{}",LET(m,IF(AI6=15,16,AI6),s,MMULT(SEQUENCE(1,m,1,0),ARRAY_CONSTRAIN($C$9:$W$24,m,21)),"{"&amp;TEXTJOIN(", ",TRUE,ARRAYFORMULA(IF(s&gt;0,$C$8:$W$8&amp;": "&amp;ROUND(s,2),"")))&amp;"}")))</f>
        <v/>
      </c>
      <c r="AK6" s="10">
        <f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/>
      </c>
      <c r="AL6" s="11">
        <f>IF($AH6="","",IF(AK6=0,"{}",LET(m,IF(AK6=15,16,AK6),s,MMULT(SEQUENCE(1,m,1,0),ARRAY_CONSTRAIN($C$9:$W$24,m,21)),"{"&amp;TEXTJOIN(", ",TRUE,ARRAYFORMULA(IF(s&gt;0,$C$8:$W$8&amp;": "&amp;ROUND(s,2),"")))&amp;"}")))</f>
        <v/>
      </c>
      <c r="AM6" s="10">
        <f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/>
      </c>
      <c r="AN6" s="11">
        <f>IF($AH6="","",IF(AM6=0,"{}",LET(m,IF(AM6=15,16,AM6),s,MMULT(SEQUENCE(1,m,1,0),ARRAY_CONSTRAIN($C$9:$W$24,m,21)),"{"&amp;TEXTJOIN(", ",TRUE,ARRAYFORMULA(IF(s&gt;0,$C$8:$W$8&amp;": "&amp;ROUND(s,2),"")))&amp;"}")))</f>
        <v/>
      </c>
      <c r="AO6" s="10">
        <f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/>
      </c>
      <c r="AP6" s="11">
        <f>IF($AH6="","",IF(AO6=0,"{}",LET(m,IF(AO6=15,16,AO6),s,MMULT(SEQUENCE(1,m,1,0),ARRAY_CONSTRAIN($C$9:$W$24,m,21)),"{"&amp;TEXTJOIN(", ",TRUE,ARRAYFORMULA(IF(s&gt;0,$C$8:$W$8&amp;": "&amp;ROUND(s,2),"")))&amp;"}")))</f>
        <v/>
      </c>
      <c r="AQ6" s="10">
        <f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/>
      </c>
      <c r="AR6" s="11">
        <f>IF($AH6="","",IF(AQ6=0,"{}",LET(m,IF(AQ6=15,16,AQ6),s,MMULT(SEQUENCE(1,m,1,0),ARRAY_CONSTRAIN($C$9:$W$24,m,21)),"{"&amp;TEXTJOIN(", ",TRUE,ARRAYFORMULA(IF(s&gt;0,$C$8:$W$8&amp;": "&amp;ROUND(s,2),"")))&amp;"}")))</f>
        <v/>
      </c>
    </row>
    <row r="7" ht="19.5" customHeight="1">
      <c r="A7" s="3" t="inlineStr">
        <is>
          <t>Goals and Rewards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AH7" s="9">
        <f>IF(2&lt;=$B$3,2,"")</f>
        <v/>
      </c>
      <c r="AI7" s="10">
        <f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/>
      </c>
      <c r="AJ7" s="11">
        <f>IF($AH7="","",IF(AI7=0,"{}",LET(m,IF(AI7=15,16,AI7),s,MMULT(SEQUENCE(1,m,1,0),ARRAY_CONSTRAIN($C$9:$W$24,m,21)),"{"&amp;TEXTJOIN(", ",TRUE,ARRAYFORMULA(IF(s&gt;0,$C$8:$W$8&amp;": "&amp;ROUND(s,2),"")))&amp;"}")))</f>
        <v/>
      </c>
      <c r="AK7" s="10">
        <f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/>
      </c>
      <c r="AL7" s="11">
        <f>IF($AH7="","",IF(AK7=0,"{}",LET(m,IF(AK7=15,16,AK7),s,MMULT(SEQUENCE(1,m,1,0),ARRAY_CONSTRAIN($C$9:$W$24,m,21)),"{"&amp;TEXTJOIN(", ",TRUE,ARRAYFORMULA(IF(s&gt;0,$C$8:$W$8&amp;": "&amp;ROUND(s,2),"")))&amp;"}")))</f>
        <v/>
      </c>
      <c r="AM7" s="10">
        <f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/>
      </c>
      <c r="AN7" s="11">
        <f>IF($AH7="","",IF(AM7=0,"{}",LET(m,IF(AM7=15,16,AM7),s,MMULT(SEQUENCE(1,m,1,0),ARRAY_CONSTRAIN($C$9:$W$24,m,21)),"{"&amp;TEXTJOIN(", ",TRUE,ARRAYFORMULA(IF(s&gt;0,$C$8:$W$8&amp;": "&amp;ROUND(s,2),"")))&amp;"}")))</f>
        <v/>
      </c>
      <c r="AO7" s="10">
        <f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/>
      </c>
      <c r="AP7" s="11">
        <f>IF($AH7="","",IF(AO7=0,"{}",LET(m,IF(AO7=15,16,AO7),s,MMULT(SEQUENCE(1,m,1,0),ARRAY_CONSTRAIN($C$9:$W$24,m,21)),"{"&amp;TEXTJOIN(", ",TRUE,ARRAYFORMULA(IF(s&gt;0,$C$8:$W$8&amp;": "&amp;ROUND(s,2),"")))&amp;"}")))</f>
        <v/>
      </c>
      <c r="AQ7" s="10">
        <f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/>
      </c>
      <c r="AR7" s="11">
        <f>IF($AH7="","",IF(AQ7=0,"{}",LET(m,IF(AQ7=15,16,AQ7),s,MMULT(SEQUENCE(1,m,1,0),ARRAY_CONSTRAIN($C$9:$W$24,m,21)),"{"&amp;TEXTJOIN(", ",TRUE,ARRAYFORMULA(IF(s&gt;0,$C$8:$W$8&amp;": "&amp;ROUND(s,2),"")))&amp;"}")))</f>
        <v/>
      </c>
    </row>
    <row r="8" ht="90" customHeight="1">
      <c r="A8" s="12" t="inlineStr">
        <is>
          <t>Reward level</t>
        </is>
      </c>
      <c r="B8" s="13" t="inlineStr">
        <is>
          <t>price</t>
        </is>
      </c>
      <c r="C8" s="14" t="inlineStr">
        <is>
          <t>Coins</t>
        </is>
      </c>
      <c r="D8" s="15" t="inlineStr">
        <is>
          <t>SPT</t>
        </is>
      </c>
      <c r="E8" s="15" t="inlineStr">
        <is>
          <t>SPT x2</t>
        </is>
      </c>
      <c r="F8" s="15" t="inlineStr">
        <is>
          <t>Red</t>
        </is>
      </c>
      <c r="G8" s="15" t="inlineStr">
        <is>
          <t>Chuck</t>
        </is>
      </c>
      <c r="H8" s="15" t="inlineStr">
        <is>
          <t>Bomb</t>
        </is>
      </c>
      <c r="I8" s="15" t="inlineStr">
        <is>
          <t>Slingshot</t>
        </is>
      </c>
      <c r="J8" s="15" t="inlineStr">
        <is>
          <t>Shuffle</t>
        </is>
      </c>
      <c r="K8" s="15" t="inlineStr">
        <is>
          <t>Comet</t>
        </is>
      </c>
      <c r="L8" s="15" t="inlineStr">
        <is>
          <t>Unlimited Lives</t>
        </is>
      </c>
      <c r="M8" s="15" t="inlineStr">
        <is>
          <t>Unlimited Red</t>
        </is>
      </c>
      <c r="N8" s="15" t="inlineStr">
        <is>
          <t>Unlimited Chuck</t>
        </is>
      </c>
      <c r="O8" s="15" t="inlineStr">
        <is>
          <t>Unlimited Bomb</t>
        </is>
      </c>
      <c r="P8" s="15" t="inlineStr">
        <is>
          <t>COOP Token</t>
        </is>
      </c>
      <c r="Q8" s="15" t="inlineStr">
        <is>
          <t>Avatar</t>
        </is>
      </c>
      <c r="R8" s="15" t="inlineStr">
        <is>
          <t>1-star Dly</t>
        </is>
      </c>
      <c r="S8" s="15" t="inlineStr">
        <is>
          <t>2-star Dly</t>
        </is>
      </c>
      <c r="T8" s="15" t="inlineStr">
        <is>
          <t>3-star Dly</t>
        </is>
      </c>
      <c r="U8" s="15" t="inlineStr">
        <is>
          <t>4-star Dly</t>
        </is>
      </c>
      <c r="V8" s="15" t="inlineStr">
        <is>
          <t>5-star Dly</t>
        </is>
      </c>
      <c r="W8" s="15" t="inlineStr">
        <is>
          <t>6-star Dly</t>
        </is>
      </c>
      <c r="AH8" s="9">
        <f>IF(3&lt;=$B$3,3,"")</f>
        <v/>
      </c>
      <c r="AI8" s="10">
        <f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/>
      </c>
      <c r="AJ8" s="11">
        <f>IF($AH8="","",IF(AI8=0,"{}",LET(m,IF(AI8=15,16,AI8),s,MMULT(SEQUENCE(1,m,1,0),ARRAY_CONSTRAIN($C$9:$W$24,m,21)),"{"&amp;TEXTJOIN(", ",TRUE,ARRAYFORMULA(IF(s&gt;0,$C$8:$W$8&amp;": "&amp;ROUND(s,2),"")))&amp;"}")))</f>
        <v/>
      </c>
      <c r="AK8" s="10">
        <f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/>
      </c>
      <c r="AL8" s="11">
        <f>IF($AH8="","",IF(AK8=0,"{}",LET(m,IF(AK8=15,16,AK8),s,MMULT(SEQUENCE(1,m,1,0),ARRAY_CONSTRAIN($C$9:$W$24,m,21)),"{"&amp;TEXTJOIN(", ",TRUE,ARRAYFORMULA(IF(s&gt;0,$C$8:$W$8&amp;": "&amp;ROUND(s,2),"")))&amp;"}")))</f>
        <v/>
      </c>
      <c r="AM8" s="10">
        <f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/>
      </c>
      <c r="AN8" s="11">
        <f>IF($AH8="","",IF(AM8=0,"{}",LET(m,IF(AM8=15,16,AM8),s,MMULT(SEQUENCE(1,m,1,0),ARRAY_CONSTRAIN($C$9:$W$24,m,21)),"{"&amp;TEXTJOIN(", ",TRUE,ARRAYFORMULA(IF(s&gt;0,$C$8:$W$8&amp;": "&amp;ROUND(s,2),"")))&amp;"}")))</f>
        <v/>
      </c>
      <c r="AO8" s="10">
        <f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/>
      </c>
      <c r="AP8" s="11">
        <f>IF($AH8="","",IF(AO8=0,"{}",LET(m,IF(AO8=15,16,AO8),s,MMULT(SEQUENCE(1,m,1,0),ARRAY_CONSTRAIN($C$9:$W$24,m,21)),"{"&amp;TEXTJOIN(", ",TRUE,ARRAYFORMULA(IF(s&gt;0,$C$8:$W$8&amp;": "&amp;ROUND(s,2),"")))&amp;"}")))</f>
        <v/>
      </c>
      <c r="AQ8" s="10">
        <f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/>
      </c>
      <c r="AR8" s="11">
        <f>IF($AH8="","",IF(AQ8=0,"{}",LET(m,IF(AQ8=15,16,AQ8),s,MMULT(SEQUENCE(1,m,1,0),ARRAY_CONSTRAIN($C$9:$W$24,m,21)),"{"&amp;TEXTJOIN(", ",TRUE,ARRAYFORMULA(IF(s&gt;0,$C$8:$W$8&amp;": "&amp;ROUND(s,2),"")))&amp;"}")))</f>
        <v/>
      </c>
    </row>
    <row r="9">
      <c r="A9" s="16" t="n">
        <v>1</v>
      </c>
      <c r="B9" s="17" t="n">
        <v>15</v>
      </c>
      <c r="C9" s="18" t="n">
        <v>0</v>
      </c>
      <c r="D9" s="16" t="n">
        <v>0</v>
      </c>
      <c r="E9" s="16" t="n">
        <v>0</v>
      </c>
      <c r="F9" s="16" t="n">
        <v>0</v>
      </c>
      <c r="G9" s="16" t="n">
        <v>1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AH9" s="9">
        <f>IF(4&lt;=$B$3,4,"")</f>
        <v/>
      </c>
      <c r="AI9" s="10">
        <f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1">
        <f>IF($AH9="","",IF(AI9=0,"{}",LET(m,IF(AI9=15,16,AI9),s,MMULT(SEQUENCE(1,m,1,0),ARRAY_CONSTRAIN($C$9:$W$24,m,21)),"{"&amp;TEXTJOIN(", ",TRUE,ARRAYFORMULA(IF(s&gt;0,$C$8:$W$8&amp;": "&amp;ROUND(s,2),"")))&amp;"}")))</f>
        <v/>
      </c>
      <c r="AK9" s="10">
        <f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1">
        <f>IF($AH9="","",IF(AK9=0,"{}",LET(m,IF(AK9=15,16,AK9),s,MMULT(SEQUENCE(1,m,1,0),ARRAY_CONSTRAIN($C$9:$W$24,m,21)),"{"&amp;TEXTJOIN(", ",TRUE,ARRAYFORMULA(IF(s&gt;0,$C$8:$W$8&amp;": "&amp;ROUND(s,2),"")))&amp;"}")))</f>
        <v/>
      </c>
      <c r="AM9" s="10">
        <f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1">
        <f>IF($AH9="","",IF(AM9=0,"{}",LET(m,IF(AM9=15,16,AM9),s,MMULT(SEQUENCE(1,m,1,0),ARRAY_CONSTRAIN($C$9:$W$24,m,21)),"{"&amp;TEXTJOIN(", ",TRUE,ARRAYFORMULA(IF(s&gt;0,$C$8:$W$8&amp;": "&amp;ROUND(s,2),"")))&amp;"}")))</f>
        <v/>
      </c>
      <c r="AO9" s="10">
        <f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1">
        <f>IF($AH9="","",IF(AO9=0,"{}",LET(m,IF(AO9=15,16,AO9),s,MMULT(SEQUENCE(1,m,1,0),ARRAY_CONSTRAIN($C$9:$W$24,m,21)),"{"&amp;TEXTJOIN(", ",TRUE,ARRAYFORMULA(IF(s&gt;0,$C$8:$W$8&amp;": "&amp;ROUND(s,2),"")))&amp;"}")))</f>
        <v/>
      </c>
      <c r="AQ9" s="10">
        <f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1">
        <f>IF($AH9="","",IF(AQ9=0,"{}",LET(m,IF(AQ9=15,16,AQ9),s,MMULT(SEQUENCE(1,m,1,0),ARRAY_CONSTRAIN($C$9:$W$24,m,21)),"{"&amp;TEXTJOIN(", ",TRUE,ARRAYFORMULA(IF(s&gt;0,$C$8:$W$8&amp;": "&amp;ROUND(s,2),"")))&amp;"}")))</f>
        <v/>
      </c>
    </row>
    <row r="10">
      <c r="A10" s="16" t="n">
        <v>2</v>
      </c>
      <c r="B10" s="17" t="n">
        <v>40</v>
      </c>
      <c r="C10" s="18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10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AH10" s="9">
        <f>IF(5&lt;=$B$3,5,"")</f>
        <v/>
      </c>
      <c r="AI10" s="10">
        <f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1">
        <f>IF($AH10="","",IF(AI10=0,"{}",LET(m,IF(AI10=15,16,AI10),s,MMULT(SEQUENCE(1,m,1,0),ARRAY_CONSTRAIN($C$9:$W$24,m,21)),"{"&amp;TEXTJOIN(", ",TRUE,ARRAYFORMULA(IF(s&gt;0,$C$8:$W$8&amp;": "&amp;ROUND(s,2),"")))&amp;"}")))</f>
        <v/>
      </c>
      <c r="AK10" s="10">
        <f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1">
        <f>IF($AH10="","",IF(AK10=0,"{}",LET(m,IF(AK10=15,16,AK10),s,MMULT(SEQUENCE(1,m,1,0),ARRAY_CONSTRAIN($C$9:$W$24,m,21)),"{"&amp;TEXTJOIN(", ",TRUE,ARRAYFORMULA(IF(s&gt;0,$C$8:$W$8&amp;": "&amp;ROUND(s,2),"")))&amp;"}")))</f>
        <v/>
      </c>
      <c r="AM10" s="10">
        <f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1">
        <f>IF($AH10="","",IF(AM10=0,"{}",LET(m,IF(AM10=15,16,AM10),s,MMULT(SEQUENCE(1,m,1,0),ARRAY_CONSTRAIN($C$9:$W$24,m,21)),"{"&amp;TEXTJOIN(", ",TRUE,ARRAYFORMULA(IF(s&gt;0,$C$8:$W$8&amp;": "&amp;ROUND(s,2),"")))&amp;"}")))</f>
        <v/>
      </c>
      <c r="AO10" s="10">
        <f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1">
        <f>IF($AH10="","",IF(AO10=0,"{}",LET(m,IF(AO10=15,16,AO10),s,MMULT(SEQUENCE(1,m,1,0),ARRAY_CONSTRAIN($C$9:$W$24,m,21)),"{"&amp;TEXTJOIN(", ",TRUE,ARRAYFORMULA(IF(s&gt;0,$C$8:$W$8&amp;": "&amp;ROUND(s,2),"")))&amp;"}")))</f>
        <v/>
      </c>
      <c r="AQ10" s="10">
        <f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1">
        <f>IF($AH10="","",IF(AQ10=0,"{}",LET(m,IF(AQ10=15,16,AQ10),s,MMULT(SEQUENCE(1,m,1,0),ARRAY_CONSTRAIN($C$9:$W$24,m,21)),"{"&amp;TEXTJOIN(", ",TRUE,ARRAYFORMULA(IF(s&gt;0,$C$8:$W$8&amp;": "&amp;ROUND(s,2),"")))&amp;"}")))</f>
        <v/>
      </c>
    </row>
    <row r="11">
      <c r="A11" s="16" t="n">
        <v>3</v>
      </c>
      <c r="B11" s="17" t="n">
        <v>70</v>
      </c>
      <c r="C11" s="18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10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AH11" s="9">
        <f>IF(6&lt;=$B$3,6,"")</f>
        <v/>
      </c>
      <c r="AI11" s="10">
        <f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1">
        <f>IF($AH11="","",IF(AI11=0,"{}",LET(m,IF(AI11=15,16,AI11),s,MMULT(SEQUENCE(1,m,1,0),ARRAY_CONSTRAIN($C$9:$W$24,m,21)),"{"&amp;TEXTJOIN(", ",TRUE,ARRAYFORMULA(IF(s&gt;0,$C$8:$W$8&amp;": "&amp;ROUND(s,2),"")))&amp;"}")))</f>
        <v/>
      </c>
      <c r="AK11" s="10">
        <f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1">
        <f>IF($AH11="","",IF(AK11=0,"{}",LET(m,IF(AK11=15,16,AK11),s,MMULT(SEQUENCE(1,m,1,0),ARRAY_CONSTRAIN($C$9:$W$24,m,21)),"{"&amp;TEXTJOIN(", ",TRUE,ARRAYFORMULA(IF(s&gt;0,$C$8:$W$8&amp;": "&amp;ROUND(s,2),"")))&amp;"}")))</f>
        <v/>
      </c>
      <c r="AM11" s="10">
        <f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1">
        <f>IF($AH11="","",IF(AM11=0,"{}",LET(m,IF(AM11=15,16,AM11),s,MMULT(SEQUENCE(1,m,1,0),ARRAY_CONSTRAIN($C$9:$W$24,m,21)),"{"&amp;TEXTJOIN(", ",TRUE,ARRAYFORMULA(IF(s&gt;0,$C$8:$W$8&amp;": "&amp;ROUND(s,2),"")))&amp;"}")))</f>
        <v/>
      </c>
      <c r="AO11" s="10">
        <f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1">
        <f>IF($AH11="","",IF(AO11=0,"{}",LET(m,IF(AO11=15,16,AO11),s,MMULT(SEQUENCE(1,m,1,0),ARRAY_CONSTRAIN($C$9:$W$24,m,21)),"{"&amp;TEXTJOIN(", ",TRUE,ARRAYFORMULA(IF(s&gt;0,$C$8:$W$8&amp;": "&amp;ROUND(s,2),"")))&amp;"}")))</f>
        <v/>
      </c>
      <c r="AQ11" s="10">
        <f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1">
        <f>IF($AH11="","",IF(AQ11=0,"{}",LET(m,IF(AQ11=15,16,AQ11),s,MMULT(SEQUENCE(1,m,1,0),ARRAY_CONSTRAIN($C$9:$W$24,m,21)),"{"&amp;TEXTJOIN(", ",TRUE,ARRAYFORMULA(IF(s&gt;0,$C$8:$W$8&amp;": "&amp;ROUND(s,2),"")))&amp;"}")))</f>
        <v/>
      </c>
    </row>
    <row r="12">
      <c r="A12" s="16" t="n">
        <v>4</v>
      </c>
      <c r="B12" s="17" t="n">
        <v>110</v>
      </c>
      <c r="C12" s="18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30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AH12" s="9">
        <f>IF(7&lt;=$B$3,7,"")</f>
        <v/>
      </c>
      <c r="AI12" s="10">
        <f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1">
        <f>IF($AH12="","",IF(AI12=0,"{}",LET(m,IF(AI12=15,16,AI12),s,MMULT(SEQUENCE(1,m,1,0),ARRAY_CONSTRAIN($C$9:$W$24,m,21)),"{"&amp;TEXTJOIN(", ",TRUE,ARRAYFORMULA(IF(s&gt;0,$C$8:$W$8&amp;": "&amp;ROUND(s,2),"")))&amp;"}")))</f>
        <v/>
      </c>
      <c r="AK12" s="10">
        <f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1">
        <f>IF($AH12="","",IF(AK12=0,"{}",LET(m,IF(AK12=15,16,AK12),s,MMULT(SEQUENCE(1,m,1,0),ARRAY_CONSTRAIN($C$9:$W$24,m,21)),"{"&amp;TEXTJOIN(", ",TRUE,ARRAYFORMULA(IF(s&gt;0,$C$8:$W$8&amp;": "&amp;ROUND(s,2),"")))&amp;"}")))</f>
        <v/>
      </c>
      <c r="AM12" s="10">
        <f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1">
        <f>IF($AH12="","",IF(AM12=0,"{}",LET(m,IF(AM12=15,16,AM12),s,MMULT(SEQUENCE(1,m,1,0),ARRAY_CONSTRAIN($C$9:$W$24,m,21)),"{"&amp;TEXTJOIN(", ",TRUE,ARRAYFORMULA(IF(s&gt;0,$C$8:$W$8&amp;": "&amp;ROUND(s,2),"")))&amp;"}")))</f>
        <v/>
      </c>
      <c r="AO12" s="10">
        <f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1">
        <f>IF($AH12="","",IF(AO12=0,"{}",LET(m,IF(AO12=15,16,AO12),s,MMULT(SEQUENCE(1,m,1,0),ARRAY_CONSTRAIN($C$9:$W$24,m,21)),"{"&amp;TEXTJOIN(", ",TRUE,ARRAYFORMULA(IF(s&gt;0,$C$8:$W$8&amp;": "&amp;ROUND(s,2),"")))&amp;"}")))</f>
        <v/>
      </c>
      <c r="AQ12" s="10">
        <f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1">
        <f>IF($AH12="","",IF(AQ12=0,"{}",LET(m,IF(AQ12=15,16,AQ12),s,MMULT(SEQUENCE(1,m,1,0),ARRAY_CONSTRAIN($C$9:$W$24,m,21)),"{"&amp;TEXTJOIN(", ",TRUE,ARRAYFORMULA(IF(s&gt;0,$C$8:$W$8&amp;": "&amp;ROUND(s,2),"")))&amp;"}")))</f>
        <v/>
      </c>
    </row>
    <row r="13">
      <c r="A13" s="16" t="n">
        <v>5</v>
      </c>
      <c r="B13" s="17" t="n">
        <v>160</v>
      </c>
      <c r="C13" s="18" t="n">
        <v>25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</row>
    <row r="14">
      <c r="A14" s="16" t="n">
        <v>6</v>
      </c>
      <c r="B14" s="17" t="n">
        <v>220</v>
      </c>
      <c r="C14" s="18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10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</row>
    <row r="15">
      <c r="A15" s="16" t="n">
        <v>7</v>
      </c>
      <c r="B15" s="17" t="n">
        <v>290</v>
      </c>
      <c r="C15" s="18" t="n">
        <v>0</v>
      </c>
      <c r="D15" s="16" t="n">
        <v>0</v>
      </c>
      <c r="E15" s="16" t="n">
        <v>0</v>
      </c>
      <c r="F15" s="16" t="n">
        <v>1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</row>
    <row r="16">
      <c r="A16" s="16" t="n">
        <v>8</v>
      </c>
      <c r="B16" s="17" t="n">
        <v>370</v>
      </c>
      <c r="C16" s="18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60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</row>
    <row r="17">
      <c r="A17" s="16" t="n">
        <v>9</v>
      </c>
      <c r="B17" s="17" t="n">
        <v>460</v>
      </c>
      <c r="C17" s="18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15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</row>
    <row r="18">
      <c r="A18" s="16" t="n">
        <v>10</v>
      </c>
      <c r="B18" s="17" t="n">
        <v>560</v>
      </c>
      <c r="C18" s="18" t="n">
        <v>25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</row>
    <row r="19">
      <c r="A19" s="16" t="n">
        <v>11</v>
      </c>
      <c r="B19" s="17" t="n">
        <v>670</v>
      </c>
      <c r="C19" s="18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15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</row>
    <row r="20">
      <c r="A20" s="16" t="n">
        <v>12</v>
      </c>
      <c r="B20" s="17" t="n">
        <v>790</v>
      </c>
      <c r="C20" s="18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15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</row>
    <row r="21" ht="15.75" customHeight="1">
      <c r="A21" s="16" t="n">
        <v>13</v>
      </c>
      <c r="B21" s="17" t="n">
        <v>920</v>
      </c>
      <c r="C21" s="18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</row>
    <row r="22" ht="15.75" customHeight="1">
      <c r="A22" s="16" t="n">
        <v>14</v>
      </c>
      <c r="B22" s="17" t="n">
        <v>1060</v>
      </c>
      <c r="C22" s="18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60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</row>
    <row r="23" ht="15.75" customHeight="1">
      <c r="A23" s="16" t="n">
        <v>15</v>
      </c>
      <c r="B23" s="17" t="n">
        <v>1210</v>
      </c>
      <c r="C23" s="18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1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</row>
    <row r="24" ht="15.75" customHeight="1">
      <c r="A24" s="26" t="inlineStr">
        <is>
          <t>Completion reward</t>
        </is>
      </c>
      <c r="B24" s="17" t="n"/>
      <c r="C24" s="18" t="n">
        <v>50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1</v>
      </c>
      <c r="I24" s="16" t="n">
        <v>0</v>
      </c>
      <c r="J24" s="16" t="n">
        <v>0</v>
      </c>
      <c r="K24" s="16" t="n">
        <v>1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sqref="AI2" showDropDown="0" showInputMessage="0" showErrorMessage="0" allowBlank="0" type="list">
      <formula1>"Avg,p25,p50,p75"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8"/>
  <sheetViews>
    <sheetView workbookViewId="0">
      <selection activeCell="A1" sqref="A1"/>
    </sheetView>
  </sheetViews>
  <sheetFormatPr baseColWidth="8" defaultRowHeight="15"/>
  <cols>
    <col width="26.5" customWidth="1" min="1" max="1"/>
    <col width="19.63" customWidth="1" min="2" max="2"/>
    <col width="18" customWidth="1" min="3" max="3"/>
    <col width="14" customWidth="1" min="4" max="4"/>
    <col width="11" customWidth="1" min="5" max="5"/>
    <col width="10" customWidth="1" min="6" max="6"/>
    <col width="9" customWidth="1" min="7" max="7"/>
    <col width="6" customWidth="1" min="8" max="8"/>
    <col width="7.63" customWidth="1" min="29" max="29"/>
    <col width="2.88" customWidth="1" min="33" max="33"/>
    <col width="11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  <col width="7.63" customWidth="1" min="45" max="45"/>
    <col width="6" customWidth="1" min="46" max="46"/>
    <col width="8" customWidth="1" min="47" max="47"/>
    <col width="13" customWidth="1" min="48" max="48"/>
  </cols>
  <sheetData>
    <row r="1" ht="21.75" customHeight="1">
      <c r="A1" s="1" t="inlineStr">
        <is>
          <t>Photoshoot</t>
        </is>
      </c>
      <c r="AH1" s="2" t="inlineStr">
        <is>
          <t>Player Reach Simulation (per event day) — SIMULATED</t>
        </is>
      </c>
    </row>
    <row r="2" ht="19.5" customHeight="1">
      <c r="A2" s="3" t="inlineStr">
        <is>
          <t>Config Panel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H2" s="4" t="inlineStr">
        <is>
          <t>Percentile</t>
        </is>
      </c>
      <c r="AI2" s="5" t="inlineStr">
        <is>
          <t>Avg</t>
        </is>
      </c>
    </row>
    <row r="3">
      <c r="A3" s="6" t="inlineStr">
        <is>
          <t>EventDuration (days)</t>
        </is>
      </c>
      <c r="B3" s="7" t="n">
        <v>3</v>
      </c>
      <c r="AH3" s="4" t="inlineStr">
        <is>
          <t>Payer</t>
        </is>
      </c>
      <c r="AI3" s="5" t="inlineStr">
        <is>
          <t>NONPAYER</t>
        </is>
      </c>
    </row>
    <row r="4">
      <c r="A4" s="6" t="inlineStr">
        <is>
          <t>requiredPlayerLevel</t>
        </is>
      </c>
      <c r="B4" s="7" t="n">
        <v>1</v>
      </c>
      <c r="AU4" s="20" t="inlineStr">
        <is>
          <t>Cum item price</t>
        </is>
      </c>
    </row>
    <row r="5">
      <c r="A5" s="6" t="inlineStr">
        <is>
          <t>requiredSagaLevel</t>
        </is>
      </c>
      <c r="B5" s="7" t="n">
        <v>17</v>
      </c>
      <c r="AH5" s="8" t="inlineStr">
        <is>
          <t>Day_of_event</t>
        </is>
      </c>
      <c r="AI5" s="8" t="inlineStr">
        <is>
          <t>0-9_ms</t>
        </is>
      </c>
      <c r="AJ5" s="8" t="inlineStr">
        <is>
          <t>0-9_reward</t>
        </is>
      </c>
      <c r="AK5" s="8" t="inlineStr">
        <is>
          <t>10-19_ms</t>
        </is>
      </c>
      <c r="AL5" s="8" t="inlineStr">
        <is>
          <t>10-19_reward</t>
        </is>
      </c>
      <c r="AM5" s="8" t="inlineStr">
        <is>
          <t>20-39_ms</t>
        </is>
      </c>
      <c r="AN5" s="8" t="inlineStr">
        <is>
          <t>20-39_reward</t>
        </is>
      </c>
      <c r="AO5" s="8" t="inlineStr">
        <is>
          <t>40-99_ms</t>
        </is>
      </c>
      <c r="AP5" s="8" t="inlineStr">
        <is>
          <t>40-99_reward</t>
        </is>
      </c>
      <c r="AQ5" s="8" t="inlineStr">
        <is>
          <t>100_ms</t>
        </is>
      </c>
      <c r="AR5" s="8" t="inlineStr">
        <is>
          <t>100_reward</t>
        </is>
      </c>
      <c r="AT5" s="21" t="n">
        <v>1</v>
      </c>
      <c r="AU5" s="27">
        <f>SUM($F$25:$F25)</f>
        <v/>
      </c>
    </row>
    <row r="6">
      <c r="A6" s="6" t="inlineStr">
        <is>
          <t>lastTierUnlockRequirement</t>
        </is>
      </c>
      <c r="B6" s="7">
        <f>TRUE()</f>
        <v/>
      </c>
      <c r="AH6" s="9">
        <f>IF(1&lt;=$B$3,1,"")</f>
        <v/>
      </c>
      <c r="AI6" s="10">
        <f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U$5:$AU$34,"&lt;="&amp;bal*shr)))</f>
        <v/>
      </c>
      <c r="AJ6" s="11">
        <f>IF($AH6="","",IF(AI6=0,"{}",LET(m,AI6,s,MMULT(SEQUENCE(1,m,1,0),ARRAY_CONSTRAIN($H$25:$AB$54,m,21)),"{"&amp;TEXTJOIN(", ",TRUE,ARRAYFORMULA(IF(s&gt;0,$H$24:$AB$24&amp;": "&amp;ROUND(s,2),"")))&amp;"}")))</f>
        <v/>
      </c>
      <c r="AK6" s="10">
        <f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U$5:$AU$34,"&lt;="&amp;bal*shr)))</f>
        <v/>
      </c>
      <c r="AL6" s="11">
        <f>IF($AH6="","",IF(AK6=0,"{}",LET(m,AK6,s,MMULT(SEQUENCE(1,m,1,0),ARRAY_CONSTRAIN($H$25:$AB$54,m,21)),"{"&amp;TEXTJOIN(", ",TRUE,ARRAYFORMULA(IF(s&gt;0,$H$24:$AB$24&amp;": "&amp;ROUND(s,2),"")))&amp;"}")))</f>
        <v/>
      </c>
      <c r="AM6" s="10">
        <f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U$5:$AU$34,"&lt;="&amp;bal*shr)))</f>
        <v/>
      </c>
      <c r="AN6" s="11">
        <f>IF($AH6="","",IF(AM6=0,"{}",LET(m,AM6,s,MMULT(SEQUENCE(1,m,1,0),ARRAY_CONSTRAIN($H$25:$AB$54,m,21)),"{"&amp;TEXTJOIN(", ",TRUE,ARRAYFORMULA(IF(s&gt;0,$H$24:$AB$24&amp;": "&amp;ROUND(s,2),"")))&amp;"}")))</f>
        <v/>
      </c>
      <c r="AO6" s="10">
        <f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U$5:$AU$34,"&lt;="&amp;bal*shr)))</f>
        <v/>
      </c>
      <c r="AP6" s="11">
        <f>IF($AH6="","",IF(AO6=0,"{}",LET(m,AO6,s,MMULT(SEQUENCE(1,m,1,0),ARRAY_CONSTRAIN($H$25:$AB$54,m,21)),"{"&amp;TEXTJOIN(", ",TRUE,ARRAYFORMULA(IF(s&gt;0,$H$24:$AB$24&amp;": "&amp;ROUND(s,2),"")))&amp;"}")))</f>
        <v/>
      </c>
      <c r="AQ6" s="10">
        <f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U$5:$AU$34,"&lt;="&amp;bal*shr)))</f>
        <v/>
      </c>
      <c r="AR6" s="11">
        <f>IF($AH6="","",IF(AQ6=0,"{}",LET(m,AQ6,s,MMULT(SEQUENCE(1,m,1,0),ARRAY_CONSTRAIN($H$25:$AB$54,m,21)),"{"&amp;TEXTJOIN(", ",TRUE,ARRAYFORMULA(IF(s&gt;0,$H$24:$AB$24&amp;": "&amp;ROUND(s,2),"")))&amp;"}")))</f>
        <v/>
      </c>
      <c r="AT6" s="21" t="n">
        <v>2</v>
      </c>
      <c r="AU6" s="27">
        <f>SUM($F$25:$F26)</f>
        <v/>
      </c>
    </row>
    <row r="7">
      <c r="A7" s="6" t="inlineStr">
        <is>
          <t>manualRewardClaiming</t>
        </is>
      </c>
      <c r="B7" s="7">
        <f>FALSE()</f>
        <v/>
      </c>
      <c r="AH7" s="9">
        <f>IF(2&lt;=$B$3,2,"")</f>
        <v/>
      </c>
      <c r="AI7" s="10">
        <f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U$5:$AU$34,"&lt;="&amp;bal*shr)))</f>
        <v/>
      </c>
      <c r="AJ7" s="11">
        <f>IF($AH7="","",IF(AI7=0,"{}",LET(m,AI7,s,MMULT(SEQUENCE(1,m,1,0),ARRAY_CONSTRAIN($H$25:$AB$54,m,21)),"{"&amp;TEXTJOIN(", ",TRUE,ARRAYFORMULA(IF(s&gt;0,$H$24:$AB$24&amp;": "&amp;ROUND(s,2),"")))&amp;"}")))</f>
        <v/>
      </c>
      <c r="AK7" s="10">
        <f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U$5:$AU$34,"&lt;="&amp;bal*shr)))</f>
        <v/>
      </c>
      <c r="AL7" s="11">
        <f>IF($AH7="","",IF(AK7=0,"{}",LET(m,AK7,s,MMULT(SEQUENCE(1,m,1,0),ARRAY_CONSTRAIN($H$25:$AB$54,m,21)),"{"&amp;TEXTJOIN(", ",TRUE,ARRAYFORMULA(IF(s&gt;0,$H$24:$AB$24&amp;": "&amp;ROUND(s,2),"")))&amp;"}")))</f>
        <v/>
      </c>
      <c r="AM7" s="10">
        <f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U$5:$AU$34,"&lt;="&amp;bal*shr)))</f>
        <v/>
      </c>
      <c r="AN7" s="11">
        <f>IF($AH7="","",IF(AM7=0,"{}",LET(m,AM7,s,MMULT(SEQUENCE(1,m,1,0),ARRAY_CONSTRAIN($H$25:$AB$54,m,21)),"{"&amp;TEXTJOIN(", ",TRUE,ARRAYFORMULA(IF(s&gt;0,$H$24:$AB$24&amp;": "&amp;ROUND(s,2),"")))&amp;"}")))</f>
        <v/>
      </c>
      <c r="AO7" s="10">
        <f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U$5:$AU$34,"&lt;="&amp;bal*shr)))</f>
        <v/>
      </c>
      <c r="AP7" s="11">
        <f>IF($AH7="","",IF(AO7=0,"{}",LET(m,AO7,s,MMULT(SEQUENCE(1,m,1,0),ARRAY_CONSTRAIN($H$25:$AB$54,m,21)),"{"&amp;TEXTJOIN(", ",TRUE,ARRAYFORMULA(IF(s&gt;0,$H$24:$AB$24&amp;": "&amp;ROUND(s,2),"")))&amp;"}")))</f>
        <v/>
      </c>
      <c r="AQ7" s="10">
        <f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U$5:$AU$34,"&lt;="&amp;bal*shr)))</f>
        <v/>
      </c>
      <c r="AR7" s="11">
        <f>IF($AH7="","",IF(AQ7=0,"{}",LET(m,AQ7,s,MMULT(SEQUENCE(1,m,1,0),ARRAY_CONSTRAIN($H$25:$AB$54,m,21)),"{"&amp;TEXTJOIN(", ",TRUE,ARRAYFORMULA(IF(s&gt;0,$H$24:$AB$24&amp;": "&amp;ROUND(s,2),"")))&amp;"}")))</f>
        <v/>
      </c>
      <c r="AT7" s="21" t="n">
        <v>3</v>
      </c>
      <c r="AU7" s="27">
        <f>SUM($F$25:$F27)</f>
        <v/>
      </c>
    </row>
    <row r="8">
      <c r="A8" s="6" t="inlineStr">
        <is>
          <t>assetBundle</t>
        </is>
      </c>
      <c r="B8" s="28" t="inlineStr">
        <is>
          <t>event-photoshoot-generic</t>
        </is>
      </c>
      <c r="AH8" s="9">
        <f>IF(3&lt;=$B$3,3,"")</f>
        <v/>
      </c>
      <c r="AI8" s="10">
        <f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U$5:$AU$34,"&lt;="&amp;bal*shr)))</f>
        <v/>
      </c>
      <c r="AJ8" s="11">
        <f>IF($AH8="","",IF(AI8=0,"{}",LET(m,AI8,s,MMULT(SEQUENCE(1,m,1,0),ARRAY_CONSTRAIN($H$25:$AB$54,m,21)),"{"&amp;TEXTJOIN(", ",TRUE,ARRAYFORMULA(IF(s&gt;0,$H$24:$AB$24&amp;": "&amp;ROUND(s,2),"")))&amp;"}")))</f>
        <v/>
      </c>
      <c r="AK8" s="10">
        <f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U$5:$AU$34,"&lt;="&amp;bal*shr)))</f>
        <v/>
      </c>
      <c r="AL8" s="11">
        <f>IF($AH8="","",IF(AK8=0,"{}",LET(m,AK8,s,MMULT(SEQUENCE(1,m,1,0),ARRAY_CONSTRAIN($H$25:$AB$54,m,21)),"{"&amp;TEXTJOIN(", ",TRUE,ARRAYFORMULA(IF(s&gt;0,$H$24:$AB$24&amp;": "&amp;ROUND(s,2),"")))&amp;"}")))</f>
        <v/>
      </c>
      <c r="AM8" s="10">
        <f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U$5:$AU$34,"&lt;="&amp;bal*shr)))</f>
        <v/>
      </c>
      <c r="AN8" s="11">
        <f>IF($AH8="","",IF(AM8=0,"{}",LET(m,AM8,s,MMULT(SEQUENCE(1,m,1,0),ARRAY_CONSTRAIN($H$25:$AB$54,m,21)),"{"&amp;TEXTJOIN(", ",TRUE,ARRAYFORMULA(IF(s&gt;0,$H$24:$AB$24&amp;": "&amp;ROUND(s,2),"")))&amp;"}")))</f>
        <v/>
      </c>
      <c r="AO8" s="10">
        <f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U$5:$AU$34,"&lt;="&amp;bal*shr)))</f>
        <v/>
      </c>
      <c r="AP8" s="11">
        <f>IF($AH8="","",IF(AO8=0,"{}",LET(m,AO8,s,MMULT(SEQUENCE(1,m,1,0),ARRAY_CONSTRAIN($H$25:$AB$54,m,21)),"{"&amp;TEXTJOIN(", ",TRUE,ARRAYFORMULA(IF(s&gt;0,$H$24:$AB$24&amp;": "&amp;ROUND(s,2),"")))&amp;"}")))</f>
        <v/>
      </c>
      <c r="AQ8" s="10">
        <f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U$5:$AU$34,"&lt;="&amp;bal*shr)))</f>
        <v/>
      </c>
      <c r="AR8" s="11">
        <f>IF($AH8="","",IF(AQ8=0,"{}",LET(m,AQ8,s,MMULT(SEQUENCE(1,m,1,0),ARRAY_CONSTRAIN($H$25:$AB$54,m,21)),"{"&amp;TEXTJOIN(", ",TRUE,ARRAYFORMULA(IF(s&gt;0,$H$24:$AB$24&amp;": "&amp;ROUND(s,2),"")))&amp;"}")))</f>
        <v/>
      </c>
      <c r="AT8" s="21" t="n">
        <v>4</v>
      </c>
      <c r="AU8" s="27">
        <f>SUM($F$25:$F28)</f>
        <v/>
      </c>
    </row>
    <row r="9">
      <c r="A9" s="6" t="inlineStr">
        <is>
          <t>numberOfItems</t>
        </is>
      </c>
      <c r="B9" s="7" t="n">
        <v>30</v>
      </c>
      <c r="AH9" s="9">
        <f>IF(4&lt;=$B$3,4,"")</f>
        <v/>
      </c>
      <c r="AI9" s="10">
        <f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U$5:$AU$34,"&lt;="&amp;bal*shr)))</f>
        <v/>
      </c>
      <c r="AJ9" s="11">
        <f>IF($AH9="","",IF(AI9=0,"{}",LET(m,AI9,s,MMULT(SEQUENCE(1,m,1,0),ARRAY_CONSTRAIN($H$25:$AB$54,m,21)),"{"&amp;TEXTJOIN(", ",TRUE,ARRAYFORMULA(IF(s&gt;0,$H$24:$AB$24&amp;": "&amp;ROUND(s,2),"")))&amp;"}")))</f>
        <v/>
      </c>
      <c r="AK9" s="10">
        <f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U$5:$AU$34,"&lt;="&amp;bal*shr)))</f>
        <v/>
      </c>
      <c r="AL9" s="11">
        <f>IF($AH9="","",IF(AK9=0,"{}",LET(m,AK9,s,MMULT(SEQUENCE(1,m,1,0),ARRAY_CONSTRAIN($H$25:$AB$54,m,21)),"{"&amp;TEXTJOIN(", ",TRUE,ARRAYFORMULA(IF(s&gt;0,$H$24:$AB$24&amp;": "&amp;ROUND(s,2),"")))&amp;"}")))</f>
        <v/>
      </c>
      <c r="AM9" s="10">
        <f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U$5:$AU$34,"&lt;="&amp;bal*shr)))</f>
        <v/>
      </c>
      <c r="AN9" s="11">
        <f>IF($AH9="","",IF(AM9=0,"{}",LET(m,AM9,s,MMULT(SEQUENCE(1,m,1,0),ARRAY_CONSTRAIN($H$25:$AB$54,m,21)),"{"&amp;TEXTJOIN(", ",TRUE,ARRAYFORMULA(IF(s&gt;0,$H$24:$AB$24&amp;": "&amp;ROUND(s,2),"")))&amp;"}")))</f>
        <v/>
      </c>
      <c r="AO9" s="10">
        <f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U$5:$AU$34,"&lt;="&amp;bal*shr)))</f>
        <v/>
      </c>
      <c r="AP9" s="11">
        <f>IF($AH9="","",IF(AO9=0,"{}",LET(m,AO9,s,MMULT(SEQUENCE(1,m,1,0),ARRAY_CONSTRAIN($H$25:$AB$54,m,21)),"{"&amp;TEXTJOIN(", ",TRUE,ARRAYFORMULA(IF(s&gt;0,$H$24:$AB$24&amp;": "&amp;ROUND(s,2),"")))&amp;"}")))</f>
        <v/>
      </c>
      <c r="AQ9" s="10">
        <f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U$5:$AU$34,"&lt;="&amp;bal*shr)))</f>
        <v/>
      </c>
      <c r="AR9" s="11">
        <f>IF($AH9="","",IF(AQ9=0,"{}",LET(m,AQ9,s,MMULT(SEQUENCE(1,m,1,0),ARRAY_CONSTRAIN($H$25:$AB$54,m,21)),"{"&amp;TEXTJOIN(", ",TRUE,ARRAYFORMULA(IF(s&gt;0,$H$24:$AB$24&amp;": "&amp;ROUND(s,2),"")))&amp;"}")))</f>
        <v/>
      </c>
      <c r="AT9" s="21" t="n">
        <v>5</v>
      </c>
      <c r="AU9" s="27">
        <f>SUM($F$25:$F29)</f>
        <v/>
      </c>
    </row>
    <row r="10">
      <c r="A10" s="6" t="inlineStr">
        <is>
          <t>numberOfMilestoneTiers</t>
        </is>
      </c>
      <c r="B10" s="7" t="n">
        <v>10</v>
      </c>
      <c r="AH10" s="9">
        <f>IF(5&lt;=$B$3,5,"")</f>
        <v/>
      </c>
      <c r="AI10" s="10">
        <f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U$5:$AU$34,"&lt;="&amp;bal*shr)))</f>
        <v/>
      </c>
      <c r="AJ10" s="11">
        <f>IF($AH10="","",IF(AI10=0,"{}",LET(m,AI10,s,MMULT(SEQUENCE(1,m,1,0),ARRAY_CONSTRAIN($H$25:$AB$54,m,21)),"{"&amp;TEXTJOIN(", ",TRUE,ARRAYFORMULA(IF(s&gt;0,$H$24:$AB$24&amp;": "&amp;ROUND(s,2),"")))&amp;"}")))</f>
        <v/>
      </c>
      <c r="AK10" s="10">
        <f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U$5:$AU$34,"&lt;="&amp;bal*shr)))</f>
        <v/>
      </c>
      <c r="AL10" s="11">
        <f>IF($AH10="","",IF(AK10=0,"{}",LET(m,AK10,s,MMULT(SEQUENCE(1,m,1,0),ARRAY_CONSTRAIN($H$25:$AB$54,m,21)),"{"&amp;TEXTJOIN(", ",TRUE,ARRAYFORMULA(IF(s&gt;0,$H$24:$AB$24&amp;": "&amp;ROUND(s,2),"")))&amp;"}")))</f>
        <v/>
      </c>
      <c r="AM10" s="10">
        <f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U$5:$AU$34,"&lt;="&amp;bal*shr)))</f>
        <v/>
      </c>
      <c r="AN10" s="11">
        <f>IF($AH10="","",IF(AM10=0,"{}",LET(m,AM10,s,MMULT(SEQUENCE(1,m,1,0),ARRAY_CONSTRAIN($H$25:$AB$54,m,21)),"{"&amp;TEXTJOIN(", ",TRUE,ARRAYFORMULA(IF(s&gt;0,$H$24:$AB$24&amp;": "&amp;ROUND(s,2),"")))&amp;"}")))</f>
        <v/>
      </c>
      <c r="AO10" s="10">
        <f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U$5:$AU$34,"&lt;="&amp;bal*shr)))</f>
        <v/>
      </c>
      <c r="AP10" s="11">
        <f>IF($AH10="","",IF(AO10=0,"{}",LET(m,AO10,s,MMULT(SEQUENCE(1,m,1,0),ARRAY_CONSTRAIN($H$25:$AB$54,m,21)),"{"&amp;TEXTJOIN(", ",TRUE,ARRAYFORMULA(IF(s&gt;0,$H$24:$AB$24&amp;": "&amp;ROUND(s,2),"")))&amp;"}")))</f>
        <v/>
      </c>
      <c r="AQ10" s="10">
        <f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U$5:$AU$34,"&lt;="&amp;bal*shr)))</f>
        <v/>
      </c>
      <c r="AR10" s="11">
        <f>IF($AH10="","",IF(AQ10=0,"{}",LET(m,AQ10,s,MMULT(SEQUENCE(1,m,1,0),ARRAY_CONSTRAIN($H$25:$AB$54,m,21)),"{"&amp;TEXTJOIN(", ",TRUE,ARRAYFORMULA(IF(s&gt;0,$H$24:$AB$24&amp;": "&amp;ROUND(s,2),"")))&amp;"}")))</f>
        <v/>
      </c>
      <c r="AT10" s="21" t="n">
        <v>6</v>
      </c>
      <c r="AU10" s="27">
        <f>SUM($F$25:$F30)</f>
        <v/>
      </c>
    </row>
    <row r="11">
      <c r="A11" s="6" t="inlineStr">
        <is>
          <t>numberOfEndlessLanes</t>
        </is>
      </c>
      <c r="B11" s="7" t="n">
        <v>3</v>
      </c>
      <c r="AH11" s="9">
        <f>IF(6&lt;=$B$3,6,"")</f>
        <v/>
      </c>
      <c r="AI11" s="10">
        <f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U$5:$AU$34,"&lt;="&amp;bal*shr)))</f>
        <v/>
      </c>
      <c r="AJ11" s="11">
        <f>IF($AH11="","",IF(AI11=0,"{}",LET(m,AI11,s,MMULT(SEQUENCE(1,m,1,0),ARRAY_CONSTRAIN($H$25:$AB$54,m,21)),"{"&amp;TEXTJOIN(", ",TRUE,ARRAYFORMULA(IF(s&gt;0,$H$24:$AB$24&amp;": "&amp;ROUND(s,2),"")))&amp;"}")))</f>
        <v/>
      </c>
      <c r="AK11" s="10">
        <f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U$5:$AU$34,"&lt;="&amp;bal*shr)))</f>
        <v/>
      </c>
      <c r="AL11" s="11">
        <f>IF($AH11="","",IF(AK11=0,"{}",LET(m,AK11,s,MMULT(SEQUENCE(1,m,1,0),ARRAY_CONSTRAIN($H$25:$AB$54,m,21)),"{"&amp;TEXTJOIN(", ",TRUE,ARRAYFORMULA(IF(s&gt;0,$H$24:$AB$24&amp;": "&amp;ROUND(s,2),"")))&amp;"}")))</f>
        <v/>
      </c>
      <c r="AM11" s="10">
        <f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U$5:$AU$34,"&lt;="&amp;bal*shr)))</f>
        <v/>
      </c>
      <c r="AN11" s="11">
        <f>IF($AH11="","",IF(AM11=0,"{}",LET(m,AM11,s,MMULT(SEQUENCE(1,m,1,0),ARRAY_CONSTRAIN($H$25:$AB$54,m,21)),"{"&amp;TEXTJOIN(", ",TRUE,ARRAYFORMULA(IF(s&gt;0,$H$24:$AB$24&amp;": "&amp;ROUND(s,2),"")))&amp;"}")))</f>
        <v/>
      </c>
      <c r="AO11" s="10">
        <f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U$5:$AU$34,"&lt;="&amp;bal*shr)))</f>
        <v/>
      </c>
      <c r="AP11" s="11">
        <f>IF($AH11="","",IF(AO11=0,"{}",LET(m,AO11,s,MMULT(SEQUENCE(1,m,1,0),ARRAY_CONSTRAIN($H$25:$AB$54,m,21)),"{"&amp;TEXTJOIN(", ",TRUE,ARRAYFORMULA(IF(s&gt;0,$H$24:$AB$24&amp;": "&amp;ROUND(s,2),"")))&amp;"}")))</f>
        <v/>
      </c>
      <c r="AQ11" s="10">
        <f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U$5:$AU$34,"&lt;="&amp;bal*shr)))</f>
        <v/>
      </c>
      <c r="AR11" s="11">
        <f>IF($AH11="","",IF(AQ11=0,"{}",LET(m,AQ11,s,MMULT(SEQUENCE(1,m,1,0),ARRAY_CONSTRAIN($H$25:$AB$54,m,21)),"{"&amp;TEXTJOIN(", ",TRUE,ARRAYFORMULA(IF(s&gt;0,$H$24:$AB$24&amp;": "&amp;ROUND(s,2),"")))&amp;"}")))</f>
        <v/>
      </c>
      <c r="AT11" s="21" t="n">
        <v>7</v>
      </c>
      <c r="AU11" s="27">
        <f>SUM($F$25:$F31)</f>
        <v/>
      </c>
    </row>
    <row r="12">
      <c r="A12" s="6" t="inlineStr">
        <is>
          <t>endlessRewardsPerLane</t>
        </is>
      </c>
      <c r="B12" s="7" t="n">
        <v>15</v>
      </c>
      <c r="AH12" s="9">
        <f>IF(7&lt;=$B$3,7,"")</f>
        <v/>
      </c>
      <c r="AI12" s="10">
        <f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U$5:$AU$34,"&lt;="&amp;bal*shr)))</f>
        <v/>
      </c>
      <c r="AJ12" s="11">
        <f>IF($AH12="","",IF(AI12=0,"{}",LET(m,AI12,s,MMULT(SEQUENCE(1,m,1,0),ARRAY_CONSTRAIN($H$25:$AB$54,m,21)),"{"&amp;TEXTJOIN(", ",TRUE,ARRAYFORMULA(IF(s&gt;0,$H$24:$AB$24&amp;": "&amp;ROUND(s,2),"")))&amp;"}")))</f>
        <v/>
      </c>
      <c r="AK12" s="10">
        <f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U$5:$AU$34,"&lt;="&amp;bal*shr)))</f>
        <v/>
      </c>
      <c r="AL12" s="11">
        <f>IF($AH12="","",IF(AK12=0,"{}",LET(m,AK12,s,MMULT(SEQUENCE(1,m,1,0),ARRAY_CONSTRAIN($H$25:$AB$54,m,21)),"{"&amp;TEXTJOIN(", ",TRUE,ARRAYFORMULA(IF(s&gt;0,$H$24:$AB$24&amp;": "&amp;ROUND(s,2),"")))&amp;"}")))</f>
        <v/>
      </c>
      <c r="AM12" s="10">
        <f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U$5:$AU$34,"&lt;="&amp;bal*shr)))</f>
        <v/>
      </c>
      <c r="AN12" s="11">
        <f>IF($AH12="","",IF(AM12=0,"{}",LET(m,AM12,s,MMULT(SEQUENCE(1,m,1,0),ARRAY_CONSTRAIN($H$25:$AB$54,m,21)),"{"&amp;TEXTJOIN(", ",TRUE,ARRAYFORMULA(IF(s&gt;0,$H$24:$AB$24&amp;": "&amp;ROUND(s,2),"")))&amp;"}")))</f>
        <v/>
      </c>
      <c r="AO12" s="10">
        <f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U$5:$AU$34,"&lt;="&amp;bal*shr)))</f>
        <v/>
      </c>
      <c r="AP12" s="11">
        <f>IF($AH12="","",IF(AO12=0,"{}",LET(m,AO12,s,MMULT(SEQUENCE(1,m,1,0),ARRAY_CONSTRAIN($H$25:$AB$54,m,21)),"{"&amp;TEXTJOIN(", ",TRUE,ARRAYFORMULA(IF(s&gt;0,$H$24:$AB$24&amp;": "&amp;ROUND(s,2),"")))&amp;"}")))</f>
        <v/>
      </c>
      <c r="AQ12" s="10">
        <f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U$5:$AU$34,"&lt;="&amp;bal*shr)))</f>
        <v/>
      </c>
      <c r="AR12" s="11">
        <f>IF($AH12="","",IF(AQ12=0,"{}",LET(m,AQ12,s,MMULT(SEQUENCE(1,m,1,0),ARRAY_CONSTRAIN($H$25:$AB$54,m,21)),"{"&amp;TEXTJOIN(", ",TRUE,ARRAYFORMULA(IF(s&gt;0,$H$24:$AB$24&amp;": "&amp;ROUND(s,2),"")))&amp;"}")))</f>
        <v/>
      </c>
      <c r="AT12" s="21" t="n">
        <v>8</v>
      </c>
      <c r="AU12" s="27">
        <f>SUM($F$25:$F32)</f>
        <v/>
      </c>
    </row>
    <row r="13">
      <c r="A13" s="6" t="inlineStr">
        <is>
          <t>itemLevelUnlocks (per set)</t>
        </is>
      </c>
      <c r="B13" s="7" t="inlineStr">
        <is>
          <t>0, 1, 1, 1, 1, 1, 1, 1, 1, 1</t>
        </is>
      </c>
      <c r="AT13" s="21" t="n">
        <v>9</v>
      </c>
      <c r="AU13" s="27">
        <f>SUM($F$25:$F33)</f>
        <v/>
      </c>
    </row>
    <row r="14">
      <c r="AT14" s="21" t="n">
        <v>10</v>
      </c>
      <c r="AU14" s="27">
        <f>SUM($F$25:$F34)</f>
        <v/>
      </c>
    </row>
    <row r="15" ht="19.5" customHeight="1">
      <c r="A15" s="3" t="inlineStr">
        <is>
          <t>Streak Multipliers (first-try win streak → token earn multiplier)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T15" s="21" t="n">
        <v>11</v>
      </c>
      <c r="AU15" s="27">
        <f>SUM($F$25:$F35)</f>
        <v/>
      </c>
    </row>
    <row r="16" ht="21.75" customHeight="1">
      <c r="A16" s="12" t="inlineStr">
        <is>
          <t>Tier</t>
        </is>
      </c>
      <c r="B16" s="12" t="inlineStr">
        <is>
          <t>Token Multiplier</t>
        </is>
      </c>
      <c r="AT16" s="21" t="n">
        <v>12</v>
      </c>
      <c r="AU16" s="27">
        <f>SUM($F$25:$F36)</f>
        <v/>
      </c>
    </row>
    <row r="17">
      <c r="A17" s="16" t="n">
        <v>1</v>
      </c>
      <c r="B17" s="16" t="inlineStr">
        <is>
          <t>1x</t>
        </is>
      </c>
      <c r="AT17" s="21" t="n">
        <v>13</v>
      </c>
      <c r="AU17" s="27">
        <f>SUM($F$25:$F37)</f>
        <v/>
      </c>
    </row>
    <row r="18">
      <c r="A18" s="16" t="n">
        <v>2</v>
      </c>
      <c r="B18" s="16" t="inlineStr">
        <is>
          <t>2x</t>
        </is>
      </c>
      <c r="AT18" s="21" t="n">
        <v>14</v>
      </c>
      <c r="AU18" s="27">
        <f>SUM($F$25:$F38)</f>
        <v/>
      </c>
    </row>
    <row r="19">
      <c r="A19" s="16" t="n">
        <v>3</v>
      </c>
      <c r="B19" s="16" t="inlineStr">
        <is>
          <t>4x</t>
        </is>
      </c>
      <c r="AT19" s="21" t="n">
        <v>15</v>
      </c>
      <c r="AU19" s="27">
        <f>SUM($F$25:$F39)</f>
        <v/>
      </c>
    </row>
    <row r="20">
      <c r="A20" s="16" t="n">
        <v>4</v>
      </c>
      <c r="B20" s="16" t="inlineStr">
        <is>
          <t>6x</t>
        </is>
      </c>
      <c r="AT20" s="21" t="n">
        <v>16</v>
      </c>
      <c r="AU20" s="27">
        <f>SUM($F$25:$F40)</f>
        <v/>
      </c>
    </row>
    <row r="21" ht="15.75" customHeight="1">
      <c r="A21" s="16" t="n">
        <v>5</v>
      </c>
      <c r="B21" s="16" t="inlineStr">
        <is>
          <t>10x</t>
        </is>
      </c>
      <c r="AT21" s="21" t="n">
        <v>17</v>
      </c>
      <c r="AU21" s="27">
        <f>SUM($F$25:$F41)</f>
        <v/>
      </c>
    </row>
    <row r="22" ht="15.75" customHeight="1">
      <c r="AT22" s="21" t="n">
        <v>18</v>
      </c>
      <c r="AU22" s="27">
        <f>SUM($F$25:$F42)</f>
        <v/>
      </c>
    </row>
    <row r="23" ht="19.5" customHeight="1">
      <c r="A23" s="3" t="inlineStr">
        <is>
          <t>Goals and Rewards (30 items × 10 milestone tiers)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T23" s="21" t="n">
        <v>19</v>
      </c>
      <c r="AU23" s="27">
        <f>SUM($F$25:$F43)</f>
        <v/>
      </c>
    </row>
    <row r="24" ht="90" customHeight="1">
      <c r="A24" s="12" t="inlineStr">
        <is>
          <t>Item Id</t>
        </is>
      </c>
      <c r="B24" s="12" t="inlineStr">
        <is>
          <t>Set #</t>
        </is>
      </c>
      <c r="C24" s="12" t="inlineStr">
        <is>
          <t>Set Name</t>
        </is>
      </c>
      <c r="D24" s="12" t="inlineStr">
        <is>
          <t>Item name</t>
        </is>
      </c>
      <c r="E24" s="12" t="inlineStr">
        <is>
          <t>Items to unlock
set (from doc)</t>
        </is>
      </c>
      <c r="F24" s="12" t="inlineStr">
        <is>
          <t>itemPrices
(tokens)</t>
        </is>
      </c>
      <c r="G24" s="13" t="inlineStr">
        <is>
          <t>Items
Unlocked</t>
        </is>
      </c>
      <c r="H24" s="29" t="inlineStr">
        <is>
          <t>Coins</t>
        </is>
      </c>
      <c r="I24" s="15" t="inlineStr">
        <is>
          <t>SPT</t>
        </is>
      </c>
      <c r="J24" s="15" t="inlineStr">
        <is>
          <t>SPT x2</t>
        </is>
      </c>
      <c r="K24" s="15" t="inlineStr">
        <is>
          <t>Red</t>
        </is>
      </c>
      <c r="L24" s="15" t="inlineStr">
        <is>
          <t>Chuck</t>
        </is>
      </c>
      <c r="M24" s="15" t="inlineStr">
        <is>
          <t>Bomb</t>
        </is>
      </c>
      <c r="N24" s="15" t="inlineStr">
        <is>
          <t>Slingshot</t>
        </is>
      </c>
      <c r="O24" s="15" t="inlineStr">
        <is>
          <t>Shuffle</t>
        </is>
      </c>
      <c r="P24" s="15" t="inlineStr">
        <is>
          <t>Comet</t>
        </is>
      </c>
      <c r="Q24" s="15" t="inlineStr">
        <is>
          <t>Unlimited Lives</t>
        </is>
      </c>
      <c r="R24" s="15" t="inlineStr">
        <is>
          <t>Unlimited Red</t>
        </is>
      </c>
      <c r="S24" s="15" t="inlineStr">
        <is>
          <t>Unlimited Chuck</t>
        </is>
      </c>
      <c r="T24" s="15" t="inlineStr">
        <is>
          <t>Unlimited Bomb</t>
        </is>
      </c>
      <c r="U24" s="15" t="inlineStr">
        <is>
          <t>COOP Token</t>
        </is>
      </c>
      <c r="V24" s="15" t="inlineStr">
        <is>
          <t>Avatar</t>
        </is>
      </c>
      <c r="W24" s="15" t="inlineStr">
        <is>
          <t>1-star Dly</t>
        </is>
      </c>
      <c r="X24" s="15" t="inlineStr">
        <is>
          <t>2-star Dly</t>
        </is>
      </c>
      <c r="Y24" s="15" t="inlineStr">
        <is>
          <t>3-star Dly</t>
        </is>
      </c>
      <c r="Z24" s="15" t="inlineStr">
        <is>
          <t>4-star Dly</t>
        </is>
      </c>
      <c r="AA24" s="15" t="inlineStr">
        <is>
          <t>5-star Dly</t>
        </is>
      </c>
      <c r="AB24" s="15" t="inlineStr">
        <is>
          <t>6-star Dly</t>
        </is>
      </c>
      <c r="AT24" s="21" t="n">
        <v>20</v>
      </c>
      <c r="AU24" s="27">
        <f>SUM($F$25:$F44)</f>
        <v/>
      </c>
    </row>
    <row r="25" ht="15.75" customHeight="1">
      <c r="A25" s="16" t="n">
        <v>1</v>
      </c>
      <c r="B25" s="16" t="n">
        <v>1</v>
      </c>
      <c r="C25" s="26" t="inlineStr">
        <is>
          <t>Red's Headgear</t>
        </is>
      </c>
      <c r="D25" s="26" t="inlineStr">
        <is>
          <t>Headgear 1</t>
        </is>
      </c>
      <c r="E25" s="16" t="n">
        <v>0</v>
      </c>
      <c r="F25" s="16" t="n">
        <v>80</v>
      </c>
      <c r="G25" s="17">
        <f>A25</f>
        <v/>
      </c>
      <c r="H25" s="30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T25" s="21" t="n">
        <v>21</v>
      </c>
      <c r="AU25" s="27">
        <f>SUM($F$25:$F45)</f>
        <v/>
      </c>
    </row>
    <row r="26" ht="15.75" customHeight="1">
      <c r="A26" s="16" t="n">
        <v>2</v>
      </c>
      <c r="B26" s="16" t="n">
        <v>1</v>
      </c>
      <c r="C26" s="26" t="inlineStr">
        <is>
          <t>Red's Headgear</t>
        </is>
      </c>
      <c r="D26" s="26" t="inlineStr">
        <is>
          <t>Headgear 2</t>
        </is>
      </c>
      <c r="E26" s="16" t="n">
        <v>0</v>
      </c>
      <c r="F26" s="16" t="n">
        <v>130</v>
      </c>
      <c r="G26" s="17">
        <f>A26</f>
        <v/>
      </c>
      <c r="H26" s="30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T26" s="21" t="n">
        <v>22</v>
      </c>
      <c r="AU26" s="27">
        <f>SUM($F$25:$F46)</f>
        <v/>
      </c>
    </row>
    <row r="27" ht="15.75" customHeight="1">
      <c r="A27" s="16" t="n">
        <v>3</v>
      </c>
      <c r="B27" s="16" t="n">
        <v>1</v>
      </c>
      <c r="C27" s="26" t="inlineStr">
        <is>
          <t>Red's Headgear</t>
        </is>
      </c>
      <c r="D27" s="26" t="inlineStr">
        <is>
          <t>Headgear 3</t>
        </is>
      </c>
      <c r="E27" s="16" t="n">
        <v>0</v>
      </c>
      <c r="F27" s="16" t="n">
        <v>155</v>
      </c>
      <c r="G27" s="17">
        <f>A27</f>
        <v/>
      </c>
      <c r="H27" s="30" t="n">
        <v>0</v>
      </c>
      <c r="I27" s="16" t="n">
        <v>0</v>
      </c>
      <c r="J27" s="16" t="n">
        <v>0</v>
      </c>
      <c r="K27" s="16" t="n">
        <v>0</v>
      </c>
      <c r="L27" s="16" t="n">
        <v>1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T27" s="21" t="n">
        <v>23</v>
      </c>
      <c r="AU27" s="27">
        <f>SUM($F$25:$F47)</f>
        <v/>
      </c>
    </row>
    <row r="28" ht="15.75" customHeight="1">
      <c r="A28" s="16" t="n">
        <v>4</v>
      </c>
      <c r="B28" s="16" t="n">
        <v>2</v>
      </c>
      <c r="C28" s="26" t="inlineStr">
        <is>
          <t>Red's Body</t>
        </is>
      </c>
      <c r="D28" s="26" t="inlineStr">
        <is>
          <t>Body 1</t>
        </is>
      </c>
      <c r="E28" s="16" t="n">
        <v>2</v>
      </c>
      <c r="F28" s="16" t="n">
        <v>80</v>
      </c>
      <c r="G28" s="17">
        <f>A28</f>
        <v/>
      </c>
      <c r="H28" s="30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>0</v>
      </c>
      <c r="AB28" s="16" t="n">
        <v>0</v>
      </c>
      <c r="AT28" s="21" t="n">
        <v>24</v>
      </c>
      <c r="AU28" s="27">
        <f>SUM($F$25:$F48)</f>
        <v/>
      </c>
    </row>
    <row r="29" ht="15.75" customHeight="1">
      <c r="A29" s="16" t="n">
        <v>5</v>
      </c>
      <c r="B29" s="16" t="n">
        <v>2</v>
      </c>
      <c r="C29" s="26" t="inlineStr">
        <is>
          <t>Red's Body</t>
        </is>
      </c>
      <c r="D29" s="26" t="inlineStr">
        <is>
          <t>Body 2</t>
        </is>
      </c>
      <c r="E29" s="16" t="n">
        <v>2</v>
      </c>
      <c r="F29" s="16" t="n">
        <v>130</v>
      </c>
      <c r="G29" s="17">
        <f>A29</f>
        <v/>
      </c>
      <c r="H29" s="30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T29" s="21" t="n">
        <v>25</v>
      </c>
      <c r="AU29" s="27">
        <f>SUM($F$25:$F49)</f>
        <v/>
      </c>
    </row>
    <row r="30" ht="15.75" customHeight="1">
      <c r="A30" s="16" t="n">
        <v>6</v>
      </c>
      <c r="B30" s="16" t="n">
        <v>2</v>
      </c>
      <c r="C30" s="26" t="inlineStr">
        <is>
          <t>Red's Body</t>
        </is>
      </c>
      <c r="D30" s="26" t="inlineStr">
        <is>
          <t>Body 3</t>
        </is>
      </c>
      <c r="E30" s="16" t="n">
        <v>2</v>
      </c>
      <c r="F30" s="16" t="n">
        <v>160</v>
      </c>
      <c r="G30" s="17">
        <f>A30</f>
        <v/>
      </c>
      <c r="H30" s="30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30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T30" s="21" t="n">
        <v>26</v>
      </c>
      <c r="AU30" s="27">
        <f>SUM($F$25:$F50)</f>
        <v/>
      </c>
    </row>
    <row r="31" ht="15.75" customHeight="1">
      <c r="A31" s="16" t="n">
        <v>7</v>
      </c>
      <c r="B31" s="16" t="n">
        <v>3</v>
      </c>
      <c r="C31" s="26" t="inlineStr">
        <is>
          <t>Chuck's Headgear</t>
        </is>
      </c>
      <c r="D31" s="26" t="inlineStr">
        <is>
          <t>Headgear 1</t>
        </is>
      </c>
      <c r="E31" s="16" t="n">
        <v>4</v>
      </c>
      <c r="F31" s="16" t="n">
        <v>80</v>
      </c>
      <c r="G31" s="17">
        <f>A31</f>
        <v/>
      </c>
      <c r="H31" s="30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T31" s="21" t="n">
        <v>27</v>
      </c>
      <c r="AU31" s="27">
        <f>SUM($F$25:$F51)</f>
        <v/>
      </c>
    </row>
    <row r="32" ht="15.75" customHeight="1">
      <c r="A32" s="16" t="n">
        <v>8</v>
      </c>
      <c r="B32" s="16" t="n">
        <v>3</v>
      </c>
      <c r="C32" s="26" t="inlineStr">
        <is>
          <t>Chuck's Headgear</t>
        </is>
      </c>
      <c r="D32" s="26" t="inlineStr">
        <is>
          <t>Headgear 2</t>
        </is>
      </c>
      <c r="E32" s="16" t="n">
        <v>4</v>
      </c>
      <c r="F32" s="16" t="n">
        <v>135</v>
      </c>
      <c r="G32" s="17">
        <f>A32</f>
        <v/>
      </c>
      <c r="H32" s="30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T32" s="21" t="n">
        <v>28</v>
      </c>
      <c r="AU32" s="27">
        <f>SUM($F$25:$F52)</f>
        <v/>
      </c>
    </row>
    <row r="33" ht="15.75" customHeight="1">
      <c r="A33" s="16" t="n">
        <v>9</v>
      </c>
      <c r="B33" s="16" t="n">
        <v>3</v>
      </c>
      <c r="C33" s="26" t="inlineStr">
        <is>
          <t>Chuck's Headgear</t>
        </is>
      </c>
      <c r="D33" s="26" t="inlineStr">
        <is>
          <t>Headgear 3</t>
        </is>
      </c>
      <c r="E33" s="16" t="n">
        <v>4</v>
      </c>
      <c r="F33" s="16" t="n">
        <v>165</v>
      </c>
      <c r="G33" s="17">
        <f>A33</f>
        <v/>
      </c>
      <c r="H33" s="30" t="n">
        <v>25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0</v>
      </c>
      <c r="AT33" s="21" t="n">
        <v>29</v>
      </c>
      <c r="AU33" s="27">
        <f>SUM($F$25:$F53)</f>
        <v/>
      </c>
    </row>
    <row r="34" ht="15.75" customHeight="1">
      <c r="A34" s="16" t="n">
        <v>10</v>
      </c>
      <c r="B34" s="16" t="n">
        <v>4</v>
      </c>
      <c r="C34" s="26" t="inlineStr">
        <is>
          <t>Bomb's Headgear</t>
        </is>
      </c>
      <c r="D34" s="26" t="inlineStr">
        <is>
          <t>Headgear 1</t>
        </is>
      </c>
      <c r="E34" s="16" t="n">
        <v>6</v>
      </c>
      <c r="F34" s="16" t="n">
        <v>165</v>
      </c>
      <c r="G34" s="17">
        <f>A34</f>
        <v/>
      </c>
      <c r="H34" s="30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T34" s="21" t="n">
        <v>30</v>
      </c>
      <c r="AU34" s="27">
        <f>SUM($F$25:$F54)</f>
        <v/>
      </c>
    </row>
    <row r="35" ht="15.75" customHeight="1">
      <c r="A35" s="16" t="n">
        <v>11</v>
      </c>
      <c r="B35" s="16" t="n">
        <v>4</v>
      </c>
      <c r="C35" s="26" t="inlineStr">
        <is>
          <t>Bomb's Headgear</t>
        </is>
      </c>
      <c r="D35" s="26" t="inlineStr">
        <is>
          <t>Headgear 2</t>
        </is>
      </c>
      <c r="E35" s="16" t="n">
        <v>6</v>
      </c>
      <c r="F35" s="16" t="n">
        <v>230</v>
      </c>
      <c r="G35" s="17">
        <f>A35</f>
        <v/>
      </c>
      <c r="H35" s="30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</row>
    <row r="36" ht="15.75" customHeight="1">
      <c r="A36" s="16" t="n">
        <v>12</v>
      </c>
      <c r="B36" s="16" t="n">
        <v>4</v>
      </c>
      <c r="C36" s="26" t="inlineStr">
        <is>
          <t>Bomb's Headgear</t>
        </is>
      </c>
      <c r="D36" s="26" t="inlineStr">
        <is>
          <t>Headgear 3</t>
        </is>
      </c>
      <c r="E36" s="16" t="n">
        <v>6</v>
      </c>
      <c r="F36" s="16" t="n">
        <v>265</v>
      </c>
      <c r="G36" s="17">
        <f>A36</f>
        <v/>
      </c>
      <c r="H36" s="30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30</v>
      </c>
      <c r="R36" s="16" t="n">
        <v>15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T36" s="24" t="inlineStr">
        <is>
          <t>simplified: items bought sequentially in item-id order (choice ignored)</t>
        </is>
      </c>
    </row>
    <row r="37" ht="15.75" customHeight="1">
      <c r="A37" s="16" t="n">
        <v>13</v>
      </c>
      <c r="B37" s="16" t="n">
        <v>5</v>
      </c>
      <c r="C37" s="26" t="inlineStr">
        <is>
          <t>Chuck's Body</t>
        </is>
      </c>
      <c r="D37" s="26" t="inlineStr">
        <is>
          <t>Body 1</t>
        </is>
      </c>
      <c r="E37" s="16" t="n">
        <v>8</v>
      </c>
      <c r="F37" s="16" t="n">
        <v>180</v>
      </c>
      <c r="G37" s="17">
        <f>A37</f>
        <v/>
      </c>
      <c r="H37" s="30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</row>
    <row r="38" ht="15.75" customHeight="1">
      <c r="A38" s="16" t="n">
        <v>14</v>
      </c>
      <c r="B38" s="16" t="n">
        <v>5</v>
      </c>
      <c r="C38" s="26" t="inlineStr">
        <is>
          <t>Chuck's Body</t>
        </is>
      </c>
      <c r="D38" s="26" t="inlineStr">
        <is>
          <t>Body 2</t>
        </is>
      </c>
      <c r="E38" s="16" t="n">
        <v>8</v>
      </c>
      <c r="F38" s="16" t="n">
        <v>250</v>
      </c>
      <c r="G38" s="17">
        <f>A38</f>
        <v/>
      </c>
      <c r="H38" s="30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</row>
    <row r="39" ht="15.75" customHeight="1">
      <c r="A39" s="16" t="n">
        <v>15</v>
      </c>
      <c r="B39" s="16" t="n">
        <v>5</v>
      </c>
      <c r="C39" s="26" t="inlineStr">
        <is>
          <t>Chuck's Body</t>
        </is>
      </c>
      <c r="D39" s="26" t="inlineStr">
        <is>
          <t>Body 3</t>
        </is>
      </c>
      <c r="E39" s="16" t="n">
        <v>8</v>
      </c>
      <c r="F39" s="16" t="n">
        <v>300</v>
      </c>
      <c r="G39" s="17">
        <f>A39</f>
        <v/>
      </c>
      <c r="H39" s="30" t="n">
        <v>0</v>
      </c>
      <c r="I39" s="16" t="n">
        <v>0</v>
      </c>
      <c r="J39" s="16" t="n">
        <v>0</v>
      </c>
      <c r="K39" s="16" t="n">
        <v>1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</row>
    <row r="40" ht="15.75" customHeight="1">
      <c r="A40" s="16" t="n">
        <v>16</v>
      </c>
      <c r="B40" s="16" t="n">
        <v>6</v>
      </c>
      <c r="C40" s="26" t="inlineStr">
        <is>
          <t>Bomb's Body</t>
        </is>
      </c>
      <c r="D40" s="26" t="inlineStr">
        <is>
          <t>Body 1</t>
        </is>
      </c>
      <c r="E40" s="16" t="n">
        <v>10</v>
      </c>
      <c r="F40" s="16" t="n">
        <v>180</v>
      </c>
      <c r="G40" s="17">
        <f>A40</f>
        <v/>
      </c>
      <c r="H40" s="30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</row>
    <row r="41" ht="15.75" customHeight="1">
      <c r="A41" s="16" t="n">
        <v>17</v>
      </c>
      <c r="B41" s="16" t="n">
        <v>6</v>
      </c>
      <c r="C41" s="26" t="inlineStr">
        <is>
          <t>Bomb's Body</t>
        </is>
      </c>
      <c r="D41" s="26" t="inlineStr">
        <is>
          <t>Body 2</t>
        </is>
      </c>
      <c r="E41" s="16" t="n">
        <v>10</v>
      </c>
      <c r="F41" s="16" t="n">
        <v>260</v>
      </c>
      <c r="G41" s="17">
        <f>A41</f>
        <v/>
      </c>
      <c r="H41" s="30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</row>
    <row r="42" ht="15.75" customHeight="1">
      <c r="A42" s="16" t="n">
        <v>18</v>
      </c>
      <c r="B42" s="16" t="n">
        <v>6</v>
      </c>
      <c r="C42" s="26" t="inlineStr">
        <is>
          <t>Bomb's Body</t>
        </is>
      </c>
      <c r="D42" s="26" t="inlineStr">
        <is>
          <t>Body 3</t>
        </is>
      </c>
      <c r="E42" s="16" t="n">
        <v>10</v>
      </c>
      <c r="F42" s="16" t="n">
        <v>300</v>
      </c>
      <c r="G42" s="17">
        <f>A42</f>
        <v/>
      </c>
      <c r="H42" s="30" t="n">
        <v>0</v>
      </c>
      <c r="I42" s="16" t="n">
        <v>0</v>
      </c>
      <c r="J42" s="16" t="n">
        <v>0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30</v>
      </c>
      <c r="R42" s="16" t="n">
        <v>0</v>
      </c>
      <c r="S42" s="16" t="n">
        <v>15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</row>
    <row r="43" ht="15.75" customHeight="1">
      <c r="A43" s="16" t="n">
        <v>19</v>
      </c>
      <c r="B43" s="16" t="n">
        <v>7</v>
      </c>
      <c r="C43" s="26" t="inlineStr">
        <is>
          <t>Chuck's accessories</t>
        </is>
      </c>
      <c r="D43" s="26" t="inlineStr">
        <is>
          <t>Accessory 1</t>
        </is>
      </c>
      <c r="E43" s="16" t="n">
        <v>13</v>
      </c>
      <c r="F43" s="16" t="n">
        <v>300</v>
      </c>
      <c r="G43" s="17">
        <f>A43</f>
        <v/>
      </c>
      <c r="H43" s="30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</row>
    <row r="44" ht="15.75" customHeight="1">
      <c r="A44" s="16" t="n">
        <v>20</v>
      </c>
      <c r="B44" s="16" t="n">
        <v>7</v>
      </c>
      <c r="C44" s="26" t="inlineStr">
        <is>
          <t>Chuck's accessories</t>
        </is>
      </c>
      <c r="D44" s="26" t="inlineStr">
        <is>
          <t>Accessory 2</t>
        </is>
      </c>
      <c r="E44" s="16" t="n">
        <v>13</v>
      </c>
      <c r="F44" s="16" t="n">
        <v>375</v>
      </c>
      <c r="G44" s="17">
        <f>A44</f>
        <v/>
      </c>
      <c r="H44" s="30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</row>
    <row r="45" ht="15.75" customHeight="1">
      <c r="A45" s="16" t="n">
        <v>21</v>
      </c>
      <c r="B45" s="16" t="n">
        <v>7</v>
      </c>
      <c r="C45" s="26" t="inlineStr">
        <is>
          <t>Chuck's accessories</t>
        </is>
      </c>
      <c r="D45" s="26" t="inlineStr">
        <is>
          <t>Accessory 3</t>
        </is>
      </c>
      <c r="E45" s="16" t="n">
        <v>13</v>
      </c>
      <c r="F45" s="16" t="n">
        <v>410</v>
      </c>
      <c r="G45" s="17">
        <f>A45</f>
        <v/>
      </c>
      <c r="H45" s="30" t="n">
        <v>25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</row>
    <row r="46" ht="15.75" customHeight="1">
      <c r="A46" s="16" t="n">
        <v>22</v>
      </c>
      <c r="B46" s="16" t="n">
        <v>8</v>
      </c>
      <c r="C46" s="26" t="inlineStr">
        <is>
          <t>Bomb's accessories</t>
        </is>
      </c>
      <c r="D46" s="26" t="inlineStr">
        <is>
          <t>Accessory 1</t>
        </is>
      </c>
      <c r="E46" s="16" t="n">
        <v>16</v>
      </c>
      <c r="F46" s="16" t="n">
        <v>385</v>
      </c>
      <c r="G46" s="17">
        <f>A46</f>
        <v/>
      </c>
      <c r="H46" s="30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>0</v>
      </c>
      <c r="AB46" s="16" t="n">
        <v>0</v>
      </c>
    </row>
    <row r="47" ht="15.75" customHeight="1">
      <c r="A47" s="16" t="n">
        <v>23</v>
      </c>
      <c r="B47" s="16" t="n">
        <v>8</v>
      </c>
      <c r="C47" s="26" t="inlineStr">
        <is>
          <t>Bomb's accessories</t>
        </is>
      </c>
      <c r="D47" s="26" t="inlineStr">
        <is>
          <t>Accessory 2</t>
        </is>
      </c>
      <c r="E47" s="16" t="n">
        <v>16</v>
      </c>
      <c r="F47" s="16" t="n">
        <v>475</v>
      </c>
      <c r="G47" s="17">
        <f>A47</f>
        <v/>
      </c>
      <c r="H47" s="30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</row>
    <row r="48" ht="15.75" customHeight="1">
      <c r="A48" s="16" t="n">
        <v>24</v>
      </c>
      <c r="B48" s="16" t="n">
        <v>8</v>
      </c>
      <c r="C48" s="26" t="inlineStr">
        <is>
          <t>Bomb's accessories</t>
        </is>
      </c>
      <c r="D48" s="26" t="inlineStr">
        <is>
          <t>Accessory 3</t>
        </is>
      </c>
      <c r="E48" s="16" t="n">
        <v>16</v>
      </c>
      <c r="F48" s="16" t="n">
        <v>500</v>
      </c>
      <c r="G48" s="17">
        <f>A48</f>
        <v/>
      </c>
      <c r="H48" s="30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60</v>
      </c>
      <c r="R48" s="16" t="n">
        <v>0</v>
      </c>
      <c r="S48" s="16" t="n">
        <v>0</v>
      </c>
      <c r="T48" s="16" t="n">
        <v>15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>0</v>
      </c>
      <c r="AB48" s="16" t="n">
        <v>0</v>
      </c>
    </row>
    <row r="49" ht="15.75" customHeight="1">
      <c r="A49" s="16" t="n">
        <v>25</v>
      </c>
      <c r="B49" s="16" t="n">
        <v>9</v>
      </c>
      <c r="C49" s="26" t="inlineStr">
        <is>
          <t>Red's accessories</t>
        </is>
      </c>
      <c r="D49" s="26" t="inlineStr">
        <is>
          <t>Accessory 1</t>
        </is>
      </c>
      <c r="E49" s="16" t="n">
        <v>20</v>
      </c>
      <c r="F49" s="16" t="n">
        <v>400</v>
      </c>
      <c r="G49" s="17">
        <f>A49</f>
        <v/>
      </c>
      <c r="H49" s="30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</row>
    <row r="50" ht="15.75" customHeight="1">
      <c r="A50" s="16" t="n">
        <v>26</v>
      </c>
      <c r="B50" s="16" t="n">
        <v>9</v>
      </c>
      <c r="C50" s="26" t="inlineStr">
        <is>
          <t>Red's accessories</t>
        </is>
      </c>
      <c r="D50" s="26" t="inlineStr">
        <is>
          <t>Accessory 2</t>
        </is>
      </c>
      <c r="E50" s="16" t="n">
        <v>20</v>
      </c>
      <c r="F50" s="16" t="n">
        <v>480</v>
      </c>
      <c r="G50" s="17">
        <f>A50</f>
        <v/>
      </c>
      <c r="H50" s="30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>0</v>
      </c>
      <c r="AB50" s="16" t="n">
        <v>0</v>
      </c>
    </row>
    <row r="51" ht="15.75" customHeight="1">
      <c r="A51" s="16" t="n">
        <v>27</v>
      </c>
      <c r="B51" s="16" t="n">
        <v>9</v>
      </c>
      <c r="C51" s="26" t="inlineStr">
        <is>
          <t>Red's accessories</t>
        </is>
      </c>
      <c r="D51" s="26" t="inlineStr">
        <is>
          <t>Accessory 3</t>
        </is>
      </c>
      <c r="E51" s="16" t="n">
        <v>20</v>
      </c>
      <c r="F51" s="16" t="n">
        <v>520</v>
      </c>
      <c r="G51" s="17">
        <f>A51</f>
        <v/>
      </c>
      <c r="H51" s="30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1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</row>
    <row r="52" ht="15.75" customHeight="1">
      <c r="A52" s="16" t="n">
        <v>28</v>
      </c>
      <c r="B52" s="16" t="n">
        <v>10</v>
      </c>
      <c r="C52" s="26" t="inlineStr">
        <is>
          <t>Photo finishes</t>
        </is>
      </c>
      <c r="D52" s="26" t="inlineStr">
        <is>
          <t>Photo filter</t>
        </is>
      </c>
      <c r="E52" s="16" t="n">
        <v>25</v>
      </c>
      <c r="F52" s="16" t="n">
        <v>600</v>
      </c>
      <c r="G52" s="17">
        <f>A52</f>
        <v/>
      </c>
      <c r="H52" s="30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>0</v>
      </c>
      <c r="AB52" s="16" t="n">
        <v>0</v>
      </c>
    </row>
    <row r="53" ht="15.75" customHeight="1">
      <c r="A53" s="16" t="n">
        <v>29</v>
      </c>
      <c r="B53" s="16" t="n">
        <v>10</v>
      </c>
      <c r="C53" s="26" t="inlineStr">
        <is>
          <t>Photo finishes</t>
        </is>
      </c>
      <c r="D53" s="26" t="inlineStr">
        <is>
          <t>Particles</t>
        </is>
      </c>
      <c r="E53" s="16" t="n">
        <v>25</v>
      </c>
      <c r="F53" s="16" t="n">
        <v>600</v>
      </c>
      <c r="G53" s="17">
        <f>A53</f>
        <v/>
      </c>
      <c r="H53" s="30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</row>
    <row r="54" ht="15.75" customHeight="1">
      <c r="A54" s="16" t="n">
        <v>30</v>
      </c>
      <c r="B54" s="16" t="n">
        <v>10</v>
      </c>
      <c r="C54" s="26" t="inlineStr">
        <is>
          <t>Photo finishes</t>
        </is>
      </c>
      <c r="D54" s="26" t="inlineStr">
        <is>
          <t>Add Text</t>
        </is>
      </c>
      <c r="E54" s="16" t="n">
        <v>25</v>
      </c>
      <c r="F54" s="16" t="n">
        <v>600</v>
      </c>
      <c r="G54" s="17">
        <f>A54</f>
        <v/>
      </c>
      <c r="H54" s="30" t="n">
        <v>50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1</v>
      </c>
      <c r="N54" s="16" t="n">
        <v>0</v>
      </c>
      <c r="O54" s="16" t="n">
        <v>0</v>
      </c>
      <c r="P54" s="16" t="n">
        <v>0</v>
      </c>
      <c r="Q54" s="16" t="n">
        <v>120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>0</v>
      </c>
      <c r="AB54" s="16" t="n">
        <v>0</v>
      </c>
    </row>
    <row r="55" ht="15.75" customHeight="1"/>
    <row r="56" ht="19.5" customHeight="1">
      <c r="A56" s="3" t="inlineStr">
        <is>
          <t>Endless Rewards - Lane 1 (post-completion shop)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90" customHeight="1">
      <c r="A57" s="12" t="inlineStr">
        <is>
          <t>Reward #</t>
        </is>
      </c>
      <c r="B57" s="12" t="inlineStr">
        <is>
          <t>Price
(tokens)</t>
        </is>
      </c>
      <c r="H57" s="29" t="inlineStr">
        <is>
          <t>Coins</t>
        </is>
      </c>
      <c r="I57" s="15" t="inlineStr">
        <is>
          <t>SPT</t>
        </is>
      </c>
      <c r="J57" s="15" t="inlineStr">
        <is>
          <t>SPT x2</t>
        </is>
      </c>
      <c r="K57" s="15" t="inlineStr">
        <is>
          <t>Red</t>
        </is>
      </c>
      <c r="L57" s="15" t="inlineStr">
        <is>
          <t>Chuck</t>
        </is>
      </c>
      <c r="M57" s="15" t="inlineStr">
        <is>
          <t>Bomb</t>
        </is>
      </c>
      <c r="N57" s="15" t="inlineStr">
        <is>
          <t>Slingshot</t>
        </is>
      </c>
      <c r="O57" s="15" t="inlineStr">
        <is>
          <t>Shuffle</t>
        </is>
      </c>
      <c r="P57" s="15" t="inlineStr">
        <is>
          <t>Comet</t>
        </is>
      </c>
      <c r="Q57" s="15" t="inlineStr">
        <is>
          <t>Unlimited Lives</t>
        </is>
      </c>
      <c r="R57" s="15" t="inlineStr">
        <is>
          <t>Unlimited Red</t>
        </is>
      </c>
      <c r="S57" s="15" t="inlineStr">
        <is>
          <t>Unlimited Chuck</t>
        </is>
      </c>
      <c r="T57" s="15" t="inlineStr">
        <is>
          <t>Unlimited Bomb</t>
        </is>
      </c>
      <c r="U57" s="15" t="inlineStr">
        <is>
          <t>COOP Token</t>
        </is>
      </c>
      <c r="V57" s="15" t="inlineStr">
        <is>
          <t>Avatar</t>
        </is>
      </c>
      <c r="W57" s="15" t="inlineStr">
        <is>
          <t>1-star Dly</t>
        </is>
      </c>
      <c r="X57" s="15" t="inlineStr">
        <is>
          <t>2-star Dly</t>
        </is>
      </c>
      <c r="Y57" s="15" t="inlineStr">
        <is>
          <t>3-star Dly</t>
        </is>
      </c>
      <c r="Z57" s="15" t="inlineStr">
        <is>
          <t>4-star Dly</t>
        </is>
      </c>
      <c r="AA57" s="15" t="inlineStr">
        <is>
          <t>5-star Dly</t>
        </is>
      </c>
      <c r="AB57" s="15" t="inlineStr">
        <is>
          <t>6-star Dly</t>
        </is>
      </c>
    </row>
    <row r="58" ht="15.75" customHeight="1">
      <c r="A58" s="16" t="n">
        <v>1</v>
      </c>
      <c r="B58" s="16" t="n">
        <v>840</v>
      </c>
      <c r="H58" s="30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1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 t="n">
        <v>0</v>
      </c>
      <c r="AB58" s="16" t="n">
        <v>0</v>
      </c>
    </row>
    <row r="59" ht="15.75" customHeight="1">
      <c r="A59" s="16" t="n">
        <v>2</v>
      </c>
      <c r="B59" s="16" t="n">
        <v>840</v>
      </c>
      <c r="C59" s="31" t="n"/>
      <c r="D59" s="31" t="n"/>
      <c r="E59" s="31" t="n"/>
      <c r="F59" s="31" t="n"/>
      <c r="G59" s="31" t="n"/>
      <c r="H59" s="30" t="n">
        <v>0</v>
      </c>
      <c r="I59" s="16" t="n">
        <v>0</v>
      </c>
      <c r="J59" s="16" t="n">
        <v>0</v>
      </c>
      <c r="K59" s="16" t="n">
        <v>2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</row>
    <row r="60" ht="15.75" customHeight="1">
      <c r="A60" s="16" t="n">
        <v>3</v>
      </c>
      <c r="B60" s="16" t="n">
        <v>830</v>
      </c>
      <c r="H60" s="30" t="n">
        <v>0</v>
      </c>
      <c r="I60" s="16" t="n">
        <v>0</v>
      </c>
      <c r="J60" s="16" t="n">
        <v>0</v>
      </c>
      <c r="K60" s="16" t="n">
        <v>0</v>
      </c>
      <c r="L60" s="16" t="n">
        <v>1</v>
      </c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0</v>
      </c>
      <c r="AA60" s="16" t="n">
        <v>0</v>
      </c>
      <c r="AB60" s="16" t="n">
        <v>0</v>
      </c>
    </row>
    <row r="61" ht="15.75" customHeight="1">
      <c r="A61" s="16" t="n">
        <v>4</v>
      </c>
      <c r="B61" s="16" t="n">
        <v>800</v>
      </c>
      <c r="C61" s="31" t="n"/>
      <c r="D61" s="31" t="n"/>
      <c r="E61" s="31" t="n"/>
      <c r="F61" s="31" t="n"/>
      <c r="G61" s="31" t="n"/>
      <c r="H61" s="30" t="n">
        <v>25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>
        <v>0</v>
      </c>
      <c r="AA61" s="16" t="n">
        <v>0</v>
      </c>
      <c r="AB61" s="16" t="n">
        <v>0</v>
      </c>
    </row>
    <row r="62" ht="15.75" customHeight="1">
      <c r="A62" s="16" t="n">
        <v>5</v>
      </c>
      <c r="B62" s="16" t="n">
        <v>810</v>
      </c>
      <c r="H62" s="30" t="n">
        <v>0</v>
      </c>
      <c r="I62" s="16" t="n">
        <v>0</v>
      </c>
      <c r="J62" s="16" t="n">
        <v>0</v>
      </c>
      <c r="K62" s="16" t="n">
        <v>1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>
        <v>0</v>
      </c>
      <c r="AA62" s="16" t="n">
        <v>0</v>
      </c>
      <c r="AB62" s="16" t="n">
        <v>0</v>
      </c>
    </row>
    <row r="63" ht="15.75" customHeight="1">
      <c r="A63" s="16" t="n">
        <v>6</v>
      </c>
      <c r="B63" s="16" t="n">
        <v>880</v>
      </c>
      <c r="C63" s="31" t="n"/>
      <c r="D63" s="31" t="n"/>
      <c r="E63" s="31" t="n"/>
      <c r="F63" s="31" t="n"/>
      <c r="G63" s="31" t="n"/>
      <c r="H63" s="30" t="n">
        <v>0</v>
      </c>
      <c r="I63" s="16" t="n">
        <v>0</v>
      </c>
      <c r="J63" s="16" t="n">
        <v>0</v>
      </c>
      <c r="K63" s="16" t="n">
        <v>0</v>
      </c>
      <c r="L63" s="16" t="n">
        <v>2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</row>
    <row r="64" ht="15.75" customHeight="1">
      <c r="A64" s="16" t="n">
        <v>7</v>
      </c>
      <c r="B64" s="16" t="n">
        <v>840</v>
      </c>
      <c r="H64" s="30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16" t="n">
        <v>1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>0</v>
      </c>
      <c r="AB64" s="16" t="n">
        <v>0</v>
      </c>
    </row>
    <row r="65" ht="15.75" customHeight="1">
      <c r="A65" s="16" t="n">
        <v>8</v>
      </c>
      <c r="B65" s="16" t="n">
        <v>880</v>
      </c>
      <c r="C65" s="31" t="n"/>
      <c r="D65" s="31" t="n"/>
      <c r="E65" s="31" t="n"/>
      <c r="F65" s="31" t="n"/>
      <c r="G65" s="31" t="n"/>
      <c r="H65" s="30" t="n">
        <v>0</v>
      </c>
      <c r="I65" s="16" t="n">
        <v>0</v>
      </c>
      <c r="J65" s="16" t="n">
        <v>0</v>
      </c>
      <c r="K65" s="16" t="n">
        <v>3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</row>
    <row r="66" ht="15.75" customHeight="1">
      <c r="A66" s="16" t="n">
        <v>9</v>
      </c>
      <c r="B66" s="16" t="n">
        <v>840</v>
      </c>
      <c r="H66" s="30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1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>0</v>
      </c>
      <c r="AB66" s="16" t="n">
        <v>0</v>
      </c>
    </row>
    <row r="67" ht="15.75" customHeight="1">
      <c r="A67" s="16" t="n">
        <v>10</v>
      </c>
      <c r="B67" s="16" t="n">
        <v>930</v>
      </c>
      <c r="C67" s="31" t="n"/>
      <c r="D67" s="31" t="n"/>
      <c r="E67" s="31" t="n"/>
      <c r="F67" s="31" t="n"/>
      <c r="G67" s="31" t="n"/>
      <c r="H67" s="30" t="n">
        <v>0</v>
      </c>
      <c r="I67" s="16" t="n">
        <v>0</v>
      </c>
      <c r="J67" s="16" t="n">
        <v>0</v>
      </c>
      <c r="K67" s="16" t="n">
        <v>0</v>
      </c>
      <c r="L67" s="16" t="n">
        <v>3</v>
      </c>
      <c r="M67" s="16" t="n">
        <v>0</v>
      </c>
      <c r="N67" s="16" t="n">
        <v>0</v>
      </c>
      <c r="O67" s="16" t="n">
        <v>0</v>
      </c>
      <c r="P67" s="16" t="n">
        <v>0</v>
      </c>
      <c r="Q67" s="16" t="n">
        <v>0</v>
      </c>
      <c r="R67" s="16" t="n">
        <v>0</v>
      </c>
      <c r="S67" s="16" t="n">
        <v>0</v>
      </c>
      <c r="T67" s="16" t="n">
        <v>0</v>
      </c>
      <c r="U67" s="16" t="n">
        <v>0</v>
      </c>
      <c r="V67" s="16" t="n">
        <v>0</v>
      </c>
      <c r="W67" s="16" t="n">
        <v>0</v>
      </c>
      <c r="X67" s="16" t="n">
        <v>0</v>
      </c>
      <c r="Y67" s="16" t="n">
        <v>0</v>
      </c>
      <c r="Z67" s="16" t="n">
        <v>0</v>
      </c>
      <c r="AA67" s="16" t="n">
        <v>0</v>
      </c>
      <c r="AB67" s="16" t="n">
        <v>0</v>
      </c>
    </row>
    <row r="68" ht="15.75" customHeight="1">
      <c r="A68" s="16" t="n">
        <v>11</v>
      </c>
      <c r="B68" s="16" t="n">
        <v>980</v>
      </c>
      <c r="H68" s="30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16" t="n">
        <v>3</v>
      </c>
      <c r="N68" s="16" t="n">
        <v>0</v>
      </c>
      <c r="O68" s="16" t="n">
        <v>0</v>
      </c>
      <c r="P68" s="16" t="n">
        <v>0</v>
      </c>
      <c r="Q68" s="16" t="n">
        <v>0</v>
      </c>
      <c r="R68" s="16" t="n">
        <v>0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0</v>
      </c>
      <c r="AA68" s="16" t="n">
        <v>0</v>
      </c>
      <c r="AB68" s="16" t="n">
        <v>0</v>
      </c>
    </row>
    <row r="69" ht="15.75" customHeight="1">
      <c r="A69" s="16" t="n">
        <v>12</v>
      </c>
      <c r="B69" s="16" t="n">
        <v>840</v>
      </c>
      <c r="C69" s="31" t="n"/>
      <c r="D69" s="31" t="n"/>
      <c r="E69" s="31" t="n"/>
      <c r="F69" s="31" t="n"/>
      <c r="G69" s="31" t="n"/>
      <c r="H69" s="30" t="n">
        <v>0</v>
      </c>
      <c r="I69" s="16" t="n">
        <v>0</v>
      </c>
      <c r="J69" s="16" t="n">
        <v>0</v>
      </c>
      <c r="K69" s="16" t="n">
        <v>2</v>
      </c>
      <c r="L69" s="16" t="n">
        <v>0</v>
      </c>
      <c r="M69" s="16" t="n">
        <v>0</v>
      </c>
      <c r="N69" s="16" t="n">
        <v>0</v>
      </c>
      <c r="O69" s="16" t="n">
        <v>0</v>
      </c>
      <c r="P69" s="16" t="n">
        <v>0</v>
      </c>
      <c r="Q69" s="16" t="n">
        <v>0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0</v>
      </c>
      <c r="W69" s="16" t="n">
        <v>0</v>
      </c>
      <c r="X69" s="16" t="n">
        <v>0</v>
      </c>
      <c r="Y69" s="16" t="n">
        <v>0</v>
      </c>
      <c r="Z69" s="16" t="n">
        <v>0</v>
      </c>
      <c r="AA69" s="16" t="n">
        <v>0</v>
      </c>
      <c r="AB69" s="16" t="n">
        <v>0</v>
      </c>
    </row>
    <row r="70" ht="15.75" customHeight="1">
      <c r="A70" s="16" t="n">
        <v>13</v>
      </c>
      <c r="B70" s="16" t="n">
        <v>1110</v>
      </c>
      <c r="H70" s="30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5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</v>
      </c>
      <c r="X70" s="16" t="n">
        <v>0</v>
      </c>
      <c r="Y70" s="16" t="n">
        <v>0</v>
      </c>
      <c r="Z70" s="16" t="n">
        <v>0</v>
      </c>
      <c r="AA70" s="16" t="n">
        <v>0</v>
      </c>
      <c r="AB70" s="16" t="n">
        <v>0</v>
      </c>
    </row>
    <row r="71" ht="15.75" customHeight="1">
      <c r="A71" s="16" t="n">
        <v>14</v>
      </c>
      <c r="B71" s="16" t="n">
        <v>830</v>
      </c>
      <c r="C71" s="31" t="n"/>
      <c r="D71" s="31" t="n"/>
      <c r="E71" s="31" t="n"/>
      <c r="F71" s="31" t="n"/>
      <c r="G71" s="31" t="n"/>
      <c r="H71" s="30" t="n">
        <v>50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</row>
    <row r="72" ht="15.75" customHeight="1">
      <c r="A72" s="16" t="n">
        <v>15</v>
      </c>
      <c r="B72" s="16" t="n">
        <v>880</v>
      </c>
      <c r="H72" s="30" t="n">
        <v>0</v>
      </c>
      <c r="I72" s="16" t="n">
        <v>0</v>
      </c>
      <c r="J72" s="16" t="n">
        <v>0</v>
      </c>
      <c r="K72" s="16" t="n">
        <v>0</v>
      </c>
      <c r="L72" s="16" t="n">
        <v>2</v>
      </c>
      <c r="M72" s="16" t="n">
        <v>0</v>
      </c>
      <c r="N72" s="16" t="n">
        <v>0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0</v>
      </c>
      <c r="AA72" s="16" t="n">
        <v>0</v>
      </c>
      <c r="AB72" s="16" t="n">
        <v>0</v>
      </c>
    </row>
    <row r="73" ht="15.75" customHeight="1"/>
    <row r="74" ht="19.5" customHeight="1">
      <c r="A74" s="3" t="inlineStr">
        <is>
          <t>Endless Rewards - Lane 2 (post-completion shop)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90" customHeight="1">
      <c r="A75" s="12" t="inlineStr">
        <is>
          <t>Reward #</t>
        </is>
      </c>
      <c r="B75" s="12" t="inlineStr">
        <is>
          <t>Price
(tokens)</t>
        </is>
      </c>
      <c r="H75" s="29" t="inlineStr">
        <is>
          <t>Coins</t>
        </is>
      </c>
      <c r="I75" s="15" t="inlineStr">
        <is>
          <t>SPT</t>
        </is>
      </c>
      <c r="J75" s="15" t="inlineStr">
        <is>
          <t>SPT x2</t>
        </is>
      </c>
      <c r="K75" s="15" t="inlineStr">
        <is>
          <t>Red</t>
        </is>
      </c>
      <c r="L75" s="15" t="inlineStr">
        <is>
          <t>Chuck</t>
        </is>
      </c>
      <c r="M75" s="15" t="inlineStr">
        <is>
          <t>Bomb</t>
        </is>
      </c>
      <c r="N75" s="15" t="inlineStr">
        <is>
          <t>Slingshot</t>
        </is>
      </c>
      <c r="O75" s="15" t="inlineStr">
        <is>
          <t>Shuffle</t>
        </is>
      </c>
      <c r="P75" s="15" t="inlineStr">
        <is>
          <t>Comet</t>
        </is>
      </c>
      <c r="Q75" s="15" t="inlineStr">
        <is>
          <t>Unlimited Lives</t>
        </is>
      </c>
      <c r="R75" s="15" t="inlineStr">
        <is>
          <t>Unlimited Red</t>
        </is>
      </c>
      <c r="S75" s="15" t="inlineStr">
        <is>
          <t>Unlimited Chuck</t>
        </is>
      </c>
      <c r="T75" s="15" t="inlineStr">
        <is>
          <t>Unlimited Bomb</t>
        </is>
      </c>
      <c r="U75" s="15" t="inlineStr">
        <is>
          <t>COOP Token</t>
        </is>
      </c>
      <c r="V75" s="15" t="inlineStr">
        <is>
          <t>Avatar</t>
        </is>
      </c>
      <c r="W75" s="15" t="inlineStr">
        <is>
          <t>1-star Dly</t>
        </is>
      </c>
      <c r="X75" s="15" t="inlineStr">
        <is>
          <t>2-star Dly</t>
        </is>
      </c>
      <c r="Y75" s="15" t="inlineStr">
        <is>
          <t>3-star Dly</t>
        </is>
      </c>
      <c r="Z75" s="15" t="inlineStr">
        <is>
          <t>4-star Dly</t>
        </is>
      </c>
      <c r="AA75" s="15" t="inlineStr">
        <is>
          <t>5-star Dly</t>
        </is>
      </c>
      <c r="AB75" s="15" t="inlineStr">
        <is>
          <t>6-star Dly</t>
        </is>
      </c>
    </row>
    <row r="76" ht="15.75" customHeight="1">
      <c r="A76" s="16" t="n">
        <v>1</v>
      </c>
      <c r="B76" s="16" t="n">
        <v>830</v>
      </c>
      <c r="H76" s="30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1</v>
      </c>
      <c r="O76" s="16" t="n">
        <v>0</v>
      </c>
      <c r="P76" s="16" t="n">
        <v>0</v>
      </c>
      <c r="Q76" s="16" t="n">
        <v>0</v>
      </c>
      <c r="R76" s="16" t="n">
        <v>0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0</v>
      </c>
      <c r="X76" s="16" t="n">
        <v>0</v>
      </c>
      <c r="Y76" s="16" t="n">
        <v>0</v>
      </c>
      <c r="Z76" s="16" t="n">
        <v>0</v>
      </c>
      <c r="AA76" s="16" t="n">
        <v>0</v>
      </c>
      <c r="AB76" s="16" t="n">
        <v>0</v>
      </c>
    </row>
    <row r="77" ht="15.75" customHeight="1">
      <c r="A77" s="16" t="n">
        <v>2</v>
      </c>
      <c r="B77" s="16" t="n">
        <v>800</v>
      </c>
      <c r="C77" s="31" t="n"/>
      <c r="D77" s="31" t="n"/>
      <c r="E77" s="31" t="n"/>
      <c r="F77" s="31" t="n"/>
      <c r="G77" s="31" t="n"/>
      <c r="H77" s="30" t="n">
        <v>25</v>
      </c>
      <c r="I77" s="16" t="n">
        <v>0</v>
      </c>
      <c r="J77" s="16" t="n"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0</v>
      </c>
      <c r="S77" s="16" t="n">
        <v>0</v>
      </c>
      <c r="T77" s="16" t="n">
        <v>0</v>
      </c>
      <c r="U77" s="16" t="n">
        <v>0</v>
      </c>
      <c r="V77" s="16" t="n">
        <v>0</v>
      </c>
      <c r="W77" s="16" t="n">
        <v>0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</row>
    <row r="78" ht="15.75" customHeight="1">
      <c r="A78" s="16" t="n">
        <v>3</v>
      </c>
      <c r="B78" s="16" t="n">
        <v>910</v>
      </c>
      <c r="H78" s="30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2</v>
      </c>
      <c r="P78" s="16" t="n">
        <v>0</v>
      </c>
      <c r="Q78" s="16" t="n">
        <v>0</v>
      </c>
      <c r="R78" s="16" t="n">
        <v>0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0</v>
      </c>
      <c r="X78" s="16" t="n">
        <v>0</v>
      </c>
      <c r="Y78" s="16" t="n">
        <v>0</v>
      </c>
      <c r="Z78" s="16" t="n">
        <v>0</v>
      </c>
      <c r="AA78" s="16" t="n">
        <v>0</v>
      </c>
      <c r="AB78" s="16" t="n">
        <v>0</v>
      </c>
    </row>
    <row r="79" ht="15.75" customHeight="1">
      <c r="A79" s="16" t="n">
        <v>4</v>
      </c>
      <c r="B79" s="16" t="n">
        <v>940</v>
      </c>
      <c r="C79" s="31" t="n"/>
      <c r="D79" s="31" t="n"/>
      <c r="E79" s="31" t="n"/>
      <c r="F79" s="31" t="n"/>
      <c r="G79" s="31" t="n"/>
      <c r="H79" s="30" t="n">
        <v>0</v>
      </c>
      <c r="I79" s="16" t="n">
        <v>0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1</v>
      </c>
      <c r="Q79" s="16" t="n">
        <v>0</v>
      </c>
      <c r="R79" s="16" t="n">
        <v>0</v>
      </c>
      <c r="S79" s="16" t="n">
        <v>0</v>
      </c>
      <c r="T79" s="16" t="n">
        <v>0</v>
      </c>
      <c r="U79" s="16" t="n">
        <v>0</v>
      </c>
      <c r="V79" s="16" t="n">
        <v>0</v>
      </c>
      <c r="W79" s="16" t="n">
        <v>0</v>
      </c>
      <c r="X79" s="16" t="n">
        <v>0</v>
      </c>
      <c r="Y79" s="16" t="n">
        <v>0</v>
      </c>
      <c r="Z79" s="16" t="n">
        <v>0</v>
      </c>
      <c r="AA79" s="16" t="n">
        <v>0</v>
      </c>
      <c r="AB79" s="16" t="n">
        <v>0</v>
      </c>
    </row>
    <row r="80" ht="15.75" customHeight="1">
      <c r="A80" s="16" t="n">
        <v>5</v>
      </c>
      <c r="B80" s="16" t="n">
        <v>910</v>
      </c>
      <c r="H80" s="30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2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0</v>
      </c>
      <c r="X80" s="16" t="n">
        <v>0</v>
      </c>
      <c r="Y80" s="16" t="n">
        <v>0</v>
      </c>
      <c r="Z80" s="16" t="n">
        <v>0</v>
      </c>
      <c r="AA80" s="16" t="n">
        <v>0</v>
      </c>
      <c r="AB80" s="16" t="n">
        <v>0</v>
      </c>
    </row>
    <row r="81" ht="15.75" customHeight="1">
      <c r="A81" s="16" t="n">
        <v>6</v>
      </c>
      <c r="B81" s="16" t="n">
        <v>880</v>
      </c>
      <c r="C81" s="31" t="n"/>
      <c r="D81" s="31" t="n"/>
      <c r="E81" s="31" t="n"/>
      <c r="F81" s="31" t="n"/>
      <c r="G81" s="31" t="n"/>
      <c r="H81" s="30" t="n">
        <v>0</v>
      </c>
      <c r="I81" s="16" t="n">
        <v>0</v>
      </c>
      <c r="J81" s="16" t="n">
        <v>0</v>
      </c>
      <c r="K81" s="16" t="n">
        <v>0</v>
      </c>
      <c r="L81" s="16" t="n">
        <v>0</v>
      </c>
      <c r="M81" s="16" t="n">
        <v>0</v>
      </c>
      <c r="N81" s="16" t="n">
        <v>2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16" t="n">
        <v>0</v>
      </c>
      <c r="V81" s="16" t="n">
        <v>0</v>
      </c>
      <c r="W81" s="16" t="n">
        <v>0</v>
      </c>
      <c r="X81" s="16" t="n">
        <v>0</v>
      </c>
      <c r="Y81" s="16" t="n">
        <v>0</v>
      </c>
      <c r="Z81" s="16" t="n">
        <v>0</v>
      </c>
      <c r="AA81" s="16" t="n">
        <v>0</v>
      </c>
      <c r="AB81" s="16" t="n">
        <v>0</v>
      </c>
    </row>
    <row r="82" ht="15.75" customHeight="1">
      <c r="A82" s="16" t="n">
        <v>7</v>
      </c>
      <c r="B82" s="16" t="n">
        <v>940</v>
      </c>
      <c r="H82" s="30" t="n">
        <v>0</v>
      </c>
      <c r="I82" s="16" t="n">
        <v>0</v>
      </c>
      <c r="J82" s="16" t="n">
        <v>0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1</v>
      </c>
      <c r="Q82" s="16" t="n">
        <v>0</v>
      </c>
      <c r="R82" s="16" t="n">
        <v>0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>0</v>
      </c>
      <c r="AB82" s="16" t="n">
        <v>0</v>
      </c>
    </row>
    <row r="83" ht="15.75" customHeight="1">
      <c r="A83" s="16" t="n">
        <v>8</v>
      </c>
      <c r="B83" s="16" t="n">
        <v>980</v>
      </c>
      <c r="C83" s="31" t="n"/>
      <c r="D83" s="31" t="n"/>
      <c r="E83" s="31" t="n"/>
      <c r="F83" s="31" t="n"/>
      <c r="G83" s="31" t="n"/>
      <c r="H83" s="30" t="n">
        <v>0</v>
      </c>
      <c r="I83" s="16" t="n">
        <v>0</v>
      </c>
      <c r="J83" s="16" t="n">
        <v>0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3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16" t="n">
        <v>0</v>
      </c>
      <c r="V83" s="16" t="n">
        <v>0</v>
      </c>
      <c r="W83" s="16" t="n">
        <v>0</v>
      </c>
      <c r="X83" s="16" t="n">
        <v>0</v>
      </c>
      <c r="Y83" s="16" t="n">
        <v>0</v>
      </c>
      <c r="Z83" s="16" t="n">
        <v>0</v>
      </c>
      <c r="AA83" s="16" t="n">
        <v>0</v>
      </c>
      <c r="AB83" s="16" t="n">
        <v>0</v>
      </c>
    </row>
    <row r="84" ht="15.75" customHeight="1">
      <c r="A84" s="16" t="n">
        <v>9</v>
      </c>
      <c r="B84" s="16" t="n">
        <v>830</v>
      </c>
      <c r="H84" s="30" t="n">
        <v>0</v>
      </c>
      <c r="I84" s="16" t="n">
        <v>0</v>
      </c>
      <c r="J84" s="16" t="n">
        <v>0</v>
      </c>
      <c r="K84" s="16" t="n">
        <v>0</v>
      </c>
      <c r="L84" s="16" t="n">
        <v>0</v>
      </c>
      <c r="M84" s="16" t="n">
        <v>0</v>
      </c>
      <c r="N84" s="16" t="n">
        <v>1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0</v>
      </c>
      <c r="X84" s="16" t="n">
        <v>0</v>
      </c>
      <c r="Y84" s="16" t="n">
        <v>0</v>
      </c>
      <c r="Z84" s="16" t="n">
        <v>0</v>
      </c>
      <c r="AA84" s="16" t="n">
        <v>0</v>
      </c>
      <c r="AB84" s="16" t="n">
        <v>0</v>
      </c>
    </row>
    <row r="85" ht="15.75" customHeight="1">
      <c r="A85" s="16" t="n">
        <v>10</v>
      </c>
      <c r="B85" s="16" t="n">
        <v>810</v>
      </c>
      <c r="C85" s="31" t="n"/>
      <c r="D85" s="31" t="n"/>
      <c r="E85" s="31" t="n"/>
      <c r="F85" s="31" t="n"/>
      <c r="G85" s="31" t="n"/>
      <c r="H85" s="30" t="n">
        <v>35</v>
      </c>
      <c r="I85" s="16" t="n">
        <v>0</v>
      </c>
      <c r="J85" s="16" t="n">
        <v>0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16" t="n">
        <v>0</v>
      </c>
      <c r="V85" s="16" t="n">
        <v>0</v>
      </c>
      <c r="W85" s="16" t="n">
        <v>0</v>
      </c>
      <c r="X85" s="16" t="n">
        <v>0</v>
      </c>
      <c r="Y85" s="16" t="n">
        <v>0</v>
      </c>
      <c r="Z85" s="16" t="n">
        <v>0</v>
      </c>
      <c r="AA85" s="16" t="n">
        <v>0</v>
      </c>
      <c r="AB85" s="16" t="n">
        <v>0</v>
      </c>
    </row>
    <row r="86" ht="15.75" customHeight="1">
      <c r="A86" s="16" t="n">
        <v>11</v>
      </c>
      <c r="B86" s="16" t="n">
        <v>1110</v>
      </c>
      <c r="H86" s="30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2</v>
      </c>
      <c r="Q86" s="16" t="n">
        <v>0</v>
      </c>
      <c r="R86" s="16" t="n">
        <v>0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0</v>
      </c>
      <c r="X86" s="16" t="n">
        <v>0</v>
      </c>
      <c r="Y86" s="16" t="n">
        <v>0</v>
      </c>
      <c r="Z86" s="16" t="n">
        <v>0</v>
      </c>
      <c r="AA86" s="16" t="n">
        <v>0</v>
      </c>
      <c r="AB86" s="16" t="n">
        <v>0</v>
      </c>
    </row>
    <row r="87" ht="15.75" customHeight="1">
      <c r="A87" s="16" t="n">
        <v>12</v>
      </c>
      <c r="B87" s="16" t="n">
        <v>880</v>
      </c>
      <c r="C87" s="31" t="n"/>
      <c r="D87" s="31" t="n"/>
      <c r="E87" s="31" t="n"/>
      <c r="F87" s="31" t="n"/>
      <c r="G87" s="31" t="n"/>
      <c r="H87" s="30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16" t="n">
        <v>0</v>
      </c>
      <c r="N87" s="16" t="n">
        <v>2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0</v>
      </c>
      <c r="V87" s="16" t="n">
        <v>0</v>
      </c>
      <c r="W87" s="16" t="n">
        <v>0</v>
      </c>
      <c r="X87" s="16" t="n">
        <v>0</v>
      </c>
      <c r="Y87" s="16" t="n">
        <v>0</v>
      </c>
      <c r="Z87" s="16" t="n">
        <v>0</v>
      </c>
      <c r="AA87" s="16" t="n">
        <v>0</v>
      </c>
      <c r="AB87" s="16" t="n">
        <v>0</v>
      </c>
    </row>
    <row r="88" ht="15.75" customHeight="1">
      <c r="A88" s="16" t="n">
        <v>13</v>
      </c>
      <c r="B88" s="16" t="n">
        <v>910</v>
      </c>
      <c r="H88" s="30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2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</row>
    <row r="89" ht="15.75" customHeight="1">
      <c r="A89" s="16" t="n">
        <v>14</v>
      </c>
      <c r="B89" s="16" t="n">
        <v>1110</v>
      </c>
      <c r="C89" s="31" t="n"/>
      <c r="D89" s="31" t="n"/>
      <c r="E89" s="31" t="n"/>
      <c r="F89" s="31" t="n"/>
      <c r="G89" s="31" t="n"/>
      <c r="H89" s="30" t="n">
        <v>0</v>
      </c>
      <c r="I89" s="16" t="n">
        <v>0</v>
      </c>
      <c r="J89" s="16" t="n">
        <v>0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2</v>
      </c>
      <c r="Q89" s="16" t="n">
        <v>0</v>
      </c>
      <c r="R89" s="16" t="n">
        <v>0</v>
      </c>
      <c r="S89" s="16" t="n">
        <v>0</v>
      </c>
      <c r="T89" s="16" t="n">
        <v>0</v>
      </c>
      <c r="U89" s="16" t="n">
        <v>0</v>
      </c>
      <c r="V89" s="16" t="n">
        <v>0</v>
      </c>
      <c r="W89" s="16" t="n">
        <v>0</v>
      </c>
      <c r="X89" s="16" t="n">
        <v>0</v>
      </c>
      <c r="Y89" s="16" t="n">
        <v>0</v>
      </c>
      <c r="Z89" s="16" t="n">
        <v>0</v>
      </c>
      <c r="AA89" s="16" t="n">
        <v>0</v>
      </c>
      <c r="AB89" s="16" t="n">
        <v>0</v>
      </c>
    </row>
    <row r="90" ht="15.75" customHeight="1">
      <c r="A90" s="16" t="n">
        <v>15</v>
      </c>
      <c r="B90" s="16" t="n">
        <v>840</v>
      </c>
      <c r="H90" s="30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1</v>
      </c>
      <c r="P90" s="16" t="n">
        <v>0</v>
      </c>
      <c r="Q90" s="16" t="n">
        <v>0</v>
      </c>
      <c r="R90" s="16" t="n">
        <v>0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0</v>
      </c>
      <c r="X90" s="16" t="n">
        <v>0</v>
      </c>
      <c r="Y90" s="16" t="n">
        <v>0</v>
      </c>
      <c r="Z90" s="16" t="n">
        <v>0</v>
      </c>
      <c r="AA90" s="16" t="n">
        <v>0</v>
      </c>
      <c r="AB90" s="16" t="n">
        <v>0</v>
      </c>
    </row>
    <row r="91" ht="15.75" customHeight="1"/>
    <row r="92" ht="19.5" customHeight="1">
      <c r="A92" s="3" t="inlineStr">
        <is>
          <t>Endless Rewards - Lane 3 (post-completion shop)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90" customHeight="1">
      <c r="A93" s="12" t="inlineStr">
        <is>
          <t>Reward #</t>
        </is>
      </c>
      <c r="B93" s="12" t="inlineStr">
        <is>
          <t>Price
(tokens)</t>
        </is>
      </c>
      <c r="H93" s="29" t="inlineStr">
        <is>
          <t>Coins</t>
        </is>
      </c>
      <c r="I93" s="15" t="inlineStr">
        <is>
          <t>SPT</t>
        </is>
      </c>
      <c r="J93" s="15" t="inlineStr">
        <is>
          <t>SPT x2</t>
        </is>
      </c>
      <c r="K93" s="15" t="inlineStr">
        <is>
          <t>Red</t>
        </is>
      </c>
      <c r="L93" s="15" t="inlineStr">
        <is>
          <t>Chuck</t>
        </is>
      </c>
      <c r="M93" s="15" t="inlineStr">
        <is>
          <t>Bomb</t>
        </is>
      </c>
      <c r="N93" s="15" t="inlineStr">
        <is>
          <t>Slingshot</t>
        </is>
      </c>
      <c r="O93" s="15" t="inlineStr">
        <is>
          <t>Shuffle</t>
        </is>
      </c>
      <c r="P93" s="15" t="inlineStr">
        <is>
          <t>Comet</t>
        </is>
      </c>
      <c r="Q93" s="15" t="inlineStr">
        <is>
          <t>Unlimited Lives</t>
        </is>
      </c>
      <c r="R93" s="15" t="inlineStr">
        <is>
          <t>Unlimited Red</t>
        </is>
      </c>
      <c r="S93" s="15" t="inlineStr">
        <is>
          <t>Unlimited Chuck</t>
        </is>
      </c>
      <c r="T93" s="15" t="inlineStr">
        <is>
          <t>Unlimited Bomb</t>
        </is>
      </c>
      <c r="U93" s="15" t="inlineStr">
        <is>
          <t>COOP Token</t>
        </is>
      </c>
      <c r="V93" s="15" t="inlineStr">
        <is>
          <t>Avatar</t>
        </is>
      </c>
      <c r="W93" s="15" t="inlineStr">
        <is>
          <t>1-star Dly</t>
        </is>
      </c>
      <c r="X93" s="15" t="inlineStr">
        <is>
          <t>2-star Dly</t>
        </is>
      </c>
      <c r="Y93" s="15" t="inlineStr">
        <is>
          <t>3-star Dly</t>
        </is>
      </c>
      <c r="Z93" s="15" t="inlineStr">
        <is>
          <t>4-star Dly</t>
        </is>
      </c>
      <c r="AA93" s="15" t="inlineStr">
        <is>
          <t>5-star Dly</t>
        </is>
      </c>
      <c r="AB93" s="15" t="inlineStr">
        <is>
          <t>6-star Dly</t>
        </is>
      </c>
    </row>
    <row r="94" ht="15.75" customHeight="1">
      <c r="A94" s="16" t="n">
        <v>1</v>
      </c>
      <c r="B94" s="16" t="n">
        <v>940</v>
      </c>
      <c r="H94" s="30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6" t="n">
        <v>0</v>
      </c>
      <c r="R94" s="16" t="n">
        <v>0</v>
      </c>
      <c r="S94" s="16" t="n">
        <v>10</v>
      </c>
      <c r="T94" s="16" t="n">
        <v>0</v>
      </c>
      <c r="U94" s="16" t="n">
        <v>0</v>
      </c>
      <c r="V94" s="16" t="n">
        <v>0</v>
      </c>
      <c r="W94" s="16" t="n">
        <v>0</v>
      </c>
      <c r="X94" s="16" t="n">
        <v>0</v>
      </c>
      <c r="Y94" s="16" t="n">
        <v>0</v>
      </c>
      <c r="Z94" s="16" t="n">
        <v>0</v>
      </c>
      <c r="AA94" s="16" t="n">
        <v>0</v>
      </c>
      <c r="AB94" s="16" t="n">
        <v>0</v>
      </c>
    </row>
    <row r="95" ht="15.75" customHeight="1">
      <c r="A95" s="16" t="n">
        <v>2</v>
      </c>
      <c r="B95" s="16" t="n">
        <v>950</v>
      </c>
      <c r="C95" s="31" t="n"/>
      <c r="D95" s="31" t="n"/>
      <c r="E95" s="31" t="n"/>
      <c r="F95" s="31" t="n"/>
      <c r="G95" s="31" t="n"/>
      <c r="H95" s="30" t="n">
        <v>0</v>
      </c>
      <c r="I95" s="16" t="n">
        <v>0</v>
      </c>
      <c r="J95" s="16" t="n">
        <v>0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6" t="n">
        <v>0</v>
      </c>
      <c r="Q95" s="16" t="n">
        <v>0</v>
      </c>
      <c r="R95" s="16" t="n">
        <v>0</v>
      </c>
      <c r="S95" s="16" t="n">
        <v>0</v>
      </c>
      <c r="T95" s="16" t="n">
        <v>10</v>
      </c>
      <c r="U95" s="16" t="n">
        <v>0</v>
      </c>
      <c r="V95" s="16" t="n">
        <v>0</v>
      </c>
      <c r="W95" s="16" t="n">
        <v>0</v>
      </c>
      <c r="X95" s="16" t="n">
        <v>0</v>
      </c>
      <c r="Y95" s="16" t="n">
        <v>0</v>
      </c>
      <c r="Z95" s="16" t="n">
        <v>0</v>
      </c>
      <c r="AA95" s="16" t="n">
        <v>0</v>
      </c>
      <c r="AB95" s="16" t="n">
        <v>0</v>
      </c>
    </row>
    <row r="96" ht="15.75" customHeight="1">
      <c r="A96" s="16" t="n">
        <v>3</v>
      </c>
      <c r="B96" s="16" t="n">
        <v>840</v>
      </c>
      <c r="H96" s="30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6" t="n">
        <v>15</v>
      </c>
      <c r="R96" s="16" t="n">
        <v>0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0</v>
      </c>
      <c r="X96" s="16" t="n">
        <v>0</v>
      </c>
      <c r="Y96" s="16" t="n">
        <v>0</v>
      </c>
      <c r="Z96" s="16" t="n">
        <v>0</v>
      </c>
      <c r="AA96" s="16" t="n">
        <v>0</v>
      </c>
      <c r="AB96" s="16" t="n">
        <v>0</v>
      </c>
    </row>
    <row r="97" ht="15.75" customHeight="1">
      <c r="A97" s="16" t="n">
        <v>4</v>
      </c>
      <c r="B97" s="16" t="n">
        <v>940</v>
      </c>
      <c r="C97" s="31" t="n"/>
      <c r="D97" s="31" t="n"/>
      <c r="E97" s="31" t="n"/>
      <c r="F97" s="31" t="n"/>
      <c r="G97" s="31" t="n"/>
      <c r="H97" s="30" t="n">
        <v>0</v>
      </c>
      <c r="I97" s="16" t="n">
        <v>0</v>
      </c>
      <c r="J97" s="16" t="n">
        <v>0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6" t="n">
        <v>0</v>
      </c>
      <c r="Q97" s="16" t="n">
        <v>0</v>
      </c>
      <c r="R97" s="16" t="n">
        <v>10</v>
      </c>
      <c r="S97" s="16" t="n">
        <v>0</v>
      </c>
      <c r="T97" s="16" t="n">
        <v>0</v>
      </c>
      <c r="U97" s="16" t="n">
        <v>0</v>
      </c>
      <c r="V97" s="16" t="n">
        <v>0</v>
      </c>
      <c r="W97" s="16" t="n">
        <v>0</v>
      </c>
      <c r="X97" s="16" t="n">
        <v>0</v>
      </c>
      <c r="Y97" s="16" t="n">
        <v>0</v>
      </c>
      <c r="Z97" s="16" t="n">
        <v>0</v>
      </c>
      <c r="AA97" s="16" t="n">
        <v>0</v>
      </c>
      <c r="AB97" s="16" t="n">
        <v>0</v>
      </c>
    </row>
    <row r="98" ht="15.75" customHeight="1">
      <c r="A98" s="16" t="n">
        <v>5</v>
      </c>
      <c r="B98" s="16" t="n">
        <v>900</v>
      </c>
      <c r="H98" s="30" t="n">
        <v>0</v>
      </c>
      <c r="I98" s="16" t="n">
        <v>0</v>
      </c>
      <c r="J98" s="16" t="n">
        <v>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6" t="n">
        <v>30</v>
      </c>
      <c r="R98" s="16" t="n">
        <v>0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0</v>
      </c>
      <c r="X98" s="16" t="n">
        <v>0</v>
      </c>
      <c r="Y98" s="16" t="n">
        <v>0</v>
      </c>
      <c r="Z98" s="16" t="n">
        <v>0</v>
      </c>
      <c r="AA98" s="16" t="n">
        <v>0</v>
      </c>
      <c r="AB98" s="16" t="n">
        <v>0</v>
      </c>
    </row>
    <row r="99" ht="15.75" customHeight="1">
      <c r="A99" s="16" t="n">
        <v>6</v>
      </c>
      <c r="B99" s="16" t="n">
        <v>810</v>
      </c>
      <c r="C99" s="31" t="n"/>
      <c r="D99" s="31" t="n"/>
      <c r="E99" s="31" t="n"/>
      <c r="F99" s="31" t="n"/>
      <c r="G99" s="31" t="n"/>
      <c r="H99" s="30" t="n">
        <v>30</v>
      </c>
      <c r="I99" s="16" t="n">
        <v>0</v>
      </c>
      <c r="J99" s="16" t="n">
        <v>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0</v>
      </c>
      <c r="Q99" s="16" t="n">
        <v>0</v>
      </c>
      <c r="R99" s="16" t="n">
        <v>0</v>
      </c>
      <c r="S99" s="16" t="n">
        <v>0</v>
      </c>
      <c r="T99" s="16" t="n">
        <v>0</v>
      </c>
      <c r="U99" s="16" t="n">
        <v>0</v>
      </c>
      <c r="V99" s="16" t="n">
        <v>0</v>
      </c>
      <c r="W99" s="16" t="n">
        <v>0</v>
      </c>
      <c r="X99" s="16" t="n">
        <v>0</v>
      </c>
      <c r="Y99" s="16" t="n">
        <v>0</v>
      </c>
      <c r="Z99" s="16" t="n">
        <v>0</v>
      </c>
      <c r="AA99" s="16" t="n">
        <v>0</v>
      </c>
      <c r="AB99" s="16" t="n">
        <v>0</v>
      </c>
    </row>
    <row r="100" ht="15.75" customHeight="1">
      <c r="A100" s="16" t="n">
        <v>7</v>
      </c>
      <c r="B100" s="16" t="n">
        <v>990</v>
      </c>
      <c r="H100" s="30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6" t="n">
        <v>0</v>
      </c>
      <c r="R100" s="16" t="n">
        <v>0</v>
      </c>
      <c r="S100" s="16" t="n">
        <v>15</v>
      </c>
      <c r="T100" s="16" t="n">
        <v>0</v>
      </c>
      <c r="U100" s="16" t="n">
        <v>0</v>
      </c>
      <c r="V100" s="16" t="n">
        <v>0</v>
      </c>
      <c r="W100" s="16" t="n">
        <v>0</v>
      </c>
      <c r="X100" s="16" t="n">
        <v>0</v>
      </c>
      <c r="Y100" s="16" t="n">
        <v>0</v>
      </c>
      <c r="Z100" s="16" t="n">
        <v>0</v>
      </c>
      <c r="AA100" s="16" t="n">
        <v>0</v>
      </c>
      <c r="AB100" s="16" t="n">
        <v>0</v>
      </c>
    </row>
    <row r="101" ht="15.75" customHeight="1">
      <c r="A101" s="16" t="n">
        <v>8</v>
      </c>
      <c r="B101" s="16" t="n">
        <v>980</v>
      </c>
      <c r="C101" s="31" t="n"/>
      <c r="D101" s="31" t="n"/>
      <c r="E101" s="31" t="n"/>
      <c r="F101" s="31" t="n"/>
      <c r="G101" s="31" t="n"/>
      <c r="H101" s="30" t="n">
        <v>0</v>
      </c>
      <c r="I101" s="16" t="n">
        <v>0</v>
      </c>
      <c r="J101" s="16" t="n">
        <v>0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15</v>
      </c>
      <c r="S101" s="16" t="n">
        <v>0</v>
      </c>
      <c r="T101" s="16" t="n">
        <v>0</v>
      </c>
      <c r="U101" s="16" t="n">
        <v>0</v>
      </c>
      <c r="V101" s="16" t="n">
        <v>0</v>
      </c>
      <c r="W101" s="16" t="n">
        <v>0</v>
      </c>
      <c r="X101" s="16" t="n">
        <v>0</v>
      </c>
      <c r="Y101" s="16" t="n">
        <v>0</v>
      </c>
      <c r="Z101" s="16" t="n">
        <v>0</v>
      </c>
      <c r="AA101" s="16" t="n">
        <v>0</v>
      </c>
      <c r="AB101" s="16" t="n">
        <v>0</v>
      </c>
    </row>
    <row r="102" ht="15.75" customHeight="1">
      <c r="A102" s="16" t="n">
        <v>9</v>
      </c>
      <c r="B102" s="16" t="n">
        <v>900</v>
      </c>
      <c r="H102" s="30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6" t="n">
        <v>30</v>
      </c>
      <c r="R102" s="16" t="n">
        <v>0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0</v>
      </c>
      <c r="X102" s="16" t="n">
        <v>0</v>
      </c>
      <c r="Y102" s="16" t="n">
        <v>0</v>
      </c>
      <c r="Z102" s="16" t="n">
        <v>0</v>
      </c>
      <c r="AA102" s="16" t="n">
        <v>0</v>
      </c>
      <c r="AB102" s="16" t="n">
        <v>0</v>
      </c>
    </row>
    <row r="103" ht="15.75" customHeight="1">
      <c r="A103" s="16" t="n">
        <v>10</v>
      </c>
      <c r="B103" s="16" t="n">
        <v>950</v>
      </c>
      <c r="C103" s="31" t="n"/>
      <c r="D103" s="31" t="n"/>
      <c r="E103" s="31" t="n"/>
      <c r="F103" s="31" t="n"/>
      <c r="G103" s="31" t="n"/>
      <c r="H103" s="30" t="n">
        <v>0</v>
      </c>
      <c r="I103" s="16" t="n">
        <v>0</v>
      </c>
      <c r="J103" s="16" t="n">
        <v>0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</v>
      </c>
      <c r="Q103" s="16" t="n">
        <v>0</v>
      </c>
      <c r="R103" s="16" t="n">
        <v>0</v>
      </c>
      <c r="S103" s="16" t="n">
        <v>0</v>
      </c>
      <c r="T103" s="16" t="n">
        <v>10</v>
      </c>
      <c r="U103" s="16" t="n">
        <v>0</v>
      </c>
      <c r="V103" s="16" t="n">
        <v>0</v>
      </c>
      <c r="W103" s="16" t="n">
        <v>0</v>
      </c>
      <c r="X103" s="16" t="n">
        <v>0</v>
      </c>
      <c r="Y103" s="16" t="n">
        <v>0</v>
      </c>
      <c r="Z103" s="16" t="n">
        <v>0</v>
      </c>
      <c r="AA103" s="16" t="n">
        <v>0</v>
      </c>
      <c r="AB103" s="16" t="n">
        <v>0</v>
      </c>
    </row>
    <row r="104" ht="15.75" customHeight="1">
      <c r="A104" s="16" t="n">
        <v>11</v>
      </c>
      <c r="B104" s="16" t="n">
        <v>990</v>
      </c>
      <c r="H104" s="30" t="n">
        <v>0</v>
      </c>
      <c r="I104" s="16" t="n">
        <v>0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6" t="n">
        <v>0</v>
      </c>
      <c r="R104" s="16" t="n">
        <v>0</v>
      </c>
      <c r="S104" s="16" t="n">
        <v>15</v>
      </c>
      <c r="T104" s="16" t="n">
        <v>0</v>
      </c>
      <c r="U104" s="16" t="n">
        <v>0</v>
      </c>
      <c r="V104" s="16" t="n">
        <v>0</v>
      </c>
      <c r="W104" s="16" t="n">
        <v>0</v>
      </c>
      <c r="X104" s="16" t="n">
        <v>0</v>
      </c>
      <c r="Y104" s="16" t="n">
        <v>0</v>
      </c>
      <c r="Z104" s="16" t="n">
        <v>0</v>
      </c>
      <c r="AA104" s="16" t="n">
        <v>0</v>
      </c>
      <c r="AB104" s="16" t="n">
        <v>0</v>
      </c>
    </row>
    <row r="105" ht="15.75" customHeight="1">
      <c r="A105" s="16" t="n">
        <v>12</v>
      </c>
      <c r="B105" s="16" t="n">
        <v>830</v>
      </c>
      <c r="C105" s="31" t="n"/>
      <c r="D105" s="31" t="n"/>
      <c r="E105" s="31" t="n"/>
      <c r="F105" s="31" t="n"/>
      <c r="G105" s="31" t="n"/>
      <c r="H105" s="30" t="n">
        <v>50</v>
      </c>
      <c r="I105" s="16" t="n">
        <v>0</v>
      </c>
      <c r="J105" s="16" t="n">
        <v>0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0</v>
      </c>
      <c r="Q105" s="16" t="n">
        <v>0</v>
      </c>
      <c r="R105" s="16" t="n">
        <v>0</v>
      </c>
      <c r="S105" s="16" t="n">
        <v>0</v>
      </c>
      <c r="T105" s="16" t="n">
        <v>0</v>
      </c>
      <c r="U105" s="16" t="n">
        <v>0</v>
      </c>
      <c r="V105" s="16" t="n">
        <v>0</v>
      </c>
      <c r="W105" s="16" t="n">
        <v>0</v>
      </c>
      <c r="X105" s="16" t="n">
        <v>0</v>
      </c>
      <c r="Y105" s="16" t="n">
        <v>0</v>
      </c>
      <c r="Z105" s="16" t="n">
        <v>0</v>
      </c>
      <c r="AA105" s="16" t="n">
        <v>0</v>
      </c>
      <c r="AB105" s="16" t="n">
        <v>0</v>
      </c>
    </row>
    <row r="106" ht="15.75" customHeight="1">
      <c r="A106" s="16" t="n">
        <v>13</v>
      </c>
      <c r="B106" s="16" t="n">
        <v>940</v>
      </c>
      <c r="H106" s="30" t="n">
        <v>0</v>
      </c>
      <c r="I106" s="16" t="n">
        <v>0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6" t="n">
        <v>0</v>
      </c>
      <c r="R106" s="16" t="n">
        <v>10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0</v>
      </c>
      <c r="X106" s="16" t="n">
        <v>0</v>
      </c>
      <c r="Y106" s="16" t="n">
        <v>0</v>
      </c>
      <c r="Z106" s="16" t="n">
        <v>0</v>
      </c>
      <c r="AA106" s="16" t="n">
        <v>0</v>
      </c>
      <c r="AB106" s="16" t="n">
        <v>0</v>
      </c>
    </row>
    <row r="107" ht="15.75" customHeight="1">
      <c r="A107" s="16" t="n">
        <v>14</v>
      </c>
      <c r="B107" s="16" t="n">
        <v>1040</v>
      </c>
      <c r="C107" s="31" t="n"/>
      <c r="D107" s="31" t="n"/>
      <c r="E107" s="31" t="n"/>
      <c r="F107" s="31" t="n"/>
      <c r="G107" s="31" t="n"/>
      <c r="H107" s="30" t="n">
        <v>0</v>
      </c>
      <c r="I107" s="16" t="n">
        <v>0</v>
      </c>
      <c r="J107" s="16" t="n">
        <v>0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0</v>
      </c>
      <c r="T107" s="16" t="n">
        <v>15</v>
      </c>
      <c r="U107" s="16" t="n">
        <v>0</v>
      </c>
      <c r="V107" s="16" t="n">
        <v>0</v>
      </c>
      <c r="W107" s="16" t="n">
        <v>0</v>
      </c>
      <c r="X107" s="16" t="n">
        <v>0</v>
      </c>
      <c r="Y107" s="16" t="n">
        <v>0</v>
      </c>
      <c r="Z107" s="16" t="n">
        <v>0</v>
      </c>
      <c r="AA107" s="16" t="n">
        <v>0</v>
      </c>
      <c r="AB107" s="16" t="n">
        <v>0</v>
      </c>
    </row>
    <row r="108" ht="15.75" customHeight="1">
      <c r="A108" s="16" t="n">
        <v>15</v>
      </c>
      <c r="B108" s="16" t="n">
        <v>1030</v>
      </c>
      <c r="H108" s="30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6" t="n">
        <v>60</v>
      </c>
      <c r="R108" s="16" t="n">
        <v>0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0</v>
      </c>
      <c r="X108" s="16" t="n">
        <v>0</v>
      </c>
      <c r="Y108" s="16" t="n">
        <v>0</v>
      </c>
      <c r="Z108" s="16" t="n">
        <v>0</v>
      </c>
      <c r="AA108" s="16" t="n">
        <v>0</v>
      </c>
      <c r="AB108" s="16" t="n">
        <v>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</sheetData>
  <dataValidations count="2">
    <dataValidation sqref="AI2" showDropDown="0" showInputMessage="0" showErrorMessage="0" allowBlank="0" type="list">
      <formula1>"Avg,p25,p50,p75"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RowHeight="15"/>
  <cols>
    <col width="32" customWidth="1" min="1" max="1"/>
    <col width="11.5" customWidth="1" min="2" max="2"/>
    <col width="4.88" customWidth="1" min="5" max="5"/>
    <col width="7.63" customWidth="1" min="26" max="26"/>
    <col width="2.88" customWidth="1" min="33" max="33"/>
    <col width="11" customWidth="1" min="34" max="34"/>
    <col width="7" customWidth="1" min="35" max="35"/>
    <col width="34" customWidth="1" min="36" max="36"/>
    <col width="7" customWidth="1" min="37" max="37"/>
    <col width="34" customWidth="1" min="38" max="38"/>
    <col width="7" customWidth="1" min="39" max="39"/>
    <col width="34" customWidth="1" min="40" max="40"/>
    <col width="7" customWidth="1" min="41" max="41"/>
    <col width="34" customWidth="1" min="42" max="42"/>
    <col width="7" customWidth="1" min="43" max="43"/>
    <col width="34" customWidth="1" min="44" max="44"/>
    <col width="6" customWidth="1" min="46" max="46"/>
    <col width="8" customWidth="1" min="47" max="47"/>
    <col width="13" customWidth="1" min="48" max="48"/>
  </cols>
  <sheetData>
    <row r="1" ht="21.75" customHeight="1">
      <c r="A1" s="32" t="inlineStr">
        <is>
          <t>Rainbow Maker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AH1" s="2" t="inlineStr">
        <is>
          <t>Player Reach Simulation (per event day) — SIMULATED</t>
        </is>
      </c>
    </row>
    <row r="2" ht="19.5" customHeight="1">
      <c r="A2" s="34" t="inlineStr">
        <is>
          <t>Config Panel</t>
        </is>
      </c>
      <c r="B2" s="34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AH2" s="4" t="inlineStr">
        <is>
          <t>Percentile</t>
        </is>
      </c>
      <c r="AI2" s="5" t="inlineStr">
        <is>
          <t>Avg</t>
        </is>
      </c>
    </row>
    <row r="3">
      <c r="A3" s="6" t="inlineStr">
        <is>
          <t>EventDuration</t>
        </is>
      </c>
      <c r="B3" s="7" t="n">
        <v>4</v>
      </c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AH3" s="4" t="inlineStr">
        <is>
          <t>Payer</t>
        </is>
      </c>
      <c r="AI3" s="5" t="inlineStr">
        <is>
          <t>NONPAYER</t>
        </is>
      </c>
    </row>
    <row r="4">
      <c r="A4" s="35" t="n"/>
      <c r="B4" s="36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</row>
    <row r="5">
      <c r="A5" s="35" t="n"/>
      <c r="B5" s="36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AH5" s="8" t="inlineStr">
        <is>
          <t>Day_of_event</t>
        </is>
      </c>
      <c r="AI5" s="8" t="inlineStr">
        <is>
          <t>0-9_ms</t>
        </is>
      </c>
      <c r="AJ5" s="8" t="inlineStr">
        <is>
          <t>0-9_reward</t>
        </is>
      </c>
      <c r="AK5" s="8" t="inlineStr">
        <is>
          <t>10-19_ms</t>
        </is>
      </c>
      <c r="AL5" s="8" t="inlineStr">
        <is>
          <t>10-19_reward</t>
        </is>
      </c>
      <c r="AM5" s="8" t="inlineStr">
        <is>
          <t>20-39_ms</t>
        </is>
      </c>
      <c r="AN5" s="8" t="inlineStr">
        <is>
          <t>20-39_reward</t>
        </is>
      </c>
      <c r="AO5" s="8" t="inlineStr">
        <is>
          <t>40-99_ms</t>
        </is>
      </c>
      <c r="AP5" s="8" t="inlineStr">
        <is>
          <t>40-99_reward</t>
        </is>
      </c>
      <c r="AQ5" s="8" t="inlineStr">
        <is>
          <t>100_ms</t>
        </is>
      </c>
      <c r="AR5" s="8" t="inlineStr">
        <is>
          <t>100_reward</t>
        </is>
      </c>
    </row>
    <row r="6">
      <c r="A6" s="35" t="n"/>
      <c r="B6" s="36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AH6" s="9">
        <f>IF(1&lt;=$B$3,1,"")</f>
        <v/>
      </c>
      <c r="AI6" s="10">
        <f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/>
      </c>
      <c r="AJ6" s="11">
        <f>IF($AH6="","",IF(AI6=0,"{}",LET(m,AI6,s,MMULT(SEQUENCE(1,m,1,0),ARRAY_CONSTRAIN($E$16:$Y$45,m,21)),"{"&amp;TEXTJOIN(", ",TRUE,ARRAYFORMULA(IF(s&gt;0,$E$15:$Y$15&amp;": "&amp;ROUND(s,2),"")))&amp;"}")))</f>
        <v/>
      </c>
      <c r="AK6" s="10">
        <f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/>
      </c>
      <c r="AL6" s="11">
        <f>IF($AH6="","",IF(AK6=0,"{}",LET(m,AK6,s,MMULT(SEQUENCE(1,m,1,0),ARRAY_CONSTRAIN($E$16:$Y$45,m,21)),"{"&amp;TEXTJOIN(", ",TRUE,ARRAYFORMULA(IF(s&gt;0,$E$15:$Y$15&amp;": "&amp;ROUND(s,2),"")))&amp;"}")))</f>
        <v/>
      </c>
      <c r="AM6" s="10">
        <f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/>
      </c>
      <c r="AN6" s="11">
        <f>IF($AH6="","",IF(AM6=0,"{}",LET(m,AM6,s,MMULT(SEQUENCE(1,m,1,0),ARRAY_CONSTRAIN($E$16:$Y$45,m,21)),"{"&amp;TEXTJOIN(", ",TRUE,ARRAYFORMULA(IF(s&gt;0,$E$15:$Y$15&amp;": "&amp;ROUND(s,2),"")))&amp;"}")))</f>
        <v/>
      </c>
      <c r="AO6" s="10">
        <f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/>
      </c>
      <c r="AP6" s="11">
        <f>IF($AH6="","",IF(AO6=0,"{}",LET(m,AO6,s,MMULT(SEQUENCE(1,m,1,0),ARRAY_CONSTRAIN($E$16:$Y$45,m,21)),"{"&amp;TEXTJOIN(", ",TRUE,ARRAYFORMULA(IF(s&gt;0,$E$15:$Y$15&amp;": "&amp;ROUND(s,2),"")))&amp;"}")))</f>
        <v/>
      </c>
      <c r="AQ6" s="10">
        <f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/>
      </c>
      <c r="AR6" s="11">
        <f>IF($AH6="","",IF(AQ6=0,"{}",LET(m,AQ6,s,MMULT(SEQUENCE(1,m,1,0),ARRAY_CONSTRAIN($E$16:$Y$45,m,21)),"{"&amp;TEXTJOIN(", ",TRUE,ARRAYFORMULA(IF(s&gt;0,$E$15:$Y$15&amp;": "&amp;ROUND(s,2),"")))&amp;"}")))</f>
        <v/>
      </c>
    </row>
    <row r="7">
      <c r="A7" s="35" t="n"/>
      <c r="B7" s="36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AH7" s="9">
        <f>IF(2&lt;=$B$3,2,"")</f>
        <v/>
      </c>
      <c r="AI7" s="10">
        <f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/>
      </c>
      <c r="AJ7" s="11">
        <f>IF($AH7="","",IF(AI7=0,"{}",LET(m,AI7,s,MMULT(SEQUENCE(1,m,1,0),ARRAY_CONSTRAIN($E$16:$Y$45,m,21)),"{"&amp;TEXTJOIN(", ",TRUE,ARRAYFORMULA(IF(s&gt;0,$E$15:$Y$15&amp;": "&amp;ROUND(s,2),"")))&amp;"}")))</f>
        <v/>
      </c>
      <c r="AK7" s="10">
        <f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/>
      </c>
      <c r="AL7" s="11">
        <f>IF($AH7="","",IF(AK7=0,"{}",LET(m,AK7,s,MMULT(SEQUENCE(1,m,1,0),ARRAY_CONSTRAIN($E$16:$Y$45,m,21)),"{"&amp;TEXTJOIN(", ",TRUE,ARRAYFORMULA(IF(s&gt;0,$E$15:$Y$15&amp;": "&amp;ROUND(s,2),"")))&amp;"}")))</f>
        <v/>
      </c>
      <c r="AM7" s="10">
        <f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/>
      </c>
      <c r="AN7" s="11">
        <f>IF($AH7="","",IF(AM7=0,"{}",LET(m,AM7,s,MMULT(SEQUENCE(1,m,1,0),ARRAY_CONSTRAIN($E$16:$Y$45,m,21)),"{"&amp;TEXTJOIN(", ",TRUE,ARRAYFORMULA(IF(s&gt;0,$E$15:$Y$15&amp;": "&amp;ROUND(s,2),"")))&amp;"}")))</f>
        <v/>
      </c>
      <c r="AO7" s="10">
        <f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/>
      </c>
      <c r="AP7" s="11">
        <f>IF($AH7="","",IF(AO7=0,"{}",LET(m,AO7,s,MMULT(SEQUENCE(1,m,1,0),ARRAY_CONSTRAIN($E$16:$Y$45,m,21)),"{"&amp;TEXTJOIN(", ",TRUE,ARRAYFORMULA(IF(s&gt;0,$E$15:$Y$15&amp;": "&amp;ROUND(s,2),"")))&amp;"}")))</f>
        <v/>
      </c>
      <c r="AQ7" s="10">
        <f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/>
      </c>
      <c r="AR7" s="11">
        <f>IF($AH7="","",IF(AQ7=0,"{}",LET(m,AQ7,s,MMULT(SEQUENCE(1,m,1,0),ARRAY_CONSTRAIN($E$16:$Y$45,m,21)),"{"&amp;TEXTJOIN(", ",TRUE,ARRAYFORMULA(IF(s&gt;0,$E$15:$Y$15&amp;": "&amp;ROUND(s,2),"")))&amp;"}")))</f>
        <v/>
      </c>
    </row>
    <row r="8">
      <c r="A8" s="35" t="n"/>
      <c r="B8" s="36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AH8" s="9">
        <f>IF(3&lt;=$B$3,3,"")</f>
        <v/>
      </c>
      <c r="AI8" s="10">
        <f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/>
      </c>
      <c r="AJ8" s="11">
        <f>IF($AH8="","",IF(AI8=0,"{}",LET(m,AI8,s,MMULT(SEQUENCE(1,m,1,0),ARRAY_CONSTRAIN($E$16:$Y$45,m,21)),"{"&amp;TEXTJOIN(", ",TRUE,ARRAYFORMULA(IF(s&gt;0,$E$15:$Y$15&amp;": "&amp;ROUND(s,2),"")))&amp;"}")))</f>
        <v/>
      </c>
      <c r="AK8" s="10">
        <f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/>
      </c>
      <c r="AL8" s="11">
        <f>IF($AH8="","",IF(AK8=0,"{}",LET(m,AK8,s,MMULT(SEQUENCE(1,m,1,0),ARRAY_CONSTRAIN($E$16:$Y$45,m,21)),"{"&amp;TEXTJOIN(", ",TRUE,ARRAYFORMULA(IF(s&gt;0,$E$15:$Y$15&amp;": "&amp;ROUND(s,2),"")))&amp;"}")))</f>
        <v/>
      </c>
      <c r="AM8" s="10">
        <f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/>
      </c>
      <c r="AN8" s="11">
        <f>IF($AH8="","",IF(AM8=0,"{}",LET(m,AM8,s,MMULT(SEQUENCE(1,m,1,0),ARRAY_CONSTRAIN($E$16:$Y$45,m,21)),"{"&amp;TEXTJOIN(", ",TRUE,ARRAYFORMULA(IF(s&gt;0,$E$15:$Y$15&amp;": "&amp;ROUND(s,2),"")))&amp;"}")))</f>
        <v/>
      </c>
      <c r="AO8" s="10">
        <f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/>
      </c>
      <c r="AP8" s="11">
        <f>IF($AH8="","",IF(AO8=0,"{}",LET(m,AO8,s,MMULT(SEQUENCE(1,m,1,0),ARRAY_CONSTRAIN($E$16:$Y$45,m,21)),"{"&amp;TEXTJOIN(", ",TRUE,ARRAYFORMULA(IF(s&gt;0,$E$15:$Y$15&amp;": "&amp;ROUND(s,2),"")))&amp;"}")))</f>
        <v/>
      </c>
      <c r="AQ8" s="10">
        <f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/>
      </c>
      <c r="AR8" s="11">
        <f>IF($AH8="","",IF(AQ8=0,"{}",LET(m,AQ8,s,MMULT(SEQUENCE(1,m,1,0),ARRAY_CONSTRAIN($E$16:$Y$45,m,21)),"{"&amp;TEXTJOIN(", ",TRUE,ARRAYFORMULA(IF(s&gt;0,$E$15:$Y$15&amp;": "&amp;ROUND(s,2),"")))&amp;"}")))</f>
        <v/>
      </c>
    </row>
    <row r="9">
      <c r="A9" s="35" t="n"/>
      <c r="B9" s="36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AH9" s="9">
        <f>IF(4&lt;=$B$3,4,"")</f>
        <v/>
      </c>
      <c r="AI9" s="10">
        <f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/>
      </c>
      <c r="AJ9" s="11">
        <f>IF($AH9="","",IF(AI9=0,"{}",LET(m,AI9,s,MMULT(SEQUENCE(1,m,1,0),ARRAY_CONSTRAIN($E$16:$Y$45,m,21)),"{"&amp;TEXTJOIN(", ",TRUE,ARRAYFORMULA(IF(s&gt;0,$E$15:$Y$15&amp;": "&amp;ROUND(s,2),"")))&amp;"}")))</f>
        <v/>
      </c>
      <c r="AK9" s="10">
        <f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/>
      </c>
      <c r="AL9" s="11">
        <f>IF($AH9="","",IF(AK9=0,"{}",LET(m,AK9,s,MMULT(SEQUENCE(1,m,1,0),ARRAY_CONSTRAIN($E$16:$Y$45,m,21)),"{"&amp;TEXTJOIN(", ",TRUE,ARRAYFORMULA(IF(s&gt;0,$E$15:$Y$15&amp;": "&amp;ROUND(s,2),"")))&amp;"}")))</f>
        <v/>
      </c>
      <c r="AM9" s="10">
        <f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/>
      </c>
      <c r="AN9" s="11">
        <f>IF($AH9="","",IF(AM9=0,"{}",LET(m,AM9,s,MMULT(SEQUENCE(1,m,1,0),ARRAY_CONSTRAIN($E$16:$Y$45,m,21)),"{"&amp;TEXTJOIN(", ",TRUE,ARRAYFORMULA(IF(s&gt;0,$E$15:$Y$15&amp;": "&amp;ROUND(s,2),"")))&amp;"}")))</f>
        <v/>
      </c>
      <c r="AO9" s="10">
        <f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/>
      </c>
      <c r="AP9" s="11">
        <f>IF($AH9="","",IF(AO9=0,"{}",LET(m,AO9,s,MMULT(SEQUENCE(1,m,1,0),ARRAY_CONSTRAIN($E$16:$Y$45,m,21)),"{"&amp;TEXTJOIN(", ",TRUE,ARRAYFORMULA(IF(s&gt;0,$E$15:$Y$15&amp;": "&amp;ROUND(s,2),"")))&amp;"}")))</f>
        <v/>
      </c>
      <c r="AQ9" s="10">
        <f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/>
      </c>
      <c r="AR9" s="11">
        <f>IF($AH9="","",IF(AQ9=0,"{}",LET(m,AQ9,s,MMULT(SEQUENCE(1,m,1,0),ARRAY_CONSTRAIN($E$16:$Y$45,m,21)),"{"&amp;TEXTJOIN(", ",TRUE,ARRAYFORMULA(IF(s&gt;0,$E$15:$Y$15&amp;": "&amp;ROUND(s,2),"")))&amp;"}")))</f>
        <v/>
      </c>
    </row>
    <row r="10">
      <c r="A10" s="35" t="n"/>
      <c r="B10" s="36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AH10" s="9">
        <f>IF(5&lt;=$B$3,5,"")</f>
        <v/>
      </c>
      <c r="AI10" s="10">
        <f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1">
        <f>IF($AH10="","",IF(AI10=0,"{}",LET(m,AI10,s,MMULT(SEQUENCE(1,m,1,0),ARRAY_CONSTRAIN($E$16:$Y$45,m,21)),"{"&amp;TEXTJOIN(", ",TRUE,ARRAYFORMULA(IF(s&gt;0,$E$15:$Y$15&amp;": "&amp;ROUND(s,2),"")))&amp;"}")))</f>
        <v/>
      </c>
      <c r="AK10" s="10">
        <f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1">
        <f>IF($AH10="","",IF(AK10=0,"{}",LET(m,AK10,s,MMULT(SEQUENCE(1,m,1,0),ARRAY_CONSTRAIN($E$16:$Y$45,m,21)),"{"&amp;TEXTJOIN(", ",TRUE,ARRAYFORMULA(IF(s&gt;0,$E$15:$Y$15&amp;": "&amp;ROUND(s,2),"")))&amp;"}")))</f>
        <v/>
      </c>
      <c r="AM10" s="10">
        <f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1">
        <f>IF($AH10="","",IF(AM10=0,"{}",LET(m,AM10,s,MMULT(SEQUENCE(1,m,1,0),ARRAY_CONSTRAIN($E$16:$Y$45,m,21)),"{"&amp;TEXTJOIN(", ",TRUE,ARRAYFORMULA(IF(s&gt;0,$E$15:$Y$15&amp;": "&amp;ROUND(s,2),"")))&amp;"}")))</f>
        <v/>
      </c>
      <c r="AO10" s="10">
        <f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1">
        <f>IF($AH10="","",IF(AO10=0,"{}",LET(m,AO10,s,MMULT(SEQUENCE(1,m,1,0),ARRAY_CONSTRAIN($E$16:$Y$45,m,21)),"{"&amp;TEXTJOIN(", ",TRUE,ARRAYFORMULA(IF(s&gt;0,$E$15:$Y$15&amp;": "&amp;ROUND(s,2),"")))&amp;"}")))</f>
        <v/>
      </c>
      <c r="AQ10" s="10">
        <f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1">
        <f>IF($AH10="","",IF(AQ10=0,"{}",LET(m,AQ10,s,MMULT(SEQUENCE(1,m,1,0),ARRAY_CONSTRAIN($E$16:$Y$45,m,21)),"{"&amp;TEXTJOIN(", ",TRUE,ARRAYFORMULA(IF(s&gt;0,$E$15:$Y$15&amp;": "&amp;ROUND(s,2),"")))&amp;"}")))</f>
        <v/>
      </c>
    </row>
    <row r="11">
      <c r="A11" s="35" t="n"/>
      <c r="B11" s="36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AH11" s="9">
        <f>IF(6&lt;=$B$3,6,"")</f>
        <v/>
      </c>
      <c r="AI11" s="10">
        <f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1">
        <f>IF($AH11="","",IF(AI11=0,"{}",LET(m,AI11,s,MMULT(SEQUENCE(1,m,1,0),ARRAY_CONSTRAIN($E$16:$Y$45,m,21)),"{"&amp;TEXTJOIN(", ",TRUE,ARRAYFORMULA(IF(s&gt;0,$E$15:$Y$15&amp;": "&amp;ROUND(s,2),"")))&amp;"}")))</f>
        <v/>
      </c>
      <c r="AK11" s="10">
        <f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1">
        <f>IF($AH11="","",IF(AK11=0,"{}",LET(m,AK11,s,MMULT(SEQUENCE(1,m,1,0),ARRAY_CONSTRAIN($E$16:$Y$45,m,21)),"{"&amp;TEXTJOIN(", ",TRUE,ARRAYFORMULA(IF(s&gt;0,$E$15:$Y$15&amp;": "&amp;ROUND(s,2),"")))&amp;"}")))</f>
        <v/>
      </c>
      <c r="AM11" s="10">
        <f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1">
        <f>IF($AH11="","",IF(AM11=0,"{}",LET(m,AM11,s,MMULT(SEQUENCE(1,m,1,0),ARRAY_CONSTRAIN($E$16:$Y$45,m,21)),"{"&amp;TEXTJOIN(", ",TRUE,ARRAYFORMULA(IF(s&gt;0,$E$15:$Y$15&amp;": "&amp;ROUND(s,2),"")))&amp;"}")))</f>
        <v/>
      </c>
      <c r="AO11" s="10">
        <f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1">
        <f>IF($AH11="","",IF(AO11=0,"{}",LET(m,AO11,s,MMULT(SEQUENCE(1,m,1,0),ARRAY_CONSTRAIN($E$16:$Y$45,m,21)),"{"&amp;TEXTJOIN(", ",TRUE,ARRAYFORMULA(IF(s&gt;0,$E$15:$Y$15&amp;": "&amp;ROUND(s,2),"")))&amp;"}")))</f>
        <v/>
      </c>
      <c r="AQ11" s="10">
        <f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1">
        <f>IF($AH11="","",IF(AQ11=0,"{}",LET(m,AQ11,s,MMULT(SEQUENCE(1,m,1,0),ARRAY_CONSTRAIN($E$16:$Y$45,m,21)),"{"&amp;TEXTJOIN(", ",TRUE,ARRAYFORMULA(IF(s&gt;0,$E$15:$Y$15&amp;": "&amp;ROUND(s,2),"")))&amp;"}")))</f>
        <v/>
      </c>
    </row>
    <row r="12">
      <c r="A12" s="35" t="n"/>
      <c r="B12" s="36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AH12" s="9">
        <f>IF(7&lt;=$B$3,7,"")</f>
        <v/>
      </c>
      <c r="AI12" s="10">
        <f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1">
        <f>IF($AH12="","",IF(AI12=0,"{}",LET(m,AI12,s,MMULT(SEQUENCE(1,m,1,0),ARRAY_CONSTRAIN($E$16:$Y$45,m,21)),"{"&amp;TEXTJOIN(", ",TRUE,ARRAYFORMULA(IF(s&gt;0,$E$15:$Y$15&amp;": "&amp;ROUND(s,2),"")))&amp;"}")))</f>
        <v/>
      </c>
      <c r="AK12" s="10">
        <f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1">
        <f>IF($AH12="","",IF(AK12=0,"{}",LET(m,AK12,s,MMULT(SEQUENCE(1,m,1,0),ARRAY_CONSTRAIN($E$16:$Y$45,m,21)),"{"&amp;TEXTJOIN(", ",TRUE,ARRAYFORMULA(IF(s&gt;0,$E$15:$Y$15&amp;": "&amp;ROUND(s,2),"")))&amp;"}")))</f>
        <v/>
      </c>
      <c r="AM12" s="10">
        <f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1">
        <f>IF($AH12="","",IF(AM12=0,"{}",LET(m,AM12,s,MMULT(SEQUENCE(1,m,1,0),ARRAY_CONSTRAIN($E$16:$Y$45,m,21)),"{"&amp;TEXTJOIN(", ",TRUE,ARRAYFORMULA(IF(s&gt;0,$E$15:$Y$15&amp;": "&amp;ROUND(s,2),"")))&amp;"}")))</f>
        <v/>
      </c>
      <c r="AO12" s="10">
        <f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1">
        <f>IF($AH12="","",IF(AO12=0,"{}",LET(m,AO12,s,MMULT(SEQUENCE(1,m,1,0),ARRAY_CONSTRAIN($E$16:$Y$45,m,21)),"{"&amp;TEXTJOIN(", ",TRUE,ARRAYFORMULA(IF(s&gt;0,$E$15:$Y$15&amp;": "&amp;ROUND(s,2),"")))&amp;"}")))</f>
        <v/>
      </c>
      <c r="AQ12" s="10">
        <f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1">
        <f>IF($AH12="","",IF(AQ12=0,"{}",LET(m,AQ12,s,MMULT(SEQUENCE(1,m,1,0),ARRAY_CONSTRAIN($E$16:$Y$45,m,21)),"{"&amp;TEXTJOIN(", ",TRUE,ARRAYFORMULA(IF(s&gt;0,$E$15:$Y$15&amp;": "&amp;ROUND(s,2),"")))&amp;"}")))</f>
        <v/>
      </c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</row>
    <row r="14" ht="19.5" customHeight="1">
      <c r="A14" s="34" t="inlineStr">
        <is>
          <t>MILESTONE CONFIG 4 day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</row>
    <row r="15" ht="75" customHeight="1">
      <c r="A15" s="37" t="inlineStr">
        <is>
          <t>Milestone</t>
        </is>
      </c>
      <c r="B15" s="13" t="inlineStr">
        <is>
          <t>Matchables Req</t>
        </is>
      </c>
      <c r="C15" s="13" t="inlineStr">
        <is>
          <t>Req Accum</t>
        </is>
      </c>
      <c r="D15" s="13" t="inlineStr">
        <is>
          <t>Chest</t>
        </is>
      </c>
      <c r="E15" s="29" t="inlineStr">
        <is>
          <t>Coins</t>
        </is>
      </c>
      <c r="F15" s="15" t="inlineStr">
        <is>
          <t>SPT</t>
        </is>
      </c>
      <c r="G15" s="15" t="inlineStr">
        <is>
          <t>SPT x2</t>
        </is>
      </c>
      <c r="H15" s="15" t="inlineStr">
        <is>
          <t>Red</t>
        </is>
      </c>
      <c r="I15" s="15" t="inlineStr">
        <is>
          <t>Chuck</t>
        </is>
      </c>
      <c r="J15" s="15" t="inlineStr">
        <is>
          <t>Bomb</t>
        </is>
      </c>
      <c r="K15" s="15" t="inlineStr">
        <is>
          <t>Slingshot</t>
        </is>
      </c>
      <c r="L15" s="15" t="inlineStr">
        <is>
          <t>Shuffle</t>
        </is>
      </c>
      <c r="M15" s="15" t="inlineStr">
        <is>
          <t>Comet</t>
        </is>
      </c>
      <c r="N15" s="15" t="inlineStr">
        <is>
          <t>Unlimited Lives</t>
        </is>
      </c>
      <c r="O15" s="15" t="inlineStr">
        <is>
          <t>Unlimited Red</t>
        </is>
      </c>
      <c r="P15" s="15" t="inlineStr">
        <is>
          <t>Unlimited Chuck</t>
        </is>
      </c>
      <c r="Q15" s="15" t="inlineStr">
        <is>
          <t>Unlimited Bomb</t>
        </is>
      </c>
      <c r="R15" s="15" t="inlineStr">
        <is>
          <t>COOP Token</t>
        </is>
      </c>
      <c r="S15" s="15" t="inlineStr">
        <is>
          <t>Avatar</t>
        </is>
      </c>
      <c r="T15" s="15" t="inlineStr">
        <is>
          <t>1-star Dly</t>
        </is>
      </c>
      <c r="U15" s="15" t="inlineStr">
        <is>
          <t>2-star Dly</t>
        </is>
      </c>
      <c r="V15" s="15" t="inlineStr">
        <is>
          <t>3-star Dly</t>
        </is>
      </c>
      <c r="W15" s="15" t="inlineStr">
        <is>
          <t>4-star Dly</t>
        </is>
      </c>
      <c r="X15" s="15" t="inlineStr">
        <is>
          <t>5-star Dly</t>
        </is>
      </c>
      <c r="Y15" s="15" t="inlineStr">
        <is>
          <t>6-star Dly</t>
        </is>
      </c>
    </row>
    <row r="16" ht="15.75" customHeight="1">
      <c r="A16" s="38" t="n">
        <v>1</v>
      </c>
      <c r="B16" s="38" t="n">
        <v>160</v>
      </c>
      <c r="C16" s="38" t="n">
        <v>160</v>
      </c>
      <c r="D16" s="38" t="b">
        <v>0</v>
      </c>
      <c r="E16" s="30" t="n"/>
      <c r="F16" s="16" t="n"/>
      <c r="G16" s="16" t="n"/>
      <c r="H16" s="16" t="n">
        <v>1</v>
      </c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</row>
    <row r="17" ht="15.75" customHeight="1">
      <c r="A17" s="38" t="n">
        <v>2</v>
      </c>
      <c r="B17" s="38" t="n">
        <v>300</v>
      </c>
      <c r="C17" s="38" t="n">
        <v>460</v>
      </c>
      <c r="D17" s="38" t="b">
        <v>0</v>
      </c>
      <c r="E17" s="30" t="n">
        <v>10</v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</row>
    <row r="18" ht="15.75" customHeight="1">
      <c r="A18" s="38" t="n">
        <v>3</v>
      </c>
      <c r="B18" s="38" t="n">
        <v>1000</v>
      </c>
      <c r="C18" s="38" t="n">
        <v>1460</v>
      </c>
      <c r="D18" s="38" t="b">
        <v>0</v>
      </c>
      <c r="E18" s="30" t="n"/>
      <c r="F18" s="16" t="n"/>
      <c r="G18" s="16" t="n"/>
      <c r="H18" s="16" t="n"/>
      <c r="I18" s="16" t="n">
        <v>1</v>
      </c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</row>
    <row r="19" ht="15.75" customHeight="1">
      <c r="A19" s="38" t="n">
        <v>4</v>
      </c>
      <c r="B19" s="38" t="n">
        <v>250</v>
      </c>
      <c r="C19" s="38" t="n">
        <v>1710</v>
      </c>
      <c r="D19" s="38" t="b">
        <v>0</v>
      </c>
      <c r="E19" s="30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>
        <v>15</v>
      </c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</row>
    <row r="20" ht="15.75" customHeight="1">
      <c r="A20" s="38" t="n">
        <v>5</v>
      </c>
      <c r="B20" s="38" t="n">
        <v>500</v>
      </c>
      <c r="C20" s="38" t="n">
        <v>2210</v>
      </c>
      <c r="D20" s="38" t="b">
        <v>0</v>
      </c>
      <c r="E20" s="30" t="n"/>
      <c r="F20" s="16" t="n"/>
      <c r="G20" s="16" t="n"/>
      <c r="H20" s="16" t="n"/>
      <c r="I20" s="16" t="n"/>
      <c r="J20" s="16" t="n">
        <v>1</v>
      </c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</row>
    <row r="21" ht="15.75" customHeight="1">
      <c r="A21" s="38" t="n">
        <v>6</v>
      </c>
      <c r="B21" s="38" t="n">
        <v>1600</v>
      </c>
      <c r="C21" s="38" t="n">
        <v>3810</v>
      </c>
      <c r="D21" s="38" t="b">
        <v>1</v>
      </c>
      <c r="E21" s="30" t="n"/>
      <c r="F21" s="16" t="n"/>
      <c r="G21" s="16" t="n"/>
      <c r="H21" s="16" t="n"/>
      <c r="I21" s="16" t="n">
        <v>1</v>
      </c>
      <c r="J21" s="16" t="n"/>
      <c r="K21" s="16" t="n">
        <v>1</v>
      </c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</row>
    <row r="22" ht="15.75" customHeight="1">
      <c r="A22" s="38" t="n">
        <v>7</v>
      </c>
      <c r="B22" s="38" t="n">
        <v>500</v>
      </c>
      <c r="C22" s="38" t="n">
        <v>4310</v>
      </c>
      <c r="D22" s="38" t="b">
        <v>0</v>
      </c>
      <c r="E22" s="30" t="n"/>
      <c r="F22" s="16" t="n"/>
      <c r="G22" s="16" t="n"/>
      <c r="H22" s="16" t="n">
        <v>1</v>
      </c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</row>
    <row r="23" ht="15.75" customHeight="1">
      <c r="A23" s="38" t="n">
        <v>8</v>
      </c>
      <c r="B23" s="38" t="n">
        <v>1000</v>
      </c>
      <c r="C23" s="38" t="n">
        <v>5310</v>
      </c>
      <c r="D23" s="38" t="b">
        <v>0</v>
      </c>
      <c r="E23" s="30" t="n"/>
      <c r="F23" s="16" t="n"/>
      <c r="G23" s="16" t="n"/>
      <c r="H23" s="16" t="n"/>
      <c r="I23" s="16" t="n">
        <v>1</v>
      </c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</row>
    <row r="24" ht="15.75" customHeight="1">
      <c r="A24" s="38" t="n">
        <v>9</v>
      </c>
      <c r="B24" s="38" t="n">
        <v>3300</v>
      </c>
      <c r="C24" s="38" t="n">
        <v>8610</v>
      </c>
      <c r="D24" s="38" t="b">
        <v>1</v>
      </c>
      <c r="E24" s="30" t="n">
        <v>20</v>
      </c>
      <c r="F24" s="16" t="n"/>
      <c r="G24" s="16" t="n"/>
      <c r="H24" s="16" t="n"/>
      <c r="I24" s="16" t="n"/>
      <c r="J24" s="16" t="n"/>
      <c r="K24" s="16" t="n">
        <v>1</v>
      </c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</row>
    <row r="25" ht="15.75" customHeight="1">
      <c r="A25" s="38" t="n">
        <v>10</v>
      </c>
      <c r="B25" s="38" t="n">
        <v>1100</v>
      </c>
      <c r="C25" s="38" t="n">
        <v>9710</v>
      </c>
      <c r="D25" s="38" t="b">
        <v>0</v>
      </c>
      <c r="E25" s="30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>
        <v>30</v>
      </c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</row>
    <row r="26" ht="15.75" customHeight="1">
      <c r="A26" s="38" t="n">
        <v>11</v>
      </c>
      <c r="B26" s="38" t="n">
        <v>2200</v>
      </c>
      <c r="C26" s="38" t="n">
        <v>11910</v>
      </c>
      <c r="D26" s="38" t="b">
        <v>0</v>
      </c>
      <c r="E26" s="30" t="n"/>
      <c r="F26" s="16" t="n"/>
      <c r="G26" s="16" t="n"/>
      <c r="H26" s="16" t="n"/>
      <c r="I26" s="16" t="n"/>
      <c r="J26" s="16" t="n"/>
      <c r="K26" s="16" t="n">
        <v>1</v>
      </c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</row>
    <row r="27" ht="15.75" customHeight="1">
      <c r="A27" s="38" t="n">
        <v>12</v>
      </c>
      <c r="B27" s="38" t="n">
        <v>6500</v>
      </c>
      <c r="C27" s="38" t="n">
        <v>18410</v>
      </c>
      <c r="D27" s="38" t="b">
        <v>1</v>
      </c>
      <c r="E27" s="30" t="n">
        <v>35</v>
      </c>
      <c r="F27" s="16" t="n"/>
      <c r="G27" s="16" t="n"/>
      <c r="H27" s="16" t="n"/>
      <c r="I27" s="16" t="n"/>
      <c r="J27" s="16" t="n"/>
      <c r="K27" s="16" t="n"/>
      <c r="L27" s="16" t="n">
        <v>1</v>
      </c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</row>
    <row r="28" ht="15.75" customHeight="1">
      <c r="A28" s="38" t="n">
        <v>13</v>
      </c>
      <c r="B28" s="38" t="n">
        <v>2200</v>
      </c>
      <c r="C28" s="38" t="n">
        <v>20610</v>
      </c>
      <c r="D28" s="38" t="b">
        <v>0</v>
      </c>
      <c r="E28" s="30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>
        <v>10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</row>
    <row r="29" ht="15.75" customHeight="1">
      <c r="A29" s="38" t="n">
        <v>14</v>
      </c>
      <c r="B29" s="38" t="n">
        <v>4400</v>
      </c>
      <c r="C29" s="38" t="n">
        <v>25010</v>
      </c>
      <c r="D29" s="38" t="b">
        <v>0</v>
      </c>
      <c r="E29" s="30" t="n"/>
      <c r="F29" s="16" t="n"/>
      <c r="G29" s="16" t="n"/>
      <c r="H29" s="16" t="n">
        <v>2</v>
      </c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</row>
    <row r="30" ht="15.75" customHeight="1">
      <c r="A30" s="38" t="n">
        <v>15</v>
      </c>
      <c r="B30" s="38" t="n">
        <v>13250</v>
      </c>
      <c r="C30" s="38" t="n">
        <v>38260</v>
      </c>
      <c r="D30" s="38" t="b">
        <v>1</v>
      </c>
      <c r="E30" s="30" t="n"/>
      <c r="F30" s="16" t="n"/>
      <c r="G30" s="16" t="n"/>
      <c r="H30" s="16" t="n"/>
      <c r="I30" s="16" t="n">
        <v>1</v>
      </c>
      <c r="J30" s="16" t="n"/>
      <c r="K30" s="16" t="n"/>
      <c r="L30" s="16" t="n"/>
      <c r="M30" s="16" t="n">
        <v>1</v>
      </c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</row>
    <row r="31" ht="15.75" customHeight="1">
      <c r="A31" s="38" t="n">
        <v>16</v>
      </c>
      <c r="B31" s="38" t="n">
        <v>3300</v>
      </c>
      <c r="C31" s="38" t="n">
        <v>41560</v>
      </c>
      <c r="D31" s="38" t="b">
        <v>0</v>
      </c>
      <c r="E31" s="30" t="n"/>
      <c r="F31" s="16" t="n"/>
      <c r="G31" s="16" t="n"/>
      <c r="H31" s="16" t="n"/>
      <c r="I31" s="16" t="n"/>
      <c r="J31" s="16" t="n">
        <v>1</v>
      </c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</row>
    <row r="32" ht="15.75" customHeight="1">
      <c r="A32" s="38" t="n">
        <v>17</v>
      </c>
      <c r="B32" s="38" t="n">
        <v>6500</v>
      </c>
      <c r="C32" s="38" t="n">
        <v>48060</v>
      </c>
      <c r="D32" s="38" t="b">
        <v>0</v>
      </c>
      <c r="E32" s="30" t="n"/>
      <c r="F32" s="16" t="n"/>
      <c r="G32" s="16" t="n"/>
      <c r="H32" s="16" t="n"/>
      <c r="I32" s="16" t="n"/>
      <c r="J32" s="16" t="n"/>
      <c r="K32" s="16" t="n">
        <v>2</v>
      </c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</row>
    <row r="33" ht="15.75" customHeight="1">
      <c r="A33" s="38" t="n">
        <v>18</v>
      </c>
      <c r="B33" s="38" t="n">
        <v>19750</v>
      </c>
      <c r="C33" s="38" t="n">
        <v>67810</v>
      </c>
      <c r="D33" s="38" t="b">
        <v>1</v>
      </c>
      <c r="E33" s="30" t="n">
        <v>50</v>
      </c>
      <c r="F33" s="16" t="n"/>
      <c r="G33" s="16" t="n"/>
      <c r="H33" s="16" t="n"/>
      <c r="I33" s="16" t="n"/>
      <c r="J33" s="16" t="n"/>
      <c r="K33" s="16" t="n"/>
      <c r="L33" s="16" t="n">
        <v>2</v>
      </c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</row>
    <row r="34" ht="15.75" customHeight="1">
      <c r="A34" s="38" t="n">
        <v>19</v>
      </c>
      <c r="B34" s="38" t="n">
        <v>4200</v>
      </c>
      <c r="C34" s="38" t="n">
        <v>72010</v>
      </c>
      <c r="D34" s="38" t="b">
        <v>0</v>
      </c>
      <c r="E34" s="30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>
        <v>60</v>
      </c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</row>
    <row r="35" ht="15.75" customHeight="1">
      <c r="A35" s="38" t="n">
        <v>20</v>
      </c>
      <c r="B35" s="38" t="n">
        <v>8250</v>
      </c>
      <c r="C35" s="38" t="n">
        <v>80260</v>
      </c>
      <c r="D35" s="38" t="b">
        <v>0</v>
      </c>
      <c r="E35" s="30" t="n"/>
      <c r="F35" s="16" t="n"/>
      <c r="G35" s="16" t="n"/>
      <c r="H35" s="16" t="n">
        <v>2</v>
      </c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</row>
    <row r="36" ht="15.75" customHeight="1">
      <c r="A36" s="38" t="n">
        <v>21</v>
      </c>
      <c r="B36" s="38" t="n">
        <v>22000</v>
      </c>
      <c r="C36" s="38" t="n">
        <v>102260</v>
      </c>
      <c r="D36" s="38" t="b">
        <v>1</v>
      </c>
      <c r="E36" s="30" t="n"/>
      <c r="F36" s="16" t="n"/>
      <c r="G36" s="16" t="n"/>
      <c r="H36" s="16" t="n"/>
      <c r="I36" s="16" t="n"/>
      <c r="J36" s="16" t="n"/>
      <c r="K36" s="16" t="n">
        <v>2</v>
      </c>
      <c r="L36" s="16" t="n"/>
      <c r="M36" s="16" t="n">
        <v>2</v>
      </c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</row>
    <row r="37" ht="15.75" customHeight="1">
      <c r="A37" s="38" t="n">
        <v>22</v>
      </c>
      <c r="B37" s="38" t="n">
        <v>6000</v>
      </c>
      <c r="C37" s="38" t="n">
        <v>108260</v>
      </c>
      <c r="D37" s="38" t="b">
        <v>0</v>
      </c>
      <c r="E37" s="30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>
        <v>10</v>
      </c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</row>
    <row r="38" ht="15.75" customHeight="1">
      <c r="A38" s="38" t="n">
        <v>23</v>
      </c>
      <c r="B38" s="38" t="n">
        <v>10500</v>
      </c>
      <c r="C38" s="38" t="n">
        <v>118760</v>
      </c>
      <c r="D38" s="38" t="b">
        <v>0</v>
      </c>
      <c r="E38" s="30" t="n"/>
      <c r="F38" s="16" t="n"/>
      <c r="G38" s="16" t="n"/>
      <c r="H38" s="16" t="n"/>
      <c r="I38" s="16" t="n">
        <v>2</v>
      </c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</row>
    <row r="39" ht="15.75" customHeight="1">
      <c r="A39" s="38" t="n">
        <v>24</v>
      </c>
      <c r="B39" s="38" t="n">
        <v>33000</v>
      </c>
      <c r="C39" s="38" t="n">
        <v>151760</v>
      </c>
      <c r="D39" s="38" t="b">
        <v>1</v>
      </c>
      <c r="E39" s="30" t="n">
        <v>100</v>
      </c>
      <c r="F39" s="16" t="n"/>
      <c r="G39" s="16" t="n"/>
      <c r="H39" s="16" t="n"/>
      <c r="I39" s="16" t="n"/>
      <c r="J39" s="16" t="n"/>
      <c r="K39" s="16" t="n">
        <v>2</v>
      </c>
      <c r="L39" s="16" t="n">
        <v>2</v>
      </c>
      <c r="M39" s="16" t="n">
        <v>2</v>
      </c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</row>
    <row r="40" ht="15.75" customHeight="1">
      <c r="A40" s="38" t="n">
        <v>25</v>
      </c>
      <c r="B40" s="38" t="n">
        <v>8750</v>
      </c>
      <c r="C40" s="38" t="n">
        <v>160510</v>
      </c>
      <c r="D40" s="38" t="b">
        <v>0</v>
      </c>
      <c r="E40" s="30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>
        <v>60</v>
      </c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</row>
    <row r="41" ht="15.75" customHeight="1">
      <c r="A41" s="38" t="n">
        <v>26</v>
      </c>
      <c r="B41" s="38" t="n">
        <v>14250</v>
      </c>
      <c r="C41" s="38" t="n">
        <v>174760</v>
      </c>
      <c r="D41" s="38" t="b">
        <v>0</v>
      </c>
      <c r="E41" s="30" t="n"/>
      <c r="F41" s="16" t="n"/>
      <c r="G41" s="16" t="n"/>
      <c r="H41" s="16" t="n"/>
      <c r="I41" s="16" t="n"/>
      <c r="J41" s="16" t="n">
        <v>2</v>
      </c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</row>
    <row r="42" ht="15.75" customHeight="1">
      <c r="A42" s="38" t="n">
        <v>27</v>
      </c>
      <c r="B42" s="38" t="n">
        <v>44000</v>
      </c>
      <c r="C42" s="38" t="n">
        <v>218760</v>
      </c>
      <c r="D42" s="38" t="b">
        <v>1</v>
      </c>
      <c r="E42" s="30" t="n">
        <v>250</v>
      </c>
      <c r="F42" s="16" t="n"/>
      <c r="G42" s="16" t="n"/>
      <c r="H42" s="16" t="n"/>
      <c r="I42" s="16" t="n"/>
      <c r="J42" s="16" t="n"/>
      <c r="K42" s="16" t="n">
        <v>3</v>
      </c>
      <c r="L42" s="16" t="n">
        <v>3</v>
      </c>
      <c r="M42" s="16" t="n">
        <v>3</v>
      </c>
      <c r="N42" s="16" t="n"/>
      <c r="O42" s="16" t="n"/>
      <c r="P42" s="16" t="n"/>
      <c r="Q42" s="16" t="n">
        <v>20</v>
      </c>
      <c r="R42" s="16" t="n"/>
      <c r="S42" s="16" t="n"/>
      <c r="T42" s="16" t="n"/>
      <c r="U42" s="16" t="n"/>
      <c r="V42" s="16" t="n"/>
      <c r="W42" s="16" t="n"/>
      <c r="X42" s="16" t="n"/>
      <c r="Y42" s="16" t="n"/>
    </row>
    <row r="43" ht="15.75" customHeight="1">
      <c r="A43" s="38" t="n">
        <v>28</v>
      </c>
      <c r="B43" s="38" t="n">
        <v>16500</v>
      </c>
      <c r="C43" s="38" t="n">
        <v>235260</v>
      </c>
      <c r="D43" s="38" t="b">
        <v>0</v>
      </c>
      <c r="E43" s="30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>
        <v>60</v>
      </c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</row>
    <row r="44" ht="15.75" customHeight="1">
      <c r="A44" s="38" t="n">
        <v>29</v>
      </c>
      <c r="B44" s="38" t="n">
        <v>34000</v>
      </c>
      <c r="C44" s="38" t="n">
        <v>269260</v>
      </c>
      <c r="D44" s="38" t="b">
        <v>0</v>
      </c>
      <c r="E44" s="30" t="n"/>
      <c r="F44" s="16" t="n"/>
      <c r="G44" s="16" t="n"/>
      <c r="H44" s="16" t="n"/>
      <c r="I44" s="16" t="n"/>
      <c r="J44" s="16" t="n">
        <v>3</v>
      </c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</row>
    <row r="45" ht="15.75" customHeight="1">
      <c r="A45" s="38" t="n">
        <v>30</v>
      </c>
      <c r="B45" s="38" t="n">
        <v>83000</v>
      </c>
      <c r="C45" s="38" t="n">
        <v>352260</v>
      </c>
      <c r="D45" s="38" t="b">
        <v>1</v>
      </c>
      <c r="E45" s="30" t="n">
        <v>1000</v>
      </c>
      <c r="F45" s="16" t="n"/>
      <c r="G45" s="16" t="n"/>
      <c r="H45" s="16" t="n"/>
      <c r="I45" s="16" t="n"/>
      <c r="J45" s="16" t="n"/>
      <c r="K45" s="16" t="n">
        <v>4</v>
      </c>
      <c r="L45" s="16" t="n">
        <v>4</v>
      </c>
      <c r="M45" s="16" t="n">
        <v>4</v>
      </c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</row>
    <row r="46" ht="15.75" customHeight="1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</row>
    <row r="47" ht="15.75" customHeight="1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</row>
    <row r="48" ht="15.75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</row>
    <row r="49" ht="15.75" customHeight="1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</row>
    <row r="50" ht="15.75" customHeight="1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</row>
  </sheetData>
  <dataValidations count="2">
    <dataValidation sqref="AI2" showDropDown="0" showInputMessage="0" showErrorMessage="0" allowBlank="0" type="list">
      <formula1>"Avg,p25,p50,p75,p90"</formula1>
    </dataValidation>
    <dataValidation sqref="AI3" showDropDown="0" showInputMessage="0" showErrorMessage="0" allowBlank="0" type="list">
      <formula1>"NONPAYER,PAYER"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2026-07-04T11:17:47Z</dcterms:created>
  <dcterms:modified xsi:type="dcterms:W3CDTF">2026-07-04T11:17:48Z</dcterms:modified>
</cp:coreProperties>
</file>