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coGainsSim_PlybyP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"/>
    <numFmt numFmtId="166" formatCode="+0%;-0%;0%"/>
    <numFmt numFmtId="167" formatCode="#,##0.00;[Red]-#,##0.00"/>
    <numFmt numFmtId="168" formatCode="#,##0.00;-#,##0.00"/>
    <numFmt numFmtId="169" formatCode="[$$]#,##0.00"/>
    <numFmt numFmtId="170" formatCode="0.0"/>
  </numFmts>
  <fonts count="55">
    <font>
      <name val="Arial"/>
      <color rgb="FF000000"/>
      <sz val="10"/>
      <scheme val="minor"/>
    </font>
    <font>
      <name val="Arial"/>
      <b val="1"/>
      <color theme="1"/>
      <sz val="14"/>
    </font>
    <font>
      <name val="Calibri"/>
      <color theme="1"/>
      <sz val="11"/>
    </font>
    <font>
      <name val="Arial"/>
      <b val="1"/>
      <color rgb="FFFFFFFF"/>
      <sz val="11"/>
    </font>
    <font/>
    <font>
      <name val="Arial"/>
      <color theme="1"/>
      <sz val="10"/>
    </font>
    <font>
      <name val="Arial"/>
      <color rgb="FF000000"/>
      <sz val="10"/>
    </font>
    <font>
      <name val="Arial"/>
      <color rgb="FF000000"/>
      <sz val="11"/>
    </font>
    <font>
      <name val="Arial"/>
      <color theme="1"/>
      <scheme val="minor"/>
    </font>
    <font>
      <name val="Arial"/>
      <b val="1"/>
      <color theme="1"/>
      <sz val="10"/>
    </font>
    <font>
      <name val="Arial"/>
      <i val="1"/>
      <color rgb="FF666666"/>
      <sz val="9"/>
    </font>
    <font>
      <name val="Arial"/>
      <b val="1"/>
      <color rgb="FF000000"/>
      <sz val="10"/>
    </font>
    <font>
      <name val="Arial"/>
      <color rgb="FFFF0000"/>
      <sz val="11"/>
    </font>
    <font>
      <name val="Arial"/>
      <b val="1"/>
      <color rgb="FFFF0000"/>
      <sz val="11"/>
    </font>
    <font>
      <name val="Arial"/>
      <color theme="1"/>
    </font>
    <font>
      <name val="Calibri"/>
      <b val="1"/>
      <color rgb="FFFF0000"/>
      <sz val="11"/>
    </font>
    <font>
      <name val="Arial"/>
      <b val="1"/>
      <color rgb="FFFFFFFF"/>
      <sz val="12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BFBFBF"/>
      <sz val="11"/>
    </font>
    <font>
      <name val="Calibri"/>
      <color rgb="FF000000"/>
      <sz val="11"/>
    </font>
    <font>
      <name val="Arial"/>
      <color rgb="FFFF0000"/>
      <sz val="10"/>
    </font>
    <font>
      <name val="Arial"/>
      <color rgb="FF000000"/>
    </font>
    <font>
      <name val="Arial"/>
      <b val="1"/>
      <color theme="1"/>
      <sz val="9"/>
    </font>
    <font>
      <name val="Arial"/>
      <color rgb="FF808080"/>
      <sz val="8"/>
    </font>
    <font>
      <name val="Arial"/>
      <color theme="1"/>
      <sz val="9"/>
    </font>
    <font>
      <name val="Carlito"/>
      <color theme="1"/>
      <sz val="11"/>
    </font>
    <font>
      <name val="Calibri"/>
      <b val="1"/>
      <color rgb="FFFFFFFF"/>
      <sz val="11"/>
    </font>
    <font>
      <name val="Calibri"/>
      <color rgb="FF222222"/>
      <sz val="7"/>
    </font>
    <font>
      <name val="Calibri"/>
      <color rgb="FF222222"/>
      <sz val="11"/>
    </font>
    <font>
      <name val="Arial"/>
      <i val="1"/>
      <color theme="1"/>
      <scheme val="minor"/>
    </font>
    <font>
      <name val="Arial"/>
      <color theme="1"/>
      <sz val="9"/>
      <scheme val="minor"/>
    </font>
    <font>
      <name val="Arial"/>
      <b val="1"/>
      <color theme="1"/>
      <scheme val="minor"/>
    </font>
    <font>
      <name val="Arial"/>
      <b val="1"/>
      <color theme="1"/>
      <sz val="13"/>
    </font>
    <font>
      <name val="Arial"/>
      <b val="1"/>
      <color rgb="FFFFFFFF"/>
      <sz val="10"/>
    </font>
    <font>
      <name val="Arial"/>
      <color rgb="FF808080"/>
      <sz val="9"/>
    </font>
    <font>
      <name val="Arial"/>
      <b val="1"/>
      <color rgb="FF000000"/>
      <sz val="9"/>
    </font>
    <font>
      <name val="Calibri"/>
      <b val="1"/>
      <color theme="1"/>
      <sz val="10"/>
    </font>
    <font>
      <name val="Calibri"/>
      <color theme="1"/>
      <sz val="10"/>
    </font>
    <font>
      <name val="Calibri"/>
      <i val="1"/>
      <color rgb="FF888888"/>
      <sz val="9"/>
    </font>
    <font>
      <name val="Calibri"/>
      <i val="1"/>
      <color theme="1"/>
      <sz val="10"/>
    </font>
    <font>
      <name val="Calibri"/>
      <color rgb="FF999999"/>
      <sz val="10"/>
    </font>
    <font>
      <name val="Calibri"/>
      <color theme="1"/>
    </font>
    <font>
      <name val="Calibri"/>
      <i val="1"/>
      <color theme="1"/>
    </font>
    <font>
      <name val="Calibri"/>
      <color rgb="FF999999"/>
    </font>
    <font>
      <name val="Arial"/>
      <i val="1"/>
      <color rgb="FFCCCCCC"/>
      <scheme val="minor"/>
    </font>
    <font>
      <color rgb="FFFF0000"/>
      <u val="single"/>
    </font>
    <font>
      <name val="Arial"/>
      <i val="1"/>
      <color theme="1"/>
      <sz val="12"/>
      <scheme val="minor"/>
    </font>
    <font>
      <name val="Arial"/>
      <color rgb="FFFF0000"/>
      <scheme val="minor"/>
    </font>
    <font>
      <name val="Arial"/>
      <i val="1"/>
      <color rgb="FFB7B7B7"/>
    </font>
    <font>
      <name val="Arial"/>
      <b val="1"/>
      <color rgb="FFFFFFFF"/>
    </font>
    <font>
      <name val="Arial"/>
      <i val="1"/>
      <color rgb="FF999999"/>
      <sz val="9"/>
    </font>
    <font>
      <name val="Arial"/>
      <i val="1"/>
      <color theme="1"/>
      <sz val="11"/>
    </font>
    <font>
      <name val="Calibri"/>
      <b val="1"/>
      <color rgb="FF000000"/>
      <sz val="11"/>
    </font>
  </fonts>
  <fills count="38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7CB4D"/>
        <bgColor rgb="FFF7CB4D"/>
      </patternFill>
    </fill>
    <fill>
      <patternFill patternType="solid">
        <fgColor rgb="FFFFD966"/>
        <bgColor rgb="FFFFD966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  <bgColor rgb="FF305496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D0D0D0"/>
        <bgColor rgb="FFD0D0D0"/>
      </patternFill>
    </fill>
  </fills>
  <borders count="47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/>
      <bottom/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top/>
      <bottom/>
    </border>
    <border>
      <right/>
      <top/>
      <bottom/>
    </border>
    <border>
      <left/>
      <right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top/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3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bottom" wrapText="1"/>
    </xf>
    <xf numFmtId="0" fontId="4" fillId="0" borderId="3" pivotButton="0" quotePrefix="0" xfId="0"/>
    <xf numFmtId="0" fontId="3" fillId="2" borderId="4" applyAlignment="1" pivotButton="0" quotePrefix="0" xfId="0">
      <alignment horizontal="center" wrapText="1"/>
    </xf>
    <xf numFmtId="0" fontId="3" fillId="2" borderId="5" applyAlignment="1" pivotButton="0" quotePrefix="0" xfId="0">
      <alignment horizontal="center" wrapText="1"/>
    </xf>
    <xf numFmtId="0" fontId="3" fillId="2" borderId="4" applyAlignment="1" pivotButton="0" quotePrefix="0" xfId="0">
      <alignment horizontal="center" wrapText="1"/>
    </xf>
    <xf numFmtId="0" fontId="5" fillId="0" borderId="4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right" vertical="bottom"/>
    </xf>
    <xf numFmtId="0" fontId="2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right" vertical="bottom"/>
    </xf>
    <xf numFmtId="0" fontId="2" fillId="0" borderId="3" applyAlignment="1" pivotButton="0" quotePrefix="0" xfId="0">
      <alignment horizontal="left" vertical="bottom"/>
    </xf>
    <xf numFmtId="0" fontId="7" fillId="4" borderId="8" applyAlignment="1" pivotButton="0" quotePrefix="0" xfId="0">
      <alignment horizontal="center" vertical="bottom" wrapText="1"/>
    </xf>
    <xf numFmtId="0" fontId="7" fillId="4" borderId="9" applyAlignment="1" pivotButton="0" quotePrefix="0" xfId="0">
      <alignment horizontal="center" vertical="bottom" wrapText="1"/>
    </xf>
    <xf numFmtId="0" fontId="7" fillId="4" borderId="0" applyAlignment="1" pivotButton="0" quotePrefix="0" xfId="0">
      <alignment horizontal="center" vertical="bottom" wrapText="1"/>
    </xf>
    <xf numFmtId="0" fontId="7" fillId="4" borderId="10" applyAlignment="1" pivotButton="0" quotePrefix="0" xfId="0">
      <alignment horizontal="center" vertical="bottom" wrapText="1"/>
    </xf>
    <xf numFmtId="0" fontId="2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/>
    </xf>
    <xf numFmtId="0" fontId="2" fillId="0" borderId="0" applyAlignment="1" pivotButton="0" quotePrefix="0" xfId="0">
      <alignment vertical="bottom"/>
    </xf>
    <xf numFmtId="0" fontId="5" fillId="0" borderId="11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bottom" wrapText="1"/>
    </xf>
    <xf numFmtId="0" fontId="7" fillId="4" borderId="3" applyAlignment="1" pivotButton="0" quotePrefix="0" xfId="0">
      <alignment horizontal="center" vertical="bottom" wrapText="1"/>
    </xf>
    <xf numFmtId="0" fontId="5" fillId="0" borderId="14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7" fillId="4" borderId="17" applyAlignment="1" pivotButton="0" quotePrefix="0" xfId="0">
      <alignment horizontal="center" vertical="bottom" wrapText="1"/>
    </xf>
    <xf numFmtId="0" fontId="7" fillId="4" borderId="18" applyAlignment="1" pivotButton="0" quotePrefix="0" xfId="0">
      <alignment horizontal="center" vertical="bottom" wrapText="1"/>
    </xf>
    <xf numFmtId="0" fontId="7" fillId="4" borderId="19" applyAlignment="1" pivotButton="0" quotePrefix="0" xfId="0">
      <alignment horizontal="center" vertical="bottom" wrapText="1"/>
    </xf>
    <xf numFmtId="0" fontId="9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2" fontId="6" fillId="0" borderId="5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pivotButton="0" quotePrefix="0" xfId="0"/>
    <xf numFmtId="0" fontId="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6" borderId="2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 wrapText="1"/>
    </xf>
    <xf numFmtId="0" fontId="3" fillId="7" borderId="5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wrapText="1"/>
    </xf>
    <xf numFmtId="0" fontId="6" fillId="4" borderId="6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bottom" wrapText="1"/>
    </xf>
    <xf numFmtId="0" fontId="6" fillId="8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bottom"/>
    </xf>
    <xf numFmtId="0" fontId="7" fillId="4" borderId="8" applyAlignment="1" pivotButton="0" quotePrefix="0" xfId="0">
      <alignment horizontal="center" vertical="bottom" wrapText="1"/>
    </xf>
    <xf numFmtId="0" fontId="12" fillId="4" borderId="9" applyAlignment="1" pivotButton="0" quotePrefix="0" xfId="0">
      <alignment horizontal="center" vertical="bottom" wrapText="1"/>
    </xf>
    <xf numFmtId="0" fontId="7" fillId="4" borderId="9" applyAlignment="1" pivotButton="0" quotePrefix="0" xfId="0">
      <alignment horizontal="center" vertical="bottom" wrapText="1"/>
    </xf>
    <xf numFmtId="0" fontId="7" fillId="4" borderId="10" applyAlignment="1" pivotButton="0" quotePrefix="0" xfId="0">
      <alignment horizontal="center" vertical="bottom" wrapText="1"/>
    </xf>
    <xf numFmtId="0" fontId="6" fillId="4" borderId="12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bottom" wrapText="1"/>
    </xf>
    <xf numFmtId="0" fontId="7" fillId="4" borderId="2" applyAlignment="1" pivotButton="0" quotePrefix="0" xfId="0">
      <alignment horizontal="center" vertical="bottom" wrapText="1"/>
    </xf>
    <xf numFmtId="0" fontId="12" fillId="4" borderId="0" applyAlignment="1" pivotButton="0" quotePrefix="0" xfId="0">
      <alignment horizontal="center" vertical="bottom" wrapText="1"/>
    </xf>
    <xf numFmtId="0" fontId="7" fillId="4" borderId="0" applyAlignment="1" pivotButton="0" quotePrefix="0" xfId="0">
      <alignment horizontal="center" vertical="bottom" wrapText="1"/>
    </xf>
    <xf numFmtId="0" fontId="7" fillId="4" borderId="3" applyAlignment="1" pivotButton="0" quotePrefix="0" xfId="0">
      <alignment horizontal="center" vertical="bottom" wrapText="1"/>
    </xf>
    <xf numFmtId="0" fontId="6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bottom" wrapText="1"/>
    </xf>
    <xf numFmtId="0" fontId="7" fillId="4" borderId="17" applyAlignment="1" pivotButton="0" quotePrefix="0" xfId="0">
      <alignment horizontal="center" vertical="bottom" wrapText="1"/>
    </xf>
    <xf numFmtId="0" fontId="7" fillId="4" borderId="18" applyAlignment="1" pivotButton="0" quotePrefix="0" xfId="0">
      <alignment horizontal="center" vertical="bottom" wrapText="1"/>
    </xf>
    <xf numFmtId="0" fontId="12" fillId="4" borderId="18" applyAlignment="1" pivotButton="0" quotePrefix="0" xfId="0">
      <alignment horizontal="center" vertical="bottom" wrapText="1"/>
    </xf>
    <xf numFmtId="0" fontId="7" fillId="4" borderId="19" applyAlignment="1" pivotButton="0" quotePrefix="0" xfId="0">
      <alignment horizontal="center" vertical="bottom" wrapText="1"/>
    </xf>
    <xf numFmtId="0" fontId="14" fillId="0" borderId="5" applyAlignment="1" pivotButton="0" quotePrefix="0" xfId="0">
      <alignment horizontal="center" wrapText="1"/>
    </xf>
    <xf numFmtId="2" fontId="14" fillId="0" borderId="5" applyAlignment="1" pivotButton="0" quotePrefix="0" xfId="0">
      <alignment horizontal="center" wrapText="1"/>
    </xf>
    <xf numFmtId="0" fontId="2" fillId="0" borderId="0" applyAlignment="1" pivotButton="0" quotePrefix="0" xfId="0">
      <alignment vertical="bottom"/>
    </xf>
    <xf numFmtId="164" fontId="14" fillId="0" borderId="5" applyAlignment="1" pivotButton="0" quotePrefix="0" xfId="0">
      <alignment horizontal="center" wrapText="1"/>
    </xf>
    <xf numFmtId="0" fontId="15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bottom" wrapText="1"/>
    </xf>
    <xf numFmtId="0" fontId="16" fillId="2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5" fillId="0" borderId="8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8" fillId="9" borderId="20" applyAlignment="1" pivotButton="0" quotePrefix="0" xfId="0">
      <alignment horizontal="center"/>
    </xf>
    <xf numFmtId="0" fontId="18" fillId="9" borderId="20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center" wrapText="1"/>
    </xf>
    <xf numFmtId="0" fontId="6" fillId="3" borderId="21" applyAlignment="1" pivotButton="0" quotePrefix="0" xfId="0">
      <alignment horizontal="center" vertical="center" wrapText="1"/>
    </xf>
    <xf numFmtId="0" fontId="18" fillId="10" borderId="20" applyAlignment="1" pivotButton="0" quotePrefix="0" xfId="0">
      <alignment horizontal="center" vertical="bottom"/>
    </xf>
    <xf numFmtId="0" fontId="19" fillId="0" borderId="20" applyAlignment="1" pivotButton="0" quotePrefix="0" xfId="0">
      <alignment horizontal="center" vertical="bottom"/>
    </xf>
    <xf numFmtId="0" fontId="20" fillId="0" borderId="20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bottom"/>
    </xf>
    <xf numFmtId="0" fontId="22" fillId="10" borderId="1" applyAlignment="1" pivotButton="0" quotePrefix="0" xfId="0">
      <alignment horizontal="center" vertical="center" wrapText="1"/>
    </xf>
    <xf numFmtId="0" fontId="6" fillId="10" borderId="21" applyAlignment="1" pivotButton="0" quotePrefix="0" xfId="0">
      <alignment horizontal="center" vertical="center" wrapText="1"/>
    </xf>
    <xf numFmtId="0" fontId="12" fillId="0" borderId="20" applyAlignment="1" pivotButton="0" quotePrefix="0" xfId="0">
      <alignment horizontal="center" vertical="bottom"/>
    </xf>
    <xf numFmtId="0" fontId="22" fillId="10" borderId="21" applyAlignment="1" pivotButton="0" quotePrefix="0" xfId="0">
      <alignment horizontal="center" vertical="center" wrapText="1"/>
    </xf>
    <xf numFmtId="0" fontId="6" fillId="10" borderId="22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3" fillId="11" borderId="12" applyAlignment="1" pivotButton="0" quotePrefix="0" xfId="0">
      <alignment horizontal="left" vertical="center"/>
    </xf>
    <xf numFmtId="0" fontId="3" fillId="11" borderId="12" applyAlignment="1" pivotButton="0" quotePrefix="0" xfId="0">
      <alignment horizontal="left" vertical="center"/>
    </xf>
    <xf numFmtId="0" fontId="18" fillId="4" borderId="12" applyAlignment="1" pivotButton="0" quotePrefix="0" xfId="0">
      <alignment horizontal="left" vertical="center"/>
    </xf>
    <xf numFmtId="0" fontId="18" fillId="4" borderId="23" applyAlignment="1" pivotButton="0" quotePrefix="0" xfId="0">
      <alignment horizontal="left" vertical="center"/>
    </xf>
    <xf numFmtId="0" fontId="18" fillId="4" borderId="24" applyAlignment="1" pivotButton="0" quotePrefix="0" xfId="0">
      <alignment horizontal="left" vertical="center"/>
    </xf>
    <xf numFmtId="0" fontId="18" fillId="12" borderId="25" applyAlignment="1" pivotButton="0" quotePrefix="0" xfId="0">
      <alignment horizontal="center" vertical="bottom" wrapText="1"/>
    </xf>
    <xf numFmtId="0" fontId="18" fillId="12" borderId="26" applyAlignment="1" pivotButton="0" quotePrefix="0" xfId="0">
      <alignment horizontal="center" vertical="bottom" wrapText="1"/>
    </xf>
    <xf numFmtId="0" fontId="18" fillId="12" borderId="27" applyAlignment="1" pivotButton="0" quotePrefix="0" xfId="0">
      <alignment horizontal="center" vertical="bottom" textRotation="180"/>
    </xf>
    <xf numFmtId="0" fontId="18" fillId="12" borderId="25" applyAlignment="1" pivotButton="0" quotePrefix="0" xfId="0">
      <alignment horizontal="center" vertical="bottom" textRotation="180"/>
    </xf>
    <xf numFmtId="0" fontId="18" fillId="12" borderId="26" applyAlignment="1" pivotButton="0" quotePrefix="0" xfId="0">
      <alignment horizontal="center" vertical="bottom" textRotation="180"/>
    </xf>
    <xf numFmtId="0" fontId="19" fillId="0" borderId="25" applyAlignment="1" pivotButton="0" quotePrefix="0" xfId="0">
      <alignment horizontal="center" vertical="center"/>
    </xf>
    <xf numFmtId="0" fontId="19" fillId="0" borderId="26" applyAlignment="1" pivotButton="0" quotePrefix="0" xfId="0">
      <alignment horizontal="center" vertical="center"/>
    </xf>
    <xf numFmtId="0" fontId="19" fillId="0" borderId="2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3" borderId="25" applyAlignment="1" pivotButton="0" quotePrefix="0" xfId="0">
      <alignment horizontal="left" vertical="center"/>
    </xf>
    <xf numFmtId="0" fontId="18" fillId="13" borderId="25" applyAlignment="1" pivotButton="0" quotePrefix="0" xfId="0">
      <alignment horizontal="center" vertical="center"/>
    </xf>
    <xf numFmtId="0" fontId="18" fillId="13" borderId="26" applyAlignment="1" pivotButton="0" quotePrefix="0" xfId="0">
      <alignment horizontal="center" vertical="center"/>
    </xf>
    <xf numFmtId="0" fontId="18" fillId="13" borderId="27" applyAlignment="1" pivotButton="0" quotePrefix="0" xfId="0">
      <alignment horizontal="center" vertical="center"/>
    </xf>
    <xf numFmtId="0" fontId="23" fillId="0" borderId="0" applyAlignment="1" pivotButton="0" quotePrefix="0" xfId="0">
      <alignment vertical="bottom"/>
    </xf>
    <xf numFmtId="0" fontId="3" fillId="11" borderId="0" applyAlignment="1" pivotButton="0" quotePrefix="0" xfId="0">
      <alignment horizontal="left"/>
    </xf>
    <xf numFmtId="0" fontId="3" fillId="11" borderId="0" applyAlignment="1" pivotButton="0" quotePrefix="0" xfId="0">
      <alignment horizontal="left"/>
    </xf>
    <xf numFmtId="0" fontId="18" fillId="13" borderId="0" applyAlignment="1" pivotButton="0" quotePrefix="0" xfId="0">
      <alignment horizontal="left"/>
    </xf>
    <xf numFmtId="0" fontId="19" fillId="4" borderId="0" applyAlignment="1" pivotButton="0" quotePrefix="0" xfId="0">
      <alignment horizontal="center"/>
    </xf>
    <xf numFmtId="0" fontId="18" fillId="12" borderId="26" applyAlignment="1" pivotButton="0" quotePrefix="0" xfId="0">
      <alignment horizontal="center" vertical="bottom"/>
    </xf>
    <xf numFmtId="0" fontId="18" fillId="12" borderId="27" applyAlignment="1" pivotButton="0" quotePrefix="0" xfId="0">
      <alignment horizontal="center" vertical="bottom" textRotation="180"/>
    </xf>
    <xf numFmtId="0" fontId="18" fillId="12" borderId="25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left"/>
    </xf>
    <xf numFmtId="0" fontId="19" fillId="14" borderId="27" applyAlignment="1" pivotButton="0" quotePrefix="0" xfId="0">
      <alignment horizontal="center"/>
    </xf>
    <xf numFmtId="0" fontId="19" fillId="0" borderId="25" applyAlignment="1" pivotButton="0" quotePrefix="0" xfId="0">
      <alignment horizontal="center"/>
    </xf>
    <xf numFmtId="0" fontId="19" fillId="14" borderId="25" applyAlignment="1" pivotButton="0" quotePrefix="0" xfId="0">
      <alignment horizontal="center"/>
    </xf>
    <xf numFmtId="0" fontId="19" fillId="15" borderId="26" applyAlignment="1" pivotButton="0" quotePrefix="0" xfId="0">
      <alignment horizontal="left"/>
    </xf>
    <xf numFmtId="0" fontId="19" fillId="15" borderId="25" applyAlignment="1" pivotButton="0" quotePrefix="0" xfId="0">
      <alignment horizontal="center"/>
    </xf>
    <xf numFmtId="0" fontId="19" fillId="0" borderId="27" applyAlignment="1" pivotButton="0" quotePrefix="0" xfId="0">
      <alignment horizontal="center"/>
    </xf>
    <xf numFmtId="0" fontId="19" fillId="15" borderId="27" applyAlignment="1" pivotButton="0" quotePrefix="0" xfId="0">
      <alignment horizontal="center"/>
    </xf>
    <xf numFmtId="0" fontId="18" fillId="13" borderId="1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19" fillId="0" borderId="27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24" fillId="4" borderId="5" applyAlignment="1" pivotButton="0" quotePrefix="0" xfId="0">
      <alignment horizontal="center"/>
    </xf>
    <xf numFmtId="0" fontId="19" fillId="4" borderId="12" applyAlignment="1" pivotButton="0" quotePrefix="0" xfId="0">
      <alignment horizontal="center" vertical="center"/>
    </xf>
    <xf numFmtId="0" fontId="24" fillId="5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1" fontId="2" fillId="10" borderId="5" applyAlignment="1" pivotButton="0" quotePrefix="0" xfId="0">
      <alignment horizontal="center"/>
    </xf>
    <xf numFmtId="0" fontId="2" fillId="10" borderId="5" applyAlignment="1" pivotButton="0" quotePrefix="0" xfId="0">
      <alignment horizontal="left"/>
    </xf>
    <xf numFmtId="0" fontId="19" fillId="0" borderId="26" applyAlignment="1" pivotButton="0" quotePrefix="0" xfId="0">
      <alignment horizontal="left" vertical="center"/>
    </xf>
    <xf numFmtId="0" fontId="19" fillId="0" borderId="25" applyAlignment="1" pivotButton="0" quotePrefix="0" xfId="0">
      <alignment horizontal="center" vertical="center"/>
    </xf>
    <xf numFmtId="9" fontId="24" fillId="4" borderId="5" pivotButton="0" quotePrefix="0" xfId="0"/>
    <xf numFmtId="0" fontId="24" fillId="5" borderId="5" pivotButton="0" quotePrefix="0" xfId="0"/>
    <xf numFmtId="0" fontId="2" fillId="0" borderId="5" pivotButton="0" quotePrefix="0" xfId="0"/>
    <xf numFmtId="0" fontId="2" fillId="4" borderId="5" pivotButton="0" quotePrefix="0" xfId="0"/>
    <xf numFmtId="165" fontId="2" fillId="10" borderId="5" pivotButton="0" quotePrefix="0" xfId="0"/>
    <xf numFmtId="0" fontId="25" fillId="0" borderId="0" pivotButton="0" quotePrefix="0" xfId="0"/>
    <xf numFmtId="0" fontId="19" fillId="0" borderId="27" applyAlignment="1" pivotButton="0" quotePrefix="0" xfId="0">
      <alignment horizontal="center" vertical="center"/>
    </xf>
    <xf numFmtId="0" fontId="19" fillId="0" borderId="25" applyAlignment="1" pivotButton="0" quotePrefix="0" xfId="0">
      <alignment horizontal="left" vertical="center"/>
    </xf>
    <xf numFmtId="0" fontId="24" fillId="4" borderId="5" applyAlignment="1" pivotButton="0" quotePrefix="0" xfId="0">
      <alignment horizontal="center"/>
    </xf>
    <xf numFmtId="0" fontId="1" fillId="0" borderId="0" pivotButton="0" quotePrefix="0" xfId="0"/>
    <xf numFmtId="0" fontId="3" fillId="11" borderId="12" applyAlignment="1" pivotButton="0" quotePrefix="0" xfId="0">
      <alignment horizontal="left" vertical="center"/>
    </xf>
    <xf numFmtId="0" fontId="18" fillId="13" borderId="1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0" fontId="19" fillId="4" borderId="25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 textRotation="180"/>
    </xf>
    <xf numFmtId="0" fontId="8" fillId="0" borderId="0" pivotButton="0" quotePrefix="0" xfId="0"/>
    <xf numFmtId="0" fontId="19" fillId="4" borderId="12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2" fontId="8" fillId="0" borderId="0" pivotButton="0" quotePrefix="0" xfId="0"/>
    <xf numFmtId="2" fontId="3" fillId="11" borderId="12" applyAlignment="1" pivotButton="0" quotePrefix="0" xfId="0">
      <alignment horizontal="left" vertical="center"/>
    </xf>
    <xf numFmtId="0" fontId="3" fillId="11" borderId="29" applyAlignment="1" pivotButton="0" quotePrefix="0" xfId="0">
      <alignment horizontal="left" vertical="center"/>
    </xf>
    <xf numFmtId="2" fontId="3" fillId="11" borderId="29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0" fontId="18" fillId="12" borderId="30" applyAlignment="1" pivotButton="0" quotePrefix="0" xfId="0">
      <alignment horizontal="center" vertical="bottom" wrapText="1"/>
    </xf>
    <xf numFmtId="0" fontId="18" fillId="12" borderId="30" applyAlignment="1" pivotButton="0" quotePrefix="0" xfId="0">
      <alignment horizontal="center" vertical="bottom" wrapText="1"/>
    </xf>
    <xf numFmtId="2" fontId="18" fillId="12" borderId="30" applyAlignment="1" pivotButton="0" quotePrefix="0" xfId="0">
      <alignment horizontal="center" vertical="bottom" wrapText="1"/>
    </xf>
    <xf numFmtId="0" fontId="18" fillId="12" borderId="30" applyAlignment="1" pivotButton="0" quotePrefix="0" xfId="0">
      <alignment horizontal="center" vertical="bottom" textRotation="180"/>
    </xf>
    <xf numFmtId="0" fontId="18" fillId="12" borderId="30" applyAlignment="1" pivotButton="0" quotePrefix="0" xfId="0">
      <alignment horizontal="center" vertical="bottom" textRotation="180"/>
    </xf>
    <xf numFmtId="2" fontId="19" fillId="0" borderId="25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 wrapText="1"/>
    </xf>
    <xf numFmtId="2" fontId="18" fillId="12" borderId="25" applyAlignment="1" pivotButton="0" quotePrefix="0" xfId="0">
      <alignment horizontal="center" vertical="bottom" wrapText="1"/>
    </xf>
    <xf numFmtId="0" fontId="19" fillId="4" borderId="12" applyAlignment="1" pivotButton="0" quotePrefix="0" xfId="0">
      <alignment horizontal="center" vertical="center" wrapText="1"/>
    </xf>
    <xf numFmtId="0" fontId="18" fillId="12" borderId="31" applyAlignment="1" pivotButton="0" quotePrefix="0" xfId="0">
      <alignment horizontal="center" vertical="bottom" textRotation="180"/>
    </xf>
    <xf numFmtId="0" fontId="19" fillId="0" borderId="31" applyAlignment="1" pivotButton="0" quotePrefix="0" xfId="0">
      <alignment horizontal="center" vertical="center"/>
    </xf>
    <xf numFmtId="3" fontId="2" fillId="10" borderId="5" pivotButton="0" quotePrefix="0" xfId="0"/>
    <xf numFmtId="0" fontId="26" fillId="10" borderId="5" pivotButton="0" quotePrefix="0" xfId="0"/>
    <xf numFmtId="0" fontId="25" fillId="0" borderId="0" pivotButton="0" quotePrefix="0" xfId="0"/>
    <xf numFmtId="0" fontId="18" fillId="13" borderId="12" applyAlignment="1" pivotButton="0" quotePrefix="0" xfId="0">
      <alignment horizontal="left" vertical="center"/>
    </xf>
    <xf numFmtId="0" fontId="3" fillId="11" borderId="29" applyAlignment="1" pivotButton="0" quotePrefix="0" xfId="0">
      <alignment horizontal="left" vertical="center"/>
    </xf>
    <xf numFmtId="0" fontId="18" fillId="12" borderId="0" applyAlignment="1" pivotButton="0" quotePrefix="0" xfId="0">
      <alignment horizontal="center" vertical="bottom" wrapText="1"/>
    </xf>
    <xf numFmtId="0" fontId="18" fillId="12" borderId="2" applyAlignment="1" pivotButton="0" quotePrefix="0" xfId="0">
      <alignment horizontal="center" vertical="bottom" textRotation="180"/>
    </xf>
    <xf numFmtId="0" fontId="18" fillId="12" borderId="0" applyAlignment="1" pivotButton="0" quotePrefix="0" xfId="0">
      <alignment horizontal="center" vertical="bottom" textRotation="180"/>
    </xf>
    <xf numFmtId="0" fontId="18" fillId="12" borderId="32" applyAlignment="1" pivotButton="0" quotePrefix="0" xfId="0">
      <alignment horizontal="center" vertical="bottom" textRotation="180"/>
    </xf>
    <xf numFmtId="0" fontId="19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9" fillId="0" borderId="32" applyAlignment="1" pivotButton="0" quotePrefix="0" xfId="0">
      <alignment horizontal="center" vertical="center"/>
    </xf>
    <xf numFmtId="0" fontId="18" fillId="12" borderId="26" applyAlignment="1" pivotButton="0" quotePrefix="0" xfId="0">
      <alignment horizontal="center" vertical="bottom" wrapText="1"/>
    </xf>
    <xf numFmtId="0" fontId="18" fillId="12" borderId="31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center" vertical="center"/>
    </xf>
    <xf numFmtId="0" fontId="19" fillId="0" borderId="31" applyAlignment="1" pivotButton="0" quotePrefix="0" xfId="0">
      <alignment horizontal="center" vertical="center"/>
    </xf>
    <xf numFmtId="0" fontId="6" fillId="0" borderId="0" pivotButton="0" quotePrefix="0" xfId="0"/>
    <xf numFmtId="0" fontId="3" fillId="11" borderId="0" applyAlignment="1" pivotButton="0" quotePrefix="0" xfId="0">
      <alignment horizontal="left" vertical="center"/>
    </xf>
    <xf numFmtId="0" fontId="18" fillId="13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18" fillId="12" borderId="26" applyAlignment="1" pivotButton="0" quotePrefix="0" xfId="0">
      <alignment horizontal="center" vertical="bottom"/>
    </xf>
    <xf numFmtId="0" fontId="18" fillId="12" borderId="31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center" vertical="center"/>
    </xf>
    <xf numFmtId="0" fontId="19" fillId="0" borderId="31" applyAlignment="1" pivotButton="0" quotePrefix="0" xfId="0">
      <alignment horizontal="center" vertical="center"/>
    </xf>
    <xf numFmtId="0" fontId="1" fillId="0" borderId="0" pivotButton="0" quotePrefix="0" xfId="0"/>
    <xf numFmtId="0" fontId="3" fillId="11" borderId="0" applyAlignment="1" pivotButton="0" quotePrefix="0" xfId="0">
      <alignment horizontal="left" vertical="center"/>
    </xf>
    <xf numFmtId="0" fontId="27" fillId="17" borderId="33" pivotButton="0" quotePrefix="0" xfId="0"/>
    <xf numFmtId="0" fontId="28" fillId="18" borderId="34" applyAlignment="1" pivotButton="0" quotePrefix="0" xfId="0">
      <alignment horizontal="center" wrapText="1"/>
    </xf>
    <xf numFmtId="0" fontId="4" fillId="0" borderId="35" pivotButton="0" quotePrefix="0" xfId="0"/>
    <xf numFmtId="0" fontId="4" fillId="0" borderId="36" pivotButton="0" quotePrefix="0" xfId="0"/>
    <xf numFmtId="0" fontId="29" fillId="19" borderId="33" applyAlignment="1" pivotButton="0" quotePrefix="0" xfId="0">
      <alignment horizontal="center" wrapText="1"/>
    </xf>
    <xf numFmtId="0" fontId="30" fillId="19" borderId="33" applyAlignment="1" pivotButton="0" quotePrefix="0" xfId="0">
      <alignment horizontal="center" wrapText="1"/>
    </xf>
    <xf numFmtId="0" fontId="30" fillId="20" borderId="34" applyAlignment="1" pivotButton="0" quotePrefix="0" xfId="0">
      <alignment horizontal="center" wrapText="1"/>
    </xf>
    <xf numFmtId="0" fontId="30" fillId="21" borderId="33" applyAlignment="1" pivotButton="0" quotePrefix="0" xfId="0">
      <alignment horizontal="center" wrapText="1"/>
    </xf>
    <xf numFmtId="0" fontId="30" fillId="21" borderId="33" applyAlignment="1" pivotButton="0" quotePrefix="0" xfId="0">
      <alignment horizontal="center" vertical="bottom" wrapText="1"/>
    </xf>
    <xf numFmtId="0" fontId="14" fillId="17" borderId="33" applyAlignment="1" pivotButton="0" quotePrefix="0" xfId="0">
      <alignment vertical="bottom"/>
    </xf>
    <xf numFmtId="0" fontId="30" fillId="21" borderId="34" applyAlignment="1" pivotButton="0" quotePrefix="0" xfId="0">
      <alignment horizontal="center" wrapText="1"/>
    </xf>
    <xf numFmtId="0" fontId="30" fillId="22" borderId="33" applyAlignment="1" pivotButton="0" quotePrefix="0" xfId="0">
      <alignment horizontal="center" wrapText="1"/>
    </xf>
    <xf numFmtId="0" fontId="30" fillId="23" borderId="34" applyAlignment="1" pivotButton="0" quotePrefix="0" xfId="0">
      <alignment horizontal="center" wrapText="1"/>
    </xf>
    <xf numFmtId="0" fontId="30" fillId="24" borderId="34" applyAlignment="1" pivotButton="0" quotePrefix="0" xfId="0">
      <alignment horizontal="center" wrapText="1"/>
    </xf>
    <xf numFmtId="0" fontId="30" fillId="23" borderId="33" applyAlignment="1" pivotButton="0" quotePrefix="0" xfId="0">
      <alignment horizontal="center" wrapText="1"/>
    </xf>
    <xf numFmtId="0" fontId="30" fillId="17" borderId="34" applyAlignment="1" pivotButton="0" quotePrefix="0" xfId="0">
      <alignment horizontal="center" wrapText="1"/>
    </xf>
    <xf numFmtId="0" fontId="30" fillId="17" borderId="33" applyAlignment="1" pivotButton="0" quotePrefix="0" xfId="0">
      <alignment horizontal="center" wrapText="1"/>
    </xf>
    <xf numFmtId="0" fontId="31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32" fillId="0" borderId="0" applyAlignment="1" pivotButton="0" quotePrefix="0" xfId="0">
      <alignment horizontal="center"/>
    </xf>
    <xf numFmtId="0" fontId="33" fillId="0" borderId="0" pivotButton="0" quotePrefix="0" xfId="0"/>
    <xf numFmtId="0" fontId="31" fillId="0" borderId="0" pivotButton="0" quotePrefix="0" xfId="0"/>
    <xf numFmtId="0" fontId="8" fillId="0" borderId="0" applyAlignment="1" pivotButton="0" quotePrefix="0" xfId="0">
      <alignment horizontal="center" wrapText="1"/>
    </xf>
    <xf numFmtId="0" fontId="18" fillId="12" borderId="32" applyAlignment="1" pivotButton="0" quotePrefix="0" xfId="0">
      <alignment horizontal="center" vertical="bottom" wrapText="1"/>
    </xf>
    <xf numFmtId="0" fontId="19" fillId="0" borderId="0" applyAlignment="1" pivotButton="0" quotePrefix="0" xfId="0">
      <alignment horizontal="right" vertical="center"/>
    </xf>
    <xf numFmtId="0" fontId="34" fillId="0" borderId="0" pivotButton="0" quotePrefix="0" xfId="0"/>
    <xf numFmtId="0" fontId="31" fillId="0" borderId="0" pivotButton="0" quotePrefix="0" xfId="0"/>
    <xf numFmtId="0" fontId="3" fillId="25" borderId="12" pivotButton="0" quotePrefix="0" xfId="0"/>
    <xf numFmtId="0" fontId="3" fillId="26" borderId="12" pivotButton="0" quotePrefix="0" xfId="0"/>
    <xf numFmtId="0" fontId="3" fillId="27" borderId="12" pivotButton="0" quotePrefix="0" xfId="0"/>
    <xf numFmtId="0" fontId="3" fillId="28" borderId="12" pivotButton="0" quotePrefix="0" xfId="0"/>
    <xf numFmtId="0" fontId="24" fillId="9" borderId="5" applyAlignment="1" pivotButton="0" quotePrefix="0" xfId="0">
      <alignment horizontal="center"/>
    </xf>
    <xf numFmtId="0" fontId="24" fillId="29" borderId="5" applyAlignment="1" pivotButton="0" quotePrefix="0" xfId="0">
      <alignment horizontal="center"/>
    </xf>
    <xf numFmtId="0" fontId="24" fillId="10" borderId="5" applyAlignment="1" pivotButton="0" quotePrefix="0" xfId="0">
      <alignment horizontal="center"/>
    </xf>
    <xf numFmtId="0" fontId="35" fillId="30" borderId="12" pivotButton="0" quotePrefix="0" xfId="0"/>
    <xf numFmtId="0" fontId="19" fillId="0" borderId="0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6" fontId="19" fillId="0" borderId="0" applyAlignment="1" pivotButton="0" quotePrefix="0" xfId="0">
      <alignment horizontal="center"/>
    </xf>
    <xf numFmtId="0" fontId="17" fillId="0" borderId="0" pivotButton="0" quotePrefix="0" xfId="0"/>
    <xf numFmtId="0" fontId="9" fillId="0" borderId="0" pivotButton="0" quotePrefix="0" xfId="0"/>
    <xf numFmtId="0" fontId="9" fillId="4" borderId="12" pivotButton="0" quotePrefix="0" xfId="0"/>
    <xf numFmtId="0" fontId="36" fillId="0" borderId="0" pivotButton="0" quotePrefix="0" xfId="0"/>
    <xf numFmtId="0" fontId="9" fillId="31" borderId="12" applyAlignment="1" pivotButton="0" quotePrefix="0" xfId="0">
      <alignment horizontal="center"/>
    </xf>
    <xf numFmtId="0" fontId="18" fillId="0" borderId="0" pivotButton="0" quotePrefix="0" xfId="0"/>
    <xf numFmtId="0" fontId="24" fillId="0" borderId="5" pivotButton="0" quotePrefix="0" xfId="0"/>
    <xf numFmtId="167" fontId="2" fillId="32" borderId="5" pivotButton="0" quotePrefix="0" xfId="0"/>
    <xf numFmtId="168" fontId="2" fillId="0" borderId="5" pivotButton="0" quotePrefix="0" xfId="0"/>
    <xf numFmtId="0" fontId="24" fillId="33" borderId="5" pivotButton="0" quotePrefix="0" xfId="0"/>
    <xf numFmtId="167" fontId="2" fillId="10" borderId="5" pivotButton="0" quotePrefix="0" xfId="0"/>
    <xf numFmtId="0" fontId="24" fillId="4" borderId="5" pivotButton="0" quotePrefix="0" xfId="0"/>
    <xf numFmtId="0" fontId="37" fillId="0" borderId="0" pivotButton="0" quotePrefix="0" xfId="0"/>
    <xf numFmtId="0" fontId="34" fillId="0" borderId="0" pivotButton="0" quotePrefix="0" xfId="0"/>
    <xf numFmtId="0" fontId="9" fillId="4" borderId="5" applyAlignment="1" pivotButton="0" quotePrefix="0" xfId="0">
      <alignment horizontal="center"/>
    </xf>
    <xf numFmtId="0" fontId="9" fillId="4" borderId="5" applyAlignment="1" pivotButton="0" quotePrefix="0" xfId="0">
      <alignment horizontal="center"/>
    </xf>
    <xf numFmtId="0" fontId="24" fillId="9" borderId="5" applyAlignment="1" pivotButton="0" quotePrefix="0" xfId="0">
      <alignment horizontal="center" textRotation="180"/>
    </xf>
    <xf numFmtId="0" fontId="24" fillId="29" borderId="5" applyAlignment="1" pivotButton="0" quotePrefix="0" xfId="0">
      <alignment horizontal="center" textRotation="180"/>
    </xf>
    <xf numFmtId="0" fontId="24" fillId="10" borderId="5" applyAlignment="1" pivotButton="0" quotePrefix="0" xfId="0">
      <alignment horizontal="center" textRotation="180"/>
    </xf>
    <xf numFmtId="0" fontId="5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0" fontId="2" fillId="5" borderId="5" pivotButton="0" quotePrefix="0" xfId="0"/>
    <xf numFmtId="4" fontId="9" fillId="9" borderId="5" applyAlignment="1" pivotButton="0" quotePrefix="0" xfId="0">
      <alignment horizontal="center"/>
    </xf>
    <xf numFmtId="4" fontId="9" fillId="29" borderId="5" applyAlignment="1" pivotButton="0" quotePrefix="0" xfId="0">
      <alignment horizontal="center"/>
    </xf>
    <xf numFmtId="168" fontId="9" fillId="10" borderId="5" applyAlignment="1" pivotButton="0" quotePrefix="0" xfId="0">
      <alignment horizontal="center"/>
    </xf>
    <xf numFmtId="0" fontId="37" fillId="0" borderId="0" pivotButton="0" quotePrefix="0" xfId="0"/>
    <xf numFmtId="0" fontId="36" fillId="0" borderId="0" pivotButton="0" quotePrefix="0" xfId="0"/>
    <xf numFmtId="0" fontId="18" fillId="13" borderId="0" applyAlignment="1" pivotButton="0" quotePrefix="0" xfId="0">
      <alignment horizontal="right" vertical="center"/>
    </xf>
    <xf numFmtId="0" fontId="8" fillId="5" borderId="0" pivotButton="0" quotePrefix="0" xfId="0"/>
    <xf numFmtId="0" fontId="18" fillId="12" borderId="26" applyAlignment="1" pivotButton="0" quotePrefix="0" xfId="0">
      <alignment horizontal="center" vertical="bottom" textRotation="180"/>
    </xf>
    <xf numFmtId="0" fontId="8" fillId="0" borderId="0" applyAlignment="1" pivotButton="0" quotePrefix="0" xfId="0">
      <alignment horizontal="left"/>
    </xf>
    <xf numFmtId="0" fontId="28" fillId="34" borderId="23" applyAlignment="1" pivotButton="0" quotePrefix="0" xfId="0">
      <alignment vertical="center"/>
    </xf>
    <xf numFmtId="0" fontId="4" fillId="0" borderId="37" pivotButton="0" quotePrefix="0" xfId="0"/>
    <xf numFmtId="0" fontId="4" fillId="0" borderId="38" pivotButton="0" quotePrefix="0" xfId="0"/>
    <xf numFmtId="0" fontId="38" fillId="0" borderId="18" applyAlignment="1" pivotButton="0" quotePrefix="0" xfId="0">
      <alignment vertical="center" wrapText="1"/>
    </xf>
    <xf numFmtId="0" fontId="38" fillId="0" borderId="18" applyAlignment="1" pivotButton="0" quotePrefix="0" xfId="0">
      <alignment horizontal="center" vertical="center" wrapText="1"/>
    </xf>
    <xf numFmtId="0" fontId="38" fillId="0" borderId="18" applyAlignment="1" pivotButton="0" quotePrefix="0" xfId="0">
      <alignment horizontal="center" vertical="center" wrapText="1"/>
    </xf>
    <xf numFmtId="0" fontId="39" fillId="0" borderId="0" applyAlignment="1" pivotButton="0" quotePrefix="0" xfId="0">
      <alignment vertical="center" wrapText="1"/>
    </xf>
    <xf numFmtId="0" fontId="39" fillId="35" borderId="1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 wrapText="1"/>
    </xf>
    <xf numFmtId="0" fontId="41" fillId="36" borderId="39" applyAlignment="1" pivotButton="0" quotePrefix="0" xfId="0">
      <alignment horizontal="left" vertical="center"/>
    </xf>
    <xf numFmtId="0" fontId="40" fillId="0" borderId="0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1" fillId="36" borderId="12" applyAlignment="1" pivotButton="0" quotePrefix="0" xfId="0">
      <alignment horizontal="center" vertical="center"/>
    </xf>
    <xf numFmtId="0" fontId="41" fillId="36" borderId="12" applyAlignment="1" pivotButton="0" quotePrefix="0" xfId="0">
      <alignment horizontal="left" vertical="center"/>
    </xf>
    <xf numFmtId="0" fontId="28" fillId="34" borderId="40" applyAlignment="1" pivotButton="0" quotePrefix="0" xfId="0">
      <alignment vertical="center"/>
    </xf>
    <xf numFmtId="0" fontId="28" fillId="34" borderId="41" applyAlignment="1" pivotButton="0" quotePrefix="0" xfId="0">
      <alignment vertical="center"/>
    </xf>
    <xf numFmtId="0" fontId="28" fillId="34" borderId="42" applyAlignment="1" pivotButton="0" quotePrefix="0" xfId="0">
      <alignment vertical="center"/>
    </xf>
    <xf numFmtId="0" fontId="38" fillId="0" borderId="18" applyAlignment="1" pivotButton="0" quotePrefix="0" xfId="0">
      <alignment vertical="center" wrapText="1"/>
    </xf>
    <xf numFmtId="0" fontId="42" fillId="37" borderId="39" applyAlignment="1" pivotButton="0" quotePrefix="0" xfId="0">
      <alignment horizontal="center" vertical="center"/>
    </xf>
    <xf numFmtId="2" fontId="43" fillId="35" borderId="39" applyAlignment="1" pivotButton="0" quotePrefix="0" xfId="0">
      <alignment horizontal="center"/>
    </xf>
    <xf numFmtId="2" fontId="44" fillId="36" borderId="12" applyAlignment="1" pivotButton="0" quotePrefix="0" xfId="0">
      <alignment horizontal="center"/>
    </xf>
    <xf numFmtId="2" fontId="41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horizontal="center" vertical="center"/>
    </xf>
    <xf numFmtId="2" fontId="43" fillId="35" borderId="12" applyAlignment="1" pivotButton="0" quotePrefix="0" xfId="0">
      <alignment horizontal="center"/>
    </xf>
    <xf numFmtId="0" fontId="43" fillId="0" borderId="0" applyAlignment="1" pivotButton="0" quotePrefix="0" xfId="0">
      <alignment wrapText="1"/>
    </xf>
    <xf numFmtId="2" fontId="45" fillId="37" borderId="12" applyAlignment="1" pivotButton="0" quotePrefix="0" xfId="0">
      <alignment horizontal="center"/>
    </xf>
    <xf numFmtId="0" fontId="14" fillId="0" borderId="0" applyAlignment="1" pivotButton="0" quotePrefix="0" xfId="0">
      <alignment vertical="bottom"/>
    </xf>
    <xf numFmtId="0" fontId="39" fillId="0" borderId="18" applyAlignment="1" pivotButton="0" quotePrefix="0" xfId="0">
      <alignment vertical="center" wrapText="1"/>
    </xf>
    <xf numFmtId="0" fontId="42" fillId="37" borderId="15" applyAlignment="1" pivotButton="0" quotePrefix="0" xfId="0">
      <alignment horizontal="center" vertical="center"/>
    </xf>
    <xf numFmtId="2" fontId="44" fillId="36" borderId="15" applyAlignment="1" pivotButton="0" quotePrefix="0" xfId="0">
      <alignment horizontal="center"/>
    </xf>
    <xf numFmtId="2" fontId="41" fillId="36" borderId="15" applyAlignment="1" pivotButton="0" quotePrefix="0" xfId="0">
      <alignment horizontal="center" vertical="center"/>
    </xf>
    <xf numFmtId="2" fontId="41" fillId="36" borderId="39" applyAlignment="1" pivotButton="0" quotePrefix="0" xfId="0">
      <alignment horizontal="center" vertical="center"/>
    </xf>
    <xf numFmtId="0" fontId="39" fillId="35" borderId="12" applyAlignment="1" pivotButton="0" quotePrefix="0" xfId="0">
      <alignment horizontal="center" vertical="center"/>
    </xf>
    <xf numFmtId="0" fontId="46" fillId="0" borderId="0" pivotButton="0" quotePrefix="0" xfId="0"/>
    <xf numFmtId="164" fontId="39" fillId="35" borderId="12" applyAlignment="1" pivotButton="0" quotePrefix="0" xfId="0">
      <alignment horizontal="center" vertical="center"/>
    </xf>
    <xf numFmtId="164" fontId="39" fillId="35" borderId="12" applyAlignment="1" pivotButton="0" quotePrefix="0" xfId="0">
      <alignment horizontal="center" vertical="center"/>
    </xf>
    <xf numFmtId="164" fontId="41" fillId="36" borderId="12" applyAlignment="1" pivotButton="0" quotePrefix="0" xfId="0">
      <alignment horizontal="center" vertical="center"/>
    </xf>
    <xf numFmtId="0" fontId="47" fillId="0" borderId="0" pivotButton="0" quotePrefix="0" xfId="0"/>
    <xf numFmtId="0" fontId="28" fillId="34" borderId="23" applyAlignment="1" pivotButton="0" quotePrefix="0" xfId="0">
      <alignment vertical="center"/>
    </xf>
    <xf numFmtId="0" fontId="39" fillId="0" borderId="0" applyAlignment="1" pivotButton="0" quotePrefix="0" xfId="0">
      <alignment horizontal="right" vertical="center" wrapText="1"/>
    </xf>
    <xf numFmtId="0" fontId="48" fillId="0" borderId="0" pivotButton="0" quotePrefix="0" xfId="0"/>
    <xf numFmtId="0" fontId="49" fillId="0" borderId="0" pivotButton="0" quotePrefix="0" xfId="0"/>
    <xf numFmtId="0" fontId="33" fillId="0" borderId="0" applyAlignment="1" pivotButton="0" quotePrefix="0" xfId="0">
      <alignment horizontal="center"/>
    </xf>
    <xf numFmtId="0" fontId="33" fillId="0" borderId="2" applyAlignment="1" pivotButton="0" quotePrefix="0" xfId="0">
      <alignment horizontal="center"/>
    </xf>
    <xf numFmtId="10" fontId="8" fillId="0" borderId="3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8" fillId="0" borderId="3" pivotButton="0" quotePrefix="0" xfId="0"/>
    <xf numFmtId="10" fontId="33" fillId="0" borderId="3" applyAlignment="1" pivotButton="0" quotePrefix="0" xfId="0">
      <alignment horizontal="center"/>
    </xf>
    <xf numFmtId="0" fontId="33" fillId="0" borderId="3" applyAlignment="1" pivotButton="0" quotePrefix="0" xfId="0">
      <alignment horizontal="center"/>
    </xf>
    <xf numFmtId="0" fontId="39" fillId="35" borderId="12" applyAlignment="1" pivotButton="0" quotePrefix="0" xfId="0">
      <alignment vertical="center"/>
    </xf>
    <xf numFmtId="0" fontId="41" fillId="36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4" borderId="0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8" fillId="4" borderId="3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10" fontId="8" fillId="0" borderId="3" pivotButton="0" quotePrefix="0" xfId="0"/>
    <xf numFmtId="0" fontId="8" fillId="0" borderId="2" pivotButton="0" quotePrefix="0" xfId="0"/>
    <xf numFmtId="0" fontId="8" fillId="0" borderId="3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28" fillId="34" borderId="37" applyAlignment="1" pivotButton="0" quotePrefix="0" xfId="0">
      <alignment vertical="center"/>
    </xf>
    <xf numFmtId="0" fontId="38" fillId="0" borderId="17" applyAlignment="1" pivotButton="0" quotePrefix="0" xfId="0">
      <alignment horizontal="right" vertical="center" wrapText="1"/>
    </xf>
    <xf numFmtId="0" fontId="39" fillId="35" borderId="23" applyAlignment="1" pivotButton="0" quotePrefix="0" xfId="0">
      <alignment horizontal="center" vertical="center"/>
    </xf>
    <xf numFmtId="0" fontId="39" fillId="35" borderId="43" applyAlignment="1" pivotButton="0" quotePrefix="0" xfId="0">
      <alignment horizontal="right" vertical="center"/>
    </xf>
    <xf numFmtId="0" fontId="39" fillId="35" borderId="37" applyAlignment="1" pivotButton="0" quotePrefix="0" xfId="0">
      <alignment horizontal="center" vertical="center"/>
    </xf>
    <xf numFmtId="10" fontId="8" fillId="0" borderId="0" applyAlignment="1" pivotButton="0" quotePrefix="0" xfId="0">
      <alignment horizontal="center"/>
    </xf>
    <xf numFmtId="0" fontId="33" fillId="0" borderId="18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0" fontId="8" fillId="10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10" fontId="8" fillId="10" borderId="0" applyAlignment="1" pivotButton="0" quotePrefix="0" xfId="0">
      <alignment horizontal="center"/>
    </xf>
    <xf numFmtId="1" fontId="33" fillId="0" borderId="0" applyAlignment="1" pivotButton="0" quotePrefix="0" xfId="0">
      <alignment horizontal="center"/>
    </xf>
    <xf numFmtId="0" fontId="33" fillId="0" borderId="17" applyAlignment="1" pivotButton="0" quotePrefix="0" xfId="0">
      <alignment horizontal="center"/>
    </xf>
    <xf numFmtId="10" fontId="33" fillId="0" borderId="19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33" fillId="0" borderId="19" applyAlignment="1" pivotButton="0" quotePrefix="0" xfId="0">
      <alignment horizontal="center"/>
    </xf>
    <xf numFmtId="0" fontId="8" fillId="10" borderId="3" applyAlignment="1" pivotButton="0" quotePrefix="0" xfId="0">
      <alignment horizontal="center"/>
    </xf>
    <xf numFmtId="10" fontId="8" fillId="10" borderId="3" applyAlignment="1" pivotButton="0" quotePrefix="0" xfId="0">
      <alignment horizontal="center"/>
    </xf>
    <xf numFmtId="0" fontId="39" fillId="35" borderId="12" applyAlignment="1" pivotButton="0" quotePrefix="0" xfId="0">
      <alignment vertical="center"/>
    </xf>
    <xf numFmtId="0" fontId="4" fillId="0" borderId="18" pivotButton="0" quotePrefix="0" xfId="0"/>
    <xf numFmtId="0" fontId="28" fillId="34" borderId="44" applyAlignment="1" pivotButton="0" quotePrefix="0" xfId="0">
      <alignment vertical="center"/>
    </xf>
    <xf numFmtId="0" fontId="33" fillId="0" borderId="18" pivotButton="0" quotePrefix="0" xfId="0"/>
    <xf numFmtId="0" fontId="8" fillId="10" borderId="0" pivotButton="0" quotePrefix="0" xfId="0"/>
    <xf numFmtId="0" fontId="8" fillId="0" borderId="0" applyAlignment="1" pivotButton="0" quotePrefix="0" xfId="0">
      <alignment/>
    </xf>
    <xf numFmtId="0" fontId="8" fillId="34" borderId="0" pivotButton="0" quotePrefix="0" xfId="0"/>
    <xf numFmtId="0" fontId="14" fillId="0" borderId="18" applyAlignment="1" pivotButton="0" quotePrefix="0" xfId="0">
      <alignment horizontal="center" vertical="bottom"/>
    </xf>
    <xf numFmtId="0" fontId="14" fillId="0" borderId="17" applyAlignment="1" pivotButton="0" quotePrefix="0" xfId="0">
      <alignment horizontal="center" vertical="bottom"/>
    </xf>
    <xf numFmtId="0" fontId="14" fillId="0" borderId="14" applyAlignment="1" pivotButton="0" quotePrefix="0" xfId="0">
      <alignment horizontal="center" vertical="bottom"/>
    </xf>
    <xf numFmtId="0" fontId="41" fillId="36" borderId="12" applyAlignment="1" pivotButton="0" quotePrefix="0" xfId="0">
      <alignment horizontal="center" vertical="center"/>
    </xf>
    <xf numFmtId="0" fontId="41" fillId="36" borderId="12" applyAlignment="1" pivotButton="0" quotePrefix="0" xfId="0">
      <alignment horizontal="left" vertical="center"/>
    </xf>
    <xf numFmtId="0" fontId="41" fillId="36" borderId="12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10" fontId="1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center"/>
    </xf>
    <xf numFmtId="0" fontId="50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/>
    </xf>
    <xf numFmtId="0" fontId="51" fillId="27" borderId="12" pivotButton="0" quotePrefix="0" xfId="0"/>
    <xf numFmtId="0" fontId="24" fillId="29" borderId="12" pivotButton="0" quotePrefix="0" xfId="0"/>
    <xf numFmtId="0" fontId="26" fillId="4" borderId="12" applyAlignment="1" pivotButton="0" quotePrefix="0" xfId="0">
      <alignment horizontal="center"/>
    </xf>
    <xf numFmtId="0" fontId="52" fillId="0" borderId="0" pivotButton="0" quotePrefix="0" xfId="0"/>
    <xf numFmtId="0" fontId="26" fillId="4" borderId="12" applyAlignment="1" pivotButton="0" quotePrefix="0" xfId="0">
      <alignment horizontal="center"/>
    </xf>
    <xf numFmtId="0" fontId="26" fillId="8" borderId="12" applyAlignment="1" pivotButton="0" quotePrefix="0" xfId="0">
      <alignment horizontal="center"/>
    </xf>
    <xf numFmtId="0" fontId="26" fillId="10" borderId="12" pivotButton="0" quotePrefix="0" xfId="0"/>
    <xf numFmtId="0" fontId="51" fillId="11" borderId="12" pivotButton="0" quotePrefix="0" xfId="0"/>
    <xf numFmtId="0" fontId="19" fillId="10" borderId="12" pivotButton="0" quotePrefix="0" xfId="0"/>
    <xf numFmtId="0" fontId="53" fillId="10" borderId="12" pivotButton="0" quotePrefix="0" xfId="0"/>
    <xf numFmtId="0" fontId="54" fillId="0" borderId="0" applyAlignment="1" pivotButton="0" quotePrefix="0" xfId="0">
      <alignment vertical="bottom" wrapText="1"/>
    </xf>
    <xf numFmtId="0" fontId="33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4" fontId="21" fillId="0" borderId="0" applyAlignment="1" pivotButton="0" quotePrefix="0" xfId="0">
      <alignment horizontal="right" vertical="bottom"/>
    </xf>
    <xf numFmtId="170" fontId="33" fillId="0" borderId="0" applyAlignment="1" pivotButton="0" quotePrefix="0" xfId="0">
      <alignment wrapText="1"/>
    </xf>
    <xf numFmtId="170" fontId="8" fillId="0" borderId="0" pivotButton="0" quotePrefix="0" xfId="0"/>
    <xf numFmtId="170" fontId="8" fillId="0" borderId="0" pivotButton="0" quotePrefix="0" xfId="0"/>
    <xf numFmtId="0" fontId="33" fillId="0" borderId="0" applyAlignment="1" pivotButton="0" quotePrefix="0" xfId="0">
      <alignment horizontal="center" wrapText="1"/>
    </xf>
    <xf numFmtId="0" fontId="0" fillId="0" borderId="0" pivotButton="0" quotePrefix="0" xfId="0"/>
  </cellXfs>
  <cellStyles count="1">
    <cellStyle name="Normal" xfId="0" builtinId="0"/>
  </cellStyles>
  <dxfs count="10">
    <dxf>
      <font>
        <b val="1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 val="1"/>
        <i val="1"/>
        <color rgb="FFB7B7B7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V252"/>
  <sheetViews>
    <sheetView showGridLines="0" workbookViewId="0">
      <selection activeCell="A1" sqref="A1"/>
    </sheetView>
  </sheetViews>
  <sheetFormatPr baseColWidth="8" defaultColWidth="12.63" defaultRowHeight="15" customHeight="1"/>
  <cols>
    <col width="27.88" customWidth="1" style="397" min="1" max="1"/>
    <col width="10.63" customWidth="1" style="397" min="2" max="2"/>
    <col width="9.130000000000001" customWidth="1" style="397" min="3" max="3"/>
    <col width="10.63" customWidth="1" style="397" min="4" max="4"/>
    <col width="10" customWidth="1" style="397" min="5" max="5"/>
    <col width="13.88" customWidth="1" style="397" min="6" max="6"/>
    <col width="63.13" customWidth="1" style="397" min="7" max="7"/>
    <col width="10" customWidth="1" style="397" min="8" max="11"/>
    <col width="6.63" customWidth="1" style="397" min="12" max="22"/>
    <col width="7.63" customWidth="1" style="397" min="23" max="26"/>
  </cols>
  <sheetData>
    <row r="1">
      <c r="A1" s="203" t="inlineStr">
        <is>
          <t>EcoGainsSim PlybyPly</t>
        </is>
      </c>
    </row>
    <row r="2">
      <c r="A2" s="377" t="inlineStr">
        <is>
          <t>Config Panel</t>
        </is>
      </c>
      <c r="B2" s="377" t="n"/>
      <c r="C2" s="377" t="n"/>
    </row>
    <row r="3">
      <c r="A3" s="378" t="inlineStr">
        <is>
          <t>Calendar</t>
        </is>
      </c>
      <c r="B3" s="381" t="inlineStr">
        <is>
          <t>cal_new</t>
        </is>
      </c>
      <c r="C3" s="380" t="inlineStr">
        <is>
          <t>Which calendar the day comes from: cal_curr = measured live calendar, cal_new = redesign</t>
        </is>
      </c>
    </row>
    <row r="4">
      <c r="A4" s="378" t="inlineStr">
        <is>
          <t>Day to Simulate (1-33)</t>
        </is>
      </c>
      <c r="B4" s="381" t="n">
        <v>5</v>
      </c>
      <c r="C4" s="380" t="inlineStr">
        <is>
          <t>Day of the 33-day window (day 1 = Wednesday); decides which events are running</t>
        </is>
      </c>
    </row>
    <row r="5">
      <c r="A5" s="378" t="inlineStr">
        <is>
          <t>Player Segment</t>
        </is>
      </c>
      <c r="B5" s="381" t="inlineStr">
        <is>
          <t>10-19</t>
        </is>
      </c>
      <c r="C5" s="380" t="inlineStr">
        <is>
          <t>Engagement segment: saga completions in the last 7 days (0-9 .. 100+)</t>
        </is>
      </c>
    </row>
    <row r="6">
      <c r="A6" s="378" t="inlineStr">
        <is>
          <t>Payer</t>
        </is>
      </c>
      <c r="B6" s="381" t="inlineStr">
        <is>
          <t>NONPAYER</t>
        </is>
      </c>
      <c r="C6" s="380" t="inlineStr">
        <is>
          <t>Lifetime payer flag: PAYER = has ever spent money, NONPAYER = never</t>
        </is>
      </c>
    </row>
    <row r="7">
      <c r="A7" s="378" t="inlineStr">
        <is>
          <t>Mode</t>
        </is>
      </c>
      <c r="B7" s="381" t="inlineStr">
        <is>
          <t>Sampled</t>
        </is>
      </c>
      <c r="C7" s="380" t="inlineStr">
        <is>
          <t>Expected = one representative day (seed ignored); Sampled = one random day drawn with Seed</t>
        </is>
      </c>
    </row>
    <row r="8">
      <c r="A8" s="378" t="inlineStr">
        <is>
          <t>Luck (progress + placement)</t>
        </is>
      </c>
      <c r="B8" s="381" t="inlineStr">
        <is>
          <t>p50</t>
        </is>
      </c>
      <c r="C8" s="380" t="inlineStr">
        <is>
          <t>Percentile used for event progress and leaderboard rank: p25 unlucky, p50 typical, p75 lucky</t>
        </is>
      </c>
    </row>
    <row r="9">
      <c r="A9" s="378" t="inlineStr">
        <is>
          <t>Seed (Sampled mode)</t>
        </is>
      </c>
      <c r="B9" s="381" t="n">
        <v>32</v>
      </c>
      <c r="C9" s="380" t="inlineStr">
        <is>
          <t>Any integer; the same seed always reproduces the same sampled day</t>
        </is>
      </c>
    </row>
    <row r="10">
      <c r="A10" s="378" t="inlineStr">
        <is>
          <t>Levels Played (blank = auto)</t>
        </is>
      </c>
      <c r="B10" s="381" t="n"/>
      <c r="C10" s="380" t="inlineStr">
        <is>
          <t>Override for the number of level attempts; blank = attempts/day from data_streaks</t>
        </is>
      </c>
    </row>
    <row r="11">
      <c r="A11" s="378" t="inlineStr">
        <is>
          <t>Starting Saga Level (blank = rnd 100-400)</t>
        </is>
      </c>
      <c r="B11" s="381" t="n"/>
      <c r="C11" s="380" t="inlineStr">
        <is>
          <t>Absolute saga level the player walks in on; anchors Saga node payouts</t>
        </is>
      </c>
    </row>
    <row r="13">
      <c r="A13" s="377" t="inlineStr">
        <is>
          <t>Player Profile (what the simulated player looks like)</t>
        </is>
      </c>
      <c r="B13" s="377" t="n"/>
      <c r="C13" s="377" t="n"/>
    </row>
    <row r="14">
      <c r="A14" s="378">
        <f>ECOGAINS_PBP_PROFILE($B$5,$B$6)</f>
        <v/>
      </c>
      <c r="B14" s="382" t="n">
        <v>26</v>
      </c>
      <c r="C14" s="380" t="inlineStr">
        <is>
          <t>How many level attempts this player makes on a day they play (data_streaks) = N ledger rows</t>
        </is>
      </c>
    </row>
    <row r="15">
      <c r="A15" s="378" t="inlineStr">
        <is>
          <t>Win rate</t>
        </is>
      </c>
      <c r="B15" s="382" t="inlineStr">
        <is>
          <t>52.6%</t>
        </is>
      </c>
      <c r="C15" s="380" t="inlineStr">
        <is>
          <t>Share of attempts that complete the level (data_streaks)</t>
        </is>
      </c>
    </row>
    <row r="16">
      <c r="A16" s="378" t="inlineStr">
        <is>
          <t>P(win | prev win)</t>
        </is>
      </c>
      <c r="B16" s="382" t="inlineStr">
        <is>
          <t>78.6%</t>
        </is>
      </c>
      <c r="C16" s="380" t="inlineStr">
        <is>
          <t>Chance to win again right after a win: streak persistence incl. OOM saves (data_streaks)</t>
        </is>
      </c>
    </row>
    <row r="17">
      <c r="A17" s="378" t="inlineStr">
        <is>
          <t>Max win streak / day (p50)</t>
        </is>
      </c>
      <c r="B17" s="382" t="n">
        <v>7</v>
      </c>
      <c r="C17" s="380" t="inlineStr">
        <is>
          <t>Median best win streak within a day (data_streaks)</t>
        </is>
      </c>
    </row>
    <row r="18">
      <c r="A18" s="378" t="inlineStr">
        <is>
          <t>Mean streak length</t>
        </is>
      </c>
      <c r="B18" s="382" t="n">
        <v>4.1</v>
      </c>
      <c r="C18" s="380" t="inlineStr">
        <is>
          <t>Average length of a win run; shapes the Expected-mode win layout (data_streaks)</t>
        </is>
      </c>
    </row>
    <row r="19">
      <c r="A19" s="378" t="inlineStr">
        <is>
          <t>Login streak (p50)</t>
        </is>
      </c>
      <c r="B19" s="382" t="n">
        <v>3</v>
      </c>
      <c r="C19" s="380" t="inlineStr">
        <is>
          <t>Median consecutive-day login run; sets the Daily Gift cycle day (data_seg_beh)</t>
        </is>
      </c>
    </row>
    <row r="20">
      <c r="A20" s="378" t="inlineStr">
        <is>
          <t>NS max streak (p50)</t>
        </is>
      </c>
      <c r="B20" s="382" t="n">
        <v>7</v>
      </c>
      <c r="C20" s="380" t="inlineStr">
        <is>
          <t>Median in-day saga win-streak; sets the Night Sky milestone night (data_seg_beh)</t>
        </is>
      </c>
    </row>
    <row r="21" ht="15.75" customHeight="1" s="397"/>
    <row r="22" ht="15.75" customHeight="1" s="397">
      <c r="A22" s="377" t="inlineStr">
        <is>
          <t>Active Events on This Day (sim - spills one row per running event + per session-start claim)</t>
        </is>
      </c>
      <c r="B22" s="377" t="n"/>
      <c r="C22" s="377" t="n"/>
      <c r="D22" s="377" t="n"/>
      <c r="E22" s="377" t="n"/>
      <c r="F22" s="377" t="n"/>
    </row>
    <row r="23" ht="15.75" customHeight="1" s="397">
      <c r="A23" s="378">
        <f>ECOGAINS_PBP_EVENTS($B$3,$B$4,$B$5,$B$6,$B$8)</f>
        <v/>
      </c>
      <c r="B23" s="378" t="n"/>
      <c r="C23" s="378" t="n"/>
      <c r="D23" s="378" t="n"/>
      <c r="E23" s="378" t="n"/>
      <c r="F23" s="378" t="n"/>
    </row>
    <row r="24" ht="15.75" customHeight="1" s="397">
      <c r="A24" s="378" t="n"/>
      <c r="B24" s="383" t="n"/>
      <c r="C24" s="383" t="n"/>
      <c r="D24" s="383" t="n"/>
      <c r="E24" s="383" t="n"/>
      <c r="F24" s="383" t="n"/>
    </row>
    <row r="25" ht="15.75" customHeight="1" s="397">
      <c r="A25" s="378" t="n"/>
      <c r="B25" s="383" t="n"/>
      <c r="C25" s="383" t="n"/>
      <c r="D25" s="383" t="n"/>
      <c r="E25" s="383" t="n"/>
      <c r="F25" s="383" t="n"/>
    </row>
    <row r="26" ht="15.75" customHeight="1" s="397">
      <c r="A26" s="378" t="n"/>
      <c r="B26" s="383" t="n"/>
      <c r="C26" s="383" t="n"/>
      <c r="D26" s="383" t="n"/>
      <c r="E26" s="383" t="n"/>
      <c r="F26" s="383" t="n"/>
    </row>
    <row r="27" ht="15.75" customHeight="1" s="397">
      <c r="A27" s="378" t="n"/>
      <c r="B27" s="383" t="n"/>
      <c r="C27" s="383" t="n"/>
      <c r="D27" s="383" t="n"/>
      <c r="E27" s="383" t="n"/>
      <c r="F27" s="383" t="n"/>
    </row>
    <row r="28" ht="15.75" customHeight="1" s="397">
      <c r="A28" s="378" t="n"/>
      <c r="B28" s="383" t="n"/>
      <c r="C28" s="383" t="n"/>
      <c r="D28" s="383" t="n"/>
      <c r="E28" s="383" t="n"/>
      <c r="F28" s="383" t="n"/>
    </row>
    <row r="29" ht="15.75" customHeight="1" s="397">
      <c r="A29" s="378" t="n"/>
      <c r="B29" s="383" t="n"/>
      <c r="C29" s="383" t="n"/>
      <c r="D29" s="383" t="n"/>
      <c r="E29" s="383" t="n"/>
      <c r="F29" s="383" t="n"/>
    </row>
    <row r="30" ht="15.75" customHeight="1" s="397">
      <c r="A30" s="378" t="n"/>
      <c r="B30" s="383" t="n"/>
      <c r="C30" s="383" t="n"/>
      <c r="D30" s="383" t="n"/>
      <c r="E30" s="383" t="n"/>
      <c r="F30" s="383" t="n"/>
    </row>
    <row r="31" ht="15.75" customHeight="1" s="397">
      <c r="A31" s="378" t="n"/>
      <c r="B31" s="383" t="n"/>
      <c r="C31" s="383" t="n"/>
      <c r="D31" s="383" t="n"/>
      <c r="E31" s="383" t="n"/>
      <c r="F31" s="383" t="n"/>
    </row>
    <row r="32" ht="15.75" customHeight="1" s="397">
      <c r="A32" s="378" t="n"/>
      <c r="B32" s="383" t="n"/>
      <c r="C32" s="383" t="n"/>
      <c r="D32" s="383" t="n"/>
      <c r="E32" s="383" t="n"/>
      <c r="F32" s="383" t="n"/>
    </row>
    <row r="33" ht="15.75" customHeight="1" s="397">
      <c r="A33" s="378" t="n"/>
      <c r="B33" s="383" t="n"/>
      <c r="C33" s="383" t="n"/>
      <c r="D33" s="383" t="n"/>
      <c r="E33" s="383" t="n"/>
      <c r="F33" s="383" t="n"/>
    </row>
    <row r="34" ht="15.75" customHeight="1" s="397">
      <c r="A34" s="378" t="n"/>
      <c r="B34" s="383" t="n"/>
      <c r="C34" s="383" t="n"/>
      <c r="D34" s="383" t="n"/>
      <c r="E34" s="383" t="n"/>
      <c r="F34" s="383" t="n"/>
    </row>
    <row r="35" ht="15.75" customHeight="1" s="397">
      <c r="A35" s="378" t="n"/>
      <c r="B35" s="383" t="n"/>
      <c r="C35" s="383" t="n"/>
      <c r="D35" s="383" t="n"/>
      <c r="E35" s="383" t="n"/>
      <c r="F35" s="383" t="n"/>
    </row>
    <row r="36" ht="15.75" customHeight="1" s="397">
      <c r="A36" s="378" t="n"/>
      <c r="B36" s="383" t="n"/>
      <c r="C36" s="383" t="n"/>
      <c r="D36" s="383" t="n"/>
      <c r="E36" s="383" t="n"/>
      <c r="F36" s="383" t="n"/>
    </row>
    <row r="37" ht="15.75" customHeight="1" s="397"/>
    <row r="38" hidden="1" ht="15.75" customHeight="1" s="397">
      <c r="A38" s="384" t="inlineStr">
        <is>
          <t>Assumptions &amp; Flags (model spec: SIMULATION_METHODOLOGY.md par. 14)</t>
        </is>
      </c>
      <c r="B38" s="384" t="n"/>
      <c r="C38" s="384" t="n"/>
      <c r="D38" s="384" t="n"/>
      <c r="E38" s="384" t="n"/>
      <c r="F38" s="384" t="n"/>
      <c r="G38" s="384" t="n"/>
      <c r="H38" s="384" t="n"/>
      <c r="I38" s="384" t="n"/>
      <c r="J38" s="384" t="n"/>
      <c r="K38" s="384" t="n"/>
    </row>
    <row r="39" hidden="1" ht="15.75" customHeight="1" s="397">
      <c r="A39" s="272" t="inlineStr">
        <is>
          <t>1. N plays / win rate / streak persistence from data_streaks; win draws are a 2-state Markov chain. The sim conditions on the player being active and participating in the running events.</t>
        </is>
      </c>
    </row>
    <row r="40" hidden="1" ht="15.75" customHeight="1" s="397">
      <c r="A40" s="272" t="inlineStr">
        <is>
          <t>2. The player is NOT fresh: they walk in at the Starting Saga Level (input, or a seeded random 100-400); the Level column is the ABSOLUTE saga level. Event progress is likewise mid-instance.</t>
        </is>
      </c>
    </row>
    <row r="41" hidden="1" ht="15.75" customHeight="1" s="397">
      <c r="A41" s="272" t="inlineStr">
        <is>
          <t>3. Event progress at session start = measured final_balance percentile (Luck) x accrual-curve share. Milestones banked before today never appear in the ledger.</t>
        </is>
      </c>
    </row>
    <row r="42" hidden="1" ht="15.75" customHeight="1" s="397">
      <c r="A42" s="272" t="inlineStr">
        <is>
      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      </is>
      </c>
    </row>
    <row r="43" hidden="1" ht="15.75" customHeight="1" s="397">
      <c r="A43" s="272" t="inlineStr">
        <is>
          <t>5. Photoshoot: first-try streak multiplier ladder x1/2/4/6/10 from config; the per-win base is undocumented so it is calibrated to the measured day total (shape = mechanics, level = measurement).</t>
        </is>
      </c>
    </row>
    <row r="44" hidden="1" ht="15.75" customHeight="1" s="397">
      <c r="A44" s="272" t="inlineStr">
        <is>
          <t>6. Hatchling Hideaway gate unlock requirements = EventReach helper column (board cost x 1.25 bad-tile buffer): the buffer models imperfect tile picks and affects unlock timing ONLY, never the gains.</t>
        </is>
      </c>
    </row>
    <row r="45" hidden="1" ht="15.75" customHeight="1" s="397">
      <c r="A45" s="272" t="inlineStr">
        <is>
          <t>7. Score events (Kite Festival, Target Day) are streak-driven off their config ladders; per-play increments are scaled so the day total hits the measured target (user-approved).</t>
        </is>
      </c>
    </row>
    <row r="46" hidden="1" ht="15.75" customHeight="1" s="397">
      <c r="A46" s="272" t="inlineStr">
        <is>
          <t>8. Leaderboard payouts land on row E only for instances ending today; rank = Luck percentile of measured position_p25/50/75 (+/- 0.25 quantile jitter in Sampled mode).</t>
        </is>
      </c>
    </row>
    <row r="47" hidden="1" ht="15.75" customHeight="1" s="397">
      <c r="A47" s="272" t="inlineStr">
        <is>
          <t>9. Saga pays the FULL node bundle (HC + boosters + Unlimited minutes) from c_saga / c_saga_v2 at node boundaries anchored to the absolute level. Core chapter chests are NOT simulated (cadence unknown).</t>
        </is>
      </c>
    </row>
    <row r="48" hidden="1" ht="15.75" customHeight="1" s="397">
      <c r="A48" s="272" t="inlineStr">
        <is>
          <t>10. Daily Gift is ALWAYS claimed at session start: cycle day from login streak p50, bundle = ONE config variant (Expected: Variant 1; Sampled: seeded pick) - never an average. Night Sky pays only on its exact milestone night. Flock Flurry opt-in = 60 min Unlimited Lives (design-PDF constant).</t>
        </is>
      </c>
    </row>
    <row r="49" hidden="1" ht="15.75" customHeight="1" s="397">
      <c r="A49" s="272" t="inlineStr">
        <is>
          <t>11. SPT / COOP Token / Avatar / star-daily rewards are outside the 11-resource universe and are not tracked.</t>
        </is>
      </c>
    </row>
    <row r="50" ht="15.75" customHeight="1" s="397"/>
    <row r="51" ht="15.75" customHeight="1" s="397">
      <c r="A51" s="377" t="inlineStr">
        <is>
          <t>Play-by-Play Sim (one row per play; extra claims spill onto their own rows; Session Summary at the end)</t>
        </is>
      </c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  <c r="L51" s="377" t="n"/>
      <c r="M51" s="377" t="n"/>
      <c r="N51" s="377" t="n"/>
      <c r="O51" s="377" t="n"/>
      <c r="P51" s="377" t="n"/>
      <c r="Q51" s="377" t="n"/>
      <c r="R51" s="377" t="n"/>
      <c r="S51" s="377" t="n"/>
      <c r="T51" s="377" t="n"/>
      <c r="U51" s="377" t="n"/>
      <c r="V51" s="377" t="n"/>
    </row>
    <row r="52" ht="15.75" customHeight="1" s="397">
      <c r="A52" s="378">
        <f>ECOGAINS_PBP($B$3,$B$4,$B$5,$B$6,$B$7,$B$8,$B$9,$B$10,$B$11)</f>
        <v/>
      </c>
      <c r="B52" s="378" t="n"/>
      <c r="C52" s="378" t="n"/>
      <c r="D52" s="378" t="n"/>
      <c r="E52" s="378" t="n"/>
      <c r="F52" s="378" t="n"/>
      <c r="G52" s="378" t="n"/>
      <c r="H52" s="378" t="n"/>
      <c r="I52" s="378" t="n"/>
      <c r="J52" s="378" t="n"/>
      <c r="K52" s="378" t="n"/>
      <c r="L52" s="378" t="n"/>
      <c r="M52" s="378" t="n"/>
      <c r="N52" s="378" t="n"/>
      <c r="O52" s="378" t="n"/>
      <c r="P52" s="378" t="n"/>
      <c r="Q52" s="378" t="n"/>
      <c r="R52" s="378" t="n"/>
      <c r="S52" s="378" t="n"/>
      <c r="T52" s="378" t="n"/>
      <c r="U52" s="378" t="n"/>
      <c r="V52" s="378" t="n"/>
    </row>
    <row r="53" ht="15.75" customHeight="1" s="397">
      <c r="A53" s="385" t="n"/>
      <c r="B53" s="385" t="n"/>
      <c r="C53" s="385" t="n"/>
      <c r="D53" s="385" t="n"/>
      <c r="E53" s="385" t="n"/>
      <c r="F53" s="385" t="n"/>
      <c r="G53" s="386" t="n"/>
      <c r="H53" s="385" t="n"/>
      <c r="I53" s="385" t="n"/>
      <c r="J53" s="385" t="n"/>
      <c r="K53" s="385" t="n"/>
      <c r="L53" s="385" t="n"/>
      <c r="M53" s="385" t="n"/>
      <c r="N53" s="385" t="n"/>
      <c r="O53" s="385" t="n"/>
      <c r="P53" s="385" t="n"/>
      <c r="Q53" s="385" t="n"/>
      <c r="R53" s="385" t="n"/>
      <c r="S53" s="385" t="n"/>
      <c r="T53" s="385" t="n"/>
      <c r="U53" s="385" t="n"/>
      <c r="V53" s="385" t="n"/>
    </row>
    <row r="54" ht="15.75" customHeight="1" s="397">
      <c r="A54" s="385" t="n"/>
      <c r="B54" s="385" t="n"/>
      <c r="C54" s="385" t="n"/>
      <c r="D54" s="385" t="n"/>
      <c r="E54" s="385" t="n"/>
      <c r="F54" s="385" t="n"/>
      <c r="G54" s="386" t="n"/>
      <c r="H54" s="385" t="n"/>
      <c r="I54" s="385" t="n"/>
      <c r="J54" s="385" t="n"/>
      <c r="K54" s="385" t="n"/>
      <c r="L54" s="385" t="n"/>
      <c r="M54" s="385" t="n"/>
      <c r="N54" s="385" t="n"/>
      <c r="O54" s="385" t="n"/>
      <c r="P54" s="385" t="n"/>
      <c r="Q54" s="385" t="n"/>
      <c r="R54" s="385" t="n"/>
      <c r="S54" s="385" t="n"/>
      <c r="T54" s="385" t="n"/>
      <c r="U54" s="385" t="n"/>
      <c r="V54" s="385" t="n"/>
    </row>
    <row r="55" ht="15.75" customHeight="1" s="397">
      <c r="A55" s="385" t="n"/>
      <c r="B55" s="385" t="n"/>
      <c r="C55" s="385" t="n"/>
      <c r="D55" s="385" t="n"/>
      <c r="E55" s="385" t="n"/>
      <c r="F55" s="385" t="n"/>
      <c r="G55" s="386" t="n"/>
      <c r="H55" s="385" t="n"/>
      <c r="I55" s="385" t="n"/>
      <c r="J55" s="385" t="n"/>
      <c r="K55" s="385" t="n"/>
      <c r="L55" s="385" t="n"/>
      <c r="M55" s="385" t="n"/>
      <c r="N55" s="385" t="n"/>
      <c r="O55" s="385" t="n"/>
      <c r="P55" s="385" t="n"/>
      <c r="Q55" s="385" t="n"/>
      <c r="R55" s="385" t="n"/>
      <c r="S55" s="385" t="n"/>
      <c r="T55" s="385" t="n"/>
      <c r="U55" s="385" t="n"/>
      <c r="V55" s="385" t="n"/>
    </row>
    <row r="56" ht="15.75" customHeight="1" s="397">
      <c r="A56" s="385" t="n"/>
      <c r="B56" s="385" t="n"/>
      <c r="C56" s="385" t="n"/>
      <c r="D56" s="385" t="n"/>
      <c r="E56" s="385" t="n"/>
      <c r="F56" s="385" t="n"/>
      <c r="G56" s="386" t="n"/>
      <c r="H56" s="385" t="n"/>
      <c r="I56" s="385" t="n"/>
      <c r="J56" s="385" t="n"/>
      <c r="K56" s="385" t="n"/>
      <c r="L56" s="385" t="n"/>
      <c r="M56" s="385" t="n"/>
      <c r="N56" s="385" t="n"/>
      <c r="O56" s="385" t="n"/>
      <c r="P56" s="385" t="n"/>
      <c r="Q56" s="385" t="n"/>
      <c r="R56" s="385" t="n"/>
      <c r="S56" s="385" t="n"/>
      <c r="T56" s="385" t="n"/>
      <c r="U56" s="385" t="n"/>
      <c r="V56" s="385" t="n"/>
    </row>
    <row r="57" ht="15.75" customHeight="1" s="397">
      <c r="A57" s="385" t="n"/>
      <c r="B57" s="385" t="n"/>
      <c r="C57" s="385" t="n"/>
      <c r="D57" s="385" t="n"/>
      <c r="E57" s="385" t="n"/>
      <c r="F57" s="385" t="n"/>
      <c r="G57" s="386" t="n"/>
      <c r="H57" s="385" t="n"/>
      <c r="I57" s="385" t="n"/>
      <c r="J57" s="385" t="n"/>
      <c r="K57" s="385" t="n"/>
      <c r="L57" s="385" t="n"/>
      <c r="M57" s="385" t="n"/>
      <c r="N57" s="385" t="n"/>
      <c r="O57" s="385" t="n"/>
      <c r="P57" s="385" t="n"/>
      <c r="Q57" s="385" t="n"/>
      <c r="R57" s="385" t="n"/>
      <c r="S57" s="385" t="n"/>
      <c r="T57" s="385" t="n"/>
      <c r="U57" s="385" t="n"/>
      <c r="V57" s="385" t="n"/>
    </row>
    <row r="58" ht="15.75" customHeight="1" s="397">
      <c r="A58" s="385" t="n"/>
      <c r="B58" s="385" t="n"/>
      <c r="C58" s="385" t="n"/>
      <c r="D58" s="385" t="n"/>
      <c r="E58" s="385" t="n"/>
      <c r="F58" s="385" t="n"/>
      <c r="G58" s="386" t="n"/>
      <c r="H58" s="385" t="n"/>
      <c r="I58" s="385" t="n"/>
      <c r="J58" s="385" t="n"/>
      <c r="K58" s="385" t="n"/>
      <c r="L58" s="385" t="n"/>
      <c r="M58" s="385" t="n"/>
      <c r="N58" s="385" t="n"/>
      <c r="O58" s="385" t="n"/>
      <c r="P58" s="385" t="n"/>
      <c r="Q58" s="385" t="n"/>
      <c r="R58" s="385" t="n"/>
      <c r="S58" s="385" t="n"/>
      <c r="T58" s="385" t="n"/>
      <c r="U58" s="385" t="n"/>
      <c r="V58" s="385" t="n"/>
    </row>
    <row r="59" ht="15.75" customHeight="1" s="397">
      <c r="A59" s="385" t="n"/>
      <c r="B59" s="385" t="n"/>
      <c r="C59" s="385" t="n"/>
      <c r="D59" s="385" t="n"/>
      <c r="E59" s="385" t="n"/>
      <c r="F59" s="385" t="n"/>
      <c r="G59" s="386" t="n"/>
      <c r="H59" s="385" t="n"/>
      <c r="I59" s="385" t="n"/>
      <c r="J59" s="385" t="n"/>
      <c r="K59" s="385" t="n"/>
      <c r="L59" s="385" t="n"/>
      <c r="M59" s="385" t="n"/>
      <c r="N59" s="385" t="n"/>
      <c r="O59" s="385" t="n"/>
      <c r="P59" s="385" t="n"/>
      <c r="Q59" s="385" t="n"/>
      <c r="R59" s="385" t="n"/>
      <c r="S59" s="385" t="n"/>
      <c r="T59" s="385" t="n"/>
      <c r="U59" s="385" t="n"/>
      <c r="V59" s="385" t="n"/>
    </row>
    <row r="60" ht="15.75" customHeight="1" s="397">
      <c r="A60" s="385" t="n"/>
      <c r="B60" s="385" t="n"/>
      <c r="C60" s="385" t="n"/>
      <c r="D60" s="385" t="n"/>
      <c r="E60" s="385" t="n"/>
      <c r="F60" s="385" t="n"/>
      <c r="G60" s="386" t="n"/>
      <c r="H60" s="385" t="n"/>
      <c r="I60" s="385" t="n"/>
      <c r="J60" s="385" t="n"/>
      <c r="K60" s="385" t="n"/>
      <c r="L60" s="385" t="n"/>
      <c r="M60" s="385" t="n"/>
      <c r="N60" s="385" t="n"/>
      <c r="O60" s="385" t="n"/>
      <c r="P60" s="385" t="n"/>
      <c r="Q60" s="385" t="n"/>
      <c r="R60" s="385" t="n"/>
      <c r="S60" s="385" t="n"/>
      <c r="T60" s="385" t="n"/>
      <c r="U60" s="385" t="n"/>
      <c r="V60" s="385" t="n"/>
    </row>
    <row r="61" ht="15.75" customHeight="1" s="397">
      <c r="A61" s="385" t="n"/>
      <c r="B61" s="385" t="n"/>
      <c r="C61" s="385" t="n"/>
      <c r="D61" s="385" t="n"/>
      <c r="E61" s="385" t="n"/>
      <c r="F61" s="385" t="n"/>
      <c r="G61" s="386" t="n"/>
      <c r="H61" s="385" t="n"/>
      <c r="I61" s="385" t="n"/>
      <c r="J61" s="385" t="n"/>
      <c r="K61" s="385" t="n"/>
      <c r="L61" s="385" t="n"/>
      <c r="M61" s="385" t="n"/>
      <c r="N61" s="385" t="n"/>
      <c r="O61" s="385" t="n"/>
      <c r="P61" s="385" t="n"/>
      <c r="Q61" s="385" t="n"/>
      <c r="R61" s="385" t="n"/>
      <c r="S61" s="385" t="n"/>
      <c r="T61" s="385" t="n"/>
      <c r="U61" s="385" t="n"/>
      <c r="V61" s="385" t="n"/>
    </row>
    <row r="62" ht="15.75" customHeight="1" s="397">
      <c r="A62" s="385" t="n"/>
      <c r="B62" s="385" t="n"/>
      <c r="C62" s="385" t="n"/>
      <c r="D62" s="385" t="n"/>
      <c r="E62" s="385" t="n"/>
      <c r="F62" s="385" t="n"/>
      <c r="G62" s="386" t="n"/>
      <c r="H62" s="385" t="n"/>
      <c r="I62" s="385" t="n"/>
      <c r="J62" s="385" t="n"/>
      <c r="K62" s="385" t="n"/>
      <c r="L62" s="385" t="n"/>
      <c r="M62" s="385" t="n"/>
      <c r="N62" s="385" t="n"/>
      <c r="O62" s="385" t="n"/>
      <c r="P62" s="385" t="n"/>
      <c r="Q62" s="385" t="n"/>
      <c r="R62" s="385" t="n"/>
      <c r="S62" s="385" t="n"/>
      <c r="T62" s="385" t="n"/>
      <c r="U62" s="385" t="n"/>
      <c r="V62" s="385" t="n"/>
    </row>
    <row r="63" ht="15.75" customHeight="1" s="397">
      <c r="A63" s="385" t="n"/>
      <c r="B63" s="385" t="n"/>
      <c r="C63" s="385" t="n"/>
      <c r="D63" s="385" t="n"/>
      <c r="E63" s="385" t="n"/>
      <c r="F63" s="385" t="n"/>
      <c r="G63" s="386" t="n"/>
      <c r="H63" s="385" t="n"/>
      <c r="I63" s="385" t="n"/>
      <c r="J63" s="385" t="n"/>
      <c r="K63" s="385" t="n"/>
      <c r="L63" s="385" t="n"/>
      <c r="M63" s="385" t="n"/>
      <c r="N63" s="385" t="n"/>
      <c r="O63" s="385" t="n"/>
      <c r="P63" s="385" t="n"/>
      <c r="Q63" s="385" t="n"/>
      <c r="R63" s="385" t="n"/>
      <c r="S63" s="385" t="n"/>
      <c r="T63" s="385" t="n"/>
      <c r="U63" s="385" t="n"/>
      <c r="V63" s="385" t="n"/>
    </row>
    <row r="64" ht="15.75" customHeight="1" s="397">
      <c r="A64" s="385" t="n"/>
      <c r="B64" s="385" t="n"/>
      <c r="C64" s="385" t="n"/>
      <c r="D64" s="385" t="n"/>
      <c r="E64" s="385" t="n"/>
      <c r="F64" s="385" t="n"/>
      <c r="G64" s="386" t="n"/>
      <c r="H64" s="385" t="n"/>
      <c r="I64" s="385" t="n"/>
      <c r="J64" s="385" t="n"/>
      <c r="K64" s="385" t="n"/>
      <c r="L64" s="385" t="n"/>
      <c r="M64" s="385" t="n"/>
      <c r="N64" s="385" t="n"/>
      <c r="O64" s="385" t="n"/>
      <c r="P64" s="385" t="n"/>
      <c r="Q64" s="385" t="n"/>
      <c r="R64" s="385" t="n"/>
      <c r="S64" s="385" t="n"/>
      <c r="T64" s="385" t="n"/>
      <c r="U64" s="385" t="n"/>
      <c r="V64" s="385" t="n"/>
    </row>
    <row r="65" ht="15.75" customHeight="1" s="397">
      <c r="A65" s="385" t="n"/>
      <c r="B65" s="385" t="n"/>
      <c r="C65" s="385" t="n"/>
      <c r="D65" s="385" t="n"/>
      <c r="E65" s="385" t="n"/>
      <c r="F65" s="385" t="n"/>
      <c r="G65" s="386" t="n"/>
      <c r="H65" s="385" t="n"/>
      <c r="I65" s="385" t="n"/>
      <c r="J65" s="385" t="n"/>
      <c r="K65" s="385" t="n"/>
      <c r="L65" s="385" t="n"/>
      <c r="M65" s="385" t="n"/>
      <c r="N65" s="385" t="n"/>
      <c r="O65" s="385" t="n"/>
      <c r="P65" s="385" t="n"/>
      <c r="Q65" s="385" t="n"/>
      <c r="R65" s="385" t="n"/>
      <c r="S65" s="385" t="n"/>
      <c r="T65" s="385" t="n"/>
      <c r="U65" s="385" t="n"/>
      <c r="V65" s="385" t="n"/>
    </row>
    <row r="66" ht="15.75" customHeight="1" s="397">
      <c r="A66" s="385" t="n"/>
      <c r="B66" s="385" t="n"/>
      <c r="C66" s="385" t="n"/>
      <c r="D66" s="385" t="n"/>
      <c r="E66" s="385" t="n"/>
      <c r="F66" s="385" t="n"/>
      <c r="G66" s="386" t="n"/>
      <c r="H66" s="385" t="n"/>
      <c r="I66" s="385" t="n"/>
      <c r="J66" s="385" t="n"/>
      <c r="K66" s="385" t="n"/>
      <c r="L66" s="385" t="n"/>
      <c r="M66" s="385" t="n"/>
      <c r="N66" s="385" t="n"/>
      <c r="O66" s="385" t="n"/>
      <c r="P66" s="385" t="n"/>
      <c r="Q66" s="385" t="n"/>
      <c r="R66" s="385" t="n"/>
      <c r="S66" s="385" t="n"/>
      <c r="T66" s="385" t="n"/>
      <c r="U66" s="385" t="n"/>
      <c r="V66" s="385" t="n"/>
    </row>
    <row r="67" ht="15.75" customHeight="1" s="397">
      <c r="A67" s="385" t="n"/>
      <c r="B67" s="385" t="n"/>
      <c r="C67" s="385" t="n"/>
      <c r="D67" s="385" t="n"/>
      <c r="E67" s="385" t="n"/>
      <c r="F67" s="385" t="n"/>
      <c r="G67" s="386" t="n"/>
      <c r="H67" s="385" t="n"/>
      <c r="I67" s="385" t="n"/>
      <c r="J67" s="385" t="n"/>
      <c r="K67" s="385" t="n"/>
      <c r="L67" s="385" t="n"/>
      <c r="M67" s="385" t="n"/>
      <c r="N67" s="385" t="n"/>
      <c r="O67" s="385" t="n"/>
      <c r="P67" s="385" t="n"/>
      <c r="Q67" s="385" t="n"/>
      <c r="R67" s="385" t="n"/>
      <c r="S67" s="385" t="n"/>
      <c r="T67" s="385" t="n"/>
      <c r="U67" s="385" t="n"/>
      <c r="V67" s="385" t="n"/>
    </row>
    <row r="68" ht="15.75" customHeight="1" s="397">
      <c r="A68" s="385" t="n"/>
      <c r="B68" s="385" t="n"/>
      <c r="C68" s="385" t="n"/>
      <c r="D68" s="385" t="n"/>
      <c r="E68" s="385" t="n"/>
      <c r="F68" s="385" t="n"/>
      <c r="G68" s="386" t="n"/>
      <c r="H68" s="385" t="n"/>
      <c r="I68" s="385" t="n"/>
      <c r="J68" s="385" t="n"/>
      <c r="K68" s="385" t="n"/>
      <c r="L68" s="385" t="n"/>
      <c r="M68" s="385" t="n"/>
      <c r="N68" s="385" t="n"/>
      <c r="O68" s="385" t="n"/>
      <c r="P68" s="385" t="n"/>
      <c r="Q68" s="385" t="n"/>
      <c r="R68" s="385" t="n"/>
      <c r="S68" s="385" t="n"/>
      <c r="T68" s="385" t="n"/>
      <c r="U68" s="385" t="n"/>
      <c r="V68" s="385" t="n"/>
    </row>
    <row r="69" ht="15.75" customHeight="1" s="397">
      <c r="A69" s="385" t="n"/>
      <c r="B69" s="385" t="n"/>
      <c r="C69" s="385" t="n"/>
      <c r="D69" s="385" t="n"/>
      <c r="E69" s="385" t="n"/>
      <c r="F69" s="385" t="n"/>
      <c r="G69" s="386" t="n"/>
      <c r="H69" s="385" t="n"/>
      <c r="I69" s="385" t="n"/>
      <c r="J69" s="385" t="n"/>
      <c r="K69" s="385" t="n"/>
      <c r="L69" s="385" t="n"/>
      <c r="M69" s="385" t="n"/>
      <c r="N69" s="385" t="n"/>
      <c r="O69" s="385" t="n"/>
      <c r="P69" s="385" t="n"/>
      <c r="Q69" s="385" t="n"/>
      <c r="R69" s="385" t="n"/>
      <c r="S69" s="385" t="n"/>
      <c r="T69" s="385" t="n"/>
      <c r="U69" s="385" t="n"/>
      <c r="V69" s="385" t="n"/>
    </row>
    <row r="70" ht="15.75" customHeight="1" s="397">
      <c r="A70" s="385" t="n"/>
      <c r="B70" s="385" t="n"/>
      <c r="C70" s="385" t="n"/>
      <c r="D70" s="385" t="n"/>
      <c r="E70" s="385" t="n"/>
      <c r="F70" s="385" t="n"/>
      <c r="G70" s="386" t="n"/>
      <c r="H70" s="385" t="n"/>
      <c r="I70" s="385" t="n"/>
      <c r="J70" s="385" t="n"/>
      <c r="K70" s="385" t="n"/>
      <c r="L70" s="385" t="n"/>
      <c r="M70" s="385" t="n"/>
      <c r="N70" s="385" t="n"/>
      <c r="O70" s="385" t="n"/>
      <c r="P70" s="385" t="n"/>
      <c r="Q70" s="385" t="n"/>
      <c r="R70" s="385" t="n"/>
      <c r="S70" s="385" t="n"/>
      <c r="T70" s="385" t="n"/>
      <c r="U70" s="385" t="n"/>
      <c r="V70" s="385" t="n"/>
    </row>
    <row r="71" ht="15.75" customHeight="1" s="397">
      <c r="A71" s="385" t="n"/>
      <c r="B71" s="385" t="n"/>
      <c r="C71" s="385" t="n"/>
      <c r="D71" s="385" t="n"/>
      <c r="E71" s="385" t="n"/>
      <c r="F71" s="385" t="n"/>
      <c r="G71" s="386" t="n"/>
      <c r="H71" s="385" t="n"/>
      <c r="I71" s="385" t="n"/>
      <c r="J71" s="385" t="n"/>
      <c r="K71" s="385" t="n"/>
      <c r="L71" s="385" t="n"/>
      <c r="M71" s="385" t="n"/>
      <c r="N71" s="385" t="n"/>
      <c r="O71" s="385" t="n"/>
      <c r="P71" s="385" t="n"/>
      <c r="Q71" s="385" t="n"/>
      <c r="R71" s="385" t="n"/>
      <c r="S71" s="385" t="n"/>
      <c r="T71" s="385" t="n"/>
      <c r="U71" s="385" t="n"/>
      <c r="V71" s="385" t="n"/>
    </row>
    <row r="72" ht="15.75" customHeight="1" s="397">
      <c r="A72" s="385" t="n"/>
      <c r="B72" s="385" t="n"/>
      <c r="C72" s="385" t="n"/>
      <c r="D72" s="385" t="n"/>
      <c r="E72" s="385" t="n"/>
      <c r="F72" s="385" t="n"/>
      <c r="G72" s="386" t="n"/>
      <c r="H72" s="385" t="n"/>
      <c r="I72" s="385" t="n"/>
      <c r="J72" s="385" t="n"/>
      <c r="K72" s="385" t="n"/>
      <c r="L72" s="385" t="n"/>
      <c r="M72" s="385" t="n"/>
      <c r="N72" s="385" t="n"/>
      <c r="O72" s="385" t="n"/>
      <c r="P72" s="385" t="n"/>
      <c r="Q72" s="385" t="n"/>
      <c r="R72" s="385" t="n"/>
      <c r="S72" s="385" t="n"/>
      <c r="T72" s="385" t="n"/>
      <c r="U72" s="385" t="n"/>
      <c r="V72" s="385" t="n"/>
    </row>
    <row r="73" ht="15.75" customHeight="1" s="397">
      <c r="A73" s="385" t="n"/>
      <c r="B73" s="385" t="n"/>
      <c r="C73" s="385" t="n"/>
      <c r="D73" s="385" t="n"/>
      <c r="E73" s="385" t="n"/>
      <c r="F73" s="385" t="n"/>
      <c r="G73" s="386" t="n"/>
      <c r="H73" s="385" t="n"/>
      <c r="I73" s="385" t="n"/>
      <c r="J73" s="385" t="n"/>
      <c r="K73" s="385" t="n"/>
      <c r="L73" s="385" t="n"/>
      <c r="M73" s="385" t="n"/>
      <c r="N73" s="385" t="n"/>
      <c r="O73" s="385" t="n"/>
      <c r="P73" s="385" t="n"/>
      <c r="Q73" s="385" t="n"/>
      <c r="R73" s="385" t="n"/>
      <c r="S73" s="385" t="n"/>
      <c r="T73" s="385" t="n"/>
      <c r="U73" s="385" t="n"/>
      <c r="V73" s="385" t="n"/>
    </row>
    <row r="74" ht="15.75" customHeight="1" s="397">
      <c r="A74" s="385" t="n"/>
      <c r="B74" s="385" t="n"/>
      <c r="C74" s="385" t="n"/>
      <c r="D74" s="385" t="n"/>
      <c r="E74" s="385" t="n"/>
      <c r="F74" s="385" t="n"/>
      <c r="G74" s="386" t="n"/>
      <c r="H74" s="385" t="n"/>
      <c r="I74" s="385" t="n"/>
      <c r="J74" s="385" t="n"/>
      <c r="K74" s="385" t="n"/>
      <c r="L74" s="385" t="n"/>
      <c r="M74" s="385" t="n"/>
      <c r="N74" s="385" t="n"/>
      <c r="O74" s="385" t="n"/>
      <c r="P74" s="385" t="n"/>
      <c r="Q74" s="385" t="n"/>
      <c r="R74" s="385" t="n"/>
      <c r="S74" s="385" t="n"/>
      <c r="T74" s="385" t="n"/>
      <c r="U74" s="385" t="n"/>
      <c r="V74" s="385" t="n"/>
    </row>
    <row r="75" ht="15.75" customHeight="1" s="397">
      <c r="A75" s="385" t="n"/>
      <c r="B75" s="385" t="n"/>
      <c r="C75" s="385" t="n"/>
      <c r="D75" s="385" t="n"/>
      <c r="E75" s="385" t="n"/>
      <c r="F75" s="385" t="n"/>
      <c r="G75" s="386" t="n"/>
      <c r="H75" s="385" t="n"/>
      <c r="I75" s="385" t="n"/>
      <c r="J75" s="385" t="n"/>
      <c r="K75" s="385" t="n"/>
      <c r="L75" s="385" t="n"/>
      <c r="M75" s="385" t="n"/>
      <c r="N75" s="385" t="n"/>
      <c r="O75" s="385" t="n"/>
      <c r="P75" s="385" t="n"/>
      <c r="Q75" s="385" t="n"/>
      <c r="R75" s="385" t="n"/>
      <c r="S75" s="385" t="n"/>
      <c r="T75" s="385" t="n"/>
      <c r="U75" s="385" t="n"/>
      <c r="V75" s="385" t="n"/>
    </row>
    <row r="76" ht="15.75" customHeight="1" s="397">
      <c r="A76" s="385" t="n"/>
      <c r="B76" s="385" t="n"/>
      <c r="C76" s="385" t="n"/>
      <c r="D76" s="385" t="n"/>
      <c r="E76" s="385" t="n"/>
      <c r="F76" s="385" t="n"/>
      <c r="G76" s="386" t="n"/>
      <c r="H76" s="385" t="n"/>
      <c r="I76" s="385" t="n"/>
      <c r="J76" s="385" t="n"/>
      <c r="K76" s="385" t="n"/>
      <c r="L76" s="385" t="n"/>
      <c r="M76" s="385" t="n"/>
      <c r="N76" s="385" t="n"/>
      <c r="O76" s="385" t="n"/>
      <c r="P76" s="385" t="n"/>
      <c r="Q76" s="385" t="n"/>
      <c r="R76" s="385" t="n"/>
      <c r="S76" s="385" t="n"/>
      <c r="T76" s="385" t="n"/>
      <c r="U76" s="385" t="n"/>
      <c r="V76" s="385" t="n"/>
    </row>
    <row r="77" ht="15.75" customHeight="1" s="397">
      <c r="A77" s="385" t="n"/>
      <c r="B77" s="385" t="n"/>
      <c r="C77" s="385" t="n"/>
      <c r="D77" s="385" t="n"/>
      <c r="E77" s="385" t="n"/>
      <c r="F77" s="385" t="n"/>
      <c r="G77" s="386" t="n"/>
      <c r="H77" s="385" t="n"/>
      <c r="I77" s="385" t="n"/>
      <c r="J77" s="385" t="n"/>
      <c r="K77" s="385" t="n"/>
      <c r="L77" s="385" t="n"/>
      <c r="M77" s="385" t="n"/>
      <c r="N77" s="385" t="n"/>
      <c r="O77" s="385" t="n"/>
      <c r="P77" s="385" t="n"/>
      <c r="Q77" s="385" t="n"/>
      <c r="R77" s="385" t="n"/>
      <c r="S77" s="385" t="n"/>
      <c r="T77" s="385" t="n"/>
      <c r="U77" s="385" t="n"/>
      <c r="V77" s="385" t="n"/>
    </row>
    <row r="78" ht="15.75" customHeight="1" s="397">
      <c r="A78" s="385" t="n"/>
      <c r="B78" s="385" t="n"/>
      <c r="C78" s="385" t="n"/>
      <c r="D78" s="385" t="n"/>
      <c r="E78" s="385" t="n"/>
      <c r="F78" s="385" t="n"/>
      <c r="G78" s="386" t="n"/>
      <c r="H78" s="385" t="n"/>
      <c r="I78" s="385" t="n"/>
      <c r="J78" s="385" t="n"/>
      <c r="K78" s="385" t="n"/>
      <c r="L78" s="385" t="n"/>
      <c r="M78" s="385" t="n"/>
      <c r="N78" s="385" t="n"/>
      <c r="O78" s="385" t="n"/>
      <c r="P78" s="385" t="n"/>
      <c r="Q78" s="385" t="n"/>
      <c r="R78" s="385" t="n"/>
      <c r="S78" s="385" t="n"/>
      <c r="T78" s="385" t="n"/>
      <c r="U78" s="385" t="n"/>
      <c r="V78" s="385" t="n"/>
    </row>
    <row r="79" ht="15.75" customHeight="1" s="397">
      <c r="A79" s="385" t="n"/>
      <c r="B79" s="385" t="n"/>
      <c r="C79" s="385" t="n"/>
      <c r="D79" s="385" t="n"/>
      <c r="E79" s="385" t="n"/>
      <c r="F79" s="385" t="n"/>
      <c r="G79" s="386" t="n"/>
      <c r="H79" s="385" t="n"/>
      <c r="I79" s="385" t="n"/>
      <c r="J79" s="385" t="n"/>
      <c r="K79" s="385" t="n"/>
      <c r="L79" s="385" t="n"/>
      <c r="M79" s="385" t="n"/>
      <c r="N79" s="385" t="n"/>
      <c r="O79" s="385" t="n"/>
      <c r="P79" s="385" t="n"/>
      <c r="Q79" s="385" t="n"/>
      <c r="R79" s="385" t="n"/>
      <c r="S79" s="385" t="n"/>
      <c r="T79" s="385" t="n"/>
      <c r="U79" s="385" t="n"/>
      <c r="V79" s="385" t="n"/>
    </row>
    <row r="80" ht="15.75" customHeight="1" s="397">
      <c r="A80" s="385" t="n"/>
      <c r="B80" s="385" t="n"/>
      <c r="C80" s="385" t="n"/>
      <c r="D80" s="385" t="n"/>
      <c r="E80" s="385" t="n"/>
      <c r="F80" s="385" t="n"/>
      <c r="G80" s="386" t="n"/>
      <c r="H80" s="385" t="n"/>
      <c r="I80" s="385" t="n"/>
      <c r="J80" s="385" t="n"/>
      <c r="K80" s="385" t="n"/>
      <c r="L80" s="385" t="n"/>
      <c r="M80" s="385" t="n"/>
      <c r="N80" s="385" t="n"/>
      <c r="O80" s="385" t="n"/>
      <c r="P80" s="385" t="n"/>
      <c r="Q80" s="385" t="n"/>
      <c r="R80" s="385" t="n"/>
      <c r="S80" s="385" t="n"/>
      <c r="T80" s="385" t="n"/>
      <c r="U80" s="385" t="n"/>
      <c r="V80" s="385" t="n"/>
    </row>
    <row r="81" ht="15.75" customHeight="1" s="397">
      <c r="A81" s="385" t="n"/>
      <c r="B81" s="385" t="n"/>
      <c r="C81" s="385" t="n"/>
      <c r="D81" s="385" t="n"/>
      <c r="E81" s="385" t="n"/>
      <c r="F81" s="385" t="n"/>
      <c r="G81" s="386" t="n"/>
      <c r="H81" s="385" t="n"/>
      <c r="I81" s="385" t="n"/>
      <c r="J81" s="385" t="n"/>
      <c r="K81" s="385" t="n"/>
      <c r="L81" s="385" t="n"/>
      <c r="M81" s="385" t="n"/>
      <c r="N81" s="385" t="n"/>
      <c r="O81" s="385" t="n"/>
      <c r="P81" s="385" t="n"/>
      <c r="Q81" s="385" t="n"/>
      <c r="R81" s="385" t="n"/>
      <c r="S81" s="385" t="n"/>
      <c r="T81" s="385" t="n"/>
      <c r="U81" s="385" t="n"/>
      <c r="V81" s="385" t="n"/>
    </row>
    <row r="82" ht="15.75" customHeight="1" s="397">
      <c r="A82" s="385" t="n"/>
      <c r="B82" s="385" t="n"/>
      <c r="C82" s="385" t="n"/>
      <c r="D82" s="385" t="n"/>
      <c r="E82" s="385" t="n"/>
      <c r="F82" s="385" t="n"/>
      <c r="G82" s="386" t="n"/>
      <c r="H82" s="385" t="n"/>
      <c r="I82" s="385" t="n"/>
      <c r="J82" s="385" t="n"/>
      <c r="K82" s="385" t="n"/>
      <c r="L82" s="385" t="n"/>
      <c r="M82" s="385" t="n"/>
      <c r="N82" s="385" t="n"/>
      <c r="O82" s="385" t="n"/>
      <c r="P82" s="385" t="n"/>
      <c r="Q82" s="385" t="n"/>
      <c r="R82" s="385" t="n"/>
      <c r="S82" s="385" t="n"/>
      <c r="T82" s="385" t="n"/>
      <c r="U82" s="385" t="n"/>
      <c r="V82" s="385" t="n"/>
    </row>
    <row r="83" ht="15.75" customHeight="1" s="397">
      <c r="A83" s="385" t="n"/>
      <c r="B83" s="385" t="n"/>
      <c r="C83" s="385" t="n"/>
      <c r="D83" s="385" t="n"/>
      <c r="E83" s="385" t="n"/>
      <c r="F83" s="385" t="n"/>
      <c r="G83" s="386" t="n"/>
      <c r="H83" s="385" t="n"/>
      <c r="I83" s="385" t="n"/>
      <c r="J83" s="385" t="n"/>
      <c r="K83" s="385" t="n"/>
      <c r="L83" s="385" t="n"/>
      <c r="M83" s="385" t="n"/>
      <c r="N83" s="385" t="n"/>
      <c r="O83" s="385" t="n"/>
      <c r="P83" s="385" t="n"/>
      <c r="Q83" s="385" t="n"/>
      <c r="R83" s="385" t="n"/>
      <c r="S83" s="385" t="n"/>
      <c r="T83" s="385" t="n"/>
      <c r="U83" s="385" t="n"/>
      <c r="V83" s="385" t="n"/>
    </row>
    <row r="84" ht="15.75" customHeight="1" s="397">
      <c r="A84" s="385" t="n"/>
      <c r="B84" s="385" t="n"/>
      <c r="C84" s="385" t="n"/>
      <c r="D84" s="385" t="n"/>
      <c r="E84" s="385" t="n"/>
      <c r="F84" s="385" t="n"/>
      <c r="G84" s="386" t="n"/>
      <c r="H84" s="385" t="n"/>
      <c r="I84" s="385" t="n"/>
      <c r="J84" s="385" t="n"/>
      <c r="K84" s="385" t="n"/>
      <c r="L84" s="385" t="n"/>
      <c r="M84" s="385" t="n"/>
      <c r="N84" s="385" t="n"/>
      <c r="O84" s="385" t="n"/>
      <c r="P84" s="385" t="n"/>
      <c r="Q84" s="385" t="n"/>
      <c r="R84" s="385" t="n"/>
      <c r="S84" s="385" t="n"/>
      <c r="T84" s="385" t="n"/>
      <c r="U84" s="385" t="n"/>
      <c r="V84" s="385" t="n"/>
    </row>
    <row r="85" ht="15.75" customHeight="1" s="397">
      <c r="A85" s="385" t="n"/>
      <c r="B85" s="385" t="n"/>
      <c r="C85" s="385" t="n"/>
      <c r="D85" s="385" t="n"/>
      <c r="E85" s="385" t="n"/>
      <c r="F85" s="385" t="n"/>
      <c r="G85" s="386" t="n"/>
      <c r="H85" s="385" t="n"/>
      <c r="I85" s="385" t="n"/>
      <c r="J85" s="385" t="n"/>
      <c r="K85" s="385" t="n"/>
      <c r="L85" s="385" t="n"/>
      <c r="M85" s="385" t="n"/>
      <c r="N85" s="385" t="n"/>
      <c r="O85" s="385" t="n"/>
      <c r="P85" s="385" t="n"/>
      <c r="Q85" s="385" t="n"/>
      <c r="R85" s="385" t="n"/>
      <c r="S85" s="385" t="n"/>
      <c r="T85" s="385" t="n"/>
      <c r="U85" s="385" t="n"/>
      <c r="V85" s="385" t="n"/>
    </row>
    <row r="86" ht="15.75" customHeight="1" s="397">
      <c r="A86" s="385" t="n"/>
      <c r="B86" s="385" t="n"/>
      <c r="C86" s="385" t="n"/>
      <c r="D86" s="385" t="n"/>
      <c r="E86" s="385" t="n"/>
      <c r="F86" s="385" t="n"/>
      <c r="G86" s="386" t="n"/>
      <c r="H86" s="385" t="n"/>
      <c r="I86" s="385" t="n"/>
      <c r="J86" s="385" t="n"/>
      <c r="K86" s="385" t="n"/>
      <c r="L86" s="385" t="n"/>
      <c r="M86" s="385" t="n"/>
      <c r="N86" s="385" t="n"/>
      <c r="O86" s="385" t="n"/>
      <c r="P86" s="385" t="n"/>
      <c r="Q86" s="385" t="n"/>
      <c r="R86" s="385" t="n"/>
      <c r="S86" s="385" t="n"/>
      <c r="T86" s="385" t="n"/>
      <c r="U86" s="385" t="n"/>
      <c r="V86" s="385" t="n"/>
    </row>
    <row r="87" ht="15.75" customHeight="1" s="397">
      <c r="A87" s="385" t="n"/>
      <c r="B87" s="385" t="n"/>
      <c r="C87" s="385" t="n"/>
      <c r="D87" s="385" t="n"/>
      <c r="E87" s="385" t="n"/>
      <c r="F87" s="385" t="n"/>
      <c r="G87" s="386" t="n"/>
      <c r="H87" s="385" t="n"/>
      <c r="I87" s="385" t="n"/>
      <c r="J87" s="385" t="n"/>
      <c r="K87" s="385" t="n"/>
      <c r="L87" s="385" t="n"/>
      <c r="M87" s="385" t="n"/>
      <c r="N87" s="385" t="n"/>
      <c r="O87" s="385" t="n"/>
      <c r="P87" s="385" t="n"/>
      <c r="Q87" s="385" t="n"/>
      <c r="R87" s="385" t="n"/>
      <c r="S87" s="385" t="n"/>
      <c r="T87" s="385" t="n"/>
      <c r="U87" s="385" t="n"/>
      <c r="V87" s="385" t="n"/>
    </row>
    <row r="88" ht="15.75" customHeight="1" s="397">
      <c r="A88" s="385" t="n"/>
      <c r="B88" s="385" t="n"/>
      <c r="C88" s="385" t="n"/>
      <c r="D88" s="385" t="n"/>
      <c r="E88" s="385" t="n"/>
      <c r="F88" s="385" t="n"/>
      <c r="G88" s="386" t="n"/>
      <c r="H88" s="385" t="n"/>
      <c r="I88" s="385" t="n"/>
      <c r="J88" s="385" t="n"/>
      <c r="K88" s="385" t="n"/>
      <c r="L88" s="385" t="n"/>
      <c r="M88" s="385" t="n"/>
      <c r="N88" s="385" t="n"/>
      <c r="O88" s="385" t="n"/>
      <c r="P88" s="385" t="n"/>
      <c r="Q88" s="385" t="n"/>
      <c r="R88" s="385" t="n"/>
      <c r="S88" s="385" t="n"/>
      <c r="T88" s="385" t="n"/>
      <c r="U88" s="385" t="n"/>
      <c r="V88" s="385" t="n"/>
    </row>
    <row r="89" ht="15.75" customHeight="1" s="397">
      <c r="A89" s="385" t="n"/>
      <c r="B89" s="385" t="n"/>
      <c r="C89" s="385" t="n"/>
      <c r="D89" s="385" t="n"/>
      <c r="E89" s="385" t="n"/>
      <c r="F89" s="385" t="n"/>
      <c r="G89" s="386" t="n"/>
      <c r="H89" s="385" t="n"/>
      <c r="I89" s="385" t="n"/>
      <c r="J89" s="385" t="n"/>
      <c r="K89" s="385" t="n"/>
      <c r="L89" s="385" t="n"/>
      <c r="M89" s="385" t="n"/>
      <c r="N89" s="385" t="n"/>
      <c r="O89" s="385" t="n"/>
      <c r="P89" s="385" t="n"/>
      <c r="Q89" s="385" t="n"/>
      <c r="R89" s="385" t="n"/>
      <c r="S89" s="385" t="n"/>
      <c r="T89" s="385" t="n"/>
      <c r="U89" s="385" t="n"/>
      <c r="V89" s="385" t="n"/>
    </row>
    <row r="90" ht="15.75" customHeight="1" s="397">
      <c r="A90" s="385" t="n"/>
      <c r="B90" s="385" t="n"/>
      <c r="C90" s="385" t="n"/>
      <c r="D90" s="385" t="n"/>
      <c r="E90" s="385" t="n"/>
      <c r="F90" s="385" t="n"/>
      <c r="G90" s="386" t="n"/>
      <c r="H90" s="385" t="n"/>
      <c r="I90" s="385" t="n"/>
      <c r="J90" s="385" t="n"/>
      <c r="K90" s="385" t="n"/>
      <c r="L90" s="385" t="n"/>
      <c r="M90" s="385" t="n"/>
      <c r="N90" s="385" t="n"/>
      <c r="O90" s="385" t="n"/>
      <c r="P90" s="385" t="n"/>
      <c r="Q90" s="385" t="n"/>
      <c r="R90" s="385" t="n"/>
      <c r="S90" s="385" t="n"/>
      <c r="T90" s="385" t="n"/>
      <c r="U90" s="385" t="n"/>
      <c r="V90" s="385" t="n"/>
    </row>
    <row r="91" ht="15.75" customHeight="1" s="397">
      <c r="A91" s="385" t="n"/>
      <c r="B91" s="385" t="n"/>
      <c r="C91" s="385" t="n"/>
      <c r="D91" s="385" t="n"/>
      <c r="E91" s="385" t="n"/>
      <c r="F91" s="385" t="n"/>
      <c r="G91" s="386" t="n"/>
      <c r="H91" s="385" t="n"/>
      <c r="I91" s="385" t="n"/>
      <c r="J91" s="385" t="n"/>
      <c r="K91" s="385" t="n"/>
      <c r="L91" s="385" t="n"/>
      <c r="M91" s="385" t="n"/>
      <c r="N91" s="385" t="n"/>
      <c r="O91" s="385" t="n"/>
      <c r="P91" s="385" t="n"/>
      <c r="Q91" s="385" t="n"/>
      <c r="R91" s="385" t="n"/>
      <c r="S91" s="385" t="n"/>
      <c r="T91" s="385" t="n"/>
      <c r="U91" s="385" t="n"/>
      <c r="V91" s="385" t="n"/>
    </row>
    <row r="92" ht="15.75" customHeight="1" s="397">
      <c r="A92" s="385" t="n"/>
      <c r="B92" s="385" t="n"/>
      <c r="C92" s="385" t="n"/>
      <c r="D92" s="385" t="n"/>
      <c r="E92" s="385" t="n"/>
      <c r="F92" s="385" t="n"/>
      <c r="G92" s="386" t="n"/>
      <c r="H92" s="385" t="n"/>
      <c r="I92" s="385" t="n"/>
      <c r="J92" s="385" t="n"/>
      <c r="K92" s="385" t="n"/>
      <c r="L92" s="385" t="n"/>
      <c r="M92" s="385" t="n"/>
      <c r="N92" s="385" t="n"/>
      <c r="O92" s="385" t="n"/>
      <c r="P92" s="385" t="n"/>
      <c r="Q92" s="385" t="n"/>
      <c r="R92" s="385" t="n"/>
      <c r="S92" s="385" t="n"/>
      <c r="T92" s="385" t="n"/>
      <c r="U92" s="385" t="n"/>
      <c r="V92" s="385" t="n"/>
    </row>
    <row r="93" ht="15.75" customHeight="1" s="397">
      <c r="A93" s="385" t="n"/>
      <c r="B93" s="385" t="n"/>
      <c r="C93" s="385" t="n"/>
      <c r="D93" s="385" t="n"/>
      <c r="E93" s="385" t="n"/>
      <c r="F93" s="385" t="n"/>
      <c r="G93" s="386" t="n"/>
      <c r="H93" s="385" t="n"/>
      <c r="I93" s="385" t="n"/>
      <c r="J93" s="385" t="n"/>
      <c r="K93" s="385" t="n"/>
      <c r="L93" s="385" t="n"/>
      <c r="M93" s="385" t="n"/>
      <c r="N93" s="385" t="n"/>
      <c r="O93" s="385" t="n"/>
      <c r="P93" s="385" t="n"/>
      <c r="Q93" s="385" t="n"/>
      <c r="R93" s="385" t="n"/>
      <c r="S93" s="385" t="n"/>
      <c r="T93" s="385" t="n"/>
      <c r="U93" s="385" t="n"/>
      <c r="V93" s="385" t="n"/>
    </row>
    <row r="94" ht="15.75" customHeight="1" s="397">
      <c r="A94" s="385" t="n"/>
      <c r="B94" s="385" t="n"/>
      <c r="C94" s="385" t="n"/>
      <c r="D94" s="385" t="n"/>
      <c r="E94" s="385" t="n"/>
      <c r="F94" s="385" t="n"/>
      <c r="G94" s="386" t="n"/>
      <c r="H94" s="385" t="n"/>
      <c r="I94" s="385" t="n"/>
      <c r="J94" s="385" t="n"/>
      <c r="K94" s="385" t="n"/>
      <c r="L94" s="385" t="n"/>
      <c r="M94" s="385" t="n"/>
      <c r="N94" s="385" t="n"/>
      <c r="O94" s="385" t="n"/>
      <c r="P94" s="385" t="n"/>
      <c r="Q94" s="385" t="n"/>
      <c r="R94" s="385" t="n"/>
      <c r="S94" s="385" t="n"/>
      <c r="T94" s="385" t="n"/>
      <c r="U94" s="385" t="n"/>
      <c r="V94" s="385" t="n"/>
    </row>
    <row r="95" ht="15.75" customHeight="1" s="397">
      <c r="A95" s="385" t="n"/>
      <c r="B95" s="385" t="n"/>
      <c r="C95" s="385" t="n"/>
      <c r="D95" s="385" t="n"/>
      <c r="E95" s="385" t="n"/>
      <c r="F95" s="385" t="n"/>
      <c r="G95" s="386" t="n"/>
      <c r="H95" s="385" t="n"/>
      <c r="I95" s="385" t="n"/>
      <c r="J95" s="385" t="n"/>
      <c r="K95" s="385" t="n"/>
      <c r="L95" s="385" t="n"/>
      <c r="M95" s="385" t="n"/>
      <c r="N95" s="385" t="n"/>
      <c r="O95" s="385" t="n"/>
      <c r="P95" s="385" t="n"/>
      <c r="Q95" s="385" t="n"/>
      <c r="R95" s="385" t="n"/>
      <c r="S95" s="385" t="n"/>
      <c r="T95" s="385" t="n"/>
      <c r="U95" s="385" t="n"/>
      <c r="V95" s="385" t="n"/>
    </row>
    <row r="96" ht="15.75" customHeight="1" s="397">
      <c r="A96" s="385" t="n"/>
      <c r="B96" s="385" t="n"/>
      <c r="C96" s="385" t="n"/>
      <c r="D96" s="385" t="n"/>
      <c r="E96" s="385" t="n"/>
      <c r="F96" s="385" t="n"/>
      <c r="G96" s="386" t="n"/>
      <c r="H96" s="385" t="n"/>
      <c r="I96" s="385" t="n"/>
      <c r="J96" s="385" t="n"/>
      <c r="K96" s="385" t="n"/>
      <c r="L96" s="385" t="n"/>
      <c r="M96" s="385" t="n"/>
      <c r="N96" s="385" t="n"/>
      <c r="O96" s="385" t="n"/>
      <c r="P96" s="385" t="n"/>
      <c r="Q96" s="385" t="n"/>
      <c r="R96" s="385" t="n"/>
      <c r="S96" s="385" t="n"/>
      <c r="T96" s="385" t="n"/>
      <c r="U96" s="385" t="n"/>
      <c r="V96" s="385" t="n"/>
    </row>
    <row r="97" ht="15.75" customHeight="1" s="397">
      <c r="A97" s="385" t="n"/>
      <c r="B97" s="385" t="n"/>
      <c r="C97" s="385" t="n"/>
      <c r="D97" s="385" t="n"/>
      <c r="E97" s="385" t="n"/>
      <c r="F97" s="385" t="n"/>
      <c r="G97" s="386" t="n"/>
      <c r="H97" s="385" t="n"/>
      <c r="I97" s="385" t="n"/>
      <c r="J97" s="385" t="n"/>
      <c r="K97" s="385" t="n"/>
      <c r="L97" s="385" t="n"/>
      <c r="M97" s="385" t="n"/>
      <c r="N97" s="385" t="n"/>
      <c r="O97" s="385" t="n"/>
      <c r="P97" s="385" t="n"/>
      <c r="Q97" s="385" t="n"/>
      <c r="R97" s="385" t="n"/>
      <c r="S97" s="385" t="n"/>
      <c r="T97" s="385" t="n"/>
      <c r="U97" s="385" t="n"/>
      <c r="V97" s="385" t="n"/>
    </row>
    <row r="98" ht="15.75" customHeight="1" s="397">
      <c r="A98" s="385" t="n"/>
      <c r="B98" s="385" t="n"/>
      <c r="C98" s="385" t="n"/>
      <c r="D98" s="385" t="n"/>
      <c r="E98" s="385" t="n"/>
      <c r="F98" s="385" t="n"/>
      <c r="G98" s="386" t="n"/>
      <c r="H98" s="385" t="n"/>
      <c r="I98" s="385" t="n"/>
      <c r="J98" s="385" t="n"/>
      <c r="K98" s="385" t="n"/>
      <c r="L98" s="385" t="n"/>
      <c r="M98" s="385" t="n"/>
      <c r="N98" s="385" t="n"/>
      <c r="O98" s="385" t="n"/>
      <c r="P98" s="385" t="n"/>
      <c r="Q98" s="385" t="n"/>
      <c r="R98" s="385" t="n"/>
      <c r="S98" s="385" t="n"/>
      <c r="T98" s="385" t="n"/>
      <c r="U98" s="385" t="n"/>
      <c r="V98" s="385" t="n"/>
    </row>
    <row r="99" ht="15.75" customHeight="1" s="397">
      <c r="A99" s="385" t="n"/>
      <c r="B99" s="385" t="n"/>
      <c r="C99" s="385" t="n"/>
      <c r="D99" s="385" t="n"/>
      <c r="E99" s="385" t="n"/>
      <c r="F99" s="385" t="n"/>
      <c r="G99" s="386" t="n"/>
      <c r="H99" s="385" t="n"/>
      <c r="I99" s="385" t="n"/>
      <c r="J99" s="385" t="n"/>
      <c r="K99" s="385" t="n"/>
      <c r="L99" s="385" t="n"/>
      <c r="M99" s="385" t="n"/>
      <c r="N99" s="385" t="n"/>
      <c r="O99" s="385" t="n"/>
      <c r="P99" s="385" t="n"/>
      <c r="Q99" s="385" t="n"/>
      <c r="R99" s="385" t="n"/>
      <c r="S99" s="385" t="n"/>
      <c r="T99" s="385" t="n"/>
      <c r="U99" s="385" t="n"/>
      <c r="V99" s="385" t="n"/>
    </row>
    <row r="100" ht="15.75" customHeight="1" s="397">
      <c r="A100" s="385" t="n"/>
      <c r="B100" s="385" t="n"/>
      <c r="C100" s="385" t="n"/>
      <c r="D100" s="385" t="n"/>
      <c r="E100" s="385" t="n"/>
      <c r="F100" s="385" t="n"/>
      <c r="G100" s="386" t="n"/>
      <c r="H100" s="385" t="n"/>
      <c r="I100" s="385" t="n"/>
      <c r="J100" s="385" t="n"/>
      <c r="K100" s="385" t="n"/>
      <c r="L100" s="385" t="n"/>
      <c r="M100" s="385" t="n"/>
      <c r="N100" s="385" t="n"/>
      <c r="O100" s="385" t="n"/>
      <c r="P100" s="385" t="n"/>
      <c r="Q100" s="385" t="n"/>
      <c r="R100" s="385" t="n"/>
      <c r="S100" s="385" t="n"/>
      <c r="T100" s="385" t="n"/>
      <c r="U100" s="385" t="n"/>
      <c r="V100" s="385" t="n"/>
    </row>
    <row r="101" ht="15.75" customHeight="1" s="397">
      <c r="A101" s="385" t="n"/>
      <c r="B101" s="385" t="n"/>
      <c r="C101" s="385" t="n"/>
      <c r="D101" s="385" t="n"/>
      <c r="E101" s="385" t="n"/>
      <c r="F101" s="385" t="n"/>
      <c r="G101" s="386" t="n"/>
      <c r="H101" s="385" t="n"/>
      <c r="I101" s="385" t="n"/>
      <c r="J101" s="385" t="n"/>
      <c r="K101" s="385" t="n"/>
      <c r="L101" s="385" t="n"/>
      <c r="M101" s="385" t="n"/>
      <c r="N101" s="385" t="n"/>
      <c r="O101" s="385" t="n"/>
      <c r="P101" s="385" t="n"/>
      <c r="Q101" s="385" t="n"/>
      <c r="R101" s="385" t="n"/>
      <c r="S101" s="385" t="n"/>
      <c r="T101" s="385" t="n"/>
      <c r="U101" s="385" t="n"/>
      <c r="V101" s="385" t="n"/>
    </row>
    <row r="102" ht="15.75" customHeight="1" s="397">
      <c r="A102" s="385" t="n"/>
      <c r="B102" s="385" t="n"/>
      <c r="C102" s="385" t="n"/>
      <c r="D102" s="385" t="n"/>
      <c r="E102" s="385" t="n"/>
      <c r="F102" s="385" t="n"/>
      <c r="G102" s="386" t="n"/>
      <c r="H102" s="385" t="n"/>
      <c r="I102" s="385" t="n"/>
      <c r="J102" s="385" t="n"/>
      <c r="K102" s="385" t="n"/>
      <c r="L102" s="385" t="n"/>
      <c r="M102" s="385" t="n"/>
      <c r="N102" s="385" t="n"/>
      <c r="O102" s="385" t="n"/>
      <c r="P102" s="385" t="n"/>
      <c r="Q102" s="385" t="n"/>
      <c r="R102" s="385" t="n"/>
      <c r="S102" s="385" t="n"/>
      <c r="T102" s="385" t="n"/>
      <c r="U102" s="385" t="n"/>
      <c r="V102" s="385" t="n"/>
    </row>
    <row r="103" ht="15.75" customHeight="1" s="397">
      <c r="A103" s="385" t="n"/>
      <c r="B103" s="385" t="n"/>
      <c r="C103" s="385" t="n"/>
      <c r="D103" s="385" t="n"/>
      <c r="E103" s="385" t="n"/>
      <c r="F103" s="385" t="n"/>
      <c r="G103" s="386" t="n"/>
      <c r="H103" s="385" t="n"/>
      <c r="I103" s="385" t="n"/>
      <c r="J103" s="385" t="n"/>
      <c r="K103" s="385" t="n"/>
      <c r="L103" s="385" t="n"/>
      <c r="M103" s="385" t="n"/>
      <c r="N103" s="385" t="n"/>
      <c r="O103" s="385" t="n"/>
      <c r="P103" s="385" t="n"/>
      <c r="Q103" s="385" t="n"/>
      <c r="R103" s="385" t="n"/>
      <c r="S103" s="385" t="n"/>
      <c r="T103" s="385" t="n"/>
      <c r="U103" s="385" t="n"/>
      <c r="V103" s="385" t="n"/>
    </row>
    <row r="104" ht="15.75" customHeight="1" s="397">
      <c r="A104" s="385" t="n"/>
      <c r="B104" s="385" t="n"/>
      <c r="C104" s="385" t="n"/>
      <c r="D104" s="385" t="n"/>
      <c r="E104" s="385" t="n"/>
      <c r="F104" s="385" t="n"/>
      <c r="G104" s="386" t="n"/>
      <c r="H104" s="385" t="n"/>
      <c r="I104" s="385" t="n"/>
      <c r="J104" s="385" t="n"/>
      <c r="K104" s="385" t="n"/>
      <c r="L104" s="385" t="n"/>
      <c r="M104" s="385" t="n"/>
      <c r="N104" s="385" t="n"/>
      <c r="O104" s="385" t="n"/>
      <c r="P104" s="385" t="n"/>
      <c r="Q104" s="385" t="n"/>
      <c r="R104" s="385" t="n"/>
      <c r="S104" s="385" t="n"/>
      <c r="T104" s="385" t="n"/>
      <c r="U104" s="385" t="n"/>
      <c r="V104" s="385" t="n"/>
    </row>
    <row r="105" ht="15.75" customHeight="1" s="397">
      <c r="A105" s="385" t="n"/>
      <c r="B105" s="385" t="n"/>
      <c r="C105" s="385" t="n"/>
      <c r="D105" s="385" t="n"/>
      <c r="E105" s="385" t="n"/>
      <c r="F105" s="385" t="n"/>
      <c r="G105" s="386" t="n"/>
      <c r="H105" s="385" t="n"/>
      <c r="I105" s="385" t="n"/>
      <c r="J105" s="385" t="n"/>
      <c r="K105" s="385" t="n"/>
      <c r="L105" s="385" t="n"/>
      <c r="M105" s="385" t="n"/>
      <c r="N105" s="385" t="n"/>
      <c r="O105" s="385" t="n"/>
      <c r="P105" s="385" t="n"/>
      <c r="Q105" s="385" t="n"/>
      <c r="R105" s="385" t="n"/>
      <c r="S105" s="385" t="n"/>
      <c r="T105" s="385" t="n"/>
      <c r="U105" s="385" t="n"/>
      <c r="V105" s="385" t="n"/>
    </row>
    <row r="106" ht="15.75" customHeight="1" s="397">
      <c r="A106" s="385" t="n"/>
      <c r="B106" s="385" t="n"/>
      <c r="C106" s="385" t="n"/>
      <c r="D106" s="385" t="n"/>
      <c r="E106" s="385" t="n"/>
      <c r="F106" s="385" t="n"/>
      <c r="G106" s="386" t="n"/>
      <c r="H106" s="385" t="n"/>
      <c r="I106" s="385" t="n"/>
      <c r="J106" s="385" t="n"/>
      <c r="K106" s="385" t="n"/>
      <c r="L106" s="385" t="n"/>
      <c r="M106" s="385" t="n"/>
      <c r="N106" s="385" t="n"/>
      <c r="O106" s="385" t="n"/>
      <c r="P106" s="385" t="n"/>
      <c r="Q106" s="385" t="n"/>
      <c r="R106" s="385" t="n"/>
      <c r="S106" s="385" t="n"/>
      <c r="T106" s="385" t="n"/>
      <c r="U106" s="385" t="n"/>
      <c r="V106" s="385" t="n"/>
    </row>
    <row r="107" ht="15.75" customHeight="1" s="397">
      <c r="A107" s="385" t="n"/>
      <c r="B107" s="385" t="n"/>
      <c r="C107" s="385" t="n"/>
      <c r="D107" s="385" t="n"/>
      <c r="E107" s="385" t="n"/>
      <c r="F107" s="385" t="n"/>
      <c r="G107" s="386" t="n"/>
      <c r="H107" s="385" t="n"/>
      <c r="I107" s="385" t="n"/>
      <c r="J107" s="385" t="n"/>
      <c r="K107" s="385" t="n"/>
      <c r="L107" s="385" t="n"/>
      <c r="M107" s="385" t="n"/>
      <c r="N107" s="385" t="n"/>
      <c r="O107" s="385" t="n"/>
      <c r="P107" s="385" t="n"/>
      <c r="Q107" s="385" t="n"/>
      <c r="R107" s="385" t="n"/>
      <c r="S107" s="385" t="n"/>
      <c r="T107" s="385" t="n"/>
      <c r="U107" s="385" t="n"/>
      <c r="V107" s="385" t="n"/>
    </row>
    <row r="108" ht="15.75" customHeight="1" s="397">
      <c r="A108" s="385" t="n"/>
      <c r="B108" s="385" t="n"/>
      <c r="C108" s="385" t="n"/>
      <c r="D108" s="385" t="n"/>
      <c r="E108" s="385" t="n"/>
      <c r="F108" s="385" t="n"/>
      <c r="G108" s="386" t="n"/>
      <c r="H108" s="385" t="n"/>
      <c r="I108" s="385" t="n"/>
      <c r="J108" s="385" t="n"/>
      <c r="K108" s="385" t="n"/>
      <c r="L108" s="385" t="n"/>
      <c r="M108" s="385" t="n"/>
      <c r="N108" s="385" t="n"/>
      <c r="O108" s="385" t="n"/>
      <c r="P108" s="385" t="n"/>
      <c r="Q108" s="385" t="n"/>
      <c r="R108" s="385" t="n"/>
      <c r="S108" s="385" t="n"/>
      <c r="T108" s="385" t="n"/>
      <c r="U108" s="385" t="n"/>
      <c r="V108" s="385" t="n"/>
    </row>
    <row r="109" ht="15.75" customHeight="1" s="397">
      <c r="A109" s="385" t="n"/>
      <c r="B109" s="385" t="n"/>
      <c r="C109" s="385" t="n"/>
      <c r="D109" s="385" t="n"/>
      <c r="E109" s="385" t="n"/>
      <c r="F109" s="385" t="n"/>
      <c r="G109" s="386" t="n"/>
      <c r="H109" s="385" t="n"/>
      <c r="I109" s="385" t="n"/>
      <c r="J109" s="385" t="n"/>
      <c r="K109" s="385" t="n"/>
      <c r="L109" s="385" t="n"/>
      <c r="M109" s="385" t="n"/>
      <c r="N109" s="385" t="n"/>
      <c r="O109" s="385" t="n"/>
      <c r="P109" s="385" t="n"/>
      <c r="Q109" s="385" t="n"/>
      <c r="R109" s="385" t="n"/>
      <c r="S109" s="385" t="n"/>
      <c r="T109" s="385" t="n"/>
      <c r="U109" s="385" t="n"/>
      <c r="V109" s="385" t="n"/>
    </row>
    <row r="110" ht="15.75" customHeight="1" s="397">
      <c r="A110" s="385" t="n"/>
      <c r="B110" s="385" t="n"/>
      <c r="C110" s="385" t="n"/>
      <c r="D110" s="385" t="n"/>
      <c r="E110" s="385" t="n"/>
      <c r="F110" s="385" t="n"/>
      <c r="G110" s="386" t="n"/>
      <c r="H110" s="385" t="n"/>
      <c r="I110" s="385" t="n"/>
      <c r="J110" s="385" t="n"/>
      <c r="K110" s="385" t="n"/>
      <c r="L110" s="385" t="n"/>
      <c r="M110" s="385" t="n"/>
      <c r="N110" s="385" t="n"/>
      <c r="O110" s="385" t="n"/>
      <c r="P110" s="385" t="n"/>
      <c r="Q110" s="385" t="n"/>
      <c r="R110" s="385" t="n"/>
      <c r="S110" s="385" t="n"/>
      <c r="T110" s="385" t="n"/>
      <c r="U110" s="385" t="n"/>
      <c r="V110" s="385" t="n"/>
    </row>
    <row r="111" ht="15.75" customHeight="1" s="397">
      <c r="A111" s="385" t="n"/>
      <c r="B111" s="385" t="n"/>
      <c r="C111" s="385" t="n"/>
      <c r="D111" s="385" t="n"/>
      <c r="E111" s="385" t="n"/>
      <c r="F111" s="385" t="n"/>
      <c r="G111" s="386" t="n"/>
      <c r="H111" s="385" t="n"/>
      <c r="I111" s="385" t="n"/>
      <c r="J111" s="385" t="n"/>
      <c r="K111" s="385" t="n"/>
      <c r="L111" s="385" t="n"/>
      <c r="M111" s="385" t="n"/>
      <c r="N111" s="385" t="n"/>
      <c r="O111" s="385" t="n"/>
      <c r="P111" s="385" t="n"/>
      <c r="Q111" s="385" t="n"/>
      <c r="R111" s="385" t="n"/>
      <c r="S111" s="385" t="n"/>
      <c r="T111" s="385" t="n"/>
      <c r="U111" s="385" t="n"/>
      <c r="V111" s="385" t="n"/>
    </row>
    <row r="112" ht="15.75" customHeight="1" s="397">
      <c r="A112" s="385" t="n"/>
      <c r="B112" s="385" t="n"/>
      <c r="C112" s="385" t="n"/>
      <c r="D112" s="385" t="n"/>
      <c r="E112" s="385" t="n"/>
      <c r="F112" s="385" t="n"/>
      <c r="G112" s="386" t="n"/>
      <c r="H112" s="385" t="n"/>
      <c r="I112" s="385" t="n"/>
      <c r="J112" s="385" t="n"/>
      <c r="K112" s="385" t="n"/>
      <c r="L112" s="385" t="n"/>
      <c r="M112" s="385" t="n"/>
      <c r="N112" s="385" t="n"/>
      <c r="O112" s="385" t="n"/>
      <c r="P112" s="385" t="n"/>
      <c r="Q112" s="385" t="n"/>
      <c r="R112" s="385" t="n"/>
      <c r="S112" s="385" t="n"/>
      <c r="T112" s="385" t="n"/>
      <c r="U112" s="385" t="n"/>
      <c r="V112" s="385" t="n"/>
    </row>
    <row r="113" ht="15.75" customHeight="1" s="397">
      <c r="A113" s="385" t="n"/>
      <c r="B113" s="385" t="n"/>
      <c r="C113" s="385" t="n"/>
      <c r="D113" s="385" t="n"/>
      <c r="E113" s="385" t="n"/>
      <c r="F113" s="385" t="n"/>
      <c r="G113" s="386" t="n"/>
      <c r="H113" s="385" t="n"/>
      <c r="I113" s="385" t="n"/>
      <c r="J113" s="385" t="n"/>
      <c r="K113" s="385" t="n"/>
      <c r="L113" s="385" t="n"/>
      <c r="M113" s="385" t="n"/>
      <c r="N113" s="385" t="n"/>
      <c r="O113" s="385" t="n"/>
      <c r="P113" s="385" t="n"/>
      <c r="Q113" s="385" t="n"/>
      <c r="R113" s="385" t="n"/>
      <c r="S113" s="385" t="n"/>
      <c r="T113" s="385" t="n"/>
      <c r="U113" s="385" t="n"/>
      <c r="V113" s="385" t="n"/>
    </row>
    <row r="114" ht="15.75" customHeight="1" s="397">
      <c r="A114" s="385" t="n"/>
      <c r="B114" s="385" t="n"/>
      <c r="C114" s="385" t="n"/>
      <c r="D114" s="385" t="n"/>
      <c r="E114" s="385" t="n"/>
      <c r="F114" s="385" t="n"/>
      <c r="G114" s="386" t="n"/>
      <c r="H114" s="385" t="n"/>
      <c r="I114" s="385" t="n"/>
      <c r="J114" s="385" t="n"/>
      <c r="K114" s="385" t="n"/>
      <c r="L114" s="385" t="n"/>
      <c r="M114" s="385" t="n"/>
      <c r="N114" s="385" t="n"/>
      <c r="O114" s="385" t="n"/>
      <c r="P114" s="385" t="n"/>
      <c r="Q114" s="385" t="n"/>
      <c r="R114" s="385" t="n"/>
      <c r="S114" s="385" t="n"/>
      <c r="T114" s="385" t="n"/>
      <c r="U114" s="385" t="n"/>
      <c r="V114" s="385" t="n"/>
    </row>
    <row r="115" ht="15.75" customHeight="1" s="397">
      <c r="A115" s="385" t="n"/>
      <c r="B115" s="385" t="n"/>
      <c r="C115" s="385" t="n"/>
      <c r="D115" s="385" t="n"/>
      <c r="E115" s="385" t="n"/>
      <c r="F115" s="385" t="n"/>
      <c r="G115" s="386" t="n"/>
      <c r="H115" s="385" t="n"/>
      <c r="I115" s="385" t="n"/>
      <c r="J115" s="385" t="n"/>
      <c r="K115" s="385" t="n"/>
      <c r="L115" s="385" t="n"/>
      <c r="M115" s="385" t="n"/>
      <c r="N115" s="385" t="n"/>
      <c r="O115" s="385" t="n"/>
      <c r="P115" s="385" t="n"/>
      <c r="Q115" s="385" t="n"/>
      <c r="R115" s="385" t="n"/>
      <c r="S115" s="385" t="n"/>
      <c r="T115" s="385" t="n"/>
      <c r="U115" s="385" t="n"/>
      <c r="V115" s="385" t="n"/>
    </row>
    <row r="116" ht="15.75" customHeight="1" s="397">
      <c r="A116" s="385" t="n"/>
      <c r="B116" s="385" t="n"/>
      <c r="C116" s="385" t="n"/>
      <c r="D116" s="385" t="n"/>
      <c r="E116" s="385" t="n"/>
      <c r="F116" s="385" t="n"/>
      <c r="G116" s="386" t="n"/>
      <c r="H116" s="385" t="n"/>
      <c r="I116" s="385" t="n"/>
      <c r="J116" s="385" t="n"/>
      <c r="K116" s="385" t="n"/>
      <c r="L116" s="385" t="n"/>
      <c r="M116" s="385" t="n"/>
      <c r="N116" s="385" t="n"/>
      <c r="O116" s="385" t="n"/>
      <c r="P116" s="385" t="n"/>
      <c r="Q116" s="385" t="n"/>
      <c r="R116" s="385" t="n"/>
      <c r="S116" s="385" t="n"/>
      <c r="T116" s="385" t="n"/>
      <c r="U116" s="385" t="n"/>
      <c r="V116" s="385" t="n"/>
    </row>
    <row r="117" ht="15.75" customHeight="1" s="397">
      <c r="A117" s="385" t="n"/>
      <c r="B117" s="385" t="n"/>
      <c r="C117" s="385" t="n"/>
      <c r="D117" s="385" t="n"/>
      <c r="E117" s="385" t="n"/>
      <c r="F117" s="385" t="n"/>
      <c r="G117" s="386" t="n"/>
      <c r="H117" s="385" t="n"/>
      <c r="I117" s="385" t="n"/>
      <c r="J117" s="385" t="n"/>
      <c r="K117" s="385" t="n"/>
      <c r="L117" s="385" t="n"/>
      <c r="M117" s="385" t="n"/>
      <c r="N117" s="385" t="n"/>
      <c r="O117" s="385" t="n"/>
      <c r="P117" s="385" t="n"/>
      <c r="Q117" s="385" t="n"/>
      <c r="R117" s="385" t="n"/>
      <c r="S117" s="385" t="n"/>
      <c r="T117" s="385" t="n"/>
      <c r="U117" s="385" t="n"/>
      <c r="V117" s="385" t="n"/>
    </row>
    <row r="118" ht="15.75" customHeight="1" s="397">
      <c r="A118" s="385" t="n"/>
      <c r="B118" s="385" t="n"/>
      <c r="C118" s="385" t="n"/>
      <c r="D118" s="385" t="n"/>
      <c r="E118" s="385" t="n"/>
      <c r="F118" s="385" t="n"/>
      <c r="G118" s="386" t="n"/>
      <c r="H118" s="385" t="n"/>
      <c r="I118" s="385" t="n"/>
      <c r="J118" s="385" t="n"/>
      <c r="K118" s="385" t="n"/>
      <c r="L118" s="385" t="n"/>
      <c r="M118" s="385" t="n"/>
      <c r="N118" s="385" t="n"/>
      <c r="O118" s="385" t="n"/>
      <c r="P118" s="385" t="n"/>
      <c r="Q118" s="385" t="n"/>
      <c r="R118" s="385" t="n"/>
      <c r="S118" s="385" t="n"/>
      <c r="T118" s="385" t="n"/>
      <c r="U118" s="385" t="n"/>
      <c r="V118" s="385" t="n"/>
    </row>
    <row r="119" ht="15.75" customHeight="1" s="397">
      <c r="A119" s="385" t="n"/>
      <c r="B119" s="385" t="n"/>
      <c r="C119" s="385" t="n"/>
      <c r="D119" s="385" t="n"/>
      <c r="E119" s="385" t="n"/>
      <c r="F119" s="385" t="n"/>
      <c r="G119" s="386" t="n"/>
      <c r="H119" s="385" t="n"/>
      <c r="I119" s="385" t="n"/>
      <c r="J119" s="385" t="n"/>
      <c r="K119" s="385" t="n"/>
      <c r="L119" s="385" t="n"/>
      <c r="M119" s="385" t="n"/>
      <c r="N119" s="385" t="n"/>
      <c r="O119" s="385" t="n"/>
      <c r="P119" s="385" t="n"/>
      <c r="Q119" s="385" t="n"/>
      <c r="R119" s="385" t="n"/>
      <c r="S119" s="385" t="n"/>
      <c r="T119" s="385" t="n"/>
      <c r="U119" s="385" t="n"/>
      <c r="V119" s="385" t="n"/>
    </row>
    <row r="120" ht="15.75" customHeight="1" s="397">
      <c r="A120" s="385" t="n"/>
      <c r="B120" s="385" t="n"/>
      <c r="C120" s="385" t="n"/>
      <c r="D120" s="385" t="n"/>
      <c r="E120" s="385" t="n"/>
      <c r="F120" s="385" t="n"/>
      <c r="G120" s="386" t="n"/>
      <c r="H120" s="385" t="n"/>
      <c r="I120" s="385" t="n"/>
      <c r="J120" s="385" t="n"/>
      <c r="K120" s="385" t="n"/>
      <c r="L120" s="385" t="n"/>
      <c r="M120" s="385" t="n"/>
      <c r="N120" s="385" t="n"/>
      <c r="O120" s="385" t="n"/>
      <c r="P120" s="385" t="n"/>
      <c r="Q120" s="385" t="n"/>
      <c r="R120" s="385" t="n"/>
      <c r="S120" s="385" t="n"/>
      <c r="T120" s="385" t="n"/>
      <c r="U120" s="385" t="n"/>
      <c r="V120" s="385" t="n"/>
    </row>
    <row r="121" ht="15.75" customHeight="1" s="397">
      <c r="A121" s="385" t="n"/>
      <c r="B121" s="385" t="n"/>
      <c r="C121" s="385" t="n"/>
      <c r="D121" s="385" t="n"/>
      <c r="E121" s="385" t="n"/>
      <c r="F121" s="385" t="n"/>
      <c r="G121" s="386" t="n"/>
      <c r="H121" s="385" t="n"/>
      <c r="I121" s="385" t="n"/>
      <c r="J121" s="385" t="n"/>
      <c r="K121" s="385" t="n"/>
      <c r="L121" s="385" t="n"/>
      <c r="M121" s="385" t="n"/>
      <c r="N121" s="385" t="n"/>
      <c r="O121" s="385" t="n"/>
      <c r="P121" s="385" t="n"/>
      <c r="Q121" s="385" t="n"/>
      <c r="R121" s="385" t="n"/>
      <c r="S121" s="385" t="n"/>
      <c r="T121" s="385" t="n"/>
      <c r="U121" s="385" t="n"/>
      <c r="V121" s="385" t="n"/>
    </row>
    <row r="122" ht="15.75" customHeight="1" s="397">
      <c r="A122" s="385" t="n"/>
      <c r="B122" s="385" t="n"/>
      <c r="C122" s="385" t="n"/>
      <c r="D122" s="385" t="n"/>
      <c r="E122" s="385" t="n"/>
      <c r="F122" s="385" t="n"/>
      <c r="G122" s="386" t="n"/>
      <c r="H122" s="385" t="n"/>
      <c r="I122" s="385" t="n"/>
      <c r="J122" s="385" t="n"/>
      <c r="K122" s="385" t="n"/>
      <c r="L122" s="385" t="n"/>
      <c r="M122" s="385" t="n"/>
      <c r="N122" s="385" t="n"/>
      <c r="O122" s="385" t="n"/>
      <c r="P122" s="385" t="n"/>
      <c r="Q122" s="385" t="n"/>
      <c r="R122" s="385" t="n"/>
      <c r="S122" s="385" t="n"/>
      <c r="T122" s="385" t="n"/>
      <c r="U122" s="385" t="n"/>
      <c r="V122" s="385" t="n"/>
    </row>
    <row r="123" ht="15.75" customHeight="1" s="397">
      <c r="A123" s="385" t="n"/>
      <c r="B123" s="385" t="n"/>
      <c r="C123" s="385" t="n"/>
      <c r="D123" s="385" t="n"/>
      <c r="E123" s="385" t="n"/>
      <c r="F123" s="385" t="n"/>
      <c r="G123" s="386" t="n"/>
      <c r="H123" s="385" t="n"/>
      <c r="I123" s="385" t="n"/>
      <c r="J123" s="385" t="n"/>
      <c r="K123" s="385" t="n"/>
      <c r="L123" s="385" t="n"/>
      <c r="M123" s="385" t="n"/>
      <c r="N123" s="385" t="n"/>
      <c r="O123" s="385" t="n"/>
      <c r="P123" s="385" t="n"/>
      <c r="Q123" s="385" t="n"/>
      <c r="R123" s="385" t="n"/>
      <c r="S123" s="385" t="n"/>
      <c r="T123" s="385" t="n"/>
      <c r="U123" s="385" t="n"/>
      <c r="V123" s="385" t="n"/>
    </row>
    <row r="124" ht="15.75" customHeight="1" s="397">
      <c r="A124" s="385" t="n"/>
      <c r="B124" s="385" t="n"/>
      <c r="C124" s="385" t="n"/>
      <c r="D124" s="385" t="n"/>
      <c r="E124" s="385" t="n"/>
      <c r="F124" s="385" t="n"/>
      <c r="G124" s="386" t="n"/>
      <c r="H124" s="385" t="n"/>
      <c r="I124" s="385" t="n"/>
      <c r="J124" s="385" t="n"/>
      <c r="K124" s="385" t="n"/>
      <c r="L124" s="385" t="n"/>
      <c r="M124" s="385" t="n"/>
      <c r="N124" s="385" t="n"/>
      <c r="O124" s="385" t="n"/>
      <c r="P124" s="385" t="n"/>
      <c r="Q124" s="385" t="n"/>
      <c r="R124" s="385" t="n"/>
      <c r="S124" s="385" t="n"/>
      <c r="T124" s="385" t="n"/>
      <c r="U124" s="385" t="n"/>
      <c r="V124" s="385" t="n"/>
    </row>
    <row r="125" ht="15.75" customHeight="1" s="397">
      <c r="A125" s="385" t="n"/>
      <c r="B125" s="385" t="n"/>
      <c r="C125" s="385" t="n"/>
      <c r="D125" s="385" t="n"/>
      <c r="E125" s="385" t="n"/>
      <c r="F125" s="385" t="n"/>
      <c r="G125" s="386" t="n"/>
      <c r="H125" s="385" t="n"/>
      <c r="I125" s="385" t="n"/>
      <c r="J125" s="385" t="n"/>
      <c r="K125" s="385" t="n"/>
      <c r="L125" s="385" t="n"/>
      <c r="M125" s="385" t="n"/>
      <c r="N125" s="385" t="n"/>
      <c r="O125" s="385" t="n"/>
      <c r="P125" s="385" t="n"/>
      <c r="Q125" s="385" t="n"/>
      <c r="R125" s="385" t="n"/>
      <c r="S125" s="385" t="n"/>
      <c r="T125" s="385" t="n"/>
      <c r="U125" s="385" t="n"/>
      <c r="V125" s="385" t="n"/>
    </row>
    <row r="126" ht="15.75" customHeight="1" s="397">
      <c r="A126" s="385" t="n"/>
      <c r="B126" s="385" t="n"/>
      <c r="C126" s="385" t="n"/>
      <c r="D126" s="385" t="n"/>
      <c r="E126" s="385" t="n"/>
      <c r="F126" s="385" t="n"/>
      <c r="G126" s="386" t="n"/>
      <c r="H126" s="385" t="n"/>
      <c r="I126" s="385" t="n"/>
      <c r="J126" s="385" t="n"/>
      <c r="K126" s="385" t="n"/>
      <c r="L126" s="385" t="n"/>
      <c r="M126" s="385" t="n"/>
      <c r="N126" s="385" t="n"/>
      <c r="O126" s="385" t="n"/>
      <c r="P126" s="385" t="n"/>
      <c r="Q126" s="385" t="n"/>
      <c r="R126" s="385" t="n"/>
      <c r="S126" s="385" t="n"/>
      <c r="T126" s="385" t="n"/>
      <c r="U126" s="385" t="n"/>
      <c r="V126" s="385" t="n"/>
    </row>
    <row r="127" ht="15.75" customHeight="1" s="397">
      <c r="A127" s="385" t="n"/>
      <c r="B127" s="385" t="n"/>
      <c r="C127" s="385" t="n"/>
      <c r="D127" s="385" t="n"/>
      <c r="E127" s="385" t="n"/>
      <c r="F127" s="385" t="n"/>
      <c r="G127" s="386" t="n"/>
      <c r="H127" s="385" t="n"/>
      <c r="I127" s="385" t="n"/>
      <c r="J127" s="385" t="n"/>
      <c r="K127" s="385" t="n"/>
      <c r="L127" s="385" t="n"/>
      <c r="M127" s="385" t="n"/>
      <c r="N127" s="385" t="n"/>
      <c r="O127" s="385" t="n"/>
      <c r="P127" s="385" t="n"/>
      <c r="Q127" s="385" t="n"/>
      <c r="R127" s="385" t="n"/>
      <c r="S127" s="385" t="n"/>
      <c r="T127" s="385" t="n"/>
      <c r="U127" s="385" t="n"/>
      <c r="V127" s="385" t="n"/>
    </row>
    <row r="128" ht="15.75" customHeight="1" s="397">
      <c r="A128" s="385" t="n"/>
      <c r="B128" s="385" t="n"/>
      <c r="C128" s="385" t="n"/>
      <c r="D128" s="385" t="n"/>
      <c r="E128" s="385" t="n"/>
      <c r="F128" s="385" t="n"/>
      <c r="G128" s="386" t="n"/>
      <c r="H128" s="385" t="n"/>
      <c r="I128" s="385" t="n"/>
      <c r="J128" s="385" t="n"/>
      <c r="K128" s="385" t="n"/>
      <c r="L128" s="385" t="n"/>
      <c r="M128" s="385" t="n"/>
      <c r="N128" s="385" t="n"/>
      <c r="O128" s="385" t="n"/>
      <c r="P128" s="385" t="n"/>
      <c r="Q128" s="385" t="n"/>
      <c r="R128" s="385" t="n"/>
      <c r="S128" s="385" t="n"/>
      <c r="T128" s="385" t="n"/>
      <c r="U128" s="385" t="n"/>
      <c r="V128" s="385" t="n"/>
    </row>
    <row r="129" ht="15.75" customHeight="1" s="397">
      <c r="A129" s="385" t="n"/>
      <c r="B129" s="385" t="n"/>
      <c r="C129" s="385" t="n"/>
      <c r="D129" s="385" t="n"/>
      <c r="E129" s="385" t="n"/>
      <c r="F129" s="385" t="n"/>
      <c r="G129" s="386" t="n"/>
      <c r="H129" s="385" t="n"/>
      <c r="I129" s="385" t="n"/>
      <c r="J129" s="385" t="n"/>
      <c r="K129" s="385" t="n"/>
      <c r="L129" s="385" t="n"/>
      <c r="M129" s="385" t="n"/>
      <c r="N129" s="385" t="n"/>
      <c r="O129" s="385" t="n"/>
      <c r="P129" s="385" t="n"/>
      <c r="Q129" s="385" t="n"/>
      <c r="R129" s="385" t="n"/>
      <c r="S129" s="385" t="n"/>
      <c r="T129" s="385" t="n"/>
      <c r="U129" s="385" t="n"/>
      <c r="V129" s="385" t="n"/>
    </row>
    <row r="130" ht="15.75" customHeight="1" s="397">
      <c r="A130" s="385" t="n"/>
      <c r="B130" s="385" t="n"/>
      <c r="C130" s="385" t="n"/>
      <c r="D130" s="385" t="n"/>
      <c r="E130" s="385" t="n"/>
      <c r="F130" s="385" t="n"/>
      <c r="G130" s="386" t="n"/>
      <c r="H130" s="385" t="n"/>
      <c r="I130" s="385" t="n"/>
      <c r="J130" s="385" t="n"/>
      <c r="K130" s="385" t="n"/>
      <c r="L130" s="385" t="n"/>
      <c r="M130" s="385" t="n"/>
      <c r="N130" s="385" t="n"/>
      <c r="O130" s="385" t="n"/>
      <c r="P130" s="385" t="n"/>
      <c r="Q130" s="385" t="n"/>
      <c r="R130" s="385" t="n"/>
      <c r="S130" s="385" t="n"/>
      <c r="T130" s="385" t="n"/>
      <c r="U130" s="385" t="n"/>
      <c r="V130" s="385" t="n"/>
    </row>
    <row r="131" ht="15.75" customHeight="1" s="397">
      <c r="A131" s="385" t="n"/>
      <c r="B131" s="385" t="n"/>
      <c r="C131" s="385" t="n"/>
      <c r="D131" s="385" t="n"/>
      <c r="E131" s="385" t="n"/>
      <c r="F131" s="385" t="n"/>
      <c r="G131" s="386" t="n"/>
      <c r="H131" s="385" t="n"/>
      <c r="I131" s="385" t="n"/>
      <c r="J131" s="385" t="n"/>
      <c r="K131" s="385" t="n"/>
      <c r="L131" s="385" t="n"/>
      <c r="M131" s="385" t="n"/>
      <c r="N131" s="385" t="n"/>
      <c r="O131" s="385" t="n"/>
      <c r="P131" s="385" t="n"/>
      <c r="Q131" s="385" t="n"/>
      <c r="R131" s="385" t="n"/>
      <c r="S131" s="385" t="n"/>
      <c r="T131" s="385" t="n"/>
      <c r="U131" s="385" t="n"/>
      <c r="V131" s="385" t="n"/>
    </row>
    <row r="132" ht="15.75" customHeight="1" s="397">
      <c r="A132" s="385" t="n"/>
      <c r="B132" s="385" t="n"/>
      <c r="C132" s="385" t="n"/>
      <c r="D132" s="385" t="n"/>
      <c r="E132" s="385" t="n"/>
      <c r="F132" s="385" t="n"/>
      <c r="G132" s="386" t="n"/>
      <c r="H132" s="385" t="n"/>
      <c r="I132" s="385" t="n"/>
      <c r="J132" s="385" t="n"/>
      <c r="K132" s="385" t="n"/>
      <c r="L132" s="385" t="n"/>
      <c r="M132" s="385" t="n"/>
      <c r="N132" s="385" t="n"/>
      <c r="O132" s="385" t="n"/>
      <c r="P132" s="385" t="n"/>
      <c r="Q132" s="385" t="n"/>
      <c r="R132" s="385" t="n"/>
      <c r="S132" s="385" t="n"/>
      <c r="T132" s="385" t="n"/>
      <c r="U132" s="385" t="n"/>
      <c r="V132" s="385" t="n"/>
    </row>
    <row r="133" ht="15.75" customHeight="1" s="397">
      <c r="A133" s="385" t="n"/>
      <c r="B133" s="385" t="n"/>
      <c r="C133" s="385" t="n"/>
      <c r="D133" s="385" t="n"/>
      <c r="E133" s="385" t="n"/>
      <c r="F133" s="385" t="n"/>
      <c r="G133" s="386" t="n"/>
      <c r="H133" s="385" t="n"/>
      <c r="I133" s="385" t="n"/>
      <c r="J133" s="385" t="n"/>
      <c r="K133" s="385" t="n"/>
      <c r="L133" s="385" t="n"/>
      <c r="M133" s="385" t="n"/>
      <c r="N133" s="385" t="n"/>
      <c r="O133" s="385" t="n"/>
      <c r="P133" s="385" t="n"/>
      <c r="Q133" s="385" t="n"/>
      <c r="R133" s="385" t="n"/>
      <c r="S133" s="385" t="n"/>
      <c r="T133" s="385" t="n"/>
      <c r="U133" s="385" t="n"/>
      <c r="V133" s="385" t="n"/>
    </row>
    <row r="134" ht="15.75" customHeight="1" s="397">
      <c r="A134" s="385" t="n"/>
      <c r="B134" s="385" t="n"/>
      <c r="C134" s="385" t="n"/>
      <c r="D134" s="385" t="n"/>
      <c r="E134" s="385" t="n"/>
      <c r="F134" s="385" t="n"/>
      <c r="G134" s="386" t="n"/>
      <c r="H134" s="385" t="n"/>
      <c r="I134" s="385" t="n"/>
      <c r="J134" s="385" t="n"/>
      <c r="K134" s="385" t="n"/>
      <c r="L134" s="385" t="n"/>
      <c r="M134" s="385" t="n"/>
      <c r="N134" s="385" t="n"/>
      <c r="O134" s="385" t="n"/>
      <c r="P134" s="385" t="n"/>
      <c r="Q134" s="385" t="n"/>
      <c r="R134" s="385" t="n"/>
      <c r="S134" s="385" t="n"/>
      <c r="T134" s="385" t="n"/>
      <c r="U134" s="385" t="n"/>
      <c r="V134" s="385" t="n"/>
    </row>
    <row r="135" ht="15.75" customHeight="1" s="397">
      <c r="A135" s="385" t="n"/>
      <c r="B135" s="385" t="n"/>
      <c r="C135" s="385" t="n"/>
      <c r="D135" s="385" t="n"/>
      <c r="E135" s="385" t="n"/>
      <c r="F135" s="385" t="n"/>
      <c r="G135" s="386" t="n"/>
      <c r="H135" s="385" t="n"/>
      <c r="I135" s="385" t="n"/>
      <c r="J135" s="385" t="n"/>
      <c r="K135" s="385" t="n"/>
      <c r="L135" s="385" t="n"/>
      <c r="M135" s="385" t="n"/>
      <c r="N135" s="385" t="n"/>
      <c r="O135" s="385" t="n"/>
      <c r="P135" s="385" t="n"/>
      <c r="Q135" s="385" t="n"/>
      <c r="R135" s="385" t="n"/>
      <c r="S135" s="385" t="n"/>
      <c r="T135" s="385" t="n"/>
      <c r="U135" s="385" t="n"/>
      <c r="V135" s="385" t="n"/>
    </row>
    <row r="136" ht="15.75" customHeight="1" s="397">
      <c r="A136" s="385" t="n"/>
      <c r="B136" s="385" t="n"/>
      <c r="C136" s="385" t="n"/>
      <c r="D136" s="385" t="n"/>
      <c r="E136" s="385" t="n"/>
      <c r="F136" s="385" t="n"/>
      <c r="G136" s="386" t="n"/>
      <c r="H136" s="385" t="n"/>
      <c r="I136" s="385" t="n"/>
      <c r="J136" s="385" t="n"/>
      <c r="K136" s="385" t="n"/>
      <c r="L136" s="385" t="n"/>
      <c r="M136" s="385" t="n"/>
      <c r="N136" s="385" t="n"/>
      <c r="O136" s="385" t="n"/>
      <c r="P136" s="385" t="n"/>
      <c r="Q136" s="385" t="n"/>
      <c r="R136" s="385" t="n"/>
      <c r="S136" s="385" t="n"/>
      <c r="T136" s="385" t="n"/>
      <c r="U136" s="385" t="n"/>
      <c r="V136" s="385" t="n"/>
    </row>
    <row r="137" ht="15.75" customHeight="1" s="397">
      <c r="A137" s="385" t="n"/>
      <c r="B137" s="385" t="n"/>
      <c r="C137" s="385" t="n"/>
      <c r="D137" s="385" t="n"/>
      <c r="E137" s="385" t="n"/>
      <c r="F137" s="385" t="n"/>
      <c r="G137" s="386" t="n"/>
      <c r="H137" s="385" t="n"/>
      <c r="I137" s="385" t="n"/>
      <c r="J137" s="385" t="n"/>
      <c r="K137" s="385" t="n"/>
      <c r="L137" s="385" t="n"/>
      <c r="M137" s="385" t="n"/>
      <c r="N137" s="385" t="n"/>
      <c r="O137" s="385" t="n"/>
      <c r="P137" s="385" t="n"/>
      <c r="Q137" s="385" t="n"/>
      <c r="R137" s="385" t="n"/>
      <c r="S137" s="385" t="n"/>
      <c r="T137" s="385" t="n"/>
      <c r="U137" s="385" t="n"/>
      <c r="V137" s="385" t="n"/>
    </row>
    <row r="138" ht="15.75" customHeight="1" s="397">
      <c r="A138" s="385" t="n"/>
      <c r="B138" s="385" t="n"/>
      <c r="C138" s="385" t="n"/>
      <c r="D138" s="385" t="n"/>
      <c r="E138" s="385" t="n"/>
      <c r="F138" s="385" t="n"/>
      <c r="G138" s="386" t="n"/>
      <c r="H138" s="385" t="n"/>
      <c r="I138" s="385" t="n"/>
      <c r="J138" s="385" t="n"/>
      <c r="K138" s="385" t="n"/>
      <c r="L138" s="385" t="n"/>
      <c r="M138" s="385" t="n"/>
      <c r="N138" s="385" t="n"/>
      <c r="O138" s="385" t="n"/>
      <c r="P138" s="385" t="n"/>
      <c r="Q138" s="385" t="n"/>
      <c r="R138" s="385" t="n"/>
      <c r="S138" s="385" t="n"/>
      <c r="T138" s="385" t="n"/>
      <c r="U138" s="385" t="n"/>
      <c r="V138" s="385" t="n"/>
    </row>
    <row r="139" ht="15.75" customHeight="1" s="397">
      <c r="A139" s="385" t="n"/>
      <c r="B139" s="385" t="n"/>
      <c r="C139" s="385" t="n"/>
      <c r="D139" s="385" t="n"/>
      <c r="E139" s="385" t="n"/>
      <c r="F139" s="385" t="n"/>
      <c r="G139" s="386" t="n"/>
      <c r="H139" s="385" t="n"/>
      <c r="I139" s="385" t="n"/>
      <c r="J139" s="385" t="n"/>
      <c r="K139" s="385" t="n"/>
      <c r="L139" s="385" t="n"/>
      <c r="M139" s="385" t="n"/>
      <c r="N139" s="385" t="n"/>
      <c r="O139" s="385" t="n"/>
      <c r="P139" s="385" t="n"/>
      <c r="Q139" s="385" t="n"/>
      <c r="R139" s="385" t="n"/>
      <c r="S139" s="385" t="n"/>
      <c r="T139" s="385" t="n"/>
      <c r="U139" s="385" t="n"/>
      <c r="V139" s="385" t="n"/>
    </row>
    <row r="140" ht="15.75" customHeight="1" s="397">
      <c r="A140" s="385" t="n"/>
      <c r="B140" s="385" t="n"/>
      <c r="C140" s="385" t="n"/>
      <c r="D140" s="385" t="n"/>
      <c r="E140" s="385" t="n"/>
      <c r="F140" s="385" t="n"/>
      <c r="G140" s="386" t="n"/>
      <c r="H140" s="385" t="n"/>
      <c r="I140" s="385" t="n"/>
      <c r="J140" s="385" t="n"/>
      <c r="K140" s="385" t="n"/>
      <c r="L140" s="385" t="n"/>
      <c r="M140" s="385" t="n"/>
      <c r="N140" s="385" t="n"/>
      <c r="O140" s="385" t="n"/>
      <c r="P140" s="385" t="n"/>
      <c r="Q140" s="385" t="n"/>
      <c r="R140" s="385" t="n"/>
      <c r="S140" s="385" t="n"/>
      <c r="T140" s="385" t="n"/>
      <c r="U140" s="385" t="n"/>
      <c r="V140" s="385" t="n"/>
    </row>
    <row r="141" ht="15.75" customHeight="1" s="397">
      <c r="A141" s="385" t="n"/>
      <c r="B141" s="385" t="n"/>
      <c r="C141" s="385" t="n"/>
      <c r="D141" s="385" t="n"/>
      <c r="E141" s="385" t="n"/>
      <c r="F141" s="385" t="n"/>
      <c r="G141" s="386" t="n"/>
      <c r="H141" s="385" t="n"/>
      <c r="I141" s="385" t="n"/>
      <c r="J141" s="385" t="n"/>
      <c r="K141" s="385" t="n"/>
      <c r="L141" s="385" t="n"/>
      <c r="M141" s="385" t="n"/>
      <c r="N141" s="385" t="n"/>
      <c r="O141" s="385" t="n"/>
      <c r="P141" s="385" t="n"/>
      <c r="Q141" s="385" t="n"/>
      <c r="R141" s="385" t="n"/>
      <c r="S141" s="385" t="n"/>
      <c r="T141" s="385" t="n"/>
      <c r="U141" s="385" t="n"/>
      <c r="V141" s="385" t="n"/>
    </row>
    <row r="142" ht="15.75" customHeight="1" s="397">
      <c r="A142" s="385" t="n"/>
      <c r="B142" s="385" t="n"/>
      <c r="C142" s="385" t="n"/>
      <c r="D142" s="385" t="n"/>
      <c r="E142" s="385" t="n"/>
      <c r="F142" s="385" t="n"/>
      <c r="G142" s="386" t="n"/>
      <c r="H142" s="385" t="n"/>
      <c r="I142" s="385" t="n"/>
      <c r="J142" s="385" t="n"/>
      <c r="K142" s="385" t="n"/>
      <c r="L142" s="385" t="n"/>
      <c r="M142" s="385" t="n"/>
      <c r="N142" s="385" t="n"/>
      <c r="O142" s="385" t="n"/>
      <c r="P142" s="385" t="n"/>
      <c r="Q142" s="385" t="n"/>
      <c r="R142" s="385" t="n"/>
      <c r="S142" s="385" t="n"/>
      <c r="T142" s="385" t="n"/>
      <c r="U142" s="385" t="n"/>
      <c r="V142" s="385" t="n"/>
    </row>
    <row r="143" ht="15.75" customHeight="1" s="397">
      <c r="A143" s="385" t="n"/>
      <c r="B143" s="385" t="n"/>
      <c r="C143" s="385" t="n"/>
      <c r="D143" s="385" t="n"/>
      <c r="E143" s="385" t="n"/>
      <c r="F143" s="385" t="n"/>
      <c r="G143" s="386" t="n"/>
      <c r="H143" s="385" t="n"/>
      <c r="I143" s="385" t="n"/>
      <c r="J143" s="385" t="n"/>
      <c r="K143" s="385" t="n"/>
      <c r="L143" s="385" t="n"/>
      <c r="M143" s="385" t="n"/>
      <c r="N143" s="385" t="n"/>
      <c r="O143" s="385" t="n"/>
      <c r="P143" s="385" t="n"/>
      <c r="Q143" s="385" t="n"/>
      <c r="R143" s="385" t="n"/>
      <c r="S143" s="385" t="n"/>
      <c r="T143" s="385" t="n"/>
      <c r="U143" s="385" t="n"/>
      <c r="V143" s="385" t="n"/>
    </row>
    <row r="144" ht="15.75" customHeight="1" s="397">
      <c r="A144" s="385" t="n"/>
      <c r="B144" s="385" t="n"/>
      <c r="C144" s="385" t="n"/>
      <c r="D144" s="385" t="n"/>
      <c r="E144" s="385" t="n"/>
      <c r="F144" s="385" t="n"/>
      <c r="G144" s="386" t="n"/>
      <c r="H144" s="385" t="n"/>
      <c r="I144" s="385" t="n"/>
      <c r="J144" s="385" t="n"/>
      <c r="K144" s="385" t="n"/>
      <c r="L144" s="385" t="n"/>
      <c r="M144" s="385" t="n"/>
      <c r="N144" s="385" t="n"/>
      <c r="O144" s="385" t="n"/>
      <c r="P144" s="385" t="n"/>
      <c r="Q144" s="385" t="n"/>
      <c r="R144" s="385" t="n"/>
      <c r="S144" s="385" t="n"/>
      <c r="T144" s="385" t="n"/>
      <c r="U144" s="385" t="n"/>
      <c r="V144" s="385" t="n"/>
    </row>
    <row r="145" ht="15.75" customHeight="1" s="397">
      <c r="A145" s="385" t="n"/>
      <c r="B145" s="385" t="n"/>
      <c r="C145" s="385" t="n"/>
      <c r="D145" s="385" t="n"/>
      <c r="E145" s="385" t="n"/>
      <c r="F145" s="385" t="n"/>
      <c r="G145" s="386" t="n"/>
      <c r="H145" s="385" t="n"/>
      <c r="I145" s="385" t="n"/>
      <c r="J145" s="385" t="n"/>
      <c r="K145" s="385" t="n"/>
      <c r="L145" s="385" t="n"/>
      <c r="M145" s="385" t="n"/>
      <c r="N145" s="385" t="n"/>
      <c r="O145" s="385" t="n"/>
      <c r="P145" s="385" t="n"/>
      <c r="Q145" s="385" t="n"/>
      <c r="R145" s="385" t="n"/>
      <c r="S145" s="385" t="n"/>
      <c r="T145" s="385" t="n"/>
      <c r="U145" s="385" t="n"/>
      <c r="V145" s="385" t="n"/>
    </row>
    <row r="146" ht="15.75" customHeight="1" s="397">
      <c r="A146" s="385" t="n"/>
      <c r="B146" s="385" t="n"/>
      <c r="C146" s="385" t="n"/>
      <c r="D146" s="385" t="n"/>
      <c r="E146" s="385" t="n"/>
      <c r="F146" s="385" t="n"/>
      <c r="G146" s="386" t="n"/>
      <c r="H146" s="385" t="n"/>
      <c r="I146" s="385" t="n"/>
      <c r="J146" s="385" t="n"/>
      <c r="K146" s="385" t="n"/>
      <c r="L146" s="385" t="n"/>
      <c r="M146" s="385" t="n"/>
      <c r="N146" s="385" t="n"/>
      <c r="O146" s="385" t="n"/>
      <c r="P146" s="385" t="n"/>
      <c r="Q146" s="385" t="n"/>
      <c r="R146" s="385" t="n"/>
      <c r="S146" s="385" t="n"/>
      <c r="T146" s="385" t="n"/>
      <c r="U146" s="385" t="n"/>
      <c r="V146" s="385" t="n"/>
    </row>
    <row r="147" ht="15.75" customHeight="1" s="397">
      <c r="A147" s="385" t="n"/>
      <c r="B147" s="385" t="n"/>
      <c r="C147" s="385" t="n"/>
      <c r="D147" s="385" t="n"/>
      <c r="E147" s="385" t="n"/>
      <c r="F147" s="385" t="n"/>
      <c r="G147" s="386" t="n"/>
      <c r="H147" s="385" t="n"/>
      <c r="I147" s="385" t="n"/>
      <c r="J147" s="385" t="n"/>
      <c r="K147" s="385" t="n"/>
      <c r="L147" s="385" t="n"/>
      <c r="M147" s="385" t="n"/>
      <c r="N147" s="385" t="n"/>
      <c r="O147" s="385" t="n"/>
      <c r="P147" s="385" t="n"/>
      <c r="Q147" s="385" t="n"/>
      <c r="R147" s="385" t="n"/>
      <c r="S147" s="385" t="n"/>
      <c r="T147" s="385" t="n"/>
      <c r="U147" s="385" t="n"/>
      <c r="V147" s="385" t="n"/>
    </row>
    <row r="148" ht="15.75" customHeight="1" s="397">
      <c r="A148" s="385" t="n"/>
      <c r="B148" s="385" t="n"/>
      <c r="C148" s="385" t="n"/>
      <c r="D148" s="385" t="n"/>
      <c r="E148" s="385" t="n"/>
      <c r="F148" s="385" t="n"/>
      <c r="G148" s="386" t="n"/>
      <c r="H148" s="385" t="n"/>
      <c r="I148" s="385" t="n"/>
      <c r="J148" s="385" t="n"/>
      <c r="K148" s="385" t="n"/>
      <c r="L148" s="385" t="n"/>
      <c r="M148" s="385" t="n"/>
      <c r="N148" s="385" t="n"/>
      <c r="O148" s="385" t="n"/>
      <c r="P148" s="385" t="n"/>
      <c r="Q148" s="385" t="n"/>
      <c r="R148" s="385" t="n"/>
      <c r="S148" s="385" t="n"/>
      <c r="T148" s="385" t="n"/>
      <c r="U148" s="385" t="n"/>
      <c r="V148" s="385" t="n"/>
    </row>
    <row r="149" ht="15.75" customHeight="1" s="397">
      <c r="A149" s="385" t="n"/>
      <c r="B149" s="385" t="n"/>
      <c r="C149" s="385" t="n"/>
      <c r="D149" s="385" t="n"/>
      <c r="E149" s="385" t="n"/>
      <c r="F149" s="385" t="n"/>
      <c r="G149" s="386" t="n"/>
      <c r="H149" s="385" t="n"/>
      <c r="I149" s="385" t="n"/>
      <c r="J149" s="385" t="n"/>
      <c r="K149" s="385" t="n"/>
      <c r="L149" s="385" t="n"/>
      <c r="M149" s="385" t="n"/>
      <c r="N149" s="385" t="n"/>
      <c r="O149" s="385" t="n"/>
      <c r="P149" s="385" t="n"/>
      <c r="Q149" s="385" t="n"/>
      <c r="R149" s="385" t="n"/>
      <c r="S149" s="385" t="n"/>
      <c r="T149" s="385" t="n"/>
      <c r="U149" s="385" t="n"/>
      <c r="V149" s="385" t="n"/>
    </row>
    <row r="150" ht="15.75" customHeight="1" s="397">
      <c r="A150" s="385" t="n"/>
      <c r="B150" s="385" t="n"/>
      <c r="C150" s="385" t="n"/>
      <c r="D150" s="385" t="n"/>
      <c r="E150" s="385" t="n"/>
      <c r="F150" s="385" t="n"/>
      <c r="G150" s="386" t="n"/>
      <c r="H150" s="385" t="n"/>
      <c r="I150" s="385" t="n"/>
      <c r="J150" s="385" t="n"/>
      <c r="K150" s="385" t="n"/>
      <c r="L150" s="385" t="n"/>
      <c r="M150" s="385" t="n"/>
      <c r="N150" s="385" t="n"/>
      <c r="O150" s="385" t="n"/>
      <c r="P150" s="385" t="n"/>
      <c r="Q150" s="385" t="n"/>
      <c r="R150" s="385" t="n"/>
      <c r="S150" s="385" t="n"/>
      <c r="T150" s="385" t="n"/>
      <c r="U150" s="385" t="n"/>
      <c r="V150" s="385" t="n"/>
    </row>
    <row r="151" ht="15.75" customHeight="1" s="397">
      <c r="A151" s="385" t="n"/>
      <c r="B151" s="385" t="n"/>
      <c r="C151" s="385" t="n"/>
      <c r="D151" s="385" t="n"/>
      <c r="E151" s="385" t="n"/>
      <c r="F151" s="385" t="n"/>
      <c r="G151" s="386" t="n"/>
      <c r="H151" s="385" t="n"/>
      <c r="I151" s="385" t="n"/>
      <c r="J151" s="385" t="n"/>
      <c r="K151" s="385" t="n"/>
      <c r="L151" s="385" t="n"/>
      <c r="M151" s="385" t="n"/>
      <c r="N151" s="385" t="n"/>
      <c r="O151" s="385" t="n"/>
      <c r="P151" s="385" t="n"/>
      <c r="Q151" s="385" t="n"/>
      <c r="R151" s="385" t="n"/>
      <c r="S151" s="385" t="n"/>
      <c r="T151" s="385" t="n"/>
      <c r="U151" s="385" t="n"/>
      <c r="V151" s="385" t="n"/>
    </row>
    <row r="152" ht="15.75" customHeight="1" s="397">
      <c r="A152" s="385" t="n"/>
      <c r="B152" s="385" t="n"/>
      <c r="C152" s="385" t="n"/>
      <c r="D152" s="385" t="n"/>
      <c r="E152" s="385" t="n"/>
      <c r="F152" s="385" t="n"/>
      <c r="G152" s="386" t="n"/>
      <c r="H152" s="385" t="n"/>
      <c r="I152" s="385" t="n"/>
      <c r="J152" s="385" t="n"/>
      <c r="K152" s="385" t="n"/>
      <c r="L152" s="385" t="n"/>
      <c r="M152" s="385" t="n"/>
      <c r="N152" s="385" t="n"/>
      <c r="O152" s="385" t="n"/>
      <c r="P152" s="385" t="n"/>
      <c r="Q152" s="385" t="n"/>
      <c r="R152" s="385" t="n"/>
      <c r="S152" s="385" t="n"/>
      <c r="T152" s="385" t="n"/>
      <c r="U152" s="385" t="n"/>
      <c r="V152" s="385" t="n"/>
    </row>
    <row r="153" ht="15.75" customHeight="1" s="397">
      <c r="A153" s="385" t="n"/>
      <c r="B153" s="385" t="n"/>
      <c r="C153" s="385" t="n"/>
      <c r="D153" s="385" t="n"/>
      <c r="E153" s="385" t="n"/>
      <c r="F153" s="385" t="n"/>
      <c r="G153" s="386" t="n"/>
      <c r="H153" s="385" t="n"/>
      <c r="I153" s="385" t="n"/>
      <c r="J153" s="385" t="n"/>
      <c r="K153" s="385" t="n"/>
      <c r="L153" s="385" t="n"/>
      <c r="M153" s="385" t="n"/>
      <c r="N153" s="385" t="n"/>
      <c r="O153" s="385" t="n"/>
      <c r="P153" s="385" t="n"/>
      <c r="Q153" s="385" t="n"/>
      <c r="R153" s="385" t="n"/>
      <c r="S153" s="385" t="n"/>
      <c r="T153" s="385" t="n"/>
      <c r="U153" s="385" t="n"/>
      <c r="V153" s="385" t="n"/>
    </row>
    <row r="154" ht="15.75" customHeight="1" s="397">
      <c r="A154" s="385" t="n"/>
      <c r="B154" s="385" t="n"/>
      <c r="C154" s="385" t="n"/>
      <c r="D154" s="385" t="n"/>
      <c r="E154" s="385" t="n"/>
      <c r="F154" s="385" t="n"/>
      <c r="G154" s="386" t="n"/>
      <c r="H154" s="385" t="n"/>
      <c r="I154" s="385" t="n"/>
      <c r="J154" s="385" t="n"/>
      <c r="K154" s="385" t="n"/>
      <c r="L154" s="385" t="n"/>
      <c r="M154" s="385" t="n"/>
      <c r="N154" s="385" t="n"/>
      <c r="O154" s="385" t="n"/>
      <c r="P154" s="385" t="n"/>
      <c r="Q154" s="385" t="n"/>
      <c r="R154" s="385" t="n"/>
      <c r="S154" s="385" t="n"/>
      <c r="T154" s="385" t="n"/>
      <c r="U154" s="385" t="n"/>
      <c r="V154" s="385" t="n"/>
    </row>
    <row r="155" ht="15.75" customHeight="1" s="397">
      <c r="A155" s="385" t="n"/>
      <c r="B155" s="385" t="n"/>
      <c r="C155" s="385" t="n"/>
      <c r="D155" s="385" t="n"/>
      <c r="E155" s="385" t="n"/>
      <c r="F155" s="385" t="n"/>
      <c r="G155" s="386" t="n"/>
      <c r="H155" s="385" t="n"/>
      <c r="I155" s="385" t="n"/>
      <c r="J155" s="385" t="n"/>
      <c r="K155" s="385" t="n"/>
      <c r="L155" s="385" t="n"/>
      <c r="M155" s="385" t="n"/>
      <c r="N155" s="385" t="n"/>
      <c r="O155" s="385" t="n"/>
      <c r="P155" s="385" t="n"/>
      <c r="Q155" s="385" t="n"/>
      <c r="R155" s="385" t="n"/>
      <c r="S155" s="385" t="n"/>
      <c r="T155" s="385" t="n"/>
      <c r="U155" s="385" t="n"/>
      <c r="V155" s="385" t="n"/>
    </row>
    <row r="156" ht="15.75" customHeight="1" s="397">
      <c r="A156" s="385" t="n"/>
      <c r="B156" s="385" t="n"/>
      <c r="C156" s="385" t="n"/>
      <c r="D156" s="385" t="n"/>
      <c r="E156" s="385" t="n"/>
      <c r="F156" s="385" t="n"/>
      <c r="G156" s="386" t="n"/>
      <c r="H156" s="385" t="n"/>
      <c r="I156" s="385" t="n"/>
      <c r="J156" s="385" t="n"/>
      <c r="K156" s="385" t="n"/>
      <c r="L156" s="385" t="n"/>
      <c r="M156" s="385" t="n"/>
      <c r="N156" s="385" t="n"/>
      <c r="O156" s="385" t="n"/>
      <c r="P156" s="385" t="n"/>
      <c r="Q156" s="385" t="n"/>
      <c r="R156" s="385" t="n"/>
      <c r="S156" s="385" t="n"/>
      <c r="T156" s="385" t="n"/>
      <c r="U156" s="385" t="n"/>
      <c r="V156" s="385" t="n"/>
    </row>
    <row r="157" ht="15.75" customHeight="1" s="397">
      <c r="A157" s="385" t="n"/>
      <c r="B157" s="385" t="n"/>
      <c r="C157" s="385" t="n"/>
      <c r="D157" s="385" t="n"/>
      <c r="E157" s="385" t="n"/>
      <c r="F157" s="385" t="n"/>
      <c r="G157" s="386" t="n"/>
      <c r="H157" s="385" t="n"/>
      <c r="I157" s="385" t="n"/>
      <c r="J157" s="385" t="n"/>
      <c r="K157" s="385" t="n"/>
      <c r="L157" s="385" t="n"/>
      <c r="M157" s="385" t="n"/>
      <c r="N157" s="385" t="n"/>
      <c r="O157" s="385" t="n"/>
      <c r="P157" s="385" t="n"/>
      <c r="Q157" s="385" t="n"/>
      <c r="R157" s="385" t="n"/>
      <c r="S157" s="385" t="n"/>
      <c r="T157" s="385" t="n"/>
      <c r="U157" s="385" t="n"/>
      <c r="V157" s="385" t="n"/>
    </row>
    <row r="158" ht="15.75" customHeight="1" s="397">
      <c r="A158" s="385" t="n"/>
      <c r="B158" s="385" t="n"/>
      <c r="C158" s="385" t="n"/>
      <c r="D158" s="385" t="n"/>
      <c r="E158" s="385" t="n"/>
      <c r="F158" s="385" t="n"/>
      <c r="G158" s="386" t="n"/>
      <c r="H158" s="385" t="n"/>
      <c r="I158" s="385" t="n"/>
      <c r="J158" s="385" t="n"/>
      <c r="K158" s="385" t="n"/>
      <c r="L158" s="385" t="n"/>
      <c r="M158" s="385" t="n"/>
      <c r="N158" s="385" t="n"/>
      <c r="O158" s="385" t="n"/>
      <c r="P158" s="385" t="n"/>
      <c r="Q158" s="385" t="n"/>
      <c r="R158" s="385" t="n"/>
      <c r="S158" s="385" t="n"/>
      <c r="T158" s="385" t="n"/>
      <c r="U158" s="385" t="n"/>
      <c r="V158" s="385" t="n"/>
    </row>
    <row r="159" ht="15.75" customHeight="1" s="397">
      <c r="A159" s="385" t="n"/>
      <c r="B159" s="385" t="n"/>
      <c r="C159" s="385" t="n"/>
      <c r="D159" s="385" t="n"/>
      <c r="E159" s="385" t="n"/>
      <c r="F159" s="385" t="n"/>
      <c r="G159" s="386" t="n"/>
      <c r="H159" s="385" t="n"/>
      <c r="I159" s="385" t="n"/>
      <c r="J159" s="385" t="n"/>
      <c r="K159" s="385" t="n"/>
      <c r="L159" s="385" t="n"/>
      <c r="M159" s="385" t="n"/>
      <c r="N159" s="385" t="n"/>
      <c r="O159" s="385" t="n"/>
      <c r="P159" s="385" t="n"/>
      <c r="Q159" s="385" t="n"/>
      <c r="R159" s="385" t="n"/>
      <c r="S159" s="385" t="n"/>
      <c r="T159" s="385" t="n"/>
      <c r="U159" s="385" t="n"/>
      <c r="V159" s="385" t="n"/>
    </row>
    <row r="160" ht="15.75" customHeight="1" s="397">
      <c r="A160" s="385" t="n"/>
      <c r="B160" s="385" t="n"/>
      <c r="C160" s="385" t="n"/>
      <c r="D160" s="385" t="n"/>
      <c r="E160" s="385" t="n"/>
      <c r="F160" s="385" t="n"/>
      <c r="G160" s="386" t="n"/>
      <c r="H160" s="385" t="n"/>
      <c r="I160" s="385" t="n"/>
      <c r="J160" s="385" t="n"/>
      <c r="K160" s="385" t="n"/>
      <c r="L160" s="385" t="n"/>
      <c r="M160" s="385" t="n"/>
      <c r="N160" s="385" t="n"/>
      <c r="O160" s="385" t="n"/>
      <c r="P160" s="385" t="n"/>
      <c r="Q160" s="385" t="n"/>
      <c r="R160" s="385" t="n"/>
      <c r="S160" s="385" t="n"/>
      <c r="T160" s="385" t="n"/>
      <c r="U160" s="385" t="n"/>
      <c r="V160" s="385" t="n"/>
    </row>
    <row r="161" ht="15.75" customHeight="1" s="397">
      <c r="A161" s="385" t="n"/>
      <c r="B161" s="385" t="n"/>
      <c r="C161" s="385" t="n"/>
      <c r="D161" s="385" t="n"/>
      <c r="E161" s="385" t="n"/>
      <c r="F161" s="385" t="n"/>
      <c r="G161" s="386" t="n"/>
      <c r="H161" s="385" t="n"/>
      <c r="I161" s="385" t="n"/>
      <c r="J161" s="385" t="n"/>
      <c r="K161" s="385" t="n"/>
      <c r="L161" s="385" t="n"/>
      <c r="M161" s="385" t="n"/>
      <c r="N161" s="385" t="n"/>
      <c r="O161" s="385" t="n"/>
      <c r="P161" s="385" t="n"/>
      <c r="Q161" s="385" t="n"/>
      <c r="R161" s="385" t="n"/>
      <c r="S161" s="385" t="n"/>
      <c r="T161" s="385" t="n"/>
      <c r="U161" s="385" t="n"/>
      <c r="V161" s="385" t="n"/>
    </row>
    <row r="162" ht="15.75" customHeight="1" s="397">
      <c r="A162" s="385" t="n"/>
      <c r="B162" s="385" t="n"/>
      <c r="C162" s="385" t="n"/>
      <c r="D162" s="385" t="n"/>
      <c r="E162" s="385" t="n"/>
      <c r="F162" s="385" t="n"/>
      <c r="G162" s="386" t="n"/>
      <c r="H162" s="385" t="n"/>
      <c r="I162" s="385" t="n"/>
      <c r="J162" s="385" t="n"/>
      <c r="K162" s="385" t="n"/>
      <c r="L162" s="385" t="n"/>
      <c r="M162" s="385" t="n"/>
      <c r="N162" s="385" t="n"/>
      <c r="O162" s="385" t="n"/>
      <c r="P162" s="385" t="n"/>
      <c r="Q162" s="385" t="n"/>
      <c r="R162" s="385" t="n"/>
      <c r="S162" s="385" t="n"/>
      <c r="T162" s="385" t="n"/>
      <c r="U162" s="385" t="n"/>
      <c r="V162" s="385" t="n"/>
    </row>
    <row r="163" ht="15.75" customHeight="1" s="397">
      <c r="A163" s="385" t="n"/>
      <c r="B163" s="385" t="n"/>
      <c r="C163" s="385" t="n"/>
      <c r="D163" s="385" t="n"/>
      <c r="E163" s="385" t="n"/>
      <c r="F163" s="385" t="n"/>
      <c r="G163" s="386" t="n"/>
      <c r="H163" s="385" t="n"/>
      <c r="I163" s="385" t="n"/>
      <c r="J163" s="385" t="n"/>
      <c r="K163" s="385" t="n"/>
      <c r="L163" s="385" t="n"/>
      <c r="M163" s="385" t="n"/>
      <c r="N163" s="385" t="n"/>
      <c r="O163" s="385" t="n"/>
      <c r="P163" s="385" t="n"/>
      <c r="Q163" s="385" t="n"/>
      <c r="R163" s="385" t="n"/>
      <c r="S163" s="385" t="n"/>
      <c r="T163" s="385" t="n"/>
      <c r="U163" s="385" t="n"/>
      <c r="V163" s="385" t="n"/>
    </row>
    <row r="164" ht="15.75" customHeight="1" s="397">
      <c r="A164" s="385" t="n"/>
      <c r="B164" s="385" t="n"/>
      <c r="C164" s="385" t="n"/>
      <c r="D164" s="385" t="n"/>
      <c r="E164" s="385" t="n"/>
      <c r="F164" s="385" t="n"/>
      <c r="G164" s="386" t="n"/>
      <c r="H164" s="385" t="n"/>
      <c r="I164" s="385" t="n"/>
      <c r="J164" s="385" t="n"/>
      <c r="K164" s="385" t="n"/>
      <c r="L164" s="385" t="n"/>
      <c r="M164" s="385" t="n"/>
      <c r="N164" s="385" t="n"/>
      <c r="O164" s="385" t="n"/>
      <c r="P164" s="385" t="n"/>
      <c r="Q164" s="385" t="n"/>
      <c r="R164" s="385" t="n"/>
      <c r="S164" s="385" t="n"/>
      <c r="T164" s="385" t="n"/>
      <c r="U164" s="385" t="n"/>
      <c r="V164" s="385" t="n"/>
    </row>
    <row r="165" ht="15.75" customHeight="1" s="397">
      <c r="A165" s="385" t="n"/>
      <c r="B165" s="385" t="n"/>
      <c r="C165" s="385" t="n"/>
      <c r="D165" s="385" t="n"/>
      <c r="E165" s="385" t="n"/>
      <c r="F165" s="385" t="n"/>
      <c r="G165" s="386" t="n"/>
      <c r="H165" s="385" t="n"/>
      <c r="I165" s="385" t="n"/>
      <c r="J165" s="385" t="n"/>
      <c r="K165" s="385" t="n"/>
      <c r="L165" s="385" t="n"/>
      <c r="M165" s="385" t="n"/>
      <c r="N165" s="385" t="n"/>
      <c r="O165" s="385" t="n"/>
      <c r="P165" s="385" t="n"/>
      <c r="Q165" s="385" t="n"/>
      <c r="R165" s="385" t="n"/>
      <c r="S165" s="385" t="n"/>
      <c r="T165" s="385" t="n"/>
      <c r="U165" s="385" t="n"/>
      <c r="V165" s="385" t="n"/>
    </row>
    <row r="166" ht="15.75" customHeight="1" s="397">
      <c r="A166" s="385" t="n"/>
      <c r="B166" s="385" t="n"/>
      <c r="C166" s="385" t="n"/>
      <c r="D166" s="385" t="n"/>
      <c r="E166" s="385" t="n"/>
      <c r="F166" s="385" t="n"/>
      <c r="G166" s="386" t="n"/>
      <c r="H166" s="385" t="n"/>
      <c r="I166" s="385" t="n"/>
      <c r="J166" s="385" t="n"/>
      <c r="K166" s="385" t="n"/>
      <c r="L166" s="385" t="n"/>
      <c r="M166" s="385" t="n"/>
      <c r="N166" s="385" t="n"/>
      <c r="O166" s="385" t="n"/>
      <c r="P166" s="385" t="n"/>
      <c r="Q166" s="385" t="n"/>
      <c r="R166" s="385" t="n"/>
      <c r="S166" s="385" t="n"/>
      <c r="T166" s="385" t="n"/>
      <c r="U166" s="385" t="n"/>
      <c r="V166" s="385" t="n"/>
    </row>
    <row r="167" ht="15.75" customHeight="1" s="397">
      <c r="A167" s="385" t="n"/>
      <c r="B167" s="385" t="n"/>
      <c r="C167" s="385" t="n"/>
      <c r="D167" s="385" t="n"/>
      <c r="E167" s="385" t="n"/>
      <c r="F167" s="385" t="n"/>
      <c r="G167" s="386" t="n"/>
      <c r="H167" s="385" t="n"/>
      <c r="I167" s="385" t="n"/>
      <c r="J167" s="385" t="n"/>
      <c r="K167" s="385" t="n"/>
      <c r="L167" s="385" t="n"/>
      <c r="M167" s="385" t="n"/>
      <c r="N167" s="385" t="n"/>
      <c r="O167" s="385" t="n"/>
      <c r="P167" s="385" t="n"/>
      <c r="Q167" s="385" t="n"/>
      <c r="R167" s="385" t="n"/>
      <c r="S167" s="385" t="n"/>
      <c r="T167" s="385" t="n"/>
      <c r="U167" s="385" t="n"/>
      <c r="V167" s="385" t="n"/>
    </row>
    <row r="168" ht="15.75" customHeight="1" s="397">
      <c r="A168" s="385" t="n"/>
      <c r="B168" s="385" t="n"/>
      <c r="C168" s="385" t="n"/>
      <c r="D168" s="385" t="n"/>
      <c r="E168" s="385" t="n"/>
      <c r="F168" s="385" t="n"/>
      <c r="G168" s="386" t="n"/>
      <c r="H168" s="385" t="n"/>
      <c r="I168" s="385" t="n"/>
      <c r="J168" s="385" t="n"/>
      <c r="K168" s="385" t="n"/>
      <c r="L168" s="385" t="n"/>
      <c r="M168" s="385" t="n"/>
      <c r="N168" s="385" t="n"/>
      <c r="O168" s="385" t="n"/>
      <c r="P168" s="385" t="n"/>
      <c r="Q168" s="385" t="n"/>
      <c r="R168" s="385" t="n"/>
      <c r="S168" s="385" t="n"/>
      <c r="T168" s="385" t="n"/>
      <c r="U168" s="385" t="n"/>
      <c r="V168" s="385" t="n"/>
    </row>
    <row r="169" ht="15.75" customHeight="1" s="397">
      <c r="A169" s="385" t="n"/>
      <c r="B169" s="385" t="n"/>
      <c r="C169" s="385" t="n"/>
      <c r="D169" s="385" t="n"/>
      <c r="E169" s="385" t="n"/>
      <c r="F169" s="385" t="n"/>
      <c r="G169" s="386" t="n"/>
      <c r="H169" s="385" t="n"/>
      <c r="I169" s="385" t="n"/>
      <c r="J169" s="385" t="n"/>
      <c r="K169" s="385" t="n"/>
      <c r="L169" s="385" t="n"/>
      <c r="M169" s="385" t="n"/>
      <c r="N169" s="385" t="n"/>
      <c r="O169" s="385" t="n"/>
      <c r="P169" s="385" t="n"/>
      <c r="Q169" s="385" t="n"/>
      <c r="R169" s="385" t="n"/>
      <c r="S169" s="385" t="n"/>
      <c r="T169" s="385" t="n"/>
      <c r="U169" s="385" t="n"/>
      <c r="V169" s="385" t="n"/>
    </row>
    <row r="170" ht="15.75" customHeight="1" s="397">
      <c r="A170" s="385" t="n"/>
      <c r="B170" s="385" t="n"/>
      <c r="C170" s="385" t="n"/>
      <c r="D170" s="385" t="n"/>
      <c r="E170" s="385" t="n"/>
      <c r="F170" s="385" t="n"/>
      <c r="G170" s="386" t="n"/>
      <c r="H170" s="385" t="n"/>
      <c r="I170" s="385" t="n"/>
      <c r="J170" s="385" t="n"/>
      <c r="K170" s="385" t="n"/>
      <c r="L170" s="385" t="n"/>
      <c r="M170" s="385" t="n"/>
      <c r="N170" s="385" t="n"/>
      <c r="O170" s="385" t="n"/>
      <c r="P170" s="385" t="n"/>
      <c r="Q170" s="385" t="n"/>
      <c r="R170" s="385" t="n"/>
      <c r="S170" s="385" t="n"/>
      <c r="T170" s="385" t="n"/>
      <c r="U170" s="385" t="n"/>
      <c r="V170" s="385" t="n"/>
    </row>
    <row r="171" ht="15.75" customHeight="1" s="397">
      <c r="A171" s="385" t="n"/>
      <c r="B171" s="385" t="n"/>
      <c r="C171" s="385" t="n"/>
      <c r="D171" s="385" t="n"/>
      <c r="E171" s="385" t="n"/>
      <c r="F171" s="385" t="n"/>
      <c r="G171" s="386" t="n"/>
      <c r="H171" s="385" t="n"/>
      <c r="I171" s="385" t="n"/>
      <c r="J171" s="385" t="n"/>
      <c r="K171" s="385" t="n"/>
      <c r="L171" s="385" t="n"/>
      <c r="M171" s="385" t="n"/>
      <c r="N171" s="385" t="n"/>
      <c r="O171" s="385" t="n"/>
      <c r="P171" s="385" t="n"/>
      <c r="Q171" s="385" t="n"/>
      <c r="R171" s="385" t="n"/>
      <c r="S171" s="385" t="n"/>
      <c r="T171" s="385" t="n"/>
      <c r="U171" s="385" t="n"/>
      <c r="V171" s="385" t="n"/>
    </row>
    <row r="172" ht="15.75" customHeight="1" s="397">
      <c r="A172" s="385" t="n"/>
      <c r="B172" s="385" t="n"/>
      <c r="C172" s="385" t="n"/>
      <c r="D172" s="385" t="n"/>
      <c r="E172" s="385" t="n"/>
      <c r="F172" s="385" t="n"/>
      <c r="G172" s="386" t="n"/>
      <c r="H172" s="385" t="n"/>
      <c r="I172" s="385" t="n"/>
      <c r="J172" s="385" t="n"/>
      <c r="K172" s="385" t="n"/>
      <c r="L172" s="385" t="n"/>
      <c r="M172" s="385" t="n"/>
      <c r="N172" s="385" t="n"/>
      <c r="O172" s="385" t="n"/>
      <c r="P172" s="385" t="n"/>
      <c r="Q172" s="385" t="n"/>
      <c r="R172" s="385" t="n"/>
      <c r="S172" s="385" t="n"/>
      <c r="T172" s="385" t="n"/>
      <c r="U172" s="385" t="n"/>
      <c r="V172" s="385" t="n"/>
    </row>
    <row r="173" ht="15.75" customHeight="1" s="397">
      <c r="A173" s="385" t="n"/>
      <c r="B173" s="385" t="n"/>
      <c r="C173" s="385" t="n"/>
      <c r="D173" s="385" t="n"/>
      <c r="E173" s="385" t="n"/>
      <c r="F173" s="385" t="n"/>
      <c r="G173" s="386" t="n"/>
      <c r="H173" s="385" t="n"/>
      <c r="I173" s="385" t="n"/>
      <c r="J173" s="385" t="n"/>
      <c r="K173" s="385" t="n"/>
      <c r="L173" s="385" t="n"/>
      <c r="M173" s="385" t="n"/>
      <c r="N173" s="385" t="n"/>
      <c r="O173" s="385" t="n"/>
      <c r="P173" s="385" t="n"/>
      <c r="Q173" s="385" t="n"/>
      <c r="R173" s="385" t="n"/>
      <c r="S173" s="385" t="n"/>
      <c r="T173" s="385" t="n"/>
      <c r="U173" s="385" t="n"/>
      <c r="V173" s="385" t="n"/>
    </row>
    <row r="174" ht="15.75" customHeight="1" s="397">
      <c r="A174" s="385" t="n"/>
      <c r="B174" s="385" t="n"/>
      <c r="C174" s="385" t="n"/>
      <c r="D174" s="385" t="n"/>
      <c r="E174" s="385" t="n"/>
      <c r="F174" s="385" t="n"/>
      <c r="G174" s="386" t="n"/>
      <c r="H174" s="385" t="n"/>
      <c r="I174" s="385" t="n"/>
      <c r="J174" s="385" t="n"/>
      <c r="K174" s="385" t="n"/>
      <c r="L174" s="385" t="n"/>
      <c r="M174" s="385" t="n"/>
      <c r="N174" s="385" t="n"/>
      <c r="O174" s="385" t="n"/>
      <c r="P174" s="385" t="n"/>
      <c r="Q174" s="385" t="n"/>
      <c r="R174" s="385" t="n"/>
      <c r="S174" s="385" t="n"/>
      <c r="T174" s="385" t="n"/>
      <c r="U174" s="385" t="n"/>
      <c r="V174" s="385" t="n"/>
    </row>
    <row r="175" ht="15.75" customHeight="1" s="397">
      <c r="A175" s="385" t="n"/>
      <c r="B175" s="385" t="n"/>
      <c r="C175" s="385" t="n"/>
      <c r="D175" s="385" t="n"/>
      <c r="E175" s="385" t="n"/>
      <c r="F175" s="385" t="n"/>
      <c r="G175" s="386" t="n"/>
      <c r="H175" s="385" t="n"/>
      <c r="I175" s="385" t="n"/>
      <c r="J175" s="385" t="n"/>
      <c r="K175" s="385" t="n"/>
      <c r="L175" s="385" t="n"/>
      <c r="M175" s="385" t="n"/>
      <c r="N175" s="385" t="n"/>
      <c r="O175" s="385" t="n"/>
      <c r="P175" s="385" t="n"/>
      <c r="Q175" s="385" t="n"/>
      <c r="R175" s="385" t="n"/>
      <c r="S175" s="385" t="n"/>
      <c r="T175" s="385" t="n"/>
      <c r="U175" s="385" t="n"/>
      <c r="V175" s="385" t="n"/>
    </row>
    <row r="176" ht="15.75" customHeight="1" s="397">
      <c r="A176" s="385" t="n"/>
      <c r="B176" s="385" t="n"/>
      <c r="C176" s="385" t="n"/>
      <c r="D176" s="385" t="n"/>
      <c r="E176" s="385" t="n"/>
      <c r="F176" s="385" t="n"/>
      <c r="G176" s="386" t="n"/>
      <c r="H176" s="385" t="n"/>
      <c r="I176" s="385" t="n"/>
      <c r="J176" s="385" t="n"/>
      <c r="K176" s="385" t="n"/>
      <c r="L176" s="385" t="n"/>
      <c r="M176" s="385" t="n"/>
      <c r="N176" s="385" t="n"/>
      <c r="O176" s="385" t="n"/>
      <c r="P176" s="385" t="n"/>
      <c r="Q176" s="385" t="n"/>
      <c r="R176" s="385" t="n"/>
      <c r="S176" s="385" t="n"/>
      <c r="T176" s="385" t="n"/>
      <c r="U176" s="385" t="n"/>
      <c r="V176" s="385" t="n"/>
    </row>
    <row r="177" ht="15.75" customHeight="1" s="397">
      <c r="A177" s="385" t="n"/>
      <c r="B177" s="385" t="n"/>
      <c r="C177" s="385" t="n"/>
      <c r="D177" s="385" t="n"/>
      <c r="E177" s="385" t="n"/>
      <c r="F177" s="385" t="n"/>
      <c r="G177" s="386" t="n"/>
      <c r="H177" s="385" t="n"/>
      <c r="I177" s="385" t="n"/>
      <c r="J177" s="385" t="n"/>
      <c r="K177" s="385" t="n"/>
      <c r="L177" s="385" t="n"/>
      <c r="M177" s="385" t="n"/>
      <c r="N177" s="385" t="n"/>
      <c r="O177" s="385" t="n"/>
      <c r="P177" s="385" t="n"/>
      <c r="Q177" s="385" t="n"/>
      <c r="R177" s="385" t="n"/>
      <c r="S177" s="385" t="n"/>
      <c r="T177" s="385" t="n"/>
      <c r="U177" s="385" t="n"/>
      <c r="V177" s="385" t="n"/>
    </row>
    <row r="178" ht="15.75" customHeight="1" s="397">
      <c r="A178" s="385" t="n"/>
      <c r="B178" s="385" t="n"/>
      <c r="C178" s="385" t="n"/>
      <c r="D178" s="385" t="n"/>
      <c r="E178" s="385" t="n"/>
      <c r="F178" s="385" t="n"/>
      <c r="G178" s="386" t="n"/>
      <c r="H178" s="385" t="n"/>
      <c r="I178" s="385" t="n"/>
      <c r="J178" s="385" t="n"/>
      <c r="K178" s="385" t="n"/>
      <c r="L178" s="385" t="n"/>
      <c r="M178" s="385" t="n"/>
      <c r="N178" s="385" t="n"/>
      <c r="O178" s="385" t="n"/>
      <c r="P178" s="385" t="n"/>
      <c r="Q178" s="385" t="n"/>
      <c r="R178" s="385" t="n"/>
      <c r="S178" s="385" t="n"/>
      <c r="T178" s="385" t="n"/>
      <c r="U178" s="385" t="n"/>
      <c r="V178" s="385" t="n"/>
    </row>
    <row r="179" ht="15.75" customHeight="1" s="397">
      <c r="A179" s="385" t="n"/>
      <c r="B179" s="385" t="n"/>
      <c r="C179" s="385" t="n"/>
      <c r="D179" s="385" t="n"/>
      <c r="E179" s="385" t="n"/>
      <c r="F179" s="385" t="n"/>
      <c r="G179" s="386" t="n"/>
      <c r="H179" s="385" t="n"/>
      <c r="I179" s="385" t="n"/>
      <c r="J179" s="385" t="n"/>
      <c r="K179" s="385" t="n"/>
      <c r="L179" s="385" t="n"/>
      <c r="M179" s="385" t="n"/>
      <c r="N179" s="385" t="n"/>
      <c r="O179" s="385" t="n"/>
      <c r="P179" s="385" t="n"/>
      <c r="Q179" s="385" t="n"/>
      <c r="R179" s="385" t="n"/>
      <c r="S179" s="385" t="n"/>
      <c r="T179" s="385" t="n"/>
      <c r="U179" s="385" t="n"/>
      <c r="V179" s="385" t="n"/>
    </row>
    <row r="180" ht="15.75" customHeight="1" s="397">
      <c r="A180" s="385" t="n"/>
      <c r="B180" s="385" t="n"/>
      <c r="C180" s="385" t="n"/>
      <c r="D180" s="385" t="n"/>
      <c r="E180" s="385" t="n"/>
      <c r="F180" s="385" t="n"/>
      <c r="G180" s="386" t="n"/>
      <c r="H180" s="385" t="n"/>
      <c r="I180" s="385" t="n"/>
      <c r="J180" s="385" t="n"/>
      <c r="K180" s="385" t="n"/>
      <c r="L180" s="385" t="n"/>
      <c r="M180" s="385" t="n"/>
      <c r="N180" s="385" t="n"/>
      <c r="O180" s="385" t="n"/>
      <c r="P180" s="385" t="n"/>
      <c r="Q180" s="385" t="n"/>
      <c r="R180" s="385" t="n"/>
      <c r="S180" s="385" t="n"/>
      <c r="T180" s="385" t="n"/>
      <c r="U180" s="385" t="n"/>
      <c r="V180" s="385" t="n"/>
    </row>
    <row r="181" ht="15.75" customHeight="1" s="397">
      <c r="A181" s="385" t="n"/>
      <c r="B181" s="385" t="n"/>
      <c r="C181" s="385" t="n"/>
      <c r="D181" s="385" t="n"/>
      <c r="E181" s="385" t="n"/>
      <c r="F181" s="385" t="n"/>
      <c r="G181" s="386" t="n"/>
      <c r="H181" s="385" t="n"/>
      <c r="I181" s="385" t="n"/>
      <c r="J181" s="385" t="n"/>
      <c r="K181" s="385" t="n"/>
      <c r="L181" s="385" t="n"/>
      <c r="M181" s="385" t="n"/>
      <c r="N181" s="385" t="n"/>
      <c r="O181" s="385" t="n"/>
      <c r="P181" s="385" t="n"/>
      <c r="Q181" s="385" t="n"/>
      <c r="R181" s="385" t="n"/>
      <c r="S181" s="385" t="n"/>
      <c r="T181" s="385" t="n"/>
      <c r="U181" s="385" t="n"/>
      <c r="V181" s="385" t="n"/>
    </row>
    <row r="182" ht="15.75" customHeight="1" s="397">
      <c r="A182" s="385" t="n"/>
      <c r="B182" s="385" t="n"/>
      <c r="C182" s="385" t="n"/>
      <c r="D182" s="385" t="n"/>
      <c r="E182" s="385" t="n"/>
      <c r="F182" s="385" t="n"/>
      <c r="G182" s="386" t="n"/>
      <c r="H182" s="385" t="n"/>
      <c r="I182" s="385" t="n"/>
      <c r="J182" s="385" t="n"/>
      <c r="K182" s="385" t="n"/>
      <c r="L182" s="385" t="n"/>
      <c r="M182" s="385" t="n"/>
      <c r="N182" s="385" t="n"/>
      <c r="O182" s="385" t="n"/>
      <c r="P182" s="385" t="n"/>
      <c r="Q182" s="385" t="n"/>
      <c r="R182" s="385" t="n"/>
      <c r="S182" s="385" t="n"/>
      <c r="T182" s="385" t="n"/>
      <c r="U182" s="385" t="n"/>
      <c r="V182" s="385" t="n"/>
    </row>
    <row r="183" ht="15.75" customHeight="1" s="397">
      <c r="A183" s="385" t="n"/>
      <c r="B183" s="385" t="n"/>
      <c r="C183" s="385" t="n"/>
      <c r="D183" s="385" t="n"/>
      <c r="E183" s="385" t="n"/>
      <c r="F183" s="385" t="n"/>
      <c r="G183" s="386" t="n"/>
      <c r="H183" s="385" t="n"/>
      <c r="I183" s="385" t="n"/>
      <c r="J183" s="385" t="n"/>
      <c r="K183" s="385" t="n"/>
      <c r="L183" s="385" t="n"/>
      <c r="M183" s="385" t="n"/>
      <c r="N183" s="385" t="n"/>
      <c r="O183" s="385" t="n"/>
      <c r="P183" s="385" t="n"/>
      <c r="Q183" s="385" t="n"/>
      <c r="R183" s="385" t="n"/>
      <c r="S183" s="385" t="n"/>
      <c r="T183" s="385" t="n"/>
      <c r="U183" s="385" t="n"/>
      <c r="V183" s="385" t="n"/>
    </row>
    <row r="184" ht="15.75" customHeight="1" s="397">
      <c r="A184" s="385" t="n"/>
      <c r="B184" s="385" t="n"/>
      <c r="C184" s="385" t="n"/>
      <c r="D184" s="385" t="n"/>
      <c r="E184" s="385" t="n"/>
      <c r="F184" s="385" t="n"/>
      <c r="G184" s="386" t="n"/>
      <c r="H184" s="385" t="n"/>
      <c r="I184" s="385" t="n"/>
      <c r="J184" s="385" t="n"/>
      <c r="K184" s="385" t="n"/>
      <c r="L184" s="385" t="n"/>
      <c r="M184" s="385" t="n"/>
      <c r="N184" s="385" t="n"/>
      <c r="O184" s="385" t="n"/>
      <c r="P184" s="385" t="n"/>
      <c r="Q184" s="385" t="n"/>
      <c r="R184" s="385" t="n"/>
      <c r="S184" s="385" t="n"/>
      <c r="T184" s="385" t="n"/>
      <c r="U184" s="385" t="n"/>
      <c r="V184" s="385" t="n"/>
    </row>
    <row r="185" ht="15.75" customHeight="1" s="397">
      <c r="A185" s="385" t="n"/>
      <c r="B185" s="385" t="n"/>
      <c r="C185" s="385" t="n"/>
      <c r="D185" s="385" t="n"/>
      <c r="E185" s="385" t="n"/>
      <c r="F185" s="385" t="n"/>
      <c r="G185" s="386" t="n"/>
      <c r="H185" s="385" t="n"/>
      <c r="I185" s="385" t="n"/>
      <c r="J185" s="385" t="n"/>
      <c r="K185" s="385" t="n"/>
      <c r="L185" s="385" t="n"/>
      <c r="M185" s="385" t="n"/>
      <c r="N185" s="385" t="n"/>
      <c r="O185" s="385" t="n"/>
      <c r="P185" s="385" t="n"/>
      <c r="Q185" s="385" t="n"/>
      <c r="R185" s="385" t="n"/>
      <c r="S185" s="385" t="n"/>
      <c r="T185" s="385" t="n"/>
      <c r="U185" s="385" t="n"/>
      <c r="V185" s="385" t="n"/>
    </row>
    <row r="186" ht="15.75" customHeight="1" s="397">
      <c r="A186" s="385" t="n"/>
      <c r="B186" s="385" t="n"/>
      <c r="C186" s="385" t="n"/>
      <c r="D186" s="385" t="n"/>
      <c r="E186" s="385" t="n"/>
      <c r="F186" s="385" t="n"/>
      <c r="G186" s="386" t="n"/>
      <c r="H186" s="385" t="n"/>
      <c r="I186" s="385" t="n"/>
      <c r="J186" s="385" t="n"/>
      <c r="K186" s="385" t="n"/>
      <c r="L186" s="385" t="n"/>
      <c r="M186" s="385" t="n"/>
      <c r="N186" s="385" t="n"/>
      <c r="O186" s="385" t="n"/>
      <c r="P186" s="385" t="n"/>
      <c r="Q186" s="385" t="n"/>
      <c r="R186" s="385" t="n"/>
      <c r="S186" s="385" t="n"/>
      <c r="T186" s="385" t="n"/>
      <c r="U186" s="385" t="n"/>
      <c r="V186" s="385" t="n"/>
    </row>
    <row r="187" ht="15.75" customHeight="1" s="397">
      <c r="A187" s="385" t="n"/>
      <c r="B187" s="385" t="n"/>
      <c r="C187" s="385" t="n"/>
      <c r="D187" s="385" t="n"/>
      <c r="E187" s="385" t="n"/>
      <c r="F187" s="385" t="n"/>
      <c r="G187" s="386" t="n"/>
      <c r="H187" s="385" t="n"/>
      <c r="I187" s="385" t="n"/>
      <c r="J187" s="385" t="n"/>
      <c r="K187" s="385" t="n"/>
      <c r="L187" s="385" t="n"/>
      <c r="M187" s="385" t="n"/>
      <c r="N187" s="385" t="n"/>
      <c r="O187" s="385" t="n"/>
      <c r="P187" s="385" t="n"/>
      <c r="Q187" s="385" t="n"/>
      <c r="R187" s="385" t="n"/>
      <c r="S187" s="385" t="n"/>
      <c r="T187" s="385" t="n"/>
      <c r="U187" s="385" t="n"/>
      <c r="V187" s="385" t="n"/>
    </row>
    <row r="188" ht="15.75" customHeight="1" s="397">
      <c r="A188" s="385" t="n"/>
      <c r="B188" s="385" t="n"/>
      <c r="C188" s="385" t="n"/>
      <c r="D188" s="385" t="n"/>
      <c r="E188" s="385" t="n"/>
      <c r="F188" s="385" t="n"/>
      <c r="G188" s="386" t="n"/>
      <c r="H188" s="385" t="n"/>
      <c r="I188" s="385" t="n"/>
      <c r="J188" s="385" t="n"/>
      <c r="K188" s="385" t="n"/>
      <c r="L188" s="385" t="n"/>
      <c r="M188" s="385" t="n"/>
      <c r="N188" s="385" t="n"/>
      <c r="O188" s="385" t="n"/>
      <c r="P188" s="385" t="n"/>
      <c r="Q188" s="385" t="n"/>
      <c r="R188" s="385" t="n"/>
      <c r="S188" s="385" t="n"/>
      <c r="T188" s="385" t="n"/>
      <c r="U188" s="385" t="n"/>
      <c r="V188" s="385" t="n"/>
    </row>
    <row r="189" ht="15.75" customHeight="1" s="397">
      <c r="A189" s="385" t="n"/>
      <c r="B189" s="385" t="n"/>
      <c r="C189" s="385" t="n"/>
      <c r="D189" s="385" t="n"/>
      <c r="E189" s="385" t="n"/>
      <c r="F189" s="385" t="n"/>
      <c r="G189" s="386" t="n"/>
      <c r="H189" s="385" t="n"/>
      <c r="I189" s="385" t="n"/>
      <c r="J189" s="385" t="n"/>
      <c r="K189" s="385" t="n"/>
      <c r="L189" s="385" t="n"/>
      <c r="M189" s="385" t="n"/>
      <c r="N189" s="385" t="n"/>
      <c r="O189" s="385" t="n"/>
      <c r="P189" s="385" t="n"/>
      <c r="Q189" s="385" t="n"/>
      <c r="R189" s="385" t="n"/>
      <c r="S189" s="385" t="n"/>
      <c r="T189" s="385" t="n"/>
      <c r="U189" s="385" t="n"/>
      <c r="V189" s="385" t="n"/>
    </row>
    <row r="190" ht="15.75" customHeight="1" s="397">
      <c r="A190" s="385" t="n"/>
      <c r="B190" s="385" t="n"/>
      <c r="C190" s="385" t="n"/>
      <c r="D190" s="385" t="n"/>
      <c r="E190" s="385" t="n"/>
      <c r="F190" s="385" t="n"/>
      <c r="G190" s="386" t="n"/>
      <c r="H190" s="385" t="n"/>
      <c r="I190" s="385" t="n"/>
      <c r="J190" s="385" t="n"/>
      <c r="K190" s="385" t="n"/>
      <c r="L190" s="385" t="n"/>
      <c r="M190" s="385" t="n"/>
      <c r="N190" s="385" t="n"/>
      <c r="O190" s="385" t="n"/>
      <c r="P190" s="385" t="n"/>
      <c r="Q190" s="385" t="n"/>
      <c r="R190" s="385" t="n"/>
      <c r="S190" s="385" t="n"/>
      <c r="T190" s="385" t="n"/>
      <c r="U190" s="385" t="n"/>
      <c r="V190" s="385" t="n"/>
    </row>
    <row r="191" ht="15.75" customHeight="1" s="397">
      <c r="A191" s="385" t="n"/>
      <c r="B191" s="385" t="n"/>
      <c r="C191" s="385" t="n"/>
      <c r="D191" s="385" t="n"/>
      <c r="E191" s="385" t="n"/>
      <c r="F191" s="385" t="n"/>
      <c r="G191" s="386" t="n"/>
      <c r="H191" s="385" t="n"/>
      <c r="I191" s="385" t="n"/>
      <c r="J191" s="385" t="n"/>
      <c r="K191" s="385" t="n"/>
      <c r="L191" s="385" t="n"/>
      <c r="M191" s="385" t="n"/>
      <c r="N191" s="385" t="n"/>
      <c r="O191" s="385" t="n"/>
      <c r="P191" s="385" t="n"/>
      <c r="Q191" s="385" t="n"/>
      <c r="R191" s="385" t="n"/>
      <c r="S191" s="385" t="n"/>
      <c r="T191" s="385" t="n"/>
      <c r="U191" s="385" t="n"/>
      <c r="V191" s="385" t="n"/>
    </row>
    <row r="192" ht="15.75" customHeight="1" s="397">
      <c r="A192" s="385" t="n"/>
      <c r="B192" s="385" t="n"/>
      <c r="C192" s="385" t="n"/>
      <c r="D192" s="385" t="n"/>
      <c r="E192" s="385" t="n"/>
      <c r="F192" s="385" t="n"/>
      <c r="G192" s="386" t="n"/>
      <c r="H192" s="385" t="n"/>
      <c r="I192" s="385" t="n"/>
      <c r="J192" s="385" t="n"/>
      <c r="K192" s="385" t="n"/>
      <c r="L192" s="385" t="n"/>
      <c r="M192" s="385" t="n"/>
      <c r="N192" s="385" t="n"/>
      <c r="O192" s="385" t="n"/>
      <c r="P192" s="385" t="n"/>
      <c r="Q192" s="385" t="n"/>
      <c r="R192" s="385" t="n"/>
      <c r="S192" s="385" t="n"/>
      <c r="T192" s="385" t="n"/>
      <c r="U192" s="385" t="n"/>
      <c r="V192" s="385" t="n"/>
    </row>
    <row r="193" ht="15.75" customHeight="1" s="397">
      <c r="A193" s="385" t="n"/>
      <c r="B193" s="385" t="n"/>
      <c r="C193" s="385" t="n"/>
      <c r="D193" s="385" t="n"/>
      <c r="E193" s="385" t="n"/>
      <c r="F193" s="385" t="n"/>
      <c r="G193" s="386" t="n"/>
      <c r="H193" s="385" t="n"/>
      <c r="I193" s="385" t="n"/>
      <c r="J193" s="385" t="n"/>
      <c r="K193" s="385" t="n"/>
      <c r="L193" s="385" t="n"/>
      <c r="M193" s="385" t="n"/>
      <c r="N193" s="385" t="n"/>
      <c r="O193" s="385" t="n"/>
      <c r="P193" s="385" t="n"/>
      <c r="Q193" s="385" t="n"/>
      <c r="R193" s="385" t="n"/>
      <c r="S193" s="385" t="n"/>
      <c r="T193" s="385" t="n"/>
      <c r="U193" s="385" t="n"/>
      <c r="V193" s="385" t="n"/>
    </row>
    <row r="194" ht="15.75" customHeight="1" s="397">
      <c r="A194" s="385" t="n"/>
      <c r="B194" s="385" t="n"/>
      <c r="C194" s="385" t="n"/>
      <c r="D194" s="385" t="n"/>
      <c r="E194" s="385" t="n"/>
      <c r="F194" s="385" t="n"/>
      <c r="G194" s="386" t="n"/>
      <c r="H194" s="385" t="n"/>
      <c r="I194" s="385" t="n"/>
      <c r="J194" s="385" t="n"/>
      <c r="K194" s="385" t="n"/>
      <c r="L194" s="385" t="n"/>
      <c r="M194" s="385" t="n"/>
      <c r="N194" s="385" t="n"/>
      <c r="O194" s="385" t="n"/>
      <c r="P194" s="385" t="n"/>
      <c r="Q194" s="385" t="n"/>
      <c r="R194" s="385" t="n"/>
      <c r="S194" s="385" t="n"/>
      <c r="T194" s="385" t="n"/>
      <c r="U194" s="385" t="n"/>
      <c r="V194" s="385" t="n"/>
    </row>
    <row r="195" ht="15.75" customHeight="1" s="397">
      <c r="A195" s="385" t="n"/>
      <c r="B195" s="385" t="n"/>
      <c r="C195" s="385" t="n"/>
      <c r="D195" s="385" t="n"/>
      <c r="E195" s="385" t="n"/>
      <c r="F195" s="385" t="n"/>
      <c r="G195" s="386" t="n"/>
      <c r="H195" s="385" t="n"/>
      <c r="I195" s="385" t="n"/>
      <c r="J195" s="385" t="n"/>
      <c r="K195" s="385" t="n"/>
      <c r="L195" s="385" t="n"/>
      <c r="M195" s="385" t="n"/>
      <c r="N195" s="385" t="n"/>
      <c r="O195" s="385" t="n"/>
      <c r="P195" s="385" t="n"/>
      <c r="Q195" s="385" t="n"/>
      <c r="R195" s="385" t="n"/>
      <c r="S195" s="385" t="n"/>
      <c r="T195" s="385" t="n"/>
      <c r="U195" s="385" t="n"/>
      <c r="V195" s="385" t="n"/>
    </row>
    <row r="196" ht="15.75" customHeight="1" s="397">
      <c r="A196" s="385" t="n"/>
      <c r="B196" s="385" t="n"/>
      <c r="C196" s="385" t="n"/>
      <c r="D196" s="385" t="n"/>
      <c r="E196" s="385" t="n"/>
      <c r="F196" s="385" t="n"/>
      <c r="G196" s="386" t="n"/>
      <c r="H196" s="385" t="n"/>
      <c r="I196" s="385" t="n"/>
      <c r="J196" s="385" t="n"/>
      <c r="K196" s="385" t="n"/>
      <c r="L196" s="385" t="n"/>
      <c r="M196" s="385" t="n"/>
      <c r="N196" s="385" t="n"/>
      <c r="O196" s="385" t="n"/>
      <c r="P196" s="385" t="n"/>
      <c r="Q196" s="385" t="n"/>
      <c r="R196" s="385" t="n"/>
      <c r="S196" s="385" t="n"/>
      <c r="T196" s="385" t="n"/>
      <c r="U196" s="385" t="n"/>
      <c r="V196" s="385" t="n"/>
    </row>
    <row r="197" ht="15.75" customHeight="1" s="397">
      <c r="A197" s="385" t="n"/>
      <c r="B197" s="385" t="n"/>
      <c r="C197" s="385" t="n"/>
      <c r="D197" s="385" t="n"/>
      <c r="E197" s="385" t="n"/>
      <c r="F197" s="385" t="n"/>
      <c r="G197" s="386" t="n"/>
      <c r="H197" s="385" t="n"/>
      <c r="I197" s="385" t="n"/>
      <c r="J197" s="385" t="n"/>
      <c r="K197" s="385" t="n"/>
      <c r="L197" s="385" t="n"/>
      <c r="M197" s="385" t="n"/>
      <c r="N197" s="385" t="n"/>
      <c r="O197" s="385" t="n"/>
      <c r="P197" s="385" t="n"/>
      <c r="Q197" s="385" t="n"/>
      <c r="R197" s="385" t="n"/>
      <c r="S197" s="385" t="n"/>
      <c r="T197" s="385" t="n"/>
      <c r="U197" s="385" t="n"/>
      <c r="V197" s="385" t="n"/>
    </row>
    <row r="198" ht="15.75" customHeight="1" s="397">
      <c r="A198" s="385" t="n"/>
      <c r="B198" s="385" t="n"/>
      <c r="C198" s="385" t="n"/>
      <c r="D198" s="385" t="n"/>
      <c r="E198" s="385" t="n"/>
      <c r="F198" s="385" t="n"/>
      <c r="G198" s="386" t="n"/>
      <c r="H198" s="385" t="n"/>
      <c r="I198" s="385" t="n"/>
      <c r="J198" s="385" t="n"/>
      <c r="K198" s="385" t="n"/>
      <c r="L198" s="385" t="n"/>
      <c r="M198" s="385" t="n"/>
      <c r="N198" s="385" t="n"/>
      <c r="O198" s="385" t="n"/>
      <c r="P198" s="385" t="n"/>
      <c r="Q198" s="385" t="n"/>
      <c r="R198" s="385" t="n"/>
      <c r="S198" s="385" t="n"/>
      <c r="T198" s="385" t="n"/>
      <c r="U198" s="385" t="n"/>
      <c r="V198" s="385" t="n"/>
    </row>
    <row r="199" ht="15.75" customHeight="1" s="397">
      <c r="A199" s="385" t="n"/>
      <c r="B199" s="385" t="n"/>
      <c r="C199" s="385" t="n"/>
      <c r="D199" s="385" t="n"/>
      <c r="E199" s="385" t="n"/>
      <c r="F199" s="385" t="n"/>
      <c r="G199" s="386" t="n"/>
      <c r="H199" s="385" t="n"/>
      <c r="I199" s="385" t="n"/>
      <c r="J199" s="385" t="n"/>
      <c r="K199" s="385" t="n"/>
      <c r="L199" s="385" t="n"/>
      <c r="M199" s="385" t="n"/>
      <c r="N199" s="385" t="n"/>
      <c r="O199" s="385" t="n"/>
      <c r="P199" s="385" t="n"/>
      <c r="Q199" s="385" t="n"/>
      <c r="R199" s="385" t="n"/>
      <c r="S199" s="385" t="n"/>
      <c r="T199" s="385" t="n"/>
      <c r="U199" s="385" t="n"/>
      <c r="V199" s="385" t="n"/>
    </row>
    <row r="200" ht="15.75" customHeight="1" s="397">
      <c r="A200" s="385" t="n"/>
      <c r="B200" s="385" t="n"/>
      <c r="C200" s="385" t="n"/>
      <c r="D200" s="385" t="n"/>
      <c r="E200" s="385" t="n"/>
      <c r="F200" s="385" t="n"/>
      <c r="G200" s="386" t="n"/>
      <c r="H200" s="385" t="n"/>
      <c r="I200" s="385" t="n"/>
      <c r="J200" s="385" t="n"/>
      <c r="K200" s="385" t="n"/>
      <c r="L200" s="385" t="n"/>
      <c r="M200" s="385" t="n"/>
      <c r="N200" s="385" t="n"/>
      <c r="O200" s="385" t="n"/>
      <c r="P200" s="385" t="n"/>
      <c r="Q200" s="385" t="n"/>
      <c r="R200" s="385" t="n"/>
      <c r="S200" s="385" t="n"/>
      <c r="T200" s="385" t="n"/>
      <c r="U200" s="385" t="n"/>
      <c r="V200" s="385" t="n"/>
    </row>
    <row r="201" ht="15.75" customHeight="1" s="397">
      <c r="A201" s="385" t="n"/>
      <c r="B201" s="385" t="n"/>
      <c r="C201" s="385" t="n"/>
      <c r="D201" s="385" t="n"/>
      <c r="E201" s="385" t="n"/>
      <c r="F201" s="385" t="n"/>
      <c r="G201" s="386" t="n"/>
      <c r="H201" s="385" t="n"/>
      <c r="I201" s="385" t="n"/>
      <c r="J201" s="385" t="n"/>
      <c r="K201" s="385" t="n"/>
      <c r="L201" s="385" t="n"/>
      <c r="M201" s="385" t="n"/>
      <c r="N201" s="385" t="n"/>
      <c r="O201" s="385" t="n"/>
      <c r="P201" s="385" t="n"/>
      <c r="Q201" s="385" t="n"/>
      <c r="R201" s="385" t="n"/>
      <c r="S201" s="385" t="n"/>
      <c r="T201" s="385" t="n"/>
      <c r="U201" s="385" t="n"/>
      <c r="V201" s="385" t="n"/>
    </row>
    <row r="202" ht="15.75" customHeight="1" s="397">
      <c r="A202" s="385" t="n"/>
      <c r="B202" s="385" t="n"/>
      <c r="C202" s="385" t="n"/>
      <c r="D202" s="385" t="n"/>
      <c r="E202" s="385" t="n"/>
      <c r="F202" s="385" t="n"/>
      <c r="G202" s="386" t="n"/>
      <c r="H202" s="385" t="n"/>
      <c r="I202" s="385" t="n"/>
      <c r="J202" s="385" t="n"/>
      <c r="K202" s="385" t="n"/>
      <c r="L202" s="385" t="n"/>
      <c r="M202" s="385" t="n"/>
      <c r="N202" s="385" t="n"/>
      <c r="O202" s="385" t="n"/>
      <c r="P202" s="385" t="n"/>
      <c r="Q202" s="385" t="n"/>
      <c r="R202" s="385" t="n"/>
      <c r="S202" s="385" t="n"/>
      <c r="T202" s="385" t="n"/>
      <c r="U202" s="385" t="n"/>
      <c r="V202" s="385" t="n"/>
    </row>
    <row r="203" ht="15.75" customHeight="1" s="397">
      <c r="A203" s="385" t="n"/>
      <c r="B203" s="385" t="n"/>
      <c r="C203" s="385" t="n"/>
      <c r="D203" s="385" t="n"/>
      <c r="E203" s="385" t="n"/>
      <c r="F203" s="385" t="n"/>
      <c r="G203" s="386" t="n"/>
      <c r="H203" s="385" t="n"/>
      <c r="I203" s="385" t="n"/>
      <c r="J203" s="385" t="n"/>
      <c r="K203" s="385" t="n"/>
      <c r="L203" s="385" t="n"/>
      <c r="M203" s="385" t="n"/>
      <c r="N203" s="385" t="n"/>
      <c r="O203" s="385" t="n"/>
      <c r="P203" s="385" t="n"/>
      <c r="Q203" s="385" t="n"/>
      <c r="R203" s="385" t="n"/>
      <c r="S203" s="385" t="n"/>
      <c r="T203" s="385" t="n"/>
      <c r="U203" s="385" t="n"/>
      <c r="V203" s="385" t="n"/>
    </row>
    <row r="204" ht="15.75" customHeight="1" s="397">
      <c r="A204" s="385" t="n"/>
      <c r="B204" s="385" t="n"/>
      <c r="C204" s="385" t="n"/>
      <c r="D204" s="385" t="n"/>
      <c r="E204" s="385" t="n"/>
      <c r="F204" s="385" t="n"/>
      <c r="G204" s="386" t="n"/>
      <c r="H204" s="385" t="n"/>
      <c r="I204" s="385" t="n"/>
      <c r="J204" s="385" t="n"/>
      <c r="K204" s="385" t="n"/>
      <c r="L204" s="385" t="n"/>
      <c r="M204" s="385" t="n"/>
      <c r="N204" s="385" t="n"/>
      <c r="O204" s="385" t="n"/>
      <c r="P204" s="385" t="n"/>
      <c r="Q204" s="385" t="n"/>
      <c r="R204" s="385" t="n"/>
      <c r="S204" s="385" t="n"/>
      <c r="T204" s="385" t="n"/>
      <c r="U204" s="385" t="n"/>
      <c r="V204" s="385" t="n"/>
    </row>
    <row r="205" ht="15.75" customHeight="1" s="397">
      <c r="A205" s="385" t="n"/>
      <c r="B205" s="385" t="n"/>
      <c r="C205" s="385" t="n"/>
      <c r="D205" s="385" t="n"/>
      <c r="E205" s="385" t="n"/>
      <c r="F205" s="385" t="n"/>
      <c r="G205" s="386" t="n"/>
      <c r="H205" s="385" t="n"/>
      <c r="I205" s="385" t="n"/>
      <c r="J205" s="385" t="n"/>
      <c r="K205" s="385" t="n"/>
      <c r="L205" s="385" t="n"/>
      <c r="M205" s="385" t="n"/>
      <c r="N205" s="385" t="n"/>
      <c r="O205" s="385" t="n"/>
      <c r="P205" s="385" t="n"/>
      <c r="Q205" s="385" t="n"/>
      <c r="R205" s="385" t="n"/>
      <c r="S205" s="385" t="n"/>
      <c r="T205" s="385" t="n"/>
      <c r="U205" s="385" t="n"/>
      <c r="V205" s="385" t="n"/>
    </row>
    <row r="206" ht="15.75" customHeight="1" s="397">
      <c r="A206" s="385" t="n"/>
      <c r="B206" s="385" t="n"/>
      <c r="C206" s="385" t="n"/>
      <c r="D206" s="385" t="n"/>
      <c r="E206" s="385" t="n"/>
      <c r="F206" s="385" t="n"/>
      <c r="G206" s="386" t="n"/>
      <c r="H206" s="385" t="n"/>
      <c r="I206" s="385" t="n"/>
      <c r="J206" s="385" t="n"/>
      <c r="K206" s="385" t="n"/>
      <c r="L206" s="385" t="n"/>
      <c r="M206" s="385" t="n"/>
      <c r="N206" s="385" t="n"/>
      <c r="O206" s="385" t="n"/>
      <c r="P206" s="385" t="n"/>
      <c r="Q206" s="385" t="n"/>
      <c r="R206" s="385" t="n"/>
      <c r="S206" s="385" t="n"/>
      <c r="T206" s="385" t="n"/>
      <c r="U206" s="385" t="n"/>
      <c r="V206" s="385" t="n"/>
    </row>
    <row r="207" ht="15.75" customHeight="1" s="397">
      <c r="A207" s="385" t="n"/>
      <c r="B207" s="385" t="n"/>
      <c r="C207" s="385" t="n"/>
      <c r="D207" s="385" t="n"/>
      <c r="E207" s="385" t="n"/>
      <c r="F207" s="385" t="n"/>
      <c r="G207" s="386" t="n"/>
      <c r="H207" s="385" t="n"/>
      <c r="I207" s="385" t="n"/>
      <c r="J207" s="385" t="n"/>
      <c r="K207" s="385" t="n"/>
      <c r="L207" s="385" t="n"/>
      <c r="M207" s="385" t="n"/>
      <c r="N207" s="385" t="n"/>
      <c r="O207" s="385" t="n"/>
      <c r="P207" s="385" t="n"/>
      <c r="Q207" s="385" t="n"/>
      <c r="R207" s="385" t="n"/>
      <c r="S207" s="385" t="n"/>
      <c r="T207" s="385" t="n"/>
      <c r="U207" s="385" t="n"/>
      <c r="V207" s="385" t="n"/>
    </row>
    <row r="208" ht="15.75" customHeight="1" s="397">
      <c r="A208" s="385" t="n"/>
      <c r="B208" s="385" t="n"/>
      <c r="C208" s="385" t="n"/>
      <c r="D208" s="385" t="n"/>
      <c r="E208" s="385" t="n"/>
      <c r="F208" s="385" t="n"/>
      <c r="G208" s="386" t="n"/>
      <c r="H208" s="385" t="n"/>
      <c r="I208" s="385" t="n"/>
      <c r="J208" s="385" t="n"/>
      <c r="K208" s="385" t="n"/>
      <c r="L208" s="385" t="n"/>
      <c r="M208" s="385" t="n"/>
      <c r="N208" s="385" t="n"/>
      <c r="O208" s="385" t="n"/>
      <c r="P208" s="385" t="n"/>
      <c r="Q208" s="385" t="n"/>
      <c r="R208" s="385" t="n"/>
      <c r="S208" s="385" t="n"/>
      <c r="T208" s="385" t="n"/>
      <c r="U208" s="385" t="n"/>
      <c r="V208" s="385" t="n"/>
    </row>
    <row r="209" ht="15.75" customHeight="1" s="397">
      <c r="A209" s="385" t="n"/>
      <c r="B209" s="385" t="n"/>
      <c r="C209" s="385" t="n"/>
      <c r="D209" s="385" t="n"/>
      <c r="E209" s="385" t="n"/>
      <c r="F209" s="385" t="n"/>
      <c r="G209" s="386" t="n"/>
      <c r="H209" s="385" t="n"/>
      <c r="I209" s="385" t="n"/>
      <c r="J209" s="385" t="n"/>
      <c r="K209" s="385" t="n"/>
      <c r="L209" s="385" t="n"/>
      <c r="M209" s="385" t="n"/>
      <c r="N209" s="385" t="n"/>
      <c r="O209" s="385" t="n"/>
      <c r="P209" s="385" t="n"/>
      <c r="Q209" s="385" t="n"/>
      <c r="R209" s="385" t="n"/>
      <c r="S209" s="385" t="n"/>
      <c r="T209" s="385" t="n"/>
      <c r="U209" s="385" t="n"/>
      <c r="V209" s="385" t="n"/>
    </row>
    <row r="210" ht="15.75" customHeight="1" s="397">
      <c r="A210" s="385" t="n"/>
      <c r="B210" s="385" t="n"/>
      <c r="C210" s="385" t="n"/>
      <c r="D210" s="385" t="n"/>
      <c r="E210" s="385" t="n"/>
      <c r="F210" s="385" t="n"/>
      <c r="G210" s="386" t="n"/>
      <c r="H210" s="385" t="n"/>
      <c r="I210" s="385" t="n"/>
      <c r="J210" s="385" t="n"/>
      <c r="K210" s="385" t="n"/>
      <c r="L210" s="385" t="n"/>
      <c r="M210" s="385" t="n"/>
      <c r="N210" s="385" t="n"/>
      <c r="O210" s="385" t="n"/>
      <c r="P210" s="385" t="n"/>
      <c r="Q210" s="385" t="n"/>
      <c r="R210" s="385" t="n"/>
      <c r="S210" s="385" t="n"/>
      <c r="T210" s="385" t="n"/>
      <c r="U210" s="385" t="n"/>
      <c r="V210" s="385" t="n"/>
    </row>
    <row r="211" ht="15.75" customHeight="1" s="397">
      <c r="A211" s="385" t="n"/>
      <c r="B211" s="385" t="n"/>
      <c r="C211" s="385" t="n"/>
      <c r="D211" s="385" t="n"/>
      <c r="E211" s="385" t="n"/>
      <c r="F211" s="385" t="n"/>
      <c r="G211" s="386" t="n"/>
      <c r="H211" s="385" t="n"/>
      <c r="I211" s="385" t="n"/>
      <c r="J211" s="385" t="n"/>
      <c r="K211" s="385" t="n"/>
      <c r="L211" s="385" t="n"/>
      <c r="M211" s="385" t="n"/>
      <c r="N211" s="385" t="n"/>
      <c r="O211" s="385" t="n"/>
      <c r="P211" s="385" t="n"/>
      <c r="Q211" s="385" t="n"/>
      <c r="R211" s="385" t="n"/>
      <c r="S211" s="385" t="n"/>
      <c r="T211" s="385" t="n"/>
      <c r="U211" s="385" t="n"/>
      <c r="V211" s="385" t="n"/>
    </row>
    <row r="212" ht="15.75" customHeight="1" s="397">
      <c r="A212" s="385" t="n"/>
      <c r="B212" s="385" t="n"/>
      <c r="C212" s="385" t="n"/>
      <c r="D212" s="385" t="n"/>
      <c r="E212" s="385" t="n"/>
      <c r="F212" s="385" t="n"/>
      <c r="G212" s="386" t="n"/>
      <c r="H212" s="385" t="n"/>
      <c r="I212" s="385" t="n"/>
      <c r="J212" s="385" t="n"/>
      <c r="K212" s="385" t="n"/>
      <c r="L212" s="385" t="n"/>
      <c r="M212" s="385" t="n"/>
      <c r="N212" s="385" t="n"/>
      <c r="O212" s="385" t="n"/>
      <c r="P212" s="385" t="n"/>
      <c r="Q212" s="385" t="n"/>
      <c r="R212" s="385" t="n"/>
      <c r="S212" s="385" t="n"/>
      <c r="T212" s="385" t="n"/>
      <c r="U212" s="385" t="n"/>
      <c r="V212" s="385" t="n"/>
    </row>
    <row r="213" ht="15.75" customHeight="1" s="397">
      <c r="A213" s="385" t="n"/>
      <c r="B213" s="385" t="n"/>
      <c r="C213" s="385" t="n"/>
      <c r="D213" s="385" t="n"/>
      <c r="E213" s="385" t="n"/>
      <c r="F213" s="385" t="n"/>
      <c r="G213" s="386" t="n"/>
      <c r="H213" s="385" t="n"/>
      <c r="I213" s="385" t="n"/>
      <c r="J213" s="385" t="n"/>
      <c r="K213" s="385" t="n"/>
      <c r="L213" s="385" t="n"/>
      <c r="M213" s="385" t="n"/>
      <c r="N213" s="385" t="n"/>
      <c r="O213" s="385" t="n"/>
      <c r="P213" s="385" t="n"/>
      <c r="Q213" s="385" t="n"/>
      <c r="R213" s="385" t="n"/>
      <c r="S213" s="385" t="n"/>
      <c r="T213" s="385" t="n"/>
      <c r="U213" s="385" t="n"/>
      <c r="V213" s="385" t="n"/>
    </row>
    <row r="214" ht="15.75" customHeight="1" s="397">
      <c r="A214" s="385" t="n"/>
      <c r="B214" s="385" t="n"/>
      <c r="C214" s="385" t="n"/>
      <c r="D214" s="385" t="n"/>
      <c r="E214" s="385" t="n"/>
      <c r="F214" s="385" t="n"/>
      <c r="G214" s="386" t="n"/>
      <c r="H214" s="385" t="n"/>
      <c r="I214" s="385" t="n"/>
      <c r="J214" s="385" t="n"/>
      <c r="K214" s="385" t="n"/>
      <c r="L214" s="385" t="n"/>
      <c r="M214" s="385" t="n"/>
      <c r="N214" s="385" t="n"/>
      <c r="O214" s="385" t="n"/>
      <c r="P214" s="385" t="n"/>
      <c r="Q214" s="385" t="n"/>
      <c r="R214" s="385" t="n"/>
      <c r="S214" s="385" t="n"/>
      <c r="T214" s="385" t="n"/>
      <c r="U214" s="385" t="n"/>
      <c r="V214" s="385" t="n"/>
    </row>
    <row r="215" ht="15.75" customHeight="1" s="397">
      <c r="A215" s="385" t="n"/>
      <c r="B215" s="385" t="n"/>
      <c r="C215" s="385" t="n"/>
      <c r="D215" s="385" t="n"/>
      <c r="E215" s="385" t="n"/>
      <c r="F215" s="385" t="n"/>
      <c r="G215" s="386" t="n"/>
      <c r="H215" s="385" t="n"/>
      <c r="I215" s="385" t="n"/>
      <c r="J215" s="385" t="n"/>
      <c r="K215" s="385" t="n"/>
      <c r="L215" s="385" t="n"/>
      <c r="M215" s="385" t="n"/>
      <c r="N215" s="385" t="n"/>
      <c r="O215" s="385" t="n"/>
      <c r="P215" s="385" t="n"/>
      <c r="Q215" s="385" t="n"/>
      <c r="R215" s="385" t="n"/>
      <c r="S215" s="385" t="n"/>
      <c r="T215" s="385" t="n"/>
      <c r="U215" s="385" t="n"/>
      <c r="V215" s="385" t="n"/>
    </row>
    <row r="216" ht="15.75" customHeight="1" s="397">
      <c r="A216" s="385" t="n"/>
      <c r="B216" s="385" t="n"/>
      <c r="C216" s="385" t="n"/>
      <c r="D216" s="385" t="n"/>
      <c r="E216" s="385" t="n"/>
      <c r="F216" s="385" t="n"/>
      <c r="G216" s="386" t="n"/>
      <c r="H216" s="385" t="n"/>
      <c r="I216" s="385" t="n"/>
      <c r="J216" s="385" t="n"/>
      <c r="K216" s="385" t="n"/>
      <c r="L216" s="385" t="n"/>
      <c r="M216" s="385" t="n"/>
      <c r="N216" s="385" t="n"/>
      <c r="O216" s="385" t="n"/>
      <c r="P216" s="385" t="n"/>
      <c r="Q216" s="385" t="n"/>
      <c r="R216" s="385" t="n"/>
      <c r="S216" s="385" t="n"/>
      <c r="T216" s="385" t="n"/>
      <c r="U216" s="385" t="n"/>
      <c r="V216" s="385" t="n"/>
    </row>
    <row r="217" ht="15.75" customHeight="1" s="397">
      <c r="A217" s="385" t="n"/>
      <c r="B217" s="385" t="n"/>
      <c r="C217" s="385" t="n"/>
      <c r="D217" s="385" t="n"/>
      <c r="E217" s="385" t="n"/>
      <c r="F217" s="385" t="n"/>
      <c r="G217" s="386" t="n"/>
      <c r="H217" s="385" t="n"/>
      <c r="I217" s="385" t="n"/>
      <c r="J217" s="385" t="n"/>
      <c r="K217" s="385" t="n"/>
      <c r="L217" s="385" t="n"/>
      <c r="M217" s="385" t="n"/>
      <c r="N217" s="385" t="n"/>
      <c r="O217" s="385" t="n"/>
      <c r="P217" s="385" t="n"/>
      <c r="Q217" s="385" t="n"/>
      <c r="R217" s="385" t="n"/>
      <c r="S217" s="385" t="n"/>
      <c r="T217" s="385" t="n"/>
      <c r="U217" s="385" t="n"/>
      <c r="V217" s="385" t="n"/>
    </row>
    <row r="218" ht="15.75" customHeight="1" s="397">
      <c r="A218" s="385" t="n"/>
      <c r="B218" s="385" t="n"/>
      <c r="C218" s="385" t="n"/>
      <c r="D218" s="385" t="n"/>
      <c r="E218" s="385" t="n"/>
      <c r="F218" s="385" t="n"/>
      <c r="G218" s="386" t="n"/>
      <c r="H218" s="385" t="n"/>
      <c r="I218" s="385" t="n"/>
      <c r="J218" s="385" t="n"/>
      <c r="K218" s="385" t="n"/>
      <c r="L218" s="385" t="n"/>
      <c r="M218" s="385" t="n"/>
      <c r="N218" s="385" t="n"/>
      <c r="O218" s="385" t="n"/>
      <c r="P218" s="385" t="n"/>
      <c r="Q218" s="385" t="n"/>
      <c r="R218" s="385" t="n"/>
      <c r="S218" s="385" t="n"/>
      <c r="T218" s="385" t="n"/>
      <c r="U218" s="385" t="n"/>
      <c r="V218" s="385" t="n"/>
    </row>
    <row r="219" ht="15.75" customHeight="1" s="397">
      <c r="A219" s="385" t="n"/>
      <c r="B219" s="385" t="n"/>
      <c r="C219" s="385" t="n"/>
      <c r="D219" s="385" t="n"/>
      <c r="E219" s="385" t="n"/>
      <c r="F219" s="385" t="n"/>
      <c r="G219" s="386" t="n"/>
      <c r="H219" s="385" t="n"/>
      <c r="I219" s="385" t="n"/>
      <c r="J219" s="385" t="n"/>
      <c r="K219" s="385" t="n"/>
      <c r="L219" s="385" t="n"/>
      <c r="M219" s="385" t="n"/>
      <c r="N219" s="385" t="n"/>
      <c r="O219" s="385" t="n"/>
      <c r="P219" s="385" t="n"/>
      <c r="Q219" s="385" t="n"/>
      <c r="R219" s="385" t="n"/>
      <c r="S219" s="385" t="n"/>
      <c r="T219" s="385" t="n"/>
      <c r="U219" s="385" t="n"/>
      <c r="V219" s="385" t="n"/>
    </row>
    <row r="220" ht="15.75" customHeight="1" s="397">
      <c r="A220" s="385" t="n"/>
      <c r="B220" s="385" t="n"/>
      <c r="C220" s="385" t="n"/>
      <c r="D220" s="385" t="n"/>
      <c r="E220" s="385" t="n"/>
      <c r="F220" s="385" t="n"/>
      <c r="G220" s="386" t="n"/>
      <c r="H220" s="385" t="n"/>
      <c r="I220" s="385" t="n"/>
      <c r="J220" s="385" t="n"/>
      <c r="K220" s="385" t="n"/>
      <c r="L220" s="385" t="n"/>
      <c r="M220" s="385" t="n"/>
      <c r="N220" s="385" t="n"/>
      <c r="O220" s="385" t="n"/>
      <c r="P220" s="385" t="n"/>
      <c r="Q220" s="385" t="n"/>
      <c r="R220" s="385" t="n"/>
      <c r="S220" s="385" t="n"/>
      <c r="T220" s="385" t="n"/>
      <c r="U220" s="385" t="n"/>
      <c r="V220" s="385" t="n"/>
    </row>
    <row r="221" ht="15.75" customHeight="1" s="397">
      <c r="A221" s="385" t="n"/>
      <c r="B221" s="385" t="n"/>
      <c r="C221" s="385" t="n"/>
      <c r="D221" s="385" t="n"/>
      <c r="E221" s="385" t="n"/>
      <c r="F221" s="385" t="n"/>
      <c r="G221" s="386" t="n"/>
      <c r="H221" s="385" t="n"/>
      <c r="I221" s="385" t="n"/>
      <c r="J221" s="385" t="n"/>
      <c r="K221" s="385" t="n"/>
      <c r="L221" s="385" t="n"/>
      <c r="M221" s="385" t="n"/>
      <c r="N221" s="385" t="n"/>
      <c r="O221" s="385" t="n"/>
      <c r="P221" s="385" t="n"/>
      <c r="Q221" s="385" t="n"/>
      <c r="R221" s="385" t="n"/>
      <c r="S221" s="385" t="n"/>
      <c r="T221" s="385" t="n"/>
      <c r="U221" s="385" t="n"/>
      <c r="V221" s="385" t="n"/>
    </row>
    <row r="222" ht="15.75" customHeight="1" s="397">
      <c r="A222" s="385" t="n"/>
      <c r="B222" s="385" t="n"/>
      <c r="C222" s="385" t="n"/>
      <c r="D222" s="385" t="n"/>
      <c r="E222" s="385" t="n"/>
      <c r="F222" s="385" t="n"/>
      <c r="G222" s="386" t="n"/>
      <c r="H222" s="385" t="n"/>
      <c r="I222" s="385" t="n"/>
      <c r="J222" s="385" t="n"/>
      <c r="K222" s="385" t="n"/>
      <c r="L222" s="385" t="n"/>
      <c r="M222" s="385" t="n"/>
      <c r="N222" s="385" t="n"/>
      <c r="O222" s="385" t="n"/>
      <c r="P222" s="385" t="n"/>
      <c r="Q222" s="385" t="n"/>
      <c r="R222" s="385" t="n"/>
      <c r="S222" s="385" t="n"/>
      <c r="T222" s="385" t="n"/>
      <c r="U222" s="385" t="n"/>
      <c r="V222" s="385" t="n"/>
    </row>
    <row r="223" ht="15.75" customHeight="1" s="397">
      <c r="A223" s="385" t="n"/>
      <c r="B223" s="385" t="n"/>
      <c r="C223" s="385" t="n"/>
      <c r="D223" s="385" t="n"/>
      <c r="E223" s="385" t="n"/>
      <c r="F223" s="385" t="n"/>
      <c r="G223" s="386" t="n"/>
      <c r="H223" s="385" t="n"/>
      <c r="I223" s="385" t="n"/>
      <c r="J223" s="385" t="n"/>
      <c r="K223" s="385" t="n"/>
      <c r="L223" s="385" t="n"/>
      <c r="M223" s="385" t="n"/>
      <c r="N223" s="385" t="n"/>
      <c r="O223" s="385" t="n"/>
      <c r="P223" s="385" t="n"/>
      <c r="Q223" s="385" t="n"/>
      <c r="R223" s="385" t="n"/>
      <c r="S223" s="385" t="n"/>
      <c r="T223" s="385" t="n"/>
      <c r="U223" s="385" t="n"/>
      <c r="V223" s="385" t="n"/>
    </row>
    <row r="224" ht="15.75" customHeight="1" s="397">
      <c r="A224" s="385" t="n"/>
      <c r="B224" s="385" t="n"/>
      <c r="C224" s="385" t="n"/>
      <c r="D224" s="385" t="n"/>
      <c r="E224" s="385" t="n"/>
      <c r="F224" s="385" t="n"/>
      <c r="G224" s="386" t="n"/>
      <c r="H224" s="385" t="n"/>
      <c r="I224" s="385" t="n"/>
      <c r="J224" s="385" t="n"/>
      <c r="K224" s="385" t="n"/>
      <c r="L224" s="385" t="n"/>
      <c r="M224" s="385" t="n"/>
      <c r="N224" s="385" t="n"/>
      <c r="O224" s="385" t="n"/>
      <c r="P224" s="385" t="n"/>
      <c r="Q224" s="385" t="n"/>
      <c r="R224" s="385" t="n"/>
      <c r="S224" s="385" t="n"/>
      <c r="T224" s="385" t="n"/>
      <c r="U224" s="385" t="n"/>
      <c r="V224" s="385" t="n"/>
    </row>
    <row r="225" ht="15.75" customHeight="1" s="397">
      <c r="A225" s="385" t="n"/>
      <c r="B225" s="385" t="n"/>
      <c r="C225" s="385" t="n"/>
      <c r="D225" s="385" t="n"/>
      <c r="E225" s="385" t="n"/>
      <c r="F225" s="385" t="n"/>
      <c r="G225" s="386" t="n"/>
      <c r="H225" s="385" t="n"/>
      <c r="I225" s="385" t="n"/>
      <c r="J225" s="385" t="n"/>
      <c r="K225" s="385" t="n"/>
      <c r="L225" s="385" t="n"/>
      <c r="M225" s="385" t="n"/>
      <c r="N225" s="385" t="n"/>
      <c r="O225" s="385" t="n"/>
      <c r="P225" s="385" t="n"/>
      <c r="Q225" s="385" t="n"/>
      <c r="R225" s="385" t="n"/>
      <c r="S225" s="385" t="n"/>
      <c r="T225" s="385" t="n"/>
      <c r="U225" s="385" t="n"/>
      <c r="V225" s="385" t="n"/>
    </row>
    <row r="226" ht="15.75" customHeight="1" s="397">
      <c r="A226" s="385" t="n"/>
      <c r="B226" s="385" t="n"/>
      <c r="C226" s="385" t="n"/>
      <c r="D226" s="385" t="n"/>
      <c r="E226" s="385" t="n"/>
      <c r="F226" s="385" t="n"/>
      <c r="G226" s="386" t="n"/>
      <c r="H226" s="385" t="n"/>
      <c r="I226" s="385" t="n"/>
      <c r="J226" s="385" t="n"/>
      <c r="K226" s="385" t="n"/>
      <c r="L226" s="385" t="n"/>
      <c r="M226" s="385" t="n"/>
      <c r="N226" s="385" t="n"/>
      <c r="O226" s="385" t="n"/>
      <c r="P226" s="385" t="n"/>
      <c r="Q226" s="385" t="n"/>
      <c r="R226" s="385" t="n"/>
      <c r="S226" s="385" t="n"/>
      <c r="T226" s="385" t="n"/>
      <c r="U226" s="385" t="n"/>
      <c r="V226" s="385" t="n"/>
    </row>
    <row r="227" ht="15.75" customHeight="1" s="397">
      <c r="A227" s="385" t="n"/>
      <c r="B227" s="385" t="n"/>
      <c r="C227" s="385" t="n"/>
      <c r="D227" s="385" t="n"/>
      <c r="E227" s="385" t="n"/>
      <c r="F227" s="385" t="n"/>
      <c r="G227" s="386" t="n"/>
      <c r="H227" s="385" t="n"/>
      <c r="I227" s="385" t="n"/>
      <c r="J227" s="385" t="n"/>
      <c r="K227" s="385" t="n"/>
      <c r="L227" s="385" t="n"/>
      <c r="M227" s="385" t="n"/>
      <c r="N227" s="385" t="n"/>
      <c r="O227" s="385" t="n"/>
      <c r="P227" s="385" t="n"/>
      <c r="Q227" s="385" t="n"/>
      <c r="R227" s="385" t="n"/>
      <c r="S227" s="385" t="n"/>
      <c r="T227" s="385" t="n"/>
      <c r="U227" s="385" t="n"/>
      <c r="V227" s="385" t="n"/>
    </row>
    <row r="228" ht="15.75" customHeight="1" s="397">
      <c r="A228" s="385" t="n"/>
      <c r="B228" s="385" t="n"/>
      <c r="C228" s="385" t="n"/>
      <c r="D228" s="385" t="n"/>
      <c r="E228" s="385" t="n"/>
      <c r="F228" s="385" t="n"/>
      <c r="G228" s="386" t="n"/>
      <c r="H228" s="385" t="n"/>
      <c r="I228" s="385" t="n"/>
      <c r="J228" s="385" t="n"/>
      <c r="K228" s="385" t="n"/>
      <c r="L228" s="385" t="n"/>
      <c r="M228" s="385" t="n"/>
      <c r="N228" s="385" t="n"/>
      <c r="O228" s="385" t="n"/>
      <c r="P228" s="385" t="n"/>
      <c r="Q228" s="385" t="n"/>
      <c r="R228" s="385" t="n"/>
      <c r="S228" s="385" t="n"/>
      <c r="T228" s="385" t="n"/>
      <c r="U228" s="385" t="n"/>
      <c r="V228" s="385" t="n"/>
    </row>
    <row r="229" ht="15.75" customHeight="1" s="397">
      <c r="A229" s="385" t="n"/>
      <c r="B229" s="385" t="n"/>
      <c r="C229" s="385" t="n"/>
      <c r="D229" s="385" t="n"/>
      <c r="E229" s="385" t="n"/>
      <c r="F229" s="385" t="n"/>
      <c r="G229" s="386" t="n"/>
      <c r="H229" s="385" t="n"/>
      <c r="I229" s="385" t="n"/>
      <c r="J229" s="385" t="n"/>
      <c r="K229" s="385" t="n"/>
      <c r="L229" s="385" t="n"/>
      <c r="M229" s="385" t="n"/>
      <c r="N229" s="385" t="n"/>
      <c r="O229" s="385" t="n"/>
      <c r="P229" s="385" t="n"/>
      <c r="Q229" s="385" t="n"/>
      <c r="R229" s="385" t="n"/>
      <c r="S229" s="385" t="n"/>
      <c r="T229" s="385" t="n"/>
      <c r="U229" s="385" t="n"/>
      <c r="V229" s="385" t="n"/>
    </row>
    <row r="230" ht="15.75" customHeight="1" s="397">
      <c r="A230" s="385" t="n"/>
      <c r="B230" s="385" t="n"/>
      <c r="C230" s="385" t="n"/>
      <c r="D230" s="385" t="n"/>
      <c r="E230" s="385" t="n"/>
      <c r="F230" s="385" t="n"/>
      <c r="G230" s="386" t="n"/>
      <c r="H230" s="385" t="n"/>
      <c r="I230" s="385" t="n"/>
      <c r="J230" s="385" t="n"/>
      <c r="K230" s="385" t="n"/>
      <c r="L230" s="385" t="n"/>
      <c r="M230" s="385" t="n"/>
      <c r="N230" s="385" t="n"/>
      <c r="O230" s="385" t="n"/>
      <c r="P230" s="385" t="n"/>
      <c r="Q230" s="385" t="n"/>
      <c r="R230" s="385" t="n"/>
      <c r="S230" s="385" t="n"/>
      <c r="T230" s="385" t="n"/>
      <c r="U230" s="385" t="n"/>
      <c r="V230" s="385" t="n"/>
    </row>
    <row r="231" ht="15.75" customHeight="1" s="397">
      <c r="A231" s="385" t="n"/>
      <c r="B231" s="385" t="n"/>
      <c r="C231" s="385" t="n"/>
      <c r="D231" s="385" t="n"/>
      <c r="E231" s="385" t="n"/>
      <c r="F231" s="385" t="n"/>
      <c r="G231" s="386" t="n"/>
      <c r="H231" s="385" t="n"/>
      <c r="I231" s="385" t="n"/>
      <c r="J231" s="385" t="n"/>
      <c r="K231" s="385" t="n"/>
      <c r="L231" s="385" t="n"/>
      <c r="M231" s="385" t="n"/>
      <c r="N231" s="385" t="n"/>
      <c r="O231" s="385" t="n"/>
      <c r="P231" s="385" t="n"/>
      <c r="Q231" s="385" t="n"/>
      <c r="R231" s="385" t="n"/>
      <c r="S231" s="385" t="n"/>
      <c r="T231" s="385" t="n"/>
      <c r="U231" s="385" t="n"/>
      <c r="V231" s="385" t="n"/>
    </row>
    <row r="232" ht="15.75" customHeight="1" s="397">
      <c r="A232" s="385" t="n"/>
      <c r="B232" s="385" t="n"/>
      <c r="C232" s="385" t="n"/>
      <c r="D232" s="385" t="n"/>
      <c r="E232" s="385" t="n"/>
      <c r="F232" s="385" t="n"/>
      <c r="G232" s="386" t="n"/>
      <c r="H232" s="385" t="n"/>
      <c r="I232" s="385" t="n"/>
      <c r="J232" s="385" t="n"/>
      <c r="K232" s="385" t="n"/>
      <c r="L232" s="385" t="n"/>
      <c r="M232" s="385" t="n"/>
      <c r="N232" s="385" t="n"/>
      <c r="O232" s="385" t="n"/>
      <c r="P232" s="385" t="n"/>
      <c r="Q232" s="385" t="n"/>
      <c r="R232" s="385" t="n"/>
      <c r="S232" s="385" t="n"/>
      <c r="T232" s="385" t="n"/>
      <c r="U232" s="385" t="n"/>
      <c r="V232" s="385" t="n"/>
    </row>
    <row r="233" ht="15.75" customHeight="1" s="397">
      <c r="A233" s="385" t="n"/>
      <c r="B233" s="385" t="n"/>
      <c r="C233" s="385" t="n"/>
      <c r="D233" s="385" t="n"/>
      <c r="E233" s="385" t="n"/>
      <c r="F233" s="385" t="n"/>
      <c r="G233" s="386" t="n"/>
      <c r="H233" s="385" t="n"/>
      <c r="I233" s="385" t="n"/>
      <c r="J233" s="385" t="n"/>
      <c r="K233" s="385" t="n"/>
      <c r="L233" s="385" t="n"/>
      <c r="M233" s="385" t="n"/>
      <c r="N233" s="385" t="n"/>
      <c r="O233" s="385" t="n"/>
      <c r="P233" s="385" t="n"/>
      <c r="Q233" s="385" t="n"/>
      <c r="R233" s="385" t="n"/>
      <c r="S233" s="385" t="n"/>
      <c r="T233" s="385" t="n"/>
      <c r="U233" s="385" t="n"/>
      <c r="V233" s="385" t="n"/>
    </row>
    <row r="234" ht="15.75" customHeight="1" s="397">
      <c r="A234" s="385" t="n"/>
      <c r="B234" s="385" t="n"/>
      <c r="C234" s="385" t="n"/>
      <c r="D234" s="385" t="n"/>
      <c r="E234" s="385" t="n"/>
      <c r="F234" s="385" t="n"/>
      <c r="G234" s="386" t="n"/>
      <c r="H234" s="385" t="n"/>
      <c r="I234" s="385" t="n"/>
      <c r="J234" s="385" t="n"/>
      <c r="K234" s="385" t="n"/>
      <c r="L234" s="385" t="n"/>
      <c r="M234" s="385" t="n"/>
      <c r="N234" s="385" t="n"/>
      <c r="O234" s="385" t="n"/>
      <c r="P234" s="385" t="n"/>
      <c r="Q234" s="385" t="n"/>
      <c r="R234" s="385" t="n"/>
      <c r="S234" s="385" t="n"/>
      <c r="T234" s="385" t="n"/>
      <c r="U234" s="385" t="n"/>
      <c r="V234" s="385" t="n"/>
    </row>
    <row r="235" ht="15.75" customHeight="1" s="397">
      <c r="A235" s="385" t="n"/>
      <c r="B235" s="385" t="n"/>
      <c r="C235" s="385" t="n"/>
      <c r="D235" s="385" t="n"/>
      <c r="E235" s="385" t="n"/>
      <c r="F235" s="385" t="n"/>
      <c r="G235" s="386" t="n"/>
      <c r="H235" s="385" t="n"/>
      <c r="I235" s="385" t="n"/>
      <c r="J235" s="385" t="n"/>
      <c r="K235" s="385" t="n"/>
      <c r="L235" s="385" t="n"/>
      <c r="M235" s="385" t="n"/>
      <c r="N235" s="385" t="n"/>
      <c r="O235" s="385" t="n"/>
      <c r="P235" s="385" t="n"/>
      <c r="Q235" s="385" t="n"/>
      <c r="R235" s="385" t="n"/>
      <c r="S235" s="385" t="n"/>
      <c r="T235" s="385" t="n"/>
      <c r="U235" s="385" t="n"/>
      <c r="V235" s="385" t="n"/>
    </row>
    <row r="236" ht="15.75" customHeight="1" s="397">
      <c r="A236" s="385" t="n"/>
      <c r="B236" s="385" t="n"/>
      <c r="C236" s="385" t="n"/>
      <c r="D236" s="385" t="n"/>
      <c r="E236" s="385" t="n"/>
      <c r="F236" s="385" t="n"/>
      <c r="G236" s="386" t="n"/>
      <c r="H236" s="385" t="n"/>
      <c r="I236" s="385" t="n"/>
      <c r="J236" s="385" t="n"/>
      <c r="K236" s="385" t="n"/>
      <c r="L236" s="385" t="n"/>
      <c r="M236" s="385" t="n"/>
      <c r="N236" s="385" t="n"/>
      <c r="O236" s="385" t="n"/>
      <c r="P236" s="385" t="n"/>
      <c r="Q236" s="385" t="n"/>
      <c r="R236" s="385" t="n"/>
      <c r="S236" s="385" t="n"/>
      <c r="T236" s="385" t="n"/>
      <c r="U236" s="385" t="n"/>
      <c r="V236" s="385" t="n"/>
    </row>
    <row r="237" ht="15.75" customHeight="1" s="397">
      <c r="A237" s="385" t="n"/>
      <c r="B237" s="385" t="n"/>
      <c r="C237" s="385" t="n"/>
      <c r="D237" s="385" t="n"/>
      <c r="E237" s="385" t="n"/>
      <c r="F237" s="385" t="n"/>
      <c r="G237" s="386" t="n"/>
      <c r="H237" s="385" t="n"/>
      <c r="I237" s="385" t="n"/>
      <c r="J237" s="385" t="n"/>
      <c r="K237" s="385" t="n"/>
      <c r="L237" s="385" t="n"/>
      <c r="M237" s="385" t="n"/>
      <c r="N237" s="385" t="n"/>
      <c r="O237" s="385" t="n"/>
      <c r="P237" s="385" t="n"/>
      <c r="Q237" s="385" t="n"/>
      <c r="R237" s="385" t="n"/>
      <c r="S237" s="385" t="n"/>
      <c r="T237" s="385" t="n"/>
      <c r="U237" s="385" t="n"/>
      <c r="V237" s="385" t="n"/>
    </row>
    <row r="238" ht="15.75" customHeight="1" s="397">
      <c r="A238" s="385" t="n"/>
      <c r="B238" s="385" t="n"/>
      <c r="C238" s="385" t="n"/>
      <c r="D238" s="385" t="n"/>
      <c r="E238" s="385" t="n"/>
      <c r="F238" s="385" t="n"/>
      <c r="G238" s="386" t="n"/>
      <c r="H238" s="385" t="n"/>
      <c r="I238" s="385" t="n"/>
      <c r="J238" s="385" t="n"/>
      <c r="K238" s="385" t="n"/>
      <c r="L238" s="385" t="n"/>
      <c r="M238" s="385" t="n"/>
      <c r="N238" s="385" t="n"/>
      <c r="O238" s="385" t="n"/>
      <c r="P238" s="385" t="n"/>
      <c r="Q238" s="385" t="n"/>
      <c r="R238" s="385" t="n"/>
      <c r="S238" s="385" t="n"/>
      <c r="T238" s="385" t="n"/>
      <c r="U238" s="385" t="n"/>
      <c r="V238" s="385" t="n"/>
    </row>
    <row r="239" ht="15.75" customHeight="1" s="397">
      <c r="A239" s="385" t="n"/>
      <c r="B239" s="385" t="n"/>
      <c r="C239" s="385" t="n"/>
      <c r="D239" s="385" t="n"/>
      <c r="E239" s="385" t="n"/>
      <c r="F239" s="385" t="n"/>
      <c r="G239" s="386" t="n"/>
      <c r="H239" s="385" t="n"/>
      <c r="I239" s="385" t="n"/>
      <c r="J239" s="385" t="n"/>
      <c r="K239" s="385" t="n"/>
      <c r="L239" s="385" t="n"/>
      <c r="M239" s="385" t="n"/>
      <c r="N239" s="385" t="n"/>
      <c r="O239" s="385" t="n"/>
      <c r="P239" s="385" t="n"/>
      <c r="Q239" s="385" t="n"/>
      <c r="R239" s="385" t="n"/>
      <c r="S239" s="385" t="n"/>
      <c r="T239" s="385" t="n"/>
      <c r="U239" s="385" t="n"/>
      <c r="V239" s="385" t="n"/>
    </row>
    <row r="240" ht="15.75" customHeight="1" s="397">
      <c r="A240" s="385" t="n"/>
      <c r="B240" s="385" t="n"/>
      <c r="C240" s="385" t="n"/>
      <c r="D240" s="385" t="n"/>
      <c r="E240" s="385" t="n"/>
      <c r="F240" s="385" t="n"/>
      <c r="G240" s="386" t="n"/>
      <c r="H240" s="385" t="n"/>
      <c r="I240" s="385" t="n"/>
      <c r="J240" s="385" t="n"/>
      <c r="K240" s="385" t="n"/>
      <c r="L240" s="385" t="n"/>
      <c r="M240" s="385" t="n"/>
      <c r="N240" s="385" t="n"/>
      <c r="O240" s="385" t="n"/>
      <c r="P240" s="385" t="n"/>
      <c r="Q240" s="385" t="n"/>
      <c r="R240" s="385" t="n"/>
      <c r="S240" s="385" t="n"/>
      <c r="T240" s="385" t="n"/>
      <c r="U240" s="385" t="n"/>
      <c r="V240" s="385" t="n"/>
    </row>
    <row r="241" ht="15.75" customHeight="1" s="397">
      <c r="A241" s="385" t="n"/>
      <c r="B241" s="385" t="n"/>
      <c r="C241" s="385" t="n"/>
      <c r="D241" s="385" t="n"/>
      <c r="E241" s="385" t="n"/>
      <c r="F241" s="385" t="n"/>
      <c r="G241" s="386" t="n"/>
      <c r="H241" s="385" t="n"/>
      <c r="I241" s="385" t="n"/>
      <c r="J241" s="385" t="n"/>
      <c r="K241" s="385" t="n"/>
      <c r="L241" s="385" t="n"/>
      <c r="M241" s="385" t="n"/>
      <c r="N241" s="385" t="n"/>
      <c r="O241" s="385" t="n"/>
      <c r="P241" s="385" t="n"/>
      <c r="Q241" s="385" t="n"/>
      <c r="R241" s="385" t="n"/>
      <c r="S241" s="385" t="n"/>
      <c r="T241" s="385" t="n"/>
      <c r="U241" s="385" t="n"/>
      <c r="V241" s="385" t="n"/>
    </row>
    <row r="242" ht="15.75" customHeight="1" s="397">
      <c r="A242" s="385" t="n"/>
      <c r="B242" s="385" t="n"/>
      <c r="C242" s="385" t="n"/>
      <c r="D242" s="385" t="n"/>
      <c r="E242" s="385" t="n"/>
      <c r="F242" s="385" t="n"/>
      <c r="G242" s="386" t="n"/>
      <c r="H242" s="385" t="n"/>
      <c r="I242" s="385" t="n"/>
      <c r="J242" s="385" t="n"/>
      <c r="K242" s="385" t="n"/>
      <c r="L242" s="385" t="n"/>
      <c r="M242" s="385" t="n"/>
      <c r="N242" s="385" t="n"/>
      <c r="O242" s="385" t="n"/>
      <c r="P242" s="385" t="n"/>
      <c r="Q242" s="385" t="n"/>
      <c r="R242" s="385" t="n"/>
      <c r="S242" s="385" t="n"/>
      <c r="T242" s="385" t="n"/>
      <c r="U242" s="385" t="n"/>
      <c r="V242" s="385" t="n"/>
    </row>
    <row r="243" ht="15.75" customHeight="1" s="397">
      <c r="A243" s="385" t="n"/>
      <c r="B243" s="385" t="n"/>
      <c r="C243" s="385" t="n"/>
      <c r="D243" s="385" t="n"/>
      <c r="E243" s="385" t="n"/>
      <c r="F243" s="385" t="n"/>
      <c r="G243" s="386" t="n"/>
      <c r="H243" s="385" t="n"/>
      <c r="I243" s="385" t="n"/>
      <c r="J243" s="385" t="n"/>
      <c r="K243" s="385" t="n"/>
      <c r="L243" s="385" t="n"/>
      <c r="M243" s="385" t="n"/>
      <c r="N243" s="385" t="n"/>
      <c r="O243" s="385" t="n"/>
      <c r="P243" s="385" t="n"/>
      <c r="Q243" s="385" t="n"/>
      <c r="R243" s="385" t="n"/>
      <c r="S243" s="385" t="n"/>
      <c r="T243" s="385" t="n"/>
      <c r="U243" s="385" t="n"/>
      <c r="V243" s="385" t="n"/>
    </row>
    <row r="244" ht="15.75" customHeight="1" s="397">
      <c r="A244" s="385" t="n"/>
      <c r="B244" s="385" t="n"/>
      <c r="C244" s="385" t="n"/>
      <c r="D244" s="385" t="n"/>
      <c r="E244" s="385" t="n"/>
      <c r="F244" s="385" t="n"/>
      <c r="G244" s="386" t="n"/>
      <c r="H244" s="385" t="n"/>
      <c r="I244" s="385" t="n"/>
      <c r="J244" s="385" t="n"/>
      <c r="K244" s="385" t="n"/>
      <c r="L244" s="385" t="n"/>
      <c r="M244" s="385" t="n"/>
      <c r="N244" s="385" t="n"/>
      <c r="O244" s="385" t="n"/>
      <c r="P244" s="385" t="n"/>
      <c r="Q244" s="385" t="n"/>
      <c r="R244" s="385" t="n"/>
      <c r="S244" s="385" t="n"/>
      <c r="T244" s="385" t="n"/>
      <c r="U244" s="385" t="n"/>
      <c r="V244" s="385" t="n"/>
    </row>
    <row r="245" ht="15.75" customHeight="1" s="397">
      <c r="A245" s="385" t="n"/>
      <c r="B245" s="385" t="n"/>
      <c r="C245" s="385" t="n"/>
      <c r="D245" s="385" t="n"/>
      <c r="E245" s="385" t="n"/>
      <c r="F245" s="385" t="n"/>
      <c r="G245" s="386" t="n"/>
      <c r="H245" s="385" t="n"/>
      <c r="I245" s="385" t="n"/>
      <c r="J245" s="385" t="n"/>
      <c r="K245" s="385" t="n"/>
      <c r="L245" s="385" t="n"/>
      <c r="M245" s="385" t="n"/>
      <c r="N245" s="385" t="n"/>
      <c r="O245" s="385" t="n"/>
      <c r="P245" s="385" t="n"/>
      <c r="Q245" s="385" t="n"/>
      <c r="R245" s="385" t="n"/>
      <c r="S245" s="385" t="n"/>
      <c r="T245" s="385" t="n"/>
      <c r="U245" s="385" t="n"/>
      <c r="V245" s="385" t="n"/>
    </row>
    <row r="246" ht="15.75" customHeight="1" s="397">
      <c r="A246" s="385" t="n"/>
      <c r="B246" s="385" t="n"/>
      <c r="C246" s="385" t="n"/>
      <c r="D246" s="385" t="n"/>
      <c r="E246" s="385" t="n"/>
      <c r="F246" s="385" t="n"/>
      <c r="G246" s="386" t="n"/>
      <c r="H246" s="385" t="n"/>
      <c r="I246" s="385" t="n"/>
      <c r="J246" s="385" t="n"/>
      <c r="K246" s="385" t="n"/>
      <c r="L246" s="385" t="n"/>
      <c r="M246" s="385" t="n"/>
      <c r="N246" s="385" t="n"/>
      <c r="O246" s="385" t="n"/>
      <c r="P246" s="385" t="n"/>
      <c r="Q246" s="385" t="n"/>
      <c r="R246" s="385" t="n"/>
      <c r="S246" s="385" t="n"/>
      <c r="T246" s="385" t="n"/>
      <c r="U246" s="385" t="n"/>
      <c r="V246" s="385" t="n"/>
    </row>
    <row r="247" ht="15.75" customHeight="1" s="397">
      <c r="A247" s="385" t="n"/>
      <c r="B247" s="385" t="n"/>
      <c r="C247" s="385" t="n"/>
      <c r="D247" s="385" t="n"/>
      <c r="E247" s="385" t="n"/>
      <c r="F247" s="385" t="n"/>
      <c r="G247" s="386" t="n"/>
      <c r="H247" s="385" t="n"/>
      <c r="I247" s="385" t="n"/>
      <c r="J247" s="385" t="n"/>
      <c r="K247" s="385" t="n"/>
      <c r="L247" s="385" t="n"/>
      <c r="M247" s="385" t="n"/>
      <c r="N247" s="385" t="n"/>
      <c r="O247" s="385" t="n"/>
      <c r="P247" s="385" t="n"/>
      <c r="Q247" s="385" t="n"/>
      <c r="R247" s="385" t="n"/>
      <c r="S247" s="385" t="n"/>
      <c r="T247" s="385" t="n"/>
      <c r="U247" s="385" t="n"/>
      <c r="V247" s="385" t="n"/>
    </row>
    <row r="248" ht="15.75" customHeight="1" s="397">
      <c r="A248" s="385" t="n"/>
      <c r="B248" s="385" t="n"/>
      <c r="C248" s="385" t="n"/>
      <c r="D248" s="385" t="n"/>
      <c r="E248" s="385" t="n"/>
      <c r="F248" s="385" t="n"/>
      <c r="G248" s="386" t="n"/>
      <c r="H248" s="385" t="n"/>
      <c r="I248" s="385" t="n"/>
      <c r="J248" s="385" t="n"/>
      <c r="K248" s="385" t="n"/>
      <c r="L248" s="385" t="n"/>
      <c r="M248" s="385" t="n"/>
      <c r="N248" s="385" t="n"/>
      <c r="O248" s="385" t="n"/>
      <c r="P248" s="385" t="n"/>
      <c r="Q248" s="385" t="n"/>
      <c r="R248" s="385" t="n"/>
      <c r="S248" s="385" t="n"/>
      <c r="T248" s="385" t="n"/>
      <c r="U248" s="385" t="n"/>
      <c r="V248" s="385" t="n"/>
    </row>
    <row r="249" ht="15.75" customHeight="1" s="397">
      <c r="A249" s="385" t="n"/>
      <c r="B249" s="385" t="n"/>
      <c r="C249" s="385" t="n"/>
      <c r="D249" s="385" t="n"/>
      <c r="E249" s="385" t="n"/>
      <c r="F249" s="385" t="n"/>
      <c r="G249" s="386" t="n"/>
      <c r="H249" s="385" t="n"/>
      <c r="I249" s="385" t="n"/>
      <c r="J249" s="385" t="n"/>
      <c r="K249" s="385" t="n"/>
      <c r="L249" s="385" t="n"/>
      <c r="M249" s="385" t="n"/>
      <c r="N249" s="385" t="n"/>
      <c r="O249" s="385" t="n"/>
      <c r="P249" s="385" t="n"/>
      <c r="Q249" s="385" t="n"/>
      <c r="R249" s="385" t="n"/>
      <c r="S249" s="385" t="n"/>
      <c r="T249" s="385" t="n"/>
      <c r="U249" s="385" t="n"/>
      <c r="V249" s="385" t="n"/>
    </row>
    <row r="250" ht="15.75" customHeight="1" s="397">
      <c r="A250" s="385" t="n"/>
      <c r="B250" s="385" t="n"/>
      <c r="C250" s="385" t="n"/>
      <c r="D250" s="385" t="n"/>
      <c r="E250" s="385" t="n"/>
      <c r="F250" s="385" t="n"/>
      <c r="G250" s="386" t="n"/>
      <c r="H250" s="385" t="n"/>
      <c r="I250" s="385" t="n"/>
      <c r="J250" s="385" t="n"/>
      <c r="K250" s="385" t="n"/>
      <c r="L250" s="385" t="n"/>
      <c r="M250" s="385" t="n"/>
      <c r="N250" s="385" t="n"/>
      <c r="O250" s="385" t="n"/>
      <c r="P250" s="385" t="n"/>
      <c r="Q250" s="385" t="n"/>
      <c r="R250" s="385" t="n"/>
      <c r="S250" s="385" t="n"/>
      <c r="T250" s="385" t="n"/>
      <c r="U250" s="385" t="n"/>
      <c r="V250" s="385" t="n"/>
    </row>
    <row r="251" ht="15.75" customHeight="1" s="397">
      <c r="A251" s="385" t="n"/>
      <c r="B251" s="385" t="n"/>
      <c r="C251" s="385" t="n"/>
      <c r="D251" s="385" t="n"/>
      <c r="E251" s="385" t="n"/>
      <c r="F251" s="385" t="n"/>
      <c r="G251" s="386" t="n"/>
      <c r="H251" s="385" t="n"/>
      <c r="I251" s="385" t="n"/>
      <c r="J251" s="385" t="n"/>
      <c r="K251" s="385" t="n"/>
      <c r="L251" s="385" t="n"/>
      <c r="M251" s="385" t="n"/>
      <c r="N251" s="385" t="n"/>
      <c r="O251" s="385" t="n"/>
      <c r="P251" s="385" t="n"/>
      <c r="Q251" s="385" t="n"/>
      <c r="R251" s="385" t="n"/>
      <c r="S251" s="385" t="n"/>
      <c r="T251" s="385" t="n"/>
      <c r="U251" s="385" t="n"/>
      <c r="V251" s="385" t="n"/>
    </row>
    <row r="252" ht="15.75" customHeight="1" s="397">
      <c r="A252" s="385" t="n"/>
      <c r="B252" s="385" t="n"/>
      <c r="C252" s="385" t="n"/>
      <c r="D252" s="385" t="n"/>
      <c r="E252" s="385" t="n"/>
      <c r="F252" s="385" t="n"/>
      <c r="G252" s="386" t="n"/>
      <c r="H252" s="385" t="n"/>
      <c r="I252" s="385" t="n"/>
      <c r="J252" s="385" t="n"/>
      <c r="K252" s="385" t="n"/>
      <c r="L252" s="385" t="n"/>
      <c r="M252" s="385" t="n"/>
      <c r="N252" s="385" t="n"/>
      <c r="O252" s="385" t="n"/>
      <c r="P252" s="385" t="n"/>
      <c r="Q252" s="385" t="n"/>
      <c r="R252" s="385" t="n"/>
      <c r="S252" s="385" t="n"/>
      <c r="T252" s="385" t="n"/>
      <c r="U252" s="385" t="n"/>
      <c r="V252" s="385" t="n"/>
    </row>
    <row r="253" ht="15.75" customHeight="1" s="397"/>
    <row r="254" ht="15.75" customHeight="1" s="397"/>
    <row r="255" ht="15.75" customHeight="1" s="397"/>
    <row r="256" ht="15.75" customHeight="1" s="397"/>
    <row r="257" ht="15.75" customHeight="1" s="397"/>
    <row r="258" ht="15.75" customHeight="1" s="397"/>
    <row r="259" ht="15.75" customHeight="1" s="397"/>
    <row r="260" ht="15.75" customHeight="1" s="397"/>
    <row r="261" ht="15.75" customHeight="1" s="397"/>
    <row r="262" ht="15.75" customHeight="1" s="397"/>
    <row r="263" ht="15.75" customHeight="1" s="397"/>
    <row r="264" ht="15.75" customHeight="1" s="397"/>
    <row r="265" ht="15.75" customHeight="1" s="397"/>
    <row r="266" ht="15.75" customHeight="1" s="397"/>
    <row r="267" ht="15.75" customHeight="1" s="397"/>
    <row r="268" ht="15.75" customHeight="1" s="397"/>
    <row r="269" ht="15.75" customHeight="1" s="397"/>
    <row r="270" ht="15.75" customHeight="1" s="397"/>
    <row r="271" ht="15.75" customHeight="1" s="397"/>
    <row r="272" ht="15.75" customHeight="1" s="397"/>
    <row r="273" ht="15.75" customHeight="1" s="397"/>
    <row r="274" ht="15.75" customHeight="1" s="397"/>
    <row r="275" ht="15.75" customHeight="1" s="397"/>
    <row r="276" ht="15.75" customHeight="1" s="397"/>
    <row r="277" ht="15.75" customHeight="1" s="397"/>
    <row r="278" ht="15.75" customHeight="1" s="397"/>
    <row r="279" ht="15.75" customHeight="1" s="397"/>
    <row r="280" ht="15.75" customHeight="1" s="397"/>
    <row r="281" ht="15.75" customHeight="1" s="397"/>
    <row r="282" ht="15.75" customHeight="1" s="397"/>
    <row r="283" ht="15.75" customHeight="1" s="397"/>
    <row r="284" ht="15.75" customHeight="1" s="397"/>
    <row r="285" ht="15.75" customHeight="1" s="397"/>
    <row r="286" ht="15.75" customHeight="1" s="397"/>
    <row r="287" ht="15.75" customHeight="1" s="397"/>
    <row r="288" ht="15.75" customHeight="1" s="397"/>
    <row r="289" ht="15.75" customHeight="1" s="397"/>
    <row r="290" ht="15.75" customHeight="1" s="397"/>
    <row r="291" ht="15.75" customHeight="1" s="397"/>
    <row r="292" ht="15.75" customHeight="1" s="397"/>
    <row r="293" ht="15.75" customHeight="1" s="397"/>
    <row r="294" ht="15.75" customHeight="1" s="397"/>
    <row r="295" ht="15.75" customHeight="1" s="397"/>
    <row r="296" ht="15.75" customHeight="1" s="397"/>
    <row r="297" ht="15.75" customHeight="1" s="397"/>
    <row r="298" ht="15.75" customHeight="1" s="397"/>
    <row r="299" ht="15.75" customHeight="1" s="397"/>
    <row r="300" ht="15.75" customHeight="1" s="397"/>
    <row r="301" ht="15.75" customHeight="1" s="397"/>
    <row r="302" ht="15.75" customHeight="1" s="397"/>
    <row r="303" ht="15.75" customHeight="1" s="397"/>
    <row r="304" ht="15.75" customHeight="1" s="397"/>
    <row r="305" ht="15.75" customHeight="1" s="397"/>
    <row r="306" ht="15.75" customHeight="1" s="397"/>
    <row r="307" ht="15.75" customHeight="1" s="397"/>
    <row r="308" ht="15.75" customHeight="1" s="397"/>
    <row r="309" ht="15.75" customHeight="1" s="397"/>
    <row r="310" ht="15.75" customHeight="1" s="397"/>
    <row r="311" ht="15.75" customHeight="1" s="397"/>
    <row r="312" ht="15.75" customHeight="1" s="397"/>
    <row r="313" ht="15.75" customHeight="1" s="397"/>
    <row r="314" ht="15.75" customHeight="1" s="397"/>
    <row r="315" ht="15.75" customHeight="1" s="397"/>
    <row r="316" ht="15.75" customHeight="1" s="397"/>
    <row r="317" ht="15.75" customHeight="1" s="397"/>
    <row r="318" ht="15.75" customHeight="1" s="397"/>
    <row r="319" ht="15.75" customHeight="1" s="397"/>
    <row r="320" ht="15.75" customHeight="1" s="397"/>
    <row r="321" ht="15.75" customHeight="1" s="397"/>
    <row r="322" ht="15.75" customHeight="1" s="397"/>
    <row r="323" ht="15.75" customHeight="1" s="397"/>
    <row r="324" ht="15.75" customHeight="1" s="397"/>
    <row r="325" ht="15.75" customHeight="1" s="397"/>
    <row r="326" ht="15.75" customHeight="1" s="397"/>
    <row r="327" ht="15.75" customHeight="1" s="397"/>
    <row r="328" ht="15.75" customHeight="1" s="397"/>
    <row r="329" ht="15.75" customHeight="1" s="397"/>
    <row r="330" ht="15.75" customHeight="1" s="397"/>
    <row r="331" ht="15.75" customHeight="1" s="397"/>
    <row r="332" ht="15.75" customHeight="1" s="397"/>
    <row r="333" ht="15.75" customHeight="1" s="397"/>
    <row r="334" ht="15.75" customHeight="1" s="397"/>
    <row r="335" ht="15.75" customHeight="1" s="397"/>
    <row r="336" ht="15.75" customHeight="1" s="397"/>
    <row r="337" ht="15.75" customHeight="1" s="397"/>
    <row r="338" ht="15.75" customHeight="1" s="397"/>
    <row r="339" ht="15.75" customHeight="1" s="397"/>
    <row r="340" ht="15.75" customHeight="1" s="397"/>
    <row r="341" ht="15.75" customHeight="1" s="397"/>
    <row r="342" ht="15.75" customHeight="1" s="397"/>
    <row r="343" ht="15.75" customHeight="1" s="397"/>
    <row r="344" ht="15.75" customHeight="1" s="397"/>
    <row r="345" ht="15.75" customHeight="1" s="397"/>
    <row r="346" ht="15.75" customHeight="1" s="397"/>
    <row r="347" ht="15.75" customHeight="1" s="397"/>
    <row r="348" ht="15.75" customHeight="1" s="397"/>
    <row r="349" ht="15.75" customHeight="1" s="397"/>
    <row r="350" ht="15.75" customHeight="1" s="397"/>
    <row r="351" ht="15.75" customHeight="1" s="397"/>
    <row r="352" ht="15.75" customHeight="1" s="397"/>
    <row r="353" ht="15.75" customHeight="1" s="397"/>
    <row r="354" ht="15.75" customHeight="1" s="397"/>
    <row r="355" ht="15.75" customHeight="1" s="397"/>
    <row r="356" ht="15.75" customHeight="1" s="397"/>
    <row r="357" ht="15.75" customHeight="1" s="397"/>
    <row r="358" ht="15.75" customHeight="1" s="397"/>
    <row r="359" ht="15.75" customHeight="1" s="397"/>
    <row r="360" ht="15.75" customHeight="1" s="397"/>
    <row r="361" ht="15.75" customHeight="1" s="397"/>
    <row r="362" ht="15.75" customHeight="1" s="397"/>
    <row r="363" ht="15.75" customHeight="1" s="397"/>
    <row r="364" ht="15.75" customHeight="1" s="397"/>
    <row r="365" ht="15.75" customHeight="1" s="397"/>
    <row r="366" ht="15.75" customHeight="1" s="397"/>
    <row r="367" ht="15.75" customHeight="1" s="397"/>
    <row r="368" ht="15.75" customHeight="1" s="397"/>
    <row r="369" ht="15.75" customHeight="1" s="397"/>
    <row r="370" ht="15.75" customHeight="1" s="397"/>
    <row r="371" ht="15.75" customHeight="1" s="397"/>
    <row r="372" ht="15.75" customHeight="1" s="397"/>
    <row r="373" ht="15.75" customHeight="1" s="397"/>
    <row r="374" ht="15.75" customHeight="1" s="397"/>
    <row r="375" ht="15.75" customHeight="1" s="397"/>
    <row r="376" ht="15.75" customHeight="1" s="397"/>
    <row r="377" ht="15.75" customHeight="1" s="397"/>
    <row r="378" ht="15.75" customHeight="1" s="397"/>
    <row r="379" ht="15.75" customHeight="1" s="397"/>
    <row r="380" ht="15.75" customHeight="1" s="397"/>
    <row r="381" ht="15.75" customHeight="1" s="397"/>
    <row r="382" ht="15.75" customHeight="1" s="397"/>
    <row r="383" ht="15.75" customHeight="1" s="397"/>
    <row r="384" ht="15.75" customHeight="1" s="397"/>
    <row r="385" ht="15.75" customHeight="1" s="397"/>
    <row r="386" ht="15.75" customHeight="1" s="397"/>
    <row r="387" ht="15.75" customHeight="1" s="397"/>
    <row r="388" ht="15.75" customHeight="1" s="397"/>
    <row r="389" ht="15.75" customHeight="1" s="397"/>
    <row r="390" ht="15.75" customHeight="1" s="397"/>
    <row r="391" ht="15.75" customHeight="1" s="397"/>
    <row r="392" ht="15.75" customHeight="1" s="397"/>
    <row r="393" ht="15.75" customHeight="1" s="397"/>
    <row r="394" ht="15.75" customHeight="1" s="397"/>
    <row r="395" ht="15.75" customHeight="1" s="397"/>
    <row r="396" ht="15.75" customHeight="1" s="397"/>
    <row r="397" ht="15.75" customHeight="1" s="397"/>
    <row r="398" ht="15.75" customHeight="1" s="397"/>
    <row r="399" ht="15.75" customHeight="1" s="397"/>
    <row r="400" ht="15.75" customHeight="1" s="397"/>
    <row r="401" ht="15.75" customHeight="1" s="397"/>
    <row r="402" ht="15.75" customHeight="1" s="397"/>
    <row r="403" ht="15.75" customHeight="1" s="397"/>
    <row r="404" ht="15.75" customHeight="1" s="397"/>
    <row r="405" ht="15.75" customHeight="1" s="397"/>
    <row r="406" ht="15.75" customHeight="1" s="397"/>
    <row r="407" ht="15.75" customHeight="1" s="397"/>
    <row r="408" ht="15.75" customHeight="1" s="397"/>
    <row r="409" ht="15.75" customHeight="1" s="397"/>
    <row r="410" ht="15.75" customHeight="1" s="397"/>
    <row r="411" ht="15.75" customHeight="1" s="397"/>
    <row r="412" ht="15.75" customHeight="1" s="397"/>
    <row r="413" ht="15.75" customHeight="1" s="397"/>
    <row r="414" ht="15.75" customHeight="1" s="397"/>
    <row r="415" ht="15.75" customHeight="1" s="397"/>
    <row r="416" ht="15.75" customHeight="1" s="397"/>
    <row r="417" ht="15.75" customHeight="1" s="397"/>
    <row r="418" ht="15.75" customHeight="1" s="397"/>
    <row r="419" ht="15.75" customHeight="1" s="397"/>
    <row r="420" ht="15.75" customHeight="1" s="397"/>
    <row r="421" ht="15.75" customHeight="1" s="397"/>
    <row r="422" ht="15.75" customHeight="1" s="397"/>
    <row r="423" ht="15.75" customHeight="1" s="397"/>
    <row r="424" ht="15.75" customHeight="1" s="397"/>
    <row r="425" ht="15.75" customHeight="1" s="397"/>
    <row r="426" ht="15.75" customHeight="1" s="397"/>
    <row r="427" ht="15.75" customHeight="1" s="397"/>
    <row r="428" ht="15.75" customHeight="1" s="397"/>
    <row r="429" ht="15.75" customHeight="1" s="397"/>
    <row r="430" ht="15.75" customHeight="1" s="397"/>
    <row r="431" ht="15.75" customHeight="1" s="397"/>
    <row r="432" ht="15.75" customHeight="1" s="397"/>
    <row r="433" ht="15.75" customHeight="1" s="397"/>
    <row r="434" ht="15.75" customHeight="1" s="397"/>
    <row r="435" ht="15.75" customHeight="1" s="397"/>
    <row r="436" ht="15.75" customHeight="1" s="397"/>
    <row r="437" ht="15.75" customHeight="1" s="397"/>
    <row r="438" ht="15.75" customHeight="1" s="397"/>
    <row r="439" ht="15.75" customHeight="1" s="397"/>
    <row r="440" ht="15.75" customHeight="1" s="397"/>
    <row r="441" ht="15.75" customHeight="1" s="397"/>
    <row r="442" ht="15.75" customHeight="1" s="397"/>
    <row r="443" ht="15.75" customHeight="1" s="397"/>
    <row r="444" ht="15.75" customHeight="1" s="397"/>
    <row r="445" ht="15.75" customHeight="1" s="397"/>
    <row r="446" ht="15.75" customHeight="1" s="397"/>
    <row r="447" ht="15.75" customHeight="1" s="397"/>
    <row r="448" ht="15.75" customHeight="1" s="397"/>
    <row r="449" ht="15.75" customHeight="1" s="397"/>
    <row r="450" ht="15.75" customHeight="1" s="397"/>
    <row r="451" ht="15.75" customHeight="1" s="397"/>
    <row r="452" ht="15.75" customHeight="1" s="397"/>
    <row r="453" ht="15.75" customHeight="1" s="397"/>
    <row r="454" ht="15.75" customHeight="1" s="397"/>
    <row r="455" ht="15.75" customHeight="1" s="397"/>
    <row r="456" ht="15.75" customHeight="1" s="397"/>
    <row r="457" ht="15.75" customHeight="1" s="397"/>
    <row r="458" ht="15.75" customHeight="1" s="397"/>
    <row r="459" ht="15.75" customHeight="1" s="397"/>
    <row r="460" ht="15.75" customHeight="1" s="397"/>
    <row r="461" ht="15.75" customHeight="1" s="397"/>
    <row r="462" ht="15.75" customHeight="1" s="397"/>
    <row r="463" ht="15.75" customHeight="1" s="397"/>
    <row r="464" ht="15.75" customHeight="1" s="397"/>
    <row r="465" ht="15.75" customHeight="1" s="397"/>
    <row r="466" ht="15.75" customHeight="1" s="397"/>
    <row r="467" ht="15.75" customHeight="1" s="397"/>
    <row r="468" ht="15.75" customHeight="1" s="397"/>
    <row r="469" ht="15.75" customHeight="1" s="397"/>
    <row r="470" ht="15.75" customHeight="1" s="397"/>
    <row r="471" ht="15.75" customHeight="1" s="397"/>
    <row r="472" ht="15.75" customHeight="1" s="397"/>
    <row r="473" ht="15.75" customHeight="1" s="397"/>
    <row r="474" ht="15.75" customHeight="1" s="397"/>
    <row r="475" ht="15.75" customHeight="1" s="397"/>
    <row r="476" ht="15.75" customHeight="1" s="397"/>
    <row r="477" ht="15.75" customHeight="1" s="397"/>
    <row r="478" ht="15.75" customHeight="1" s="397"/>
    <row r="479" ht="15.75" customHeight="1" s="397"/>
    <row r="480" ht="15.75" customHeight="1" s="397"/>
    <row r="481" ht="15.75" customHeight="1" s="397"/>
    <row r="482" ht="15.75" customHeight="1" s="397"/>
    <row r="483" ht="15.75" customHeight="1" s="397"/>
    <row r="484" ht="15.75" customHeight="1" s="397"/>
    <row r="485" ht="15.75" customHeight="1" s="397"/>
    <row r="486" ht="15.75" customHeight="1" s="397"/>
    <row r="487" ht="15.75" customHeight="1" s="397"/>
    <row r="488" ht="15.75" customHeight="1" s="397"/>
    <row r="489" ht="15.75" customHeight="1" s="397"/>
    <row r="490" ht="15.75" customHeight="1" s="397"/>
    <row r="491" ht="15.75" customHeight="1" s="397"/>
    <row r="492" ht="15.75" customHeight="1" s="397"/>
    <row r="493" ht="15.75" customHeight="1" s="397"/>
    <row r="494" ht="15.75" customHeight="1" s="397"/>
    <row r="495" ht="15.75" customHeight="1" s="397"/>
    <row r="496" ht="15.75" customHeight="1" s="397"/>
    <row r="497" ht="15.75" customHeight="1" s="397"/>
    <row r="498" ht="15.75" customHeight="1" s="397"/>
    <row r="499" ht="15.75" customHeight="1" s="397"/>
    <row r="500" ht="15.75" customHeight="1" s="397"/>
    <row r="501" ht="15.75" customHeight="1" s="397"/>
    <row r="502" ht="15.75" customHeight="1" s="397"/>
    <row r="503" ht="15.75" customHeight="1" s="397"/>
    <row r="504" ht="15.75" customHeight="1" s="397"/>
    <row r="505" ht="15.75" customHeight="1" s="397"/>
    <row r="506" ht="15.75" customHeight="1" s="397"/>
    <row r="507" ht="15.75" customHeight="1" s="397"/>
    <row r="508" ht="15.75" customHeight="1" s="397"/>
    <row r="509" ht="15.75" customHeight="1" s="397"/>
    <row r="510" ht="15.75" customHeight="1" s="397"/>
    <row r="511" ht="15.75" customHeight="1" s="397"/>
    <row r="512" ht="15.75" customHeight="1" s="397"/>
    <row r="513" ht="15.75" customHeight="1" s="397"/>
    <row r="514" ht="15.75" customHeight="1" s="397"/>
    <row r="515" ht="15.75" customHeight="1" s="397"/>
    <row r="516" ht="15.75" customHeight="1" s="397"/>
    <row r="517" ht="15.75" customHeight="1" s="397"/>
    <row r="518" ht="15.75" customHeight="1" s="397"/>
    <row r="519" ht="15.75" customHeight="1" s="397"/>
    <row r="520" ht="15.75" customHeight="1" s="397"/>
    <row r="521" ht="15.75" customHeight="1" s="397"/>
    <row r="522" ht="15.75" customHeight="1" s="397"/>
    <row r="523" ht="15.75" customHeight="1" s="397"/>
    <row r="524" ht="15.75" customHeight="1" s="397"/>
    <row r="525" ht="15.75" customHeight="1" s="397"/>
    <row r="526" ht="15.75" customHeight="1" s="397"/>
    <row r="527" ht="15.75" customHeight="1" s="397"/>
    <row r="528" ht="15.75" customHeight="1" s="397"/>
    <row r="529" ht="15.75" customHeight="1" s="397"/>
    <row r="530" ht="15.75" customHeight="1" s="397"/>
    <row r="531" ht="15.75" customHeight="1" s="397"/>
    <row r="532" ht="15.75" customHeight="1" s="397"/>
    <row r="533" ht="15.75" customHeight="1" s="397"/>
    <row r="534" ht="15.75" customHeight="1" s="397"/>
    <row r="535" ht="15.75" customHeight="1" s="397"/>
    <row r="536" ht="15.75" customHeight="1" s="397"/>
    <row r="537" ht="15.75" customHeight="1" s="397"/>
    <row r="538" ht="15.75" customHeight="1" s="397"/>
    <row r="539" ht="15.75" customHeight="1" s="397"/>
    <row r="540" ht="15.75" customHeight="1" s="397"/>
    <row r="541" ht="15.75" customHeight="1" s="397"/>
    <row r="542" ht="15.75" customHeight="1" s="397"/>
    <row r="543" ht="15.75" customHeight="1" s="397"/>
    <row r="544" ht="15.75" customHeight="1" s="397"/>
    <row r="545" ht="15.75" customHeight="1" s="397"/>
    <row r="546" ht="15.75" customHeight="1" s="397"/>
    <row r="547" ht="15.75" customHeight="1" s="397"/>
    <row r="548" ht="15.75" customHeight="1" s="397"/>
    <row r="549" ht="15.75" customHeight="1" s="397"/>
    <row r="550" ht="15.75" customHeight="1" s="397"/>
    <row r="551" ht="15.75" customHeight="1" s="397"/>
    <row r="552" ht="15.75" customHeight="1" s="397"/>
    <row r="553" ht="15.75" customHeight="1" s="397"/>
    <row r="554" ht="15.75" customHeight="1" s="397"/>
    <row r="555" ht="15.75" customHeight="1" s="397"/>
    <row r="556" ht="15.75" customHeight="1" s="397"/>
    <row r="557" ht="15.75" customHeight="1" s="397"/>
    <row r="558" ht="15.75" customHeight="1" s="397"/>
    <row r="559" ht="15.75" customHeight="1" s="397"/>
    <row r="560" ht="15.75" customHeight="1" s="397"/>
    <row r="561" ht="15.75" customHeight="1" s="397"/>
    <row r="562" ht="15.75" customHeight="1" s="397"/>
    <row r="563" ht="15.75" customHeight="1" s="397"/>
    <row r="564" ht="15.75" customHeight="1" s="397"/>
    <row r="565" ht="15.75" customHeight="1" s="397"/>
    <row r="566" ht="15.75" customHeight="1" s="397"/>
    <row r="567" ht="15.75" customHeight="1" s="397"/>
    <row r="568" ht="15.75" customHeight="1" s="397"/>
    <row r="569" ht="15.75" customHeight="1" s="397"/>
    <row r="570" ht="15.75" customHeight="1" s="397"/>
    <row r="571" ht="15.75" customHeight="1" s="397"/>
    <row r="572" ht="15.75" customHeight="1" s="397"/>
    <row r="573" ht="15.75" customHeight="1" s="397"/>
    <row r="574" ht="15.75" customHeight="1" s="397"/>
    <row r="575" ht="15.75" customHeight="1" s="397"/>
    <row r="576" ht="15.75" customHeight="1" s="397"/>
    <row r="577" ht="15.75" customHeight="1" s="397"/>
    <row r="578" ht="15.75" customHeight="1" s="397"/>
    <row r="579" ht="15.75" customHeight="1" s="397"/>
    <row r="580" ht="15.75" customHeight="1" s="397"/>
    <row r="581" ht="15.75" customHeight="1" s="397"/>
    <row r="582" ht="15.75" customHeight="1" s="397"/>
    <row r="583" ht="15.75" customHeight="1" s="397"/>
    <row r="584" ht="15.75" customHeight="1" s="397"/>
    <row r="585" ht="15.75" customHeight="1" s="397"/>
    <row r="586" ht="15.75" customHeight="1" s="397"/>
    <row r="587" ht="15.75" customHeight="1" s="397"/>
    <row r="588" ht="15.75" customHeight="1" s="397"/>
    <row r="589" ht="15.75" customHeight="1" s="397"/>
    <row r="590" ht="15.75" customHeight="1" s="397"/>
    <row r="591" ht="15.75" customHeight="1" s="397"/>
    <row r="592" ht="15.75" customHeight="1" s="397"/>
    <row r="593" ht="15.75" customHeight="1" s="397"/>
    <row r="594" ht="15.75" customHeight="1" s="397"/>
    <row r="595" ht="15.75" customHeight="1" s="397"/>
    <row r="596" ht="15.75" customHeight="1" s="397"/>
    <row r="597" ht="15.75" customHeight="1" s="397"/>
    <row r="598" ht="15.75" customHeight="1" s="397"/>
    <row r="599" ht="15.75" customHeight="1" s="397"/>
    <row r="600" ht="15.75" customHeight="1" s="397"/>
    <row r="601" ht="15.75" customHeight="1" s="397"/>
    <row r="602" ht="15.75" customHeight="1" s="397"/>
    <row r="603" ht="15.75" customHeight="1" s="397"/>
    <row r="604" ht="15.75" customHeight="1" s="397"/>
    <row r="605" ht="15.75" customHeight="1" s="397"/>
    <row r="606" ht="15.75" customHeight="1" s="397"/>
    <row r="607" ht="15.75" customHeight="1" s="397"/>
    <row r="608" ht="15.75" customHeight="1" s="397"/>
    <row r="609" ht="15.75" customHeight="1" s="397"/>
    <row r="610" ht="15.75" customHeight="1" s="397"/>
    <row r="611" ht="15.75" customHeight="1" s="397"/>
    <row r="612" ht="15.75" customHeight="1" s="397"/>
    <row r="613" ht="15.75" customHeight="1" s="397"/>
    <row r="614" ht="15.75" customHeight="1" s="397"/>
    <row r="615" ht="15.75" customHeight="1" s="397"/>
    <row r="616" ht="15.75" customHeight="1" s="397"/>
    <row r="617" ht="15.75" customHeight="1" s="397"/>
    <row r="618" ht="15.75" customHeight="1" s="397"/>
    <row r="619" ht="15.75" customHeight="1" s="397"/>
    <row r="620" ht="15.75" customHeight="1" s="397"/>
    <row r="621" ht="15.75" customHeight="1" s="397"/>
    <row r="622" ht="15.75" customHeight="1" s="397"/>
    <row r="623" ht="15.75" customHeight="1" s="397"/>
    <row r="624" ht="15.75" customHeight="1" s="397"/>
    <row r="625" ht="15.75" customHeight="1" s="397"/>
    <row r="626" ht="15.75" customHeight="1" s="397"/>
    <row r="627" ht="15.75" customHeight="1" s="397"/>
    <row r="628" ht="15.75" customHeight="1" s="397"/>
    <row r="629" ht="15.75" customHeight="1" s="397"/>
    <row r="630" ht="15.75" customHeight="1" s="397"/>
    <row r="631" ht="15.75" customHeight="1" s="397"/>
    <row r="632" ht="15.75" customHeight="1" s="397"/>
    <row r="633" ht="15.75" customHeight="1" s="397"/>
    <row r="634" ht="15.75" customHeight="1" s="397"/>
    <row r="635" ht="15.75" customHeight="1" s="397"/>
    <row r="636" ht="15.75" customHeight="1" s="397"/>
    <row r="637" ht="15.75" customHeight="1" s="397"/>
    <row r="638" ht="15.75" customHeight="1" s="397"/>
    <row r="639" ht="15.75" customHeight="1" s="397"/>
    <row r="640" ht="15.75" customHeight="1" s="397"/>
    <row r="641" ht="15.75" customHeight="1" s="397"/>
    <row r="642" ht="15.75" customHeight="1" s="397"/>
    <row r="643" ht="15.75" customHeight="1" s="397"/>
    <row r="644" ht="15.75" customHeight="1" s="397"/>
    <row r="645" ht="15.75" customHeight="1" s="397"/>
    <row r="646" ht="15.75" customHeight="1" s="397"/>
    <row r="647" ht="15.75" customHeight="1" s="397"/>
    <row r="648" ht="15.75" customHeight="1" s="397"/>
    <row r="649" ht="15.75" customHeight="1" s="397"/>
    <row r="650" ht="15.75" customHeight="1" s="397"/>
    <row r="651" ht="15.75" customHeight="1" s="397"/>
    <row r="652" ht="15.75" customHeight="1" s="397"/>
    <row r="653" ht="15.75" customHeight="1" s="397"/>
    <row r="654" ht="15.75" customHeight="1" s="397"/>
    <row r="655" ht="15.75" customHeight="1" s="397"/>
    <row r="656" ht="15.75" customHeight="1" s="397"/>
    <row r="657" ht="15.75" customHeight="1" s="397"/>
    <row r="658" ht="15.75" customHeight="1" s="397"/>
    <row r="659" ht="15.75" customHeight="1" s="397"/>
    <row r="660" ht="15.75" customHeight="1" s="397"/>
    <row r="661" ht="15.75" customHeight="1" s="397"/>
    <row r="662" ht="15.75" customHeight="1" s="397"/>
    <row r="663" ht="15.75" customHeight="1" s="397"/>
    <row r="664" ht="15.75" customHeight="1" s="397"/>
    <row r="665" ht="15.75" customHeight="1" s="397"/>
    <row r="666" ht="15.75" customHeight="1" s="397"/>
    <row r="667" ht="15.75" customHeight="1" s="397"/>
    <row r="668" ht="15.75" customHeight="1" s="397"/>
    <row r="669" ht="15.75" customHeight="1" s="397"/>
    <row r="670" ht="15.75" customHeight="1" s="397"/>
    <row r="671" ht="15.75" customHeight="1" s="397"/>
    <row r="672" ht="15.75" customHeight="1" s="397"/>
    <row r="673" ht="15.75" customHeight="1" s="397"/>
    <row r="674" ht="15.75" customHeight="1" s="397"/>
    <row r="675" ht="15.75" customHeight="1" s="397"/>
    <row r="676" ht="15.75" customHeight="1" s="397"/>
    <row r="677" ht="15.75" customHeight="1" s="397"/>
    <row r="678" ht="15.75" customHeight="1" s="397"/>
    <row r="679" ht="15.75" customHeight="1" s="397"/>
    <row r="680" ht="15.75" customHeight="1" s="397"/>
    <row r="681" ht="15.75" customHeight="1" s="397"/>
    <row r="682" ht="15.75" customHeight="1" s="397"/>
    <row r="683" ht="15.75" customHeight="1" s="397"/>
    <row r="684" ht="15.75" customHeight="1" s="397"/>
    <row r="685" ht="15.75" customHeight="1" s="397"/>
    <row r="686" ht="15.75" customHeight="1" s="397"/>
    <row r="687" ht="15.75" customHeight="1" s="397"/>
    <row r="688" ht="15.75" customHeight="1" s="397"/>
    <row r="689" ht="15.75" customHeight="1" s="397"/>
    <row r="690" ht="15.75" customHeight="1" s="397"/>
    <row r="691" ht="15.75" customHeight="1" s="397"/>
    <row r="692" ht="15.75" customHeight="1" s="397"/>
    <row r="693" ht="15.75" customHeight="1" s="397"/>
    <row r="694" ht="15.75" customHeight="1" s="397"/>
    <row r="695" ht="15.75" customHeight="1" s="397"/>
    <row r="696" ht="15.75" customHeight="1" s="397"/>
    <row r="697" ht="15.75" customHeight="1" s="397"/>
    <row r="698" ht="15.75" customHeight="1" s="397"/>
    <row r="699" ht="15.75" customHeight="1" s="397"/>
    <row r="700" ht="15.75" customHeight="1" s="397"/>
    <row r="701" ht="15.75" customHeight="1" s="397"/>
    <row r="702" ht="15.75" customHeight="1" s="397"/>
    <row r="703" ht="15.75" customHeight="1" s="397"/>
    <row r="704" ht="15.75" customHeight="1" s="397"/>
    <row r="705" ht="15.75" customHeight="1" s="397"/>
    <row r="706" ht="15.75" customHeight="1" s="397"/>
    <row r="707" ht="15.75" customHeight="1" s="397"/>
    <row r="708" ht="15.75" customHeight="1" s="397"/>
    <row r="709" ht="15.75" customHeight="1" s="397"/>
    <row r="710" ht="15.75" customHeight="1" s="397"/>
    <row r="711" ht="15.75" customHeight="1" s="397"/>
    <row r="712" ht="15.75" customHeight="1" s="397"/>
    <row r="713" ht="15.75" customHeight="1" s="397"/>
    <row r="714" ht="15.75" customHeight="1" s="397"/>
    <row r="715" ht="15.75" customHeight="1" s="397"/>
    <row r="716" ht="15.75" customHeight="1" s="397"/>
    <row r="717" ht="15.75" customHeight="1" s="397"/>
    <row r="718" ht="15.75" customHeight="1" s="397"/>
    <row r="719" ht="15.75" customHeight="1" s="397"/>
    <row r="720" ht="15.75" customHeight="1" s="397"/>
    <row r="721" ht="15.75" customHeight="1" s="397"/>
    <row r="722" ht="15.75" customHeight="1" s="397"/>
    <row r="723" ht="15.75" customHeight="1" s="397"/>
    <row r="724" ht="15.75" customHeight="1" s="397"/>
    <row r="725" ht="15.75" customHeight="1" s="397"/>
    <row r="726" ht="15.75" customHeight="1" s="397"/>
    <row r="727" ht="15.75" customHeight="1" s="397"/>
    <row r="728" ht="15.75" customHeight="1" s="397"/>
    <row r="729" ht="15.75" customHeight="1" s="397"/>
    <row r="730" ht="15.75" customHeight="1" s="397"/>
    <row r="731" ht="15.75" customHeight="1" s="397"/>
    <row r="732" ht="15.75" customHeight="1" s="397"/>
    <row r="733" ht="15.75" customHeight="1" s="397"/>
    <row r="734" ht="15.75" customHeight="1" s="397"/>
    <row r="735" ht="15.75" customHeight="1" s="397"/>
    <row r="736" ht="15.75" customHeight="1" s="397"/>
    <row r="737" ht="15.75" customHeight="1" s="397"/>
    <row r="738" ht="15.75" customHeight="1" s="397"/>
    <row r="739" ht="15.75" customHeight="1" s="397"/>
    <row r="740" ht="15.75" customHeight="1" s="397"/>
    <row r="741" ht="15.75" customHeight="1" s="397"/>
    <row r="742" ht="15.75" customHeight="1" s="397"/>
    <row r="743" ht="15.75" customHeight="1" s="397"/>
    <row r="744" ht="15.75" customHeight="1" s="397"/>
    <row r="745" ht="15.75" customHeight="1" s="397"/>
    <row r="746" ht="15.75" customHeight="1" s="397"/>
    <row r="747" ht="15.75" customHeight="1" s="397"/>
    <row r="748" ht="15.75" customHeight="1" s="397"/>
    <row r="749" ht="15.75" customHeight="1" s="397"/>
    <row r="750" ht="15.75" customHeight="1" s="397"/>
    <row r="751" ht="15.75" customHeight="1" s="397"/>
    <row r="752" ht="15.75" customHeight="1" s="397"/>
    <row r="753" ht="15.75" customHeight="1" s="397"/>
    <row r="754" ht="15.75" customHeight="1" s="397"/>
    <row r="755" ht="15.75" customHeight="1" s="397"/>
    <row r="756" ht="15.75" customHeight="1" s="397"/>
    <row r="757" ht="15.75" customHeight="1" s="397"/>
    <row r="758" ht="15.75" customHeight="1" s="397"/>
    <row r="759" ht="15.75" customHeight="1" s="397"/>
    <row r="760" ht="15.75" customHeight="1" s="397"/>
    <row r="761" ht="15.75" customHeight="1" s="397"/>
    <row r="762" ht="15.75" customHeight="1" s="397"/>
    <row r="763" ht="15.75" customHeight="1" s="397"/>
    <row r="764" ht="15.75" customHeight="1" s="397"/>
    <row r="765" ht="15.75" customHeight="1" s="397"/>
    <row r="766" ht="15.75" customHeight="1" s="397"/>
    <row r="767" ht="15.75" customHeight="1" s="397"/>
    <row r="768" ht="15.75" customHeight="1" s="397"/>
    <row r="769" ht="15.75" customHeight="1" s="397"/>
    <row r="770" ht="15.75" customHeight="1" s="397"/>
    <row r="771" ht="15.75" customHeight="1" s="397"/>
    <row r="772" ht="15.75" customHeight="1" s="397"/>
    <row r="773" ht="15.75" customHeight="1" s="397"/>
    <row r="774" ht="15.75" customHeight="1" s="397"/>
    <row r="775" ht="15.75" customHeight="1" s="397"/>
    <row r="776" ht="15.75" customHeight="1" s="397"/>
    <row r="777" ht="15.75" customHeight="1" s="397"/>
    <row r="778" ht="15.75" customHeight="1" s="397"/>
    <row r="779" ht="15.75" customHeight="1" s="397"/>
    <row r="780" ht="15.75" customHeight="1" s="397"/>
    <row r="781" ht="15.75" customHeight="1" s="397"/>
    <row r="782" ht="15.75" customHeight="1" s="397"/>
    <row r="783" ht="15.75" customHeight="1" s="397"/>
    <row r="784" ht="15.75" customHeight="1" s="397"/>
    <row r="785" ht="15.75" customHeight="1" s="397"/>
    <row r="786" ht="15.75" customHeight="1" s="397"/>
    <row r="787" ht="15.75" customHeight="1" s="397"/>
    <row r="788" ht="15.75" customHeight="1" s="397"/>
    <row r="789" ht="15.75" customHeight="1" s="397"/>
    <row r="790" ht="15.75" customHeight="1" s="397"/>
    <row r="791" ht="15.75" customHeight="1" s="397"/>
    <row r="792" ht="15.75" customHeight="1" s="397"/>
    <row r="793" ht="15.75" customHeight="1" s="397"/>
    <row r="794" ht="15.75" customHeight="1" s="397"/>
    <row r="795" ht="15.75" customHeight="1" s="397"/>
    <row r="796" ht="15.75" customHeight="1" s="397"/>
    <row r="797" ht="15.75" customHeight="1" s="397"/>
    <row r="798" ht="15.75" customHeight="1" s="397"/>
    <row r="799" ht="15.75" customHeight="1" s="397"/>
    <row r="800" ht="15.75" customHeight="1" s="397"/>
    <row r="801" ht="15.75" customHeight="1" s="397"/>
    <row r="802" ht="15.75" customHeight="1" s="397"/>
    <row r="803" ht="15.75" customHeight="1" s="397"/>
    <row r="804" ht="15.75" customHeight="1" s="397"/>
    <row r="805" ht="15.75" customHeight="1" s="397"/>
    <row r="806" ht="15.75" customHeight="1" s="397"/>
    <row r="807" ht="15.75" customHeight="1" s="397"/>
    <row r="808" ht="15.75" customHeight="1" s="397"/>
    <row r="809" ht="15.75" customHeight="1" s="397"/>
    <row r="810" ht="15.75" customHeight="1" s="397"/>
    <row r="811" ht="15.75" customHeight="1" s="397"/>
    <row r="812" ht="15.75" customHeight="1" s="397"/>
    <row r="813" ht="15.75" customHeight="1" s="397"/>
    <row r="814" ht="15.75" customHeight="1" s="397"/>
    <row r="815" ht="15.75" customHeight="1" s="397"/>
    <row r="816" ht="15.75" customHeight="1" s="397"/>
    <row r="817" ht="15.75" customHeight="1" s="397"/>
    <row r="818" ht="15.75" customHeight="1" s="397"/>
    <row r="819" ht="15.75" customHeight="1" s="397"/>
    <row r="820" ht="15.75" customHeight="1" s="397"/>
    <row r="821" ht="15.75" customHeight="1" s="397"/>
    <row r="822" ht="15.75" customHeight="1" s="397"/>
    <row r="823" ht="15.75" customHeight="1" s="397"/>
    <row r="824" ht="15.75" customHeight="1" s="397"/>
    <row r="825" ht="15.75" customHeight="1" s="397"/>
    <row r="826" ht="15.75" customHeight="1" s="397"/>
    <row r="827" ht="15.75" customHeight="1" s="397"/>
    <row r="828" ht="15.75" customHeight="1" s="397"/>
    <row r="829" ht="15.75" customHeight="1" s="397"/>
    <row r="830" ht="15.75" customHeight="1" s="397"/>
    <row r="831" ht="15.75" customHeight="1" s="397"/>
    <row r="832" ht="15.75" customHeight="1" s="397"/>
    <row r="833" ht="15.75" customHeight="1" s="397"/>
    <row r="834" ht="15.75" customHeight="1" s="397"/>
    <row r="835" ht="15.75" customHeight="1" s="397"/>
    <row r="836" ht="15.75" customHeight="1" s="397"/>
    <row r="837" ht="15.75" customHeight="1" s="397"/>
    <row r="838" ht="15.75" customHeight="1" s="397"/>
    <row r="839" ht="15.75" customHeight="1" s="397"/>
    <row r="840" ht="15.75" customHeight="1" s="397"/>
    <row r="841" ht="15.75" customHeight="1" s="397"/>
    <row r="842" ht="15.75" customHeight="1" s="397"/>
    <row r="843" ht="15.75" customHeight="1" s="397"/>
    <row r="844" ht="15.75" customHeight="1" s="397"/>
    <row r="845" ht="15.75" customHeight="1" s="397"/>
    <row r="846" ht="15.75" customHeight="1" s="397"/>
    <row r="847" ht="15.75" customHeight="1" s="397"/>
    <row r="848" ht="15.75" customHeight="1" s="397"/>
    <row r="849" ht="15.75" customHeight="1" s="397"/>
    <row r="850" ht="15.75" customHeight="1" s="397"/>
    <row r="851" ht="15.75" customHeight="1" s="397"/>
    <row r="852" ht="15.75" customHeight="1" s="397"/>
    <row r="853" ht="15.75" customHeight="1" s="397"/>
    <row r="854" ht="15.75" customHeight="1" s="397"/>
    <row r="855" ht="15.75" customHeight="1" s="397"/>
    <row r="856" ht="15.75" customHeight="1" s="397"/>
    <row r="857" ht="15.75" customHeight="1" s="397"/>
    <row r="858" ht="15.75" customHeight="1" s="397"/>
    <row r="859" ht="15.75" customHeight="1" s="397"/>
    <row r="860" ht="15.75" customHeight="1" s="397"/>
    <row r="861" ht="15.75" customHeight="1" s="397"/>
    <row r="862" ht="15.75" customHeight="1" s="397"/>
    <row r="863" ht="15.75" customHeight="1" s="397"/>
    <row r="864" ht="15.75" customHeight="1" s="397"/>
    <row r="865" ht="15.75" customHeight="1" s="397"/>
    <row r="866" ht="15.75" customHeight="1" s="397"/>
    <row r="867" ht="15.75" customHeight="1" s="397"/>
    <row r="868" ht="15.75" customHeight="1" s="397"/>
    <row r="869" ht="15.75" customHeight="1" s="397"/>
    <row r="870" ht="15.75" customHeight="1" s="397"/>
    <row r="871" ht="15.75" customHeight="1" s="397"/>
    <row r="872" ht="15.75" customHeight="1" s="397"/>
    <row r="873" ht="15.75" customHeight="1" s="397"/>
    <row r="874" ht="15.75" customHeight="1" s="397"/>
    <row r="875" ht="15.75" customHeight="1" s="397"/>
    <row r="876" ht="15.75" customHeight="1" s="397"/>
    <row r="877" ht="15.75" customHeight="1" s="397"/>
    <row r="878" ht="15.75" customHeight="1" s="397"/>
    <row r="879" ht="15.75" customHeight="1" s="397"/>
    <row r="880" ht="15.75" customHeight="1" s="397"/>
    <row r="881" ht="15.75" customHeight="1" s="397"/>
    <row r="882" ht="15.75" customHeight="1" s="397"/>
    <row r="883" ht="15.75" customHeight="1" s="397"/>
    <row r="884" ht="15.75" customHeight="1" s="397"/>
    <row r="885" ht="15.75" customHeight="1" s="397"/>
    <row r="886" ht="15.75" customHeight="1" s="397"/>
    <row r="887" ht="15.75" customHeight="1" s="397"/>
    <row r="888" ht="15.75" customHeight="1" s="397"/>
    <row r="889" ht="15.75" customHeight="1" s="397"/>
    <row r="890" ht="15.75" customHeight="1" s="397"/>
    <row r="891" ht="15.75" customHeight="1" s="397"/>
    <row r="892" ht="15.75" customHeight="1" s="397"/>
    <row r="893" ht="15.75" customHeight="1" s="397"/>
    <row r="894" ht="15.75" customHeight="1" s="397"/>
    <row r="895" ht="15.75" customHeight="1" s="397"/>
    <row r="896" ht="15.75" customHeight="1" s="397"/>
    <row r="897" ht="15.75" customHeight="1" s="397"/>
    <row r="898" ht="15.75" customHeight="1" s="397"/>
    <row r="899" ht="15.75" customHeight="1" s="397"/>
    <row r="900" ht="15.75" customHeight="1" s="397"/>
    <row r="901" ht="15.75" customHeight="1" s="397"/>
    <row r="902" ht="15.75" customHeight="1" s="397"/>
    <row r="903" ht="15.75" customHeight="1" s="397"/>
    <row r="904" ht="15.75" customHeight="1" s="397"/>
    <row r="905" ht="15.75" customHeight="1" s="397"/>
    <row r="906" ht="15.75" customHeight="1" s="397"/>
    <row r="907" ht="15.75" customHeight="1" s="397"/>
    <row r="908" ht="15.75" customHeight="1" s="397"/>
    <row r="909" ht="15.75" customHeight="1" s="397"/>
    <row r="910" ht="15.75" customHeight="1" s="397"/>
    <row r="911" ht="15.75" customHeight="1" s="397"/>
    <row r="912" ht="15.75" customHeight="1" s="397"/>
    <row r="913" ht="15.75" customHeight="1" s="397"/>
    <row r="914" ht="15.75" customHeight="1" s="397"/>
    <row r="915" ht="15.75" customHeight="1" s="397"/>
    <row r="916" ht="15.75" customHeight="1" s="397"/>
    <row r="917" ht="15.75" customHeight="1" s="397"/>
    <row r="918" ht="15.75" customHeight="1" s="397"/>
    <row r="919" ht="15.75" customHeight="1" s="397"/>
    <row r="920" ht="15.75" customHeight="1" s="397"/>
    <row r="921" ht="15.75" customHeight="1" s="397"/>
    <row r="922" ht="15.75" customHeight="1" s="397"/>
    <row r="923" ht="15.75" customHeight="1" s="397"/>
    <row r="924" ht="15.75" customHeight="1" s="397"/>
    <row r="925" ht="15.75" customHeight="1" s="397"/>
    <row r="926" ht="15.75" customHeight="1" s="397"/>
    <row r="927" ht="15.75" customHeight="1" s="397"/>
    <row r="928" ht="15.75" customHeight="1" s="397"/>
    <row r="929" ht="15.75" customHeight="1" s="397"/>
    <row r="930" ht="15.75" customHeight="1" s="397"/>
    <row r="931" ht="15.75" customHeight="1" s="397"/>
    <row r="932" ht="15.75" customHeight="1" s="397"/>
    <row r="933" ht="15.75" customHeight="1" s="397"/>
    <row r="934" ht="15.75" customHeight="1" s="397"/>
    <row r="935" ht="15.75" customHeight="1" s="397"/>
    <row r="936" ht="15.75" customHeight="1" s="397"/>
    <row r="937" ht="15.75" customHeight="1" s="397"/>
    <row r="938" ht="15.75" customHeight="1" s="397"/>
    <row r="939" ht="15.75" customHeight="1" s="397"/>
    <row r="940" ht="15.75" customHeight="1" s="397"/>
    <row r="941" ht="15.75" customHeight="1" s="397"/>
    <row r="942" ht="15.75" customHeight="1" s="397"/>
    <row r="943" ht="15.75" customHeight="1" s="397"/>
    <row r="944" ht="15.75" customHeight="1" s="397"/>
    <row r="945" ht="15.75" customHeight="1" s="397"/>
    <row r="946" ht="15.75" customHeight="1" s="397"/>
    <row r="947" ht="15.75" customHeight="1" s="397"/>
    <row r="948" ht="15.75" customHeight="1" s="397"/>
    <row r="949" ht="15.75" customHeight="1" s="397"/>
    <row r="950" ht="15.75" customHeight="1" s="397"/>
    <row r="951" ht="15.75" customHeight="1" s="397"/>
    <row r="952" ht="15.75" customHeight="1" s="397"/>
    <row r="953" ht="15.75" customHeight="1" s="397"/>
    <row r="954" ht="15.75" customHeight="1" s="397"/>
    <row r="955" ht="15.75" customHeight="1" s="397"/>
    <row r="956" ht="15.75" customHeight="1" s="397"/>
    <row r="957" ht="15.75" customHeight="1" s="397"/>
    <row r="958" ht="15.75" customHeight="1" s="397"/>
    <row r="959" ht="15.75" customHeight="1" s="397"/>
    <row r="960" ht="15.75" customHeight="1" s="397"/>
    <row r="961" ht="15.75" customHeight="1" s="397"/>
    <row r="962" ht="15.75" customHeight="1" s="397"/>
    <row r="963" ht="15.75" customHeight="1" s="397"/>
    <row r="964" ht="15.75" customHeight="1" s="397"/>
    <row r="965" ht="15.75" customHeight="1" s="397"/>
    <row r="966" ht="15.75" customHeight="1" s="397"/>
    <row r="967" ht="15.75" customHeight="1" s="397"/>
    <row r="968" ht="15.75" customHeight="1" s="397"/>
    <row r="969" ht="15.75" customHeight="1" s="397"/>
    <row r="970" ht="15.75" customHeight="1" s="397"/>
    <row r="971" ht="15.75" customHeight="1" s="397"/>
    <row r="972" ht="15.75" customHeight="1" s="397"/>
    <row r="973" ht="15.75" customHeight="1" s="397"/>
    <row r="974" ht="15.75" customHeight="1" s="397"/>
    <row r="975" ht="15.75" customHeight="1" s="397"/>
    <row r="976" ht="15.75" customHeight="1" s="397"/>
    <row r="977" ht="15.75" customHeight="1" s="397"/>
    <row r="978" ht="15.75" customHeight="1" s="397"/>
    <row r="979" ht="15.75" customHeight="1" s="397"/>
    <row r="980" ht="15.75" customHeight="1" s="397"/>
    <row r="981" ht="15.75" customHeight="1" s="397"/>
    <row r="982" ht="15.75" customHeight="1" s="397"/>
    <row r="983" ht="15.75" customHeight="1" s="397"/>
    <row r="984" ht="15.75" customHeight="1" s="397"/>
    <row r="985" ht="15.75" customHeight="1" s="397"/>
    <row r="986" ht="15.75" customHeight="1" s="397"/>
    <row r="987" ht="15.75" customHeight="1" s="397"/>
    <row r="988" ht="15.75" customHeight="1" s="397"/>
    <row r="989" ht="15.75" customHeight="1" s="397"/>
    <row r="990" ht="15.75" customHeight="1" s="397"/>
    <row r="991" ht="15.75" customHeight="1" s="397"/>
    <row r="992" ht="15.75" customHeight="1" s="397"/>
    <row r="993" ht="15.75" customHeight="1" s="397"/>
    <row r="994" ht="15.75" customHeight="1" s="397"/>
    <row r="995" ht="15.75" customHeight="1" s="397"/>
    <row r="996" ht="15.75" customHeight="1" s="397"/>
    <row r="997" ht="15.75" customHeight="1" s="397"/>
    <row r="998" ht="15.75" customHeight="1" s="397"/>
    <row r="999" ht="15.75" customHeight="1" s="397"/>
    <row r="1000" ht="15.75" customHeight="1" s="397"/>
  </sheetData>
  <dataValidations count="5">
    <dataValidation sqref="B5" showDropDown="0" showInputMessage="0" showErrorMessage="0" allowBlank="1" type="list">
      <formula1>"0-9,10-19,20-39,40-99,100+"</formula1>
    </dataValidation>
    <dataValidation sqref="B8" showDropDown="0" showInputMessage="0" showErrorMessage="0" allowBlank="1" type="list">
      <formula1>"p25,p50,p75"</formula1>
    </dataValidation>
    <dataValidation sqref="B6" showDropDown="0" showInputMessage="0" showErrorMessage="0" allowBlank="1" type="list">
      <formula1>"NONPAYER,PAYER"</formula1>
    </dataValidation>
    <dataValidation sqref="B3" showDropDown="0" showInputMessage="0" showErrorMessage="0" allowBlank="1" type="list">
      <formula1>"cal_curr,cal_new"</formula1>
    </dataValidation>
    <dataValidation sqref="B7" showDropDown="0" showInputMessage="0" showErrorMessage="0" allowBlank="1" type="list">
      <formula1>"Expected,Sampled"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2026-07-07T08:27:19Z</dcterms:created>
  <dcterms:modified xsi:type="dcterms:W3CDTF">2026-07-07T08:27:20Z</dcterms:modified>
</cp:coreProperties>
</file>