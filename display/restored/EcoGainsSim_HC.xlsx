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coGainsSim_H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+0%;-0%;0%"/>
    <numFmt numFmtId="167" formatCode="#,##0.00;[Red]-#,##0.00"/>
    <numFmt numFmtId="168" formatCode="#,##0.00;-#,##0.00"/>
    <numFmt numFmtId="169" formatCode="[$$]#,##0.00"/>
    <numFmt numFmtId="170" formatCode="0.0"/>
  </numFmts>
  <fonts count="55">
    <font>
      <name val="Arial"/>
      <color rgb="FF000000"/>
      <sz val="10"/>
      <scheme val="minor"/>
    </font>
    <font>
      <name val="Arial"/>
      <b val="1"/>
      <color theme="1"/>
      <sz val="14"/>
    </font>
    <font>
      <name val="Calibri"/>
      <color theme="1"/>
      <sz val="11"/>
    </font>
    <font>
      <name val="Arial"/>
      <b val="1"/>
      <color rgb="FFFFFFFF"/>
      <sz val="11"/>
    </font>
    <font/>
    <font>
      <name val="Arial"/>
      <color theme="1"/>
      <sz val="10"/>
    </font>
    <font>
      <name val="Arial"/>
      <color rgb="FF000000"/>
      <sz val="10"/>
    </font>
    <font>
      <name val="Arial"/>
      <color rgb="FF000000"/>
      <sz val="11"/>
    </font>
    <font>
      <name val="Arial"/>
      <color theme="1"/>
      <scheme val="minor"/>
    </font>
    <font>
      <name val="Arial"/>
      <b val="1"/>
      <color theme="1"/>
      <sz val="10"/>
    </font>
    <font>
      <name val="Arial"/>
      <i val="1"/>
      <color rgb="FF666666"/>
      <sz val="9"/>
    </font>
    <font>
      <name val="Arial"/>
      <b val="1"/>
      <color rgb="FF000000"/>
      <sz val="10"/>
    </font>
    <font>
      <name val="Arial"/>
      <color rgb="FFFF0000"/>
      <sz val="11"/>
    </font>
    <font>
      <name val="Arial"/>
      <b val="1"/>
      <color rgb="FFFF0000"/>
      <sz val="11"/>
    </font>
    <font>
      <name val="Arial"/>
      <color theme="1"/>
    </font>
    <font>
      <name val="Calibri"/>
      <b val="1"/>
      <color rgb="FFFF0000"/>
      <sz val="11"/>
    </font>
    <font>
      <name val="Arial"/>
      <b val="1"/>
      <color rgb="FFFFFFFF"/>
      <sz val="12"/>
    </font>
    <font>
      <name val="Arial"/>
      <b val="1"/>
      <color theme="1"/>
      <sz val="12"/>
    </font>
    <font>
      <name val="Arial"/>
      <b val="1"/>
      <color theme="1"/>
      <sz val="11"/>
    </font>
    <font>
      <name val="Arial"/>
      <color theme="1"/>
      <sz val="11"/>
    </font>
    <font>
      <name val="Arial"/>
      <color rgb="FFBFBFBF"/>
      <sz val="11"/>
    </font>
    <font>
      <name val="Calibri"/>
      <color rgb="FF000000"/>
      <sz val="11"/>
    </font>
    <font>
      <name val="Arial"/>
      <color rgb="FFFF0000"/>
      <sz val="10"/>
    </font>
    <font>
      <name val="Arial"/>
      <color rgb="FF000000"/>
    </font>
    <font>
      <name val="Arial"/>
      <b val="1"/>
      <color theme="1"/>
      <sz val="9"/>
    </font>
    <font>
      <name val="Arial"/>
      <color rgb="FF808080"/>
      <sz val="8"/>
    </font>
    <font>
      <name val="Arial"/>
      <color theme="1"/>
      <sz val="9"/>
    </font>
    <font>
      <name val="Carlito"/>
      <color theme="1"/>
      <sz val="11"/>
    </font>
    <font>
      <name val="Calibri"/>
      <b val="1"/>
      <color rgb="FFFFFFFF"/>
      <sz val="11"/>
    </font>
    <font>
      <name val="Calibri"/>
      <color rgb="FF222222"/>
      <sz val="7"/>
    </font>
    <font>
      <name val="Calibri"/>
      <color rgb="FF222222"/>
      <sz val="11"/>
    </font>
    <font>
      <name val="Arial"/>
      <i val="1"/>
      <color theme="1"/>
      <scheme val="minor"/>
    </font>
    <font>
      <name val="Arial"/>
      <color theme="1"/>
      <sz val="9"/>
      <scheme val="minor"/>
    </font>
    <font>
      <name val="Arial"/>
      <b val="1"/>
      <color theme="1"/>
      <scheme val="minor"/>
    </font>
    <font>
      <name val="Arial"/>
      <b val="1"/>
      <color theme="1"/>
      <sz val="13"/>
    </font>
    <font>
      <name val="Arial"/>
      <b val="1"/>
      <color rgb="FFFFFFFF"/>
      <sz val="10"/>
    </font>
    <font>
      <name val="Arial"/>
      <color rgb="FF808080"/>
      <sz val="9"/>
    </font>
    <font>
      <name val="Arial"/>
      <b val="1"/>
      <color rgb="FF000000"/>
      <sz val="9"/>
    </font>
    <font>
      <name val="Calibri"/>
      <b val="1"/>
      <color theme="1"/>
      <sz val="10"/>
    </font>
    <font>
      <name val="Calibri"/>
      <color theme="1"/>
      <sz val="10"/>
    </font>
    <font>
      <name val="Calibri"/>
      <i val="1"/>
      <color rgb="FF888888"/>
      <sz val="9"/>
    </font>
    <font>
      <name val="Calibri"/>
      <i val="1"/>
      <color theme="1"/>
      <sz val="10"/>
    </font>
    <font>
      <name val="Calibri"/>
      <color rgb="FF999999"/>
      <sz val="10"/>
    </font>
    <font>
      <name val="Calibri"/>
      <color theme="1"/>
    </font>
    <font>
      <name val="Calibri"/>
      <i val="1"/>
      <color theme="1"/>
    </font>
    <font>
      <name val="Calibri"/>
      <color rgb="FF999999"/>
    </font>
    <font>
      <name val="Arial"/>
      <i val="1"/>
      <color rgb="FFCCCCCC"/>
      <scheme val="minor"/>
    </font>
    <font>
      <color rgb="FFFF0000"/>
      <u val="single"/>
    </font>
    <font>
      <name val="Arial"/>
      <i val="1"/>
      <color theme="1"/>
      <sz val="12"/>
      <scheme val="minor"/>
    </font>
    <font>
      <name val="Arial"/>
      <color rgb="FFFF0000"/>
      <scheme val="minor"/>
    </font>
    <font>
      <name val="Arial"/>
      <i val="1"/>
      <color rgb="FFB7B7B7"/>
    </font>
    <font>
      <name val="Arial"/>
      <b val="1"/>
      <color rgb="FFFFFFFF"/>
    </font>
    <font>
      <name val="Arial"/>
      <i val="1"/>
      <color rgb="FF999999"/>
      <sz val="9"/>
    </font>
    <font>
      <name val="Arial"/>
      <i val="1"/>
      <color theme="1"/>
      <sz val="11"/>
    </font>
    <font>
      <name val="Calibri"/>
      <b val="1"/>
      <color rgb="FF000000"/>
      <sz val="11"/>
    </font>
  </fonts>
  <fills count="38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FFD966"/>
        <bgColor rgb="FFFFD966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305496"/>
        <bgColor rgb="FF305496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</fills>
  <borders count="47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</borders>
  <cellStyleXfs count="1">
    <xf numFmtId="0" fontId="0" fillId="0" borderId="0"/>
  </cellStyleXfs>
  <cellXfs count="39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bottom" wrapText="1"/>
    </xf>
    <xf numFmtId="0" fontId="4" fillId="0" borderId="3" pivotButton="0" quotePrefix="0" xfId="0"/>
    <xf numFmtId="0" fontId="3" fillId="2" borderId="4" applyAlignment="1" pivotButton="0" quotePrefix="0" xfId="0">
      <alignment horizontal="center" wrapText="1"/>
    </xf>
    <xf numFmtId="0" fontId="3" fillId="2" borderId="5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5" fillId="0" borderId="4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bottom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right" vertical="bottom"/>
    </xf>
    <xf numFmtId="0" fontId="2" fillId="0" borderId="3" applyAlignment="1" pivotButton="0" quotePrefix="0" xfId="0">
      <alignment horizontal="left" vertical="bottom"/>
    </xf>
    <xf numFmtId="0" fontId="7" fillId="4" borderId="8" applyAlignment="1" pivotButton="0" quotePrefix="0" xfId="0">
      <alignment horizontal="center" vertical="bottom" wrapText="1"/>
    </xf>
    <xf numFmtId="0" fontId="7" fillId="4" borderId="9" applyAlignment="1" pivotButton="0" quotePrefix="0" xfId="0">
      <alignment horizontal="center" vertical="bottom" wrapText="1"/>
    </xf>
    <xf numFmtId="0" fontId="7" fillId="4" borderId="0" applyAlignment="1" pivotButton="0" quotePrefix="0" xfId="0">
      <alignment horizontal="center" vertical="bottom" wrapText="1"/>
    </xf>
    <xf numFmtId="0" fontId="7" fillId="4" borderId="10" applyAlignment="1" pivotButton="0" quotePrefix="0" xfId="0">
      <alignment horizontal="center" vertical="bottom" wrapText="1"/>
    </xf>
    <xf numFmtId="0" fontId="2" fillId="5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/>
    </xf>
    <xf numFmtId="0" fontId="2" fillId="0" borderId="0" applyAlignment="1" pivotButton="0" quotePrefix="0" xfId="0">
      <alignment vertical="bottom"/>
    </xf>
    <xf numFmtId="0" fontId="5" fillId="0" borderId="11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bottom" wrapText="1"/>
    </xf>
    <xf numFmtId="0" fontId="7" fillId="4" borderId="3" applyAlignment="1" pivotButton="0" quotePrefix="0" xfId="0">
      <alignment horizontal="center" vertical="bottom" wrapText="1"/>
    </xf>
    <xf numFmtId="0" fontId="5" fillId="0" borderId="14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7" fillId="4" borderId="17" applyAlignment="1" pivotButton="0" quotePrefix="0" xfId="0">
      <alignment horizontal="center" vertical="bottom" wrapText="1"/>
    </xf>
    <xf numFmtId="0" fontId="7" fillId="4" borderId="18" applyAlignment="1" pivotButton="0" quotePrefix="0" xfId="0">
      <alignment horizontal="center" vertical="bottom" wrapText="1"/>
    </xf>
    <xf numFmtId="0" fontId="7" fillId="4" borderId="19" applyAlignment="1" pivotButton="0" quotePrefix="0" xfId="0">
      <alignment horizontal="center" vertical="bottom" wrapText="1"/>
    </xf>
    <xf numFmtId="0" fontId="9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2" fontId="6" fillId="0" borderId="5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pivotButton="0" quotePrefix="0" xfId="0"/>
    <xf numFmtId="0" fontId="1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1" fillId="6" borderId="2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 wrapText="1"/>
    </xf>
    <xf numFmtId="0" fontId="3" fillId="7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wrapText="1"/>
    </xf>
    <xf numFmtId="0" fontId="6" fillId="4" borderId="6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bottom" wrapText="1"/>
    </xf>
    <xf numFmtId="0" fontId="6" fillId="8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bottom"/>
    </xf>
    <xf numFmtId="0" fontId="7" fillId="4" borderId="8" applyAlignment="1" pivotButton="0" quotePrefix="0" xfId="0">
      <alignment horizontal="center" vertical="bottom" wrapText="1"/>
    </xf>
    <xf numFmtId="0" fontId="12" fillId="4" borderId="9" applyAlignment="1" pivotButton="0" quotePrefix="0" xfId="0">
      <alignment horizontal="center" vertical="bottom" wrapText="1"/>
    </xf>
    <xf numFmtId="0" fontId="7" fillId="4" borderId="9" applyAlignment="1" pivotButton="0" quotePrefix="0" xfId="0">
      <alignment horizontal="center" vertical="bottom" wrapText="1"/>
    </xf>
    <xf numFmtId="0" fontId="7" fillId="4" borderId="10" applyAlignment="1" pivotButton="0" quotePrefix="0" xfId="0">
      <alignment horizontal="center" vertical="bottom" wrapText="1"/>
    </xf>
    <xf numFmtId="0" fontId="6" fillId="4" borderId="12" applyAlignment="1" pivotButton="0" quotePrefix="0" xfId="0">
      <alignment horizontal="center" vertical="center" wrapText="1"/>
    </xf>
    <xf numFmtId="0" fontId="12" fillId="4" borderId="13" applyAlignment="1" pivotButton="0" quotePrefix="0" xfId="0">
      <alignment horizontal="center" vertical="bottom" wrapText="1"/>
    </xf>
    <xf numFmtId="0" fontId="7" fillId="4" borderId="2" applyAlignment="1" pivotButton="0" quotePrefix="0" xfId="0">
      <alignment horizontal="center" vertical="bottom" wrapText="1"/>
    </xf>
    <xf numFmtId="0" fontId="12" fillId="4" borderId="0" applyAlignment="1" pivotButton="0" quotePrefix="0" xfId="0">
      <alignment horizontal="center" vertical="bottom" wrapText="1"/>
    </xf>
    <xf numFmtId="0" fontId="7" fillId="4" borderId="0" applyAlignment="1" pivotButton="0" quotePrefix="0" xfId="0">
      <alignment horizontal="center" vertical="bottom" wrapText="1"/>
    </xf>
    <xf numFmtId="0" fontId="7" fillId="4" borderId="3" applyAlignment="1" pivotButton="0" quotePrefix="0" xfId="0">
      <alignment horizontal="center" vertical="bottom" wrapText="1"/>
    </xf>
    <xf numFmtId="0" fontId="6" fillId="4" borderId="15" applyAlignment="1" pivotButton="0" quotePrefix="0" xfId="0">
      <alignment horizontal="center" vertical="center" wrapText="1"/>
    </xf>
    <xf numFmtId="0" fontId="13" fillId="4" borderId="16" applyAlignment="1" pivotButton="0" quotePrefix="0" xfId="0">
      <alignment horizontal="center" vertical="bottom" wrapText="1"/>
    </xf>
    <xf numFmtId="0" fontId="7" fillId="4" borderId="17" applyAlignment="1" pivotButton="0" quotePrefix="0" xfId="0">
      <alignment horizontal="center" vertical="bottom" wrapText="1"/>
    </xf>
    <xf numFmtId="0" fontId="7" fillId="4" borderId="18" applyAlignment="1" pivotButton="0" quotePrefix="0" xfId="0">
      <alignment horizontal="center" vertical="bottom" wrapText="1"/>
    </xf>
    <xf numFmtId="0" fontId="12" fillId="4" borderId="18" applyAlignment="1" pivotButton="0" quotePrefix="0" xfId="0">
      <alignment horizontal="center" vertical="bottom" wrapText="1"/>
    </xf>
    <xf numFmtId="0" fontId="7" fillId="4" borderId="19" applyAlignment="1" pivotButton="0" quotePrefix="0" xfId="0">
      <alignment horizontal="center" vertical="bottom" wrapText="1"/>
    </xf>
    <xf numFmtId="0" fontId="14" fillId="0" borderId="5" applyAlignment="1" pivotButton="0" quotePrefix="0" xfId="0">
      <alignment horizontal="center" wrapText="1"/>
    </xf>
    <xf numFmtId="2" fontId="14" fillId="0" borderId="5" applyAlignment="1" pivotButton="0" quotePrefix="0" xfId="0">
      <alignment horizontal="center" wrapText="1"/>
    </xf>
    <xf numFmtId="0" fontId="2" fillId="0" borderId="0" applyAlignment="1" pivotButton="0" quotePrefix="0" xfId="0">
      <alignment vertical="bottom"/>
    </xf>
    <xf numFmtId="164" fontId="14" fillId="0" borderId="5" applyAlignment="1" pivotButton="0" quotePrefix="0" xfId="0">
      <alignment horizontal="center" wrapText="1"/>
    </xf>
    <xf numFmtId="0" fontId="15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 wrapText="1"/>
    </xf>
    <xf numFmtId="0" fontId="16" fillId="2" borderId="0" applyAlignment="1" pivotButton="0" quotePrefix="0" xfId="0">
      <alignment horizontal="left"/>
    </xf>
    <xf numFmtId="0" fontId="17" fillId="2" borderId="0" applyAlignment="1" pivotButton="0" quotePrefix="0" xfId="0">
      <alignment horizontal="left"/>
    </xf>
    <xf numFmtId="0" fontId="5" fillId="0" borderId="8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8" fillId="9" borderId="20" applyAlignment="1" pivotButton="0" quotePrefix="0" xfId="0">
      <alignment horizontal="center"/>
    </xf>
    <xf numFmtId="0" fontId="18" fillId="9" borderId="20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center" wrapText="1"/>
    </xf>
    <xf numFmtId="0" fontId="6" fillId="3" borderId="21" applyAlignment="1" pivotButton="0" quotePrefix="0" xfId="0">
      <alignment horizontal="center" vertical="center" wrapText="1"/>
    </xf>
    <xf numFmtId="0" fontId="18" fillId="10" borderId="20" applyAlignment="1" pivotButton="0" quotePrefix="0" xfId="0">
      <alignment horizontal="center" vertical="bottom"/>
    </xf>
    <xf numFmtId="0" fontId="19" fillId="0" borderId="20" applyAlignment="1" pivotButton="0" quotePrefix="0" xfId="0">
      <alignment horizontal="center" vertical="bottom"/>
    </xf>
    <xf numFmtId="0" fontId="20" fillId="0" borderId="20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bottom"/>
    </xf>
    <xf numFmtId="0" fontId="22" fillId="10" borderId="1" applyAlignment="1" pivotButton="0" quotePrefix="0" xfId="0">
      <alignment horizontal="center" vertical="center" wrapText="1"/>
    </xf>
    <xf numFmtId="0" fontId="6" fillId="10" borderId="21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bottom"/>
    </xf>
    <xf numFmtId="0" fontId="22" fillId="10" borderId="21" applyAlignment="1" pivotButton="0" quotePrefix="0" xfId="0">
      <alignment horizontal="center" vertical="center" wrapText="1"/>
    </xf>
    <xf numFmtId="0" fontId="6" fillId="10" borderId="22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 wrapText="1"/>
    </xf>
    <xf numFmtId="0" fontId="3" fillId="11" borderId="12" applyAlignment="1" pivotButton="0" quotePrefix="0" xfId="0">
      <alignment horizontal="left" vertical="center"/>
    </xf>
    <xf numFmtId="0" fontId="3" fillId="11" borderId="12" applyAlignment="1" pivotButton="0" quotePrefix="0" xfId="0">
      <alignment horizontal="left" vertical="center"/>
    </xf>
    <xf numFmtId="0" fontId="18" fillId="4" borderId="12" applyAlignment="1" pivotButton="0" quotePrefix="0" xfId="0">
      <alignment horizontal="left" vertical="center"/>
    </xf>
    <xf numFmtId="0" fontId="18" fillId="4" borderId="23" applyAlignment="1" pivotButton="0" quotePrefix="0" xfId="0">
      <alignment horizontal="left" vertical="center"/>
    </xf>
    <xf numFmtId="0" fontId="18" fillId="4" borderId="24" applyAlignment="1" pivotButton="0" quotePrefix="0" xfId="0">
      <alignment horizontal="left" vertical="center"/>
    </xf>
    <xf numFmtId="0" fontId="18" fillId="12" borderId="25" applyAlignment="1" pivotButton="0" quotePrefix="0" xfId="0">
      <alignment horizontal="center" vertical="bottom" wrapText="1"/>
    </xf>
    <xf numFmtId="0" fontId="18" fillId="12" borderId="26" applyAlignment="1" pivotButton="0" quotePrefix="0" xfId="0">
      <alignment horizontal="center" vertical="bottom" wrapText="1"/>
    </xf>
    <xf numFmtId="0" fontId="18" fillId="12" borderId="27" applyAlignment="1" pivotButton="0" quotePrefix="0" xfId="0">
      <alignment horizontal="center" vertical="bottom" textRotation="180"/>
    </xf>
    <xf numFmtId="0" fontId="18" fillId="12" borderId="25" applyAlignment="1" pivotButton="0" quotePrefix="0" xfId="0">
      <alignment horizontal="center" vertical="bottom" textRotation="180"/>
    </xf>
    <xf numFmtId="0" fontId="18" fillId="12" borderId="26" applyAlignment="1" pivotButton="0" quotePrefix="0" xfId="0">
      <alignment horizontal="center" vertical="bottom" textRotation="180"/>
    </xf>
    <xf numFmtId="0" fontId="19" fillId="0" borderId="25" applyAlignment="1" pivotButton="0" quotePrefix="0" xfId="0">
      <alignment horizontal="center" vertical="center"/>
    </xf>
    <xf numFmtId="0" fontId="19" fillId="0" borderId="26" applyAlignment="1" pivotButton="0" quotePrefix="0" xfId="0">
      <alignment horizontal="center" vertical="center"/>
    </xf>
    <xf numFmtId="0" fontId="19" fillId="0" borderId="2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13" borderId="25" applyAlignment="1" pivotButton="0" quotePrefix="0" xfId="0">
      <alignment horizontal="left" vertical="center"/>
    </xf>
    <xf numFmtId="0" fontId="18" fillId="13" borderId="25" applyAlignment="1" pivotButton="0" quotePrefix="0" xfId="0">
      <alignment horizontal="center" vertical="center"/>
    </xf>
    <xf numFmtId="0" fontId="18" fillId="13" borderId="26" applyAlignment="1" pivotButton="0" quotePrefix="0" xfId="0">
      <alignment horizontal="center" vertical="center"/>
    </xf>
    <xf numFmtId="0" fontId="18" fillId="13" borderId="27" applyAlignment="1" pivotButton="0" quotePrefix="0" xfId="0">
      <alignment horizontal="center" vertical="center"/>
    </xf>
    <xf numFmtId="0" fontId="23" fillId="0" borderId="0" applyAlignment="1" pivotButton="0" quotePrefix="0" xfId="0">
      <alignment vertical="bottom"/>
    </xf>
    <xf numFmtId="0" fontId="3" fillId="11" borderId="0" applyAlignment="1" pivotButton="0" quotePrefix="0" xfId="0">
      <alignment horizontal="left"/>
    </xf>
    <xf numFmtId="0" fontId="3" fillId="11" borderId="0" applyAlignment="1" pivotButton="0" quotePrefix="0" xfId="0">
      <alignment horizontal="left"/>
    </xf>
    <xf numFmtId="0" fontId="18" fillId="13" borderId="0" applyAlignment="1" pivotButton="0" quotePrefix="0" xfId="0">
      <alignment horizontal="left"/>
    </xf>
    <xf numFmtId="0" fontId="19" fillId="4" borderId="0" applyAlignment="1" pivotButton="0" quotePrefix="0" xfId="0">
      <alignment horizontal="center"/>
    </xf>
    <xf numFmtId="0" fontId="18" fillId="12" borderId="26" applyAlignment="1" pivotButton="0" quotePrefix="0" xfId="0">
      <alignment horizontal="center" vertical="bottom"/>
    </xf>
    <xf numFmtId="0" fontId="18" fillId="12" borderId="27" applyAlignment="1" pivotButton="0" quotePrefix="0" xfId="0">
      <alignment horizontal="center" vertical="bottom" textRotation="180"/>
    </xf>
    <xf numFmtId="0" fontId="18" fillId="12" borderId="25" applyAlignment="1" pivotButton="0" quotePrefix="0" xfId="0">
      <alignment horizontal="center" vertical="bottom" textRotation="180"/>
    </xf>
    <xf numFmtId="0" fontId="19" fillId="0" borderId="26" applyAlignment="1" pivotButton="0" quotePrefix="0" xfId="0">
      <alignment horizontal="left"/>
    </xf>
    <xf numFmtId="0" fontId="19" fillId="14" borderId="27" applyAlignment="1" pivotButton="0" quotePrefix="0" xfId="0">
      <alignment horizontal="center"/>
    </xf>
    <xf numFmtId="0" fontId="19" fillId="0" borderId="25" applyAlignment="1" pivotButton="0" quotePrefix="0" xfId="0">
      <alignment horizontal="center"/>
    </xf>
    <xf numFmtId="0" fontId="19" fillId="14" borderId="25" applyAlignment="1" pivotButton="0" quotePrefix="0" xfId="0">
      <alignment horizontal="center"/>
    </xf>
    <xf numFmtId="0" fontId="19" fillId="15" borderId="26" applyAlignment="1" pivotButton="0" quotePrefix="0" xfId="0">
      <alignment horizontal="left"/>
    </xf>
    <xf numFmtId="0" fontId="19" fillId="15" borderId="25" applyAlignment="1" pivotButton="0" quotePrefix="0" xfId="0">
      <alignment horizontal="center"/>
    </xf>
    <xf numFmtId="0" fontId="19" fillId="0" borderId="27" applyAlignment="1" pivotButton="0" quotePrefix="0" xfId="0">
      <alignment horizontal="center"/>
    </xf>
    <xf numFmtId="0" fontId="19" fillId="15" borderId="27" applyAlignment="1" pivotButton="0" quotePrefix="0" xfId="0">
      <alignment horizontal="center"/>
    </xf>
    <xf numFmtId="0" fontId="18" fillId="13" borderId="12" applyAlignment="1" pivotButton="0" quotePrefix="0" xfId="0">
      <alignment horizontal="left" vertical="center"/>
    </xf>
    <xf numFmtId="0" fontId="19" fillId="4" borderId="12" applyAlignment="1" pivotButton="0" quotePrefix="0" xfId="0">
      <alignment horizontal="center" vertical="center"/>
    </xf>
    <xf numFmtId="0" fontId="18" fillId="12" borderId="25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19" fillId="0" borderId="27" applyAlignment="1" pivotButton="0" quotePrefix="0" xfId="0">
      <alignment horizontal="center" vertical="center"/>
    </xf>
    <xf numFmtId="0" fontId="18" fillId="0" borderId="0" pivotButton="0" quotePrefix="0" xfId="0"/>
    <xf numFmtId="0" fontId="24" fillId="0" borderId="0" pivotButton="0" quotePrefix="0" xfId="0"/>
    <xf numFmtId="0" fontId="24" fillId="4" borderId="5" applyAlignment="1" pivotButton="0" quotePrefix="0" xfId="0">
      <alignment horizontal="center"/>
    </xf>
    <xf numFmtId="0" fontId="19" fillId="4" borderId="12" applyAlignment="1" pivotButton="0" quotePrefix="0" xfId="0">
      <alignment horizontal="center" vertical="center"/>
    </xf>
    <xf numFmtId="0" fontId="24" fillId="5" borderId="5" applyAlignment="1" pivotButton="0" quotePrefix="0" xfId="0">
      <alignment horizontal="center"/>
    </xf>
    <xf numFmtId="0" fontId="2" fillId="10" borderId="5" applyAlignment="1" pivotButton="0" quotePrefix="0" xfId="0">
      <alignment horizontal="center"/>
    </xf>
    <xf numFmtId="1" fontId="2" fillId="10" borderId="5" applyAlignment="1" pivotButton="0" quotePrefix="0" xfId="0">
      <alignment horizontal="center"/>
    </xf>
    <xf numFmtId="0" fontId="2" fillId="10" borderId="5" applyAlignment="1" pivotButton="0" quotePrefix="0" xfId="0">
      <alignment horizontal="left"/>
    </xf>
    <xf numFmtId="0" fontId="19" fillId="0" borderId="26" applyAlignment="1" pivotButton="0" quotePrefix="0" xfId="0">
      <alignment horizontal="left" vertical="center"/>
    </xf>
    <xf numFmtId="0" fontId="19" fillId="0" borderId="25" applyAlignment="1" pivotButton="0" quotePrefix="0" xfId="0">
      <alignment horizontal="center" vertical="center"/>
    </xf>
    <xf numFmtId="9" fontId="24" fillId="4" borderId="5" pivotButton="0" quotePrefix="0" xfId="0"/>
    <xf numFmtId="0" fontId="24" fillId="5" borderId="5" pivotButton="0" quotePrefix="0" xfId="0"/>
    <xf numFmtId="0" fontId="2" fillId="0" borderId="5" pivotButton="0" quotePrefix="0" xfId="0"/>
    <xf numFmtId="0" fontId="2" fillId="4" borderId="5" pivotButton="0" quotePrefix="0" xfId="0"/>
    <xf numFmtId="165" fontId="2" fillId="10" borderId="5" pivotButton="0" quotePrefix="0" xfId="0"/>
    <xf numFmtId="0" fontId="25" fillId="0" borderId="0" pivotButton="0" quotePrefix="0" xfId="0"/>
    <xf numFmtId="0" fontId="19" fillId="0" borderId="27" applyAlignment="1" pivotButton="0" quotePrefix="0" xfId="0">
      <alignment horizontal="center" vertical="center"/>
    </xf>
    <xf numFmtId="0" fontId="19" fillId="0" borderId="25" applyAlignment="1" pivotButton="0" quotePrefix="0" xfId="0">
      <alignment horizontal="left" vertical="center"/>
    </xf>
    <xf numFmtId="0" fontId="24" fillId="4" borderId="5" applyAlignment="1" pivotButton="0" quotePrefix="0" xfId="0">
      <alignment horizontal="center"/>
    </xf>
    <xf numFmtId="0" fontId="1" fillId="0" borderId="0" pivotButton="0" quotePrefix="0" xfId="0"/>
    <xf numFmtId="0" fontId="3" fillId="11" borderId="12" applyAlignment="1" pivotButton="0" quotePrefix="0" xfId="0">
      <alignment horizontal="left" vertical="center"/>
    </xf>
    <xf numFmtId="0" fontId="18" fillId="13" borderId="12" applyAlignment="1" pivotButton="0" quotePrefix="0" xfId="0">
      <alignment horizontal="left" vertical="center"/>
    </xf>
    <xf numFmtId="0" fontId="19" fillId="4" borderId="12" applyAlignment="1" pivotButton="0" quotePrefix="0" xfId="0">
      <alignment horizontal="center" vertical="center"/>
    </xf>
    <xf numFmtId="0" fontId="19" fillId="0" borderId="25" applyAlignment="1" pivotButton="0" quotePrefix="0" xfId="0">
      <alignment horizontal="center" vertical="center"/>
    </xf>
    <xf numFmtId="0" fontId="19" fillId="4" borderId="25" applyAlignment="1" pivotButton="0" quotePrefix="0" xfId="0">
      <alignment horizontal="center" vertical="center"/>
    </xf>
    <xf numFmtId="0" fontId="18" fillId="12" borderId="25" applyAlignment="1" pivotButton="0" quotePrefix="0" xfId="0">
      <alignment horizontal="center" vertical="bottom" textRotation="180"/>
    </xf>
    <xf numFmtId="0" fontId="8" fillId="0" borderId="0" pivotButton="0" quotePrefix="0" xfId="0"/>
    <xf numFmtId="0" fontId="19" fillId="4" borderId="12" applyAlignment="1" pivotButton="0" quotePrefix="0" xfId="0">
      <alignment horizontal="center" vertical="center"/>
    </xf>
    <xf numFmtId="0" fontId="19" fillId="0" borderId="25" applyAlignment="1" pivotButton="0" quotePrefix="0" xfId="0">
      <alignment horizontal="center" vertical="center"/>
    </xf>
    <xf numFmtId="0" fontId="19" fillId="0" borderId="25" applyAlignment="1" pivotButton="0" quotePrefix="0" xfId="0">
      <alignment horizontal="center" vertical="center"/>
    </xf>
    <xf numFmtId="2" fontId="8" fillId="0" borderId="0" pivotButton="0" quotePrefix="0" xfId="0"/>
    <xf numFmtId="2" fontId="3" fillId="11" borderId="12" applyAlignment="1" pivotButton="0" quotePrefix="0" xfId="0">
      <alignment horizontal="left" vertical="center"/>
    </xf>
    <xf numFmtId="0" fontId="3" fillId="11" borderId="29" applyAlignment="1" pivotButton="0" quotePrefix="0" xfId="0">
      <alignment horizontal="left" vertical="center"/>
    </xf>
    <xf numFmtId="2" fontId="3" fillId="11" borderId="29" applyAlignment="1" pivotButton="0" quotePrefix="0" xfId="0">
      <alignment horizontal="left" vertical="center"/>
    </xf>
    <xf numFmtId="0" fontId="18" fillId="16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2" fontId="18" fillId="0" borderId="0" applyAlignment="1" pivotButton="0" quotePrefix="0" xfId="0">
      <alignment horizontal="left" vertical="center"/>
    </xf>
    <xf numFmtId="0" fontId="18" fillId="12" borderId="30" applyAlignment="1" pivotButton="0" quotePrefix="0" xfId="0">
      <alignment horizontal="center" vertical="bottom" wrapText="1"/>
    </xf>
    <xf numFmtId="0" fontId="18" fillId="12" borderId="30" applyAlignment="1" pivotButton="0" quotePrefix="0" xfId="0">
      <alignment horizontal="center" vertical="bottom" wrapText="1"/>
    </xf>
    <xf numFmtId="2" fontId="18" fillId="12" borderId="30" applyAlignment="1" pivotButton="0" quotePrefix="0" xfId="0">
      <alignment horizontal="center" vertical="bottom" wrapText="1"/>
    </xf>
    <xf numFmtId="0" fontId="18" fillId="12" borderId="30" applyAlignment="1" pivotButton="0" quotePrefix="0" xfId="0">
      <alignment horizontal="center" vertical="bottom" textRotation="180"/>
    </xf>
    <xf numFmtId="0" fontId="18" fillId="12" borderId="30" applyAlignment="1" pivotButton="0" quotePrefix="0" xfId="0">
      <alignment horizontal="center" vertical="bottom" textRotation="180"/>
    </xf>
    <xf numFmtId="2" fontId="19" fillId="0" borderId="25" applyAlignment="1" pivotButton="0" quotePrefix="0" xfId="0">
      <alignment horizontal="center" vertical="center"/>
    </xf>
    <xf numFmtId="0" fontId="18" fillId="12" borderId="25" applyAlignment="1" pivotButton="0" quotePrefix="0" xfId="0">
      <alignment horizontal="center" vertical="bottom" wrapText="1"/>
    </xf>
    <xf numFmtId="2" fontId="18" fillId="12" borderId="25" applyAlignment="1" pivotButton="0" quotePrefix="0" xfId="0">
      <alignment horizontal="center" vertical="bottom" wrapText="1"/>
    </xf>
    <xf numFmtId="0" fontId="19" fillId="4" borderId="12" applyAlignment="1" pivotButton="0" quotePrefix="0" xfId="0">
      <alignment horizontal="center" vertical="center" wrapText="1"/>
    </xf>
    <xf numFmtId="0" fontId="18" fillId="12" borderId="31" applyAlignment="1" pivotButton="0" quotePrefix="0" xfId="0">
      <alignment horizontal="center" vertical="bottom" textRotation="180"/>
    </xf>
    <xf numFmtId="0" fontId="19" fillId="0" borderId="31" applyAlignment="1" pivotButton="0" quotePrefix="0" xfId="0">
      <alignment horizontal="center" vertical="center"/>
    </xf>
    <xf numFmtId="3" fontId="2" fillId="10" borderId="5" pivotButton="0" quotePrefix="0" xfId="0"/>
    <xf numFmtId="0" fontId="26" fillId="10" borderId="5" pivotButton="0" quotePrefix="0" xfId="0"/>
    <xf numFmtId="0" fontId="25" fillId="0" borderId="0" pivotButton="0" quotePrefix="0" xfId="0"/>
    <xf numFmtId="0" fontId="18" fillId="13" borderId="12" applyAlignment="1" pivotButton="0" quotePrefix="0" xfId="0">
      <alignment horizontal="left" vertical="center"/>
    </xf>
    <xf numFmtId="0" fontId="3" fillId="11" borderId="29" applyAlignment="1" pivotButton="0" quotePrefix="0" xfId="0">
      <alignment horizontal="left" vertical="center"/>
    </xf>
    <xf numFmtId="0" fontId="18" fillId="12" borderId="0" applyAlignment="1" pivotButton="0" quotePrefix="0" xfId="0">
      <alignment horizontal="center" vertical="bottom" wrapText="1"/>
    </xf>
    <xf numFmtId="0" fontId="18" fillId="12" borderId="2" applyAlignment="1" pivotButton="0" quotePrefix="0" xfId="0">
      <alignment horizontal="center" vertical="bottom" textRotation="180"/>
    </xf>
    <xf numFmtId="0" fontId="18" fillId="12" borderId="0" applyAlignment="1" pivotButton="0" quotePrefix="0" xfId="0">
      <alignment horizontal="center" vertical="bottom" textRotation="180"/>
    </xf>
    <xf numFmtId="0" fontId="18" fillId="12" borderId="32" applyAlignment="1" pivotButton="0" quotePrefix="0" xfId="0">
      <alignment horizontal="center" vertical="bottom" textRotation="180"/>
    </xf>
    <xf numFmtId="0" fontId="19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9" fillId="0" borderId="32" applyAlignment="1" pivotButton="0" quotePrefix="0" xfId="0">
      <alignment horizontal="center" vertical="center"/>
    </xf>
    <xf numFmtId="0" fontId="18" fillId="12" borderId="26" applyAlignment="1" pivotButton="0" quotePrefix="0" xfId="0">
      <alignment horizontal="center" vertical="bottom" wrapText="1"/>
    </xf>
    <xf numFmtId="0" fontId="18" fillId="12" borderId="31" applyAlignment="1" pivotButton="0" quotePrefix="0" xfId="0">
      <alignment horizontal="center" vertical="bottom" textRotation="180"/>
    </xf>
    <xf numFmtId="0" fontId="19" fillId="0" borderId="26" applyAlignment="1" pivotButton="0" quotePrefix="0" xfId="0">
      <alignment horizontal="center" vertical="center"/>
    </xf>
    <xf numFmtId="0" fontId="19" fillId="0" borderId="31" applyAlignment="1" pivotButton="0" quotePrefix="0" xfId="0">
      <alignment horizontal="center" vertical="center"/>
    </xf>
    <xf numFmtId="0" fontId="6" fillId="0" borderId="0" pivotButton="0" quotePrefix="0" xfId="0"/>
    <xf numFmtId="0" fontId="3" fillId="11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center" vertical="center"/>
    </xf>
    <xf numFmtId="0" fontId="18" fillId="12" borderId="26" applyAlignment="1" pivotButton="0" quotePrefix="0" xfId="0">
      <alignment horizontal="center" vertical="bottom"/>
    </xf>
    <xf numFmtId="0" fontId="18" fillId="12" borderId="31" applyAlignment="1" pivotButton="0" quotePrefix="0" xfId="0">
      <alignment horizontal="center" vertical="bottom" textRotation="180"/>
    </xf>
    <xf numFmtId="0" fontId="19" fillId="0" borderId="26" applyAlignment="1" pivotButton="0" quotePrefix="0" xfId="0">
      <alignment horizontal="center" vertical="center"/>
    </xf>
    <xf numFmtId="0" fontId="19" fillId="0" borderId="31" applyAlignment="1" pivotButton="0" quotePrefix="0" xfId="0">
      <alignment horizontal="center" vertical="center"/>
    </xf>
    <xf numFmtId="0" fontId="1" fillId="0" borderId="0" pivotButton="0" quotePrefix="0" xfId="0"/>
    <xf numFmtId="0" fontId="3" fillId="11" borderId="0" applyAlignment="1" pivotButton="0" quotePrefix="0" xfId="0">
      <alignment horizontal="left" vertical="center"/>
    </xf>
    <xf numFmtId="0" fontId="27" fillId="17" borderId="33" pivotButton="0" quotePrefix="0" xfId="0"/>
    <xf numFmtId="0" fontId="28" fillId="18" borderId="34" applyAlignment="1" pivotButton="0" quotePrefix="0" xfId="0">
      <alignment horizontal="center" wrapText="1"/>
    </xf>
    <xf numFmtId="0" fontId="4" fillId="0" borderId="35" pivotButton="0" quotePrefix="0" xfId="0"/>
    <xf numFmtId="0" fontId="4" fillId="0" borderId="36" pivotButton="0" quotePrefix="0" xfId="0"/>
    <xf numFmtId="0" fontId="29" fillId="19" borderId="33" applyAlignment="1" pivotButton="0" quotePrefix="0" xfId="0">
      <alignment horizontal="center" wrapText="1"/>
    </xf>
    <xf numFmtId="0" fontId="30" fillId="19" borderId="33" applyAlignment="1" pivotButton="0" quotePrefix="0" xfId="0">
      <alignment horizontal="center" wrapText="1"/>
    </xf>
    <xf numFmtId="0" fontId="30" fillId="20" borderId="34" applyAlignment="1" pivotButton="0" quotePrefix="0" xfId="0">
      <alignment horizontal="center" wrapText="1"/>
    </xf>
    <xf numFmtId="0" fontId="30" fillId="21" borderId="33" applyAlignment="1" pivotButton="0" quotePrefix="0" xfId="0">
      <alignment horizontal="center" wrapText="1"/>
    </xf>
    <xf numFmtId="0" fontId="30" fillId="21" borderId="33" applyAlignment="1" pivotButton="0" quotePrefix="0" xfId="0">
      <alignment horizontal="center" vertical="bottom" wrapText="1"/>
    </xf>
    <xf numFmtId="0" fontId="14" fillId="17" borderId="33" applyAlignment="1" pivotButton="0" quotePrefix="0" xfId="0">
      <alignment vertical="bottom"/>
    </xf>
    <xf numFmtId="0" fontId="30" fillId="21" borderId="34" applyAlignment="1" pivotButton="0" quotePrefix="0" xfId="0">
      <alignment horizontal="center" wrapText="1"/>
    </xf>
    <xf numFmtId="0" fontId="30" fillId="22" borderId="33" applyAlignment="1" pivotButton="0" quotePrefix="0" xfId="0">
      <alignment horizontal="center" wrapText="1"/>
    </xf>
    <xf numFmtId="0" fontId="30" fillId="23" borderId="34" applyAlignment="1" pivotButton="0" quotePrefix="0" xfId="0">
      <alignment horizontal="center" wrapText="1"/>
    </xf>
    <xf numFmtId="0" fontId="30" fillId="24" borderId="34" applyAlignment="1" pivotButton="0" quotePrefix="0" xfId="0">
      <alignment horizontal="center" wrapText="1"/>
    </xf>
    <xf numFmtId="0" fontId="30" fillId="23" borderId="33" applyAlignment="1" pivotButton="0" quotePrefix="0" xfId="0">
      <alignment horizontal="center" wrapText="1"/>
    </xf>
    <xf numFmtId="0" fontId="30" fillId="17" borderId="34" applyAlignment="1" pivotButton="0" quotePrefix="0" xfId="0">
      <alignment horizontal="center" wrapText="1"/>
    </xf>
    <xf numFmtId="0" fontId="30" fillId="17" borderId="33" applyAlignment="1" pivotButton="0" quotePrefix="0" xfId="0">
      <alignment horizontal="center" wrapText="1"/>
    </xf>
    <xf numFmtId="0" fontId="31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32" fillId="0" borderId="0" applyAlignment="1" pivotButton="0" quotePrefix="0" xfId="0">
      <alignment horizontal="center"/>
    </xf>
    <xf numFmtId="0" fontId="33" fillId="0" borderId="0" pivotButton="0" quotePrefix="0" xfId="0"/>
    <xf numFmtId="0" fontId="31" fillId="0" borderId="0" pivotButton="0" quotePrefix="0" xfId="0"/>
    <xf numFmtId="0" fontId="8" fillId="0" borderId="0" applyAlignment="1" pivotButton="0" quotePrefix="0" xfId="0">
      <alignment horizontal="center" wrapText="1"/>
    </xf>
    <xf numFmtId="0" fontId="18" fillId="12" borderId="32" applyAlignment="1" pivotButton="0" quotePrefix="0" xfId="0">
      <alignment horizontal="center" vertical="bottom" wrapText="1"/>
    </xf>
    <xf numFmtId="0" fontId="19" fillId="0" borderId="0" applyAlignment="1" pivotButton="0" quotePrefix="0" xfId="0">
      <alignment horizontal="right" vertical="center"/>
    </xf>
    <xf numFmtId="0" fontId="34" fillId="0" borderId="0" pivotButton="0" quotePrefix="0" xfId="0"/>
    <xf numFmtId="0" fontId="31" fillId="0" borderId="0" pivotButton="0" quotePrefix="0" xfId="0"/>
    <xf numFmtId="0" fontId="3" fillId="25" borderId="12" pivotButton="0" quotePrefix="0" xfId="0"/>
    <xf numFmtId="0" fontId="3" fillId="26" borderId="12" pivotButton="0" quotePrefix="0" xfId="0"/>
    <xf numFmtId="0" fontId="3" fillId="27" borderId="12" pivotButton="0" quotePrefix="0" xfId="0"/>
    <xf numFmtId="0" fontId="3" fillId="28" borderId="12" pivotButton="0" quotePrefix="0" xfId="0"/>
    <xf numFmtId="0" fontId="24" fillId="9" borderId="5" applyAlignment="1" pivotButton="0" quotePrefix="0" xfId="0">
      <alignment horizontal="center"/>
    </xf>
    <xf numFmtId="0" fontId="24" fillId="29" borderId="5" applyAlignment="1" pivotButton="0" quotePrefix="0" xfId="0">
      <alignment horizontal="center"/>
    </xf>
    <xf numFmtId="0" fontId="24" fillId="10" borderId="5" applyAlignment="1" pivotButton="0" quotePrefix="0" xfId="0">
      <alignment horizontal="center"/>
    </xf>
    <xf numFmtId="0" fontId="35" fillId="30" borderId="12" pivotButton="0" quotePrefix="0" xfId="0"/>
    <xf numFmtId="0" fontId="19" fillId="0" borderId="0" applyAlignment="1" pivotButton="0" quotePrefix="0" xfId="0">
      <alignment horizontal="center"/>
    </xf>
    <xf numFmtId="165" fontId="19" fillId="0" borderId="0" applyAlignment="1" pivotButton="0" quotePrefix="0" xfId="0">
      <alignment horizontal="center"/>
    </xf>
    <xf numFmtId="165" fontId="19" fillId="0" borderId="0" applyAlignment="1" pivotButton="0" quotePrefix="0" xfId="0">
      <alignment horizontal="center"/>
    </xf>
    <xf numFmtId="166" fontId="19" fillId="0" borderId="0" applyAlignment="1" pivotButton="0" quotePrefix="0" xfId="0">
      <alignment horizontal="center"/>
    </xf>
    <xf numFmtId="0" fontId="17" fillId="0" borderId="0" pivotButton="0" quotePrefix="0" xfId="0"/>
    <xf numFmtId="0" fontId="9" fillId="0" borderId="0" pivotButton="0" quotePrefix="0" xfId="0"/>
    <xf numFmtId="0" fontId="9" fillId="4" borderId="12" pivotButton="0" quotePrefix="0" xfId="0"/>
    <xf numFmtId="0" fontId="36" fillId="0" borderId="0" pivotButton="0" quotePrefix="0" xfId="0"/>
    <xf numFmtId="0" fontId="9" fillId="31" borderId="12" applyAlignment="1" pivotButton="0" quotePrefix="0" xfId="0">
      <alignment horizontal="center"/>
    </xf>
    <xf numFmtId="0" fontId="18" fillId="0" borderId="0" pivotButton="0" quotePrefix="0" xfId="0"/>
    <xf numFmtId="0" fontId="24" fillId="0" borderId="5" pivotButton="0" quotePrefix="0" xfId="0"/>
    <xf numFmtId="167" fontId="2" fillId="32" borderId="5" pivotButton="0" quotePrefix="0" xfId="0"/>
    <xf numFmtId="168" fontId="2" fillId="0" borderId="5" pivotButton="0" quotePrefix="0" xfId="0"/>
    <xf numFmtId="0" fontId="24" fillId="33" borderId="5" pivotButton="0" quotePrefix="0" xfId="0"/>
    <xf numFmtId="167" fontId="2" fillId="10" borderId="5" pivotButton="0" quotePrefix="0" xfId="0"/>
    <xf numFmtId="0" fontId="24" fillId="4" borderId="5" pivotButton="0" quotePrefix="0" xfId="0"/>
    <xf numFmtId="0" fontId="37" fillId="0" borderId="0" pivotButton="0" quotePrefix="0" xfId="0"/>
    <xf numFmtId="0" fontId="34" fillId="0" borderId="0" pivotButton="0" quotePrefix="0" xfId="0"/>
    <xf numFmtId="0" fontId="9" fillId="4" borderId="5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24" fillId="9" borderId="5" applyAlignment="1" pivotButton="0" quotePrefix="0" xfId="0">
      <alignment horizontal="center" textRotation="180"/>
    </xf>
    <xf numFmtId="0" fontId="24" fillId="29" borderId="5" applyAlignment="1" pivotButton="0" quotePrefix="0" xfId="0">
      <alignment horizontal="center" textRotation="180"/>
    </xf>
    <xf numFmtId="0" fontId="24" fillId="10" borderId="5" applyAlignment="1" pivotButton="0" quotePrefix="0" xfId="0">
      <alignment horizontal="center" textRotation="180"/>
    </xf>
    <xf numFmtId="0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168" fontId="5" fillId="0" borderId="0" applyAlignment="1" pivotButton="0" quotePrefix="0" xfId="0">
      <alignment horizontal="center"/>
    </xf>
    <xf numFmtId="0" fontId="2" fillId="5" borderId="5" pivotButton="0" quotePrefix="0" xfId="0"/>
    <xf numFmtId="4" fontId="9" fillId="9" borderId="5" applyAlignment="1" pivotButton="0" quotePrefix="0" xfId="0">
      <alignment horizontal="center"/>
    </xf>
    <xf numFmtId="4" fontId="9" fillId="29" borderId="5" applyAlignment="1" pivotButton="0" quotePrefix="0" xfId="0">
      <alignment horizontal="center"/>
    </xf>
    <xf numFmtId="168" fontId="9" fillId="10" borderId="5" applyAlignment="1" pivotButton="0" quotePrefix="0" xfId="0">
      <alignment horizontal="center"/>
    </xf>
    <xf numFmtId="0" fontId="37" fillId="0" borderId="0" pivotButton="0" quotePrefix="0" xfId="0"/>
    <xf numFmtId="0" fontId="36" fillId="0" borderId="0" pivotButton="0" quotePrefix="0" xfId="0"/>
    <xf numFmtId="0" fontId="18" fillId="13" borderId="0" applyAlignment="1" pivotButton="0" quotePrefix="0" xfId="0">
      <alignment horizontal="right" vertical="center"/>
    </xf>
    <xf numFmtId="0" fontId="8" fillId="5" borderId="0" pivotButton="0" quotePrefix="0" xfId="0"/>
    <xf numFmtId="0" fontId="18" fillId="12" borderId="26" applyAlignment="1" pivotButton="0" quotePrefix="0" xfId="0">
      <alignment horizontal="center" vertical="bottom" textRotation="180"/>
    </xf>
    <xf numFmtId="0" fontId="8" fillId="0" borderId="0" applyAlignment="1" pivotButton="0" quotePrefix="0" xfId="0">
      <alignment horizontal="left"/>
    </xf>
    <xf numFmtId="0" fontId="28" fillId="34" borderId="23" applyAlignment="1" pivotButton="0" quotePrefix="0" xfId="0">
      <alignment vertical="center"/>
    </xf>
    <xf numFmtId="0" fontId="4" fillId="0" borderId="37" pivotButton="0" quotePrefix="0" xfId="0"/>
    <xf numFmtId="0" fontId="4" fillId="0" borderId="38" pivotButton="0" quotePrefix="0" xfId="0"/>
    <xf numFmtId="0" fontId="38" fillId="0" borderId="18" applyAlignment="1" pivotButton="0" quotePrefix="0" xfId="0">
      <alignment vertical="center" wrapText="1"/>
    </xf>
    <xf numFmtId="0" fontId="38" fillId="0" borderId="18" applyAlignment="1" pivotButton="0" quotePrefix="0" xfId="0">
      <alignment horizontal="center" vertical="center" wrapText="1"/>
    </xf>
    <xf numFmtId="0" fontId="38" fillId="0" borderId="18" applyAlignment="1" pivotButton="0" quotePrefix="0" xfId="0">
      <alignment horizontal="center" vertical="center" wrapText="1"/>
    </xf>
    <xf numFmtId="0" fontId="39" fillId="0" borderId="0" applyAlignment="1" pivotButton="0" quotePrefix="0" xfId="0">
      <alignment vertical="center" wrapText="1"/>
    </xf>
    <xf numFmtId="0" fontId="39" fillId="35" borderId="12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 wrapText="1"/>
    </xf>
    <xf numFmtId="0" fontId="41" fillId="36" borderId="39" applyAlignment="1" pivotButton="0" quotePrefix="0" xfId="0">
      <alignment horizontal="left" vertical="center"/>
    </xf>
    <xf numFmtId="0" fontId="40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vertical="center" wrapText="1"/>
    </xf>
    <xf numFmtId="0" fontId="41" fillId="36" borderId="12" applyAlignment="1" pivotButton="0" quotePrefix="0" xfId="0">
      <alignment horizontal="center" vertical="center"/>
    </xf>
    <xf numFmtId="0" fontId="41" fillId="36" borderId="12" applyAlignment="1" pivotButton="0" quotePrefix="0" xfId="0">
      <alignment horizontal="left" vertical="center"/>
    </xf>
    <xf numFmtId="0" fontId="28" fillId="34" borderId="40" applyAlignment="1" pivotButton="0" quotePrefix="0" xfId="0">
      <alignment vertical="center"/>
    </xf>
    <xf numFmtId="0" fontId="28" fillId="34" borderId="41" applyAlignment="1" pivotButton="0" quotePrefix="0" xfId="0">
      <alignment vertical="center"/>
    </xf>
    <xf numFmtId="0" fontId="28" fillId="34" borderId="42" applyAlignment="1" pivotButton="0" quotePrefix="0" xfId="0">
      <alignment vertical="center"/>
    </xf>
    <xf numFmtId="0" fontId="38" fillId="0" borderId="18" applyAlignment="1" pivotButton="0" quotePrefix="0" xfId="0">
      <alignment vertical="center" wrapText="1"/>
    </xf>
    <xf numFmtId="0" fontId="42" fillId="37" borderId="39" applyAlignment="1" pivotButton="0" quotePrefix="0" xfId="0">
      <alignment horizontal="center" vertical="center"/>
    </xf>
    <xf numFmtId="2" fontId="43" fillId="35" borderId="39" applyAlignment="1" pivotButton="0" quotePrefix="0" xfId="0">
      <alignment horizontal="center"/>
    </xf>
    <xf numFmtId="2" fontId="44" fillId="36" borderId="12" applyAlignment="1" pivotButton="0" quotePrefix="0" xfId="0">
      <alignment horizontal="center"/>
    </xf>
    <xf numFmtId="2" fontId="41" fillId="36" borderId="12" applyAlignment="1" pivotButton="0" quotePrefix="0" xfId="0">
      <alignment horizontal="center" vertical="center"/>
    </xf>
    <xf numFmtId="0" fontId="42" fillId="37" borderId="12" applyAlignment="1" pivotButton="0" quotePrefix="0" xfId="0">
      <alignment horizontal="center" vertical="center"/>
    </xf>
    <xf numFmtId="2" fontId="43" fillId="35" borderId="12" applyAlignment="1" pivotButton="0" quotePrefix="0" xfId="0">
      <alignment horizontal="center"/>
    </xf>
    <xf numFmtId="0" fontId="43" fillId="0" borderId="0" applyAlignment="1" pivotButton="0" quotePrefix="0" xfId="0">
      <alignment wrapText="1"/>
    </xf>
    <xf numFmtId="2" fontId="45" fillId="37" borderId="12" applyAlignment="1" pivotButton="0" quotePrefix="0" xfId="0">
      <alignment horizontal="center"/>
    </xf>
    <xf numFmtId="0" fontId="14" fillId="0" borderId="0" applyAlignment="1" pivotButton="0" quotePrefix="0" xfId="0">
      <alignment vertical="bottom"/>
    </xf>
    <xf numFmtId="0" fontId="39" fillId="0" borderId="18" applyAlignment="1" pivotButton="0" quotePrefix="0" xfId="0">
      <alignment vertical="center" wrapText="1"/>
    </xf>
    <xf numFmtId="0" fontId="42" fillId="37" borderId="15" applyAlignment="1" pivotButton="0" quotePrefix="0" xfId="0">
      <alignment horizontal="center" vertical="center"/>
    </xf>
    <xf numFmtId="2" fontId="44" fillId="36" borderId="15" applyAlignment="1" pivotButton="0" quotePrefix="0" xfId="0">
      <alignment horizontal="center"/>
    </xf>
    <xf numFmtId="2" fontId="41" fillId="36" borderId="15" applyAlignment="1" pivotButton="0" quotePrefix="0" xfId="0">
      <alignment horizontal="center" vertical="center"/>
    </xf>
    <xf numFmtId="2" fontId="41" fillId="36" borderId="39" applyAlignment="1" pivotButton="0" quotePrefix="0" xfId="0">
      <alignment horizontal="center" vertical="center"/>
    </xf>
    <xf numFmtId="0" fontId="39" fillId="35" borderId="12" applyAlignment="1" pivotButton="0" quotePrefix="0" xfId="0">
      <alignment horizontal="center" vertical="center"/>
    </xf>
    <xf numFmtId="0" fontId="46" fillId="0" borderId="0" pivotButton="0" quotePrefix="0" xfId="0"/>
    <xf numFmtId="164" fontId="39" fillId="35" borderId="12" applyAlignment="1" pivotButton="0" quotePrefix="0" xfId="0">
      <alignment horizontal="center" vertical="center"/>
    </xf>
    <xf numFmtId="164" fontId="39" fillId="35" borderId="12" applyAlignment="1" pivotButton="0" quotePrefix="0" xfId="0">
      <alignment horizontal="center" vertical="center"/>
    </xf>
    <xf numFmtId="164" fontId="41" fillId="36" borderId="12" applyAlignment="1" pivotButton="0" quotePrefix="0" xfId="0">
      <alignment horizontal="center" vertical="center"/>
    </xf>
    <xf numFmtId="0" fontId="47" fillId="0" borderId="0" pivotButton="0" quotePrefix="0" xfId="0"/>
    <xf numFmtId="0" fontId="28" fillId="34" borderId="23" applyAlignment="1" pivotButton="0" quotePrefix="0" xfId="0">
      <alignment vertical="center"/>
    </xf>
    <xf numFmtId="0" fontId="39" fillId="0" borderId="0" applyAlignment="1" pivotButton="0" quotePrefix="0" xfId="0">
      <alignment horizontal="right" vertical="center" wrapText="1"/>
    </xf>
    <xf numFmtId="0" fontId="48" fillId="0" borderId="0" pivotButton="0" quotePrefix="0" xfId="0"/>
    <xf numFmtId="0" fontId="49" fillId="0" borderId="0" pivotButton="0" quotePrefix="0" xfId="0"/>
    <xf numFmtId="0" fontId="33" fillId="0" borderId="0" applyAlignment="1" pivotButton="0" quotePrefix="0" xfId="0">
      <alignment horizontal="center"/>
    </xf>
    <xf numFmtId="0" fontId="33" fillId="0" borderId="2" applyAlignment="1" pivotButton="0" quotePrefix="0" xfId="0">
      <alignment horizontal="center"/>
    </xf>
    <xf numFmtId="10" fontId="8" fillId="0" borderId="3" applyAlignment="1" pivotButton="0" quotePrefix="0" xfId="0">
      <alignment horizontal="center"/>
    </xf>
    <xf numFmtId="0" fontId="8" fillId="0" borderId="2" applyAlignment="1" pivotButton="0" quotePrefix="0" xfId="0">
      <alignment horizontal="right"/>
    </xf>
    <xf numFmtId="0" fontId="8" fillId="0" borderId="3" pivotButton="0" quotePrefix="0" xfId="0"/>
    <xf numFmtId="10" fontId="33" fillId="0" borderId="3" applyAlignment="1" pivotButton="0" quotePrefix="0" xfId="0">
      <alignment horizontal="center"/>
    </xf>
    <xf numFmtId="0" fontId="33" fillId="0" borderId="3" applyAlignment="1" pivotButton="0" quotePrefix="0" xfId="0">
      <alignment horizontal="center"/>
    </xf>
    <xf numFmtId="0" fontId="39" fillId="35" borderId="12" applyAlignment="1" pivotButton="0" quotePrefix="0" xfId="0">
      <alignment vertical="center"/>
    </xf>
    <xf numFmtId="0" fontId="41" fillId="36" borderId="12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/>
    </xf>
    <xf numFmtId="0" fontId="8" fillId="4" borderId="0" applyAlignment="1" pivotButton="0" quotePrefix="0" xfId="0">
      <alignment horizontal="center"/>
    </xf>
    <xf numFmtId="0" fontId="8" fillId="0" borderId="2" applyAlignment="1" pivotButton="0" quotePrefix="0" xfId="0">
      <alignment horizontal="right"/>
    </xf>
    <xf numFmtId="0" fontId="8" fillId="4" borderId="3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0" borderId="2" applyAlignment="1" pivotButton="0" quotePrefix="0" xfId="0">
      <alignment horizontal="right"/>
    </xf>
    <xf numFmtId="10" fontId="8" fillId="0" borderId="3" pivotButton="0" quotePrefix="0" xfId="0"/>
    <xf numFmtId="0" fontId="8" fillId="0" borderId="2" pivotButton="0" quotePrefix="0" xfId="0"/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28" fillId="34" borderId="37" applyAlignment="1" pivotButton="0" quotePrefix="0" xfId="0">
      <alignment vertical="center"/>
    </xf>
    <xf numFmtId="0" fontId="38" fillId="0" borderId="17" applyAlignment="1" pivotButton="0" quotePrefix="0" xfId="0">
      <alignment horizontal="right" vertical="center" wrapText="1"/>
    </xf>
    <xf numFmtId="0" fontId="39" fillId="35" borderId="23" applyAlignment="1" pivotButton="0" quotePrefix="0" xfId="0">
      <alignment horizontal="center" vertical="center"/>
    </xf>
    <xf numFmtId="0" fontId="39" fillId="35" borderId="43" applyAlignment="1" pivotButton="0" quotePrefix="0" xfId="0">
      <alignment horizontal="right" vertical="center"/>
    </xf>
    <xf numFmtId="0" fontId="39" fillId="35" borderId="37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/>
    </xf>
    <xf numFmtId="0" fontId="33" fillId="0" borderId="18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8" fillId="10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10" fontId="8" fillId="10" borderId="0" applyAlignment="1" pivotButton="0" quotePrefix="0" xfId="0">
      <alignment horizontal="center"/>
    </xf>
    <xf numFmtId="1" fontId="33" fillId="0" borderId="0" applyAlignment="1" pivotButton="0" quotePrefix="0" xfId="0">
      <alignment horizontal="center"/>
    </xf>
    <xf numFmtId="0" fontId="33" fillId="0" borderId="17" applyAlignment="1" pivotButton="0" quotePrefix="0" xfId="0">
      <alignment horizontal="center"/>
    </xf>
    <xf numFmtId="10" fontId="33" fillId="0" borderId="19" applyAlignment="1" pivotButton="0" quotePrefix="0" xfId="0">
      <alignment horizontal="center"/>
    </xf>
    <xf numFmtId="0" fontId="8" fillId="0" borderId="19" applyAlignment="1" pivotButton="0" quotePrefix="0" xfId="0">
      <alignment horizontal="center"/>
    </xf>
    <xf numFmtId="0" fontId="33" fillId="0" borderId="19" applyAlignment="1" pivotButton="0" quotePrefix="0" xfId="0">
      <alignment horizontal="center"/>
    </xf>
    <xf numFmtId="0" fontId="8" fillId="10" borderId="3" applyAlignment="1" pivotButton="0" quotePrefix="0" xfId="0">
      <alignment horizontal="center"/>
    </xf>
    <xf numFmtId="10" fontId="8" fillId="10" borderId="3" applyAlignment="1" pivotButton="0" quotePrefix="0" xfId="0">
      <alignment horizontal="center"/>
    </xf>
    <xf numFmtId="0" fontId="39" fillId="35" borderId="12" applyAlignment="1" pivotButton="0" quotePrefix="0" xfId="0">
      <alignment vertical="center"/>
    </xf>
    <xf numFmtId="0" fontId="4" fillId="0" borderId="18" pivotButton="0" quotePrefix="0" xfId="0"/>
    <xf numFmtId="0" fontId="28" fillId="34" borderId="44" applyAlignment="1" pivotButton="0" quotePrefix="0" xfId="0">
      <alignment vertical="center"/>
    </xf>
    <xf numFmtId="0" fontId="33" fillId="0" borderId="18" pivotButton="0" quotePrefix="0" xfId="0"/>
    <xf numFmtId="0" fontId="8" fillId="10" borderId="0" pivotButton="0" quotePrefix="0" xfId="0"/>
    <xf numFmtId="0" fontId="8" fillId="0" borderId="0" applyAlignment="1" pivotButton="0" quotePrefix="0" xfId="0">
      <alignment/>
    </xf>
    <xf numFmtId="0" fontId="8" fillId="34" borderId="0" pivotButton="0" quotePrefix="0" xfId="0"/>
    <xf numFmtId="0" fontId="14" fillId="0" borderId="18" applyAlignment="1" pivotButton="0" quotePrefix="0" xfId="0">
      <alignment horizontal="center" vertical="bottom"/>
    </xf>
    <xf numFmtId="0" fontId="14" fillId="0" borderId="17" applyAlignment="1" pivotButton="0" quotePrefix="0" xfId="0">
      <alignment horizontal="center" vertical="bottom"/>
    </xf>
    <xf numFmtId="0" fontId="14" fillId="0" borderId="14" applyAlignment="1" pivotButton="0" quotePrefix="0" xfId="0">
      <alignment horizontal="center" vertical="bottom"/>
    </xf>
    <xf numFmtId="0" fontId="41" fillId="36" borderId="12" applyAlignment="1" pivotButton="0" quotePrefix="0" xfId="0">
      <alignment horizontal="center" vertical="center"/>
    </xf>
    <xf numFmtId="0" fontId="41" fillId="36" borderId="12" applyAlignment="1" pivotButton="0" quotePrefix="0" xfId="0">
      <alignment horizontal="left" vertical="center"/>
    </xf>
    <xf numFmtId="0" fontId="41" fillId="36" borderId="1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bottom"/>
    </xf>
    <xf numFmtId="10" fontId="14" fillId="0" borderId="0" applyAlignment="1" pivotButton="0" quotePrefix="0" xfId="0">
      <alignment horizontal="center" vertical="bottom"/>
    </xf>
    <xf numFmtId="0" fontId="8" fillId="0" borderId="5" applyAlignment="1" pivotButton="0" quotePrefix="0" xfId="0">
      <alignment horizontal="center"/>
    </xf>
    <xf numFmtId="0" fontId="50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right" vertical="bottom"/>
    </xf>
    <xf numFmtId="169" fontId="14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/>
    </xf>
    <xf numFmtId="0" fontId="51" fillId="27" borderId="12" pivotButton="0" quotePrefix="0" xfId="0"/>
    <xf numFmtId="0" fontId="24" fillId="29" borderId="12" pivotButton="0" quotePrefix="0" xfId="0"/>
    <xf numFmtId="0" fontId="26" fillId="4" borderId="12" applyAlignment="1" pivotButton="0" quotePrefix="0" xfId="0">
      <alignment horizontal="center"/>
    </xf>
    <xf numFmtId="0" fontId="52" fillId="0" borderId="0" pivotButton="0" quotePrefix="0" xfId="0"/>
    <xf numFmtId="0" fontId="26" fillId="4" borderId="12" applyAlignment="1" pivotButton="0" quotePrefix="0" xfId="0">
      <alignment horizontal="center"/>
    </xf>
    <xf numFmtId="0" fontId="26" fillId="8" borderId="12" applyAlignment="1" pivotButton="0" quotePrefix="0" xfId="0">
      <alignment horizontal="center"/>
    </xf>
    <xf numFmtId="0" fontId="26" fillId="10" borderId="12" pivotButton="0" quotePrefix="0" xfId="0"/>
    <xf numFmtId="0" fontId="51" fillId="11" borderId="12" pivotButton="0" quotePrefix="0" xfId="0"/>
    <xf numFmtId="0" fontId="19" fillId="10" borderId="12" pivotButton="0" quotePrefix="0" xfId="0"/>
    <xf numFmtId="0" fontId="53" fillId="10" borderId="12" pivotButton="0" quotePrefix="0" xfId="0"/>
    <xf numFmtId="0" fontId="54" fillId="0" borderId="0" applyAlignment="1" pivotButton="0" quotePrefix="0" xfId="0">
      <alignment vertical="bottom" wrapText="1"/>
    </xf>
    <xf numFmtId="0" fontId="33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21" fillId="0" borderId="0" applyAlignment="1" pivotButton="0" quotePrefix="0" xfId="0">
      <alignment vertical="bottom"/>
    </xf>
    <xf numFmtId="0" fontId="21" fillId="0" borderId="0" applyAlignment="1" pivotButton="0" quotePrefix="0" xfId="0">
      <alignment horizontal="right" vertical="bottom"/>
    </xf>
    <xf numFmtId="4" fontId="21" fillId="0" borderId="0" applyAlignment="1" pivotButton="0" quotePrefix="0" xfId="0">
      <alignment horizontal="right" vertical="bottom"/>
    </xf>
    <xf numFmtId="170" fontId="33" fillId="0" borderId="0" applyAlignment="1" pivotButton="0" quotePrefix="0" xfId="0">
      <alignment wrapText="1"/>
    </xf>
    <xf numFmtId="170" fontId="8" fillId="0" borderId="0" pivotButton="0" quotePrefix="0" xfId="0"/>
    <xf numFmtId="170" fontId="8" fillId="0" borderId="0" pivotButton="0" quotePrefix="0" xfId="0"/>
    <xf numFmtId="0" fontId="33" fillId="0" borderId="0" applyAlignment="1" pivotButton="0" quotePrefix="0" xfId="0">
      <alignment horizontal="center" wrapText="1"/>
    </xf>
    <xf numFmtId="0" fontId="0" fillId="0" borderId="0" pivotButton="0" quotePrefix="0" xfId="0"/>
  </cellXfs>
  <cellStyles count="1">
    <cellStyle name="Normal" xfId="0" builtinId="0"/>
  </cellStyles>
  <dxfs count="10">
    <dxf>
      <font>
        <b val="1"/>
      </font>
      <fill>
        <patternFill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 val="1"/>
        <i val="1"/>
        <color rgb="FFB7B7B7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Y190"/>
  <sheetViews>
    <sheetView showGridLines="0" workbookViewId="0">
      <selection activeCell="A1" sqref="A1"/>
    </sheetView>
  </sheetViews>
  <sheetFormatPr baseColWidth="8" defaultColWidth="12.63" defaultRowHeight="15" customHeight="1"/>
  <cols>
    <col width="1.5" customWidth="1" style="397" min="1" max="1"/>
    <col width="16.88" customWidth="1" style="397" min="2" max="2"/>
    <col width="7.25" customWidth="1" style="397" min="3" max="3"/>
    <col width="7.63" customWidth="1" style="397" min="4" max="26"/>
  </cols>
  <sheetData>
    <row r="2">
      <c r="B2" s="245" t="inlineStr">
        <is>
          <t>Per-earner gains over the 33-day</t>
        </is>
      </c>
    </row>
    <row r="3">
      <c r="B3" s="246" t="inlineStr">
        <is>
          <t>Payer</t>
        </is>
      </c>
      <c r="C3" s="247" t="inlineStr">
        <is>
          <t>NONPAYER</t>
        </is>
      </c>
      <c r="D3" s="272" t="inlineStr">
        <is>
          <t>◀ input (global)</t>
        </is>
      </c>
    </row>
    <row r="6" ht="15.75" customHeight="1" s="397">
      <c r="B6" s="249" t="inlineStr">
        <is>
          <t>0-9</t>
        </is>
      </c>
      <c r="C6" s="250" t="inlineStr">
        <is>
          <t>0-9 Segment - Over Time Period  (uses 1-9 gains data)</t>
        </is>
      </c>
      <c r="O6" s="250" t="inlineStr">
        <is>
          <t>0-9 Segment - Over Time Period - Difference</t>
        </is>
      </c>
    </row>
    <row r="7" ht="15.75" customHeight="1" s="397">
      <c r="B7" s="141" t="inlineStr">
        <is>
          <t>Source</t>
        </is>
      </c>
      <c r="C7" s="134" t="inlineStr">
        <is>
          <t>HC</t>
        </is>
      </c>
      <c r="D7" s="134" t="inlineStr">
        <is>
          <t>Slingshot</t>
        </is>
      </c>
      <c r="E7" s="134" t="inlineStr">
        <is>
          <t>Shuffle</t>
        </is>
      </c>
      <c r="F7" s="134" t="inlineStr">
        <is>
          <t>Comet</t>
        </is>
      </c>
      <c r="G7" s="134" t="inlineStr">
        <is>
          <t>Red</t>
        </is>
      </c>
      <c r="H7" s="134" t="inlineStr">
        <is>
          <t>Chuck</t>
        </is>
      </c>
      <c r="I7" s="134" t="inlineStr">
        <is>
          <t>Bomb</t>
        </is>
      </c>
      <c r="J7" s="134" t="inlineStr">
        <is>
          <t>UL Bomb</t>
        </is>
      </c>
      <c r="K7" s="134" t="inlineStr">
        <is>
          <t>UL Chuck</t>
        </is>
      </c>
      <c r="L7" s="134" t="inlineStr">
        <is>
          <t>UL Red</t>
        </is>
      </c>
      <c r="M7" s="134" t="inlineStr">
        <is>
          <t>Unlimited Lives</t>
        </is>
      </c>
      <c r="O7" s="134" t="inlineStr">
        <is>
          <t>HC</t>
        </is>
      </c>
      <c r="P7" s="134" t="inlineStr">
        <is>
          <t>Slingshot</t>
        </is>
      </c>
      <c r="Q7" s="134" t="inlineStr">
        <is>
          <t>Shuffle</t>
        </is>
      </c>
      <c r="R7" s="134" t="inlineStr">
        <is>
          <t>Comet</t>
        </is>
      </c>
      <c r="S7" s="134" t="inlineStr">
        <is>
          <t>Red</t>
        </is>
      </c>
      <c r="T7" s="134" t="inlineStr">
        <is>
          <t>Chuck</t>
        </is>
      </c>
      <c r="U7" s="134" t="inlineStr">
        <is>
          <t>Bomb</t>
        </is>
      </c>
      <c r="V7" s="134" t="inlineStr">
        <is>
          <t>UL Bomb</t>
        </is>
      </c>
      <c r="W7" s="134" t="inlineStr">
        <is>
          <t>UL Chuck</t>
        </is>
      </c>
      <c r="X7" s="134" t="inlineStr">
        <is>
          <t>UL Red</t>
        </is>
      </c>
      <c r="Y7" s="134" t="inlineStr">
        <is>
          <t>Unlimited Lives</t>
        </is>
      </c>
    </row>
    <row r="8" ht="15.75" customHeight="1" s="397">
      <c r="B8" s="251" t="inlineStr">
        <is>
          <t>Ads</t>
        </is>
      </c>
      <c r="C8" s="252">
        <f>LET(payer, $C$3, segment, $B$6, ECOGAINS_SIM(payer, segment))</f>
        <v/>
      </c>
      <c r="D8" s="252" t="n"/>
      <c r="E8" s="252" t="n"/>
      <c r="F8" s="252" t="n"/>
      <c r="G8" s="252" t="n"/>
      <c r="H8" s="252" t="n"/>
      <c r="I8" s="252" t="n"/>
      <c r="J8" s="252" t="n"/>
      <c r="K8" s="252" t="n"/>
      <c r="L8" s="252" t="n"/>
      <c r="M8" s="252" t="n"/>
      <c r="O8" s="253">
        <f>LET(payer, $C$3, segment, $B$6, ECOGAINS_DIFF(payer, segment))</f>
        <v/>
      </c>
      <c r="P8" s="253" t="n"/>
      <c r="Q8" s="253" t="n"/>
      <c r="R8" s="253" t="n"/>
      <c r="S8" s="253" t="n"/>
      <c r="T8" s="253" t="n"/>
      <c r="U8" s="253" t="n"/>
      <c r="V8" s="253" t="n"/>
      <c r="W8" s="253" t="n"/>
      <c r="X8" s="253" t="n"/>
      <c r="Y8" s="253" t="n"/>
    </row>
    <row r="9" ht="15.75" customHeight="1" s="397">
      <c r="B9" s="254" t="inlineStr">
        <is>
          <t>Bomb Challenge</t>
        </is>
      </c>
      <c r="C9" s="255" t="n"/>
      <c r="D9" s="255" t="n"/>
      <c r="E9" s="255" t="n"/>
      <c r="F9" s="255" t="n"/>
      <c r="G9" s="255" t="n"/>
      <c r="H9" s="255" t="n"/>
      <c r="I9" s="255" t="n"/>
      <c r="J9" s="255" t="n"/>
      <c r="K9" s="255" t="n"/>
      <c r="L9" s="255" t="n"/>
      <c r="M9" s="255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</row>
    <row r="10" ht="15.75" customHeight="1" s="397">
      <c r="B10" s="254" t="inlineStr">
        <is>
          <t>Bomb's Ballet</t>
        </is>
      </c>
      <c r="C10" s="255" t="n"/>
      <c r="D10" s="255" t="n"/>
      <c r="E10" s="255" t="n"/>
      <c r="F10" s="255" t="n"/>
      <c r="G10" s="255" t="n"/>
      <c r="H10" s="255" t="n"/>
      <c r="I10" s="255" t="n"/>
      <c r="J10" s="255" t="n"/>
      <c r="K10" s="255" t="n"/>
      <c r="L10" s="255" t="n"/>
      <c r="M10" s="255" t="n"/>
      <c r="O10" s="253" t="n"/>
      <c r="P10" s="253" t="n"/>
      <c r="Q10" s="253" t="n"/>
      <c r="R10" s="253" t="n"/>
      <c r="S10" s="253" t="n"/>
      <c r="T10" s="253" t="n"/>
      <c r="U10" s="253" t="n"/>
      <c r="V10" s="253" t="n"/>
      <c r="W10" s="253" t="n"/>
      <c r="X10" s="253" t="n"/>
      <c r="Y10" s="253" t="n"/>
    </row>
    <row r="11" ht="15.75" customHeight="1" s="397">
      <c r="B11" s="254" t="inlineStr">
        <is>
          <t>Chuck Challenge</t>
        </is>
      </c>
      <c r="C11" s="255" t="n"/>
      <c r="D11" s="255" t="n"/>
      <c r="E11" s="255" t="n"/>
      <c r="F11" s="255" t="n"/>
      <c r="G11" s="255" t="n"/>
      <c r="H11" s="255" t="n"/>
      <c r="I11" s="255" t="n"/>
      <c r="J11" s="255" t="n"/>
      <c r="K11" s="255" t="n"/>
      <c r="L11" s="255" t="n"/>
      <c r="M11" s="255" t="n"/>
      <c r="O11" s="253" t="n"/>
      <c r="P11" s="253" t="n"/>
      <c r="Q11" s="253" t="n"/>
      <c r="R11" s="253" t="n"/>
      <c r="S11" s="253" t="n"/>
      <c r="T11" s="253" t="n"/>
      <c r="U11" s="253" t="n"/>
      <c r="V11" s="253" t="n"/>
      <c r="W11" s="253" t="n"/>
      <c r="X11" s="253" t="n"/>
      <c r="Y11" s="253" t="n"/>
    </row>
    <row r="12" ht="15.75" customHeight="1" s="397">
      <c r="B12" s="251" t="inlineStr">
        <is>
          <t>Core</t>
        </is>
      </c>
      <c r="C12" s="252" t="n"/>
      <c r="D12" s="252" t="n"/>
      <c r="E12" s="252" t="n"/>
      <c r="F12" s="252" t="n"/>
      <c r="G12" s="252" t="n"/>
      <c r="H12" s="252" t="n"/>
      <c r="I12" s="252" t="n"/>
      <c r="J12" s="252" t="n"/>
      <c r="K12" s="252" t="n"/>
      <c r="L12" s="252" t="n"/>
      <c r="M12" s="252" t="n"/>
      <c r="O12" s="253" t="n"/>
      <c r="P12" s="253" t="n"/>
      <c r="Q12" s="253" t="n"/>
      <c r="R12" s="253" t="n"/>
      <c r="S12" s="253" t="n"/>
      <c r="T12" s="253" t="n"/>
      <c r="U12" s="253" t="n"/>
      <c r="V12" s="253" t="n"/>
      <c r="W12" s="253" t="n"/>
      <c r="X12" s="253" t="n"/>
      <c r="Y12" s="253" t="n"/>
    </row>
    <row r="13" ht="15.75" customHeight="1" s="397">
      <c r="B13" s="256" t="inlineStr">
        <is>
          <t>Daily Gift</t>
        </is>
      </c>
      <c r="C13" s="255" t="n"/>
      <c r="D13" s="255" t="n"/>
      <c r="E13" s="255" t="n"/>
      <c r="F13" s="255" t="n"/>
      <c r="G13" s="255" t="n"/>
      <c r="H13" s="255" t="n"/>
      <c r="I13" s="255" t="n"/>
      <c r="J13" s="255" t="n"/>
      <c r="K13" s="255" t="n"/>
      <c r="L13" s="255" t="n"/>
      <c r="M13" s="255" t="n"/>
      <c r="O13" s="253" t="n"/>
      <c r="P13" s="253" t="n"/>
      <c r="Q13" s="253" t="n"/>
      <c r="R13" s="253" t="n"/>
      <c r="S13" s="253" t="n"/>
      <c r="T13" s="253" t="n"/>
      <c r="U13" s="253" t="n"/>
      <c r="V13" s="253" t="n"/>
      <c r="W13" s="253" t="n"/>
      <c r="X13" s="253" t="n"/>
      <c r="Y13" s="253" t="n"/>
    </row>
    <row r="14" ht="15.75" customHeight="1" s="397">
      <c r="B14" s="256" t="inlineStr">
        <is>
          <t>Daily Night Sky Prize</t>
        </is>
      </c>
      <c r="C14" s="255" t="n"/>
      <c r="D14" s="255" t="n"/>
      <c r="E14" s="255" t="n"/>
      <c r="F14" s="255" t="n"/>
      <c r="G14" s="255" t="n"/>
      <c r="H14" s="255" t="n"/>
      <c r="I14" s="255" t="n"/>
      <c r="J14" s="255" t="n"/>
      <c r="K14" s="255" t="n"/>
      <c r="L14" s="255" t="n"/>
      <c r="M14" s="255" t="n"/>
      <c r="O14" s="253" t="n"/>
      <c r="P14" s="253" t="n"/>
      <c r="Q14" s="253" t="n"/>
      <c r="R14" s="253" t="n"/>
      <c r="S14" s="253" t="n"/>
      <c r="T14" s="253" t="n"/>
      <c r="U14" s="253" t="n"/>
      <c r="V14" s="253" t="n"/>
      <c r="W14" s="253" t="n"/>
      <c r="X14" s="253" t="n"/>
      <c r="Y14" s="253" t="n"/>
    </row>
    <row r="15" ht="15.75" customHeight="1" s="397">
      <c r="B15" s="251" t="inlineStr">
        <is>
          <t>Flock Flurry</t>
        </is>
      </c>
      <c r="C15" s="252" t="n"/>
      <c r="D15" s="252" t="n"/>
      <c r="E15" s="252" t="n"/>
      <c r="F15" s="252" t="n"/>
      <c r="G15" s="252" t="n"/>
      <c r="H15" s="252" t="n"/>
      <c r="I15" s="252" t="n"/>
      <c r="J15" s="252" t="n"/>
      <c r="K15" s="252" t="n"/>
      <c r="L15" s="252" t="n"/>
      <c r="M15" s="252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W15" s="253" t="n"/>
      <c r="X15" s="253" t="n"/>
      <c r="Y15" s="253" t="n"/>
    </row>
    <row r="16" ht="15.75" customHeight="1" s="397">
      <c r="B16" s="254" t="inlineStr">
        <is>
          <t>Hatchling Hideaway</t>
        </is>
      </c>
      <c r="C16" s="255" t="n"/>
      <c r="D16" s="255" t="n"/>
      <c r="E16" s="255" t="n"/>
      <c r="F16" s="255" t="n"/>
      <c r="G16" s="255" t="n"/>
      <c r="H16" s="255" t="n"/>
      <c r="I16" s="255" t="n"/>
      <c r="J16" s="255" t="n"/>
      <c r="K16" s="255" t="n"/>
      <c r="L16" s="255" t="n"/>
      <c r="M16" s="255" t="n"/>
      <c r="O16" s="253" t="n"/>
      <c r="P16" s="253" t="n"/>
      <c r="Q16" s="253" t="n"/>
      <c r="R16" s="253" t="n"/>
      <c r="S16" s="253" t="n"/>
      <c r="T16" s="253" t="n"/>
      <c r="U16" s="253" t="n"/>
      <c r="V16" s="253" t="n"/>
      <c r="W16" s="253" t="n"/>
      <c r="X16" s="253" t="n"/>
      <c r="Y16" s="253" t="n"/>
    </row>
    <row r="17" ht="15.75" customHeight="1" s="397">
      <c r="B17" s="254" t="inlineStr">
        <is>
          <t>Jigsaw</t>
        </is>
      </c>
      <c r="C17" s="255" t="n"/>
      <c r="D17" s="255" t="n"/>
      <c r="E17" s="255" t="n"/>
      <c r="F17" s="255" t="n"/>
      <c r="G17" s="255" t="n"/>
      <c r="H17" s="255" t="n"/>
      <c r="I17" s="255" t="n"/>
      <c r="J17" s="255" t="n"/>
      <c r="K17" s="255" t="n"/>
      <c r="L17" s="255" t="n"/>
      <c r="M17" s="255" t="n"/>
      <c r="O17" s="253" t="n"/>
      <c r="P17" s="253" t="n"/>
      <c r="Q17" s="253" t="n"/>
      <c r="R17" s="253" t="n"/>
      <c r="S17" s="253" t="n"/>
      <c r="T17" s="253" t="n"/>
      <c r="U17" s="253" t="n"/>
      <c r="V17" s="253" t="n"/>
      <c r="W17" s="253" t="n"/>
      <c r="X17" s="253" t="n"/>
      <c r="Y17" s="253" t="n"/>
    </row>
    <row r="18" ht="15.75" customHeight="1" s="397">
      <c r="B18" s="254" t="inlineStr">
        <is>
          <t>Kite Festival</t>
        </is>
      </c>
      <c r="C18" s="255" t="n"/>
      <c r="D18" s="255" t="n"/>
      <c r="E18" s="255" t="n"/>
      <c r="F18" s="255" t="n"/>
      <c r="G18" s="255" t="n"/>
      <c r="H18" s="255" t="n"/>
      <c r="I18" s="255" t="n"/>
      <c r="J18" s="255" t="n"/>
      <c r="K18" s="255" t="n"/>
      <c r="L18" s="255" t="n"/>
      <c r="M18" s="255" t="n"/>
      <c r="O18" s="253" t="n"/>
      <c r="P18" s="253" t="n"/>
      <c r="Q18" s="253" t="n"/>
      <c r="R18" s="253" t="n"/>
      <c r="S18" s="253" t="n"/>
      <c r="T18" s="253" t="n"/>
      <c r="U18" s="253" t="n"/>
      <c r="V18" s="253" t="n"/>
      <c r="W18" s="253" t="n"/>
      <c r="X18" s="253" t="n"/>
      <c r="Y18" s="253" t="n"/>
    </row>
    <row r="19" ht="15.75" customHeight="1" s="397">
      <c r="B19" s="254" t="inlineStr">
        <is>
          <t>Level Race</t>
        </is>
      </c>
      <c r="C19" s="255" t="n"/>
      <c r="D19" s="255" t="n"/>
      <c r="E19" s="255" t="n"/>
      <c r="F19" s="255" t="n"/>
      <c r="G19" s="255" t="n"/>
      <c r="H19" s="255" t="n"/>
      <c r="I19" s="255" t="n"/>
      <c r="J19" s="255" t="n"/>
      <c r="K19" s="255" t="n"/>
      <c r="L19" s="255" t="n"/>
      <c r="M19" s="255" t="n"/>
      <c r="O19" s="253" t="n"/>
      <c r="P19" s="253" t="n"/>
      <c r="Q19" s="253" t="n"/>
      <c r="R19" s="253" t="n"/>
      <c r="S19" s="253" t="n"/>
      <c r="T19" s="253" t="n"/>
      <c r="U19" s="253" t="n"/>
      <c r="V19" s="253" t="n"/>
      <c r="W19" s="253" t="n"/>
      <c r="X19" s="253" t="n"/>
      <c r="Y19" s="253" t="n"/>
    </row>
    <row r="20" ht="15.75" customHeight="1" s="397">
      <c r="B20" s="251" t="inlineStr">
        <is>
          <t>Other</t>
        </is>
      </c>
      <c r="C20" s="252" t="n"/>
      <c r="D20" s="252" t="n"/>
      <c r="E20" s="252" t="n"/>
      <c r="F20" s="252" t="n"/>
      <c r="G20" s="252" t="n"/>
      <c r="H20" s="252" t="n"/>
      <c r="I20" s="252" t="n"/>
      <c r="J20" s="252" t="n"/>
      <c r="K20" s="252" t="n"/>
      <c r="L20" s="252" t="n"/>
      <c r="M20" s="252" t="n"/>
      <c r="O20" s="253" t="n"/>
      <c r="P20" s="253" t="n"/>
      <c r="Q20" s="253" t="n"/>
      <c r="R20" s="253" t="n"/>
      <c r="S20" s="253" t="n"/>
      <c r="T20" s="253" t="n"/>
      <c r="U20" s="253" t="n"/>
      <c r="V20" s="253" t="n"/>
      <c r="W20" s="253" t="n"/>
      <c r="X20" s="253" t="n"/>
      <c r="Y20" s="253" t="n"/>
    </row>
    <row r="21" ht="15.75" customHeight="1" s="397">
      <c r="B21" s="254" t="inlineStr">
        <is>
          <t>Photoshoot</t>
        </is>
      </c>
      <c r="C21" s="255" t="n"/>
      <c r="D21" s="255" t="n"/>
      <c r="E21" s="255" t="n"/>
      <c r="F21" s="255" t="n"/>
      <c r="G21" s="255" t="n"/>
      <c r="H21" s="255" t="n"/>
      <c r="I21" s="255" t="n"/>
      <c r="J21" s="255" t="n"/>
      <c r="K21" s="255" t="n"/>
      <c r="L21" s="255" t="n"/>
      <c r="M21" s="255" t="n"/>
      <c r="O21" s="253" t="n"/>
      <c r="P21" s="253" t="n"/>
      <c r="Q21" s="253" t="n"/>
      <c r="R21" s="253" t="n"/>
      <c r="S21" s="253" t="n"/>
      <c r="T21" s="253" t="n"/>
      <c r="U21" s="253" t="n"/>
      <c r="V21" s="253" t="n"/>
      <c r="W21" s="253" t="n"/>
      <c r="X21" s="253" t="n"/>
      <c r="Y21" s="253" t="n"/>
    </row>
    <row r="22" ht="15.75" customHeight="1" s="397">
      <c r="B22" s="254" t="inlineStr">
        <is>
          <t>Red Challenge</t>
        </is>
      </c>
      <c r="C22" s="255" t="n"/>
      <c r="D22" s="255" t="n"/>
      <c r="E22" s="255" t="n"/>
      <c r="F22" s="255" t="n"/>
      <c r="G22" s="255" t="n"/>
      <c r="H22" s="255" t="n"/>
      <c r="I22" s="255" t="n"/>
      <c r="J22" s="255" t="n"/>
      <c r="K22" s="255" t="n"/>
      <c r="L22" s="255" t="n"/>
      <c r="M22" s="255" t="n"/>
      <c r="O22" s="253" t="n"/>
      <c r="P22" s="253" t="n"/>
      <c r="Q22" s="253" t="n"/>
      <c r="R22" s="253" t="n"/>
      <c r="S22" s="253" t="n"/>
      <c r="T22" s="253" t="n"/>
      <c r="U22" s="253" t="n"/>
      <c r="V22" s="253" t="n"/>
      <c r="W22" s="253" t="n"/>
      <c r="X22" s="253" t="n"/>
      <c r="Y22" s="253" t="n"/>
    </row>
    <row r="23" ht="15.75" customHeight="1" s="397">
      <c r="B23" s="254" t="inlineStr">
        <is>
          <t>River Rush</t>
        </is>
      </c>
      <c r="C23" s="255" t="n"/>
      <c r="D23" s="255" t="n"/>
      <c r="E23" s="255" t="n"/>
      <c r="F23" s="255" t="n"/>
      <c r="G23" s="255" t="n"/>
      <c r="H23" s="255" t="n"/>
      <c r="I23" s="255" t="n"/>
      <c r="J23" s="255" t="n"/>
      <c r="K23" s="255" t="n"/>
      <c r="L23" s="255" t="n"/>
      <c r="M23" s="255" t="n"/>
      <c r="O23" s="253" t="n"/>
      <c r="P23" s="253" t="n"/>
      <c r="Q23" s="253" t="n"/>
      <c r="R23" s="253" t="n"/>
      <c r="S23" s="253" t="n"/>
      <c r="T23" s="253" t="n"/>
      <c r="U23" s="253" t="n"/>
      <c r="V23" s="253" t="n"/>
      <c r="W23" s="253" t="n"/>
      <c r="X23" s="253" t="n"/>
      <c r="Y23" s="253" t="n"/>
    </row>
    <row r="24" ht="15.75" customHeight="1" s="397">
      <c r="B24" s="256" t="inlineStr">
        <is>
          <t>Saga</t>
        </is>
      </c>
      <c r="C24" s="255" t="n"/>
      <c r="D24" s="255" t="n"/>
      <c r="E24" s="255" t="n"/>
      <c r="F24" s="255" t="n"/>
      <c r="G24" s="255" t="n"/>
      <c r="H24" s="255" t="n"/>
      <c r="I24" s="255" t="n"/>
      <c r="J24" s="255" t="n"/>
      <c r="K24" s="255" t="n"/>
      <c r="L24" s="255" t="n"/>
      <c r="M24" s="255" t="n"/>
      <c r="O24" s="253" t="n"/>
      <c r="P24" s="253" t="n"/>
      <c r="Q24" s="253" t="n"/>
      <c r="R24" s="253" t="n"/>
      <c r="S24" s="253" t="n"/>
      <c r="T24" s="253" t="n"/>
      <c r="U24" s="253" t="n"/>
      <c r="V24" s="253" t="n"/>
      <c r="W24" s="253" t="n"/>
      <c r="X24" s="253" t="n"/>
      <c r="Y24" s="253" t="n"/>
    </row>
    <row r="25" ht="15.75" customHeight="1" s="397">
      <c r="B25" s="251" t="inlineStr">
        <is>
          <t>Season Pass (Free)</t>
        </is>
      </c>
      <c r="C25" s="252" t="n"/>
      <c r="D25" s="252" t="n"/>
      <c r="E25" s="252" t="n"/>
      <c r="F25" s="252" t="n"/>
      <c r="G25" s="252" t="n"/>
      <c r="H25" s="252" t="n"/>
      <c r="I25" s="252" t="n"/>
      <c r="J25" s="252" t="n"/>
      <c r="K25" s="252" t="n"/>
      <c r="L25" s="252" t="n"/>
      <c r="M25" s="252" t="n"/>
      <c r="O25" s="253" t="n"/>
      <c r="P25" s="253" t="n"/>
      <c r="Q25" s="253" t="n"/>
      <c r="R25" s="253" t="n"/>
      <c r="S25" s="253" t="n"/>
      <c r="T25" s="253" t="n"/>
      <c r="U25" s="253" t="n"/>
      <c r="V25" s="253" t="n"/>
      <c r="W25" s="253" t="n"/>
      <c r="X25" s="253" t="n"/>
      <c r="Y25" s="253" t="n"/>
    </row>
    <row r="26" ht="15.75" customHeight="1" s="397">
      <c r="B26" s="254" t="inlineStr">
        <is>
          <t>Target Day</t>
        </is>
      </c>
      <c r="C26" s="255" t="n"/>
      <c r="D26" s="255" t="n"/>
      <c r="E26" s="255" t="n"/>
      <c r="F26" s="255" t="n"/>
      <c r="G26" s="255" t="n"/>
      <c r="H26" s="255" t="n"/>
      <c r="I26" s="255" t="n"/>
      <c r="J26" s="255" t="n"/>
      <c r="K26" s="255" t="n"/>
      <c r="L26" s="255" t="n"/>
      <c r="M26" s="255" t="n"/>
      <c r="O26" s="253" t="n"/>
      <c r="P26" s="253" t="n"/>
      <c r="Q26" s="253" t="n"/>
      <c r="R26" s="253" t="n"/>
      <c r="S26" s="253" t="n"/>
      <c r="T26" s="253" t="n"/>
      <c r="U26" s="253" t="n"/>
      <c r="V26" s="253" t="n"/>
      <c r="W26" s="253" t="n"/>
      <c r="X26" s="253" t="n"/>
      <c r="Y26" s="253" t="n"/>
    </row>
    <row r="27" ht="15.75" customHeight="1" s="397">
      <c r="B27" s="251" t="inlineStr">
        <is>
          <t>Team Event</t>
        </is>
      </c>
      <c r="C27" s="252" t="n"/>
      <c r="D27" s="252" t="n"/>
      <c r="E27" s="252" t="n"/>
      <c r="F27" s="252" t="n"/>
      <c r="G27" s="252" t="n"/>
      <c r="H27" s="252" t="n"/>
      <c r="I27" s="252" t="n"/>
      <c r="J27" s="252" t="n"/>
      <c r="K27" s="252" t="n"/>
      <c r="L27" s="252" t="n"/>
      <c r="M27" s="252" t="n"/>
      <c r="O27" s="253" t="n"/>
      <c r="P27" s="253" t="n"/>
      <c r="Q27" s="253" t="n"/>
      <c r="R27" s="253" t="n"/>
      <c r="S27" s="253" t="n"/>
      <c r="T27" s="253" t="n"/>
      <c r="U27" s="253" t="n"/>
      <c r="V27" s="253" t="n"/>
      <c r="W27" s="253" t="n"/>
      <c r="X27" s="253" t="n"/>
      <c r="Y27" s="253" t="n"/>
    </row>
    <row r="28" ht="15.75" customHeight="1" s="397">
      <c r="B28" s="251" t="inlineStr">
        <is>
          <t>Team Race</t>
        </is>
      </c>
      <c r="C28" s="252" t="n"/>
      <c r="D28" s="252" t="n"/>
      <c r="E28" s="252" t="n"/>
      <c r="F28" s="252" t="n"/>
      <c r="G28" s="252" t="n"/>
      <c r="H28" s="252" t="n"/>
      <c r="I28" s="252" t="n"/>
      <c r="J28" s="252" t="n"/>
      <c r="K28" s="252" t="n"/>
      <c r="L28" s="252" t="n"/>
      <c r="M28" s="252" t="n"/>
      <c r="O28" s="253" t="n"/>
      <c r="P28" s="253" t="n"/>
      <c r="Q28" s="253" t="n"/>
      <c r="R28" s="253" t="n"/>
      <c r="S28" s="253" t="n"/>
      <c r="T28" s="253" t="n"/>
      <c r="U28" s="253" t="n"/>
      <c r="V28" s="253" t="n"/>
      <c r="W28" s="253" t="n"/>
      <c r="X28" s="253" t="n"/>
      <c r="Y28" s="253" t="n"/>
    </row>
    <row r="29" ht="15.75" customHeight="1" s="397">
      <c r="B29" s="254" t="inlineStr">
        <is>
          <t>Flash Race</t>
        </is>
      </c>
      <c r="C29" s="255" t="n"/>
      <c r="D29" s="255" t="n"/>
      <c r="E29" s="255" t="n"/>
      <c r="F29" s="255" t="n"/>
      <c r="G29" s="255" t="n"/>
      <c r="H29" s="255" t="n"/>
      <c r="I29" s="255" t="n"/>
      <c r="J29" s="255" t="n"/>
      <c r="K29" s="255" t="n"/>
      <c r="L29" s="255" t="n"/>
      <c r="M29" s="255" t="n"/>
      <c r="O29" s="253" t="n"/>
      <c r="P29" s="253" t="n"/>
      <c r="Q29" s="253" t="n"/>
      <c r="R29" s="253" t="n"/>
      <c r="S29" s="253" t="n"/>
      <c r="T29" s="253" t="n"/>
      <c r="U29" s="253" t="n"/>
      <c r="V29" s="253" t="n"/>
      <c r="W29" s="253" t="n"/>
      <c r="X29" s="253" t="n"/>
      <c r="Y29" s="253" t="n"/>
    </row>
    <row r="30" ht="15.75" customHeight="1" s="397">
      <c r="B30" s="251" t="inlineStr">
        <is>
          <t>FlowerCoop</t>
        </is>
      </c>
      <c r="C30" s="252" t="n"/>
      <c r="D30" s="252" t="n"/>
      <c r="E30" s="252" t="n"/>
      <c r="F30" s="252" t="n"/>
      <c r="G30" s="252" t="n"/>
      <c r="H30" s="252" t="n"/>
      <c r="I30" s="252" t="n"/>
      <c r="J30" s="252" t="n"/>
      <c r="K30" s="252" t="n"/>
      <c r="L30" s="252" t="n"/>
      <c r="M30" s="252" t="n"/>
      <c r="O30" s="253" t="n"/>
      <c r="P30" s="253" t="n"/>
      <c r="Q30" s="253" t="n"/>
      <c r="R30" s="253" t="n"/>
      <c r="S30" s="253" t="n"/>
      <c r="T30" s="253" t="n"/>
      <c r="U30" s="253" t="n"/>
      <c r="V30" s="253" t="n"/>
      <c r="W30" s="253" t="n"/>
      <c r="X30" s="253" t="n"/>
      <c r="Y30" s="253" t="n"/>
    </row>
    <row r="31" ht="15.75" customHeight="1" s="397">
      <c r="B31" s="254" t="inlineStr">
        <is>
          <t>Rainbow Maker</t>
        </is>
      </c>
      <c r="C31" s="255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5" t="n"/>
      <c r="M31" s="255" t="n"/>
      <c r="O31" s="253" t="n"/>
      <c r="P31" s="253" t="n"/>
      <c r="Q31" s="253" t="n"/>
      <c r="R31" s="253" t="n"/>
      <c r="S31" s="253" t="n"/>
      <c r="T31" s="253" t="n"/>
      <c r="U31" s="253" t="n"/>
      <c r="V31" s="253" t="n"/>
      <c r="W31" s="253" t="n"/>
      <c r="X31" s="253" t="n"/>
      <c r="Y31" s="253" t="n"/>
    </row>
    <row r="32" ht="15.75" customHeight="1" s="397">
      <c r="B32" s="251" t="inlineStr">
        <is>
          <t>IAPs</t>
        </is>
      </c>
      <c r="C32" s="252" t="n"/>
      <c r="D32" s="252" t="n"/>
      <c r="E32" s="252" t="n"/>
      <c r="F32" s="252" t="n"/>
      <c r="G32" s="252" t="n"/>
      <c r="H32" s="252" t="n"/>
      <c r="I32" s="252" t="n"/>
      <c r="J32" s="252" t="n"/>
      <c r="K32" s="252" t="n"/>
      <c r="L32" s="252" t="n"/>
      <c r="M32" s="252" t="n"/>
      <c r="O32" s="253" t="n"/>
      <c r="P32" s="253" t="n"/>
      <c r="Q32" s="253" t="n"/>
      <c r="R32" s="253" t="n"/>
      <c r="S32" s="253" t="n"/>
      <c r="T32" s="253" t="n"/>
      <c r="U32" s="253" t="n"/>
      <c r="V32" s="253" t="n"/>
      <c r="W32" s="253" t="n"/>
      <c r="X32" s="253" t="n"/>
      <c r="Y32" s="253" t="n"/>
    </row>
    <row r="33" ht="15.75" customHeight="1" s="397"/>
    <row r="34" ht="15.75" customHeight="1" s="397"/>
    <row r="35" ht="15.75" customHeight="1" s="397">
      <c r="B35" s="249" t="inlineStr">
        <is>
          <t>10-19</t>
        </is>
      </c>
      <c r="C35" s="250" t="inlineStr">
        <is>
          <t>10-19 Segment - Over Time Period</t>
        </is>
      </c>
      <c r="O35" s="250" t="inlineStr">
        <is>
          <t>10-19 Segment - Over Time Period - Difference</t>
        </is>
      </c>
    </row>
    <row r="36" ht="15.75" customHeight="1" s="397">
      <c r="B36" s="141" t="inlineStr">
        <is>
          <t>Source</t>
        </is>
      </c>
      <c r="C36" s="134" t="inlineStr">
        <is>
          <t>HC</t>
        </is>
      </c>
      <c r="D36" s="134" t="inlineStr">
        <is>
          <t>Slingshot</t>
        </is>
      </c>
      <c r="E36" s="134" t="inlineStr">
        <is>
          <t>Shuffle</t>
        </is>
      </c>
      <c r="F36" s="134" t="inlineStr">
        <is>
          <t>Comet</t>
        </is>
      </c>
      <c r="G36" s="134" t="inlineStr">
        <is>
          <t>Red</t>
        </is>
      </c>
      <c r="H36" s="134" t="inlineStr">
        <is>
          <t>Chuck</t>
        </is>
      </c>
      <c r="I36" s="134" t="inlineStr">
        <is>
          <t>Bomb</t>
        </is>
      </c>
      <c r="J36" s="134" t="inlineStr">
        <is>
          <t>UL Bomb</t>
        </is>
      </c>
      <c r="K36" s="134" t="inlineStr">
        <is>
          <t>UL Chuck</t>
        </is>
      </c>
      <c r="L36" s="134" t="inlineStr">
        <is>
          <t>UL Red</t>
        </is>
      </c>
      <c r="M36" s="134" t="inlineStr">
        <is>
          <t>Unlimited Lives</t>
        </is>
      </c>
      <c r="O36" s="134" t="inlineStr">
        <is>
          <t>HC</t>
        </is>
      </c>
      <c r="P36" s="134" t="inlineStr">
        <is>
          <t>Slingshot</t>
        </is>
      </c>
      <c r="Q36" s="134" t="inlineStr">
        <is>
          <t>Shuffle</t>
        </is>
      </c>
      <c r="R36" s="134" t="inlineStr">
        <is>
          <t>Comet</t>
        </is>
      </c>
      <c r="S36" s="134" t="inlineStr">
        <is>
          <t>Red</t>
        </is>
      </c>
      <c r="T36" s="134" t="inlineStr">
        <is>
          <t>Chuck</t>
        </is>
      </c>
      <c r="U36" s="134" t="inlineStr">
        <is>
          <t>Bomb</t>
        </is>
      </c>
      <c r="V36" s="134" t="inlineStr">
        <is>
          <t>UL Bomb</t>
        </is>
      </c>
      <c r="W36" s="134" t="inlineStr">
        <is>
          <t>UL Chuck</t>
        </is>
      </c>
      <c r="X36" s="134" t="inlineStr">
        <is>
          <t>UL Red</t>
        </is>
      </c>
      <c r="Y36" s="134" t="inlineStr">
        <is>
          <t>Unlimited Lives</t>
        </is>
      </c>
    </row>
    <row r="37" ht="15.75" customHeight="1" s="397">
      <c r="B37" s="251" t="inlineStr">
        <is>
          <t>Ads</t>
        </is>
      </c>
      <c r="C37" s="252">
        <f>LET(payer, $C$3, segment, $B$35, ECOGAINS_SIM(payer, segment))</f>
        <v/>
      </c>
      <c r="D37" s="252" t="n"/>
      <c r="E37" s="252" t="n"/>
      <c r="F37" s="252" t="n"/>
      <c r="G37" s="252" t="n"/>
      <c r="H37" s="252" t="n"/>
      <c r="I37" s="252" t="n"/>
      <c r="J37" s="252" t="n"/>
      <c r="K37" s="252" t="n"/>
      <c r="L37" s="252" t="n"/>
      <c r="M37" s="252" t="n"/>
      <c r="O37" s="253">
        <f>LET(payer, $C$3, segment, $B$35, ECOGAINS_DIFF(payer, segment))</f>
        <v/>
      </c>
      <c r="P37" s="253" t="n"/>
      <c r="Q37" s="253" t="n"/>
      <c r="R37" s="253" t="n"/>
      <c r="S37" s="253" t="n"/>
      <c r="T37" s="253" t="n"/>
      <c r="U37" s="253" t="n"/>
      <c r="V37" s="253" t="n"/>
      <c r="W37" s="253" t="n"/>
      <c r="X37" s="253" t="n"/>
      <c r="Y37" s="253" t="n"/>
    </row>
    <row r="38" ht="15.75" customHeight="1" s="397">
      <c r="B38" s="254" t="inlineStr">
        <is>
          <t>Bomb Challenge</t>
        </is>
      </c>
      <c r="C38" s="255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O38" s="253" t="n"/>
      <c r="P38" s="253" t="n"/>
      <c r="Q38" s="253" t="n"/>
      <c r="R38" s="253" t="n"/>
      <c r="S38" s="253" t="n"/>
      <c r="T38" s="253" t="n"/>
      <c r="U38" s="253" t="n"/>
      <c r="V38" s="253" t="n"/>
      <c r="W38" s="253" t="n"/>
      <c r="X38" s="253" t="n"/>
      <c r="Y38" s="253" t="n"/>
    </row>
    <row r="39" ht="15.75" customHeight="1" s="397">
      <c r="B39" s="254" t="inlineStr">
        <is>
          <t>Bomb's Ballet</t>
        </is>
      </c>
      <c r="C39" s="255" t="n"/>
      <c r="D39" s="255" t="n"/>
      <c r="E39" s="255" t="n"/>
      <c r="F39" s="255" t="n"/>
      <c r="G39" s="255" t="n"/>
      <c r="H39" s="255" t="n"/>
      <c r="I39" s="255" t="n"/>
      <c r="J39" s="255" t="n"/>
      <c r="K39" s="255" t="n"/>
      <c r="L39" s="255" t="n"/>
      <c r="M39" s="255" t="n"/>
      <c r="O39" s="253" t="n"/>
      <c r="P39" s="253" t="n"/>
      <c r="Q39" s="253" t="n"/>
      <c r="R39" s="253" t="n"/>
      <c r="S39" s="253" t="n"/>
      <c r="T39" s="253" t="n"/>
      <c r="U39" s="253" t="n"/>
      <c r="V39" s="253" t="n"/>
      <c r="W39" s="253" t="n"/>
      <c r="X39" s="253" t="n"/>
      <c r="Y39" s="253" t="n"/>
    </row>
    <row r="40" ht="15.75" customHeight="1" s="397">
      <c r="B40" s="254" t="inlineStr">
        <is>
          <t>Chuck Challenge</t>
        </is>
      </c>
      <c r="C40" s="255" t="n"/>
      <c r="D40" s="255" t="n"/>
      <c r="E40" s="255" t="n"/>
      <c r="F40" s="255" t="n"/>
      <c r="G40" s="255" t="n"/>
      <c r="H40" s="255" t="n"/>
      <c r="I40" s="255" t="n"/>
      <c r="J40" s="255" t="n"/>
      <c r="K40" s="255" t="n"/>
      <c r="L40" s="255" t="n"/>
      <c r="M40" s="255" t="n"/>
      <c r="O40" s="253" t="n"/>
      <c r="P40" s="253" t="n"/>
      <c r="Q40" s="253" t="n"/>
      <c r="R40" s="253" t="n"/>
      <c r="S40" s="253" t="n"/>
      <c r="T40" s="253" t="n"/>
      <c r="U40" s="253" t="n"/>
      <c r="V40" s="253" t="n"/>
      <c r="W40" s="253" t="n"/>
      <c r="X40" s="253" t="n"/>
      <c r="Y40" s="253" t="n"/>
    </row>
    <row r="41" ht="15.75" customHeight="1" s="397">
      <c r="B41" s="251" t="inlineStr">
        <is>
          <t>Core</t>
        </is>
      </c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2" t="n"/>
      <c r="L41" s="252" t="n"/>
      <c r="M41" s="252" t="n"/>
      <c r="O41" s="253" t="n"/>
      <c r="P41" s="253" t="n"/>
      <c r="Q41" s="253" t="n"/>
      <c r="R41" s="253" t="n"/>
      <c r="S41" s="253" t="n"/>
      <c r="T41" s="253" t="n"/>
      <c r="U41" s="253" t="n"/>
      <c r="V41" s="253" t="n"/>
      <c r="W41" s="253" t="n"/>
      <c r="X41" s="253" t="n"/>
      <c r="Y41" s="253" t="n"/>
    </row>
    <row r="42" ht="15.75" customHeight="1" s="397">
      <c r="B42" s="256" t="inlineStr">
        <is>
          <t>Daily Gift</t>
        </is>
      </c>
      <c r="C42" s="255" t="n"/>
      <c r="D42" s="255" t="n"/>
      <c r="E42" s="255" t="n"/>
      <c r="F42" s="255" t="n"/>
      <c r="G42" s="255" t="n"/>
      <c r="H42" s="255" t="n"/>
      <c r="I42" s="255" t="n"/>
      <c r="J42" s="255" t="n"/>
      <c r="K42" s="255" t="n"/>
      <c r="L42" s="255" t="n"/>
      <c r="M42" s="255" t="n"/>
      <c r="O42" s="253" t="n"/>
      <c r="P42" s="253" t="n"/>
      <c r="Q42" s="253" t="n"/>
      <c r="R42" s="253" t="n"/>
      <c r="S42" s="253" t="n"/>
      <c r="T42" s="253" t="n"/>
      <c r="U42" s="253" t="n"/>
      <c r="V42" s="253" t="n"/>
      <c r="W42" s="253" t="n"/>
      <c r="X42" s="253" t="n"/>
      <c r="Y42" s="253" t="n"/>
    </row>
    <row r="43" ht="15.75" customHeight="1" s="397">
      <c r="B43" s="256" t="inlineStr">
        <is>
          <t>Daily Night Sky Prize</t>
        </is>
      </c>
      <c r="C43" s="255" t="n"/>
      <c r="D43" s="255" t="n"/>
      <c r="E43" s="255" t="n"/>
      <c r="F43" s="255" t="n"/>
      <c r="G43" s="255" t="n"/>
      <c r="H43" s="255" t="n"/>
      <c r="I43" s="255" t="n"/>
      <c r="J43" s="255" t="n"/>
      <c r="K43" s="255" t="n"/>
      <c r="L43" s="255" t="n"/>
      <c r="M43" s="255" t="n"/>
      <c r="O43" s="253" t="n"/>
      <c r="P43" s="253" t="n"/>
      <c r="Q43" s="253" t="n"/>
      <c r="R43" s="253" t="n"/>
      <c r="S43" s="253" t="n"/>
      <c r="T43" s="253" t="n"/>
      <c r="U43" s="253" t="n"/>
      <c r="V43" s="253" t="n"/>
      <c r="W43" s="253" t="n"/>
      <c r="X43" s="253" t="n"/>
      <c r="Y43" s="253" t="n"/>
    </row>
    <row r="44" ht="15.75" customHeight="1" s="397">
      <c r="B44" s="251" t="inlineStr">
        <is>
          <t>Flock Flurry</t>
        </is>
      </c>
      <c r="C44" s="252" t="n"/>
      <c r="D44" s="252" t="n"/>
      <c r="E44" s="252" t="n"/>
      <c r="F44" s="252" t="n"/>
      <c r="G44" s="252" t="n"/>
      <c r="H44" s="252" t="n"/>
      <c r="I44" s="252" t="n"/>
      <c r="J44" s="252" t="n"/>
      <c r="K44" s="252" t="n"/>
      <c r="L44" s="252" t="n"/>
      <c r="M44" s="252" t="n"/>
      <c r="O44" s="253" t="n"/>
      <c r="P44" s="253" t="n"/>
      <c r="Q44" s="253" t="n"/>
      <c r="R44" s="253" t="n"/>
      <c r="S44" s="253" t="n"/>
      <c r="T44" s="253" t="n"/>
      <c r="U44" s="253" t="n"/>
      <c r="V44" s="253" t="n"/>
      <c r="W44" s="253" t="n"/>
      <c r="X44" s="253" t="n"/>
      <c r="Y44" s="253" t="n"/>
    </row>
    <row r="45" ht="15.75" customHeight="1" s="397">
      <c r="B45" s="254" t="inlineStr">
        <is>
          <t>Hatchling Hideaway</t>
        </is>
      </c>
      <c r="C45" s="255" t="n"/>
      <c r="D45" s="255" t="n"/>
      <c r="E45" s="255" t="n"/>
      <c r="F45" s="255" t="n"/>
      <c r="G45" s="255" t="n"/>
      <c r="H45" s="255" t="n"/>
      <c r="I45" s="255" t="n"/>
      <c r="J45" s="255" t="n"/>
      <c r="K45" s="255" t="n"/>
      <c r="L45" s="255" t="n"/>
      <c r="M45" s="255" t="n"/>
      <c r="O45" s="253" t="n"/>
      <c r="P45" s="253" t="n"/>
      <c r="Q45" s="253" t="n"/>
      <c r="R45" s="253" t="n"/>
      <c r="S45" s="253" t="n"/>
      <c r="T45" s="253" t="n"/>
      <c r="U45" s="253" t="n"/>
      <c r="V45" s="253" t="n"/>
      <c r="W45" s="253" t="n"/>
      <c r="X45" s="253" t="n"/>
      <c r="Y45" s="253" t="n"/>
    </row>
    <row r="46" ht="15.75" customHeight="1" s="397">
      <c r="B46" s="254" t="inlineStr">
        <is>
          <t>Jigsaw</t>
        </is>
      </c>
      <c r="C46" s="255" t="n"/>
      <c r="D46" s="255" t="n"/>
      <c r="E46" s="255" t="n"/>
      <c r="F46" s="255" t="n"/>
      <c r="G46" s="255" t="n"/>
      <c r="H46" s="255" t="n"/>
      <c r="I46" s="255" t="n"/>
      <c r="J46" s="255" t="n"/>
      <c r="K46" s="255" t="n"/>
      <c r="L46" s="255" t="n"/>
      <c r="M46" s="255" t="n"/>
      <c r="O46" s="253" t="n"/>
      <c r="P46" s="253" t="n"/>
      <c r="Q46" s="253" t="n"/>
      <c r="R46" s="253" t="n"/>
      <c r="S46" s="253" t="n"/>
      <c r="T46" s="253" t="n"/>
      <c r="U46" s="253" t="n"/>
      <c r="V46" s="253" t="n"/>
      <c r="W46" s="253" t="n"/>
      <c r="X46" s="253" t="n"/>
      <c r="Y46" s="253" t="n"/>
    </row>
    <row r="47" ht="15.75" customHeight="1" s="397">
      <c r="B47" s="254" t="inlineStr">
        <is>
          <t>Kite Festival</t>
        </is>
      </c>
      <c r="C47" s="255" t="n"/>
      <c r="D47" s="255" t="n"/>
      <c r="E47" s="255" t="n"/>
      <c r="F47" s="255" t="n"/>
      <c r="G47" s="255" t="n"/>
      <c r="H47" s="255" t="n"/>
      <c r="I47" s="255" t="n"/>
      <c r="J47" s="255" t="n"/>
      <c r="K47" s="255" t="n"/>
      <c r="L47" s="255" t="n"/>
      <c r="M47" s="255" t="n"/>
      <c r="O47" s="253" t="n"/>
      <c r="P47" s="253" t="n"/>
      <c r="Q47" s="253" t="n"/>
      <c r="R47" s="253" t="n"/>
      <c r="S47" s="253" t="n"/>
      <c r="T47" s="253" t="n"/>
      <c r="U47" s="253" t="n"/>
      <c r="V47" s="253" t="n"/>
      <c r="W47" s="253" t="n"/>
      <c r="X47" s="253" t="n"/>
      <c r="Y47" s="253" t="n"/>
    </row>
    <row r="48" ht="15.75" customHeight="1" s="397">
      <c r="B48" s="254" t="inlineStr">
        <is>
          <t>Level Race</t>
        </is>
      </c>
      <c r="C48" s="255" t="n"/>
      <c r="D48" s="255" t="n"/>
      <c r="E48" s="255" t="n"/>
      <c r="F48" s="255" t="n"/>
      <c r="G48" s="255" t="n"/>
      <c r="H48" s="255" t="n"/>
      <c r="I48" s="255" t="n"/>
      <c r="J48" s="255" t="n"/>
      <c r="K48" s="255" t="n"/>
      <c r="L48" s="255" t="n"/>
      <c r="M48" s="255" t="n"/>
      <c r="O48" s="253" t="n"/>
      <c r="P48" s="253" t="n"/>
      <c r="Q48" s="253" t="n"/>
      <c r="R48" s="253" t="n"/>
      <c r="S48" s="253" t="n"/>
      <c r="T48" s="253" t="n"/>
      <c r="U48" s="253" t="n"/>
      <c r="V48" s="253" t="n"/>
      <c r="W48" s="253" t="n"/>
      <c r="X48" s="253" t="n"/>
      <c r="Y48" s="253" t="n"/>
    </row>
    <row r="49" ht="15.75" customHeight="1" s="397">
      <c r="B49" s="251" t="inlineStr">
        <is>
          <t>Other</t>
        </is>
      </c>
      <c r="C49" s="252" t="n"/>
      <c r="D49" s="252" t="n"/>
      <c r="E49" s="252" t="n"/>
      <c r="F49" s="252" t="n"/>
      <c r="G49" s="252" t="n"/>
      <c r="H49" s="252" t="n"/>
      <c r="I49" s="252" t="n"/>
      <c r="J49" s="252" t="n"/>
      <c r="K49" s="252" t="n"/>
      <c r="L49" s="252" t="n"/>
      <c r="M49" s="252" t="n"/>
      <c r="O49" s="253" t="n"/>
      <c r="P49" s="253" t="n"/>
      <c r="Q49" s="253" t="n"/>
      <c r="R49" s="253" t="n"/>
      <c r="S49" s="253" t="n"/>
      <c r="T49" s="253" t="n"/>
      <c r="U49" s="253" t="n"/>
      <c r="V49" s="253" t="n"/>
      <c r="W49" s="253" t="n"/>
      <c r="X49" s="253" t="n"/>
      <c r="Y49" s="253" t="n"/>
    </row>
    <row r="50" ht="15.75" customHeight="1" s="397">
      <c r="B50" s="254" t="inlineStr">
        <is>
          <t>Photoshoot</t>
        </is>
      </c>
      <c r="C50" s="255" t="n"/>
      <c r="D50" s="255" t="n"/>
      <c r="E50" s="255" t="n"/>
      <c r="F50" s="255" t="n"/>
      <c r="G50" s="255" t="n"/>
      <c r="H50" s="255" t="n"/>
      <c r="I50" s="255" t="n"/>
      <c r="J50" s="255" t="n"/>
      <c r="K50" s="255" t="n"/>
      <c r="L50" s="255" t="n"/>
      <c r="M50" s="255" t="n"/>
      <c r="O50" s="253" t="n"/>
      <c r="P50" s="253" t="n"/>
      <c r="Q50" s="253" t="n"/>
      <c r="R50" s="253" t="n"/>
      <c r="S50" s="253" t="n"/>
      <c r="T50" s="253" t="n"/>
      <c r="U50" s="253" t="n"/>
      <c r="V50" s="253" t="n"/>
      <c r="W50" s="253" t="n"/>
      <c r="X50" s="253" t="n"/>
      <c r="Y50" s="253" t="n"/>
    </row>
    <row r="51" ht="15.75" customHeight="1" s="397">
      <c r="B51" s="254" t="inlineStr">
        <is>
          <t>Red Challenge</t>
        </is>
      </c>
      <c r="C51" s="255" t="n"/>
      <c r="D51" s="255" t="n"/>
      <c r="E51" s="255" t="n"/>
      <c r="F51" s="255" t="n"/>
      <c r="G51" s="255" t="n"/>
      <c r="H51" s="255" t="n"/>
      <c r="I51" s="255" t="n"/>
      <c r="J51" s="255" t="n"/>
      <c r="K51" s="255" t="n"/>
      <c r="L51" s="255" t="n"/>
      <c r="M51" s="255" t="n"/>
      <c r="O51" s="253" t="n"/>
      <c r="P51" s="253" t="n"/>
      <c r="Q51" s="253" t="n"/>
      <c r="R51" s="253" t="n"/>
      <c r="S51" s="253" t="n"/>
      <c r="T51" s="253" t="n"/>
      <c r="U51" s="253" t="n"/>
      <c r="V51" s="253" t="n"/>
      <c r="W51" s="253" t="n"/>
      <c r="X51" s="253" t="n"/>
      <c r="Y51" s="253" t="n"/>
    </row>
    <row r="52" ht="15.75" customHeight="1" s="397">
      <c r="B52" s="254" t="inlineStr">
        <is>
          <t>River Rush</t>
        </is>
      </c>
      <c r="C52" s="255" t="n"/>
      <c r="D52" s="255" t="n"/>
      <c r="E52" s="255" t="n"/>
      <c r="F52" s="255" t="n"/>
      <c r="G52" s="255" t="n"/>
      <c r="H52" s="255" t="n"/>
      <c r="I52" s="255" t="n"/>
      <c r="J52" s="255" t="n"/>
      <c r="K52" s="255" t="n"/>
      <c r="L52" s="255" t="n"/>
      <c r="M52" s="255" t="n"/>
      <c r="O52" s="253" t="n"/>
      <c r="P52" s="253" t="n"/>
      <c r="Q52" s="253" t="n"/>
      <c r="R52" s="253" t="n"/>
      <c r="S52" s="253" t="n"/>
      <c r="T52" s="253" t="n"/>
      <c r="U52" s="253" t="n"/>
      <c r="V52" s="253" t="n"/>
      <c r="W52" s="253" t="n"/>
      <c r="X52" s="253" t="n"/>
      <c r="Y52" s="253" t="n"/>
    </row>
    <row r="53" ht="15.75" customHeight="1" s="397">
      <c r="B53" s="256" t="inlineStr">
        <is>
          <t>Saga</t>
        </is>
      </c>
      <c r="C53" s="255" t="n"/>
      <c r="D53" s="255" t="n"/>
      <c r="E53" s="255" t="n"/>
      <c r="F53" s="255" t="n"/>
      <c r="G53" s="255" t="n"/>
      <c r="H53" s="255" t="n"/>
      <c r="I53" s="255" t="n"/>
      <c r="J53" s="255" t="n"/>
      <c r="K53" s="255" t="n"/>
      <c r="L53" s="255" t="n"/>
      <c r="M53" s="255" t="n"/>
      <c r="O53" s="253" t="n"/>
      <c r="P53" s="253" t="n"/>
      <c r="Q53" s="253" t="n"/>
      <c r="R53" s="253" t="n"/>
      <c r="S53" s="253" t="n"/>
      <c r="T53" s="253" t="n"/>
      <c r="U53" s="253" t="n"/>
      <c r="V53" s="253" t="n"/>
      <c r="W53" s="253" t="n"/>
      <c r="X53" s="253" t="n"/>
      <c r="Y53" s="253" t="n"/>
    </row>
    <row r="54" ht="15.75" customHeight="1" s="397">
      <c r="B54" s="251" t="inlineStr">
        <is>
          <t>Season Pass (Free)</t>
        </is>
      </c>
      <c r="C54" s="252" t="n"/>
      <c r="D54" s="252" t="n"/>
      <c r="E54" s="252" t="n"/>
      <c r="F54" s="252" t="n"/>
      <c r="G54" s="252" t="n"/>
      <c r="H54" s="252" t="n"/>
      <c r="I54" s="252" t="n"/>
      <c r="J54" s="252" t="n"/>
      <c r="K54" s="252" t="n"/>
      <c r="L54" s="252" t="n"/>
      <c r="M54" s="252" t="n"/>
      <c r="O54" s="253" t="n"/>
      <c r="P54" s="253" t="n"/>
      <c r="Q54" s="253" t="n"/>
      <c r="R54" s="253" t="n"/>
      <c r="S54" s="253" t="n"/>
      <c r="T54" s="253" t="n"/>
      <c r="U54" s="253" t="n"/>
      <c r="V54" s="253" t="n"/>
      <c r="W54" s="253" t="n"/>
      <c r="X54" s="253" t="n"/>
      <c r="Y54" s="253" t="n"/>
    </row>
    <row r="55" ht="15.75" customHeight="1" s="397">
      <c r="B55" s="254" t="inlineStr">
        <is>
          <t>Target Day</t>
        </is>
      </c>
      <c r="C55" s="255" t="n"/>
      <c r="D55" s="255" t="n"/>
      <c r="E55" s="255" t="n"/>
      <c r="F55" s="255" t="n"/>
      <c r="G55" s="255" t="n"/>
      <c r="H55" s="255" t="n"/>
      <c r="I55" s="255" t="n"/>
      <c r="J55" s="255" t="n"/>
      <c r="K55" s="255" t="n"/>
      <c r="L55" s="255" t="n"/>
      <c r="M55" s="255" t="n"/>
      <c r="O55" s="253" t="n"/>
      <c r="P55" s="253" t="n"/>
      <c r="Q55" s="253" t="n"/>
      <c r="R55" s="253" t="n"/>
      <c r="S55" s="253" t="n"/>
      <c r="T55" s="253" t="n"/>
      <c r="U55" s="253" t="n"/>
      <c r="V55" s="253" t="n"/>
      <c r="W55" s="253" t="n"/>
      <c r="X55" s="253" t="n"/>
      <c r="Y55" s="253" t="n"/>
    </row>
    <row r="56" ht="15.75" customHeight="1" s="397">
      <c r="B56" s="251" t="inlineStr">
        <is>
          <t>Team Event</t>
        </is>
      </c>
      <c r="C56" s="252" t="n"/>
      <c r="D56" s="252" t="n"/>
      <c r="E56" s="252" t="n"/>
      <c r="F56" s="252" t="n"/>
      <c r="G56" s="252" t="n"/>
      <c r="H56" s="252" t="n"/>
      <c r="I56" s="252" t="n"/>
      <c r="J56" s="252" t="n"/>
      <c r="K56" s="252" t="n"/>
      <c r="L56" s="252" t="n"/>
      <c r="M56" s="252" t="n"/>
      <c r="O56" s="253" t="n"/>
      <c r="P56" s="253" t="n"/>
      <c r="Q56" s="253" t="n"/>
      <c r="R56" s="253" t="n"/>
      <c r="S56" s="253" t="n"/>
      <c r="T56" s="253" t="n"/>
      <c r="U56" s="253" t="n"/>
      <c r="V56" s="253" t="n"/>
      <c r="W56" s="253" t="n"/>
      <c r="X56" s="253" t="n"/>
      <c r="Y56" s="253" t="n"/>
    </row>
    <row r="57" ht="15.75" customHeight="1" s="397">
      <c r="B57" s="251" t="inlineStr">
        <is>
          <t>Team Race</t>
        </is>
      </c>
      <c r="C57" s="252" t="n"/>
      <c r="D57" s="252" t="n"/>
      <c r="E57" s="252" t="n"/>
      <c r="F57" s="252" t="n"/>
      <c r="G57" s="252" t="n"/>
      <c r="H57" s="252" t="n"/>
      <c r="I57" s="252" t="n"/>
      <c r="J57" s="252" t="n"/>
      <c r="K57" s="252" t="n"/>
      <c r="L57" s="252" t="n"/>
      <c r="M57" s="252" t="n"/>
      <c r="O57" s="253" t="n"/>
      <c r="P57" s="253" t="n"/>
      <c r="Q57" s="253" t="n"/>
      <c r="R57" s="253" t="n"/>
      <c r="S57" s="253" t="n"/>
      <c r="T57" s="253" t="n"/>
      <c r="U57" s="253" t="n"/>
      <c r="V57" s="253" t="n"/>
      <c r="W57" s="253" t="n"/>
      <c r="X57" s="253" t="n"/>
      <c r="Y57" s="253" t="n"/>
    </row>
    <row r="58" ht="15.75" customHeight="1" s="397">
      <c r="B58" s="254" t="inlineStr">
        <is>
          <t>Flash Race</t>
        </is>
      </c>
      <c r="C58" s="255" t="n"/>
      <c r="D58" s="255" t="n"/>
      <c r="E58" s="255" t="n"/>
      <c r="F58" s="255" t="n"/>
      <c r="G58" s="255" t="n"/>
      <c r="H58" s="255" t="n"/>
      <c r="I58" s="255" t="n"/>
      <c r="J58" s="255" t="n"/>
      <c r="K58" s="255" t="n"/>
      <c r="L58" s="255" t="n"/>
      <c r="M58" s="255" t="n"/>
      <c r="O58" s="253" t="n"/>
      <c r="P58" s="253" t="n"/>
      <c r="Q58" s="253" t="n"/>
      <c r="R58" s="253" t="n"/>
      <c r="S58" s="253" t="n"/>
      <c r="T58" s="253" t="n"/>
      <c r="U58" s="253" t="n"/>
      <c r="V58" s="253" t="n"/>
      <c r="W58" s="253" t="n"/>
      <c r="X58" s="253" t="n"/>
      <c r="Y58" s="253" t="n"/>
    </row>
    <row r="59" ht="15.75" customHeight="1" s="397">
      <c r="B59" s="251" t="inlineStr">
        <is>
          <t>FlowerCoop</t>
        </is>
      </c>
      <c r="C59" s="252" t="n"/>
      <c r="D59" s="252" t="n"/>
      <c r="E59" s="252" t="n"/>
      <c r="F59" s="252" t="n"/>
      <c r="G59" s="252" t="n"/>
      <c r="H59" s="252" t="n"/>
      <c r="I59" s="252" t="n"/>
      <c r="J59" s="252" t="n"/>
      <c r="K59" s="252" t="n"/>
      <c r="L59" s="252" t="n"/>
      <c r="M59" s="252" t="n"/>
      <c r="O59" s="253" t="n"/>
      <c r="P59" s="253" t="n"/>
      <c r="Q59" s="253" t="n"/>
      <c r="R59" s="253" t="n"/>
      <c r="S59" s="253" t="n"/>
      <c r="T59" s="253" t="n"/>
      <c r="U59" s="253" t="n"/>
      <c r="V59" s="253" t="n"/>
      <c r="W59" s="253" t="n"/>
      <c r="X59" s="253" t="n"/>
      <c r="Y59" s="253" t="n"/>
    </row>
    <row r="60" ht="15.75" customHeight="1" s="397">
      <c r="B60" s="254" t="inlineStr">
        <is>
          <t>Rainbow Maker</t>
        </is>
      </c>
      <c r="C60" s="255" t="n"/>
      <c r="D60" s="255" t="n"/>
      <c r="E60" s="255" t="n"/>
      <c r="F60" s="255" t="n"/>
      <c r="G60" s="255" t="n"/>
      <c r="H60" s="255" t="n"/>
      <c r="I60" s="255" t="n"/>
      <c r="J60" s="255" t="n"/>
      <c r="K60" s="255" t="n"/>
      <c r="L60" s="255" t="n"/>
      <c r="M60" s="255" t="n"/>
      <c r="O60" s="253" t="n"/>
      <c r="P60" s="253" t="n"/>
      <c r="Q60" s="253" t="n"/>
      <c r="R60" s="253" t="n"/>
      <c r="S60" s="253" t="n"/>
      <c r="T60" s="253" t="n"/>
      <c r="U60" s="253" t="n"/>
      <c r="V60" s="253" t="n"/>
      <c r="W60" s="253" t="n"/>
      <c r="X60" s="253" t="n"/>
      <c r="Y60" s="253" t="n"/>
    </row>
    <row r="61" ht="15.75" customHeight="1" s="397">
      <c r="B61" s="251" t="inlineStr">
        <is>
          <t>IAPs</t>
        </is>
      </c>
      <c r="C61" s="252" t="n"/>
      <c r="D61" s="252" t="n"/>
      <c r="E61" s="252" t="n"/>
      <c r="F61" s="252" t="n"/>
      <c r="G61" s="252" t="n"/>
      <c r="H61" s="252" t="n"/>
      <c r="I61" s="252" t="n"/>
      <c r="J61" s="252" t="n"/>
      <c r="K61" s="252" t="n"/>
      <c r="L61" s="252" t="n"/>
      <c r="M61" s="252" t="n"/>
      <c r="O61" s="253" t="n"/>
      <c r="P61" s="253" t="n"/>
      <c r="Q61" s="253" t="n"/>
      <c r="R61" s="253" t="n"/>
      <c r="S61" s="253" t="n"/>
      <c r="T61" s="253" t="n"/>
      <c r="U61" s="253" t="n"/>
      <c r="V61" s="253" t="n"/>
      <c r="W61" s="253" t="n"/>
      <c r="X61" s="253" t="n"/>
      <c r="Y61" s="253" t="n"/>
    </row>
    <row r="62" ht="15.75" customHeight="1" s="397"/>
    <row r="63" ht="15.75" customHeight="1" s="397"/>
    <row r="64" ht="15.75" customHeight="1" s="397">
      <c r="B64" s="249" t="inlineStr">
        <is>
          <t>20-39</t>
        </is>
      </c>
      <c r="C64" s="250" t="inlineStr">
        <is>
          <t>20-39 Segment - Over Time Period</t>
        </is>
      </c>
      <c r="O64" s="250" t="inlineStr">
        <is>
          <t>20-39 Segment - Over Time Period - Difference</t>
        </is>
      </c>
    </row>
    <row r="65" ht="15.75" customHeight="1" s="397">
      <c r="B65" s="141" t="inlineStr">
        <is>
          <t>Source</t>
        </is>
      </c>
      <c r="C65" s="134" t="inlineStr">
        <is>
          <t>HC</t>
        </is>
      </c>
      <c r="D65" s="134" t="inlineStr">
        <is>
          <t>Slingshot</t>
        </is>
      </c>
      <c r="E65" s="134" t="inlineStr">
        <is>
          <t>Shuffle</t>
        </is>
      </c>
      <c r="F65" s="134" t="inlineStr">
        <is>
          <t>Comet</t>
        </is>
      </c>
      <c r="G65" s="134" t="inlineStr">
        <is>
          <t>Red</t>
        </is>
      </c>
      <c r="H65" s="134" t="inlineStr">
        <is>
          <t>Chuck</t>
        </is>
      </c>
      <c r="I65" s="134" t="inlineStr">
        <is>
          <t>Bomb</t>
        </is>
      </c>
      <c r="J65" s="134" t="inlineStr">
        <is>
          <t>UL Bomb</t>
        </is>
      </c>
      <c r="K65" s="134" t="inlineStr">
        <is>
          <t>UL Chuck</t>
        </is>
      </c>
      <c r="L65" s="134" t="inlineStr">
        <is>
          <t>UL Red</t>
        </is>
      </c>
      <c r="M65" s="134" t="inlineStr">
        <is>
          <t>Unlimited Lives</t>
        </is>
      </c>
      <c r="O65" s="134" t="inlineStr">
        <is>
          <t>HC</t>
        </is>
      </c>
      <c r="P65" s="134" t="inlineStr">
        <is>
          <t>Slingshot</t>
        </is>
      </c>
      <c r="Q65" s="134" t="inlineStr">
        <is>
          <t>Shuffle</t>
        </is>
      </c>
      <c r="R65" s="134" t="inlineStr">
        <is>
          <t>Comet</t>
        </is>
      </c>
      <c r="S65" s="134" t="inlineStr">
        <is>
          <t>Red</t>
        </is>
      </c>
      <c r="T65" s="134" t="inlineStr">
        <is>
          <t>Chuck</t>
        </is>
      </c>
      <c r="U65" s="134" t="inlineStr">
        <is>
          <t>Bomb</t>
        </is>
      </c>
      <c r="V65" s="134" t="inlineStr">
        <is>
          <t>UL Bomb</t>
        </is>
      </c>
      <c r="W65" s="134" t="inlineStr">
        <is>
          <t>UL Chuck</t>
        </is>
      </c>
      <c r="X65" s="134" t="inlineStr">
        <is>
          <t>UL Red</t>
        </is>
      </c>
      <c r="Y65" s="134" t="inlineStr">
        <is>
          <t>Unlimited Lives</t>
        </is>
      </c>
    </row>
    <row r="66" ht="15.75" customHeight="1" s="397">
      <c r="B66" s="251" t="inlineStr">
        <is>
          <t>Ads</t>
        </is>
      </c>
      <c r="C66" s="252">
        <f>LET(payer, $C$3, segment, $B$64, ECOGAINS_SIM(payer, segment))</f>
        <v/>
      </c>
      <c r="D66" s="252" t="n"/>
      <c r="E66" s="252" t="n"/>
      <c r="F66" s="252" t="n"/>
      <c r="G66" s="252" t="n"/>
      <c r="H66" s="252" t="n"/>
      <c r="I66" s="252" t="n"/>
      <c r="J66" s="252" t="n"/>
      <c r="K66" s="252" t="n"/>
      <c r="L66" s="252" t="n"/>
      <c r="M66" s="252" t="n"/>
      <c r="O66" s="253">
        <f>LET(payer, $C$3, segment, $B$64, ECOGAINS_DIFF(payer, segment))</f>
        <v/>
      </c>
      <c r="P66" s="253" t="n"/>
      <c r="Q66" s="253" t="n"/>
      <c r="R66" s="253" t="n"/>
      <c r="S66" s="253" t="n"/>
      <c r="T66" s="253" t="n"/>
      <c r="U66" s="253" t="n"/>
      <c r="V66" s="253" t="n"/>
      <c r="W66" s="253" t="n"/>
      <c r="X66" s="253" t="n"/>
      <c r="Y66" s="253" t="n"/>
    </row>
    <row r="67" ht="15.75" customHeight="1" s="397">
      <c r="B67" s="254" t="inlineStr">
        <is>
          <t>Bomb Challenge</t>
        </is>
      </c>
      <c r="C67" s="255" t="n"/>
      <c r="D67" s="255" t="n"/>
      <c r="E67" s="255" t="n"/>
      <c r="F67" s="255" t="n"/>
      <c r="G67" s="255" t="n"/>
      <c r="H67" s="255" t="n"/>
      <c r="I67" s="255" t="n"/>
      <c r="J67" s="255" t="n"/>
      <c r="K67" s="255" t="n"/>
      <c r="L67" s="255" t="n"/>
      <c r="M67" s="255" t="n"/>
      <c r="O67" s="253" t="n"/>
      <c r="P67" s="253" t="n"/>
      <c r="Q67" s="253" t="n"/>
      <c r="R67" s="253" t="n"/>
      <c r="S67" s="253" t="n"/>
      <c r="T67" s="253" t="n"/>
      <c r="U67" s="253" t="n"/>
      <c r="V67" s="253" t="n"/>
      <c r="W67" s="253" t="n"/>
      <c r="X67" s="253" t="n"/>
      <c r="Y67" s="253" t="n"/>
    </row>
    <row r="68" ht="15.75" customHeight="1" s="397">
      <c r="B68" s="254" t="inlineStr">
        <is>
          <t>Bomb's Ballet</t>
        </is>
      </c>
      <c r="C68" s="255" t="n"/>
      <c r="D68" s="255" t="n"/>
      <c r="E68" s="255" t="n"/>
      <c r="F68" s="255" t="n"/>
      <c r="G68" s="255" t="n"/>
      <c r="H68" s="255" t="n"/>
      <c r="I68" s="255" t="n"/>
      <c r="J68" s="255" t="n"/>
      <c r="K68" s="255" t="n"/>
      <c r="L68" s="255" t="n"/>
      <c r="M68" s="255" t="n"/>
      <c r="O68" s="253" t="n"/>
      <c r="P68" s="253" t="n"/>
      <c r="Q68" s="253" t="n"/>
      <c r="R68" s="253" t="n"/>
      <c r="S68" s="253" t="n"/>
      <c r="T68" s="253" t="n"/>
      <c r="U68" s="253" t="n"/>
      <c r="V68" s="253" t="n"/>
      <c r="W68" s="253" t="n"/>
      <c r="X68" s="253" t="n"/>
      <c r="Y68" s="253" t="n"/>
    </row>
    <row r="69" ht="15.75" customHeight="1" s="397">
      <c r="B69" s="254" t="inlineStr">
        <is>
          <t>Chuck Challenge</t>
        </is>
      </c>
      <c r="C69" s="255" t="n"/>
      <c r="D69" s="255" t="n"/>
      <c r="E69" s="255" t="n"/>
      <c r="F69" s="255" t="n"/>
      <c r="G69" s="255" t="n"/>
      <c r="H69" s="255" t="n"/>
      <c r="I69" s="255" t="n"/>
      <c r="J69" s="255" t="n"/>
      <c r="K69" s="255" t="n"/>
      <c r="L69" s="255" t="n"/>
      <c r="M69" s="255" t="n"/>
      <c r="O69" s="253" t="n"/>
      <c r="P69" s="253" t="n"/>
      <c r="Q69" s="253" t="n"/>
      <c r="R69" s="253" t="n"/>
      <c r="S69" s="253" t="n"/>
      <c r="T69" s="253" t="n"/>
      <c r="U69" s="253" t="n"/>
      <c r="V69" s="253" t="n"/>
      <c r="W69" s="253" t="n"/>
      <c r="X69" s="253" t="n"/>
      <c r="Y69" s="253" t="n"/>
    </row>
    <row r="70" ht="15.75" customHeight="1" s="397">
      <c r="B70" s="251" t="inlineStr">
        <is>
          <t>Core</t>
        </is>
      </c>
      <c r="C70" s="252" t="n"/>
      <c r="D70" s="252" t="n"/>
      <c r="E70" s="252" t="n"/>
      <c r="F70" s="252" t="n"/>
      <c r="G70" s="252" t="n"/>
      <c r="H70" s="252" t="n"/>
      <c r="I70" s="252" t="n"/>
      <c r="J70" s="252" t="n"/>
      <c r="K70" s="252" t="n"/>
      <c r="L70" s="252" t="n"/>
      <c r="M70" s="252" t="n"/>
      <c r="O70" s="253" t="n"/>
      <c r="P70" s="253" t="n"/>
      <c r="Q70" s="253" t="n"/>
      <c r="R70" s="253" t="n"/>
      <c r="S70" s="253" t="n"/>
      <c r="T70" s="253" t="n"/>
      <c r="U70" s="253" t="n"/>
      <c r="V70" s="253" t="n"/>
      <c r="W70" s="253" t="n"/>
      <c r="X70" s="253" t="n"/>
      <c r="Y70" s="253" t="n"/>
    </row>
    <row r="71" ht="15.75" customHeight="1" s="397">
      <c r="B71" s="256" t="inlineStr">
        <is>
          <t>Daily Gift</t>
        </is>
      </c>
      <c r="C71" s="255" t="n"/>
      <c r="D71" s="255" t="n"/>
      <c r="E71" s="255" t="n"/>
      <c r="F71" s="255" t="n"/>
      <c r="G71" s="255" t="n"/>
      <c r="H71" s="255" t="n"/>
      <c r="I71" s="255" t="n"/>
      <c r="J71" s="255" t="n"/>
      <c r="K71" s="255" t="n"/>
      <c r="L71" s="255" t="n"/>
      <c r="M71" s="255" t="n"/>
      <c r="O71" s="253" t="n"/>
      <c r="P71" s="253" t="n"/>
      <c r="Q71" s="253" t="n"/>
      <c r="R71" s="253" t="n"/>
      <c r="S71" s="253" t="n"/>
      <c r="T71" s="253" t="n"/>
      <c r="U71" s="253" t="n"/>
      <c r="V71" s="253" t="n"/>
      <c r="W71" s="253" t="n"/>
      <c r="X71" s="253" t="n"/>
      <c r="Y71" s="253" t="n"/>
    </row>
    <row r="72" ht="15.75" customHeight="1" s="397">
      <c r="B72" s="256" t="inlineStr">
        <is>
          <t>Daily Night Sky Prize</t>
        </is>
      </c>
      <c r="C72" s="252" t="n"/>
      <c r="D72" s="252" t="n"/>
      <c r="E72" s="252" t="n"/>
      <c r="F72" s="252" t="n"/>
      <c r="G72" s="252" t="n"/>
      <c r="H72" s="252" t="n"/>
      <c r="I72" s="252" t="n"/>
      <c r="J72" s="252" t="n"/>
      <c r="K72" s="252" t="n"/>
      <c r="L72" s="252" t="n"/>
      <c r="M72" s="252" t="n"/>
      <c r="O72" s="253" t="n"/>
      <c r="P72" s="253" t="n"/>
      <c r="Q72" s="253" t="n"/>
      <c r="R72" s="253" t="n"/>
      <c r="S72" s="253" t="n"/>
      <c r="T72" s="253" t="n"/>
      <c r="U72" s="253" t="n"/>
      <c r="V72" s="253" t="n"/>
      <c r="W72" s="253" t="n"/>
      <c r="X72" s="253" t="n"/>
      <c r="Y72" s="253" t="n"/>
    </row>
    <row r="73" ht="15.75" customHeight="1" s="397">
      <c r="B73" s="251" t="inlineStr">
        <is>
          <t>Flock Flurry</t>
        </is>
      </c>
      <c r="C73" s="252" t="n"/>
      <c r="D73" s="252" t="n"/>
      <c r="E73" s="252" t="n"/>
      <c r="F73" s="252" t="n"/>
      <c r="G73" s="252" t="n"/>
      <c r="H73" s="252" t="n"/>
      <c r="I73" s="252" t="n"/>
      <c r="J73" s="252" t="n"/>
      <c r="K73" s="252" t="n"/>
      <c r="L73" s="252" t="n"/>
      <c r="M73" s="252" t="n"/>
      <c r="O73" s="253" t="n"/>
      <c r="P73" s="253" t="n"/>
      <c r="Q73" s="253" t="n"/>
      <c r="R73" s="253" t="n"/>
      <c r="S73" s="253" t="n"/>
      <c r="T73" s="253" t="n"/>
      <c r="U73" s="253" t="n"/>
      <c r="V73" s="253" t="n"/>
      <c r="W73" s="253" t="n"/>
      <c r="X73" s="253" t="n"/>
      <c r="Y73" s="253" t="n"/>
    </row>
    <row r="74" ht="15.75" customHeight="1" s="397">
      <c r="B74" s="254" t="inlineStr">
        <is>
          <t>Hatchling Hideaway</t>
        </is>
      </c>
      <c r="C74" s="255" t="n"/>
      <c r="D74" s="255" t="n"/>
      <c r="E74" s="255" t="n"/>
      <c r="F74" s="255" t="n"/>
      <c r="G74" s="255" t="n"/>
      <c r="H74" s="255" t="n"/>
      <c r="I74" s="255" t="n"/>
      <c r="J74" s="255" t="n"/>
      <c r="K74" s="255" t="n"/>
      <c r="L74" s="255" t="n"/>
      <c r="M74" s="255" t="n"/>
      <c r="O74" s="253" t="n"/>
      <c r="P74" s="253" t="n"/>
      <c r="Q74" s="253" t="n"/>
      <c r="R74" s="253" t="n"/>
      <c r="S74" s="253" t="n"/>
      <c r="T74" s="253" t="n"/>
      <c r="U74" s="253" t="n"/>
      <c r="V74" s="253" t="n"/>
      <c r="W74" s="253" t="n"/>
      <c r="X74" s="253" t="n"/>
      <c r="Y74" s="253" t="n"/>
    </row>
    <row r="75" ht="15.75" customHeight="1" s="397">
      <c r="B75" s="254" t="inlineStr">
        <is>
          <t>Jigsaw</t>
        </is>
      </c>
      <c r="C75" s="255" t="n"/>
      <c r="D75" s="255" t="n"/>
      <c r="E75" s="255" t="n"/>
      <c r="F75" s="255" t="n"/>
      <c r="G75" s="255" t="n"/>
      <c r="H75" s="255" t="n"/>
      <c r="I75" s="255" t="n"/>
      <c r="J75" s="255" t="n"/>
      <c r="K75" s="255" t="n"/>
      <c r="L75" s="255" t="n"/>
      <c r="M75" s="255" t="n"/>
      <c r="O75" s="253" t="n"/>
      <c r="P75" s="253" t="n"/>
      <c r="Q75" s="253" t="n"/>
      <c r="R75" s="253" t="n"/>
      <c r="S75" s="253" t="n"/>
      <c r="T75" s="253" t="n"/>
      <c r="U75" s="253" t="n"/>
      <c r="V75" s="253" t="n"/>
      <c r="W75" s="253" t="n"/>
      <c r="X75" s="253" t="n"/>
      <c r="Y75" s="253" t="n"/>
    </row>
    <row r="76" ht="15.75" customHeight="1" s="397">
      <c r="B76" s="254" t="inlineStr">
        <is>
          <t>Kite Festival</t>
        </is>
      </c>
      <c r="C76" s="255" t="n"/>
      <c r="D76" s="255" t="n"/>
      <c r="E76" s="255" t="n"/>
      <c r="F76" s="255" t="n"/>
      <c r="G76" s="255" t="n"/>
      <c r="H76" s="255" t="n"/>
      <c r="I76" s="255" t="n"/>
      <c r="J76" s="255" t="n"/>
      <c r="K76" s="255" t="n"/>
      <c r="L76" s="255" t="n"/>
      <c r="M76" s="255" t="n"/>
      <c r="O76" s="253" t="n"/>
      <c r="P76" s="253" t="n"/>
      <c r="Q76" s="253" t="n"/>
      <c r="R76" s="253" t="n"/>
      <c r="S76" s="253" t="n"/>
      <c r="T76" s="253" t="n"/>
      <c r="U76" s="253" t="n"/>
      <c r="V76" s="253" t="n"/>
      <c r="W76" s="253" t="n"/>
      <c r="X76" s="253" t="n"/>
      <c r="Y76" s="253" t="n"/>
    </row>
    <row r="77" ht="15.75" customHeight="1" s="397">
      <c r="B77" s="254" t="inlineStr">
        <is>
          <t>Level Race</t>
        </is>
      </c>
      <c r="C77" s="255" t="n"/>
      <c r="D77" s="255" t="n"/>
      <c r="E77" s="255" t="n"/>
      <c r="F77" s="255" t="n"/>
      <c r="G77" s="255" t="n"/>
      <c r="H77" s="255" t="n"/>
      <c r="I77" s="255" t="n"/>
      <c r="J77" s="255" t="n"/>
      <c r="K77" s="255" t="n"/>
      <c r="L77" s="255" t="n"/>
      <c r="M77" s="255" t="n"/>
      <c r="O77" s="253" t="n"/>
      <c r="P77" s="253" t="n"/>
      <c r="Q77" s="253" t="n"/>
      <c r="R77" s="253" t="n"/>
      <c r="S77" s="253" t="n"/>
      <c r="T77" s="253" t="n"/>
      <c r="U77" s="253" t="n"/>
      <c r="V77" s="253" t="n"/>
      <c r="W77" s="253" t="n"/>
      <c r="X77" s="253" t="n"/>
      <c r="Y77" s="253" t="n"/>
    </row>
    <row r="78" ht="15.75" customHeight="1" s="397">
      <c r="B78" s="251" t="inlineStr">
        <is>
          <t>Other</t>
        </is>
      </c>
      <c r="C78" s="252" t="n"/>
      <c r="D78" s="252" t="n"/>
      <c r="E78" s="252" t="n"/>
      <c r="F78" s="252" t="n"/>
      <c r="G78" s="252" t="n"/>
      <c r="H78" s="252" t="n"/>
      <c r="I78" s="252" t="n"/>
      <c r="J78" s="252" t="n"/>
      <c r="K78" s="252" t="n"/>
      <c r="L78" s="252" t="n"/>
      <c r="M78" s="252" t="n"/>
      <c r="O78" s="253" t="n"/>
      <c r="P78" s="253" t="n"/>
      <c r="Q78" s="253" t="n"/>
      <c r="R78" s="253" t="n"/>
      <c r="S78" s="253" t="n"/>
      <c r="T78" s="253" t="n"/>
      <c r="U78" s="253" t="n"/>
      <c r="V78" s="253" t="n"/>
      <c r="W78" s="253" t="n"/>
      <c r="X78" s="253" t="n"/>
      <c r="Y78" s="253" t="n"/>
    </row>
    <row r="79" ht="15.75" customHeight="1" s="397">
      <c r="B79" s="254" t="inlineStr">
        <is>
          <t>Photoshoot</t>
        </is>
      </c>
      <c r="C79" s="255" t="n"/>
      <c r="D79" s="255" t="n"/>
      <c r="E79" s="255" t="n"/>
      <c r="F79" s="255" t="n"/>
      <c r="G79" s="255" t="n"/>
      <c r="H79" s="255" t="n"/>
      <c r="I79" s="255" t="n"/>
      <c r="J79" s="255" t="n"/>
      <c r="K79" s="255" t="n"/>
      <c r="L79" s="255" t="n"/>
      <c r="M79" s="255" t="n"/>
      <c r="O79" s="253" t="n"/>
      <c r="P79" s="253" t="n"/>
      <c r="Q79" s="253" t="n"/>
      <c r="R79" s="253" t="n"/>
      <c r="S79" s="253" t="n"/>
      <c r="T79" s="253" t="n"/>
      <c r="U79" s="253" t="n"/>
      <c r="V79" s="253" t="n"/>
      <c r="W79" s="253" t="n"/>
      <c r="X79" s="253" t="n"/>
      <c r="Y79" s="253" t="n"/>
    </row>
    <row r="80" ht="15.75" customHeight="1" s="397">
      <c r="B80" s="254" t="inlineStr">
        <is>
          <t>Red Challenge</t>
        </is>
      </c>
      <c r="C80" s="255" t="n"/>
      <c r="D80" s="255" t="n"/>
      <c r="E80" s="255" t="n"/>
      <c r="F80" s="255" t="n"/>
      <c r="G80" s="255" t="n"/>
      <c r="H80" s="255" t="n"/>
      <c r="I80" s="255" t="n"/>
      <c r="J80" s="255" t="n"/>
      <c r="K80" s="255" t="n"/>
      <c r="L80" s="255" t="n"/>
      <c r="M80" s="255" t="n"/>
      <c r="O80" s="253" t="n"/>
      <c r="P80" s="253" t="n"/>
      <c r="Q80" s="253" t="n"/>
      <c r="R80" s="253" t="n"/>
      <c r="S80" s="253" t="n"/>
      <c r="T80" s="253" t="n"/>
      <c r="U80" s="253" t="n"/>
      <c r="V80" s="253" t="n"/>
      <c r="W80" s="253" t="n"/>
      <c r="X80" s="253" t="n"/>
      <c r="Y80" s="253" t="n"/>
    </row>
    <row r="81" ht="15.75" customHeight="1" s="397">
      <c r="B81" s="254" t="inlineStr">
        <is>
          <t>River Rush</t>
        </is>
      </c>
      <c r="C81" s="255" t="n"/>
      <c r="D81" s="255" t="n"/>
      <c r="E81" s="255" t="n"/>
      <c r="F81" s="255" t="n"/>
      <c r="G81" s="255" t="n"/>
      <c r="H81" s="255" t="n"/>
      <c r="I81" s="255" t="n"/>
      <c r="J81" s="255" t="n"/>
      <c r="K81" s="255" t="n"/>
      <c r="L81" s="255" t="n"/>
      <c r="M81" s="255" t="n"/>
      <c r="O81" s="253" t="n"/>
      <c r="P81" s="253" t="n"/>
      <c r="Q81" s="253" t="n"/>
      <c r="R81" s="253" t="n"/>
      <c r="S81" s="253" t="n"/>
      <c r="T81" s="253" t="n"/>
      <c r="U81" s="253" t="n"/>
      <c r="V81" s="253" t="n"/>
      <c r="W81" s="253" t="n"/>
      <c r="X81" s="253" t="n"/>
      <c r="Y81" s="253" t="n"/>
    </row>
    <row r="82" ht="15.75" customHeight="1" s="397">
      <c r="B82" s="256" t="inlineStr">
        <is>
          <t>Saga</t>
        </is>
      </c>
      <c r="C82" s="255" t="n"/>
      <c r="D82" s="255" t="n"/>
      <c r="E82" s="255" t="n"/>
      <c r="F82" s="255" t="n"/>
      <c r="G82" s="255" t="n"/>
      <c r="H82" s="255" t="n"/>
      <c r="I82" s="255" t="n"/>
      <c r="J82" s="255" t="n"/>
      <c r="K82" s="255" t="n"/>
      <c r="L82" s="255" t="n"/>
      <c r="M82" s="255" t="n"/>
      <c r="O82" s="253" t="n"/>
      <c r="P82" s="253" t="n"/>
      <c r="Q82" s="253" t="n"/>
      <c r="R82" s="253" t="n"/>
      <c r="S82" s="253" t="n"/>
      <c r="T82" s="253" t="n"/>
      <c r="U82" s="253" t="n"/>
      <c r="V82" s="253" t="n"/>
      <c r="W82" s="253" t="n"/>
      <c r="X82" s="253" t="n"/>
      <c r="Y82" s="253" t="n"/>
    </row>
    <row r="83" ht="15.75" customHeight="1" s="397">
      <c r="B83" s="251" t="inlineStr">
        <is>
          <t>Season Pass (Free)</t>
        </is>
      </c>
      <c r="C83" s="252" t="n"/>
      <c r="D83" s="252" t="n"/>
      <c r="E83" s="252" t="n"/>
      <c r="F83" s="252" t="n"/>
      <c r="G83" s="252" t="n"/>
      <c r="H83" s="252" t="n"/>
      <c r="I83" s="252" t="n"/>
      <c r="J83" s="252" t="n"/>
      <c r="K83" s="252" t="n"/>
      <c r="L83" s="252" t="n"/>
      <c r="M83" s="252" t="n"/>
      <c r="O83" s="253" t="n"/>
      <c r="P83" s="253" t="n"/>
      <c r="Q83" s="253" t="n"/>
      <c r="R83" s="253" t="n"/>
      <c r="S83" s="253" t="n"/>
      <c r="T83" s="253" t="n"/>
      <c r="U83" s="253" t="n"/>
      <c r="V83" s="253" t="n"/>
      <c r="W83" s="253" t="n"/>
      <c r="X83" s="253" t="n"/>
      <c r="Y83" s="253" t="n"/>
    </row>
    <row r="84" ht="15.75" customHeight="1" s="397">
      <c r="B84" s="254" t="inlineStr">
        <is>
          <t>Target Day</t>
        </is>
      </c>
      <c r="C84" s="255" t="n"/>
      <c r="D84" s="255" t="n"/>
      <c r="E84" s="255" t="n"/>
      <c r="F84" s="255" t="n"/>
      <c r="G84" s="255" t="n"/>
      <c r="H84" s="255" t="n"/>
      <c r="I84" s="255" t="n"/>
      <c r="J84" s="255" t="n"/>
      <c r="K84" s="255" t="n"/>
      <c r="L84" s="255" t="n"/>
      <c r="M84" s="255" t="n"/>
      <c r="O84" s="253" t="n"/>
      <c r="P84" s="253" t="n"/>
      <c r="Q84" s="253" t="n"/>
      <c r="R84" s="253" t="n"/>
      <c r="S84" s="253" t="n"/>
      <c r="T84" s="253" t="n"/>
      <c r="U84" s="253" t="n"/>
      <c r="V84" s="253" t="n"/>
      <c r="W84" s="253" t="n"/>
      <c r="X84" s="253" t="n"/>
      <c r="Y84" s="253" t="n"/>
    </row>
    <row r="85" ht="15.75" customHeight="1" s="397">
      <c r="B85" s="251" t="inlineStr">
        <is>
          <t>Team Event</t>
        </is>
      </c>
      <c r="C85" s="252" t="n"/>
      <c r="D85" s="252" t="n"/>
      <c r="E85" s="252" t="n"/>
      <c r="F85" s="252" t="n"/>
      <c r="G85" s="252" t="n"/>
      <c r="H85" s="252" t="n"/>
      <c r="I85" s="252" t="n"/>
      <c r="J85" s="252" t="n"/>
      <c r="K85" s="252" t="n"/>
      <c r="L85" s="252" t="n"/>
      <c r="M85" s="252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3" t="n"/>
      <c r="Y85" s="253" t="n"/>
    </row>
    <row r="86" ht="15.75" customHeight="1" s="397">
      <c r="B86" s="251" t="inlineStr">
        <is>
          <t>Team Race</t>
        </is>
      </c>
      <c r="C86" s="252" t="n"/>
      <c r="D86" s="252" t="n"/>
      <c r="E86" s="252" t="n"/>
      <c r="F86" s="252" t="n"/>
      <c r="G86" s="252" t="n"/>
      <c r="H86" s="252" t="n"/>
      <c r="I86" s="252" t="n"/>
      <c r="J86" s="252" t="n"/>
      <c r="K86" s="252" t="n"/>
      <c r="L86" s="252" t="n"/>
      <c r="M86" s="252" t="n"/>
      <c r="O86" s="253" t="n"/>
      <c r="P86" s="253" t="n"/>
      <c r="Q86" s="253" t="n"/>
      <c r="R86" s="253" t="n"/>
      <c r="S86" s="253" t="n"/>
      <c r="T86" s="253" t="n"/>
      <c r="U86" s="253" t="n"/>
      <c r="V86" s="253" t="n"/>
      <c r="W86" s="253" t="n"/>
      <c r="X86" s="253" t="n"/>
      <c r="Y86" s="253" t="n"/>
    </row>
    <row r="87" ht="15.75" customHeight="1" s="397">
      <c r="B87" s="254" t="inlineStr">
        <is>
          <t>Flash Race</t>
        </is>
      </c>
      <c r="C87" s="255" t="n"/>
      <c r="D87" s="255" t="n"/>
      <c r="E87" s="255" t="n"/>
      <c r="F87" s="255" t="n"/>
      <c r="G87" s="255" t="n"/>
      <c r="H87" s="255" t="n"/>
      <c r="I87" s="255" t="n"/>
      <c r="J87" s="255" t="n"/>
      <c r="K87" s="255" t="n"/>
      <c r="L87" s="255" t="n"/>
      <c r="M87" s="255" t="n"/>
      <c r="O87" s="253" t="n"/>
      <c r="P87" s="253" t="n"/>
      <c r="Q87" s="253" t="n"/>
      <c r="R87" s="253" t="n"/>
      <c r="S87" s="253" t="n"/>
      <c r="T87" s="253" t="n"/>
      <c r="U87" s="253" t="n"/>
      <c r="V87" s="253" t="n"/>
      <c r="W87" s="253" t="n"/>
      <c r="X87" s="253" t="n"/>
      <c r="Y87" s="253" t="n"/>
    </row>
    <row r="88" ht="15.75" customHeight="1" s="397">
      <c r="B88" s="251" t="inlineStr">
        <is>
          <t>FlowerCoop</t>
        </is>
      </c>
      <c r="C88" s="252" t="n"/>
      <c r="D88" s="252" t="n"/>
      <c r="E88" s="252" t="n"/>
      <c r="F88" s="252" t="n"/>
      <c r="G88" s="252" t="n"/>
      <c r="H88" s="252" t="n"/>
      <c r="I88" s="252" t="n"/>
      <c r="J88" s="252" t="n"/>
      <c r="K88" s="252" t="n"/>
      <c r="L88" s="252" t="n"/>
      <c r="M88" s="252" t="n"/>
      <c r="O88" s="253" t="n"/>
      <c r="P88" s="253" t="n"/>
      <c r="Q88" s="253" t="n"/>
      <c r="R88" s="253" t="n"/>
      <c r="S88" s="253" t="n"/>
      <c r="T88" s="253" t="n"/>
      <c r="U88" s="253" t="n"/>
      <c r="V88" s="253" t="n"/>
      <c r="W88" s="253" t="n"/>
      <c r="X88" s="253" t="n"/>
      <c r="Y88" s="253" t="n"/>
    </row>
    <row r="89" ht="15.75" customHeight="1" s="397">
      <c r="B89" s="254" t="inlineStr">
        <is>
          <t>Rainbow Maker</t>
        </is>
      </c>
      <c r="C89" s="255" t="n"/>
      <c r="D89" s="255" t="n"/>
      <c r="E89" s="255" t="n"/>
      <c r="F89" s="255" t="n"/>
      <c r="G89" s="255" t="n"/>
      <c r="H89" s="255" t="n"/>
      <c r="I89" s="255" t="n"/>
      <c r="J89" s="255" t="n"/>
      <c r="K89" s="255" t="n"/>
      <c r="L89" s="255" t="n"/>
      <c r="M89" s="255" t="n"/>
      <c r="O89" s="253" t="n"/>
      <c r="P89" s="253" t="n"/>
      <c r="Q89" s="253" t="n"/>
      <c r="R89" s="253" t="n"/>
      <c r="S89" s="253" t="n"/>
      <c r="T89" s="253" t="n"/>
      <c r="U89" s="253" t="n"/>
      <c r="V89" s="253" t="n"/>
      <c r="W89" s="253" t="n"/>
      <c r="X89" s="253" t="n"/>
      <c r="Y89" s="253" t="n"/>
    </row>
    <row r="90" ht="15.75" customHeight="1" s="397">
      <c r="B90" s="251" t="inlineStr">
        <is>
          <t>IAPs</t>
        </is>
      </c>
      <c r="C90" s="252" t="n"/>
      <c r="D90" s="252" t="n"/>
      <c r="E90" s="252" t="n"/>
      <c r="F90" s="252" t="n"/>
      <c r="G90" s="252" t="n"/>
      <c r="H90" s="252" t="n"/>
      <c r="I90" s="252" t="n"/>
      <c r="J90" s="252" t="n"/>
      <c r="K90" s="252" t="n"/>
      <c r="L90" s="252" t="n"/>
      <c r="M90" s="252" t="n"/>
      <c r="O90" s="253" t="n"/>
      <c r="P90" s="253" t="n"/>
      <c r="Q90" s="253" t="n"/>
      <c r="R90" s="253" t="n"/>
      <c r="S90" s="253" t="n"/>
      <c r="T90" s="253" t="n"/>
      <c r="U90" s="253" t="n"/>
      <c r="V90" s="253" t="n"/>
      <c r="W90" s="253" t="n"/>
      <c r="X90" s="253" t="n"/>
      <c r="Y90" s="253" t="n"/>
    </row>
    <row r="91" ht="15.75" customHeight="1" s="397"/>
    <row r="92" ht="15.75" customHeight="1" s="397"/>
    <row r="93" ht="15.75" customHeight="1" s="397">
      <c r="B93" s="249" t="inlineStr">
        <is>
          <t>40-99</t>
        </is>
      </c>
      <c r="C93" s="250" t="inlineStr">
        <is>
          <t>40-99 Segment - Over Time Period</t>
        </is>
      </c>
      <c r="O93" s="250" t="inlineStr">
        <is>
          <t>40-99 Segment - Over Time Period - Difference</t>
        </is>
      </c>
    </row>
    <row r="94" ht="15.75" customHeight="1" s="397">
      <c r="B94" s="141" t="inlineStr">
        <is>
          <t>Source</t>
        </is>
      </c>
      <c r="C94" s="134" t="inlineStr">
        <is>
          <t>HC</t>
        </is>
      </c>
      <c r="D94" s="134" t="inlineStr">
        <is>
          <t>Slingshot</t>
        </is>
      </c>
      <c r="E94" s="134" t="inlineStr">
        <is>
          <t>Shuffle</t>
        </is>
      </c>
      <c r="F94" s="134" t="inlineStr">
        <is>
          <t>Comet</t>
        </is>
      </c>
      <c r="G94" s="134" t="inlineStr">
        <is>
          <t>Red</t>
        </is>
      </c>
      <c r="H94" s="134" t="inlineStr">
        <is>
          <t>Chuck</t>
        </is>
      </c>
      <c r="I94" s="134" t="inlineStr">
        <is>
          <t>Bomb</t>
        </is>
      </c>
      <c r="J94" s="134" t="inlineStr">
        <is>
          <t>UL Bomb</t>
        </is>
      </c>
      <c r="K94" s="134" t="inlineStr">
        <is>
          <t>UL Chuck</t>
        </is>
      </c>
      <c r="L94" s="134" t="inlineStr">
        <is>
          <t>UL Red</t>
        </is>
      </c>
      <c r="M94" s="134" t="inlineStr">
        <is>
          <t>Unlimited Lives</t>
        </is>
      </c>
      <c r="O94" s="134" t="inlineStr">
        <is>
          <t>HC</t>
        </is>
      </c>
      <c r="P94" s="134" t="inlineStr">
        <is>
          <t>Slingshot</t>
        </is>
      </c>
      <c r="Q94" s="134" t="inlineStr">
        <is>
          <t>Shuffle</t>
        </is>
      </c>
      <c r="R94" s="134" t="inlineStr">
        <is>
          <t>Comet</t>
        </is>
      </c>
      <c r="S94" s="134" t="inlineStr">
        <is>
          <t>Red</t>
        </is>
      </c>
      <c r="T94" s="134" t="inlineStr">
        <is>
          <t>Chuck</t>
        </is>
      </c>
      <c r="U94" s="134" t="inlineStr">
        <is>
          <t>Bomb</t>
        </is>
      </c>
      <c r="V94" s="134" t="inlineStr">
        <is>
          <t>UL Bomb</t>
        </is>
      </c>
      <c r="W94" s="134" t="inlineStr">
        <is>
          <t>UL Chuck</t>
        </is>
      </c>
      <c r="X94" s="134" t="inlineStr">
        <is>
          <t>UL Red</t>
        </is>
      </c>
      <c r="Y94" s="134" t="inlineStr">
        <is>
          <t>Unlimited Lives</t>
        </is>
      </c>
    </row>
    <row r="95" ht="15.75" customHeight="1" s="397">
      <c r="B95" s="251" t="inlineStr">
        <is>
          <t>Ads</t>
        </is>
      </c>
      <c r="C95" s="252">
        <f>LET(payer, $C$3, segment, $B$93, ECOGAINS_SIM(payer, segment))</f>
        <v/>
      </c>
      <c r="D95" s="252" t="n"/>
      <c r="E95" s="252" t="n"/>
      <c r="F95" s="252" t="n"/>
      <c r="G95" s="252" t="n"/>
      <c r="H95" s="252" t="n"/>
      <c r="I95" s="252" t="n"/>
      <c r="J95" s="252" t="n"/>
      <c r="K95" s="252" t="n"/>
      <c r="L95" s="252" t="n"/>
      <c r="M95" s="252" t="n"/>
      <c r="O95" s="253">
        <f>LET(payer, $C$3, segment, $B$93, ECOGAINS_DIFF(payer, segment))</f>
        <v/>
      </c>
      <c r="P95" s="253" t="n"/>
      <c r="Q95" s="253" t="n"/>
      <c r="R95" s="253" t="n"/>
      <c r="S95" s="253" t="n"/>
      <c r="T95" s="253" t="n"/>
      <c r="U95" s="253" t="n"/>
      <c r="V95" s="253" t="n"/>
      <c r="W95" s="253" t="n"/>
      <c r="X95" s="253" t="n"/>
      <c r="Y95" s="253" t="n"/>
    </row>
    <row r="96" ht="15.75" customHeight="1" s="397">
      <c r="B96" s="254" t="inlineStr">
        <is>
          <t>Bomb Challenge</t>
        </is>
      </c>
      <c r="C96" s="255" t="n"/>
      <c r="D96" s="255" t="n"/>
      <c r="E96" s="255" t="n"/>
      <c r="F96" s="255" t="n"/>
      <c r="G96" s="255" t="n"/>
      <c r="H96" s="255" t="n"/>
      <c r="I96" s="255" t="n"/>
      <c r="J96" s="255" t="n"/>
      <c r="K96" s="255" t="n"/>
      <c r="L96" s="255" t="n"/>
      <c r="M96" s="255" t="n"/>
      <c r="O96" s="253" t="n"/>
      <c r="P96" s="253" t="n"/>
      <c r="Q96" s="253" t="n"/>
      <c r="R96" s="253" t="n"/>
      <c r="S96" s="253" t="n"/>
      <c r="T96" s="253" t="n"/>
      <c r="U96" s="253" t="n"/>
      <c r="V96" s="253" t="n"/>
      <c r="W96" s="253" t="n"/>
      <c r="X96" s="253" t="n"/>
      <c r="Y96" s="253" t="n"/>
    </row>
    <row r="97" ht="15.75" customHeight="1" s="397">
      <c r="B97" s="254" t="inlineStr">
        <is>
          <t>Bomb's Ballet</t>
        </is>
      </c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O97" s="253" t="n"/>
      <c r="P97" s="253" t="n"/>
      <c r="Q97" s="253" t="n"/>
      <c r="R97" s="253" t="n"/>
      <c r="S97" s="253" t="n"/>
      <c r="T97" s="253" t="n"/>
      <c r="U97" s="253" t="n"/>
      <c r="V97" s="253" t="n"/>
      <c r="W97" s="253" t="n"/>
      <c r="X97" s="253" t="n"/>
      <c r="Y97" s="253" t="n"/>
    </row>
    <row r="98" ht="15.75" customHeight="1" s="397">
      <c r="B98" s="254" t="inlineStr">
        <is>
          <t>Chuck Challenge</t>
        </is>
      </c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O98" s="253" t="n"/>
      <c r="P98" s="253" t="n"/>
      <c r="Q98" s="253" t="n"/>
      <c r="R98" s="253" t="n"/>
      <c r="S98" s="253" t="n"/>
      <c r="T98" s="253" t="n"/>
      <c r="U98" s="253" t="n"/>
      <c r="V98" s="253" t="n"/>
      <c r="W98" s="253" t="n"/>
      <c r="X98" s="253" t="n"/>
      <c r="Y98" s="253" t="n"/>
    </row>
    <row r="99" ht="15.75" customHeight="1" s="397">
      <c r="B99" s="251" t="inlineStr">
        <is>
          <t>Core</t>
        </is>
      </c>
      <c r="C99" s="252" t="n"/>
      <c r="D99" s="252" t="n"/>
      <c r="E99" s="252" t="n"/>
      <c r="F99" s="252" t="n"/>
      <c r="G99" s="252" t="n"/>
      <c r="H99" s="252" t="n"/>
      <c r="I99" s="252" t="n"/>
      <c r="J99" s="252" t="n"/>
      <c r="K99" s="252" t="n"/>
      <c r="L99" s="252" t="n"/>
      <c r="M99" s="252" t="n"/>
      <c r="O99" s="253" t="n"/>
      <c r="P99" s="253" t="n"/>
      <c r="Q99" s="253" t="n"/>
      <c r="R99" s="253" t="n"/>
      <c r="S99" s="253" t="n"/>
      <c r="T99" s="253" t="n"/>
      <c r="U99" s="253" t="n"/>
      <c r="V99" s="253" t="n"/>
      <c r="W99" s="253" t="n"/>
      <c r="X99" s="253" t="n"/>
      <c r="Y99" s="253" t="n"/>
    </row>
    <row r="100" ht="15.75" customHeight="1" s="397">
      <c r="B100" s="256" t="inlineStr">
        <is>
          <t>Daily Gift</t>
        </is>
      </c>
      <c r="C100" s="255" t="n"/>
      <c r="D100" s="255" t="n"/>
      <c r="E100" s="255" t="n"/>
      <c r="F100" s="255" t="n"/>
      <c r="G100" s="255" t="n"/>
      <c r="H100" s="255" t="n"/>
      <c r="I100" s="255" t="n"/>
      <c r="J100" s="255" t="n"/>
      <c r="K100" s="255" t="n"/>
      <c r="L100" s="255" t="n"/>
      <c r="M100" s="255" t="n"/>
      <c r="O100" s="253" t="n"/>
      <c r="P100" s="253" t="n"/>
      <c r="Q100" s="253" t="n"/>
      <c r="R100" s="253" t="n"/>
      <c r="S100" s="253" t="n"/>
      <c r="T100" s="253" t="n"/>
      <c r="U100" s="253" t="n"/>
      <c r="V100" s="253" t="n"/>
      <c r="W100" s="253" t="n"/>
      <c r="X100" s="253" t="n"/>
      <c r="Y100" s="253" t="n"/>
    </row>
    <row r="101" ht="15.75" customHeight="1" s="397">
      <c r="B101" s="256" t="inlineStr">
        <is>
          <t>Daily Night Sky Prize</t>
        </is>
      </c>
      <c r="C101" s="255" t="n"/>
      <c r="D101" s="255" t="n"/>
      <c r="E101" s="255" t="n"/>
      <c r="F101" s="255" t="n"/>
      <c r="G101" s="255" t="n"/>
      <c r="H101" s="255" t="n"/>
      <c r="I101" s="255" t="n"/>
      <c r="J101" s="255" t="n"/>
      <c r="K101" s="255" t="n"/>
      <c r="L101" s="255" t="n"/>
      <c r="M101" s="255" t="n"/>
      <c r="O101" s="253" t="n"/>
      <c r="P101" s="253" t="n"/>
      <c r="Q101" s="253" t="n"/>
      <c r="R101" s="253" t="n"/>
      <c r="S101" s="253" t="n"/>
      <c r="T101" s="253" t="n"/>
      <c r="U101" s="253" t="n"/>
      <c r="V101" s="253" t="n"/>
      <c r="W101" s="253" t="n"/>
      <c r="X101" s="253" t="n"/>
      <c r="Y101" s="253" t="n"/>
    </row>
    <row r="102" ht="15.75" customHeight="1" s="397">
      <c r="B102" s="251" t="inlineStr">
        <is>
          <t>Flock Flurry</t>
        </is>
      </c>
      <c r="C102" s="252" t="n"/>
      <c r="D102" s="252" t="n"/>
      <c r="E102" s="252" t="n"/>
      <c r="F102" s="252" t="n"/>
      <c r="G102" s="252" t="n"/>
      <c r="H102" s="252" t="n"/>
      <c r="I102" s="252" t="n"/>
      <c r="J102" s="252" t="n"/>
      <c r="K102" s="252" t="n"/>
      <c r="L102" s="252" t="n"/>
      <c r="M102" s="252" t="n"/>
      <c r="O102" s="253" t="n"/>
      <c r="P102" s="253" t="n"/>
      <c r="Q102" s="253" t="n"/>
      <c r="R102" s="253" t="n"/>
      <c r="S102" s="253" t="n"/>
      <c r="T102" s="253" t="n"/>
      <c r="U102" s="253" t="n"/>
      <c r="V102" s="253" t="n"/>
      <c r="W102" s="253" t="n"/>
      <c r="X102" s="253" t="n"/>
      <c r="Y102" s="253" t="n"/>
    </row>
    <row r="103" ht="15.75" customHeight="1" s="397">
      <c r="B103" s="254" t="inlineStr">
        <is>
          <t>Hatchling Hideaway</t>
        </is>
      </c>
      <c r="C103" s="255" t="n"/>
      <c r="D103" s="255" t="n"/>
      <c r="E103" s="255" t="n"/>
      <c r="F103" s="255" t="n"/>
      <c r="G103" s="255" t="n"/>
      <c r="H103" s="255" t="n"/>
      <c r="I103" s="255" t="n"/>
      <c r="J103" s="255" t="n"/>
      <c r="K103" s="255" t="n"/>
      <c r="L103" s="255" t="n"/>
      <c r="M103" s="255" t="n"/>
      <c r="O103" s="253" t="n"/>
      <c r="P103" s="253" t="n"/>
      <c r="Q103" s="253" t="n"/>
      <c r="R103" s="253" t="n"/>
      <c r="S103" s="253" t="n"/>
      <c r="T103" s="253" t="n"/>
      <c r="U103" s="253" t="n"/>
      <c r="V103" s="253" t="n"/>
      <c r="W103" s="253" t="n"/>
      <c r="X103" s="253" t="n"/>
      <c r="Y103" s="253" t="n"/>
    </row>
    <row r="104" ht="15.75" customHeight="1" s="397">
      <c r="B104" s="254" t="inlineStr">
        <is>
          <t>Jigsaw</t>
        </is>
      </c>
      <c r="C104" s="255" t="n"/>
      <c r="D104" s="255" t="n"/>
      <c r="E104" s="255" t="n"/>
      <c r="F104" s="255" t="n"/>
      <c r="G104" s="255" t="n"/>
      <c r="H104" s="255" t="n"/>
      <c r="I104" s="255" t="n"/>
      <c r="J104" s="255" t="n"/>
      <c r="K104" s="255" t="n"/>
      <c r="L104" s="255" t="n"/>
      <c r="M104" s="255" t="n"/>
      <c r="O104" s="253" t="n"/>
      <c r="P104" s="253" t="n"/>
      <c r="Q104" s="253" t="n"/>
      <c r="R104" s="253" t="n"/>
      <c r="S104" s="253" t="n"/>
      <c r="T104" s="253" t="n"/>
      <c r="U104" s="253" t="n"/>
      <c r="V104" s="253" t="n"/>
      <c r="W104" s="253" t="n"/>
      <c r="X104" s="253" t="n"/>
      <c r="Y104" s="253" t="n"/>
    </row>
    <row r="105" ht="15.75" customHeight="1" s="397">
      <c r="B105" s="254" t="inlineStr">
        <is>
          <t>Kite Festival</t>
        </is>
      </c>
      <c r="C105" s="255" t="n"/>
      <c r="D105" s="255" t="n"/>
      <c r="E105" s="255" t="n"/>
      <c r="F105" s="255" t="n"/>
      <c r="G105" s="255" t="n"/>
      <c r="H105" s="255" t="n"/>
      <c r="I105" s="255" t="n"/>
      <c r="J105" s="255" t="n"/>
      <c r="K105" s="255" t="n"/>
      <c r="L105" s="255" t="n"/>
      <c r="M105" s="255" t="n"/>
      <c r="O105" s="253" t="n"/>
      <c r="P105" s="253" t="n"/>
      <c r="Q105" s="253" t="n"/>
      <c r="R105" s="253" t="n"/>
      <c r="S105" s="253" t="n"/>
      <c r="T105" s="253" t="n"/>
      <c r="U105" s="253" t="n"/>
      <c r="V105" s="253" t="n"/>
      <c r="W105" s="253" t="n"/>
      <c r="X105" s="253" t="n"/>
      <c r="Y105" s="253" t="n"/>
    </row>
    <row r="106" ht="15.75" customHeight="1" s="397">
      <c r="B106" s="254" t="inlineStr">
        <is>
          <t>Level Race</t>
        </is>
      </c>
      <c r="C106" s="255" t="n"/>
      <c r="D106" s="255" t="n"/>
      <c r="E106" s="255" t="n"/>
      <c r="F106" s="255" t="n"/>
      <c r="G106" s="255" t="n"/>
      <c r="H106" s="255" t="n"/>
      <c r="I106" s="255" t="n"/>
      <c r="J106" s="255" t="n"/>
      <c r="K106" s="255" t="n"/>
      <c r="L106" s="255" t="n"/>
      <c r="M106" s="255" t="n"/>
      <c r="O106" s="253" t="n"/>
      <c r="P106" s="253" t="n"/>
      <c r="Q106" s="253" t="n"/>
      <c r="R106" s="253" t="n"/>
      <c r="S106" s="253" t="n"/>
      <c r="T106" s="253" t="n"/>
      <c r="U106" s="253" t="n"/>
      <c r="V106" s="253" t="n"/>
      <c r="W106" s="253" t="n"/>
      <c r="X106" s="253" t="n"/>
      <c r="Y106" s="253" t="n"/>
    </row>
    <row r="107" ht="15.75" customHeight="1" s="397">
      <c r="B107" s="251" t="inlineStr">
        <is>
          <t>Other</t>
        </is>
      </c>
      <c r="C107" s="252" t="n"/>
      <c r="D107" s="252" t="n"/>
      <c r="E107" s="252" t="n"/>
      <c r="F107" s="252" t="n"/>
      <c r="G107" s="252" t="n"/>
      <c r="H107" s="252" t="n"/>
      <c r="I107" s="252" t="n"/>
      <c r="J107" s="252" t="n"/>
      <c r="K107" s="252" t="n"/>
      <c r="L107" s="252" t="n"/>
      <c r="M107" s="252" t="n"/>
      <c r="O107" s="253" t="n"/>
      <c r="P107" s="253" t="n"/>
      <c r="Q107" s="253" t="n"/>
      <c r="R107" s="253" t="n"/>
      <c r="S107" s="253" t="n"/>
      <c r="T107" s="253" t="n"/>
      <c r="U107" s="253" t="n"/>
      <c r="V107" s="253" t="n"/>
      <c r="W107" s="253" t="n"/>
      <c r="X107" s="253" t="n"/>
      <c r="Y107" s="253" t="n"/>
    </row>
    <row r="108" ht="15.75" customHeight="1" s="397">
      <c r="B108" s="254" t="inlineStr">
        <is>
          <t>Photoshoot</t>
        </is>
      </c>
      <c r="C108" s="255" t="n"/>
      <c r="D108" s="255" t="n"/>
      <c r="E108" s="255" t="n"/>
      <c r="F108" s="255" t="n"/>
      <c r="G108" s="255" t="n"/>
      <c r="H108" s="255" t="n"/>
      <c r="I108" s="255" t="n"/>
      <c r="J108" s="255" t="n"/>
      <c r="K108" s="255" t="n"/>
      <c r="L108" s="255" t="n"/>
      <c r="M108" s="255" t="n"/>
      <c r="O108" s="253" t="n"/>
      <c r="P108" s="253" t="n"/>
      <c r="Q108" s="253" t="n"/>
      <c r="R108" s="253" t="n"/>
      <c r="S108" s="253" t="n"/>
      <c r="T108" s="253" t="n"/>
      <c r="U108" s="253" t="n"/>
      <c r="V108" s="253" t="n"/>
      <c r="W108" s="253" t="n"/>
      <c r="X108" s="253" t="n"/>
      <c r="Y108" s="253" t="n"/>
    </row>
    <row r="109" ht="15.75" customHeight="1" s="397">
      <c r="B109" s="254" t="inlineStr">
        <is>
          <t>Red Challenge</t>
        </is>
      </c>
      <c r="C109" s="255" t="n"/>
      <c r="D109" s="255" t="n"/>
      <c r="E109" s="255" t="n"/>
      <c r="F109" s="255" t="n"/>
      <c r="G109" s="255" t="n"/>
      <c r="H109" s="255" t="n"/>
      <c r="I109" s="255" t="n"/>
      <c r="J109" s="255" t="n"/>
      <c r="K109" s="255" t="n"/>
      <c r="L109" s="255" t="n"/>
      <c r="M109" s="255" t="n"/>
      <c r="O109" s="253" t="n"/>
      <c r="P109" s="253" t="n"/>
      <c r="Q109" s="253" t="n"/>
      <c r="R109" s="253" t="n"/>
      <c r="S109" s="253" t="n"/>
      <c r="T109" s="253" t="n"/>
      <c r="U109" s="253" t="n"/>
      <c r="V109" s="253" t="n"/>
      <c r="W109" s="253" t="n"/>
      <c r="X109" s="253" t="n"/>
      <c r="Y109" s="253" t="n"/>
    </row>
    <row r="110" ht="15.75" customHeight="1" s="397">
      <c r="B110" s="254" t="inlineStr">
        <is>
          <t>River Rush</t>
        </is>
      </c>
      <c r="C110" s="255" t="n"/>
      <c r="D110" s="255" t="n"/>
      <c r="E110" s="255" t="n"/>
      <c r="F110" s="255" t="n"/>
      <c r="G110" s="255" t="n"/>
      <c r="H110" s="255" t="n"/>
      <c r="I110" s="255" t="n"/>
      <c r="J110" s="255" t="n"/>
      <c r="K110" s="255" t="n"/>
      <c r="L110" s="255" t="n"/>
      <c r="M110" s="255" t="n"/>
      <c r="O110" s="253" t="n"/>
      <c r="P110" s="253" t="n"/>
      <c r="Q110" s="253" t="n"/>
      <c r="R110" s="253" t="n"/>
      <c r="S110" s="253" t="n"/>
      <c r="T110" s="253" t="n"/>
      <c r="U110" s="253" t="n"/>
      <c r="V110" s="253" t="n"/>
      <c r="W110" s="253" t="n"/>
      <c r="X110" s="253" t="n"/>
      <c r="Y110" s="253" t="n"/>
    </row>
    <row r="111" ht="15.75" customHeight="1" s="397">
      <c r="B111" s="256" t="inlineStr">
        <is>
          <t>Saga</t>
        </is>
      </c>
      <c r="C111" s="255" t="n"/>
      <c r="D111" s="255" t="n"/>
      <c r="E111" s="255" t="n"/>
      <c r="F111" s="255" t="n"/>
      <c r="G111" s="255" t="n"/>
      <c r="H111" s="255" t="n"/>
      <c r="I111" s="255" t="n"/>
      <c r="J111" s="255" t="n"/>
      <c r="K111" s="255" t="n"/>
      <c r="L111" s="255" t="n"/>
      <c r="M111" s="255" t="n"/>
      <c r="O111" s="253" t="n"/>
      <c r="P111" s="253" t="n"/>
      <c r="Q111" s="253" t="n"/>
      <c r="R111" s="253" t="n"/>
      <c r="S111" s="253" t="n"/>
      <c r="T111" s="253" t="n"/>
      <c r="U111" s="253" t="n"/>
      <c r="V111" s="253" t="n"/>
      <c r="W111" s="253" t="n"/>
      <c r="X111" s="253" t="n"/>
      <c r="Y111" s="253" t="n"/>
    </row>
    <row r="112" ht="15.75" customHeight="1" s="397">
      <c r="B112" s="251" t="inlineStr">
        <is>
          <t>Season Pass (Free)</t>
        </is>
      </c>
      <c r="C112" s="252" t="n"/>
      <c r="D112" s="252" t="n"/>
      <c r="E112" s="252" t="n"/>
      <c r="F112" s="252" t="n"/>
      <c r="G112" s="252" t="n"/>
      <c r="H112" s="252" t="n"/>
      <c r="I112" s="252" t="n"/>
      <c r="J112" s="252" t="n"/>
      <c r="K112" s="252" t="n"/>
      <c r="L112" s="252" t="n"/>
      <c r="M112" s="252" t="n"/>
      <c r="O112" s="253" t="n"/>
      <c r="P112" s="253" t="n"/>
      <c r="Q112" s="253" t="n"/>
      <c r="R112" s="253" t="n"/>
      <c r="S112" s="253" t="n"/>
      <c r="T112" s="253" t="n"/>
      <c r="U112" s="253" t="n"/>
      <c r="V112" s="253" t="n"/>
      <c r="W112" s="253" t="n"/>
      <c r="X112" s="253" t="n"/>
      <c r="Y112" s="253" t="n"/>
    </row>
    <row r="113" ht="15.75" customHeight="1" s="397">
      <c r="B113" s="254" t="inlineStr">
        <is>
          <t>Target Day</t>
        </is>
      </c>
      <c r="C113" s="255" t="n"/>
      <c r="D113" s="255" t="n"/>
      <c r="E113" s="255" t="n"/>
      <c r="F113" s="255" t="n"/>
      <c r="G113" s="255" t="n"/>
      <c r="H113" s="255" t="n"/>
      <c r="I113" s="255" t="n"/>
      <c r="J113" s="255" t="n"/>
      <c r="K113" s="255" t="n"/>
      <c r="L113" s="255" t="n"/>
      <c r="M113" s="255" t="n"/>
      <c r="O113" s="253" t="n"/>
      <c r="P113" s="253" t="n"/>
      <c r="Q113" s="253" t="n"/>
      <c r="R113" s="253" t="n"/>
      <c r="S113" s="253" t="n"/>
      <c r="T113" s="253" t="n"/>
      <c r="U113" s="253" t="n"/>
      <c r="V113" s="253" t="n"/>
      <c r="W113" s="253" t="n"/>
      <c r="X113" s="253" t="n"/>
      <c r="Y113" s="253" t="n"/>
    </row>
    <row r="114" ht="15.75" customHeight="1" s="397">
      <c r="B114" s="251" t="inlineStr">
        <is>
          <t>Team Event</t>
        </is>
      </c>
      <c r="C114" s="252" t="n"/>
      <c r="D114" s="252" t="n"/>
      <c r="E114" s="252" t="n"/>
      <c r="F114" s="252" t="n"/>
      <c r="G114" s="252" t="n"/>
      <c r="H114" s="252" t="n"/>
      <c r="I114" s="252" t="n"/>
      <c r="J114" s="252" t="n"/>
      <c r="K114" s="252" t="n"/>
      <c r="L114" s="252" t="n"/>
      <c r="M114" s="252" t="n"/>
      <c r="O114" s="253" t="n"/>
      <c r="P114" s="253" t="n"/>
      <c r="Q114" s="253" t="n"/>
      <c r="R114" s="253" t="n"/>
      <c r="S114" s="253" t="n"/>
      <c r="T114" s="253" t="n"/>
      <c r="U114" s="253" t="n"/>
      <c r="V114" s="253" t="n"/>
      <c r="W114" s="253" t="n"/>
      <c r="X114" s="253" t="n"/>
      <c r="Y114" s="253" t="n"/>
    </row>
    <row r="115" ht="15.75" customHeight="1" s="397">
      <c r="B115" s="251" t="inlineStr">
        <is>
          <t>Team Race</t>
        </is>
      </c>
      <c r="C115" s="252" t="n"/>
      <c r="D115" s="252" t="n"/>
      <c r="E115" s="252" t="n"/>
      <c r="F115" s="252" t="n"/>
      <c r="G115" s="252" t="n"/>
      <c r="H115" s="252" t="n"/>
      <c r="I115" s="252" t="n"/>
      <c r="J115" s="252" t="n"/>
      <c r="K115" s="252" t="n"/>
      <c r="L115" s="252" t="n"/>
      <c r="M115" s="252" t="n"/>
      <c r="O115" s="253" t="n"/>
      <c r="P115" s="253" t="n"/>
      <c r="Q115" s="253" t="n"/>
      <c r="R115" s="253" t="n"/>
      <c r="S115" s="253" t="n"/>
      <c r="T115" s="253" t="n"/>
      <c r="U115" s="253" t="n"/>
      <c r="V115" s="253" t="n"/>
      <c r="W115" s="253" t="n"/>
      <c r="X115" s="253" t="n"/>
      <c r="Y115" s="253" t="n"/>
    </row>
    <row r="116" ht="15.75" customHeight="1" s="397">
      <c r="B116" s="254" t="inlineStr">
        <is>
          <t>Flash Race</t>
        </is>
      </c>
      <c r="C116" s="255" t="n"/>
      <c r="D116" s="255" t="n"/>
      <c r="E116" s="255" t="n"/>
      <c r="F116" s="255" t="n"/>
      <c r="G116" s="255" t="n"/>
      <c r="H116" s="255" t="n"/>
      <c r="I116" s="255" t="n"/>
      <c r="J116" s="255" t="n"/>
      <c r="K116" s="255" t="n"/>
      <c r="L116" s="255" t="n"/>
      <c r="M116" s="255" t="n"/>
      <c r="O116" s="253" t="n"/>
      <c r="P116" s="253" t="n"/>
      <c r="Q116" s="253" t="n"/>
      <c r="R116" s="253" t="n"/>
      <c r="S116" s="253" t="n"/>
      <c r="T116" s="253" t="n"/>
      <c r="U116" s="253" t="n"/>
      <c r="V116" s="253" t="n"/>
      <c r="W116" s="253" t="n"/>
      <c r="X116" s="253" t="n"/>
      <c r="Y116" s="253" t="n"/>
    </row>
    <row r="117" ht="15.75" customHeight="1" s="397">
      <c r="B117" s="251" t="inlineStr">
        <is>
          <t>FlowerCoop</t>
        </is>
      </c>
      <c r="C117" s="252" t="n"/>
      <c r="D117" s="252" t="n"/>
      <c r="E117" s="252" t="n"/>
      <c r="F117" s="252" t="n"/>
      <c r="G117" s="252" t="n"/>
      <c r="H117" s="252" t="n"/>
      <c r="I117" s="252" t="n"/>
      <c r="J117" s="252" t="n"/>
      <c r="K117" s="252" t="n"/>
      <c r="L117" s="252" t="n"/>
      <c r="M117" s="252" t="n"/>
      <c r="O117" s="253" t="n"/>
      <c r="P117" s="253" t="n"/>
      <c r="Q117" s="253" t="n"/>
      <c r="R117" s="253" t="n"/>
      <c r="S117" s="253" t="n"/>
      <c r="T117" s="253" t="n"/>
      <c r="U117" s="253" t="n"/>
      <c r="V117" s="253" t="n"/>
      <c r="W117" s="253" t="n"/>
      <c r="X117" s="253" t="n"/>
      <c r="Y117" s="253" t="n"/>
    </row>
    <row r="118" ht="15.75" customHeight="1" s="397">
      <c r="B118" s="254" t="inlineStr">
        <is>
          <t>Rainbow Maker</t>
        </is>
      </c>
      <c r="C118" s="255" t="n"/>
      <c r="D118" s="255" t="n"/>
      <c r="E118" s="255" t="n"/>
      <c r="F118" s="255" t="n"/>
      <c r="G118" s="255" t="n"/>
      <c r="H118" s="255" t="n"/>
      <c r="I118" s="255" t="n"/>
      <c r="J118" s="255" t="n"/>
      <c r="K118" s="255" t="n"/>
      <c r="L118" s="255" t="n"/>
      <c r="M118" s="255" t="n"/>
      <c r="O118" s="253" t="n"/>
      <c r="P118" s="253" t="n"/>
      <c r="Q118" s="253" t="n"/>
      <c r="R118" s="253" t="n"/>
      <c r="S118" s="253" t="n"/>
      <c r="T118" s="253" t="n"/>
      <c r="U118" s="253" t="n"/>
      <c r="V118" s="253" t="n"/>
      <c r="W118" s="253" t="n"/>
      <c r="X118" s="253" t="n"/>
      <c r="Y118" s="253" t="n"/>
    </row>
    <row r="119" ht="15.75" customHeight="1" s="397">
      <c r="B119" s="251" t="inlineStr">
        <is>
          <t>IAPs</t>
        </is>
      </c>
      <c r="C119" s="252" t="n"/>
      <c r="D119" s="252" t="n"/>
      <c r="E119" s="252" t="n"/>
      <c r="F119" s="252" t="n"/>
      <c r="G119" s="252" t="n"/>
      <c r="H119" s="252" t="n"/>
      <c r="I119" s="252" t="n"/>
      <c r="J119" s="252" t="n"/>
      <c r="K119" s="252" t="n"/>
      <c r="L119" s="252" t="n"/>
      <c r="M119" s="252" t="n"/>
      <c r="O119" s="253" t="n"/>
      <c r="P119" s="253" t="n"/>
      <c r="Q119" s="253" t="n"/>
      <c r="R119" s="253" t="n"/>
      <c r="S119" s="253" t="n"/>
      <c r="T119" s="253" t="n"/>
      <c r="U119" s="253" t="n"/>
      <c r="V119" s="253" t="n"/>
      <c r="W119" s="253" t="n"/>
      <c r="X119" s="253" t="n"/>
      <c r="Y119" s="253" t="n"/>
    </row>
    <row r="120" ht="15.75" customHeight="1" s="397"/>
    <row r="121" ht="15.75" customHeight="1" s="397"/>
    <row r="122" ht="15.75" customHeight="1" s="397">
      <c r="B122" s="249" t="inlineStr">
        <is>
          <t>100+</t>
        </is>
      </c>
      <c r="C122" s="250" t="inlineStr">
        <is>
          <t>100+ Segment - Over Time Period</t>
        </is>
      </c>
      <c r="O122" s="250" t="inlineStr">
        <is>
          <t>100+ Segment - Over Time Period - Difference</t>
        </is>
      </c>
    </row>
    <row r="123" ht="15.75" customHeight="1" s="397">
      <c r="B123" s="141" t="inlineStr">
        <is>
          <t>Source</t>
        </is>
      </c>
      <c r="C123" s="134" t="inlineStr">
        <is>
          <t>HC</t>
        </is>
      </c>
      <c r="D123" s="134" t="inlineStr">
        <is>
          <t>Slingshot</t>
        </is>
      </c>
      <c r="E123" s="134" t="inlineStr">
        <is>
          <t>Shuffle</t>
        </is>
      </c>
      <c r="F123" s="134" t="inlineStr">
        <is>
          <t>Comet</t>
        </is>
      </c>
      <c r="G123" s="134" t="inlineStr">
        <is>
          <t>Red</t>
        </is>
      </c>
      <c r="H123" s="134" t="inlineStr">
        <is>
          <t>Chuck</t>
        </is>
      </c>
      <c r="I123" s="134" t="inlineStr">
        <is>
          <t>Bomb</t>
        </is>
      </c>
      <c r="J123" s="134" t="inlineStr">
        <is>
          <t>UL Bomb</t>
        </is>
      </c>
      <c r="K123" s="134" t="inlineStr">
        <is>
          <t>UL Chuck</t>
        </is>
      </c>
      <c r="L123" s="134" t="inlineStr">
        <is>
          <t>UL Red</t>
        </is>
      </c>
      <c r="M123" s="134" t="inlineStr">
        <is>
          <t>Unlimited Lives</t>
        </is>
      </c>
      <c r="O123" s="134" t="inlineStr">
        <is>
          <t>HC</t>
        </is>
      </c>
      <c r="P123" s="134" t="inlineStr">
        <is>
          <t>Slingshot</t>
        </is>
      </c>
      <c r="Q123" s="134" t="inlineStr">
        <is>
          <t>Shuffle</t>
        </is>
      </c>
      <c r="R123" s="134" t="inlineStr">
        <is>
          <t>Comet</t>
        </is>
      </c>
      <c r="S123" s="134" t="inlineStr">
        <is>
          <t>Red</t>
        </is>
      </c>
      <c r="T123" s="134" t="inlineStr">
        <is>
          <t>Chuck</t>
        </is>
      </c>
      <c r="U123" s="134" t="inlineStr">
        <is>
          <t>Bomb</t>
        </is>
      </c>
      <c r="V123" s="134" t="inlineStr">
        <is>
          <t>UL Bomb</t>
        </is>
      </c>
      <c r="W123" s="134" t="inlineStr">
        <is>
          <t>UL Chuck</t>
        </is>
      </c>
      <c r="X123" s="134" t="inlineStr">
        <is>
          <t>UL Red</t>
        </is>
      </c>
      <c r="Y123" s="134" t="inlineStr">
        <is>
          <t>Unlimited Lives</t>
        </is>
      </c>
    </row>
    <row r="124" ht="15.75" customHeight="1" s="397">
      <c r="B124" s="251" t="inlineStr">
        <is>
          <t>Ads</t>
        </is>
      </c>
      <c r="C124" s="252">
        <f>LET(payer, $C$3, segment, $B$122, ECOGAINS_SIM(payer, segment))</f>
        <v/>
      </c>
      <c r="D124" s="252" t="n"/>
      <c r="E124" s="252" t="n"/>
      <c r="F124" s="252" t="n"/>
      <c r="G124" s="252" t="n"/>
      <c r="H124" s="252" t="n"/>
      <c r="I124" s="252" t="n"/>
      <c r="J124" s="252" t="n"/>
      <c r="K124" s="252" t="n"/>
      <c r="L124" s="252" t="n"/>
      <c r="M124" s="252" t="n"/>
      <c r="O124" s="253">
        <f>LET(payer, $C$3, segment, $B$122, ECOGAINS_DIFF(payer, segment))</f>
        <v/>
      </c>
      <c r="P124" s="253" t="n"/>
      <c r="Q124" s="253" t="n"/>
      <c r="R124" s="253" t="n"/>
      <c r="S124" s="253" t="n"/>
      <c r="T124" s="253" t="n"/>
      <c r="U124" s="253" t="n"/>
      <c r="V124" s="253" t="n"/>
      <c r="W124" s="253" t="n"/>
      <c r="X124" s="253" t="n"/>
      <c r="Y124" s="253" t="n"/>
    </row>
    <row r="125" ht="15.75" customHeight="1" s="397">
      <c r="B125" s="254" t="inlineStr">
        <is>
          <t>Bomb Challenge</t>
        </is>
      </c>
      <c r="C125" s="255" t="n"/>
      <c r="D125" s="255" t="n"/>
      <c r="E125" s="255" t="n"/>
      <c r="F125" s="255" t="n"/>
      <c r="G125" s="255" t="n"/>
      <c r="H125" s="255" t="n"/>
      <c r="I125" s="255" t="n"/>
      <c r="J125" s="255" t="n"/>
      <c r="K125" s="255" t="n"/>
      <c r="L125" s="255" t="n"/>
      <c r="M125" s="255" t="n"/>
      <c r="O125" s="253" t="n"/>
      <c r="P125" s="253" t="n"/>
      <c r="Q125" s="253" t="n"/>
      <c r="R125" s="253" t="n"/>
      <c r="S125" s="253" t="n"/>
      <c r="T125" s="253" t="n"/>
      <c r="U125" s="253" t="n"/>
      <c r="V125" s="253" t="n"/>
      <c r="W125" s="253" t="n"/>
      <c r="X125" s="253" t="n"/>
      <c r="Y125" s="253" t="n"/>
    </row>
    <row r="126" ht="15.75" customHeight="1" s="397">
      <c r="B126" s="254" t="inlineStr">
        <is>
          <t>Bomb's Ballet</t>
        </is>
      </c>
      <c r="C126" s="255" t="n"/>
      <c r="D126" s="255" t="n"/>
      <c r="E126" s="255" t="n"/>
      <c r="F126" s="255" t="n"/>
      <c r="G126" s="255" t="n"/>
      <c r="H126" s="255" t="n"/>
      <c r="I126" s="255" t="n"/>
      <c r="J126" s="255" t="n"/>
      <c r="K126" s="255" t="n"/>
      <c r="L126" s="255" t="n"/>
      <c r="M126" s="255" t="n"/>
      <c r="O126" s="253" t="n"/>
      <c r="P126" s="253" t="n"/>
      <c r="Q126" s="253" t="n"/>
      <c r="R126" s="253" t="n"/>
      <c r="S126" s="253" t="n"/>
      <c r="T126" s="253" t="n"/>
      <c r="U126" s="253" t="n"/>
      <c r="V126" s="253" t="n"/>
      <c r="W126" s="253" t="n"/>
      <c r="X126" s="253" t="n"/>
      <c r="Y126" s="253" t="n"/>
    </row>
    <row r="127" ht="15.75" customHeight="1" s="397">
      <c r="B127" s="254" t="inlineStr">
        <is>
          <t>Chuck Challenge</t>
        </is>
      </c>
      <c r="C127" s="255" t="n"/>
      <c r="D127" s="255" t="n"/>
      <c r="E127" s="255" t="n"/>
      <c r="F127" s="255" t="n"/>
      <c r="G127" s="255" t="n"/>
      <c r="H127" s="255" t="n"/>
      <c r="I127" s="255" t="n"/>
      <c r="J127" s="255" t="n"/>
      <c r="K127" s="255" t="n"/>
      <c r="L127" s="255" t="n"/>
      <c r="M127" s="255" t="n"/>
      <c r="O127" s="253" t="n"/>
      <c r="P127" s="253" t="n"/>
      <c r="Q127" s="253" t="n"/>
      <c r="R127" s="253" t="n"/>
      <c r="S127" s="253" t="n"/>
      <c r="T127" s="253" t="n"/>
      <c r="U127" s="253" t="n"/>
      <c r="V127" s="253" t="n"/>
      <c r="W127" s="253" t="n"/>
      <c r="X127" s="253" t="n"/>
      <c r="Y127" s="253" t="n"/>
    </row>
    <row r="128" ht="15.75" customHeight="1" s="397">
      <c r="B128" s="251" t="inlineStr">
        <is>
          <t>Core</t>
        </is>
      </c>
      <c r="C128" s="252" t="n"/>
      <c r="D128" s="252" t="n"/>
      <c r="E128" s="252" t="n"/>
      <c r="F128" s="252" t="n"/>
      <c r="G128" s="252" t="n"/>
      <c r="H128" s="252" t="n"/>
      <c r="I128" s="252" t="n"/>
      <c r="J128" s="252" t="n"/>
      <c r="K128" s="252" t="n"/>
      <c r="L128" s="252" t="n"/>
      <c r="M128" s="252" t="n"/>
      <c r="O128" s="253" t="n"/>
      <c r="P128" s="253" t="n"/>
      <c r="Q128" s="253" t="n"/>
      <c r="R128" s="253" t="n"/>
      <c r="S128" s="253" t="n"/>
      <c r="T128" s="253" t="n"/>
      <c r="U128" s="253" t="n"/>
      <c r="V128" s="253" t="n"/>
      <c r="W128" s="253" t="n"/>
      <c r="X128" s="253" t="n"/>
      <c r="Y128" s="253" t="n"/>
    </row>
    <row r="129" ht="15.75" customHeight="1" s="397">
      <c r="B129" s="256" t="inlineStr">
        <is>
          <t>Daily Gift</t>
        </is>
      </c>
      <c r="C129" s="255" t="n"/>
      <c r="D129" s="255" t="n"/>
      <c r="E129" s="255" t="n"/>
      <c r="F129" s="255" t="n"/>
      <c r="G129" s="255" t="n"/>
      <c r="H129" s="255" t="n"/>
      <c r="I129" s="255" t="n"/>
      <c r="J129" s="255" t="n"/>
      <c r="K129" s="255" t="n"/>
      <c r="L129" s="255" t="n"/>
      <c r="M129" s="255" t="n"/>
      <c r="O129" s="253" t="n"/>
      <c r="P129" s="253" t="n"/>
      <c r="Q129" s="253" t="n"/>
      <c r="R129" s="253" t="n"/>
      <c r="S129" s="253" t="n"/>
      <c r="T129" s="253" t="n"/>
      <c r="U129" s="253" t="n"/>
      <c r="V129" s="253" t="n"/>
      <c r="W129" s="253" t="n"/>
      <c r="X129" s="253" t="n"/>
      <c r="Y129" s="253" t="n"/>
    </row>
    <row r="130" ht="15.75" customHeight="1" s="397">
      <c r="B130" s="256" t="inlineStr">
        <is>
          <t>Daily Night Sky Prize</t>
        </is>
      </c>
      <c r="C130" s="255" t="n"/>
      <c r="D130" s="255" t="n"/>
      <c r="E130" s="255" t="n"/>
      <c r="F130" s="255" t="n"/>
      <c r="G130" s="255" t="n"/>
      <c r="H130" s="255" t="n"/>
      <c r="I130" s="255" t="n"/>
      <c r="J130" s="255" t="n"/>
      <c r="K130" s="255" t="n"/>
      <c r="L130" s="255" t="n"/>
      <c r="M130" s="255" t="n"/>
      <c r="O130" s="253" t="n"/>
      <c r="P130" s="253" t="n"/>
      <c r="Q130" s="253" t="n"/>
      <c r="R130" s="253" t="n"/>
      <c r="S130" s="253" t="n"/>
      <c r="T130" s="253" t="n"/>
      <c r="U130" s="253" t="n"/>
      <c r="V130" s="253" t="n"/>
      <c r="W130" s="253" t="n"/>
      <c r="X130" s="253" t="n"/>
      <c r="Y130" s="253" t="n"/>
    </row>
    <row r="131" ht="15.75" customHeight="1" s="397">
      <c r="B131" s="251" t="inlineStr">
        <is>
          <t>Flock Flurry</t>
        </is>
      </c>
      <c r="C131" s="252" t="n"/>
      <c r="D131" s="252" t="n"/>
      <c r="E131" s="252" t="n"/>
      <c r="F131" s="252" t="n"/>
      <c r="G131" s="252" t="n"/>
      <c r="H131" s="252" t="n"/>
      <c r="I131" s="252" t="n"/>
      <c r="J131" s="252" t="n"/>
      <c r="K131" s="252" t="n"/>
      <c r="L131" s="252" t="n"/>
      <c r="M131" s="252" t="n"/>
      <c r="O131" s="253" t="n"/>
      <c r="P131" s="253" t="n"/>
      <c r="Q131" s="253" t="n"/>
      <c r="R131" s="253" t="n"/>
      <c r="S131" s="253" t="n"/>
      <c r="T131" s="253" t="n"/>
      <c r="U131" s="253" t="n"/>
      <c r="V131" s="253" t="n"/>
      <c r="W131" s="253" t="n"/>
      <c r="X131" s="253" t="n"/>
      <c r="Y131" s="253" t="n"/>
    </row>
    <row r="132" ht="15.75" customHeight="1" s="397">
      <c r="B132" s="254" t="inlineStr">
        <is>
          <t>Hatchling Hideaway</t>
        </is>
      </c>
      <c r="C132" s="255" t="n"/>
      <c r="D132" s="255" t="n"/>
      <c r="E132" s="255" t="n"/>
      <c r="F132" s="255" t="n"/>
      <c r="G132" s="255" t="n"/>
      <c r="H132" s="255" t="n"/>
      <c r="I132" s="255" t="n"/>
      <c r="J132" s="255" t="n"/>
      <c r="K132" s="255" t="n"/>
      <c r="L132" s="255" t="n"/>
      <c r="M132" s="255" t="n"/>
      <c r="O132" s="253" t="n"/>
      <c r="P132" s="253" t="n"/>
      <c r="Q132" s="253" t="n"/>
      <c r="R132" s="253" t="n"/>
      <c r="S132" s="253" t="n"/>
      <c r="T132" s="253" t="n"/>
      <c r="U132" s="253" t="n"/>
      <c r="V132" s="253" t="n"/>
      <c r="W132" s="253" t="n"/>
      <c r="X132" s="253" t="n"/>
      <c r="Y132" s="253" t="n"/>
    </row>
    <row r="133" ht="15.75" customHeight="1" s="397">
      <c r="B133" s="254" t="inlineStr">
        <is>
          <t>Jigsaw</t>
        </is>
      </c>
      <c r="C133" s="255" t="n"/>
      <c r="D133" s="255" t="n"/>
      <c r="E133" s="255" t="n"/>
      <c r="F133" s="255" t="n"/>
      <c r="G133" s="255" t="n"/>
      <c r="H133" s="255" t="n"/>
      <c r="I133" s="255" t="n"/>
      <c r="J133" s="255" t="n"/>
      <c r="K133" s="255" t="n"/>
      <c r="L133" s="255" t="n"/>
      <c r="M133" s="255" t="n"/>
      <c r="O133" s="253" t="n"/>
      <c r="P133" s="253" t="n"/>
      <c r="Q133" s="253" t="n"/>
      <c r="R133" s="253" t="n"/>
      <c r="S133" s="253" t="n"/>
      <c r="T133" s="253" t="n"/>
      <c r="U133" s="253" t="n"/>
      <c r="V133" s="253" t="n"/>
      <c r="W133" s="253" t="n"/>
      <c r="X133" s="253" t="n"/>
      <c r="Y133" s="253" t="n"/>
    </row>
    <row r="134" ht="15.75" customHeight="1" s="397">
      <c r="B134" s="254" t="inlineStr">
        <is>
          <t>Kite Festival</t>
        </is>
      </c>
      <c r="C134" s="255" t="n"/>
      <c r="D134" s="255" t="n"/>
      <c r="E134" s="255" t="n"/>
      <c r="F134" s="255" t="n"/>
      <c r="G134" s="255" t="n"/>
      <c r="H134" s="255" t="n"/>
      <c r="I134" s="255" t="n"/>
      <c r="J134" s="255" t="n"/>
      <c r="K134" s="255" t="n"/>
      <c r="L134" s="255" t="n"/>
      <c r="M134" s="255" t="n"/>
      <c r="O134" s="253" t="n"/>
      <c r="P134" s="253" t="n"/>
      <c r="Q134" s="253" t="n"/>
      <c r="R134" s="253" t="n"/>
      <c r="S134" s="253" t="n"/>
      <c r="T134" s="253" t="n"/>
      <c r="U134" s="253" t="n"/>
      <c r="V134" s="253" t="n"/>
      <c r="W134" s="253" t="n"/>
      <c r="X134" s="253" t="n"/>
      <c r="Y134" s="253" t="n"/>
    </row>
    <row r="135" ht="15.75" customHeight="1" s="397">
      <c r="B135" s="254" t="inlineStr">
        <is>
          <t>Level Race</t>
        </is>
      </c>
      <c r="C135" s="255" t="n"/>
      <c r="D135" s="255" t="n"/>
      <c r="E135" s="255" t="n"/>
      <c r="F135" s="255" t="n"/>
      <c r="G135" s="255" t="n"/>
      <c r="H135" s="255" t="n"/>
      <c r="I135" s="255" t="n"/>
      <c r="J135" s="255" t="n"/>
      <c r="K135" s="255" t="n"/>
      <c r="L135" s="255" t="n"/>
      <c r="M135" s="255" t="n"/>
      <c r="O135" s="253" t="n"/>
      <c r="P135" s="253" t="n"/>
      <c r="Q135" s="253" t="n"/>
      <c r="R135" s="253" t="n"/>
      <c r="S135" s="253" t="n"/>
      <c r="T135" s="253" t="n"/>
      <c r="U135" s="253" t="n"/>
      <c r="V135" s="253" t="n"/>
      <c r="W135" s="253" t="n"/>
      <c r="X135" s="253" t="n"/>
      <c r="Y135" s="253" t="n"/>
    </row>
    <row r="136" ht="15.75" customHeight="1" s="397">
      <c r="B136" s="251" t="inlineStr">
        <is>
          <t>Other</t>
        </is>
      </c>
      <c r="C136" s="252" t="n"/>
      <c r="D136" s="252" t="n"/>
      <c r="E136" s="252" t="n"/>
      <c r="F136" s="252" t="n"/>
      <c r="G136" s="252" t="n"/>
      <c r="H136" s="252" t="n"/>
      <c r="I136" s="252" t="n"/>
      <c r="J136" s="252" t="n"/>
      <c r="K136" s="252" t="n"/>
      <c r="L136" s="252" t="n"/>
      <c r="M136" s="252" t="n"/>
      <c r="O136" s="253" t="n"/>
      <c r="P136" s="253" t="n"/>
      <c r="Q136" s="253" t="n"/>
      <c r="R136" s="253" t="n"/>
      <c r="S136" s="253" t="n"/>
      <c r="T136" s="253" t="n"/>
      <c r="U136" s="253" t="n"/>
      <c r="V136" s="253" t="n"/>
      <c r="W136" s="253" t="n"/>
      <c r="X136" s="253" t="n"/>
      <c r="Y136" s="253" t="n"/>
    </row>
    <row r="137" ht="15.75" customHeight="1" s="397">
      <c r="B137" s="254" t="inlineStr">
        <is>
          <t>Photoshoot</t>
        </is>
      </c>
      <c r="C137" s="255" t="n"/>
      <c r="D137" s="255" t="n"/>
      <c r="E137" s="255" t="n"/>
      <c r="F137" s="255" t="n"/>
      <c r="G137" s="255" t="n"/>
      <c r="H137" s="255" t="n"/>
      <c r="I137" s="255" t="n"/>
      <c r="J137" s="255" t="n"/>
      <c r="K137" s="255" t="n"/>
      <c r="L137" s="255" t="n"/>
      <c r="M137" s="255" t="n"/>
      <c r="O137" s="253" t="n"/>
      <c r="P137" s="253" t="n"/>
      <c r="Q137" s="253" t="n"/>
      <c r="R137" s="253" t="n"/>
      <c r="S137" s="253" t="n"/>
      <c r="T137" s="253" t="n"/>
      <c r="U137" s="253" t="n"/>
      <c r="V137" s="253" t="n"/>
      <c r="W137" s="253" t="n"/>
      <c r="X137" s="253" t="n"/>
      <c r="Y137" s="253" t="n"/>
    </row>
    <row r="138" ht="15.75" customHeight="1" s="397">
      <c r="B138" s="254" t="inlineStr">
        <is>
          <t>Red Challenge</t>
        </is>
      </c>
      <c r="C138" s="255" t="n"/>
      <c r="D138" s="255" t="n"/>
      <c r="E138" s="255" t="n"/>
      <c r="F138" s="255" t="n"/>
      <c r="G138" s="255" t="n"/>
      <c r="H138" s="255" t="n"/>
      <c r="I138" s="255" t="n"/>
      <c r="J138" s="255" t="n"/>
      <c r="K138" s="255" t="n"/>
      <c r="L138" s="255" t="n"/>
      <c r="M138" s="255" t="n"/>
      <c r="O138" s="253" t="n"/>
      <c r="P138" s="253" t="n"/>
      <c r="Q138" s="253" t="n"/>
      <c r="R138" s="253" t="n"/>
      <c r="S138" s="253" t="n"/>
      <c r="T138" s="253" t="n"/>
      <c r="U138" s="253" t="n"/>
      <c r="V138" s="253" t="n"/>
      <c r="W138" s="253" t="n"/>
      <c r="X138" s="253" t="n"/>
      <c r="Y138" s="253" t="n"/>
    </row>
    <row r="139" ht="15.75" customHeight="1" s="397">
      <c r="B139" s="254" t="inlineStr">
        <is>
          <t>River Rush</t>
        </is>
      </c>
      <c r="C139" s="255" t="n"/>
      <c r="D139" s="255" t="n"/>
      <c r="E139" s="255" t="n"/>
      <c r="F139" s="255" t="n"/>
      <c r="G139" s="255" t="n"/>
      <c r="H139" s="255" t="n"/>
      <c r="I139" s="255" t="n"/>
      <c r="J139" s="255" t="n"/>
      <c r="K139" s="255" t="n"/>
      <c r="L139" s="255" t="n"/>
      <c r="M139" s="255" t="n"/>
      <c r="O139" s="253" t="n"/>
      <c r="P139" s="253" t="n"/>
      <c r="Q139" s="253" t="n"/>
      <c r="R139" s="253" t="n"/>
      <c r="S139" s="253" t="n"/>
      <c r="T139" s="253" t="n"/>
      <c r="U139" s="253" t="n"/>
      <c r="V139" s="253" t="n"/>
      <c r="W139" s="253" t="n"/>
      <c r="X139" s="253" t="n"/>
      <c r="Y139" s="253" t="n"/>
    </row>
    <row r="140" ht="15.75" customHeight="1" s="397">
      <c r="B140" s="256" t="inlineStr">
        <is>
          <t>Saga</t>
        </is>
      </c>
      <c r="C140" s="255" t="n"/>
      <c r="D140" s="255" t="n"/>
      <c r="E140" s="255" t="n"/>
      <c r="F140" s="255" t="n"/>
      <c r="G140" s="255" t="n"/>
      <c r="H140" s="255" t="n"/>
      <c r="I140" s="255" t="n"/>
      <c r="J140" s="255" t="n"/>
      <c r="K140" s="255" t="n"/>
      <c r="L140" s="255" t="n"/>
      <c r="M140" s="255" t="n"/>
      <c r="O140" s="253" t="n"/>
      <c r="P140" s="253" t="n"/>
      <c r="Q140" s="253" t="n"/>
      <c r="R140" s="253" t="n"/>
      <c r="S140" s="253" t="n"/>
      <c r="T140" s="253" t="n"/>
      <c r="U140" s="253" t="n"/>
      <c r="V140" s="253" t="n"/>
      <c r="W140" s="253" t="n"/>
      <c r="X140" s="253" t="n"/>
      <c r="Y140" s="253" t="n"/>
    </row>
    <row r="141" ht="15.75" customHeight="1" s="397">
      <c r="B141" s="251" t="inlineStr">
        <is>
          <t>Season Pass (Free)</t>
        </is>
      </c>
      <c r="C141" s="252" t="n"/>
      <c r="D141" s="252" t="n"/>
      <c r="E141" s="252" t="n"/>
      <c r="F141" s="252" t="n"/>
      <c r="G141" s="252" t="n"/>
      <c r="H141" s="252" t="n"/>
      <c r="I141" s="252" t="n"/>
      <c r="J141" s="252" t="n"/>
      <c r="K141" s="252" t="n"/>
      <c r="L141" s="252" t="n"/>
      <c r="M141" s="252" t="n"/>
      <c r="O141" s="253" t="n"/>
      <c r="P141" s="253" t="n"/>
      <c r="Q141" s="253" t="n"/>
      <c r="R141" s="253" t="n"/>
      <c r="S141" s="253" t="n"/>
      <c r="T141" s="253" t="n"/>
      <c r="U141" s="253" t="n"/>
      <c r="V141" s="253" t="n"/>
      <c r="W141" s="253" t="n"/>
      <c r="X141" s="253" t="n"/>
      <c r="Y141" s="253" t="n"/>
    </row>
    <row r="142" ht="15.75" customHeight="1" s="397">
      <c r="B142" s="254" t="inlineStr">
        <is>
          <t>Target Day</t>
        </is>
      </c>
      <c r="C142" s="255" t="n"/>
      <c r="D142" s="255" t="n"/>
      <c r="E142" s="255" t="n"/>
      <c r="F142" s="255" t="n"/>
      <c r="G142" s="255" t="n"/>
      <c r="H142" s="255" t="n"/>
      <c r="I142" s="255" t="n"/>
      <c r="J142" s="255" t="n"/>
      <c r="K142" s="255" t="n"/>
      <c r="L142" s="255" t="n"/>
      <c r="M142" s="255" t="n"/>
      <c r="O142" s="253" t="n"/>
      <c r="P142" s="253" t="n"/>
      <c r="Q142" s="253" t="n"/>
      <c r="R142" s="253" t="n"/>
      <c r="S142" s="253" t="n"/>
      <c r="T142" s="253" t="n"/>
      <c r="U142" s="253" t="n"/>
      <c r="V142" s="253" t="n"/>
      <c r="W142" s="253" t="n"/>
      <c r="X142" s="253" t="n"/>
      <c r="Y142" s="253" t="n"/>
    </row>
    <row r="143" ht="15.75" customHeight="1" s="397">
      <c r="B143" s="251" t="inlineStr">
        <is>
          <t>Team Event</t>
        </is>
      </c>
      <c r="C143" s="252" t="n"/>
      <c r="D143" s="252" t="n"/>
      <c r="E143" s="252" t="n"/>
      <c r="F143" s="252" t="n"/>
      <c r="G143" s="252" t="n"/>
      <c r="H143" s="252" t="n"/>
      <c r="I143" s="252" t="n"/>
      <c r="J143" s="252" t="n"/>
      <c r="K143" s="252" t="n"/>
      <c r="L143" s="252" t="n"/>
      <c r="M143" s="252" t="n"/>
      <c r="O143" s="253" t="n"/>
      <c r="P143" s="253" t="n"/>
      <c r="Q143" s="253" t="n"/>
      <c r="R143" s="253" t="n"/>
      <c r="S143" s="253" t="n"/>
      <c r="T143" s="253" t="n"/>
      <c r="U143" s="253" t="n"/>
      <c r="V143" s="253" t="n"/>
      <c r="W143" s="253" t="n"/>
      <c r="X143" s="253" t="n"/>
      <c r="Y143" s="253" t="n"/>
    </row>
    <row r="144" ht="15.75" customHeight="1" s="397">
      <c r="B144" s="251" t="inlineStr">
        <is>
          <t>Team Race</t>
        </is>
      </c>
      <c r="C144" s="252" t="n"/>
      <c r="D144" s="252" t="n"/>
      <c r="E144" s="252" t="n"/>
      <c r="F144" s="252" t="n"/>
      <c r="G144" s="252" t="n"/>
      <c r="H144" s="252" t="n"/>
      <c r="I144" s="252" t="n"/>
      <c r="J144" s="252" t="n"/>
      <c r="K144" s="252" t="n"/>
      <c r="L144" s="252" t="n"/>
      <c r="M144" s="252" t="n"/>
      <c r="O144" s="253" t="n"/>
      <c r="P144" s="253" t="n"/>
      <c r="Q144" s="253" t="n"/>
      <c r="R144" s="253" t="n"/>
      <c r="S144" s="253" t="n"/>
      <c r="T144" s="253" t="n"/>
      <c r="U144" s="253" t="n"/>
      <c r="V144" s="253" t="n"/>
      <c r="W144" s="253" t="n"/>
      <c r="X144" s="253" t="n"/>
      <c r="Y144" s="253" t="n"/>
    </row>
    <row r="145" ht="15.75" customHeight="1" s="397">
      <c r="B145" s="254" t="inlineStr">
        <is>
          <t>Flash Race</t>
        </is>
      </c>
      <c r="C145" s="255" t="n"/>
      <c r="D145" s="255" t="n"/>
      <c r="E145" s="255" t="n"/>
      <c r="F145" s="255" t="n"/>
      <c r="G145" s="255" t="n"/>
      <c r="H145" s="255" t="n"/>
      <c r="I145" s="255" t="n"/>
      <c r="J145" s="255" t="n"/>
      <c r="K145" s="255" t="n"/>
      <c r="L145" s="255" t="n"/>
      <c r="M145" s="255" t="n"/>
      <c r="O145" s="253" t="n"/>
      <c r="P145" s="253" t="n"/>
      <c r="Q145" s="253" t="n"/>
      <c r="R145" s="253" t="n"/>
      <c r="S145" s="253" t="n"/>
      <c r="T145" s="253" t="n"/>
      <c r="U145" s="253" t="n"/>
      <c r="V145" s="253" t="n"/>
      <c r="W145" s="253" t="n"/>
      <c r="X145" s="253" t="n"/>
      <c r="Y145" s="253" t="n"/>
    </row>
    <row r="146" ht="15.75" customHeight="1" s="397">
      <c r="B146" s="251" t="inlineStr">
        <is>
          <t>FlowerCoop</t>
        </is>
      </c>
      <c r="C146" s="252" t="n"/>
      <c r="D146" s="252" t="n"/>
      <c r="E146" s="252" t="n"/>
      <c r="F146" s="252" t="n"/>
      <c r="G146" s="252" t="n"/>
      <c r="H146" s="252" t="n"/>
      <c r="I146" s="252" t="n"/>
      <c r="J146" s="252" t="n"/>
      <c r="K146" s="252" t="n"/>
      <c r="L146" s="252" t="n"/>
      <c r="M146" s="252" t="n"/>
      <c r="O146" s="253" t="n"/>
      <c r="P146" s="253" t="n"/>
      <c r="Q146" s="253" t="n"/>
      <c r="R146" s="253" t="n"/>
      <c r="S146" s="253" t="n"/>
      <c r="T146" s="253" t="n"/>
      <c r="U146" s="253" t="n"/>
      <c r="V146" s="253" t="n"/>
      <c r="W146" s="253" t="n"/>
      <c r="X146" s="253" t="n"/>
      <c r="Y146" s="253" t="n"/>
    </row>
    <row r="147" ht="15.75" customHeight="1" s="397">
      <c r="B147" s="254" t="inlineStr">
        <is>
          <t>Rainbow Maker</t>
        </is>
      </c>
      <c r="C147" s="255" t="n"/>
      <c r="D147" s="255" t="n"/>
      <c r="E147" s="255" t="n"/>
      <c r="F147" s="255" t="n"/>
      <c r="G147" s="255" t="n"/>
      <c r="H147" s="255" t="n"/>
      <c r="I147" s="255" t="n"/>
      <c r="J147" s="255" t="n"/>
      <c r="K147" s="255" t="n"/>
      <c r="L147" s="255" t="n"/>
      <c r="M147" s="255" t="n"/>
      <c r="O147" s="253" t="n"/>
      <c r="P147" s="253" t="n"/>
      <c r="Q147" s="253" t="n"/>
      <c r="R147" s="253" t="n"/>
      <c r="S147" s="253" t="n"/>
      <c r="T147" s="253" t="n"/>
      <c r="U147" s="253" t="n"/>
      <c r="V147" s="253" t="n"/>
      <c r="W147" s="253" t="n"/>
      <c r="X147" s="253" t="n"/>
      <c r="Y147" s="253" t="n"/>
    </row>
    <row r="148" ht="15.75" customHeight="1" s="397">
      <c r="B148" s="251" t="inlineStr">
        <is>
          <t>IAPs</t>
        </is>
      </c>
      <c r="C148" s="252" t="n"/>
      <c r="D148" s="252" t="n"/>
      <c r="E148" s="252" t="n"/>
      <c r="F148" s="252" t="n"/>
      <c r="G148" s="252" t="n"/>
      <c r="H148" s="252" t="n"/>
      <c r="I148" s="252" t="n"/>
      <c r="J148" s="252" t="n"/>
      <c r="K148" s="252" t="n"/>
      <c r="L148" s="252" t="n"/>
      <c r="M148" s="252" t="n"/>
      <c r="O148" s="253" t="n"/>
      <c r="P148" s="253" t="n"/>
      <c r="Q148" s="253" t="n"/>
      <c r="R148" s="253" t="n"/>
      <c r="S148" s="253" t="n"/>
      <c r="T148" s="253" t="n"/>
      <c r="U148" s="253" t="n"/>
      <c r="V148" s="253" t="n"/>
      <c r="W148" s="253" t="n"/>
      <c r="X148" s="253" t="n"/>
      <c r="Y148" s="253" t="n"/>
    </row>
    <row r="149" ht="15.75" customHeight="1" s="397"/>
    <row r="150" ht="15.75" customHeight="1" s="397"/>
    <row r="151" ht="15.75" customHeight="1" s="397">
      <c r="B151" s="249" t="inlineStr">
        <is>
          <t>A. 0</t>
        </is>
      </c>
      <c r="C151" s="250" t="inlineStr">
        <is>
          <t>A. 0 Appendix - carried &amp; annotated (not simulated)</t>
        </is>
      </c>
      <c r="O151" s="250" t="inlineStr">
        <is>
          <t>A. 0 Appendix - Difference (config-only changes)</t>
        </is>
      </c>
    </row>
    <row r="152" ht="15.75" customHeight="1" s="397">
      <c r="B152" s="141" t="inlineStr">
        <is>
          <t>Source</t>
        </is>
      </c>
      <c r="C152" s="134" t="inlineStr">
        <is>
          <t>HC</t>
        </is>
      </c>
      <c r="D152" s="134" t="inlineStr">
        <is>
          <t>Slingshot</t>
        </is>
      </c>
      <c r="E152" s="134" t="inlineStr">
        <is>
          <t>Shuffle</t>
        </is>
      </c>
      <c r="F152" s="134" t="inlineStr">
        <is>
          <t>Comet</t>
        </is>
      </c>
      <c r="G152" s="134" t="inlineStr">
        <is>
          <t>Red</t>
        </is>
      </c>
      <c r="H152" s="134" t="inlineStr">
        <is>
          <t>Chuck</t>
        </is>
      </c>
      <c r="I152" s="134" t="inlineStr">
        <is>
          <t>Bomb</t>
        </is>
      </c>
      <c r="J152" s="134" t="inlineStr">
        <is>
          <t>UL Bomb</t>
        </is>
      </c>
      <c r="K152" s="134" t="inlineStr">
        <is>
          <t>UL Chuck</t>
        </is>
      </c>
      <c r="L152" s="134" t="inlineStr">
        <is>
          <t>UL Red</t>
        </is>
      </c>
      <c r="M152" s="134" t="inlineStr">
        <is>
          <t>Unlimited Lives</t>
        </is>
      </c>
      <c r="O152" s="134" t="inlineStr">
        <is>
          <t>HC</t>
        </is>
      </c>
      <c r="P152" s="134" t="inlineStr">
        <is>
          <t>Slingshot</t>
        </is>
      </c>
      <c r="Q152" s="134" t="inlineStr">
        <is>
          <t>Shuffle</t>
        </is>
      </c>
      <c r="R152" s="134" t="inlineStr">
        <is>
          <t>Comet</t>
        </is>
      </c>
      <c r="S152" s="134" t="inlineStr">
        <is>
          <t>Red</t>
        </is>
      </c>
      <c r="T152" s="134" t="inlineStr">
        <is>
          <t>Chuck</t>
        </is>
      </c>
      <c r="U152" s="134" t="inlineStr">
        <is>
          <t>Bomb</t>
        </is>
      </c>
      <c r="V152" s="134" t="inlineStr">
        <is>
          <t>UL Bomb</t>
        </is>
      </c>
      <c r="W152" s="134" t="inlineStr">
        <is>
          <t>UL Chuck</t>
        </is>
      </c>
      <c r="X152" s="134" t="inlineStr">
        <is>
          <t>UL Red</t>
        </is>
      </c>
      <c r="Y152" s="134" t="inlineStr">
        <is>
          <t>Unlimited Lives</t>
        </is>
      </c>
    </row>
    <row r="153" ht="15.75" customHeight="1" s="397">
      <c r="B153" s="251" t="inlineStr">
        <is>
          <t>Ads</t>
        </is>
      </c>
      <c r="C153" s="252">
        <f>LET(payer, $C$3, segment, $B$151, ECOGAINS_SIM(payer, segment))</f>
        <v/>
      </c>
      <c r="D153" s="252" t="n"/>
      <c r="E153" s="252" t="n"/>
      <c r="F153" s="252" t="n"/>
      <c r="G153" s="252" t="n"/>
      <c r="H153" s="252" t="n"/>
      <c r="I153" s="252" t="n"/>
      <c r="J153" s="252" t="n"/>
      <c r="K153" s="252" t="n"/>
      <c r="L153" s="252" t="n"/>
      <c r="M153" s="252" t="n"/>
      <c r="O153" s="253">
        <f>LET(payer, $C$3, segment, $B$151, ECOGAINS_DIFF(payer, segment))</f>
        <v/>
      </c>
      <c r="P153" s="253" t="n"/>
      <c r="Q153" s="253" t="n"/>
      <c r="R153" s="253" t="n"/>
      <c r="S153" s="253" t="n"/>
      <c r="T153" s="253" t="n"/>
      <c r="U153" s="253" t="n"/>
      <c r="V153" s="253" t="n"/>
      <c r="W153" s="253" t="n"/>
      <c r="X153" s="253" t="n"/>
      <c r="Y153" s="253" t="n"/>
    </row>
    <row r="154" ht="15.75" customHeight="1" s="397">
      <c r="B154" s="251" t="inlineStr">
        <is>
          <t>Bomb Challenge</t>
        </is>
      </c>
      <c r="C154" s="252" t="n"/>
      <c r="D154" s="252" t="n"/>
      <c r="E154" s="252" t="n"/>
      <c r="F154" s="252" t="n"/>
      <c r="G154" s="252" t="n"/>
      <c r="H154" s="252" t="n"/>
      <c r="I154" s="252" t="n"/>
      <c r="J154" s="252" t="n"/>
      <c r="K154" s="252" t="n"/>
      <c r="L154" s="252" t="n"/>
      <c r="M154" s="252" t="n"/>
      <c r="O154" s="253" t="n"/>
      <c r="P154" s="253" t="n"/>
      <c r="Q154" s="253" t="n"/>
      <c r="R154" s="253" t="n"/>
      <c r="S154" s="253" t="n"/>
      <c r="T154" s="253" t="n"/>
      <c r="U154" s="253" t="n"/>
      <c r="V154" s="253" t="n"/>
      <c r="W154" s="253" t="n"/>
      <c r="X154" s="253" t="n"/>
      <c r="Y154" s="253" t="n"/>
    </row>
    <row r="155" ht="15.75" customHeight="1" s="397">
      <c r="B155" s="251" t="inlineStr">
        <is>
          <t>Bomb's Ballet</t>
        </is>
      </c>
      <c r="C155" s="252" t="n"/>
      <c r="D155" s="252" t="n"/>
      <c r="E155" s="252" t="n"/>
      <c r="F155" s="252" t="n"/>
      <c r="G155" s="252" t="n"/>
      <c r="H155" s="252" t="n"/>
      <c r="I155" s="252" t="n"/>
      <c r="J155" s="252" t="n"/>
      <c r="K155" s="252" t="n"/>
      <c r="L155" s="252" t="n"/>
      <c r="M155" s="252" t="n"/>
      <c r="O155" s="253" t="n"/>
      <c r="P155" s="253" t="n"/>
      <c r="Q155" s="253" t="n"/>
      <c r="R155" s="253" t="n"/>
      <c r="S155" s="253" t="n"/>
      <c r="T155" s="253" t="n"/>
      <c r="U155" s="253" t="n"/>
      <c r="V155" s="253" t="n"/>
      <c r="W155" s="253" t="n"/>
      <c r="X155" s="253" t="n"/>
      <c r="Y155" s="253" t="n"/>
    </row>
    <row r="156" ht="15.75" customHeight="1" s="397">
      <c r="B156" s="251" t="inlineStr">
        <is>
          <t>Chuck Challenge</t>
        </is>
      </c>
      <c r="C156" s="252" t="n"/>
      <c r="D156" s="252" t="n"/>
      <c r="E156" s="252" t="n"/>
      <c r="F156" s="252" t="n"/>
      <c r="G156" s="252" t="n"/>
      <c r="H156" s="252" t="n"/>
      <c r="I156" s="252" t="n"/>
      <c r="J156" s="252" t="n"/>
      <c r="K156" s="252" t="n"/>
      <c r="L156" s="252" t="n"/>
      <c r="M156" s="252" t="n"/>
      <c r="O156" s="253" t="n"/>
      <c r="P156" s="253" t="n"/>
      <c r="Q156" s="253" t="n"/>
      <c r="R156" s="253" t="n"/>
      <c r="S156" s="253" t="n"/>
      <c r="T156" s="253" t="n"/>
      <c r="U156" s="253" t="n"/>
      <c r="V156" s="253" t="n"/>
      <c r="W156" s="253" t="n"/>
      <c r="X156" s="253" t="n"/>
      <c r="Y156" s="253" t="n"/>
    </row>
    <row r="157" ht="15.75" customHeight="1" s="397">
      <c r="B157" s="251" t="inlineStr">
        <is>
          <t>Core</t>
        </is>
      </c>
      <c r="C157" s="252" t="n"/>
      <c r="D157" s="252" t="n"/>
      <c r="E157" s="252" t="n"/>
      <c r="F157" s="252" t="n"/>
      <c r="G157" s="252" t="n"/>
      <c r="H157" s="252" t="n"/>
      <c r="I157" s="252" t="n"/>
      <c r="J157" s="252" t="n"/>
      <c r="K157" s="252" t="n"/>
      <c r="L157" s="252" t="n"/>
      <c r="M157" s="252" t="n"/>
      <c r="O157" s="253" t="n"/>
      <c r="P157" s="253" t="n"/>
      <c r="Q157" s="253" t="n"/>
      <c r="R157" s="253" t="n"/>
      <c r="S157" s="253" t="n"/>
      <c r="T157" s="253" t="n"/>
      <c r="U157" s="253" t="n"/>
      <c r="V157" s="253" t="n"/>
      <c r="W157" s="253" t="n"/>
      <c r="X157" s="253" t="n"/>
      <c r="Y157" s="253" t="n"/>
    </row>
    <row r="158" ht="15.75" customHeight="1" s="397">
      <c r="B158" s="256" t="inlineStr">
        <is>
          <t>Daily Gift</t>
        </is>
      </c>
      <c r="C158" s="255" t="n"/>
      <c r="D158" s="255" t="n"/>
      <c r="E158" s="255" t="n"/>
      <c r="F158" s="255" t="n"/>
      <c r="G158" s="255" t="n"/>
      <c r="H158" s="255" t="n"/>
      <c r="I158" s="255" t="n"/>
      <c r="J158" s="255" t="n"/>
      <c r="K158" s="255" t="n"/>
      <c r="L158" s="255" t="n"/>
      <c r="M158" s="255" t="n"/>
      <c r="O158" s="253" t="n"/>
      <c r="P158" s="253" t="n"/>
      <c r="Q158" s="253" t="n"/>
      <c r="R158" s="253" t="n"/>
      <c r="S158" s="253" t="n"/>
      <c r="T158" s="253" t="n"/>
      <c r="U158" s="253" t="n"/>
      <c r="V158" s="253" t="n"/>
      <c r="W158" s="253" t="n"/>
      <c r="X158" s="253" t="n"/>
      <c r="Y158" s="253" t="n"/>
    </row>
    <row r="159" ht="15.75" customHeight="1" s="397">
      <c r="B159" s="251" t="inlineStr">
        <is>
          <t>Daily Night Sky Prize</t>
        </is>
      </c>
      <c r="C159" s="252" t="n"/>
      <c r="D159" s="252" t="n"/>
      <c r="E159" s="252" t="n"/>
      <c r="F159" s="252" t="n"/>
      <c r="G159" s="252" t="n"/>
      <c r="H159" s="252" t="n"/>
      <c r="I159" s="252" t="n"/>
      <c r="J159" s="252" t="n"/>
      <c r="K159" s="252" t="n"/>
      <c r="L159" s="252" t="n"/>
      <c r="M159" s="252" t="n"/>
      <c r="O159" s="253" t="n"/>
      <c r="P159" s="253" t="n"/>
      <c r="Q159" s="253" t="n"/>
      <c r="R159" s="253" t="n"/>
      <c r="S159" s="253" t="n"/>
      <c r="T159" s="253" t="n"/>
      <c r="U159" s="253" t="n"/>
      <c r="V159" s="253" t="n"/>
      <c r="W159" s="253" t="n"/>
      <c r="X159" s="253" t="n"/>
      <c r="Y159" s="253" t="n"/>
    </row>
    <row r="160" ht="15.75" customHeight="1" s="397">
      <c r="B160" s="251" t="inlineStr">
        <is>
          <t>Flock Flurry</t>
        </is>
      </c>
      <c r="C160" s="252" t="n"/>
      <c r="D160" s="252" t="n"/>
      <c r="E160" s="252" t="n"/>
      <c r="F160" s="252" t="n"/>
      <c r="G160" s="252" t="n"/>
      <c r="H160" s="252" t="n"/>
      <c r="I160" s="252" t="n"/>
      <c r="J160" s="252" t="n"/>
      <c r="K160" s="252" t="n"/>
      <c r="L160" s="252" t="n"/>
      <c r="M160" s="252" t="n"/>
      <c r="O160" s="253" t="n"/>
      <c r="P160" s="253" t="n"/>
      <c r="Q160" s="253" t="n"/>
      <c r="R160" s="253" t="n"/>
      <c r="S160" s="253" t="n"/>
      <c r="T160" s="253" t="n"/>
      <c r="U160" s="253" t="n"/>
      <c r="V160" s="253" t="n"/>
      <c r="W160" s="253" t="n"/>
      <c r="X160" s="253" t="n"/>
      <c r="Y160" s="253" t="n"/>
    </row>
    <row r="161" ht="15.75" customHeight="1" s="397">
      <c r="B161" s="251" t="inlineStr">
        <is>
          <t>Hatchling Hideaway</t>
        </is>
      </c>
      <c r="C161" s="252" t="n"/>
      <c r="D161" s="252" t="n"/>
      <c r="E161" s="252" t="n"/>
      <c r="F161" s="252" t="n"/>
      <c r="G161" s="252" t="n"/>
      <c r="H161" s="252" t="n"/>
      <c r="I161" s="252" t="n"/>
      <c r="J161" s="252" t="n"/>
      <c r="K161" s="252" t="n"/>
      <c r="L161" s="252" t="n"/>
      <c r="M161" s="252" t="n"/>
      <c r="O161" s="253" t="n"/>
      <c r="P161" s="253" t="n"/>
      <c r="Q161" s="253" t="n"/>
      <c r="R161" s="253" t="n"/>
      <c r="S161" s="253" t="n"/>
      <c r="T161" s="253" t="n"/>
      <c r="U161" s="253" t="n"/>
      <c r="V161" s="253" t="n"/>
      <c r="W161" s="253" t="n"/>
      <c r="X161" s="253" t="n"/>
      <c r="Y161" s="253" t="n"/>
    </row>
    <row r="162" ht="15.75" customHeight="1" s="397">
      <c r="B162" s="251" t="inlineStr">
        <is>
          <t>Jigsaw</t>
        </is>
      </c>
      <c r="C162" s="252" t="n"/>
      <c r="D162" s="252" t="n"/>
      <c r="E162" s="252" t="n"/>
      <c r="F162" s="252" t="n"/>
      <c r="G162" s="252" t="n"/>
      <c r="H162" s="252" t="n"/>
      <c r="I162" s="252" t="n"/>
      <c r="J162" s="252" t="n"/>
      <c r="K162" s="252" t="n"/>
      <c r="L162" s="252" t="n"/>
      <c r="M162" s="252" t="n"/>
      <c r="O162" s="253" t="n"/>
      <c r="P162" s="253" t="n"/>
      <c r="Q162" s="253" t="n"/>
      <c r="R162" s="253" t="n"/>
      <c r="S162" s="253" t="n"/>
      <c r="T162" s="253" t="n"/>
      <c r="U162" s="253" t="n"/>
      <c r="V162" s="253" t="n"/>
      <c r="W162" s="253" t="n"/>
      <c r="X162" s="253" t="n"/>
      <c r="Y162" s="253" t="n"/>
    </row>
    <row r="163" ht="15.75" customHeight="1" s="397">
      <c r="B163" s="251" t="inlineStr">
        <is>
          <t>Kite Festival</t>
        </is>
      </c>
      <c r="C163" s="252" t="n"/>
      <c r="D163" s="252" t="n"/>
      <c r="E163" s="252" t="n"/>
      <c r="F163" s="252" t="n"/>
      <c r="G163" s="252" t="n"/>
      <c r="H163" s="252" t="n"/>
      <c r="I163" s="252" t="n"/>
      <c r="J163" s="252" t="n"/>
      <c r="K163" s="252" t="n"/>
      <c r="L163" s="252" t="n"/>
      <c r="M163" s="252" t="n"/>
      <c r="O163" s="253" t="n"/>
      <c r="P163" s="253" t="n"/>
      <c r="Q163" s="253" t="n"/>
      <c r="R163" s="253" t="n"/>
      <c r="S163" s="253" t="n"/>
      <c r="T163" s="253" t="n"/>
      <c r="U163" s="253" t="n"/>
      <c r="V163" s="253" t="n"/>
      <c r="W163" s="253" t="n"/>
      <c r="X163" s="253" t="n"/>
      <c r="Y163" s="253" t="n"/>
    </row>
    <row r="164" ht="15.75" customHeight="1" s="397">
      <c r="B164" s="251" t="inlineStr">
        <is>
          <t>Level Race</t>
        </is>
      </c>
      <c r="C164" s="252" t="n"/>
      <c r="D164" s="252" t="n"/>
      <c r="E164" s="252" t="n"/>
      <c r="F164" s="252" t="n"/>
      <c r="G164" s="252" t="n"/>
      <c r="H164" s="252" t="n"/>
      <c r="I164" s="252" t="n"/>
      <c r="J164" s="252" t="n"/>
      <c r="K164" s="252" t="n"/>
      <c r="L164" s="252" t="n"/>
      <c r="M164" s="252" t="n"/>
      <c r="O164" s="253" t="n"/>
      <c r="P164" s="253" t="n"/>
      <c r="Q164" s="253" t="n"/>
      <c r="R164" s="253" t="n"/>
      <c r="S164" s="253" t="n"/>
      <c r="T164" s="253" t="n"/>
      <c r="U164" s="253" t="n"/>
      <c r="V164" s="253" t="n"/>
      <c r="W164" s="253" t="n"/>
      <c r="X164" s="253" t="n"/>
      <c r="Y164" s="253" t="n"/>
    </row>
    <row r="165" ht="15.75" customHeight="1" s="397">
      <c r="B165" s="251" t="inlineStr">
        <is>
          <t>Other</t>
        </is>
      </c>
      <c r="C165" s="252" t="n"/>
      <c r="D165" s="252" t="n"/>
      <c r="E165" s="252" t="n"/>
      <c r="F165" s="252" t="n"/>
      <c r="G165" s="252" t="n"/>
      <c r="H165" s="252" t="n"/>
      <c r="I165" s="252" t="n"/>
      <c r="J165" s="252" t="n"/>
      <c r="K165" s="252" t="n"/>
      <c r="L165" s="252" t="n"/>
      <c r="M165" s="252" t="n"/>
      <c r="O165" s="253" t="n"/>
      <c r="P165" s="253" t="n"/>
      <c r="Q165" s="253" t="n"/>
      <c r="R165" s="253" t="n"/>
      <c r="S165" s="253" t="n"/>
      <c r="T165" s="253" t="n"/>
      <c r="U165" s="253" t="n"/>
      <c r="V165" s="253" t="n"/>
      <c r="W165" s="253" t="n"/>
      <c r="X165" s="253" t="n"/>
      <c r="Y165" s="253" t="n"/>
    </row>
    <row r="166" ht="15.75" customHeight="1" s="397">
      <c r="B166" s="251" t="inlineStr">
        <is>
          <t>Photoshoot</t>
        </is>
      </c>
      <c r="C166" s="252" t="n"/>
      <c r="D166" s="252" t="n"/>
      <c r="E166" s="252" t="n"/>
      <c r="F166" s="252" t="n"/>
      <c r="G166" s="252" t="n"/>
      <c r="H166" s="252" t="n"/>
      <c r="I166" s="252" t="n"/>
      <c r="J166" s="252" t="n"/>
      <c r="K166" s="252" t="n"/>
      <c r="L166" s="252" t="n"/>
      <c r="M166" s="252" t="n"/>
      <c r="O166" s="253" t="n"/>
      <c r="P166" s="253" t="n"/>
      <c r="Q166" s="253" t="n"/>
      <c r="R166" s="253" t="n"/>
      <c r="S166" s="253" t="n"/>
      <c r="T166" s="253" t="n"/>
      <c r="U166" s="253" t="n"/>
      <c r="V166" s="253" t="n"/>
      <c r="W166" s="253" t="n"/>
      <c r="X166" s="253" t="n"/>
      <c r="Y166" s="253" t="n"/>
    </row>
    <row r="167" ht="15.75" customHeight="1" s="397">
      <c r="B167" s="251" t="inlineStr">
        <is>
          <t>Red Challenge</t>
        </is>
      </c>
      <c r="C167" s="252" t="n"/>
      <c r="D167" s="252" t="n"/>
      <c r="E167" s="252" t="n"/>
      <c r="F167" s="252" t="n"/>
      <c r="G167" s="252" t="n"/>
      <c r="H167" s="252" t="n"/>
      <c r="I167" s="252" t="n"/>
      <c r="J167" s="252" t="n"/>
      <c r="K167" s="252" t="n"/>
      <c r="L167" s="252" t="n"/>
      <c r="M167" s="252" t="n"/>
      <c r="O167" s="253" t="n"/>
      <c r="P167" s="253" t="n"/>
      <c r="Q167" s="253" t="n"/>
      <c r="R167" s="253" t="n"/>
      <c r="S167" s="253" t="n"/>
      <c r="T167" s="253" t="n"/>
      <c r="U167" s="253" t="n"/>
      <c r="V167" s="253" t="n"/>
      <c r="W167" s="253" t="n"/>
      <c r="X167" s="253" t="n"/>
      <c r="Y167" s="253" t="n"/>
    </row>
    <row r="168" ht="15.75" customHeight="1" s="397">
      <c r="B168" s="254" t="inlineStr">
        <is>
          <t>River Rush</t>
        </is>
      </c>
      <c r="C168" s="255" t="n"/>
      <c r="D168" s="255" t="n"/>
      <c r="E168" s="255" t="n"/>
      <c r="F168" s="255" t="n"/>
      <c r="G168" s="255" t="n"/>
      <c r="H168" s="255" t="n"/>
      <c r="I168" s="255" t="n"/>
      <c r="J168" s="255" t="n"/>
      <c r="K168" s="255" t="n"/>
      <c r="L168" s="255" t="n"/>
      <c r="M168" s="255" t="n"/>
      <c r="O168" s="253" t="n"/>
      <c r="P168" s="253" t="n"/>
      <c r="Q168" s="253" t="n"/>
      <c r="R168" s="253" t="n"/>
      <c r="S168" s="253" t="n"/>
      <c r="T168" s="253" t="n"/>
      <c r="U168" s="253" t="n"/>
      <c r="V168" s="253" t="n"/>
      <c r="W168" s="253" t="n"/>
      <c r="X168" s="253" t="n"/>
      <c r="Y168" s="253" t="n"/>
    </row>
    <row r="169" ht="15.75" customHeight="1" s="397">
      <c r="B169" s="256" t="inlineStr">
        <is>
          <t>Saga</t>
        </is>
      </c>
      <c r="C169" s="255" t="n"/>
      <c r="D169" s="255" t="n"/>
      <c r="E169" s="255" t="n"/>
      <c r="F169" s="255" t="n"/>
      <c r="G169" s="255" t="n"/>
      <c r="H169" s="255" t="n"/>
      <c r="I169" s="255" t="n"/>
      <c r="J169" s="255" t="n"/>
      <c r="K169" s="255" t="n"/>
      <c r="L169" s="255" t="n"/>
      <c r="M169" s="255" t="n"/>
      <c r="O169" s="253" t="n"/>
      <c r="P169" s="253" t="n"/>
      <c r="Q169" s="253" t="n"/>
      <c r="R169" s="253" t="n"/>
      <c r="S169" s="253" t="n"/>
      <c r="T169" s="253" t="n"/>
      <c r="U169" s="253" t="n"/>
      <c r="V169" s="253" t="n"/>
      <c r="W169" s="253" t="n"/>
      <c r="X169" s="253" t="n"/>
      <c r="Y169" s="253" t="n"/>
    </row>
    <row r="170" ht="15.75" customHeight="1" s="397">
      <c r="B170" s="251" t="inlineStr">
        <is>
          <t>Season Pass (Free)</t>
        </is>
      </c>
      <c r="C170" s="252" t="n"/>
      <c r="D170" s="252" t="n"/>
      <c r="E170" s="252" t="n"/>
      <c r="F170" s="252" t="n"/>
      <c r="G170" s="252" t="n"/>
      <c r="H170" s="252" t="n"/>
      <c r="I170" s="252" t="n"/>
      <c r="J170" s="252" t="n"/>
      <c r="K170" s="252" t="n"/>
      <c r="L170" s="252" t="n"/>
      <c r="M170" s="252" t="n"/>
      <c r="O170" s="253" t="n"/>
      <c r="P170" s="253" t="n"/>
      <c r="Q170" s="253" t="n"/>
      <c r="R170" s="253" t="n"/>
      <c r="S170" s="253" t="n"/>
      <c r="T170" s="253" t="n"/>
      <c r="U170" s="253" t="n"/>
      <c r="V170" s="253" t="n"/>
      <c r="W170" s="253" t="n"/>
      <c r="X170" s="253" t="n"/>
      <c r="Y170" s="253" t="n"/>
    </row>
    <row r="171" ht="15.75" customHeight="1" s="397">
      <c r="B171" s="251" t="inlineStr">
        <is>
          <t>Target Day</t>
        </is>
      </c>
      <c r="C171" s="252" t="n"/>
      <c r="D171" s="252" t="n"/>
      <c r="E171" s="252" t="n"/>
      <c r="F171" s="252" t="n"/>
      <c r="G171" s="252" t="n"/>
      <c r="H171" s="252" t="n"/>
      <c r="I171" s="252" t="n"/>
      <c r="J171" s="252" t="n"/>
      <c r="K171" s="252" t="n"/>
      <c r="L171" s="252" t="n"/>
      <c r="M171" s="252" t="n"/>
      <c r="O171" s="253" t="n"/>
      <c r="P171" s="253" t="n"/>
      <c r="Q171" s="253" t="n"/>
      <c r="R171" s="253" t="n"/>
      <c r="S171" s="253" t="n"/>
      <c r="T171" s="253" t="n"/>
      <c r="U171" s="253" t="n"/>
      <c r="V171" s="253" t="n"/>
      <c r="W171" s="253" t="n"/>
      <c r="X171" s="253" t="n"/>
      <c r="Y171" s="253" t="n"/>
    </row>
    <row r="172" ht="15.75" customHeight="1" s="397">
      <c r="B172" s="251" t="inlineStr">
        <is>
          <t>Team Event</t>
        </is>
      </c>
      <c r="C172" s="252" t="n"/>
      <c r="D172" s="252" t="n"/>
      <c r="E172" s="252" t="n"/>
      <c r="F172" s="252" t="n"/>
      <c r="G172" s="252" t="n"/>
      <c r="H172" s="252" t="n"/>
      <c r="I172" s="252" t="n"/>
      <c r="J172" s="252" t="n"/>
      <c r="K172" s="252" t="n"/>
      <c r="L172" s="252" t="n"/>
      <c r="M172" s="252" t="n"/>
      <c r="O172" s="253" t="n"/>
      <c r="P172" s="253" t="n"/>
      <c r="Q172" s="253" t="n"/>
      <c r="R172" s="253" t="n"/>
      <c r="S172" s="253" t="n"/>
      <c r="T172" s="253" t="n"/>
      <c r="U172" s="253" t="n"/>
      <c r="V172" s="253" t="n"/>
      <c r="W172" s="253" t="n"/>
      <c r="X172" s="253" t="n"/>
      <c r="Y172" s="253" t="n"/>
    </row>
    <row r="173" ht="15.75" customHeight="1" s="397">
      <c r="B173" s="251" t="inlineStr">
        <is>
          <t>Team Race</t>
        </is>
      </c>
      <c r="C173" s="252" t="n"/>
      <c r="D173" s="252" t="n"/>
      <c r="E173" s="252" t="n"/>
      <c r="F173" s="252" t="n"/>
      <c r="G173" s="252" t="n"/>
      <c r="H173" s="252" t="n"/>
      <c r="I173" s="252" t="n"/>
      <c r="J173" s="252" t="n"/>
      <c r="K173" s="252" t="n"/>
      <c r="L173" s="252" t="n"/>
      <c r="M173" s="252" t="n"/>
      <c r="O173" s="253" t="n"/>
      <c r="P173" s="253" t="n"/>
      <c r="Q173" s="253" t="n"/>
      <c r="R173" s="253" t="n"/>
      <c r="S173" s="253" t="n"/>
      <c r="T173" s="253" t="n"/>
      <c r="U173" s="253" t="n"/>
      <c r="V173" s="253" t="n"/>
      <c r="W173" s="253" t="n"/>
      <c r="X173" s="253" t="n"/>
      <c r="Y173" s="253" t="n"/>
    </row>
    <row r="174" ht="15.75" customHeight="1" s="397">
      <c r="B174" s="251" t="inlineStr">
        <is>
          <t>Flash Race</t>
        </is>
      </c>
      <c r="C174" s="252" t="n"/>
      <c r="D174" s="252" t="n"/>
      <c r="E174" s="252" t="n"/>
      <c r="F174" s="252" t="n"/>
      <c r="G174" s="252" t="n"/>
      <c r="H174" s="252" t="n"/>
      <c r="I174" s="252" t="n"/>
      <c r="J174" s="252" t="n"/>
      <c r="K174" s="252" t="n"/>
      <c r="L174" s="252" t="n"/>
      <c r="M174" s="252" t="n"/>
      <c r="O174" s="253" t="n"/>
      <c r="P174" s="253" t="n"/>
      <c r="Q174" s="253" t="n"/>
      <c r="R174" s="253" t="n"/>
      <c r="S174" s="253" t="n"/>
      <c r="T174" s="253" t="n"/>
      <c r="U174" s="253" t="n"/>
      <c r="V174" s="253" t="n"/>
      <c r="W174" s="253" t="n"/>
      <c r="X174" s="253" t="n"/>
      <c r="Y174" s="253" t="n"/>
    </row>
    <row r="175" ht="15.75" customHeight="1" s="397">
      <c r="B175" s="251" t="inlineStr">
        <is>
          <t>FlowerCoop</t>
        </is>
      </c>
      <c r="C175" s="252" t="n"/>
      <c r="D175" s="252" t="n"/>
      <c r="E175" s="252" t="n"/>
      <c r="F175" s="252" t="n"/>
      <c r="G175" s="252" t="n"/>
      <c r="H175" s="252" t="n"/>
      <c r="I175" s="252" t="n"/>
      <c r="J175" s="252" t="n"/>
      <c r="K175" s="252" t="n"/>
      <c r="L175" s="252" t="n"/>
      <c r="M175" s="252" t="n"/>
      <c r="O175" s="253" t="n"/>
      <c r="P175" s="253" t="n"/>
      <c r="Q175" s="253" t="n"/>
      <c r="R175" s="253" t="n"/>
      <c r="S175" s="253" t="n"/>
      <c r="T175" s="253" t="n"/>
      <c r="U175" s="253" t="n"/>
      <c r="V175" s="253" t="n"/>
      <c r="W175" s="253" t="n"/>
      <c r="X175" s="253" t="n"/>
      <c r="Y175" s="253" t="n"/>
    </row>
    <row r="176" ht="15.75" customHeight="1" s="397">
      <c r="B176" s="251" t="inlineStr">
        <is>
          <t>Rainbow Maker</t>
        </is>
      </c>
      <c r="C176" s="252" t="n"/>
      <c r="D176" s="252" t="n"/>
      <c r="E176" s="252" t="n"/>
      <c r="F176" s="252" t="n"/>
      <c r="G176" s="252" t="n"/>
      <c r="H176" s="252" t="n"/>
      <c r="I176" s="252" t="n"/>
      <c r="J176" s="252" t="n"/>
      <c r="K176" s="252" t="n"/>
      <c r="L176" s="252" t="n"/>
      <c r="M176" s="252" t="n"/>
      <c r="O176" s="253" t="n"/>
      <c r="P176" s="253" t="n"/>
      <c r="Q176" s="253" t="n"/>
      <c r="R176" s="253" t="n"/>
      <c r="S176" s="253" t="n"/>
      <c r="T176" s="253" t="n"/>
      <c r="U176" s="253" t="n"/>
      <c r="V176" s="253" t="n"/>
      <c r="W176" s="253" t="n"/>
      <c r="X176" s="253" t="n"/>
      <c r="Y176" s="253" t="n"/>
    </row>
    <row r="177" ht="15.75" customHeight="1" s="397">
      <c r="B177" s="251" t="inlineStr">
        <is>
          <t>IAPs</t>
        </is>
      </c>
      <c r="C177" s="252" t="n"/>
      <c r="D177" s="252" t="n"/>
      <c r="E177" s="252" t="n"/>
      <c r="F177" s="252" t="n"/>
      <c r="G177" s="252" t="n"/>
      <c r="H177" s="252" t="n"/>
      <c r="I177" s="252" t="n"/>
      <c r="J177" s="252" t="n"/>
      <c r="K177" s="252" t="n"/>
      <c r="L177" s="252" t="n"/>
      <c r="M177" s="252" t="n"/>
      <c r="O177" s="253" t="n"/>
      <c r="P177" s="253" t="n"/>
      <c r="Q177" s="253" t="n"/>
      <c r="R177" s="253" t="n"/>
      <c r="S177" s="253" t="n"/>
      <c r="T177" s="253" t="n"/>
      <c r="U177" s="253" t="n"/>
      <c r="V177" s="253" t="n"/>
      <c r="W177" s="253" t="n"/>
      <c r="X177" s="253" t="n"/>
      <c r="Y177" s="253" t="n"/>
    </row>
    <row r="178" ht="15.75" customHeight="1" s="397"/>
    <row r="179" ht="15.75" customHeight="1" s="397"/>
    <row r="180" ht="15.75" customHeight="1" s="397"/>
    <row r="181" ht="15.75" customHeight="1" s="397">
      <c r="B181" s="271" t="inlineStr">
        <is>
          <t>LEGEND / ASSUMPTIONS (EcoGainsSim_v4)</t>
        </is>
      </c>
    </row>
    <row r="182" ht="15.75" customHeight="1" s="397">
      <c r="B182" s="272" t="inlineStr">
        <is>
          <t>Colors: blue = measured (carried) · gray = simulated · yellow label = always-on/daily sim · pink label = calendar-event sim · diff: red &lt; 0 &lt; green.</t>
        </is>
      </c>
    </row>
    <row r="183" ht="15.75" customHeight="1" s="397">
      <c r="B183" s="272" t="inlineStr">
        <is>
          <t>Night Sky: SIMULATED column = bottom-up FULL-ROLLOUT value (segment ladder x survival over data_streaks max-streak p25-p90, each x 1.25 effective-streak factor, x active days). CURRENT is A/B-diluted, so the DIFF row = ROLLOUT EFFECT (not a redesign delta).</t>
        </is>
      </c>
    </row>
    <row r="184" ht="15.75" customHeight="1" s="397">
      <c r="B184" s="272" t="inlineStr">
        <is>
          <t>Rainbow Maker &amp; Night Sky magnitudes are tail-sensitive: milestones past p90 are priced by linear extrapolation (conservative S=0-beyond-p90 bounds available in the offline harness).</t>
        </is>
      </c>
    </row>
    <row r="185" ht="15.75" customHeight="1" s="397">
      <c r="B185" s="272" t="inlineStr">
        <is>
          <t>Target Day: pure leaderboard (milestones pay 0 by design); D=1 rank-invariance assumed — same assumption as the bird challenges. Rainbow Maker's clipped 2-day instance scales the matchables axis x(2/4).</t>
        </is>
      </c>
    </row>
    <row r="186" ht="15.75" customHeight="1" s="397">
      <c r="B186" s="272" t="inlineStr">
        <is>
          <t>Photoshoot: single instance in both calendars, so T is placement-sensitive. River Rush: simulated 0 because cal_new has no instances (removal) — re-add instances and it re-prices.</t>
        </is>
      </c>
    </row>
    <row r="187" ht="15.75" customHeight="1" s="397">
      <c r="B187" s="272" t="inlineStr">
        <is>
          <t>A. 0 block: no behaviour data (these players barely play) — everything carried except config-only changes: Saga HC x ratio, Daily Gift HC x ratio (0-9 streaks as PROXY, slightly overstates), River Rush -&gt; 0. RM/NS not simulated for A. 0.</t>
        </is>
      </c>
    </row>
    <row r="188" ht="15.75" customHeight="1" s="397">
      <c r="B188" s="272" t="inlineStr">
        <is>
      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      </is>
      </c>
    </row>
    <row r="189" ht="15.75" customHeight="1" s="397">
      <c r="B189" s="272" t="inlineStr">
        <is>
          <t>Kite Festival is priced as a LEADERBOARD (since 2026-07-06): payouts are zero-sum per league of 60, so duration does not move them; D=1 and the row GROWS ~x1.3 via cadence.</t>
        </is>
      </c>
    </row>
    <row r="190" ht="15.75" customHeight="1" s="397">
      <c r="B190" s="272" t="inlineStr">
        <is>
          <t>After editing a calendar: menu EcoGainsSim ▸ Precompute calendars (writes hidden cal_parsed; engine prefers it). Sanity canary: the Kite Festival row must GROW ~x1.3 vs measured. If every event row equals measured, the calendar read failed.</t>
        </is>
      </c>
    </row>
    <row r="191" ht="15.75" customHeight="1" s="397"/>
    <row r="192" ht="15.75" customHeight="1" s="397"/>
    <row r="193" ht="15.75" customHeight="1" s="397"/>
    <row r="194" ht="15.75" customHeight="1" s="397"/>
    <row r="195" ht="15.75" customHeight="1" s="397"/>
    <row r="196" ht="15.75" customHeight="1" s="397"/>
    <row r="197" ht="15.75" customHeight="1" s="397"/>
    <row r="198" ht="15.75" customHeight="1" s="397"/>
    <row r="199" ht="15.75" customHeight="1" s="397"/>
    <row r="200" ht="15.75" customHeight="1" s="397"/>
    <row r="201" ht="15.75" customHeight="1" s="397"/>
    <row r="202" ht="15.75" customHeight="1" s="397"/>
    <row r="203" ht="15.75" customHeight="1" s="397"/>
    <row r="204" ht="15.75" customHeight="1" s="397"/>
    <row r="205" ht="15.75" customHeight="1" s="397"/>
    <row r="206" ht="15.75" customHeight="1" s="397"/>
    <row r="207" ht="15.75" customHeight="1" s="397"/>
    <row r="208" ht="15.75" customHeight="1" s="397"/>
    <row r="209" ht="15.75" customHeight="1" s="397"/>
    <row r="210" ht="15.75" customHeight="1" s="397"/>
    <row r="211" ht="15.75" customHeight="1" s="397"/>
    <row r="212" ht="15.75" customHeight="1" s="397"/>
    <row r="213" ht="15.75" customHeight="1" s="397"/>
    <row r="214" ht="15.75" customHeight="1" s="397"/>
    <row r="215" ht="15.75" customHeight="1" s="397"/>
    <row r="216" ht="15.75" customHeight="1" s="397"/>
    <row r="217" ht="15.75" customHeight="1" s="397"/>
    <row r="218" ht="15.75" customHeight="1" s="397"/>
    <row r="219" ht="15.75" customHeight="1" s="397"/>
    <row r="220" ht="15.75" customHeight="1" s="397"/>
    <row r="221" ht="15.75" customHeight="1" s="397"/>
    <row r="222" ht="15.75" customHeight="1" s="397"/>
    <row r="223" ht="15.75" customHeight="1" s="397"/>
    <row r="224" ht="15.75" customHeight="1" s="397"/>
    <row r="225" ht="15.75" customHeight="1" s="397"/>
    <row r="226" ht="15.75" customHeight="1" s="397"/>
    <row r="227" ht="15.75" customHeight="1" s="397"/>
    <row r="228" ht="15.75" customHeight="1" s="397"/>
    <row r="229" ht="15.75" customHeight="1" s="397"/>
    <row r="230" ht="15.75" customHeight="1" s="397"/>
    <row r="231" ht="15.75" customHeight="1" s="397"/>
    <row r="232" ht="15.75" customHeight="1" s="397"/>
    <row r="233" ht="15.75" customHeight="1" s="397"/>
    <row r="234" ht="15.75" customHeight="1" s="397"/>
    <row r="235" ht="15.75" customHeight="1" s="397"/>
    <row r="236" ht="15.75" customHeight="1" s="397"/>
    <row r="237" ht="15.75" customHeight="1" s="397"/>
    <row r="238" ht="15.75" customHeight="1" s="397"/>
    <row r="239" ht="15.75" customHeight="1" s="397"/>
    <row r="240" ht="15.75" customHeight="1" s="397"/>
    <row r="241" ht="15.75" customHeight="1" s="397"/>
    <row r="242" ht="15.75" customHeight="1" s="397"/>
    <row r="243" ht="15.75" customHeight="1" s="397"/>
    <row r="244" ht="15.75" customHeight="1" s="397"/>
    <row r="245" ht="15.75" customHeight="1" s="397"/>
    <row r="246" ht="15.75" customHeight="1" s="397"/>
    <row r="247" ht="15.75" customHeight="1" s="397"/>
    <row r="248" ht="15.75" customHeight="1" s="397"/>
    <row r="249" ht="15.75" customHeight="1" s="397"/>
    <row r="250" ht="15.75" customHeight="1" s="397"/>
    <row r="251" ht="15.75" customHeight="1" s="397"/>
    <row r="252" ht="15.75" customHeight="1" s="397"/>
    <row r="253" ht="15.75" customHeight="1" s="397"/>
    <row r="254" ht="15.75" customHeight="1" s="397"/>
    <row r="255" ht="15.75" customHeight="1" s="397"/>
    <row r="256" ht="15.75" customHeight="1" s="397"/>
    <row r="257" ht="15.75" customHeight="1" s="397"/>
    <row r="258" ht="15.75" customHeight="1" s="397"/>
    <row r="259" ht="15.75" customHeight="1" s="397"/>
    <row r="260" ht="15.75" customHeight="1" s="397"/>
    <row r="261" ht="15.75" customHeight="1" s="397"/>
    <row r="262" ht="15.75" customHeight="1" s="397"/>
    <row r="263" ht="15.75" customHeight="1" s="397"/>
    <row r="264" ht="15.75" customHeight="1" s="397"/>
    <row r="265" ht="15.75" customHeight="1" s="397"/>
    <row r="266" ht="15.75" customHeight="1" s="397"/>
    <row r="267" ht="15.75" customHeight="1" s="397"/>
    <row r="268" ht="15.75" customHeight="1" s="397"/>
    <row r="269" ht="15.75" customHeight="1" s="397"/>
    <row r="270" ht="15.75" customHeight="1" s="397"/>
    <row r="271" ht="15.75" customHeight="1" s="397"/>
    <row r="272" ht="15.75" customHeight="1" s="397"/>
    <row r="273" ht="15.75" customHeight="1" s="397"/>
    <row r="274" ht="15.75" customHeight="1" s="397"/>
    <row r="275" ht="15.75" customHeight="1" s="397"/>
    <row r="276" ht="15.75" customHeight="1" s="397"/>
    <row r="277" ht="15.75" customHeight="1" s="397"/>
    <row r="278" ht="15.75" customHeight="1" s="397"/>
    <row r="279" ht="15.75" customHeight="1" s="397"/>
    <row r="280" ht="15.75" customHeight="1" s="397"/>
    <row r="281" ht="15.75" customHeight="1" s="397"/>
    <row r="282" ht="15.75" customHeight="1" s="397"/>
    <row r="283" ht="15.75" customHeight="1" s="397"/>
    <row r="284" ht="15.75" customHeight="1" s="397"/>
    <row r="285" ht="15.75" customHeight="1" s="397"/>
    <row r="286" ht="15.75" customHeight="1" s="397"/>
    <row r="287" ht="15.75" customHeight="1" s="397"/>
    <row r="288" ht="15.75" customHeight="1" s="397"/>
    <row r="289" ht="15.75" customHeight="1" s="397"/>
    <row r="290" ht="15.75" customHeight="1" s="397"/>
    <row r="291" ht="15.75" customHeight="1" s="397"/>
    <row r="292" ht="15.75" customHeight="1" s="397"/>
    <row r="293" ht="15.75" customHeight="1" s="397"/>
    <row r="294" ht="15.75" customHeight="1" s="397"/>
    <row r="295" ht="15.75" customHeight="1" s="397"/>
    <row r="296" ht="15.75" customHeight="1" s="397"/>
    <row r="297" ht="15.75" customHeight="1" s="397"/>
    <row r="298" ht="15.75" customHeight="1" s="397"/>
    <row r="299" ht="15.75" customHeight="1" s="397"/>
    <row r="300" ht="15.75" customHeight="1" s="397"/>
    <row r="301" ht="15.75" customHeight="1" s="397"/>
    <row r="302" ht="15.75" customHeight="1" s="397"/>
    <row r="303" ht="15.75" customHeight="1" s="397"/>
    <row r="304" ht="15.75" customHeight="1" s="397"/>
    <row r="305" ht="15.75" customHeight="1" s="397"/>
    <row r="306" ht="15.75" customHeight="1" s="397"/>
    <row r="307" ht="15.75" customHeight="1" s="397"/>
    <row r="308" ht="15.75" customHeight="1" s="397"/>
    <row r="309" ht="15.75" customHeight="1" s="397"/>
    <row r="310" ht="15.75" customHeight="1" s="397"/>
    <row r="311" ht="15.75" customHeight="1" s="397"/>
    <row r="312" ht="15.75" customHeight="1" s="397"/>
    <row r="313" ht="15.75" customHeight="1" s="397"/>
    <row r="314" ht="15.75" customHeight="1" s="397"/>
    <row r="315" ht="15.75" customHeight="1" s="397"/>
    <row r="316" ht="15.75" customHeight="1" s="397"/>
    <row r="317" ht="15.75" customHeight="1" s="397"/>
    <row r="318" ht="15.75" customHeight="1" s="397"/>
    <row r="319" ht="15.75" customHeight="1" s="397"/>
    <row r="320" ht="15.75" customHeight="1" s="397"/>
    <row r="321" ht="15.75" customHeight="1" s="397"/>
    <row r="322" ht="15.75" customHeight="1" s="397"/>
    <row r="323" ht="15.75" customHeight="1" s="397"/>
    <row r="324" ht="15.75" customHeight="1" s="397"/>
    <row r="325" ht="15.75" customHeight="1" s="397"/>
    <row r="326" ht="15.75" customHeight="1" s="397"/>
    <row r="327" ht="15.75" customHeight="1" s="397"/>
    <row r="328" ht="15.75" customHeight="1" s="397"/>
    <row r="329" ht="15.75" customHeight="1" s="397"/>
    <row r="330" ht="15.75" customHeight="1" s="397"/>
    <row r="331" ht="15.75" customHeight="1" s="397"/>
    <row r="332" ht="15.75" customHeight="1" s="397"/>
    <row r="333" ht="15.75" customHeight="1" s="397"/>
    <row r="334" ht="15.75" customHeight="1" s="397"/>
    <row r="335" ht="15.75" customHeight="1" s="397"/>
    <row r="336" ht="15.75" customHeight="1" s="397"/>
    <row r="337" ht="15.75" customHeight="1" s="397"/>
    <row r="338" ht="15.75" customHeight="1" s="397"/>
    <row r="339" ht="15.75" customHeight="1" s="397"/>
    <row r="340" ht="15.75" customHeight="1" s="397"/>
    <row r="341" ht="15.75" customHeight="1" s="397"/>
    <row r="342" ht="15.75" customHeight="1" s="397"/>
    <row r="343" ht="15.75" customHeight="1" s="397"/>
    <row r="344" ht="15.75" customHeight="1" s="397"/>
    <row r="345" ht="15.75" customHeight="1" s="397"/>
    <row r="346" ht="15.75" customHeight="1" s="397"/>
    <row r="347" ht="15.75" customHeight="1" s="397"/>
    <row r="348" ht="15.75" customHeight="1" s="397"/>
    <row r="349" ht="15.75" customHeight="1" s="397"/>
    <row r="350" ht="15.75" customHeight="1" s="397"/>
    <row r="351" ht="15.75" customHeight="1" s="397"/>
    <row r="352" ht="15.75" customHeight="1" s="397"/>
    <row r="353" ht="15.75" customHeight="1" s="397"/>
    <row r="354" ht="15.75" customHeight="1" s="397"/>
    <row r="355" ht="15.75" customHeight="1" s="397"/>
    <row r="356" ht="15.75" customHeight="1" s="397"/>
    <row r="357" ht="15.75" customHeight="1" s="397"/>
    <row r="358" ht="15.75" customHeight="1" s="397"/>
    <row r="359" ht="15.75" customHeight="1" s="397"/>
    <row r="360" ht="15.75" customHeight="1" s="397"/>
    <row r="361" ht="15.75" customHeight="1" s="397"/>
    <row r="362" ht="15.75" customHeight="1" s="397"/>
    <row r="363" ht="15.75" customHeight="1" s="397"/>
    <row r="364" ht="15.75" customHeight="1" s="397"/>
    <row r="365" ht="15.75" customHeight="1" s="397"/>
    <row r="366" ht="15.75" customHeight="1" s="397"/>
    <row r="367" ht="15.75" customHeight="1" s="397"/>
    <row r="368" ht="15.75" customHeight="1" s="397"/>
    <row r="369" ht="15.75" customHeight="1" s="397"/>
    <row r="370" ht="15.75" customHeight="1" s="397"/>
    <row r="371" ht="15.75" customHeight="1" s="397"/>
    <row r="372" ht="15.75" customHeight="1" s="397"/>
    <row r="373" ht="15.75" customHeight="1" s="397"/>
    <row r="374" ht="15.75" customHeight="1" s="397"/>
    <row r="375" ht="15.75" customHeight="1" s="397"/>
    <row r="376" ht="15.75" customHeight="1" s="397"/>
    <row r="377" ht="15.75" customHeight="1" s="397"/>
    <row r="378" ht="15.75" customHeight="1" s="397"/>
    <row r="379" ht="15.75" customHeight="1" s="397"/>
    <row r="380" ht="15.75" customHeight="1" s="397"/>
    <row r="381" ht="15.75" customHeight="1" s="397"/>
    <row r="382" ht="15.75" customHeight="1" s="397"/>
    <row r="383" ht="15.75" customHeight="1" s="397"/>
    <row r="384" ht="15.75" customHeight="1" s="397"/>
    <row r="385" ht="15.75" customHeight="1" s="397"/>
    <row r="386" ht="15.75" customHeight="1" s="397"/>
    <row r="387" ht="15.75" customHeight="1" s="397"/>
    <row r="388" ht="15.75" customHeight="1" s="397"/>
    <row r="389" ht="15.75" customHeight="1" s="397"/>
    <row r="390" ht="15.75" customHeight="1" s="397"/>
    <row r="391" ht="15.75" customHeight="1" s="397"/>
    <row r="392" ht="15.75" customHeight="1" s="397"/>
    <row r="393" ht="15.75" customHeight="1" s="397"/>
    <row r="394" ht="15.75" customHeight="1" s="397"/>
    <row r="395" ht="15.75" customHeight="1" s="397"/>
    <row r="396" ht="15.75" customHeight="1" s="397"/>
    <row r="397" ht="15.75" customHeight="1" s="397"/>
    <row r="398" ht="15.75" customHeight="1" s="397"/>
    <row r="399" ht="15.75" customHeight="1" s="397"/>
    <row r="400" ht="15.75" customHeight="1" s="397"/>
    <row r="401" ht="15.75" customHeight="1" s="397"/>
    <row r="402" ht="15.75" customHeight="1" s="397"/>
    <row r="403" ht="15.75" customHeight="1" s="397"/>
    <row r="404" ht="15.75" customHeight="1" s="397"/>
    <row r="405" ht="15.75" customHeight="1" s="397"/>
    <row r="406" ht="15.75" customHeight="1" s="397"/>
    <row r="407" ht="15.75" customHeight="1" s="397"/>
    <row r="408" ht="15.75" customHeight="1" s="397"/>
    <row r="409" ht="15.75" customHeight="1" s="397"/>
    <row r="410" ht="15.75" customHeight="1" s="397"/>
    <row r="411" ht="15.75" customHeight="1" s="397"/>
    <row r="412" ht="15.75" customHeight="1" s="397"/>
    <row r="413" ht="15.75" customHeight="1" s="397"/>
    <row r="414" ht="15.75" customHeight="1" s="397"/>
    <row r="415" ht="15.75" customHeight="1" s="397"/>
    <row r="416" ht="15.75" customHeight="1" s="397"/>
    <row r="417" ht="15.75" customHeight="1" s="397"/>
    <row r="418" ht="15.75" customHeight="1" s="397"/>
    <row r="419" ht="15.75" customHeight="1" s="397"/>
    <row r="420" ht="15.75" customHeight="1" s="397"/>
    <row r="421" ht="15.75" customHeight="1" s="397"/>
    <row r="422" ht="15.75" customHeight="1" s="397"/>
    <row r="423" ht="15.75" customHeight="1" s="397"/>
    <row r="424" ht="15.75" customHeight="1" s="397"/>
    <row r="425" ht="15.75" customHeight="1" s="397"/>
    <row r="426" ht="15.75" customHeight="1" s="397"/>
    <row r="427" ht="15.75" customHeight="1" s="397"/>
    <row r="428" ht="15.75" customHeight="1" s="397"/>
    <row r="429" ht="15.75" customHeight="1" s="397"/>
    <row r="430" ht="15.75" customHeight="1" s="397"/>
    <row r="431" ht="15.75" customHeight="1" s="397"/>
    <row r="432" ht="15.75" customHeight="1" s="397"/>
    <row r="433" ht="15.75" customHeight="1" s="397"/>
    <row r="434" ht="15.75" customHeight="1" s="397"/>
    <row r="435" ht="15.75" customHeight="1" s="397"/>
    <row r="436" ht="15.75" customHeight="1" s="397"/>
    <row r="437" ht="15.75" customHeight="1" s="397"/>
    <row r="438" ht="15.75" customHeight="1" s="397"/>
    <row r="439" ht="15.75" customHeight="1" s="397"/>
    <row r="440" ht="15.75" customHeight="1" s="397"/>
    <row r="441" ht="15.75" customHeight="1" s="397"/>
    <row r="442" ht="15.75" customHeight="1" s="397"/>
    <row r="443" ht="15.75" customHeight="1" s="397"/>
    <row r="444" ht="15.75" customHeight="1" s="397"/>
    <row r="445" ht="15.75" customHeight="1" s="397"/>
    <row r="446" ht="15.75" customHeight="1" s="397"/>
    <row r="447" ht="15.75" customHeight="1" s="397"/>
    <row r="448" ht="15.75" customHeight="1" s="397"/>
    <row r="449" ht="15.75" customHeight="1" s="397"/>
    <row r="450" ht="15.75" customHeight="1" s="397"/>
    <row r="451" ht="15.75" customHeight="1" s="397"/>
    <row r="452" ht="15.75" customHeight="1" s="397"/>
    <row r="453" ht="15.75" customHeight="1" s="397"/>
    <row r="454" ht="15.75" customHeight="1" s="397"/>
    <row r="455" ht="15.75" customHeight="1" s="397"/>
    <row r="456" ht="15.75" customHeight="1" s="397"/>
    <row r="457" ht="15.75" customHeight="1" s="397"/>
    <row r="458" ht="15.75" customHeight="1" s="397"/>
    <row r="459" ht="15.75" customHeight="1" s="397"/>
    <row r="460" ht="15.75" customHeight="1" s="397"/>
    <row r="461" ht="15.75" customHeight="1" s="397"/>
    <row r="462" ht="15.75" customHeight="1" s="397"/>
    <row r="463" ht="15.75" customHeight="1" s="397"/>
    <row r="464" ht="15.75" customHeight="1" s="397"/>
    <row r="465" ht="15.75" customHeight="1" s="397"/>
    <row r="466" ht="15.75" customHeight="1" s="397"/>
    <row r="467" ht="15.75" customHeight="1" s="397"/>
    <row r="468" ht="15.75" customHeight="1" s="397"/>
    <row r="469" ht="15.75" customHeight="1" s="397"/>
    <row r="470" ht="15.75" customHeight="1" s="397"/>
    <row r="471" ht="15.75" customHeight="1" s="397"/>
    <row r="472" ht="15.75" customHeight="1" s="397"/>
    <row r="473" ht="15.75" customHeight="1" s="397"/>
    <row r="474" ht="15.75" customHeight="1" s="397"/>
    <row r="475" ht="15.75" customHeight="1" s="397"/>
    <row r="476" ht="15.75" customHeight="1" s="397"/>
    <row r="477" ht="15.75" customHeight="1" s="397"/>
    <row r="478" ht="15.75" customHeight="1" s="397"/>
    <row r="479" ht="15.75" customHeight="1" s="397"/>
    <row r="480" ht="15.75" customHeight="1" s="397"/>
    <row r="481" ht="15.75" customHeight="1" s="397"/>
    <row r="482" ht="15.75" customHeight="1" s="397"/>
    <row r="483" ht="15.75" customHeight="1" s="397"/>
    <row r="484" ht="15.75" customHeight="1" s="397"/>
    <row r="485" ht="15.75" customHeight="1" s="397"/>
    <row r="486" ht="15.75" customHeight="1" s="397"/>
    <row r="487" ht="15.75" customHeight="1" s="397"/>
    <row r="488" ht="15.75" customHeight="1" s="397"/>
    <row r="489" ht="15.75" customHeight="1" s="397"/>
    <row r="490" ht="15.75" customHeight="1" s="397"/>
    <row r="491" ht="15.75" customHeight="1" s="397"/>
    <row r="492" ht="15.75" customHeight="1" s="397"/>
    <row r="493" ht="15.75" customHeight="1" s="397"/>
    <row r="494" ht="15.75" customHeight="1" s="397"/>
    <row r="495" ht="15.75" customHeight="1" s="397"/>
    <row r="496" ht="15.75" customHeight="1" s="397"/>
    <row r="497" ht="15.75" customHeight="1" s="397"/>
    <row r="498" ht="15.75" customHeight="1" s="397"/>
    <row r="499" ht="15.75" customHeight="1" s="397"/>
    <row r="500" ht="15.75" customHeight="1" s="397"/>
    <row r="501" ht="15.75" customHeight="1" s="397"/>
    <row r="502" ht="15.75" customHeight="1" s="397"/>
    <row r="503" ht="15.75" customHeight="1" s="397"/>
    <row r="504" ht="15.75" customHeight="1" s="397"/>
    <row r="505" ht="15.75" customHeight="1" s="397"/>
    <row r="506" ht="15.75" customHeight="1" s="397"/>
    <row r="507" ht="15.75" customHeight="1" s="397"/>
    <row r="508" ht="15.75" customHeight="1" s="397"/>
    <row r="509" ht="15.75" customHeight="1" s="397"/>
    <row r="510" ht="15.75" customHeight="1" s="397"/>
    <row r="511" ht="15.75" customHeight="1" s="397"/>
    <row r="512" ht="15.75" customHeight="1" s="397"/>
    <row r="513" ht="15.75" customHeight="1" s="397"/>
    <row r="514" ht="15.75" customHeight="1" s="397"/>
    <row r="515" ht="15.75" customHeight="1" s="397"/>
    <row r="516" ht="15.75" customHeight="1" s="397"/>
    <row r="517" ht="15.75" customHeight="1" s="397"/>
    <row r="518" ht="15.75" customHeight="1" s="397"/>
    <row r="519" ht="15.75" customHeight="1" s="397"/>
    <row r="520" ht="15.75" customHeight="1" s="397"/>
    <row r="521" ht="15.75" customHeight="1" s="397"/>
    <row r="522" ht="15.75" customHeight="1" s="397"/>
    <row r="523" ht="15.75" customHeight="1" s="397"/>
    <row r="524" ht="15.75" customHeight="1" s="397"/>
    <row r="525" ht="15.75" customHeight="1" s="397"/>
    <row r="526" ht="15.75" customHeight="1" s="397"/>
    <row r="527" ht="15.75" customHeight="1" s="397"/>
    <row r="528" ht="15.75" customHeight="1" s="397"/>
    <row r="529" ht="15.75" customHeight="1" s="397"/>
    <row r="530" ht="15.75" customHeight="1" s="397"/>
    <row r="531" ht="15.75" customHeight="1" s="397"/>
    <row r="532" ht="15.75" customHeight="1" s="397"/>
    <row r="533" ht="15.75" customHeight="1" s="397"/>
    <row r="534" ht="15.75" customHeight="1" s="397"/>
    <row r="535" ht="15.75" customHeight="1" s="397"/>
    <row r="536" ht="15.75" customHeight="1" s="397"/>
    <row r="537" ht="15.75" customHeight="1" s="397"/>
    <row r="538" ht="15.75" customHeight="1" s="397"/>
    <row r="539" ht="15.75" customHeight="1" s="397"/>
    <row r="540" ht="15.75" customHeight="1" s="397"/>
    <row r="541" ht="15.75" customHeight="1" s="397"/>
    <row r="542" ht="15.75" customHeight="1" s="397"/>
    <row r="543" ht="15.75" customHeight="1" s="397"/>
    <row r="544" ht="15.75" customHeight="1" s="397"/>
    <row r="545" ht="15.75" customHeight="1" s="397"/>
    <row r="546" ht="15.75" customHeight="1" s="397"/>
    <row r="547" ht="15.75" customHeight="1" s="397"/>
    <row r="548" ht="15.75" customHeight="1" s="397"/>
    <row r="549" ht="15.75" customHeight="1" s="397"/>
    <row r="550" ht="15.75" customHeight="1" s="397"/>
    <row r="551" ht="15.75" customHeight="1" s="397"/>
    <row r="552" ht="15.75" customHeight="1" s="397"/>
    <row r="553" ht="15.75" customHeight="1" s="397"/>
    <row r="554" ht="15.75" customHeight="1" s="397"/>
    <row r="555" ht="15.75" customHeight="1" s="397"/>
    <row r="556" ht="15.75" customHeight="1" s="397"/>
    <row r="557" ht="15.75" customHeight="1" s="397"/>
    <row r="558" ht="15.75" customHeight="1" s="397"/>
    <row r="559" ht="15.75" customHeight="1" s="397"/>
    <row r="560" ht="15.75" customHeight="1" s="397"/>
    <row r="561" ht="15.75" customHeight="1" s="397"/>
    <row r="562" ht="15.75" customHeight="1" s="397"/>
    <row r="563" ht="15.75" customHeight="1" s="397"/>
    <row r="564" ht="15.75" customHeight="1" s="397"/>
    <row r="565" ht="15.75" customHeight="1" s="397"/>
    <row r="566" ht="15.75" customHeight="1" s="397"/>
    <row r="567" ht="15.75" customHeight="1" s="397"/>
    <row r="568" ht="15.75" customHeight="1" s="397"/>
    <row r="569" ht="15.75" customHeight="1" s="397"/>
    <row r="570" ht="15.75" customHeight="1" s="397"/>
    <row r="571" ht="15.75" customHeight="1" s="397"/>
    <row r="572" ht="15.75" customHeight="1" s="397"/>
    <row r="573" ht="15.75" customHeight="1" s="397"/>
    <row r="574" ht="15.75" customHeight="1" s="397"/>
    <row r="575" ht="15.75" customHeight="1" s="397"/>
    <row r="576" ht="15.75" customHeight="1" s="397"/>
    <row r="577" ht="15.75" customHeight="1" s="397"/>
    <row r="578" ht="15.75" customHeight="1" s="397"/>
    <row r="579" ht="15.75" customHeight="1" s="397"/>
    <row r="580" ht="15.75" customHeight="1" s="397"/>
    <row r="581" ht="15.75" customHeight="1" s="397"/>
    <row r="582" ht="15.75" customHeight="1" s="397"/>
    <row r="583" ht="15.75" customHeight="1" s="397"/>
    <row r="584" ht="15.75" customHeight="1" s="397"/>
    <row r="585" ht="15.75" customHeight="1" s="397"/>
    <row r="586" ht="15.75" customHeight="1" s="397"/>
    <row r="587" ht="15.75" customHeight="1" s="397"/>
    <row r="588" ht="15.75" customHeight="1" s="397"/>
    <row r="589" ht="15.75" customHeight="1" s="397"/>
    <row r="590" ht="15.75" customHeight="1" s="397"/>
    <row r="591" ht="15.75" customHeight="1" s="397"/>
    <row r="592" ht="15.75" customHeight="1" s="397"/>
    <row r="593" ht="15.75" customHeight="1" s="397"/>
    <row r="594" ht="15.75" customHeight="1" s="397"/>
    <row r="595" ht="15.75" customHeight="1" s="397"/>
    <row r="596" ht="15.75" customHeight="1" s="397"/>
    <row r="597" ht="15.75" customHeight="1" s="397"/>
    <row r="598" ht="15.75" customHeight="1" s="397"/>
    <row r="599" ht="15.75" customHeight="1" s="397"/>
    <row r="600" ht="15.75" customHeight="1" s="397"/>
    <row r="601" ht="15.75" customHeight="1" s="397"/>
    <row r="602" ht="15.75" customHeight="1" s="397"/>
    <row r="603" ht="15.75" customHeight="1" s="397"/>
    <row r="604" ht="15.75" customHeight="1" s="397"/>
    <row r="605" ht="15.75" customHeight="1" s="397"/>
    <row r="606" ht="15.75" customHeight="1" s="397"/>
    <row r="607" ht="15.75" customHeight="1" s="397"/>
    <row r="608" ht="15.75" customHeight="1" s="397"/>
    <row r="609" ht="15.75" customHeight="1" s="397"/>
    <row r="610" ht="15.75" customHeight="1" s="397"/>
    <row r="611" ht="15.75" customHeight="1" s="397"/>
    <row r="612" ht="15.75" customHeight="1" s="397"/>
    <row r="613" ht="15.75" customHeight="1" s="397"/>
    <row r="614" ht="15.75" customHeight="1" s="397"/>
    <row r="615" ht="15.75" customHeight="1" s="397"/>
    <row r="616" ht="15.75" customHeight="1" s="397"/>
    <row r="617" ht="15.75" customHeight="1" s="397"/>
    <row r="618" ht="15.75" customHeight="1" s="397"/>
    <row r="619" ht="15.75" customHeight="1" s="397"/>
    <row r="620" ht="15.75" customHeight="1" s="397"/>
    <row r="621" ht="15.75" customHeight="1" s="397"/>
    <row r="622" ht="15.75" customHeight="1" s="397"/>
    <row r="623" ht="15.75" customHeight="1" s="397"/>
    <row r="624" ht="15.75" customHeight="1" s="397"/>
    <row r="625" ht="15.75" customHeight="1" s="397"/>
    <row r="626" ht="15.75" customHeight="1" s="397"/>
    <row r="627" ht="15.75" customHeight="1" s="397"/>
    <row r="628" ht="15.75" customHeight="1" s="397"/>
    <row r="629" ht="15.75" customHeight="1" s="397"/>
    <row r="630" ht="15.75" customHeight="1" s="397"/>
    <row r="631" ht="15.75" customHeight="1" s="397"/>
    <row r="632" ht="15.75" customHeight="1" s="397"/>
    <row r="633" ht="15.75" customHeight="1" s="397"/>
    <row r="634" ht="15.75" customHeight="1" s="397"/>
    <row r="635" ht="15.75" customHeight="1" s="397"/>
    <row r="636" ht="15.75" customHeight="1" s="397"/>
    <row r="637" ht="15.75" customHeight="1" s="397"/>
    <row r="638" ht="15.75" customHeight="1" s="397"/>
    <row r="639" ht="15.75" customHeight="1" s="397"/>
    <row r="640" ht="15.75" customHeight="1" s="397"/>
    <row r="641" ht="15.75" customHeight="1" s="397"/>
    <row r="642" ht="15.75" customHeight="1" s="397"/>
    <row r="643" ht="15.75" customHeight="1" s="397"/>
    <row r="644" ht="15.75" customHeight="1" s="397"/>
    <row r="645" ht="15.75" customHeight="1" s="397"/>
    <row r="646" ht="15.75" customHeight="1" s="397"/>
    <row r="647" ht="15.75" customHeight="1" s="397"/>
    <row r="648" ht="15.75" customHeight="1" s="397"/>
    <row r="649" ht="15.75" customHeight="1" s="397"/>
    <row r="650" ht="15.75" customHeight="1" s="397"/>
    <row r="651" ht="15.75" customHeight="1" s="397"/>
    <row r="652" ht="15.75" customHeight="1" s="397"/>
    <row r="653" ht="15.75" customHeight="1" s="397"/>
    <row r="654" ht="15.75" customHeight="1" s="397"/>
    <row r="655" ht="15.75" customHeight="1" s="397"/>
    <row r="656" ht="15.75" customHeight="1" s="397"/>
    <row r="657" ht="15.75" customHeight="1" s="397"/>
    <row r="658" ht="15.75" customHeight="1" s="397"/>
    <row r="659" ht="15.75" customHeight="1" s="397"/>
    <row r="660" ht="15.75" customHeight="1" s="397"/>
    <row r="661" ht="15.75" customHeight="1" s="397"/>
    <row r="662" ht="15.75" customHeight="1" s="397"/>
    <row r="663" ht="15.75" customHeight="1" s="397"/>
    <row r="664" ht="15.75" customHeight="1" s="397"/>
    <row r="665" ht="15.75" customHeight="1" s="397"/>
    <row r="666" ht="15.75" customHeight="1" s="397"/>
    <row r="667" ht="15.75" customHeight="1" s="397"/>
    <row r="668" ht="15.75" customHeight="1" s="397"/>
    <row r="669" ht="15.75" customHeight="1" s="397"/>
    <row r="670" ht="15.75" customHeight="1" s="397"/>
    <row r="671" ht="15.75" customHeight="1" s="397"/>
    <row r="672" ht="15.75" customHeight="1" s="397"/>
    <row r="673" ht="15.75" customHeight="1" s="397"/>
    <row r="674" ht="15.75" customHeight="1" s="397"/>
    <row r="675" ht="15.75" customHeight="1" s="397"/>
    <row r="676" ht="15.75" customHeight="1" s="397"/>
    <row r="677" ht="15.75" customHeight="1" s="397"/>
    <row r="678" ht="15.75" customHeight="1" s="397"/>
    <row r="679" ht="15.75" customHeight="1" s="397"/>
    <row r="680" ht="15.75" customHeight="1" s="397"/>
    <row r="681" ht="15.75" customHeight="1" s="397"/>
    <row r="682" ht="15.75" customHeight="1" s="397"/>
    <row r="683" ht="15.75" customHeight="1" s="397"/>
    <row r="684" ht="15.75" customHeight="1" s="397"/>
    <row r="685" ht="15.75" customHeight="1" s="397"/>
    <row r="686" ht="15.75" customHeight="1" s="397"/>
    <row r="687" ht="15.75" customHeight="1" s="397"/>
    <row r="688" ht="15.75" customHeight="1" s="397"/>
    <row r="689" ht="15.75" customHeight="1" s="397"/>
    <row r="690" ht="15.75" customHeight="1" s="397"/>
    <row r="691" ht="15.75" customHeight="1" s="397"/>
    <row r="692" ht="15.75" customHeight="1" s="397"/>
    <row r="693" ht="15.75" customHeight="1" s="397"/>
    <row r="694" ht="15.75" customHeight="1" s="397"/>
    <row r="695" ht="15.75" customHeight="1" s="397"/>
    <row r="696" ht="15.75" customHeight="1" s="397"/>
    <row r="697" ht="15.75" customHeight="1" s="397"/>
    <row r="698" ht="15.75" customHeight="1" s="397"/>
    <row r="699" ht="15.75" customHeight="1" s="397"/>
    <row r="700" ht="15.75" customHeight="1" s="397"/>
    <row r="701" ht="15.75" customHeight="1" s="397"/>
    <row r="702" ht="15.75" customHeight="1" s="397"/>
    <row r="703" ht="15.75" customHeight="1" s="397"/>
    <row r="704" ht="15.75" customHeight="1" s="397"/>
    <row r="705" ht="15.75" customHeight="1" s="397"/>
    <row r="706" ht="15.75" customHeight="1" s="397"/>
    <row r="707" ht="15.75" customHeight="1" s="397"/>
    <row r="708" ht="15.75" customHeight="1" s="397"/>
    <row r="709" ht="15.75" customHeight="1" s="397"/>
    <row r="710" ht="15.75" customHeight="1" s="397"/>
    <row r="711" ht="15.75" customHeight="1" s="397"/>
    <row r="712" ht="15.75" customHeight="1" s="397"/>
    <row r="713" ht="15.75" customHeight="1" s="397"/>
    <row r="714" ht="15.75" customHeight="1" s="397"/>
    <row r="715" ht="15.75" customHeight="1" s="397"/>
    <row r="716" ht="15.75" customHeight="1" s="397"/>
    <row r="717" ht="15.75" customHeight="1" s="397"/>
    <row r="718" ht="15.75" customHeight="1" s="397"/>
    <row r="719" ht="15.75" customHeight="1" s="397"/>
    <row r="720" ht="15.75" customHeight="1" s="397"/>
    <row r="721" ht="15.75" customHeight="1" s="397"/>
    <row r="722" ht="15.75" customHeight="1" s="397"/>
    <row r="723" ht="15.75" customHeight="1" s="397"/>
    <row r="724" ht="15.75" customHeight="1" s="397"/>
    <row r="725" ht="15.75" customHeight="1" s="397"/>
    <row r="726" ht="15.75" customHeight="1" s="397"/>
    <row r="727" ht="15.75" customHeight="1" s="397"/>
    <row r="728" ht="15.75" customHeight="1" s="397"/>
    <row r="729" ht="15.75" customHeight="1" s="397"/>
    <row r="730" ht="15.75" customHeight="1" s="397"/>
    <row r="731" ht="15.75" customHeight="1" s="397"/>
    <row r="732" ht="15.75" customHeight="1" s="397"/>
    <row r="733" ht="15.75" customHeight="1" s="397"/>
    <row r="734" ht="15.75" customHeight="1" s="397"/>
    <row r="735" ht="15.75" customHeight="1" s="397"/>
    <row r="736" ht="15.75" customHeight="1" s="397"/>
    <row r="737" ht="15.75" customHeight="1" s="397"/>
    <row r="738" ht="15.75" customHeight="1" s="397"/>
    <row r="739" ht="15.75" customHeight="1" s="397"/>
    <row r="740" ht="15.75" customHeight="1" s="397"/>
    <row r="741" ht="15.75" customHeight="1" s="397"/>
    <row r="742" ht="15.75" customHeight="1" s="397"/>
    <row r="743" ht="15.75" customHeight="1" s="397"/>
    <row r="744" ht="15.75" customHeight="1" s="397"/>
    <row r="745" ht="15.75" customHeight="1" s="397"/>
    <row r="746" ht="15.75" customHeight="1" s="397"/>
    <row r="747" ht="15.75" customHeight="1" s="397"/>
    <row r="748" ht="15.75" customHeight="1" s="397"/>
    <row r="749" ht="15.75" customHeight="1" s="397"/>
    <row r="750" ht="15.75" customHeight="1" s="397"/>
    <row r="751" ht="15.75" customHeight="1" s="397"/>
    <row r="752" ht="15.75" customHeight="1" s="397"/>
    <row r="753" ht="15.75" customHeight="1" s="397"/>
    <row r="754" ht="15.75" customHeight="1" s="397"/>
    <row r="755" ht="15.75" customHeight="1" s="397"/>
    <row r="756" ht="15.75" customHeight="1" s="397"/>
    <row r="757" ht="15.75" customHeight="1" s="397"/>
    <row r="758" ht="15.75" customHeight="1" s="397"/>
    <row r="759" ht="15.75" customHeight="1" s="397"/>
    <row r="760" ht="15.75" customHeight="1" s="397"/>
    <row r="761" ht="15.75" customHeight="1" s="397"/>
    <row r="762" ht="15.75" customHeight="1" s="397"/>
    <row r="763" ht="15.75" customHeight="1" s="397"/>
    <row r="764" ht="15.75" customHeight="1" s="397"/>
    <row r="765" ht="15.75" customHeight="1" s="397"/>
    <row r="766" ht="15.75" customHeight="1" s="397"/>
    <row r="767" ht="15.75" customHeight="1" s="397"/>
    <row r="768" ht="15.75" customHeight="1" s="397"/>
    <row r="769" ht="15.75" customHeight="1" s="397"/>
    <row r="770" ht="15.75" customHeight="1" s="397"/>
    <row r="771" ht="15.75" customHeight="1" s="397"/>
    <row r="772" ht="15.75" customHeight="1" s="397"/>
    <row r="773" ht="15.75" customHeight="1" s="397"/>
    <row r="774" ht="15.75" customHeight="1" s="397"/>
    <row r="775" ht="15.75" customHeight="1" s="397"/>
    <row r="776" ht="15.75" customHeight="1" s="397"/>
    <row r="777" ht="15.75" customHeight="1" s="397"/>
    <row r="778" ht="15.75" customHeight="1" s="397"/>
    <row r="779" ht="15.75" customHeight="1" s="397"/>
    <row r="780" ht="15.75" customHeight="1" s="397"/>
    <row r="781" ht="15.75" customHeight="1" s="397"/>
    <row r="782" ht="15.75" customHeight="1" s="397"/>
    <row r="783" ht="15.75" customHeight="1" s="397"/>
    <row r="784" ht="15.75" customHeight="1" s="397"/>
    <row r="785" ht="15.75" customHeight="1" s="397"/>
    <row r="786" ht="15.75" customHeight="1" s="397"/>
    <row r="787" ht="15.75" customHeight="1" s="397"/>
    <row r="788" ht="15.75" customHeight="1" s="397"/>
    <row r="789" ht="15.75" customHeight="1" s="397"/>
    <row r="790" ht="15.75" customHeight="1" s="397"/>
    <row r="791" ht="15.75" customHeight="1" s="397"/>
    <row r="792" ht="15.75" customHeight="1" s="397"/>
    <row r="793" ht="15.75" customHeight="1" s="397"/>
    <row r="794" ht="15.75" customHeight="1" s="397"/>
    <row r="795" ht="15.75" customHeight="1" s="397"/>
    <row r="796" ht="15.75" customHeight="1" s="397"/>
    <row r="797" ht="15.75" customHeight="1" s="397"/>
    <row r="798" ht="15.75" customHeight="1" s="397"/>
    <row r="799" ht="15.75" customHeight="1" s="397"/>
    <row r="800" ht="15.75" customHeight="1" s="397"/>
    <row r="801" ht="15.75" customHeight="1" s="397"/>
    <row r="802" ht="15.75" customHeight="1" s="397"/>
    <row r="803" ht="15.75" customHeight="1" s="397"/>
    <row r="804" ht="15.75" customHeight="1" s="397"/>
    <row r="805" ht="15.75" customHeight="1" s="397"/>
    <row r="806" ht="15.75" customHeight="1" s="397"/>
    <row r="807" ht="15.75" customHeight="1" s="397"/>
    <row r="808" ht="15.75" customHeight="1" s="397"/>
    <row r="809" ht="15.75" customHeight="1" s="397"/>
    <row r="810" ht="15.75" customHeight="1" s="397"/>
    <row r="811" ht="15.75" customHeight="1" s="397"/>
    <row r="812" ht="15.75" customHeight="1" s="397"/>
    <row r="813" ht="15.75" customHeight="1" s="397"/>
    <row r="814" ht="15.75" customHeight="1" s="397"/>
    <row r="815" ht="15.75" customHeight="1" s="397"/>
    <row r="816" ht="15.75" customHeight="1" s="397"/>
    <row r="817" ht="15.75" customHeight="1" s="397"/>
    <row r="818" ht="15.75" customHeight="1" s="397"/>
    <row r="819" ht="15.75" customHeight="1" s="397"/>
    <row r="820" ht="15.75" customHeight="1" s="397"/>
    <row r="821" ht="15.75" customHeight="1" s="397"/>
    <row r="822" ht="15.75" customHeight="1" s="397"/>
    <row r="823" ht="15.75" customHeight="1" s="397"/>
    <row r="824" ht="15.75" customHeight="1" s="397"/>
    <row r="825" ht="15.75" customHeight="1" s="397"/>
    <row r="826" ht="15.75" customHeight="1" s="397"/>
    <row r="827" ht="15.75" customHeight="1" s="397"/>
    <row r="828" ht="15.75" customHeight="1" s="397"/>
    <row r="829" ht="15.75" customHeight="1" s="397"/>
    <row r="830" ht="15.75" customHeight="1" s="397"/>
    <row r="831" ht="15.75" customHeight="1" s="397"/>
    <row r="832" ht="15.75" customHeight="1" s="397"/>
    <row r="833" ht="15.75" customHeight="1" s="397"/>
    <row r="834" ht="15.75" customHeight="1" s="397"/>
    <row r="835" ht="15.75" customHeight="1" s="397"/>
    <row r="836" ht="15.75" customHeight="1" s="397"/>
    <row r="837" ht="15.75" customHeight="1" s="397"/>
    <row r="838" ht="15.75" customHeight="1" s="397"/>
    <row r="839" ht="15.75" customHeight="1" s="397"/>
    <row r="840" ht="15.75" customHeight="1" s="397"/>
    <row r="841" ht="15.75" customHeight="1" s="397"/>
    <row r="842" ht="15.75" customHeight="1" s="397"/>
    <row r="843" ht="15.75" customHeight="1" s="397"/>
    <row r="844" ht="15.75" customHeight="1" s="397"/>
    <row r="845" ht="15.75" customHeight="1" s="397"/>
    <row r="846" ht="15.75" customHeight="1" s="397"/>
    <row r="847" ht="15.75" customHeight="1" s="397"/>
    <row r="848" ht="15.75" customHeight="1" s="397"/>
    <row r="849" ht="15.75" customHeight="1" s="397"/>
    <row r="850" ht="15.75" customHeight="1" s="397"/>
    <row r="851" ht="15.75" customHeight="1" s="397"/>
    <row r="852" ht="15.75" customHeight="1" s="397"/>
    <row r="853" ht="15.75" customHeight="1" s="397"/>
    <row r="854" ht="15.75" customHeight="1" s="397"/>
    <row r="855" ht="15.75" customHeight="1" s="397"/>
    <row r="856" ht="15.75" customHeight="1" s="397"/>
    <row r="857" ht="15.75" customHeight="1" s="397"/>
    <row r="858" ht="15.75" customHeight="1" s="397"/>
    <row r="859" ht="15.75" customHeight="1" s="397"/>
    <row r="860" ht="15.75" customHeight="1" s="397"/>
    <row r="861" ht="15.75" customHeight="1" s="397"/>
    <row r="862" ht="15.75" customHeight="1" s="397"/>
    <row r="863" ht="15.75" customHeight="1" s="397"/>
    <row r="864" ht="15.75" customHeight="1" s="397"/>
    <row r="865" ht="15.75" customHeight="1" s="397"/>
    <row r="866" ht="15.75" customHeight="1" s="397"/>
    <row r="867" ht="15.75" customHeight="1" s="397"/>
    <row r="868" ht="15.75" customHeight="1" s="397"/>
    <row r="869" ht="15.75" customHeight="1" s="397"/>
    <row r="870" ht="15.75" customHeight="1" s="397"/>
    <row r="871" ht="15.75" customHeight="1" s="397"/>
    <row r="872" ht="15.75" customHeight="1" s="397"/>
    <row r="873" ht="15.75" customHeight="1" s="397"/>
    <row r="874" ht="15.75" customHeight="1" s="397"/>
    <row r="875" ht="15.75" customHeight="1" s="397"/>
    <row r="876" ht="15.75" customHeight="1" s="397"/>
    <row r="877" ht="15.75" customHeight="1" s="397"/>
    <row r="878" ht="15.75" customHeight="1" s="397"/>
    <row r="879" ht="15.75" customHeight="1" s="397"/>
    <row r="880" ht="15.75" customHeight="1" s="397"/>
    <row r="881" ht="15.75" customHeight="1" s="397"/>
    <row r="882" ht="15.75" customHeight="1" s="397"/>
    <row r="883" ht="15.75" customHeight="1" s="397"/>
    <row r="884" ht="15.75" customHeight="1" s="397"/>
    <row r="885" ht="15.75" customHeight="1" s="397"/>
    <row r="886" ht="15.75" customHeight="1" s="397"/>
    <row r="887" ht="15.75" customHeight="1" s="397"/>
    <row r="888" ht="15.75" customHeight="1" s="397"/>
    <row r="889" ht="15.75" customHeight="1" s="397"/>
    <row r="890" ht="15.75" customHeight="1" s="397"/>
    <row r="891" ht="15.75" customHeight="1" s="397"/>
    <row r="892" ht="15.75" customHeight="1" s="397"/>
    <row r="893" ht="15.75" customHeight="1" s="397"/>
    <row r="894" ht="15.75" customHeight="1" s="397"/>
    <row r="895" ht="15.75" customHeight="1" s="397"/>
    <row r="896" ht="15.75" customHeight="1" s="397"/>
    <row r="897" ht="15.75" customHeight="1" s="397"/>
    <row r="898" ht="15.75" customHeight="1" s="397"/>
    <row r="899" ht="15.75" customHeight="1" s="397"/>
    <row r="900" ht="15.75" customHeight="1" s="397"/>
    <row r="901" ht="15.75" customHeight="1" s="397"/>
    <row r="902" ht="15.75" customHeight="1" s="397"/>
    <row r="903" ht="15.75" customHeight="1" s="397"/>
    <row r="904" ht="15.75" customHeight="1" s="397"/>
    <row r="905" ht="15.75" customHeight="1" s="397"/>
    <row r="906" ht="15.75" customHeight="1" s="397"/>
    <row r="907" ht="15.75" customHeight="1" s="397"/>
    <row r="908" ht="15.75" customHeight="1" s="397"/>
    <row r="909" ht="15.75" customHeight="1" s="397"/>
    <row r="910" ht="15.75" customHeight="1" s="397"/>
    <row r="911" ht="15.75" customHeight="1" s="397"/>
    <row r="912" ht="15.75" customHeight="1" s="397"/>
    <row r="913" ht="15.75" customHeight="1" s="397"/>
    <row r="914" ht="15.75" customHeight="1" s="397"/>
    <row r="915" ht="15.75" customHeight="1" s="397"/>
    <row r="916" ht="15.75" customHeight="1" s="397"/>
    <row r="917" ht="15.75" customHeight="1" s="397"/>
    <row r="918" ht="15.75" customHeight="1" s="397"/>
    <row r="919" ht="15.75" customHeight="1" s="397"/>
    <row r="920" ht="15.75" customHeight="1" s="397"/>
    <row r="921" ht="15.75" customHeight="1" s="397"/>
    <row r="922" ht="15.75" customHeight="1" s="397"/>
    <row r="923" ht="15.75" customHeight="1" s="397"/>
    <row r="924" ht="15.75" customHeight="1" s="397"/>
    <row r="925" ht="15.75" customHeight="1" s="397"/>
    <row r="926" ht="15.75" customHeight="1" s="397"/>
    <row r="927" ht="15.75" customHeight="1" s="397"/>
    <row r="928" ht="15.75" customHeight="1" s="397"/>
    <row r="929" ht="15.75" customHeight="1" s="397"/>
    <row r="930" ht="15.75" customHeight="1" s="397"/>
    <row r="931" ht="15.75" customHeight="1" s="397"/>
    <row r="932" ht="15.75" customHeight="1" s="397"/>
    <row r="933" ht="15.75" customHeight="1" s="397"/>
    <row r="934" ht="15.75" customHeight="1" s="397"/>
    <row r="935" ht="15.75" customHeight="1" s="397"/>
    <row r="936" ht="15.75" customHeight="1" s="397"/>
    <row r="937" ht="15.75" customHeight="1" s="397"/>
    <row r="938" ht="15.75" customHeight="1" s="397"/>
    <row r="939" ht="15.75" customHeight="1" s="397"/>
    <row r="940" ht="15.75" customHeight="1" s="397"/>
    <row r="941" ht="15.75" customHeight="1" s="397"/>
    <row r="942" ht="15.75" customHeight="1" s="397"/>
    <row r="943" ht="15.75" customHeight="1" s="397"/>
    <row r="944" ht="15.75" customHeight="1" s="397"/>
    <row r="945" ht="15.75" customHeight="1" s="397"/>
    <row r="946" ht="15.75" customHeight="1" s="397"/>
    <row r="947" ht="15.75" customHeight="1" s="397"/>
    <row r="948" ht="15.75" customHeight="1" s="397"/>
    <row r="949" ht="15.75" customHeight="1" s="397"/>
    <row r="950" ht="15.75" customHeight="1" s="397"/>
    <row r="951" ht="15.75" customHeight="1" s="397"/>
    <row r="952" ht="15.75" customHeight="1" s="397"/>
    <row r="953" ht="15.75" customHeight="1" s="397"/>
    <row r="954" ht="15.75" customHeight="1" s="397"/>
    <row r="955" ht="15.75" customHeight="1" s="397"/>
    <row r="956" ht="15.75" customHeight="1" s="397"/>
    <row r="957" ht="15.75" customHeight="1" s="397"/>
    <row r="958" ht="15.75" customHeight="1" s="397"/>
    <row r="959" ht="15.75" customHeight="1" s="397"/>
    <row r="960" ht="15.75" customHeight="1" s="397"/>
    <row r="961" ht="15.75" customHeight="1" s="397"/>
    <row r="962" ht="15.75" customHeight="1" s="397"/>
    <row r="963" ht="15.75" customHeight="1" s="397"/>
    <row r="964" ht="15.75" customHeight="1" s="397"/>
    <row r="965" ht="15.75" customHeight="1" s="397"/>
    <row r="966" ht="15.75" customHeight="1" s="397"/>
    <row r="967" ht="15.75" customHeight="1" s="397"/>
    <row r="968" ht="15.75" customHeight="1" s="397"/>
    <row r="969" ht="15.75" customHeight="1" s="397"/>
    <row r="970" ht="15.75" customHeight="1" s="397"/>
    <row r="971" ht="15.75" customHeight="1" s="397"/>
    <row r="972" ht="15.75" customHeight="1" s="397"/>
    <row r="973" ht="15.75" customHeight="1" s="397"/>
    <row r="974" ht="15.75" customHeight="1" s="397"/>
    <row r="975" ht="15.75" customHeight="1" s="397"/>
    <row r="976" ht="15.75" customHeight="1" s="397"/>
    <row r="977" ht="15.75" customHeight="1" s="397"/>
    <row r="978" ht="15.75" customHeight="1" s="397"/>
    <row r="979" ht="15.75" customHeight="1" s="397"/>
    <row r="980" ht="15.75" customHeight="1" s="397"/>
    <row r="981" ht="15.75" customHeight="1" s="397"/>
    <row r="982" ht="15.75" customHeight="1" s="397"/>
    <row r="983" ht="15.75" customHeight="1" s="397"/>
    <row r="984" ht="15.75" customHeight="1" s="397"/>
    <row r="985" ht="15.75" customHeight="1" s="397"/>
    <row r="986" ht="15.75" customHeight="1" s="397"/>
    <row r="987" ht="15.75" customHeight="1" s="397"/>
    <row r="988" ht="15.75" customHeight="1" s="397"/>
    <row r="989" ht="15.75" customHeight="1" s="397"/>
    <row r="990" ht="15.75" customHeight="1" s="397"/>
    <row r="991" ht="15.75" customHeight="1" s="397"/>
    <row r="992" ht="15.75" customHeight="1" s="397"/>
    <row r="993" ht="15.75" customHeight="1" s="397"/>
    <row r="994" ht="15.75" customHeight="1" s="397"/>
    <row r="995" ht="15.75" customHeight="1" s="397"/>
    <row r="996" ht="15.75" customHeight="1" s="397"/>
    <row r="997" ht="15.75" customHeight="1" s="397"/>
    <row r="998" ht="15.75" customHeight="1" s="397"/>
    <row r="999" ht="15.75" customHeight="1" s="397"/>
    <row r="1000" ht="15.75" customHeight="1" s="397"/>
  </sheetData>
  <conditionalFormatting sqref="O8:Y32">
    <cfRule type="cellIs" priority="1" operator="lessThan" dxfId="5">
      <formula>0</formula>
    </cfRule>
    <cfRule type="cellIs" priority="2" operator="greaterThan" dxfId="6">
      <formula>0</formula>
    </cfRule>
  </conditionalFormatting>
  <conditionalFormatting sqref="O37:Y61">
    <cfRule type="cellIs" priority="3" operator="lessThan" dxfId="5">
      <formula>0</formula>
    </cfRule>
    <cfRule type="cellIs" priority="4" operator="greaterThan" dxfId="6">
      <formula>0</formula>
    </cfRule>
  </conditionalFormatting>
  <conditionalFormatting sqref="O66:Y90">
    <cfRule type="cellIs" priority="5" operator="lessThan" dxfId="5">
      <formula>0</formula>
    </cfRule>
    <cfRule type="cellIs" priority="6" operator="greaterThan" dxfId="6">
      <formula>0</formula>
    </cfRule>
  </conditionalFormatting>
  <conditionalFormatting sqref="O95:Y119">
    <cfRule type="cellIs" priority="7" operator="lessThan" dxfId="5">
      <formula>0</formula>
    </cfRule>
    <cfRule type="cellIs" priority="8" operator="greaterThan" dxfId="6">
      <formula>0</formula>
    </cfRule>
  </conditionalFormatting>
  <conditionalFormatting sqref="O124:Y148">
    <cfRule type="cellIs" priority="9" operator="lessThan" dxfId="5">
      <formula>0</formula>
    </cfRule>
    <cfRule type="cellIs" priority="10" operator="greaterThan" dxfId="6">
      <formula>0</formula>
    </cfRule>
  </conditionalFormatting>
  <conditionalFormatting sqref="O153:Y177">
    <cfRule type="cellIs" priority="11" operator="lessThan" dxfId="5">
      <formula>0</formula>
    </cfRule>
    <cfRule type="cellIs" priority="12" operator="greaterThan" dxfId="6">
      <formula>0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2026-07-07T08:27:16Z</dcterms:created>
  <dcterms:modified xsi:type="dcterms:W3CDTF">2026-07-07T08:27:17Z</dcterms:modified>
</cp:coreProperties>
</file>