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coGainsSim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+0%;-0%;0%"/>
    <numFmt numFmtId="167" formatCode="#,##0.00;[Red]-#,##0.00"/>
    <numFmt numFmtId="168" formatCode="#,##0.00;-#,##0.00"/>
    <numFmt numFmtId="169" formatCode="[$$]#,##0.00"/>
    <numFmt numFmtId="170" formatCode="0.0"/>
  </numFmts>
  <fonts count="55">
    <font>
      <name val="Arial"/>
      <color rgb="FF000000"/>
      <sz val="10"/>
      <scheme val="minor"/>
    </font>
    <font>
      <name val="Arial"/>
      <b val="1"/>
      <color theme="1"/>
      <sz val="14"/>
    </font>
    <font>
      <name val="Calibri"/>
      <color theme="1"/>
      <sz val="11"/>
    </font>
    <font>
      <name val="Arial"/>
      <b val="1"/>
      <color rgb="FFFFFFFF"/>
      <sz val="11"/>
    </font>
    <font/>
    <font>
      <name val="Arial"/>
      <color theme="1"/>
      <sz val="10"/>
    </font>
    <font>
      <name val="Arial"/>
      <color rgb="FF000000"/>
      <sz val="10"/>
    </font>
    <font>
      <name val="Arial"/>
      <color rgb="FF000000"/>
      <sz val="11"/>
    </font>
    <font>
      <name val="Arial"/>
      <color theme="1"/>
      <scheme val="minor"/>
    </font>
    <font>
      <name val="Arial"/>
      <b val="1"/>
      <color theme="1"/>
      <sz val="10"/>
    </font>
    <font>
      <name val="Arial"/>
      <i val="1"/>
      <color rgb="FF666666"/>
      <sz val="9"/>
    </font>
    <font>
      <name val="Arial"/>
      <b val="1"/>
      <color rgb="FF000000"/>
      <sz val="10"/>
    </font>
    <font>
      <name val="Arial"/>
      <color rgb="FFFF0000"/>
      <sz val="11"/>
    </font>
    <font>
      <name val="Arial"/>
      <b val="1"/>
      <color rgb="FFFF0000"/>
      <sz val="11"/>
    </font>
    <font>
      <name val="Arial"/>
      <color theme="1"/>
    </font>
    <font>
      <name val="Calibri"/>
      <b val="1"/>
      <color rgb="FFFF0000"/>
      <sz val="11"/>
    </font>
    <font>
      <name val="Arial"/>
      <b val="1"/>
      <color rgb="FFFFFFFF"/>
      <sz val="12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color rgb="FFBFBFBF"/>
      <sz val="11"/>
    </font>
    <font>
      <name val="Calibri"/>
      <color rgb="FF000000"/>
      <sz val="11"/>
    </font>
    <font>
      <name val="Arial"/>
      <color rgb="FFFF0000"/>
      <sz val="10"/>
    </font>
    <font>
      <name val="Arial"/>
      <color rgb="FF000000"/>
    </font>
    <font>
      <name val="Arial"/>
      <b val="1"/>
      <color theme="1"/>
      <sz val="9"/>
    </font>
    <font>
      <name val="Arial"/>
      <color rgb="FF808080"/>
      <sz val="8"/>
    </font>
    <font>
      <name val="Arial"/>
      <color theme="1"/>
      <sz val="9"/>
    </font>
    <font>
      <name val="Carlito"/>
      <color theme="1"/>
      <sz val="11"/>
    </font>
    <font>
      <name val="Calibri"/>
      <b val="1"/>
      <color rgb="FFFFFFFF"/>
      <sz val="11"/>
    </font>
    <font>
      <name val="Calibri"/>
      <color rgb="FF222222"/>
      <sz val="7"/>
    </font>
    <font>
      <name val="Calibri"/>
      <color rgb="FF222222"/>
      <sz val="11"/>
    </font>
    <font>
      <name val="Arial"/>
      <i val="1"/>
      <color theme="1"/>
      <scheme val="minor"/>
    </font>
    <font>
      <name val="Arial"/>
      <color theme="1"/>
      <sz val="9"/>
      <scheme val="minor"/>
    </font>
    <font>
      <name val="Arial"/>
      <b val="1"/>
      <color theme="1"/>
      <scheme val="minor"/>
    </font>
    <font>
      <name val="Arial"/>
      <b val="1"/>
      <color theme="1"/>
      <sz val="13"/>
    </font>
    <font>
      <name val="Arial"/>
      <b val="1"/>
      <color rgb="FFFFFFFF"/>
      <sz val="10"/>
    </font>
    <font>
      <name val="Arial"/>
      <color rgb="FF808080"/>
      <sz val="9"/>
    </font>
    <font>
      <name val="Arial"/>
      <b val="1"/>
      <color rgb="FF000000"/>
      <sz val="9"/>
    </font>
    <font>
      <name val="Calibri"/>
      <b val="1"/>
      <color theme="1"/>
      <sz val="10"/>
    </font>
    <font>
      <name val="Calibri"/>
      <color theme="1"/>
      <sz val="10"/>
    </font>
    <font>
      <name val="Calibri"/>
      <i val="1"/>
      <color rgb="FF888888"/>
      <sz val="9"/>
    </font>
    <font>
      <name val="Calibri"/>
      <i val="1"/>
      <color theme="1"/>
      <sz val="10"/>
    </font>
    <font>
      <name val="Calibri"/>
      <color rgb="FF999999"/>
      <sz val="10"/>
    </font>
    <font>
      <name val="Calibri"/>
      <color theme="1"/>
    </font>
    <font>
      <name val="Calibri"/>
      <i val="1"/>
      <color theme="1"/>
    </font>
    <font>
      <name val="Calibri"/>
      <color rgb="FF999999"/>
    </font>
    <font>
      <name val="Arial"/>
      <i val="1"/>
      <color rgb="FFCCCCCC"/>
      <scheme val="minor"/>
    </font>
    <font>
      <color rgb="FFFF0000"/>
      <u val="single"/>
    </font>
    <font>
      <name val="Arial"/>
      <i val="1"/>
      <color theme="1"/>
      <sz val="12"/>
      <scheme val="minor"/>
    </font>
    <font>
      <name val="Arial"/>
      <color rgb="FFFF0000"/>
      <scheme val="minor"/>
    </font>
    <font>
      <name val="Arial"/>
      <i val="1"/>
      <color rgb="FFB7B7B7"/>
    </font>
    <font>
      <name val="Arial"/>
      <b val="1"/>
      <color rgb="FFFFFFFF"/>
    </font>
    <font>
      <name val="Arial"/>
      <i val="1"/>
      <color rgb="FF999999"/>
      <sz val="9"/>
    </font>
    <font>
      <name val="Arial"/>
      <i val="1"/>
      <color theme="1"/>
      <sz val="11"/>
    </font>
    <font>
      <name val="Calibri"/>
      <b val="1"/>
      <color rgb="FF000000"/>
      <sz val="11"/>
    </font>
  </fonts>
  <fills count="38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  <bgColor rgb="FF305496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</borders>
  <cellStyleXfs count="1">
    <xf numFmtId="0" fontId="0" fillId="0" borderId="0"/>
  </cellStyleXfs>
  <cellXfs count="3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bottom" wrapText="1"/>
    </xf>
    <xf numFmtId="0" fontId="4" fillId="0" borderId="3" pivotButton="0" quotePrefix="0" xfId="0"/>
    <xf numFmtId="0" fontId="3" fillId="2" borderId="4" applyAlignment="1" pivotButton="0" quotePrefix="0" xfId="0">
      <alignment horizontal="center" wrapText="1"/>
    </xf>
    <xf numFmtId="0" fontId="3" fillId="2" borderId="5" applyAlignment="1" pivotButton="0" quotePrefix="0" xfId="0">
      <alignment horizontal="center" wrapText="1"/>
    </xf>
    <xf numFmtId="0" fontId="3" fillId="2" borderId="4" applyAlignment="1" pivotButton="0" quotePrefix="0" xfId="0">
      <alignment horizontal="center" wrapText="1"/>
    </xf>
    <xf numFmtId="0" fontId="5" fillId="0" borderId="4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 vertical="bottom"/>
    </xf>
    <xf numFmtId="0" fontId="2" fillId="0" borderId="3" applyAlignment="1" pivotButton="0" quotePrefix="0" xfId="0">
      <alignment horizontal="left" vertical="bottom"/>
    </xf>
    <xf numFmtId="0" fontId="7" fillId="4" borderId="8" applyAlignment="1" pivotButton="0" quotePrefix="0" xfId="0">
      <alignment horizontal="center" vertical="bottom" wrapText="1"/>
    </xf>
    <xf numFmtId="0" fontId="7" fillId="4" borderId="9" applyAlignment="1" pivotButton="0" quotePrefix="0" xfId="0">
      <alignment horizontal="center" vertical="bottom" wrapText="1"/>
    </xf>
    <xf numFmtId="0" fontId="7" fillId="4" borderId="0" applyAlignment="1" pivotButton="0" quotePrefix="0" xfId="0">
      <alignment horizontal="center" vertical="bottom" wrapText="1"/>
    </xf>
    <xf numFmtId="0" fontId="7" fillId="4" borderId="10" applyAlignment="1" pivotButton="0" quotePrefix="0" xfId="0">
      <alignment horizontal="center" vertical="bottom" wrapText="1"/>
    </xf>
    <xf numFmtId="0" fontId="2" fillId="5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/>
    </xf>
    <xf numFmtId="0" fontId="2" fillId="0" borderId="0" applyAlignment="1" pivotButton="0" quotePrefix="0" xfId="0">
      <alignment vertical="bottom"/>
    </xf>
    <xf numFmtId="0" fontId="5" fillId="0" borderId="11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bottom" wrapText="1"/>
    </xf>
    <xf numFmtId="0" fontId="7" fillId="4" borderId="3" applyAlignment="1" pivotButton="0" quotePrefix="0" xfId="0">
      <alignment horizontal="center" vertical="bottom" wrapText="1"/>
    </xf>
    <xf numFmtId="0" fontId="5" fillId="0" borderId="14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7" fillId="4" borderId="17" applyAlignment="1" pivotButton="0" quotePrefix="0" xfId="0">
      <alignment horizontal="center" vertical="bottom" wrapText="1"/>
    </xf>
    <xf numFmtId="0" fontId="7" fillId="4" borderId="18" applyAlignment="1" pivotButton="0" quotePrefix="0" xfId="0">
      <alignment horizontal="center" vertical="bottom" wrapText="1"/>
    </xf>
    <xf numFmtId="0" fontId="7" fillId="4" borderId="19" applyAlignment="1" pivotButton="0" quotePrefix="0" xfId="0">
      <alignment horizontal="center" vertical="bottom" wrapText="1"/>
    </xf>
    <xf numFmtId="0" fontId="9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2" fontId="6" fillId="0" borderId="5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pivotButton="0" quotePrefix="0" xfId="0"/>
    <xf numFmtId="0" fontId="1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1" fillId="6" borderId="2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 wrapText="1"/>
    </xf>
    <xf numFmtId="0" fontId="3" fillId="7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wrapText="1"/>
    </xf>
    <xf numFmtId="0" fontId="6" fillId="4" borderId="6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bottom" wrapText="1"/>
    </xf>
    <xf numFmtId="0" fontId="6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bottom"/>
    </xf>
    <xf numFmtId="0" fontId="7" fillId="4" borderId="8" applyAlignment="1" pivotButton="0" quotePrefix="0" xfId="0">
      <alignment horizontal="center" vertical="bottom" wrapText="1"/>
    </xf>
    <xf numFmtId="0" fontId="12" fillId="4" borderId="9" applyAlignment="1" pivotButton="0" quotePrefix="0" xfId="0">
      <alignment horizontal="center" vertical="bottom" wrapText="1"/>
    </xf>
    <xf numFmtId="0" fontId="7" fillId="4" borderId="9" applyAlignment="1" pivotButton="0" quotePrefix="0" xfId="0">
      <alignment horizontal="center" vertical="bottom" wrapText="1"/>
    </xf>
    <xf numFmtId="0" fontId="7" fillId="4" borderId="10" applyAlignment="1" pivotButton="0" quotePrefix="0" xfId="0">
      <alignment horizontal="center" vertical="bottom" wrapText="1"/>
    </xf>
    <xf numFmtId="0" fontId="6" fillId="4" borderId="12" applyAlignment="1" pivotButton="0" quotePrefix="0" xfId="0">
      <alignment horizontal="center" vertical="center" wrapText="1"/>
    </xf>
    <xf numFmtId="0" fontId="12" fillId="4" borderId="13" applyAlignment="1" pivotButton="0" quotePrefix="0" xfId="0">
      <alignment horizontal="center" vertical="bottom" wrapText="1"/>
    </xf>
    <xf numFmtId="0" fontId="7" fillId="4" borderId="2" applyAlignment="1" pivotButton="0" quotePrefix="0" xfId="0">
      <alignment horizontal="center" vertical="bottom" wrapText="1"/>
    </xf>
    <xf numFmtId="0" fontId="12" fillId="4" borderId="0" applyAlignment="1" pivotButton="0" quotePrefix="0" xfId="0">
      <alignment horizontal="center" vertical="bottom" wrapText="1"/>
    </xf>
    <xf numFmtId="0" fontId="7" fillId="4" borderId="0" applyAlignment="1" pivotButton="0" quotePrefix="0" xfId="0">
      <alignment horizontal="center" vertical="bottom" wrapText="1"/>
    </xf>
    <xf numFmtId="0" fontId="7" fillId="4" borderId="3" applyAlignment="1" pivotButton="0" quotePrefix="0" xfId="0">
      <alignment horizontal="center" vertical="bottom" wrapText="1"/>
    </xf>
    <xf numFmtId="0" fontId="6" fillId="4" borderId="15" applyAlignment="1" pivotButton="0" quotePrefix="0" xfId="0">
      <alignment horizontal="center" vertical="center" wrapText="1"/>
    </xf>
    <xf numFmtId="0" fontId="13" fillId="4" borderId="16" applyAlignment="1" pivotButton="0" quotePrefix="0" xfId="0">
      <alignment horizontal="center" vertical="bottom" wrapText="1"/>
    </xf>
    <xf numFmtId="0" fontId="7" fillId="4" borderId="17" applyAlignment="1" pivotButton="0" quotePrefix="0" xfId="0">
      <alignment horizontal="center" vertical="bottom" wrapText="1"/>
    </xf>
    <xf numFmtId="0" fontId="7" fillId="4" borderId="18" applyAlignment="1" pivotButton="0" quotePrefix="0" xfId="0">
      <alignment horizontal="center" vertical="bottom" wrapText="1"/>
    </xf>
    <xf numFmtId="0" fontId="12" fillId="4" borderId="18" applyAlignment="1" pivotButton="0" quotePrefix="0" xfId="0">
      <alignment horizontal="center" vertical="bottom" wrapText="1"/>
    </xf>
    <xf numFmtId="0" fontId="7" fillId="4" borderId="19" applyAlignment="1" pivotButton="0" quotePrefix="0" xfId="0">
      <alignment horizontal="center" vertical="bottom" wrapText="1"/>
    </xf>
    <xf numFmtId="0" fontId="14" fillId="0" borderId="5" applyAlignment="1" pivotButton="0" quotePrefix="0" xfId="0">
      <alignment horizontal="center" wrapText="1"/>
    </xf>
    <xf numFmtId="2" fontId="14" fillId="0" borderId="5" applyAlignment="1" pivotButton="0" quotePrefix="0" xfId="0">
      <alignment horizontal="center" wrapText="1"/>
    </xf>
    <xf numFmtId="0" fontId="2" fillId="0" borderId="0" applyAlignment="1" pivotButton="0" quotePrefix="0" xfId="0">
      <alignment vertical="bottom"/>
    </xf>
    <xf numFmtId="164" fontId="14" fillId="0" borderId="5" applyAlignment="1" pivotButton="0" quotePrefix="0" xfId="0">
      <alignment horizontal="center" wrapText="1"/>
    </xf>
    <xf numFmtId="0" fontId="15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 wrapText="1"/>
    </xf>
    <xf numFmtId="0" fontId="16" fillId="2" borderId="0" applyAlignment="1" pivotButton="0" quotePrefix="0" xfId="0">
      <alignment horizontal="left"/>
    </xf>
    <xf numFmtId="0" fontId="17" fillId="2" borderId="0" applyAlignment="1" pivotButton="0" quotePrefix="0" xfId="0">
      <alignment horizontal="left"/>
    </xf>
    <xf numFmtId="0" fontId="5" fillId="0" borderId="8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8" fillId="9" borderId="20" applyAlignment="1" pivotButton="0" quotePrefix="0" xfId="0">
      <alignment horizontal="center"/>
    </xf>
    <xf numFmtId="0" fontId="18" fillId="9" borderId="2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center" wrapText="1"/>
    </xf>
    <xf numFmtId="0" fontId="6" fillId="3" borderId="21" applyAlignment="1" pivotButton="0" quotePrefix="0" xfId="0">
      <alignment horizontal="center" vertical="center" wrapText="1"/>
    </xf>
    <xf numFmtId="0" fontId="18" fillId="10" borderId="20" applyAlignment="1" pivotButton="0" quotePrefix="0" xfId="0">
      <alignment horizontal="center" vertical="bottom"/>
    </xf>
    <xf numFmtId="0" fontId="19" fillId="0" borderId="20" applyAlignment="1" pivotButton="0" quotePrefix="0" xfId="0">
      <alignment horizontal="center" vertical="bottom"/>
    </xf>
    <xf numFmtId="0" fontId="20" fillId="0" borderId="20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bottom"/>
    </xf>
    <xf numFmtId="0" fontId="22" fillId="10" borderId="1" applyAlignment="1" pivotButton="0" quotePrefix="0" xfId="0">
      <alignment horizontal="center" vertical="center" wrapText="1"/>
    </xf>
    <xf numFmtId="0" fontId="6" fillId="10" borderId="21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bottom"/>
    </xf>
    <xf numFmtId="0" fontId="22" fillId="10" borderId="21" applyAlignment="1" pivotButton="0" quotePrefix="0" xfId="0">
      <alignment horizontal="center" vertical="center" wrapText="1"/>
    </xf>
    <xf numFmtId="0" fontId="6" fillId="10" borderId="22" applyAlignment="1" pivotButton="0" quotePrefix="0" xfId="0">
      <alignment horizontal="center" vertical="center" wrapText="1"/>
    </xf>
    <xf numFmtId="164" fontId="6" fillId="0" borderId="5" applyAlignment="1" pivotButton="0" quotePrefix="0" xfId="0">
      <alignment horizontal="center" vertical="center" wrapText="1"/>
    </xf>
    <xf numFmtId="0" fontId="3" fillId="11" borderId="12" applyAlignment="1" pivotButton="0" quotePrefix="0" xfId="0">
      <alignment horizontal="left" vertical="center"/>
    </xf>
    <xf numFmtId="0" fontId="3" fillId="11" borderId="12" applyAlignment="1" pivotButton="0" quotePrefix="0" xfId="0">
      <alignment horizontal="left" vertical="center"/>
    </xf>
    <xf numFmtId="0" fontId="18" fillId="4" borderId="12" applyAlignment="1" pivotButton="0" quotePrefix="0" xfId="0">
      <alignment horizontal="left" vertical="center"/>
    </xf>
    <xf numFmtId="0" fontId="18" fillId="4" borderId="23" applyAlignment="1" pivotButton="0" quotePrefix="0" xfId="0">
      <alignment horizontal="left" vertical="center"/>
    </xf>
    <xf numFmtId="0" fontId="18" fillId="4" borderId="24" applyAlignment="1" pivotButton="0" quotePrefix="0" xfId="0">
      <alignment horizontal="left" vertical="center"/>
    </xf>
    <xf numFmtId="0" fontId="18" fillId="12" borderId="25" applyAlignment="1" pivotButton="0" quotePrefix="0" xfId="0">
      <alignment horizontal="center" vertical="bottom" wrapText="1"/>
    </xf>
    <xf numFmtId="0" fontId="18" fillId="12" borderId="26" applyAlignment="1" pivotButton="0" quotePrefix="0" xfId="0">
      <alignment horizontal="center" vertical="bottom" wrapText="1"/>
    </xf>
    <xf numFmtId="0" fontId="18" fillId="12" borderId="27" applyAlignment="1" pivotButton="0" quotePrefix="0" xfId="0">
      <alignment horizontal="center" vertical="bottom" textRotation="180"/>
    </xf>
    <xf numFmtId="0" fontId="18" fillId="12" borderId="25" applyAlignment="1" pivotButton="0" quotePrefix="0" xfId="0">
      <alignment horizontal="center" vertical="bottom" textRotation="180"/>
    </xf>
    <xf numFmtId="0" fontId="18" fillId="12" borderId="26" applyAlignment="1" pivotButton="0" quotePrefix="0" xfId="0">
      <alignment horizontal="center" vertical="bottom" textRotation="180"/>
    </xf>
    <xf numFmtId="0" fontId="19" fillId="0" borderId="25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/>
    </xf>
    <xf numFmtId="0" fontId="19" fillId="0" borderId="2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13" borderId="25" applyAlignment="1" pivotButton="0" quotePrefix="0" xfId="0">
      <alignment horizontal="left" vertical="center"/>
    </xf>
    <xf numFmtId="0" fontId="18" fillId="13" borderId="25" applyAlignment="1" pivotButton="0" quotePrefix="0" xfId="0">
      <alignment horizontal="center" vertical="center"/>
    </xf>
    <xf numFmtId="0" fontId="18" fillId="13" borderId="26" applyAlignment="1" pivotButton="0" quotePrefix="0" xfId="0">
      <alignment horizontal="center" vertical="center"/>
    </xf>
    <xf numFmtId="0" fontId="18" fillId="13" borderId="27" applyAlignment="1" pivotButton="0" quotePrefix="0" xfId="0">
      <alignment horizontal="center" vertical="center"/>
    </xf>
    <xf numFmtId="0" fontId="23" fillId="0" borderId="0" applyAlignment="1" pivotButton="0" quotePrefix="0" xfId="0">
      <alignment vertical="bottom"/>
    </xf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left"/>
    </xf>
    <xf numFmtId="0" fontId="18" fillId="13" borderId="0" applyAlignment="1" pivotButton="0" quotePrefix="0" xfId="0">
      <alignment horizontal="left"/>
    </xf>
    <xf numFmtId="0" fontId="19" fillId="4" borderId="0" applyAlignment="1" pivotButton="0" quotePrefix="0" xfId="0">
      <alignment horizontal="center"/>
    </xf>
    <xf numFmtId="0" fontId="18" fillId="12" borderId="26" applyAlignment="1" pivotButton="0" quotePrefix="0" xfId="0">
      <alignment horizontal="center" vertical="bottom"/>
    </xf>
    <xf numFmtId="0" fontId="18" fillId="12" borderId="27" applyAlignment="1" pivotButton="0" quotePrefix="0" xfId="0">
      <alignment horizontal="center" vertical="bottom" textRotation="180"/>
    </xf>
    <xf numFmtId="0" fontId="18" fillId="12" borderId="25" applyAlignment="1" pivotButton="0" quotePrefix="0" xfId="0">
      <alignment horizontal="center" vertical="bottom" textRotation="180"/>
    </xf>
    <xf numFmtId="0" fontId="19" fillId="0" borderId="26" applyAlignment="1" pivotButton="0" quotePrefix="0" xfId="0">
      <alignment horizontal="left"/>
    </xf>
    <xf numFmtId="0" fontId="19" fillId="14" borderId="27" applyAlignment="1" pivotButton="0" quotePrefix="0" xfId="0">
      <alignment horizontal="center"/>
    </xf>
    <xf numFmtId="0" fontId="19" fillId="0" borderId="25" applyAlignment="1" pivotButton="0" quotePrefix="0" xfId="0">
      <alignment horizontal="center"/>
    </xf>
    <xf numFmtId="0" fontId="19" fillId="14" borderId="25" applyAlignment="1" pivotButton="0" quotePrefix="0" xfId="0">
      <alignment horizontal="center"/>
    </xf>
    <xf numFmtId="0" fontId="19" fillId="15" borderId="26" applyAlignment="1" pivotButton="0" quotePrefix="0" xfId="0">
      <alignment horizontal="left"/>
    </xf>
    <xf numFmtId="0" fontId="19" fillId="15" borderId="25" applyAlignment="1" pivotButton="0" quotePrefix="0" xfId="0">
      <alignment horizontal="center"/>
    </xf>
    <xf numFmtId="0" fontId="19" fillId="0" borderId="27" applyAlignment="1" pivotButton="0" quotePrefix="0" xfId="0">
      <alignment horizontal="center"/>
    </xf>
    <xf numFmtId="0" fontId="19" fillId="15" borderId="27" applyAlignment="1" pivotButton="0" quotePrefix="0" xfId="0">
      <alignment horizontal="center"/>
    </xf>
    <xf numFmtId="0" fontId="18" fillId="13" borderId="12" applyAlignment="1" pivotButton="0" quotePrefix="0" xfId="0">
      <alignment horizontal="left" vertical="center"/>
    </xf>
    <xf numFmtId="0" fontId="19" fillId="4" borderId="12" applyAlignment="1" pivotButton="0" quotePrefix="0" xfId="0">
      <alignment horizontal="center" vertical="center"/>
    </xf>
    <xf numFmtId="0" fontId="18" fillId="12" borderId="25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19" fillId="0" borderId="27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24" fillId="4" borderId="5" applyAlignment="1" pivotButton="0" quotePrefix="0" xfId="0">
      <alignment horizontal="center"/>
    </xf>
    <xf numFmtId="0" fontId="19" fillId="4" borderId="12" applyAlignment="1" pivotButton="0" quotePrefix="0" xfId="0">
      <alignment horizontal="center" vertical="center"/>
    </xf>
    <xf numFmtId="0" fontId="24" fillId="5" borderId="5" applyAlignment="1" pivotButton="0" quotePrefix="0" xfId="0">
      <alignment horizontal="center"/>
    </xf>
    <xf numFmtId="0" fontId="2" fillId="10" borderId="5" applyAlignment="1" pivotButton="0" quotePrefix="0" xfId="0">
      <alignment horizontal="center"/>
    </xf>
    <xf numFmtId="1" fontId="2" fillId="10" borderId="5" applyAlignment="1" pivotButton="0" quotePrefix="0" xfId="0">
      <alignment horizontal="center"/>
    </xf>
    <xf numFmtId="0" fontId="2" fillId="10" borderId="5" applyAlignment="1" pivotButton="0" quotePrefix="0" xfId="0">
      <alignment horizontal="left"/>
    </xf>
    <xf numFmtId="0" fontId="19" fillId="0" borderId="26" applyAlignment="1" pivotButton="0" quotePrefix="0" xfId="0">
      <alignment horizontal="left" vertical="center"/>
    </xf>
    <xf numFmtId="0" fontId="19" fillId="0" borderId="25" applyAlignment="1" pivotButton="0" quotePrefix="0" xfId="0">
      <alignment horizontal="center" vertical="center"/>
    </xf>
    <xf numFmtId="9" fontId="24" fillId="4" borderId="5" pivotButton="0" quotePrefix="0" xfId="0"/>
    <xf numFmtId="0" fontId="24" fillId="5" borderId="5" pivotButton="0" quotePrefix="0" xfId="0"/>
    <xf numFmtId="0" fontId="2" fillId="0" borderId="5" pivotButton="0" quotePrefix="0" xfId="0"/>
    <xf numFmtId="0" fontId="2" fillId="4" borderId="5" pivotButton="0" quotePrefix="0" xfId="0"/>
    <xf numFmtId="165" fontId="2" fillId="10" borderId="5" pivotButton="0" quotePrefix="0" xfId="0"/>
    <xf numFmtId="0" fontId="25" fillId="0" borderId="0" pivotButton="0" quotePrefix="0" xfId="0"/>
    <xf numFmtId="0" fontId="19" fillId="0" borderId="27" applyAlignment="1" pivotButton="0" quotePrefix="0" xfId="0">
      <alignment horizontal="center" vertical="center"/>
    </xf>
    <xf numFmtId="0" fontId="19" fillId="0" borderId="25" applyAlignment="1" pivotButton="0" quotePrefix="0" xfId="0">
      <alignment horizontal="left" vertical="center"/>
    </xf>
    <xf numFmtId="0" fontId="24" fillId="4" borderId="5" applyAlignment="1" pivotButton="0" quotePrefix="0" xfId="0">
      <alignment horizontal="center"/>
    </xf>
    <xf numFmtId="0" fontId="1" fillId="0" borderId="0" pivotButton="0" quotePrefix="0" xfId="0"/>
    <xf numFmtId="0" fontId="3" fillId="11" borderId="12" applyAlignment="1" pivotButton="0" quotePrefix="0" xfId="0">
      <alignment horizontal="left" vertical="center"/>
    </xf>
    <xf numFmtId="0" fontId="18" fillId="13" borderId="12" applyAlignment="1" pivotButton="0" quotePrefix="0" xfId="0">
      <alignment horizontal="left" vertical="center"/>
    </xf>
    <xf numFmtId="0" fontId="19" fillId="4" borderId="12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0" fontId="19" fillId="4" borderId="25" applyAlignment="1" pivotButton="0" quotePrefix="0" xfId="0">
      <alignment horizontal="center" vertical="center"/>
    </xf>
    <xf numFmtId="0" fontId="18" fillId="12" borderId="25" applyAlignment="1" pivotButton="0" quotePrefix="0" xfId="0">
      <alignment horizontal="center" vertical="bottom" textRotation="180"/>
    </xf>
    <xf numFmtId="0" fontId="8" fillId="0" borderId="0" pivotButton="0" quotePrefix="0" xfId="0"/>
    <xf numFmtId="0" fontId="19" fillId="4" borderId="12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0" fontId="19" fillId="0" borderId="25" applyAlignment="1" pivotButton="0" quotePrefix="0" xfId="0">
      <alignment horizontal="center" vertical="center"/>
    </xf>
    <xf numFmtId="2" fontId="8" fillId="0" borderId="0" pivotButton="0" quotePrefix="0" xfId="0"/>
    <xf numFmtId="2" fontId="3" fillId="11" borderId="12" applyAlignment="1" pivotButton="0" quotePrefix="0" xfId="0">
      <alignment horizontal="left" vertical="center"/>
    </xf>
    <xf numFmtId="0" fontId="3" fillId="11" borderId="29" applyAlignment="1" pivotButton="0" quotePrefix="0" xfId="0">
      <alignment horizontal="left" vertical="center"/>
    </xf>
    <xf numFmtId="2" fontId="3" fillId="11" borderId="29" applyAlignment="1" pivotButton="0" quotePrefix="0" xfId="0">
      <alignment horizontal="left" vertical="center"/>
    </xf>
    <xf numFmtId="0" fontId="18" fillId="16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2" fontId="18" fillId="0" borderId="0" applyAlignment="1" pivotButton="0" quotePrefix="0" xfId="0">
      <alignment horizontal="left" vertical="center"/>
    </xf>
    <xf numFmtId="0" fontId="18" fillId="12" borderId="30" applyAlignment="1" pivotButton="0" quotePrefix="0" xfId="0">
      <alignment horizontal="center" vertical="bottom" wrapText="1"/>
    </xf>
    <xf numFmtId="0" fontId="18" fillId="12" borderId="30" applyAlignment="1" pivotButton="0" quotePrefix="0" xfId="0">
      <alignment horizontal="center" vertical="bottom" wrapText="1"/>
    </xf>
    <xf numFmtId="2" fontId="18" fillId="12" borderId="30" applyAlignment="1" pivotButton="0" quotePrefix="0" xfId="0">
      <alignment horizontal="center" vertical="bottom" wrapText="1"/>
    </xf>
    <xf numFmtId="0" fontId="18" fillId="12" borderId="30" applyAlignment="1" pivotButton="0" quotePrefix="0" xfId="0">
      <alignment horizontal="center" vertical="bottom" textRotation="180"/>
    </xf>
    <xf numFmtId="0" fontId="18" fillId="12" borderId="30" applyAlignment="1" pivotButton="0" quotePrefix="0" xfId="0">
      <alignment horizontal="center" vertical="bottom" textRotation="180"/>
    </xf>
    <xf numFmtId="2" fontId="19" fillId="0" borderId="25" applyAlignment="1" pivotButton="0" quotePrefix="0" xfId="0">
      <alignment horizontal="center" vertical="center"/>
    </xf>
    <xf numFmtId="0" fontId="18" fillId="12" borderId="25" applyAlignment="1" pivotButton="0" quotePrefix="0" xfId="0">
      <alignment horizontal="center" vertical="bottom" wrapText="1"/>
    </xf>
    <xf numFmtId="2" fontId="18" fillId="12" borderId="25" applyAlignment="1" pivotButton="0" quotePrefix="0" xfId="0">
      <alignment horizontal="center" vertical="bottom" wrapText="1"/>
    </xf>
    <xf numFmtId="0" fontId="19" fillId="4" borderId="12" applyAlignment="1" pivotButton="0" quotePrefix="0" xfId="0">
      <alignment horizontal="center" vertical="center" wrapText="1"/>
    </xf>
    <xf numFmtId="0" fontId="18" fillId="12" borderId="31" applyAlignment="1" pivotButton="0" quotePrefix="0" xfId="0">
      <alignment horizontal="center" vertical="bottom" textRotation="180"/>
    </xf>
    <xf numFmtId="0" fontId="19" fillId="0" borderId="31" applyAlignment="1" pivotButton="0" quotePrefix="0" xfId="0">
      <alignment horizontal="center" vertical="center"/>
    </xf>
    <xf numFmtId="3" fontId="2" fillId="10" borderId="5" pivotButton="0" quotePrefix="0" xfId="0"/>
    <xf numFmtId="0" fontId="26" fillId="10" borderId="5" pivotButton="0" quotePrefix="0" xfId="0"/>
    <xf numFmtId="0" fontId="25" fillId="0" borderId="0" pivotButton="0" quotePrefix="0" xfId="0"/>
    <xf numFmtId="0" fontId="18" fillId="13" borderId="12" applyAlignment="1" pivotButton="0" quotePrefix="0" xfId="0">
      <alignment horizontal="left" vertical="center"/>
    </xf>
    <xf numFmtId="0" fontId="3" fillId="11" borderId="29" applyAlignment="1" pivotButton="0" quotePrefix="0" xfId="0">
      <alignment horizontal="left" vertical="center"/>
    </xf>
    <xf numFmtId="0" fontId="18" fillId="12" borderId="0" applyAlignment="1" pivotButton="0" quotePrefix="0" xfId="0">
      <alignment horizontal="center" vertical="bottom" wrapText="1"/>
    </xf>
    <xf numFmtId="0" fontId="18" fillId="12" borderId="2" applyAlignment="1" pivotButton="0" quotePrefix="0" xfId="0">
      <alignment horizontal="center" vertical="bottom" textRotation="180"/>
    </xf>
    <xf numFmtId="0" fontId="18" fillId="12" borderId="0" applyAlignment="1" pivotButton="0" quotePrefix="0" xfId="0">
      <alignment horizontal="center" vertical="bottom" textRotation="180"/>
    </xf>
    <xf numFmtId="0" fontId="18" fillId="12" borderId="32" applyAlignment="1" pivotButton="0" quotePrefix="0" xfId="0">
      <alignment horizontal="center" vertical="bottom" textRotation="180"/>
    </xf>
    <xf numFmtId="0" fontId="19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32" applyAlignment="1" pivotButton="0" quotePrefix="0" xfId="0">
      <alignment horizontal="center" vertical="center"/>
    </xf>
    <xf numFmtId="0" fontId="18" fillId="12" borderId="26" applyAlignment="1" pivotButton="0" quotePrefix="0" xfId="0">
      <alignment horizontal="center" vertical="bottom" wrapText="1"/>
    </xf>
    <xf numFmtId="0" fontId="18" fillId="12" borderId="31" applyAlignment="1" pivotButton="0" quotePrefix="0" xfId="0">
      <alignment horizontal="center" vertical="bottom" textRotation="180"/>
    </xf>
    <xf numFmtId="0" fontId="19" fillId="0" borderId="26" applyAlignment="1" pivotButton="0" quotePrefix="0" xfId="0">
      <alignment horizontal="center" vertical="center"/>
    </xf>
    <xf numFmtId="0" fontId="19" fillId="0" borderId="31" applyAlignment="1" pivotButton="0" quotePrefix="0" xfId="0">
      <alignment horizontal="center" vertical="center"/>
    </xf>
    <xf numFmtId="0" fontId="6" fillId="0" borderId="0" pivotButton="0" quotePrefix="0" xfId="0"/>
    <xf numFmtId="0" fontId="3" fillId="11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center" vertical="center"/>
    </xf>
    <xf numFmtId="0" fontId="18" fillId="12" borderId="26" applyAlignment="1" pivotButton="0" quotePrefix="0" xfId="0">
      <alignment horizontal="center" vertical="bottom"/>
    </xf>
    <xf numFmtId="0" fontId="18" fillId="12" borderId="31" applyAlignment="1" pivotButton="0" quotePrefix="0" xfId="0">
      <alignment horizontal="center" vertical="bottom" textRotation="180"/>
    </xf>
    <xf numFmtId="0" fontId="19" fillId="0" borderId="26" applyAlignment="1" pivotButton="0" quotePrefix="0" xfId="0">
      <alignment horizontal="center" vertical="center"/>
    </xf>
    <xf numFmtId="0" fontId="19" fillId="0" borderId="31" applyAlignment="1" pivotButton="0" quotePrefix="0" xfId="0">
      <alignment horizontal="center" vertical="center"/>
    </xf>
    <xf numFmtId="0" fontId="1" fillId="0" borderId="0" pivotButton="0" quotePrefix="0" xfId="0"/>
    <xf numFmtId="0" fontId="3" fillId="11" borderId="0" applyAlignment="1" pivotButton="0" quotePrefix="0" xfId="0">
      <alignment horizontal="left" vertical="center"/>
    </xf>
    <xf numFmtId="0" fontId="27" fillId="17" borderId="33" pivotButton="0" quotePrefix="0" xfId="0"/>
    <xf numFmtId="0" fontId="28" fillId="18" borderId="34" applyAlignment="1" pivotButton="0" quotePrefix="0" xfId="0">
      <alignment horizontal="center" wrapText="1"/>
    </xf>
    <xf numFmtId="0" fontId="4" fillId="0" borderId="35" pivotButton="0" quotePrefix="0" xfId="0"/>
    <xf numFmtId="0" fontId="4" fillId="0" borderId="36" pivotButton="0" quotePrefix="0" xfId="0"/>
    <xf numFmtId="0" fontId="29" fillId="19" borderId="33" applyAlignment="1" pivotButton="0" quotePrefix="0" xfId="0">
      <alignment horizontal="center" wrapText="1"/>
    </xf>
    <xf numFmtId="0" fontId="30" fillId="19" borderId="33" applyAlignment="1" pivotButton="0" quotePrefix="0" xfId="0">
      <alignment horizontal="center" wrapText="1"/>
    </xf>
    <xf numFmtId="0" fontId="30" fillId="20" borderId="34" applyAlignment="1" pivotButton="0" quotePrefix="0" xfId="0">
      <alignment horizontal="center" wrapText="1"/>
    </xf>
    <xf numFmtId="0" fontId="30" fillId="21" borderId="33" applyAlignment="1" pivotButton="0" quotePrefix="0" xfId="0">
      <alignment horizontal="center" wrapText="1"/>
    </xf>
    <xf numFmtId="0" fontId="30" fillId="21" borderId="33" applyAlignment="1" pivotButton="0" quotePrefix="0" xfId="0">
      <alignment horizontal="center" vertical="bottom" wrapText="1"/>
    </xf>
    <xf numFmtId="0" fontId="14" fillId="17" borderId="33" applyAlignment="1" pivotButton="0" quotePrefix="0" xfId="0">
      <alignment vertical="bottom"/>
    </xf>
    <xf numFmtId="0" fontId="30" fillId="21" borderId="34" applyAlignment="1" pivotButton="0" quotePrefix="0" xfId="0">
      <alignment horizontal="center" wrapText="1"/>
    </xf>
    <xf numFmtId="0" fontId="30" fillId="22" borderId="33" applyAlignment="1" pivotButton="0" quotePrefix="0" xfId="0">
      <alignment horizontal="center" wrapText="1"/>
    </xf>
    <xf numFmtId="0" fontId="30" fillId="23" borderId="34" applyAlignment="1" pivotButton="0" quotePrefix="0" xfId="0">
      <alignment horizontal="center" wrapText="1"/>
    </xf>
    <xf numFmtId="0" fontId="30" fillId="24" borderId="34" applyAlignment="1" pivotButton="0" quotePrefix="0" xfId="0">
      <alignment horizontal="center" wrapText="1"/>
    </xf>
    <xf numFmtId="0" fontId="30" fillId="23" borderId="33" applyAlignment="1" pivotButton="0" quotePrefix="0" xfId="0">
      <alignment horizontal="center" wrapText="1"/>
    </xf>
    <xf numFmtId="0" fontId="30" fillId="17" borderId="34" applyAlignment="1" pivotButton="0" quotePrefix="0" xfId="0">
      <alignment horizontal="center" wrapText="1"/>
    </xf>
    <xf numFmtId="0" fontId="30" fillId="17" borderId="33" applyAlignment="1" pivotButton="0" quotePrefix="0" xfId="0">
      <alignment horizontal="center" wrapText="1"/>
    </xf>
    <xf numFmtId="0" fontId="31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32" fillId="0" borderId="0" applyAlignment="1" pivotButton="0" quotePrefix="0" xfId="0">
      <alignment horizontal="center"/>
    </xf>
    <xf numFmtId="0" fontId="33" fillId="0" borderId="0" pivotButton="0" quotePrefix="0" xfId="0"/>
    <xf numFmtId="0" fontId="31" fillId="0" borderId="0" pivotButton="0" quotePrefix="0" xfId="0"/>
    <xf numFmtId="0" fontId="8" fillId="0" borderId="0" applyAlignment="1" pivotButton="0" quotePrefix="0" xfId="0">
      <alignment horizontal="center" wrapText="1"/>
    </xf>
    <xf numFmtId="0" fontId="18" fillId="12" borderId="32" applyAlignment="1" pivotButton="0" quotePrefix="0" xfId="0">
      <alignment horizontal="center" vertical="bottom" wrapText="1"/>
    </xf>
    <xf numFmtId="0" fontId="19" fillId="0" borderId="0" applyAlignment="1" pivotButton="0" quotePrefix="0" xfId="0">
      <alignment horizontal="right" vertical="center"/>
    </xf>
    <xf numFmtId="0" fontId="34" fillId="0" borderId="0" pivotButton="0" quotePrefix="0" xfId="0"/>
    <xf numFmtId="0" fontId="31" fillId="0" borderId="0" pivotButton="0" quotePrefix="0" xfId="0"/>
    <xf numFmtId="0" fontId="3" fillId="25" borderId="12" pivotButton="0" quotePrefix="0" xfId="0"/>
    <xf numFmtId="0" fontId="3" fillId="26" borderId="12" pivotButton="0" quotePrefix="0" xfId="0"/>
    <xf numFmtId="0" fontId="3" fillId="27" borderId="12" pivotButton="0" quotePrefix="0" xfId="0"/>
    <xf numFmtId="0" fontId="3" fillId="28" borderId="12" pivotButton="0" quotePrefix="0" xfId="0"/>
    <xf numFmtId="0" fontId="24" fillId="9" borderId="5" applyAlignment="1" pivotButton="0" quotePrefix="0" xfId="0">
      <alignment horizontal="center"/>
    </xf>
    <xf numFmtId="0" fontId="24" fillId="29" borderId="5" applyAlignment="1" pivotButton="0" quotePrefix="0" xfId="0">
      <alignment horizontal="center"/>
    </xf>
    <xf numFmtId="0" fontId="24" fillId="10" borderId="5" applyAlignment="1" pivotButton="0" quotePrefix="0" xfId="0">
      <alignment horizontal="center"/>
    </xf>
    <xf numFmtId="0" fontId="35" fillId="30" borderId="12" pivotButton="0" quotePrefix="0" xfId="0"/>
    <xf numFmtId="0" fontId="19" fillId="0" borderId="0" applyAlignment="1" pivotButton="0" quotePrefix="0" xfId="0">
      <alignment horizontal="center"/>
    </xf>
    <xf numFmtId="165" fontId="19" fillId="0" borderId="0" applyAlignment="1" pivotButton="0" quotePrefix="0" xfId="0">
      <alignment horizontal="center"/>
    </xf>
    <xf numFmtId="165" fontId="19" fillId="0" borderId="0" applyAlignment="1" pivotButton="0" quotePrefix="0" xfId="0">
      <alignment horizontal="center"/>
    </xf>
    <xf numFmtId="166" fontId="19" fillId="0" borderId="0" applyAlignment="1" pivotButton="0" quotePrefix="0" xfId="0">
      <alignment horizontal="center"/>
    </xf>
    <xf numFmtId="0" fontId="17" fillId="0" borderId="0" pivotButton="0" quotePrefix="0" xfId="0"/>
    <xf numFmtId="0" fontId="9" fillId="0" borderId="0" pivotButton="0" quotePrefix="0" xfId="0"/>
    <xf numFmtId="0" fontId="9" fillId="4" borderId="12" pivotButton="0" quotePrefix="0" xfId="0"/>
    <xf numFmtId="0" fontId="36" fillId="0" borderId="0" pivotButton="0" quotePrefix="0" xfId="0"/>
    <xf numFmtId="0" fontId="9" fillId="31" borderId="12" applyAlignment="1" pivotButton="0" quotePrefix="0" xfId="0">
      <alignment horizontal="center"/>
    </xf>
    <xf numFmtId="0" fontId="18" fillId="0" borderId="0" pivotButton="0" quotePrefix="0" xfId="0"/>
    <xf numFmtId="0" fontId="24" fillId="0" borderId="5" pivotButton="0" quotePrefix="0" xfId="0"/>
    <xf numFmtId="167" fontId="2" fillId="32" borderId="5" pivotButton="0" quotePrefix="0" xfId="0"/>
    <xf numFmtId="168" fontId="2" fillId="0" borderId="5" pivotButton="0" quotePrefix="0" xfId="0"/>
    <xf numFmtId="0" fontId="24" fillId="33" borderId="5" pivotButton="0" quotePrefix="0" xfId="0"/>
    <xf numFmtId="167" fontId="2" fillId="10" borderId="5" pivotButton="0" quotePrefix="0" xfId="0"/>
    <xf numFmtId="0" fontId="24" fillId="4" borderId="5" pivotButton="0" quotePrefix="0" xfId="0"/>
    <xf numFmtId="0" fontId="37" fillId="0" borderId="0" pivotButton="0" quotePrefix="0" xfId="0"/>
    <xf numFmtId="0" fontId="34" fillId="0" borderId="0" pivotButton="0" quotePrefix="0" xfId="0"/>
    <xf numFmtId="0" fontId="9" fillId="4" borderId="5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24" fillId="9" borderId="5" applyAlignment="1" pivotButton="0" quotePrefix="0" xfId="0">
      <alignment horizontal="center" textRotation="180"/>
    </xf>
    <xf numFmtId="0" fontId="24" fillId="29" borderId="5" applyAlignment="1" pivotButton="0" quotePrefix="0" xfId="0">
      <alignment horizontal="center" textRotation="180"/>
    </xf>
    <xf numFmtId="0" fontId="24" fillId="10" borderId="5" applyAlignment="1" pivotButton="0" quotePrefix="0" xfId="0">
      <alignment horizontal="center" textRotation="180"/>
    </xf>
    <xf numFmtId="0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  <xf numFmtId="0" fontId="2" fillId="5" borderId="5" pivotButton="0" quotePrefix="0" xfId="0"/>
    <xf numFmtId="4" fontId="9" fillId="9" borderId="5" applyAlignment="1" pivotButton="0" quotePrefix="0" xfId="0">
      <alignment horizontal="center"/>
    </xf>
    <xf numFmtId="4" fontId="9" fillId="29" borderId="5" applyAlignment="1" pivotButton="0" quotePrefix="0" xfId="0">
      <alignment horizontal="center"/>
    </xf>
    <xf numFmtId="168" fontId="9" fillId="10" borderId="5" applyAlignment="1" pivotButton="0" quotePrefix="0" xfId="0">
      <alignment horizontal="center"/>
    </xf>
    <xf numFmtId="0" fontId="37" fillId="0" borderId="0" pivotButton="0" quotePrefix="0" xfId="0"/>
    <xf numFmtId="0" fontId="36" fillId="0" borderId="0" pivotButton="0" quotePrefix="0" xfId="0"/>
    <xf numFmtId="0" fontId="18" fillId="13" borderId="0" applyAlignment="1" pivotButton="0" quotePrefix="0" xfId="0">
      <alignment horizontal="right" vertical="center"/>
    </xf>
    <xf numFmtId="0" fontId="8" fillId="5" borderId="0" pivotButton="0" quotePrefix="0" xfId="0"/>
    <xf numFmtId="0" fontId="18" fillId="12" borderId="26" applyAlignment="1" pivotButton="0" quotePrefix="0" xfId="0">
      <alignment horizontal="center" vertical="bottom" textRotation="180"/>
    </xf>
    <xf numFmtId="0" fontId="8" fillId="0" borderId="0" applyAlignment="1" pivotButton="0" quotePrefix="0" xfId="0">
      <alignment horizontal="left"/>
    </xf>
    <xf numFmtId="0" fontId="28" fillId="34" borderId="23" applyAlignment="1" pivotButton="0" quotePrefix="0" xfId="0">
      <alignment vertical="center"/>
    </xf>
    <xf numFmtId="0" fontId="4" fillId="0" borderId="37" pivotButton="0" quotePrefix="0" xfId="0"/>
    <xf numFmtId="0" fontId="4" fillId="0" borderId="38" pivotButton="0" quotePrefix="0" xfId="0"/>
    <xf numFmtId="0" fontId="38" fillId="0" borderId="18" applyAlignment="1" pivotButton="0" quotePrefix="0" xfId="0">
      <alignment vertical="center" wrapText="1"/>
    </xf>
    <xf numFmtId="0" fontId="38" fillId="0" borderId="18" applyAlignment="1" pivotButton="0" quotePrefix="0" xfId="0">
      <alignment horizontal="center" vertical="center" wrapText="1"/>
    </xf>
    <xf numFmtId="0" fontId="38" fillId="0" borderId="18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center" wrapText="1"/>
    </xf>
    <xf numFmtId="0" fontId="39" fillId="35" borderId="12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 wrapText="1"/>
    </xf>
    <xf numFmtId="0" fontId="41" fillId="36" borderId="39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vertical="center" wrapText="1"/>
    </xf>
    <xf numFmtId="0" fontId="41" fillId="36" borderId="12" applyAlignment="1" pivotButton="0" quotePrefix="0" xfId="0">
      <alignment horizontal="center" vertical="center"/>
    </xf>
    <xf numFmtId="0" fontId="41" fillId="36" borderId="12" applyAlignment="1" pivotButton="0" quotePrefix="0" xfId="0">
      <alignment horizontal="left" vertical="center"/>
    </xf>
    <xf numFmtId="0" fontId="28" fillId="34" borderId="40" applyAlignment="1" pivotButton="0" quotePrefix="0" xfId="0">
      <alignment vertical="center"/>
    </xf>
    <xf numFmtId="0" fontId="28" fillId="34" borderId="41" applyAlignment="1" pivotButton="0" quotePrefix="0" xfId="0">
      <alignment vertical="center"/>
    </xf>
    <xf numFmtId="0" fontId="28" fillId="34" borderId="42" applyAlignment="1" pivotButton="0" quotePrefix="0" xfId="0">
      <alignment vertical="center"/>
    </xf>
    <xf numFmtId="0" fontId="38" fillId="0" borderId="18" applyAlignment="1" pivotButton="0" quotePrefix="0" xfId="0">
      <alignment vertical="center" wrapText="1"/>
    </xf>
    <xf numFmtId="0" fontId="42" fillId="37" borderId="39" applyAlignment="1" pivotButton="0" quotePrefix="0" xfId="0">
      <alignment horizontal="center" vertical="center"/>
    </xf>
    <xf numFmtId="2" fontId="43" fillId="35" borderId="39" applyAlignment="1" pivotButton="0" quotePrefix="0" xfId="0">
      <alignment horizontal="center"/>
    </xf>
    <xf numFmtId="2" fontId="44" fillId="36" borderId="12" applyAlignment="1" pivotButton="0" quotePrefix="0" xfId="0">
      <alignment horizontal="center"/>
    </xf>
    <xf numFmtId="2" fontId="41" fillId="36" borderId="12" applyAlignment="1" pivotButton="0" quotePrefix="0" xfId="0">
      <alignment horizontal="center" vertical="center"/>
    </xf>
    <xf numFmtId="0" fontId="42" fillId="37" borderId="12" applyAlignment="1" pivotButton="0" quotePrefix="0" xfId="0">
      <alignment horizontal="center" vertical="center"/>
    </xf>
    <xf numFmtId="2" fontId="43" fillId="35" borderId="12" applyAlignment="1" pivotButton="0" quotePrefix="0" xfId="0">
      <alignment horizontal="center"/>
    </xf>
    <xf numFmtId="0" fontId="43" fillId="0" borderId="0" applyAlignment="1" pivotButton="0" quotePrefix="0" xfId="0">
      <alignment wrapText="1"/>
    </xf>
    <xf numFmtId="2" fontId="45" fillId="37" borderId="12" applyAlignment="1" pivotButton="0" quotePrefix="0" xfId="0">
      <alignment horizontal="center"/>
    </xf>
    <xf numFmtId="0" fontId="14" fillId="0" borderId="0" applyAlignment="1" pivotButton="0" quotePrefix="0" xfId="0">
      <alignment vertical="bottom"/>
    </xf>
    <xf numFmtId="0" fontId="39" fillId="0" borderId="18" applyAlignment="1" pivotButton="0" quotePrefix="0" xfId="0">
      <alignment vertical="center" wrapText="1"/>
    </xf>
    <xf numFmtId="0" fontId="42" fillId="37" borderId="15" applyAlignment="1" pivotButton="0" quotePrefix="0" xfId="0">
      <alignment horizontal="center" vertical="center"/>
    </xf>
    <xf numFmtId="2" fontId="44" fillId="36" borderId="15" applyAlignment="1" pivotButton="0" quotePrefix="0" xfId="0">
      <alignment horizontal="center"/>
    </xf>
    <xf numFmtId="2" fontId="41" fillId="36" borderId="15" applyAlignment="1" pivotButton="0" quotePrefix="0" xfId="0">
      <alignment horizontal="center" vertical="center"/>
    </xf>
    <xf numFmtId="2" fontId="41" fillId="36" borderId="39" applyAlignment="1" pivotButton="0" quotePrefix="0" xfId="0">
      <alignment horizontal="center" vertical="center"/>
    </xf>
    <xf numFmtId="0" fontId="39" fillId="35" borderId="12" applyAlignment="1" pivotButton="0" quotePrefix="0" xfId="0">
      <alignment horizontal="center" vertical="center"/>
    </xf>
    <xf numFmtId="0" fontId="46" fillId="0" borderId="0" pivotButton="0" quotePrefix="0" xfId="0"/>
    <xf numFmtId="164" fontId="39" fillId="35" borderId="12" applyAlignment="1" pivotButton="0" quotePrefix="0" xfId="0">
      <alignment horizontal="center" vertical="center"/>
    </xf>
    <xf numFmtId="164" fontId="39" fillId="35" borderId="12" applyAlignment="1" pivotButton="0" quotePrefix="0" xfId="0">
      <alignment horizontal="center" vertical="center"/>
    </xf>
    <xf numFmtId="164" fontId="41" fillId="36" borderId="12" applyAlignment="1" pivotButton="0" quotePrefix="0" xfId="0">
      <alignment horizontal="center" vertical="center"/>
    </xf>
    <xf numFmtId="0" fontId="47" fillId="0" borderId="0" pivotButton="0" quotePrefix="0" xfId="0"/>
    <xf numFmtId="0" fontId="28" fillId="34" borderId="23" applyAlignment="1" pivotButton="0" quotePrefix="0" xfId="0">
      <alignment vertical="center"/>
    </xf>
    <xf numFmtId="0" fontId="39" fillId="0" borderId="0" applyAlignment="1" pivotButton="0" quotePrefix="0" xfId="0">
      <alignment horizontal="right" vertical="center" wrapText="1"/>
    </xf>
    <xf numFmtId="0" fontId="48" fillId="0" borderId="0" pivotButton="0" quotePrefix="0" xfId="0"/>
    <xf numFmtId="0" fontId="49" fillId="0" borderId="0" pivotButton="0" quotePrefix="0" xfId="0"/>
    <xf numFmtId="0" fontId="33" fillId="0" borderId="0" applyAlignment="1" pivotButton="0" quotePrefix="0" xfId="0">
      <alignment horizontal="center"/>
    </xf>
    <xf numFmtId="0" fontId="33" fillId="0" borderId="2" applyAlignment="1" pivotButton="0" quotePrefix="0" xfId="0">
      <alignment horizontal="center"/>
    </xf>
    <xf numFmtId="10" fontId="8" fillId="0" borderId="3" applyAlignment="1" pivotButton="0" quotePrefix="0" xfId="0">
      <alignment horizontal="center"/>
    </xf>
    <xf numFmtId="0" fontId="8" fillId="0" borderId="2" applyAlignment="1" pivotButton="0" quotePrefix="0" xfId="0">
      <alignment horizontal="right"/>
    </xf>
    <xf numFmtId="0" fontId="8" fillId="0" borderId="3" pivotButton="0" quotePrefix="0" xfId="0"/>
    <xf numFmtId="10" fontId="33" fillId="0" borderId="3" applyAlignment="1" pivotButton="0" quotePrefix="0" xfId="0">
      <alignment horizontal="center"/>
    </xf>
    <xf numFmtId="0" fontId="33" fillId="0" borderId="3" applyAlignment="1" pivotButton="0" quotePrefix="0" xfId="0">
      <alignment horizontal="center"/>
    </xf>
    <xf numFmtId="0" fontId="39" fillId="35" borderId="12" applyAlignment="1" pivotButton="0" quotePrefix="0" xfId="0">
      <alignment vertical="center"/>
    </xf>
    <xf numFmtId="0" fontId="41" fillId="36" borderId="12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/>
    </xf>
    <xf numFmtId="0" fontId="8" fillId="4" borderId="0" applyAlignment="1" pivotButton="0" quotePrefix="0" xfId="0">
      <alignment horizontal="center"/>
    </xf>
    <xf numFmtId="0" fontId="8" fillId="0" borderId="2" applyAlignment="1" pivotButton="0" quotePrefix="0" xfId="0">
      <alignment horizontal="right"/>
    </xf>
    <xf numFmtId="0" fontId="8" fillId="4" borderId="3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right"/>
    </xf>
    <xf numFmtId="10" fontId="8" fillId="0" borderId="3" pivotButton="0" quotePrefix="0" xfId="0"/>
    <xf numFmtId="0" fontId="8" fillId="0" borderId="2" pivotButton="0" quotePrefix="0" xfId="0"/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28" fillId="34" borderId="37" applyAlignment="1" pivotButton="0" quotePrefix="0" xfId="0">
      <alignment vertical="center"/>
    </xf>
    <xf numFmtId="0" fontId="38" fillId="0" borderId="17" applyAlignment="1" pivotButton="0" quotePrefix="0" xfId="0">
      <alignment horizontal="right" vertical="center" wrapText="1"/>
    </xf>
    <xf numFmtId="0" fontId="39" fillId="35" borderId="23" applyAlignment="1" pivotButton="0" quotePrefix="0" xfId="0">
      <alignment horizontal="center" vertical="center"/>
    </xf>
    <xf numFmtId="0" fontId="39" fillId="35" borderId="43" applyAlignment="1" pivotButton="0" quotePrefix="0" xfId="0">
      <alignment horizontal="right" vertical="center"/>
    </xf>
    <xf numFmtId="0" fontId="39" fillId="35" borderId="37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/>
    </xf>
    <xf numFmtId="0" fontId="33" fillId="0" borderId="18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8" fillId="1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10" fontId="8" fillId="10" borderId="0" applyAlignment="1" pivotButton="0" quotePrefix="0" xfId="0">
      <alignment horizontal="center"/>
    </xf>
    <xf numFmtId="1" fontId="33" fillId="0" borderId="0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10" fontId="33" fillId="0" borderId="19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0" fontId="33" fillId="0" borderId="19" applyAlignment="1" pivotButton="0" quotePrefix="0" xfId="0">
      <alignment horizontal="center"/>
    </xf>
    <xf numFmtId="0" fontId="8" fillId="10" borderId="3" applyAlignment="1" pivotButton="0" quotePrefix="0" xfId="0">
      <alignment horizontal="center"/>
    </xf>
    <xf numFmtId="10" fontId="8" fillId="10" borderId="3" applyAlignment="1" pivotButton="0" quotePrefix="0" xfId="0">
      <alignment horizontal="center"/>
    </xf>
    <xf numFmtId="0" fontId="39" fillId="35" borderId="12" applyAlignment="1" pivotButton="0" quotePrefix="0" xfId="0">
      <alignment vertical="center"/>
    </xf>
    <xf numFmtId="0" fontId="4" fillId="0" borderId="18" pivotButton="0" quotePrefix="0" xfId="0"/>
    <xf numFmtId="0" fontId="28" fillId="34" borderId="44" applyAlignment="1" pivotButton="0" quotePrefix="0" xfId="0">
      <alignment vertical="center"/>
    </xf>
    <xf numFmtId="0" fontId="33" fillId="0" borderId="18" pivotButton="0" quotePrefix="0" xfId="0"/>
    <xf numFmtId="0" fontId="8" fillId="10" borderId="0" pivotButton="0" quotePrefix="0" xfId="0"/>
    <xf numFmtId="0" fontId="8" fillId="0" borderId="0" applyAlignment="1" pivotButton="0" quotePrefix="0" xfId="0">
      <alignment/>
    </xf>
    <xf numFmtId="0" fontId="8" fillId="34" borderId="0" pivotButton="0" quotePrefix="0" xfId="0"/>
    <xf numFmtId="0" fontId="14" fillId="0" borderId="18" applyAlignment="1" pivotButton="0" quotePrefix="0" xfId="0">
      <alignment horizontal="center" vertical="bottom"/>
    </xf>
    <xf numFmtId="0" fontId="14" fillId="0" borderId="17" applyAlignment="1" pivotButton="0" quotePrefix="0" xfId="0">
      <alignment horizontal="center" vertical="bottom"/>
    </xf>
    <xf numFmtId="0" fontId="14" fillId="0" borderId="14" applyAlignment="1" pivotButton="0" quotePrefix="0" xfId="0">
      <alignment horizontal="center" vertical="bottom"/>
    </xf>
    <xf numFmtId="0" fontId="41" fillId="36" borderId="12" applyAlignment="1" pivotButton="0" quotePrefix="0" xfId="0">
      <alignment horizontal="center" vertical="center"/>
    </xf>
    <xf numFmtId="0" fontId="41" fillId="36" borderId="12" applyAlignment="1" pivotButton="0" quotePrefix="0" xfId="0">
      <alignment horizontal="left" vertical="center"/>
    </xf>
    <xf numFmtId="0" fontId="41" fillId="36" borderId="1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bottom"/>
    </xf>
    <xf numFmtId="10" fontId="14" fillId="0" borderId="0" applyAlignment="1" pivotButton="0" quotePrefix="0" xfId="0">
      <alignment horizontal="center" vertical="bottom"/>
    </xf>
    <xf numFmtId="0" fontId="8" fillId="0" borderId="5" applyAlignment="1" pivotButton="0" quotePrefix="0" xfId="0">
      <alignment horizontal="center"/>
    </xf>
    <xf numFmtId="0" fontId="5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right" vertical="bottom"/>
    </xf>
    <xf numFmtId="169" fontId="14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/>
    </xf>
    <xf numFmtId="0" fontId="51" fillId="27" borderId="12" pivotButton="0" quotePrefix="0" xfId="0"/>
    <xf numFmtId="0" fontId="24" fillId="29" borderId="12" pivotButton="0" quotePrefix="0" xfId="0"/>
    <xf numFmtId="0" fontId="26" fillId="4" borderId="12" applyAlignment="1" pivotButton="0" quotePrefix="0" xfId="0">
      <alignment horizontal="center"/>
    </xf>
    <xf numFmtId="0" fontId="52" fillId="0" borderId="0" pivotButton="0" quotePrefix="0" xfId="0"/>
    <xf numFmtId="0" fontId="26" fillId="4" borderId="12" applyAlignment="1" pivotButton="0" quotePrefix="0" xfId="0">
      <alignment horizontal="center"/>
    </xf>
    <xf numFmtId="0" fontId="26" fillId="8" borderId="12" applyAlignment="1" pivotButton="0" quotePrefix="0" xfId="0">
      <alignment horizontal="center"/>
    </xf>
    <xf numFmtId="0" fontId="26" fillId="10" borderId="12" pivotButton="0" quotePrefix="0" xfId="0"/>
    <xf numFmtId="0" fontId="51" fillId="11" borderId="12" pivotButton="0" quotePrefix="0" xfId="0"/>
    <xf numFmtId="0" fontId="19" fillId="10" borderId="12" pivotButton="0" quotePrefix="0" xfId="0"/>
    <xf numFmtId="0" fontId="53" fillId="10" borderId="12" pivotButton="0" quotePrefix="0" xfId="0"/>
    <xf numFmtId="0" fontId="54" fillId="0" borderId="0" applyAlignment="1" pivotButton="0" quotePrefix="0" xfId="0">
      <alignment vertical="bottom" wrapText="1"/>
    </xf>
    <xf numFmtId="0" fontId="33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21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right" vertical="bottom"/>
    </xf>
    <xf numFmtId="4" fontId="21" fillId="0" borderId="0" applyAlignment="1" pivotButton="0" quotePrefix="0" xfId="0">
      <alignment horizontal="right" vertical="bottom"/>
    </xf>
    <xf numFmtId="170" fontId="33" fillId="0" borderId="0" applyAlignment="1" pivotButton="0" quotePrefix="0" xfId="0">
      <alignment wrapText="1"/>
    </xf>
    <xf numFmtId="170" fontId="8" fillId="0" borderId="0" pivotButton="0" quotePrefix="0" xfId="0"/>
    <xf numFmtId="170" fontId="8" fillId="0" borderId="0" pivotButton="0" quotePrefix="0" xfId="0"/>
    <xf numFmtId="0" fontId="33" fillId="0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dxfs count="10">
    <dxf>
      <font>
        <b val="1"/>
      </font>
      <fill>
        <patternFill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 val="1"/>
        <i val="1"/>
        <color rgb="FFB7B7B7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B1:AL49"/>
  <sheetViews>
    <sheetView showGridLines="0" workbookViewId="0">
      <selection activeCell="A1" sqref="A1"/>
    </sheetView>
  </sheetViews>
  <sheetFormatPr baseColWidth="8" defaultColWidth="12.63" defaultRowHeight="15" customHeight="1"/>
  <cols>
    <col width="1.5" customWidth="1" style="397" min="1" max="1"/>
    <col width="10.88" customWidth="1" style="397" min="2" max="2"/>
    <col width="15.38" customWidth="1" style="397" min="3" max="3"/>
    <col width="5.75" customWidth="1" style="397" min="4" max="38"/>
    <col width="7.63" customWidth="1" style="397" min="39" max="39"/>
    <col width="18.38" customWidth="1" style="397" min="40" max="40"/>
  </cols>
  <sheetData>
    <row r="1">
      <c r="B1" s="258" t="inlineStr">
        <is>
          <t>Daily Resource gains over the 33-day</t>
        </is>
      </c>
    </row>
    <row r="3">
      <c r="B3" s="246" t="inlineStr">
        <is>
          <t>Payer</t>
        </is>
      </c>
      <c r="C3" s="260" t="inlineStr">
        <is>
          <t>NONPAYER</t>
        </is>
      </c>
      <c r="D3" s="272" t="n"/>
    </row>
    <row r="4">
      <c r="B4" s="246" t="inlineStr">
        <is>
          <t>Segment</t>
        </is>
      </c>
      <c r="C4" s="260" t="inlineStr">
        <is>
          <t>10-19</t>
        </is>
      </c>
    </row>
    <row r="5">
      <c r="B5" s="246" t="inlineStr">
        <is>
          <t>Source</t>
        </is>
      </c>
      <c r="C5" s="260" t="inlineStr">
        <is>
          <t>ALL</t>
        </is>
      </c>
    </row>
    <row r="7">
      <c r="D7" s="234" t="inlineStr">
        <is>
          <t>◄ CURRENT (cal_curr, measured) ►</t>
        </is>
      </c>
      <c r="E7" s="234" t="n"/>
      <c r="F7" s="234" t="n"/>
      <c r="G7" s="234" t="n"/>
      <c r="H7" s="234" t="n"/>
      <c r="I7" s="234" t="n"/>
      <c r="J7" s="234" t="n"/>
      <c r="K7" s="234" t="n"/>
      <c r="L7" s="234" t="n"/>
      <c r="M7" s="234" t="n"/>
      <c r="N7" s="234" t="n"/>
      <c r="P7" s="235" t="inlineStr">
        <is>
          <t>◄ NEW (cal_new, simulated) ►</t>
        </is>
      </c>
      <c r="Q7" s="235" t="n"/>
      <c r="R7" s="235" t="n"/>
      <c r="S7" s="235" t="n"/>
      <c r="T7" s="235" t="n"/>
      <c r="U7" s="235" t="n"/>
      <c r="V7" s="235" t="n"/>
      <c r="W7" s="235" t="n"/>
      <c r="X7" s="235" t="n"/>
      <c r="Y7" s="235" t="n"/>
      <c r="Z7" s="235" t="n"/>
      <c r="AB7" s="236" t="inlineStr">
        <is>
          <t>Δ  NEW − CURRENT (same day)</t>
        </is>
      </c>
      <c r="AC7" s="236" t="n"/>
      <c r="AD7" s="236" t="n"/>
      <c r="AE7" s="236" t="n"/>
      <c r="AF7" s="236" t="n"/>
      <c r="AG7" s="236" t="n"/>
      <c r="AH7" s="236" t="n"/>
      <c r="AI7" s="236" t="n"/>
      <c r="AJ7" s="236" t="n"/>
      <c r="AK7" s="236" t="n"/>
      <c r="AL7" s="236" t="n"/>
    </row>
    <row r="8">
      <c r="B8" s="134" t="inlineStr">
        <is>
          <t>Day</t>
        </is>
      </c>
      <c r="C8" s="134" t="inlineStr">
        <is>
          <t>DoW</t>
        </is>
      </c>
      <c r="D8" s="261" t="inlineStr">
        <is>
          <t>HC</t>
        </is>
      </c>
      <c r="E8" s="261" t="inlineStr">
        <is>
          <t>Slingshot</t>
        </is>
      </c>
      <c r="F8" s="261" t="inlineStr">
        <is>
          <t>Shuffle</t>
        </is>
      </c>
      <c r="G8" s="261" t="inlineStr">
        <is>
          <t>Comet</t>
        </is>
      </c>
      <c r="H8" s="261" t="inlineStr">
        <is>
          <t>Red</t>
        </is>
      </c>
      <c r="I8" s="261" t="inlineStr">
        <is>
          <t>Chuck</t>
        </is>
      </c>
      <c r="J8" s="261" t="inlineStr">
        <is>
          <t>Bomb</t>
        </is>
      </c>
      <c r="K8" s="261" t="inlineStr">
        <is>
          <t>UL Bomb</t>
        </is>
      </c>
      <c r="L8" s="261" t="inlineStr">
        <is>
          <t>UL Chuck</t>
        </is>
      </c>
      <c r="M8" s="261" t="inlineStr">
        <is>
          <t>UL Red</t>
        </is>
      </c>
      <c r="N8" s="261" t="inlineStr">
        <is>
          <t>Unlimited Lives</t>
        </is>
      </c>
      <c r="P8" s="262" t="inlineStr">
        <is>
          <t>HC</t>
        </is>
      </c>
      <c r="Q8" s="262" t="inlineStr">
        <is>
          <t>Slingshot</t>
        </is>
      </c>
      <c r="R8" s="262" t="inlineStr">
        <is>
          <t>Shuffle</t>
        </is>
      </c>
      <c r="S8" s="262" t="inlineStr">
        <is>
          <t>Comet</t>
        </is>
      </c>
      <c r="T8" s="262" t="inlineStr">
        <is>
          <t>Red</t>
        </is>
      </c>
      <c r="U8" s="262" t="inlineStr">
        <is>
          <t>Chuck</t>
        </is>
      </c>
      <c r="V8" s="262" t="inlineStr">
        <is>
          <t>Bomb</t>
        </is>
      </c>
      <c r="W8" s="262" t="inlineStr">
        <is>
          <t>UL Bomb</t>
        </is>
      </c>
      <c r="X8" s="262" t="inlineStr">
        <is>
          <t>UL Chuck</t>
        </is>
      </c>
      <c r="Y8" s="262" t="inlineStr">
        <is>
          <t>UL Red</t>
        </is>
      </c>
      <c r="Z8" s="262" t="inlineStr">
        <is>
          <t>Unlimited Lives</t>
        </is>
      </c>
      <c r="AB8" s="263" t="inlineStr">
        <is>
          <t>HC</t>
        </is>
      </c>
      <c r="AC8" s="263" t="inlineStr">
        <is>
          <t>Slingshot</t>
        </is>
      </c>
      <c r="AD8" s="263" t="inlineStr">
        <is>
          <t>Shuffle</t>
        </is>
      </c>
      <c r="AE8" s="263" t="inlineStr">
        <is>
          <t>Comet</t>
        </is>
      </c>
      <c r="AF8" s="263" t="inlineStr">
        <is>
          <t>Red</t>
        </is>
      </c>
      <c r="AG8" s="263" t="inlineStr">
        <is>
          <t>Chuck</t>
        </is>
      </c>
      <c r="AH8" s="263" t="inlineStr">
        <is>
          <t>Bomb</t>
        </is>
      </c>
      <c r="AI8" s="263" t="inlineStr">
        <is>
          <t>UL Bomb</t>
        </is>
      </c>
      <c r="AJ8" s="263" t="inlineStr">
        <is>
          <t>UL Chuck</t>
        </is>
      </c>
      <c r="AK8" s="263" t="inlineStr">
        <is>
          <t>UL Red</t>
        </is>
      </c>
      <c r="AL8" s="263" t="inlineStr">
        <is>
          <t>Unlimited Lives</t>
        </is>
      </c>
    </row>
    <row r="9">
      <c r="B9" s="264" t="n">
        <v>1</v>
      </c>
      <c r="C9" s="264" t="inlineStr">
        <is>
          <t>Wed</t>
        </is>
      </c>
      <c r="D9" s="265">
        <f>LET(payer,$C$3, segment,$C$4, source,$C$5, ECOGAINS_DAILY(payer, segment, source, "CURRENT"))</f>
        <v/>
      </c>
      <c r="E9" s="265" t="n">
        <v>0.1919236546230974</v>
      </c>
      <c r="F9" s="265" t="n">
        <v>0.1746587403854341</v>
      </c>
      <c r="G9" s="265" t="n">
        <v>0.09917457816539639</v>
      </c>
      <c r="H9" s="265" t="n">
        <v>0.2375888329950817</v>
      </c>
      <c r="I9" s="265" t="n">
        <v>0.2578753692839563</v>
      </c>
      <c r="J9" s="265" t="n">
        <v>0.1147334862203369</v>
      </c>
      <c r="K9" s="265" t="n">
        <v>0.9301313207350073</v>
      </c>
      <c r="L9" s="265" t="n">
        <v>1.142251129546256</v>
      </c>
      <c r="M9" s="265" t="n">
        <v>1.215713495819841</v>
      </c>
      <c r="N9" s="265" t="n">
        <v>15.3268802521696</v>
      </c>
      <c r="P9" s="265">
        <f>LET(payer,$C$3, segment,$C$4, source,$C$5, ECOGAINS_DAILY(payer, segment, source, "NEW"))</f>
        <v/>
      </c>
      <c r="Q9" s="265" t="n"/>
      <c r="R9" s="265" t="n"/>
      <c r="S9" s="265" t="n"/>
      <c r="T9" s="265" t="n"/>
      <c r="U9" s="265" t="n"/>
      <c r="V9" s="265" t="n"/>
      <c r="W9" s="265" t="n"/>
      <c r="X9" s="265" t="n"/>
      <c r="Y9" s="265" t="n"/>
      <c r="Z9" s="265" t="n"/>
      <c r="AB9" s="266">
        <f>LET(payer,$C$3, segment,$C$4, source,$C$5, ECOGAINS_DAILY(payer, segment, source, "DIFF"))</f>
        <v/>
      </c>
      <c r="AC9" s="266" t="n"/>
      <c r="AD9" s="266" t="n"/>
      <c r="AE9" s="266" t="n"/>
      <c r="AF9" s="266" t="n"/>
      <c r="AG9" s="266" t="n"/>
      <c r="AH9" s="266" t="n"/>
      <c r="AI9" s="266" t="n"/>
      <c r="AJ9" s="266" t="n"/>
      <c r="AK9" s="266" t="n"/>
      <c r="AL9" s="266" t="n"/>
    </row>
    <row r="10">
      <c r="B10" s="264" t="n">
        <v>2</v>
      </c>
      <c r="C10" s="264" t="inlineStr">
        <is>
          <t>Thu</t>
        </is>
      </c>
      <c r="D10" s="265" t="n">
        <v>17.59346781134051</v>
      </c>
      <c r="E10" s="265" t="n">
        <v>0.2613565961956525</v>
      </c>
      <c r="F10" s="265" t="n">
        <v>0.221006713820941</v>
      </c>
      <c r="G10" s="265" t="n">
        <v>0.1036913819210957</v>
      </c>
      <c r="H10" s="265" t="n">
        <v>0.2482823288278478</v>
      </c>
      <c r="I10" s="265" t="n">
        <v>0.304036054839409</v>
      </c>
      <c r="J10" s="265" t="n">
        <v>0.1148095590249702</v>
      </c>
      <c r="K10" s="265" t="n">
        <v>1.335125379588723</v>
      </c>
      <c r="L10" s="265" t="n">
        <v>1.689411254197805</v>
      </c>
      <c r="M10" s="265" t="n">
        <v>1.762773158402767</v>
      </c>
      <c r="N10" s="265" t="n">
        <v>17.12205452599163</v>
      </c>
      <c r="P10" s="265" t="n"/>
      <c r="Q10" s="265" t="n"/>
      <c r="R10" s="265" t="n"/>
      <c r="S10" s="265" t="n"/>
      <c r="T10" s="265" t="n"/>
      <c r="U10" s="265" t="n"/>
      <c r="V10" s="265" t="n"/>
      <c r="W10" s="265" t="n"/>
      <c r="X10" s="265" t="n"/>
      <c r="Y10" s="265" t="n"/>
      <c r="Z10" s="265" t="n"/>
      <c r="AB10" s="266" t="n"/>
      <c r="AC10" s="266" t="n"/>
      <c r="AD10" s="266" t="n"/>
      <c r="AE10" s="266" t="n"/>
      <c r="AF10" s="266" t="n"/>
      <c r="AG10" s="266" t="n"/>
      <c r="AH10" s="266" t="n"/>
      <c r="AI10" s="266" t="n"/>
      <c r="AJ10" s="266" t="n"/>
      <c r="AK10" s="266" t="n"/>
      <c r="AL10" s="266" t="n"/>
    </row>
    <row r="11">
      <c r="B11" s="264" t="n">
        <v>3</v>
      </c>
      <c r="C11" s="264" t="inlineStr">
        <is>
          <t>Fri</t>
        </is>
      </c>
      <c r="D11" s="265" t="n">
        <v>15.11493592092891</v>
      </c>
      <c r="E11" s="265" t="n">
        <v>0.1841760217695612</v>
      </c>
      <c r="F11" s="265" t="n">
        <v>0.1677695115374791</v>
      </c>
      <c r="G11" s="265" t="n">
        <v>0.09586492744148982</v>
      </c>
      <c r="H11" s="265" t="n">
        <v>0.238296564366402</v>
      </c>
      <c r="I11" s="265" t="n">
        <v>0.2911274890361989</v>
      </c>
      <c r="J11" s="265" t="n">
        <v>0.1123220201942348</v>
      </c>
      <c r="K11" s="265" t="n">
        <v>1.261192245733092</v>
      </c>
      <c r="L11" s="265" t="n">
        <v>1.609837918344615</v>
      </c>
      <c r="M11" s="265" t="n">
        <v>1.686724926078403</v>
      </c>
      <c r="N11" s="265" t="n">
        <v>15.80732159002247</v>
      </c>
      <c r="P11" s="265" t="n"/>
      <c r="Q11" s="265" t="n"/>
      <c r="R11" s="265" t="n"/>
      <c r="S11" s="265" t="n"/>
      <c r="T11" s="265" t="n"/>
      <c r="U11" s="265" t="n"/>
      <c r="V11" s="265" t="n"/>
      <c r="W11" s="265" t="n"/>
      <c r="X11" s="265" t="n"/>
      <c r="Y11" s="265" t="n"/>
      <c r="Z11" s="265" t="n"/>
      <c r="AB11" s="266" t="n"/>
      <c r="AC11" s="266" t="n"/>
      <c r="AD11" s="266" t="n"/>
      <c r="AE11" s="266" t="n"/>
      <c r="AF11" s="266" t="n"/>
      <c r="AG11" s="266" t="n"/>
      <c r="AH11" s="266" t="n"/>
      <c r="AI11" s="266" t="n"/>
      <c r="AJ11" s="266" t="n"/>
      <c r="AK11" s="266" t="n"/>
      <c r="AL11" s="266" t="n"/>
    </row>
    <row r="12">
      <c r="B12" s="264" t="n">
        <v>4</v>
      </c>
      <c r="C12" s="264" t="inlineStr">
        <is>
          <t>Sat</t>
        </is>
      </c>
      <c r="D12" s="265" t="n">
        <v>25.05996919588734</v>
      </c>
      <c r="E12" s="265" t="n">
        <v>0.3193114980345375</v>
      </c>
      <c r="F12" s="265" t="n">
        <v>0.296543184114624</v>
      </c>
      <c r="G12" s="265" t="n">
        <v>0.1676415469367031</v>
      </c>
      <c r="H12" s="265" t="n">
        <v>0.2844207906418895</v>
      </c>
      <c r="I12" s="265" t="n">
        <v>0.2708965340104392</v>
      </c>
      <c r="J12" s="265" t="n">
        <v>0.1808579866920738</v>
      </c>
      <c r="K12" s="265" t="n">
        <v>0.5789985591159803</v>
      </c>
      <c r="L12" s="265" t="n">
        <v>0.699446462161764</v>
      </c>
      <c r="M12" s="265" t="n">
        <v>0.8113547048988278</v>
      </c>
      <c r="N12" s="265" t="n">
        <v>17.42950485760175</v>
      </c>
      <c r="P12" s="265" t="n"/>
      <c r="Q12" s="265" t="n"/>
      <c r="R12" s="265" t="n"/>
      <c r="S12" s="265" t="n"/>
      <c r="T12" s="265" t="n"/>
      <c r="U12" s="265" t="n"/>
      <c r="V12" s="265" t="n"/>
      <c r="W12" s="265" t="n"/>
      <c r="X12" s="265" t="n"/>
      <c r="Y12" s="265" t="n"/>
      <c r="Z12" s="265" t="n"/>
      <c r="AB12" s="266" t="n"/>
      <c r="AC12" s="266" t="n"/>
      <c r="AD12" s="266" t="n"/>
      <c r="AE12" s="266" t="n"/>
      <c r="AF12" s="266" t="n"/>
      <c r="AG12" s="266" t="n"/>
      <c r="AH12" s="266" t="n"/>
      <c r="AI12" s="266" t="n"/>
      <c r="AJ12" s="266" t="n"/>
      <c r="AK12" s="266" t="n"/>
      <c r="AL12" s="266" t="n"/>
    </row>
    <row r="13">
      <c r="B13" s="264" t="n">
        <v>5</v>
      </c>
      <c r="C13" s="264" t="inlineStr">
        <is>
          <t>Sun</t>
        </is>
      </c>
      <c r="D13" s="265" t="n">
        <v>17.05142407743243</v>
      </c>
      <c r="E13" s="265" t="n">
        <v>0.2635031903274082</v>
      </c>
      <c r="F13" s="265" t="n">
        <v>0.2524033672703217</v>
      </c>
      <c r="G13" s="265" t="n">
        <v>0.1037783251376949</v>
      </c>
      <c r="H13" s="265" t="n">
        <v>0.3170792111353092</v>
      </c>
      <c r="I13" s="265" t="n">
        <v>0.2746089480816413</v>
      </c>
      <c r="J13" s="265" t="n">
        <v>0.1458570970958184</v>
      </c>
      <c r="K13" s="265" t="n">
        <v>0.5789985591159803</v>
      </c>
      <c r="L13" s="265" t="n">
        <v>0.7083911425913167</v>
      </c>
      <c r="M13" s="265" t="n">
        <v>0.8478639310079675</v>
      </c>
      <c r="N13" s="265" t="n">
        <v>20.14740373705295</v>
      </c>
      <c r="P13" s="265" t="n"/>
      <c r="Q13" s="265" t="n"/>
      <c r="R13" s="265" t="n"/>
      <c r="S13" s="265" t="n"/>
      <c r="T13" s="265" t="n"/>
      <c r="U13" s="265" t="n"/>
      <c r="V13" s="265" t="n"/>
      <c r="W13" s="265" t="n"/>
      <c r="X13" s="265" t="n"/>
      <c r="Y13" s="265" t="n"/>
      <c r="Z13" s="265" t="n"/>
      <c r="AB13" s="266" t="n"/>
      <c r="AC13" s="266" t="n"/>
      <c r="AD13" s="266" t="n"/>
      <c r="AE13" s="266" t="n"/>
      <c r="AF13" s="266" t="n"/>
      <c r="AG13" s="266" t="n"/>
      <c r="AH13" s="266" t="n"/>
      <c r="AI13" s="266" t="n"/>
      <c r="AJ13" s="266" t="n"/>
      <c r="AK13" s="266" t="n"/>
      <c r="AL13" s="266" t="n"/>
    </row>
    <row r="14">
      <c r="B14" s="264" t="n">
        <v>6</v>
      </c>
      <c r="C14" s="264" t="inlineStr">
        <is>
          <t>Mon</t>
        </is>
      </c>
      <c r="D14" s="265" t="n">
        <v>15.34702621476329</v>
      </c>
      <c r="E14" s="265" t="n">
        <v>0.1966811415534334</v>
      </c>
      <c r="F14" s="265" t="n">
        <v>0.1949332138305399</v>
      </c>
      <c r="G14" s="265" t="n">
        <v>0.1004107255665858</v>
      </c>
      <c r="H14" s="265" t="n">
        <v>0.2888078533394532</v>
      </c>
      <c r="I14" s="265" t="n">
        <v>0.259027987498362</v>
      </c>
      <c r="J14" s="265" t="n">
        <v>0.1354364353336216</v>
      </c>
      <c r="K14" s="265" t="n">
        <v>0.6088789785144608</v>
      </c>
      <c r="L14" s="265" t="n">
        <v>0.7207015349386955</v>
      </c>
      <c r="M14" s="265" t="n">
        <v>0.8327687091385557</v>
      </c>
      <c r="N14" s="265" t="n">
        <v>18.29623749062324</v>
      </c>
      <c r="P14" s="265" t="n"/>
      <c r="Q14" s="265" t="n"/>
      <c r="R14" s="265" t="n"/>
      <c r="S14" s="265" t="n"/>
      <c r="T14" s="265" t="n"/>
      <c r="U14" s="265" t="n"/>
      <c r="V14" s="265" t="n"/>
      <c r="W14" s="265" t="n"/>
      <c r="X14" s="265" t="n"/>
      <c r="Y14" s="265" t="n"/>
      <c r="Z14" s="265" t="n"/>
      <c r="AB14" s="266" t="n"/>
      <c r="AC14" s="266" t="n"/>
      <c r="AD14" s="266" t="n"/>
      <c r="AE14" s="266" t="n"/>
      <c r="AF14" s="266" t="n"/>
      <c r="AG14" s="266" t="n"/>
      <c r="AH14" s="266" t="n"/>
      <c r="AI14" s="266" t="n"/>
      <c r="AJ14" s="266" t="n"/>
      <c r="AK14" s="266" t="n"/>
      <c r="AL14" s="266" t="n"/>
    </row>
    <row r="15">
      <c r="B15" s="264" t="n">
        <v>7</v>
      </c>
      <c r="C15" s="264" t="inlineStr">
        <is>
          <t>Tue</t>
        </is>
      </c>
      <c r="D15" s="265" t="n">
        <v>15.12438611157721</v>
      </c>
      <c r="E15" s="265" t="n">
        <v>0.1918781989422795</v>
      </c>
      <c r="F15" s="265" t="n">
        <v>0.1746883403854341</v>
      </c>
      <c r="G15" s="265" t="n">
        <v>0.0991461683648852</v>
      </c>
      <c r="H15" s="265" t="n">
        <v>0.2316169057644822</v>
      </c>
      <c r="I15" s="265" t="n">
        <v>0.243016683866451</v>
      </c>
      <c r="J15" s="265" t="n">
        <v>0.1147255583799279</v>
      </c>
      <c r="K15" s="265" t="n">
        <v>0.6126677785144607</v>
      </c>
      <c r="L15" s="265" t="n">
        <v>0.7234158589050037</v>
      </c>
      <c r="M15" s="265" t="n">
        <v>0.8746408388915695</v>
      </c>
      <c r="N15" s="265" t="n">
        <v>14.99457061012876</v>
      </c>
      <c r="P15" s="265" t="n"/>
      <c r="Q15" s="265" t="n"/>
      <c r="R15" s="265" t="n"/>
      <c r="S15" s="265" t="n"/>
      <c r="T15" s="265" t="n"/>
      <c r="U15" s="265" t="n"/>
      <c r="V15" s="265" t="n"/>
      <c r="W15" s="265" t="n"/>
      <c r="X15" s="265" t="n"/>
      <c r="Y15" s="265" t="n"/>
      <c r="Z15" s="265" t="n"/>
      <c r="AB15" s="266" t="n"/>
      <c r="AC15" s="266" t="n"/>
      <c r="AD15" s="266" t="n"/>
      <c r="AE15" s="266" t="n"/>
      <c r="AF15" s="266" t="n"/>
      <c r="AG15" s="266" t="n"/>
      <c r="AH15" s="266" t="n"/>
      <c r="AI15" s="266" t="n"/>
      <c r="AJ15" s="266" t="n"/>
      <c r="AK15" s="266" t="n"/>
      <c r="AL15" s="266" t="n"/>
    </row>
    <row r="16">
      <c r="B16" s="264" t="n">
        <v>8</v>
      </c>
      <c r="C16" s="264" t="inlineStr">
        <is>
          <t>Wed</t>
        </is>
      </c>
      <c r="D16" s="265" t="n">
        <v>15.45040851157721</v>
      </c>
      <c r="E16" s="265" t="n">
        <v>0.1918781989422795</v>
      </c>
      <c r="F16" s="265" t="n">
        <v>0.1747304403854341</v>
      </c>
      <c r="G16" s="265" t="n">
        <v>0.0991461683648852</v>
      </c>
      <c r="H16" s="265" t="n">
        <v>0.2350270057644822</v>
      </c>
      <c r="I16" s="265" t="n">
        <v>0.2738549338664509</v>
      </c>
      <c r="J16" s="265" t="n">
        <v>0.1147466083799279</v>
      </c>
      <c r="K16" s="265" t="n">
        <v>0.6180565785144608</v>
      </c>
      <c r="L16" s="265" t="n">
        <v>0.7450411932164506</v>
      </c>
      <c r="M16" s="265" t="n">
        <v>1.006729588891569</v>
      </c>
      <c r="N16" s="265" t="n">
        <v>15.85447707875166</v>
      </c>
      <c r="P16" s="265" t="n"/>
      <c r="Q16" s="265" t="n"/>
      <c r="R16" s="265" t="n"/>
      <c r="S16" s="265" t="n"/>
      <c r="T16" s="265" t="n"/>
      <c r="U16" s="265" t="n"/>
      <c r="V16" s="265" t="n"/>
      <c r="W16" s="265" t="n"/>
      <c r="X16" s="265" t="n"/>
      <c r="Y16" s="265" t="n"/>
      <c r="Z16" s="265" t="n"/>
      <c r="AB16" s="266" t="n"/>
      <c r="AC16" s="266" t="n"/>
      <c r="AD16" s="266" t="n"/>
      <c r="AE16" s="266" t="n"/>
      <c r="AF16" s="266" t="n"/>
      <c r="AG16" s="266" t="n"/>
      <c r="AH16" s="266" t="n"/>
      <c r="AI16" s="266" t="n"/>
      <c r="AJ16" s="266" t="n"/>
      <c r="AK16" s="266" t="n"/>
      <c r="AL16" s="266" t="n"/>
    </row>
    <row r="17">
      <c r="B17" s="264" t="n">
        <v>9</v>
      </c>
      <c r="C17" s="264" t="inlineStr">
        <is>
          <t>Thu</t>
        </is>
      </c>
      <c r="D17" s="265" t="n">
        <v>17.13984899620739</v>
      </c>
      <c r="E17" s="265" t="n">
        <v>0.2567359981238877</v>
      </c>
      <c r="F17" s="265" t="n">
        <v>0.2137356785625358</v>
      </c>
      <c r="G17" s="265" t="n">
        <v>0.1029448565345295</v>
      </c>
      <c r="H17" s="265" t="n">
        <v>0.239335157185642</v>
      </c>
      <c r="I17" s="265" t="n">
        <v>0.2772692992310627</v>
      </c>
      <c r="J17" s="265" t="n">
        <v>0.1195571181121022</v>
      </c>
      <c r="K17" s="265" t="n">
        <v>0.6178952985144608</v>
      </c>
      <c r="L17" s="265" t="n">
        <v>0.7443871989050037</v>
      </c>
      <c r="M17" s="265" t="n">
        <v>1.00277633889157</v>
      </c>
      <c r="N17" s="265" t="n">
        <v>20.44406853441491</v>
      </c>
      <c r="P17" s="265" t="n"/>
      <c r="Q17" s="265" t="n"/>
      <c r="R17" s="265" t="n"/>
      <c r="S17" s="265" t="n"/>
      <c r="T17" s="265" t="n"/>
      <c r="U17" s="265" t="n"/>
      <c r="V17" s="265" t="n"/>
      <c r="W17" s="265" t="n"/>
      <c r="X17" s="265" t="n"/>
      <c r="Y17" s="265" t="n"/>
      <c r="Z17" s="265" t="n"/>
      <c r="AB17" s="266" t="n"/>
      <c r="AC17" s="266" t="n"/>
      <c r="AD17" s="266" t="n"/>
      <c r="AE17" s="266" t="n"/>
      <c r="AF17" s="266" t="n"/>
      <c r="AG17" s="266" t="n"/>
      <c r="AH17" s="266" t="n"/>
      <c r="AI17" s="266" t="n"/>
      <c r="AJ17" s="266" t="n"/>
      <c r="AK17" s="266" t="n"/>
      <c r="AL17" s="266" t="n"/>
    </row>
    <row r="18">
      <c r="B18" s="264" t="n">
        <v>10</v>
      </c>
      <c r="C18" s="264" t="inlineStr">
        <is>
          <t>Fri</t>
        </is>
      </c>
      <c r="D18" s="265" t="n">
        <v>14.42233565277401</v>
      </c>
      <c r="E18" s="265" t="n">
        <v>0.184079494602598</v>
      </c>
      <c r="F18" s="265" t="n">
        <v>0.1677977715374791</v>
      </c>
      <c r="G18" s="265" t="n">
        <v>0.09580459796213776</v>
      </c>
      <c r="H18" s="265" t="n">
        <v>0.2228125597492881</v>
      </c>
      <c r="I18" s="265" t="n">
        <v>0.2342321626935922</v>
      </c>
      <c r="J18" s="265" t="n">
        <v>0.1122878866107532</v>
      </c>
      <c r="K18" s="265" t="n">
        <v>0.5826158391159802</v>
      </c>
      <c r="L18" s="265" t="n">
        <v>0.7026718404916052</v>
      </c>
      <c r="M18" s="265" t="n">
        <v>0.8538940766634501</v>
      </c>
      <c r="N18" s="265" t="n">
        <v>14.39503478353404</v>
      </c>
      <c r="P18" s="265" t="n"/>
      <c r="Q18" s="265" t="n"/>
      <c r="R18" s="265" t="n"/>
      <c r="S18" s="265" t="n"/>
      <c r="T18" s="265" t="n"/>
      <c r="U18" s="265" t="n"/>
      <c r="V18" s="265" t="n"/>
      <c r="W18" s="265" t="n"/>
      <c r="X18" s="265" t="n"/>
      <c r="Y18" s="265" t="n"/>
      <c r="Z18" s="265" t="n"/>
      <c r="AB18" s="266" t="n"/>
      <c r="AC18" s="266" t="n"/>
      <c r="AD18" s="266" t="n"/>
      <c r="AE18" s="266" t="n"/>
      <c r="AF18" s="266" t="n"/>
      <c r="AG18" s="266" t="n"/>
      <c r="AH18" s="266" t="n"/>
      <c r="AI18" s="266" t="n"/>
      <c r="AJ18" s="266" t="n"/>
      <c r="AK18" s="266" t="n"/>
      <c r="AL18" s="266" t="n"/>
    </row>
    <row r="19">
      <c r="B19" s="264" t="n">
        <v>11</v>
      </c>
      <c r="C19" s="264" t="inlineStr">
        <is>
          <t>Sat</t>
        </is>
      </c>
      <c r="D19" s="265" t="n">
        <v>14.61218925513406</v>
      </c>
      <c r="E19" s="265" t="n">
        <v>0.1884236436121929</v>
      </c>
      <c r="F19" s="265" t="n">
        <v>0.1861072975297742</v>
      </c>
      <c r="G19" s="265" t="n">
        <v>0.09694836030953423</v>
      </c>
      <c r="H19" s="265" t="n">
        <v>0.2744199442601713</v>
      </c>
      <c r="I19" s="265" t="n">
        <v>0.2476244222880525</v>
      </c>
      <c r="J19" s="265" t="n">
        <v>0.1310196456002414</v>
      </c>
      <c r="K19" s="265" t="n">
        <v>0.5789985591159803</v>
      </c>
      <c r="L19" s="265" t="n">
        <v>0.699446462161764</v>
      </c>
      <c r="M19" s="265" t="n">
        <v>0.8113547048988278</v>
      </c>
      <c r="N19" s="265" t="n">
        <v>17.35092000783451</v>
      </c>
      <c r="P19" s="265" t="n"/>
      <c r="Q19" s="265" t="n"/>
      <c r="R19" s="265" t="n"/>
      <c r="S19" s="265" t="n"/>
      <c r="T19" s="265" t="n"/>
      <c r="U19" s="265" t="n"/>
      <c r="V19" s="265" t="n"/>
      <c r="W19" s="265" t="n"/>
      <c r="X19" s="265" t="n"/>
      <c r="Y19" s="265" t="n"/>
      <c r="Z19" s="265" t="n"/>
      <c r="AB19" s="266" t="n"/>
      <c r="AC19" s="266" t="n"/>
      <c r="AD19" s="266" t="n"/>
      <c r="AE19" s="266" t="n"/>
      <c r="AF19" s="266" t="n"/>
      <c r="AG19" s="266" t="n"/>
      <c r="AH19" s="266" t="n"/>
      <c r="AI19" s="266" t="n"/>
      <c r="AJ19" s="266" t="n"/>
      <c r="AK19" s="266" t="n"/>
      <c r="AL19" s="266" t="n"/>
    </row>
    <row r="20">
      <c r="B20" s="264" t="n">
        <v>12</v>
      </c>
      <c r="C20" s="264" t="inlineStr">
        <is>
          <t>Sun</t>
        </is>
      </c>
      <c r="D20" s="265" t="n">
        <v>14.93567629918444</v>
      </c>
      <c r="E20" s="265" t="n">
        <v>0.1918620561759058</v>
      </c>
      <c r="F20" s="265" t="n">
        <v>0.2006217337536056</v>
      </c>
      <c r="G20" s="265" t="n">
        <v>0.09785365311061069</v>
      </c>
      <c r="H20" s="265" t="n">
        <v>0.3170792111353092</v>
      </c>
      <c r="I20" s="265" t="n">
        <v>0.2746089480816413</v>
      </c>
      <c r="J20" s="265" t="n">
        <v>0.1458570970958184</v>
      </c>
      <c r="K20" s="265" t="n">
        <v>0.5789985591159803</v>
      </c>
      <c r="L20" s="265" t="n">
        <v>0.7083911425913167</v>
      </c>
      <c r="M20" s="265" t="n">
        <v>0.8478639310079675</v>
      </c>
      <c r="N20" s="265" t="n">
        <v>20.14740373705295</v>
      </c>
      <c r="P20" s="265" t="n"/>
      <c r="Q20" s="265" t="n"/>
      <c r="R20" s="265" t="n"/>
      <c r="S20" s="265" t="n"/>
      <c r="T20" s="265" t="n"/>
      <c r="U20" s="265" t="n"/>
      <c r="V20" s="265" t="n"/>
      <c r="W20" s="265" t="n"/>
      <c r="X20" s="265" t="n"/>
      <c r="Y20" s="265" t="n"/>
      <c r="Z20" s="265" t="n"/>
      <c r="AB20" s="266" t="n"/>
      <c r="AC20" s="266" t="n"/>
      <c r="AD20" s="266" t="n"/>
      <c r="AE20" s="266" t="n"/>
      <c r="AF20" s="266" t="n"/>
      <c r="AG20" s="266" t="n"/>
      <c r="AH20" s="266" t="n"/>
      <c r="AI20" s="266" t="n"/>
      <c r="AJ20" s="266" t="n"/>
      <c r="AK20" s="266" t="n"/>
      <c r="AL20" s="266" t="n"/>
    </row>
    <row r="21" ht="15.75" customHeight="1" s="397">
      <c r="B21" s="264" t="n">
        <v>13</v>
      </c>
      <c r="C21" s="264" t="inlineStr">
        <is>
          <t>Mon</t>
        </is>
      </c>
      <c r="D21" s="265" t="n">
        <v>26.55973290117886</v>
      </c>
      <c r="E21" s="265" t="n">
        <v>0.3371518567459852</v>
      </c>
      <c r="F21" s="265" t="n">
        <v>0.3134545849689233</v>
      </c>
      <c r="G21" s="265" t="n">
        <v>0.1762796633575295</v>
      </c>
      <c r="H21" s="265" t="n">
        <v>0.2995409045455471</v>
      </c>
      <c r="I21" s="265" t="n">
        <v>0.2840039502575664</v>
      </c>
      <c r="J21" s="265" t="n">
        <v>0.1889236549696775</v>
      </c>
      <c r="K21" s="265" t="n">
        <v>0.6088789785144608</v>
      </c>
      <c r="L21" s="265" t="n">
        <v>0.7207015349386955</v>
      </c>
      <c r="M21" s="265" t="n">
        <v>0.8327687091385557</v>
      </c>
      <c r="N21" s="265" t="n">
        <v>18.38057587403416</v>
      </c>
      <c r="P21" s="265" t="n"/>
      <c r="Q21" s="265" t="n"/>
      <c r="R21" s="265" t="n"/>
      <c r="S21" s="265" t="n"/>
      <c r="T21" s="265" t="n"/>
      <c r="U21" s="265" t="n"/>
      <c r="V21" s="265" t="n"/>
      <c r="W21" s="265" t="n"/>
      <c r="X21" s="265" t="n"/>
      <c r="Y21" s="265" t="n"/>
      <c r="Z21" s="265" t="n"/>
      <c r="AB21" s="266" t="n"/>
      <c r="AC21" s="266" t="n"/>
      <c r="AD21" s="266" t="n"/>
      <c r="AE21" s="266" t="n"/>
      <c r="AF21" s="266" t="n"/>
      <c r="AG21" s="266" t="n"/>
      <c r="AH21" s="266" t="n"/>
      <c r="AI21" s="266" t="n"/>
      <c r="AJ21" s="266" t="n"/>
      <c r="AK21" s="266" t="n"/>
      <c r="AL21" s="266" t="n"/>
    </row>
    <row r="22" ht="15.75" customHeight="1" s="397">
      <c r="B22" s="264" t="n">
        <v>14</v>
      </c>
      <c r="C22" s="264" t="inlineStr">
        <is>
          <t>Tue</t>
        </is>
      </c>
      <c r="D22" s="265" t="n">
        <v>17.57109389323253</v>
      </c>
      <c r="E22" s="265" t="n">
        <v>0.268807408904089</v>
      </c>
      <c r="F22" s="265" t="n">
        <v>0.2302315292131955</v>
      </c>
      <c r="G22" s="265" t="n">
        <v>0.105531436863551</v>
      </c>
      <c r="H22" s="265" t="n">
        <v>0.2371221985311066</v>
      </c>
      <c r="I22" s="265" t="n">
        <v>0.2558380805956852</v>
      </c>
      <c r="J22" s="265" t="n">
        <v>0.1147322190527497</v>
      </c>
      <c r="K22" s="265" t="n">
        <v>0.9122202236822693</v>
      </c>
      <c r="L22" s="265" t="n">
        <v>1.118045362614539</v>
      </c>
      <c r="M22" s="265" t="n">
        <v>1.191519465078023</v>
      </c>
      <c r="N22" s="265" t="n">
        <v>15.27463173485221</v>
      </c>
      <c r="P22" s="265" t="n"/>
      <c r="Q22" s="265" t="n"/>
      <c r="R22" s="265" t="n"/>
      <c r="S22" s="265" t="n"/>
      <c r="T22" s="265" t="n"/>
      <c r="U22" s="265" t="n"/>
      <c r="V22" s="265" t="n"/>
      <c r="W22" s="265" t="n"/>
      <c r="X22" s="265" t="n"/>
      <c r="Y22" s="265" t="n"/>
      <c r="Z22" s="265" t="n"/>
      <c r="AB22" s="266" t="n"/>
      <c r="AC22" s="266" t="n"/>
      <c r="AD22" s="266" t="n"/>
      <c r="AE22" s="266" t="n"/>
      <c r="AF22" s="266" t="n"/>
      <c r="AG22" s="266" t="n"/>
      <c r="AH22" s="266" t="n"/>
      <c r="AI22" s="266" t="n"/>
      <c r="AJ22" s="266" t="n"/>
      <c r="AK22" s="266" t="n"/>
      <c r="AL22" s="266" t="n"/>
    </row>
    <row r="23" ht="15.75" customHeight="1" s="397">
      <c r="B23" s="264" t="n">
        <v>15</v>
      </c>
      <c r="C23" s="264" t="inlineStr">
        <is>
          <t>Wed</t>
        </is>
      </c>
      <c r="D23" s="265" t="n">
        <v>15.81136788139885</v>
      </c>
      <c r="E23" s="265" t="n">
        <v>0.1919752300567842</v>
      </c>
      <c r="F23" s="265" t="n">
        <v>0.1746587403854341</v>
      </c>
      <c r="G23" s="265" t="n">
        <v>0.09920681281145065</v>
      </c>
      <c r="H23" s="265" t="n">
        <v>0.2470851597226662</v>
      </c>
      <c r="I23" s="265" t="n">
        <v>0.2993355710389437</v>
      </c>
      <c r="J23" s="265" t="n">
        <v>0.1147592739371803</v>
      </c>
      <c r="K23" s="265" t="n">
        <v>1.294634251387353</v>
      </c>
      <c r="L23" s="265" t="n">
        <v>1.634712711175586</v>
      </c>
      <c r="M23" s="265" t="n">
        <v>1.708078373511009</v>
      </c>
      <c r="N23" s="265" t="n">
        <v>16.3898886220301</v>
      </c>
      <c r="P23" s="265" t="n"/>
      <c r="Q23" s="265" t="n"/>
      <c r="R23" s="265" t="n"/>
      <c r="S23" s="265" t="n"/>
      <c r="T23" s="265" t="n"/>
      <c r="U23" s="265" t="n"/>
      <c r="V23" s="265" t="n"/>
      <c r="W23" s="265" t="n"/>
      <c r="X23" s="265" t="n"/>
      <c r="Y23" s="265" t="n"/>
      <c r="Z23" s="265" t="n"/>
      <c r="AB23" s="266" t="n"/>
      <c r="AC23" s="266" t="n"/>
      <c r="AD23" s="266" t="n"/>
      <c r="AE23" s="266" t="n"/>
      <c r="AF23" s="266" t="n"/>
      <c r="AG23" s="266" t="n"/>
      <c r="AH23" s="266" t="n"/>
      <c r="AI23" s="266" t="n"/>
      <c r="AJ23" s="266" t="n"/>
      <c r="AK23" s="266" t="n"/>
      <c r="AL23" s="266" t="n"/>
    </row>
    <row r="24" ht="15.75" customHeight="1" s="397">
      <c r="B24" s="264" t="n">
        <v>16</v>
      </c>
      <c r="C24" s="264" t="inlineStr">
        <is>
          <t>Thu</t>
        </is>
      </c>
      <c r="D24" s="265" t="n">
        <v>17.70587183851455</v>
      </c>
      <c r="E24" s="265" t="n">
        <v>0.2697315259171307</v>
      </c>
      <c r="F24" s="265" t="n">
        <v>0.2271847536676807</v>
      </c>
      <c r="G24" s="265" t="n">
        <v>0.104232640087741</v>
      </c>
      <c r="H24" s="265" t="n">
        <v>0.2462303206159176</v>
      </c>
      <c r="I24" s="265" t="n">
        <v>0.2947567663160435</v>
      </c>
      <c r="J24" s="265" t="n">
        <v>0.1148326208581756</v>
      </c>
      <c r="K24" s="265" t="n">
        <v>1.253037651144419</v>
      </c>
      <c r="L24" s="265" t="n">
        <v>1.578506651840581</v>
      </c>
      <c r="M24" s="265" t="n">
        <v>1.651890334215066</v>
      </c>
      <c r="N24" s="265" t="n">
        <v>17.25651819408927</v>
      </c>
      <c r="P24" s="265" t="n"/>
      <c r="Q24" s="265" t="n"/>
      <c r="R24" s="265" t="n"/>
      <c r="S24" s="265" t="n"/>
      <c r="T24" s="265" t="n"/>
      <c r="U24" s="265" t="n"/>
      <c r="V24" s="265" t="n"/>
      <c r="W24" s="265" t="n"/>
      <c r="X24" s="265" t="n"/>
      <c r="Y24" s="265" t="n"/>
      <c r="Z24" s="265" t="n"/>
      <c r="AB24" s="266" t="n"/>
      <c r="AC24" s="266" t="n"/>
      <c r="AD24" s="266" t="n"/>
      <c r="AE24" s="266" t="n"/>
      <c r="AF24" s="266" t="n"/>
      <c r="AG24" s="266" t="n"/>
      <c r="AH24" s="266" t="n"/>
      <c r="AI24" s="266" t="n"/>
      <c r="AJ24" s="266" t="n"/>
      <c r="AK24" s="266" t="n"/>
      <c r="AL24" s="266" t="n"/>
    </row>
    <row r="25" ht="15.75" customHeight="1" s="397">
      <c r="B25" s="264" t="n">
        <v>17</v>
      </c>
      <c r="C25" s="264" t="inlineStr">
        <is>
          <t>Fri</t>
        </is>
      </c>
      <c r="D25" s="265" t="n">
        <v>14.64284877890307</v>
      </c>
      <c r="E25" s="265" t="n">
        <v>0.1841260251170214</v>
      </c>
      <c r="F25" s="265" t="n">
        <v>0.1677695115374791</v>
      </c>
      <c r="G25" s="265" t="n">
        <v>0.09583367953365242</v>
      </c>
      <c r="H25" s="265" t="n">
        <v>0.2290909307175046</v>
      </c>
      <c r="I25" s="265" t="n">
        <v>0.2509364299757375</v>
      </c>
      <c r="J25" s="265" t="n">
        <v>0.1122970218679649</v>
      </c>
      <c r="K25" s="265" t="n">
        <v>0.9078471534893613</v>
      </c>
      <c r="L25" s="265" t="n">
        <v>1.132451131149548</v>
      </c>
      <c r="M25" s="265" t="n">
        <v>1.209431882606849</v>
      </c>
      <c r="N25" s="265" t="n">
        <v>14.77685308368702</v>
      </c>
      <c r="P25" s="265" t="n"/>
      <c r="Q25" s="265" t="n"/>
      <c r="R25" s="265" t="n"/>
      <c r="S25" s="265" t="n"/>
      <c r="T25" s="265" t="n"/>
      <c r="U25" s="265" t="n"/>
      <c r="V25" s="265" t="n"/>
      <c r="W25" s="265" t="n"/>
      <c r="X25" s="265" t="n"/>
      <c r="Y25" s="265" t="n"/>
      <c r="Z25" s="265" t="n"/>
      <c r="AB25" s="266" t="n"/>
      <c r="AC25" s="266" t="n"/>
      <c r="AD25" s="266" t="n"/>
      <c r="AE25" s="266" t="n"/>
      <c r="AF25" s="266" t="n"/>
      <c r="AG25" s="266" t="n"/>
      <c r="AH25" s="266" t="n"/>
      <c r="AI25" s="266" t="n"/>
      <c r="AJ25" s="266" t="n"/>
      <c r="AK25" s="266" t="n"/>
      <c r="AL25" s="266" t="n"/>
    </row>
    <row r="26" ht="15.75" customHeight="1" s="397">
      <c r="B26" s="264" t="n">
        <v>18</v>
      </c>
      <c r="C26" s="264" t="inlineStr">
        <is>
          <t>Sat</t>
        </is>
      </c>
      <c r="D26" s="265" t="n">
        <v>14.61218925513406</v>
      </c>
      <c r="E26" s="265" t="n">
        <v>0.1884236436121929</v>
      </c>
      <c r="F26" s="265" t="n">
        <v>0.1861072975297742</v>
      </c>
      <c r="G26" s="265" t="n">
        <v>0.09694836030953423</v>
      </c>
      <c r="H26" s="265" t="n">
        <v>0.2744199442601713</v>
      </c>
      <c r="I26" s="265" t="n">
        <v>0.2476244222880525</v>
      </c>
      <c r="J26" s="265" t="n">
        <v>0.1310196456002414</v>
      </c>
      <c r="K26" s="265" t="n">
        <v>0.5789985591159803</v>
      </c>
      <c r="L26" s="265" t="n">
        <v>0.699446462161764</v>
      </c>
      <c r="M26" s="265" t="n">
        <v>0.8113547048988278</v>
      </c>
      <c r="N26" s="265" t="n">
        <v>17.35092000783451</v>
      </c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B26" s="266" t="n"/>
      <c r="AC26" s="266" t="n"/>
      <c r="AD26" s="266" t="n"/>
      <c r="AE26" s="266" t="n"/>
      <c r="AF26" s="266" t="n"/>
      <c r="AG26" s="266" t="n"/>
      <c r="AH26" s="266" t="n"/>
      <c r="AI26" s="266" t="n"/>
      <c r="AJ26" s="266" t="n"/>
      <c r="AK26" s="266" t="n"/>
      <c r="AL26" s="266" t="n"/>
    </row>
    <row r="27" ht="15.75" customHeight="1" s="397">
      <c r="B27" s="264" t="n">
        <v>19</v>
      </c>
      <c r="C27" s="264" t="inlineStr">
        <is>
          <t>Sun</t>
        </is>
      </c>
      <c r="D27" s="265" t="n">
        <v>14.93567629918444</v>
      </c>
      <c r="E27" s="265" t="n">
        <v>0.1918620561759058</v>
      </c>
      <c r="F27" s="265" t="n">
        <v>0.2006217337536056</v>
      </c>
      <c r="G27" s="265" t="n">
        <v>0.09785365311061069</v>
      </c>
      <c r="H27" s="265" t="n">
        <v>0.3170792111353092</v>
      </c>
      <c r="I27" s="265" t="n">
        <v>0.2746089480816413</v>
      </c>
      <c r="J27" s="265" t="n">
        <v>0.1458570970958184</v>
      </c>
      <c r="K27" s="265" t="n">
        <v>0.5789985591159803</v>
      </c>
      <c r="L27" s="265" t="n">
        <v>0.7083911425913167</v>
      </c>
      <c r="M27" s="265" t="n">
        <v>0.8478639310079675</v>
      </c>
      <c r="N27" s="265" t="n">
        <v>20.14740373705295</v>
      </c>
      <c r="P27" s="265" t="n"/>
      <c r="Q27" s="265" t="n"/>
      <c r="R27" s="265" t="n"/>
      <c r="S27" s="265" t="n"/>
      <c r="T27" s="265" t="n"/>
      <c r="U27" s="265" t="n"/>
      <c r="V27" s="265" t="n"/>
      <c r="W27" s="265" t="n"/>
      <c r="X27" s="265" t="n"/>
      <c r="Y27" s="265" t="n"/>
      <c r="Z27" s="265" t="n"/>
      <c r="AB27" s="266" t="n"/>
      <c r="AC27" s="266" t="n"/>
      <c r="AD27" s="266" t="n"/>
      <c r="AE27" s="266" t="n"/>
      <c r="AF27" s="266" t="n"/>
      <c r="AG27" s="266" t="n"/>
      <c r="AH27" s="266" t="n"/>
      <c r="AI27" s="266" t="n"/>
      <c r="AJ27" s="266" t="n"/>
      <c r="AK27" s="266" t="n"/>
      <c r="AL27" s="266" t="n"/>
    </row>
    <row r="28" ht="15.75" customHeight="1" s="397">
      <c r="B28" s="264" t="n">
        <v>20</v>
      </c>
      <c r="C28" s="264" t="inlineStr">
        <is>
          <t>Mon</t>
        </is>
      </c>
      <c r="D28" s="265" t="n">
        <v>26.55973290117886</v>
      </c>
      <c r="E28" s="265" t="n">
        <v>0.3371518567459852</v>
      </c>
      <c r="F28" s="265" t="n">
        <v>0.3134545849689233</v>
      </c>
      <c r="G28" s="265" t="n">
        <v>0.1762796633575295</v>
      </c>
      <c r="H28" s="265" t="n">
        <v>0.2995409045455471</v>
      </c>
      <c r="I28" s="265" t="n">
        <v>0.2840039502575664</v>
      </c>
      <c r="J28" s="265" t="n">
        <v>0.1889236549696775</v>
      </c>
      <c r="K28" s="265" t="n">
        <v>0.6088789785144608</v>
      </c>
      <c r="L28" s="265" t="n">
        <v>0.7207015349386955</v>
      </c>
      <c r="M28" s="265" t="n">
        <v>0.8327687091385557</v>
      </c>
      <c r="N28" s="265" t="n">
        <v>18.38057587403416</v>
      </c>
      <c r="P28" s="265" t="n"/>
      <c r="Q28" s="265" t="n"/>
      <c r="R28" s="265" t="n"/>
      <c r="S28" s="265" t="n"/>
      <c r="T28" s="265" t="n"/>
      <c r="U28" s="265" t="n"/>
      <c r="V28" s="265" t="n"/>
      <c r="W28" s="265" t="n"/>
      <c r="X28" s="265" t="n"/>
      <c r="Y28" s="265" t="n"/>
      <c r="Z28" s="265" t="n"/>
      <c r="AB28" s="266" t="n"/>
      <c r="AC28" s="266" t="n"/>
      <c r="AD28" s="266" t="n"/>
      <c r="AE28" s="266" t="n"/>
      <c r="AF28" s="266" t="n"/>
      <c r="AG28" s="266" t="n"/>
      <c r="AH28" s="266" t="n"/>
      <c r="AI28" s="266" t="n"/>
      <c r="AJ28" s="266" t="n"/>
      <c r="AK28" s="266" t="n"/>
      <c r="AL28" s="266" t="n"/>
    </row>
    <row r="29" ht="15.75" customHeight="1" s="397">
      <c r="B29" s="264" t="n">
        <v>21</v>
      </c>
      <c r="C29" s="264" t="inlineStr">
        <is>
          <t>Tue</t>
        </is>
      </c>
      <c r="D29" s="265" t="n">
        <v>17.51488605216122</v>
      </c>
      <c r="E29" s="265" t="n">
        <v>0.2687950475584454</v>
      </c>
      <c r="F29" s="265" t="n">
        <v>0.2302468092131955</v>
      </c>
      <c r="G29" s="265" t="n">
        <v>0.1055198910225238</v>
      </c>
      <c r="H29" s="265" t="n">
        <v>0.2331309857644822</v>
      </c>
      <c r="I29" s="265" t="n">
        <v>0.258205323866451</v>
      </c>
      <c r="J29" s="265" t="n">
        <v>0.1147260383799279</v>
      </c>
      <c r="K29" s="265" t="n">
        <v>0.9149679385144609</v>
      </c>
      <c r="L29" s="265" t="n">
        <v>1.090873298905004</v>
      </c>
      <c r="M29" s="265" t="n">
        <v>1.184811398891569</v>
      </c>
      <c r="N29" s="265" t="n">
        <v>15.09548349012876</v>
      </c>
      <c r="P29" s="265" t="n"/>
      <c r="Q29" s="265" t="n"/>
      <c r="R29" s="265" t="n"/>
      <c r="S29" s="265" t="n"/>
      <c r="T29" s="265" t="n"/>
      <c r="U29" s="265" t="n"/>
      <c r="V29" s="265" t="n"/>
      <c r="W29" s="265" t="n"/>
      <c r="X29" s="265" t="n"/>
      <c r="Y29" s="265" t="n"/>
      <c r="Z29" s="265" t="n"/>
      <c r="AB29" s="266" t="n"/>
      <c r="AC29" s="266" t="n"/>
      <c r="AD29" s="266" t="n"/>
      <c r="AE29" s="266" t="n"/>
      <c r="AF29" s="266" t="n"/>
      <c r="AG29" s="266" t="n"/>
      <c r="AH29" s="266" t="n"/>
      <c r="AI29" s="266" t="n"/>
      <c r="AJ29" s="266" t="n"/>
      <c r="AK29" s="266" t="n"/>
      <c r="AL29" s="266" t="n"/>
    </row>
    <row r="30" ht="15.75" customHeight="1" s="397">
      <c r="B30" s="264" t="n">
        <v>22</v>
      </c>
      <c r="C30" s="264" t="inlineStr">
        <is>
          <t>Wed</t>
        </is>
      </c>
      <c r="D30" s="265" t="n">
        <v>15.71255781157721</v>
      </c>
      <c r="E30" s="265" t="n">
        <v>0.1919497589422795</v>
      </c>
      <c r="F30" s="265" t="n">
        <v>0.1746945203854341</v>
      </c>
      <c r="G30" s="265" t="n">
        <v>0.09918194836488518</v>
      </c>
      <c r="H30" s="265" t="n">
        <v>0.2383789857644822</v>
      </c>
      <c r="I30" s="265" t="n">
        <v>0.307671823866451</v>
      </c>
      <c r="J30" s="265" t="n">
        <v>0.1147465383799279</v>
      </c>
      <c r="K30" s="265" t="n">
        <v>1.325623938514461</v>
      </c>
      <c r="L30" s="265" t="n">
        <v>1.604261783216451</v>
      </c>
      <c r="M30" s="265" t="n">
        <v>1.72553989889157</v>
      </c>
      <c r="N30" s="265" t="n">
        <v>16.04200295875166</v>
      </c>
      <c r="P30" s="265" t="n"/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265" t="n"/>
      <c r="AB30" s="266" t="n"/>
      <c r="AC30" s="266" t="n"/>
      <c r="AD30" s="266" t="n"/>
      <c r="AE30" s="266" t="n"/>
      <c r="AF30" s="266" t="n"/>
      <c r="AG30" s="266" t="n"/>
      <c r="AH30" s="266" t="n"/>
      <c r="AI30" s="266" t="n"/>
      <c r="AJ30" s="266" t="n"/>
      <c r="AK30" s="266" t="n"/>
      <c r="AL30" s="266" t="n"/>
    </row>
    <row r="31" ht="15.75" customHeight="1" s="397">
      <c r="B31" s="264" t="n">
        <v>23</v>
      </c>
      <c r="C31" s="264" t="inlineStr">
        <is>
          <t>Thu</t>
        </is>
      </c>
      <c r="D31" s="265" t="n">
        <v>17.38936763620739</v>
      </c>
      <c r="E31" s="265" t="n">
        <v>0.2568055981238877</v>
      </c>
      <c r="F31" s="265" t="n">
        <v>0.2137000385625358</v>
      </c>
      <c r="G31" s="265" t="n">
        <v>0.1029796565345295</v>
      </c>
      <c r="H31" s="265" t="n">
        <v>0.242538317185642</v>
      </c>
      <c r="I31" s="265" t="n">
        <v>0.3096443992310627</v>
      </c>
      <c r="J31" s="265" t="n">
        <v>0.1195566981121022</v>
      </c>
      <c r="K31" s="265" t="n">
        <v>1.305992578514461</v>
      </c>
      <c r="L31" s="265" t="n">
        <v>1.579712658905004</v>
      </c>
      <c r="M31" s="265" t="n">
        <v>1.699690438891569</v>
      </c>
      <c r="N31" s="265" t="n">
        <v>20.61208233441491</v>
      </c>
      <c r="P31" s="265" t="n"/>
      <c r="Q31" s="265" t="n"/>
      <c r="R31" s="265" t="n"/>
      <c r="S31" s="265" t="n"/>
      <c r="T31" s="265" t="n"/>
      <c r="U31" s="265" t="n"/>
      <c r="V31" s="265" t="n"/>
      <c r="W31" s="265" t="n"/>
      <c r="X31" s="265" t="n"/>
      <c r="Y31" s="265" t="n"/>
      <c r="Z31" s="265" t="n"/>
      <c r="AB31" s="266" t="n"/>
      <c r="AC31" s="266" t="n"/>
      <c r="AD31" s="266" t="n"/>
      <c r="AE31" s="266" t="n"/>
      <c r="AF31" s="266" t="n"/>
      <c r="AG31" s="266" t="n"/>
      <c r="AH31" s="266" t="n"/>
      <c r="AI31" s="266" t="n"/>
      <c r="AJ31" s="266" t="n"/>
      <c r="AK31" s="266" t="n"/>
      <c r="AL31" s="266" t="n"/>
    </row>
    <row r="32" ht="15.75" customHeight="1" s="397">
      <c r="B32" s="264" t="n">
        <v>24</v>
      </c>
      <c r="C32" s="264" t="inlineStr">
        <is>
          <t>Fri</t>
        </is>
      </c>
      <c r="D32" s="265" t="n">
        <v>14.52651851277401</v>
      </c>
      <c r="E32" s="265" t="n">
        <v>0.184107774602598</v>
      </c>
      <c r="F32" s="265" t="n">
        <v>0.1677836515374791</v>
      </c>
      <c r="G32" s="265" t="n">
        <v>0.09581873796213779</v>
      </c>
      <c r="H32" s="265" t="n">
        <v>0.2241433397492881</v>
      </c>
      <c r="I32" s="265" t="n">
        <v>0.2476515326935922</v>
      </c>
      <c r="J32" s="265" t="n">
        <v>0.1122878966107532</v>
      </c>
      <c r="K32" s="265" t="n">
        <v>0.8622510391159803</v>
      </c>
      <c r="L32" s="265" t="n">
        <v>1.042268350491605</v>
      </c>
      <c r="M32" s="265" t="n">
        <v>1.13819910666345</v>
      </c>
      <c r="N32" s="265" t="n">
        <v>14.47068222353404</v>
      </c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B32" s="266" t="n"/>
      <c r="AC32" s="266" t="n"/>
      <c r="AD32" s="266" t="n"/>
      <c r="AE32" s="266" t="n"/>
      <c r="AF32" s="266" t="n"/>
      <c r="AG32" s="266" t="n"/>
      <c r="AH32" s="266" t="n"/>
      <c r="AI32" s="266" t="n"/>
      <c r="AJ32" s="266" t="n"/>
      <c r="AK32" s="266" t="n"/>
      <c r="AL32" s="266" t="n"/>
    </row>
    <row r="33" ht="15.75" customHeight="1" s="397">
      <c r="B33" s="264" t="n">
        <v>25</v>
      </c>
      <c r="C33" s="264" t="inlineStr">
        <is>
          <t>Sat</t>
        </is>
      </c>
      <c r="D33" s="265" t="n">
        <v>14.61218925513406</v>
      </c>
      <c r="E33" s="265" t="n">
        <v>0.1884236436121929</v>
      </c>
      <c r="F33" s="265" t="n">
        <v>0.1861072975297742</v>
      </c>
      <c r="G33" s="265" t="n">
        <v>0.09694836030953423</v>
      </c>
      <c r="H33" s="265" t="n">
        <v>0.2744199442601713</v>
      </c>
      <c r="I33" s="265" t="n">
        <v>0.2476244222880525</v>
      </c>
      <c r="J33" s="265" t="n">
        <v>0.1310196456002414</v>
      </c>
      <c r="K33" s="265" t="n">
        <v>0.5789985591159803</v>
      </c>
      <c r="L33" s="265" t="n">
        <v>0.699446462161764</v>
      </c>
      <c r="M33" s="265" t="n">
        <v>0.8113547048988278</v>
      </c>
      <c r="N33" s="265" t="n">
        <v>17.35092000783451</v>
      </c>
      <c r="P33" s="265" t="n"/>
      <c r="Q33" s="265" t="n"/>
      <c r="R33" s="265" t="n"/>
      <c r="S33" s="265" t="n"/>
      <c r="T33" s="265" t="n"/>
      <c r="U33" s="265" t="n"/>
      <c r="V33" s="265" t="n"/>
      <c r="W33" s="265" t="n"/>
      <c r="X33" s="265" t="n"/>
      <c r="Y33" s="265" t="n"/>
      <c r="Z33" s="265" t="n"/>
      <c r="AB33" s="266" t="n"/>
      <c r="AC33" s="266" t="n"/>
      <c r="AD33" s="266" t="n"/>
      <c r="AE33" s="266" t="n"/>
      <c r="AF33" s="266" t="n"/>
      <c r="AG33" s="266" t="n"/>
      <c r="AH33" s="266" t="n"/>
      <c r="AI33" s="266" t="n"/>
      <c r="AJ33" s="266" t="n"/>
      <c r="AK33" s="266" t="n"/>
      <c r="AL33" s="266" t="n"/>
    </row>
    <row r="34" ht="15.75" customHeight="1" s="397">
      <c r="B34" s="264" t="n">
        <v>26</v>
      </c>
      <c r="C34" s="264" t="inlineStr">
        <is>
          <t>Sun</t>
        </is>
      </c>
      <c r="D34" s="265" t="n">
        <v>14.93567629918444</v>
      </c>
      <c r="E34" s="265" t="n">
        <v>0.1918620561759058</v>
      </c>
      <c r="F34" s="265" t="n">
        <v>0.2006217337536056</v>
      </c>
      <c r="G34" s="265" t="n">
        <v>0.09785365311061069</v>
      </c>
      <c r="H34" s="265" t="n">
        <v>0.3170792111353092</v>
      </c>
      <c r="I34" s="265" t="n">
        <v>0.2746089480816413</v>
      </c>
      <c r="J34" s="265" t="n">
        <v>0.1458570970958184</v>
      </c>
      <c r="K34" s="265" t="n">
        <v>0.5789985591159803</v>
      </c>
      <c r="L34" s="265" t="n">
        <v>0.7083911425913167</v>
      </c>
      <c r="M34" s="265" t="n">
        <v>0.8478639310079675</v>
      </c>
      <c r="N34" s="265" t="n">
        <v>20.14740373705295</v>
      </c>
      <c r="P34" s="265" t="n"/>
      <c r="Q34" s="265" t="n"/>
      <c r="R34" s="265" t="n"/>
      <c r="S34" s="265" t="n"/>
      <c r="T34" s="265" t="n"/>
      <c r="U34" s="265" t="n"/>
      <c r="V34" s="265" t="n"/>
      <c r="W34" s="265" t="n"/>
      <c r="X34" s="265" t="n"/>
      <c r="Y34" s="265" t="n"/>
      <c r="Z34" s="265" t="n"/>
      <c r="AB34" s="266" t="n"/>
      <c r="AC34" s="266" t="n"/>
      <c r="AD34" s="266" t="n"/>
      <c r="AE34" s="266" t="n"/>
      <c r="AF34" s="266" t="n"/>
      <c r="AG34" s="266" t="n"/>
      <c r="AH34" s="266" t="n"/>
      <c r="AI34" s="266" t="n"/>
      <c r="AJ34" s="266" t="n"/>
      <c r="AK34" s="266" t="n"/>
      <c r="AL34" s="266" t="n"/>
    </row>
    <row r="35" ht="15.75" customHeight="1" s="397">
      <c r="B35" s="264" t="n">
        <v>27</v>
      </c>
      <c r="C35" s="264" t="inlineStr">
        <is>
          <t>Mon</t>
        </is>
      </c>
      <c r="D35" s="265" t="n">
        <v>26.55973290117886</v>
      </c>
      <c r="E35" s="265" t="n">
        <v>0.3371518567459852</v>
      </c>
      <c r="F35" s="265" t="n">
        <v>0.3134545849689233</v>
      </c>
      <c r="G35" s="265" t="n">
        <v>0.1762796633575295</v>
      </c>
      <c r="H35" s="265" t="n">
        <v>0.2995409045455471</v>
      </c>
      <c r="I35" s="265" t="n">
        <v>0.2840039502575664</v>
      </c>
      <c r="J35" s="265" t="n">
        <v>0.1889236549696775</v>
      </c>
      <c r="K35" s="265" t="n">
        <v>0.6088789785144608</v>
      </c>
      <c r="L35" s="265" t="n">
        <v>0.7207015349386955</v>
      </c>
      <c r="M35" s="265" t="n">
        <v>0.8327687091385557</v>
      </c>
      <c r="N35" s="265" t="n">
        <v>18.38057587403416</v>
      </c>
      <c r="P35" s="265" t="n"/>
      <c r="Q35" s="265" t="n"/>
      <c r="R35" s="265" t="n"/>
      <c r="S35" s="265" t="n"/>
      <c r="T35" s="265" t="n"/>
      <c r="U35" s="265" t="n"/>
      <c r="V35" s="265" t="n"/>
      <c r="W35" s="265" t="n"/>
      <c r="X35" s="265" t="n"/>
      <c r="Y35" s="265" t="n"/>
      <c r="Z35" s="265" t="n"/>
      <c r="AB35" s="266" t="n"/>
      <c r="AC35" s="266" t="n"/>
      <c r="AD35" s="266" t="n"/>
      <c r="AE35" s="266" t="n"/>
      <c r="AF35" s="266" t="n"/>
      <c r="AG35" s="266" t="n"/>
      <c r="AH35" s="266" t="n"/>
      <c r="AI35" s="266" t="n"/>
      <c r="AJ35" s="266" t="n"/>
      <c r="AK35" s="266" t="n"/>
      <c r="AL35" s="266" t="n"/>
    </row>
    <row r="36" ht="15.75" customHeight="1" s="397">
      <c r="B36" s="264" t="n">
        <v>28</v>
      </c>
      <c r="C36" s="264" t="inlineStr">
        <is>
          <t>Tue</t>
        </is>
      </c>
      <c r="D36" s="265" t="n">
        <v>17.57109389323253</v>
      </c>
      <c r="E36" s="265" t="n">
        <v>0.268807408904089</v>
      </c>
      <c r="F36" s="265" t="n">
        <v>0.2302315292131955</v>
      </c>
      <c r="G36" s="265" t="n">
        <v>0.105531436863551</v>
      </c>
      <c r="H36" s="265" t="n">
        <v>0.2371221985311066</v>
      </c>
      <c r="I36" s="265" t="n">
        <v>0.2558380805956852</v>
      </c>
      <c r="J36" s="265" t="n">
        <v>0.1147322190527497</v>
      </c>
      <c r="K36" s="265" t="n">
        <v>0.9122202236822693</v>
      </c>
      <c r="L36" s="265" t="n">
        <v>1.118045362614539</v>
      </c>
      <c r="M36" s="265" t="n">
        <v>1.191519465078023</v>
      </c>
      <c r="N36" s="265" t="n">
        <v>15.27463173485221</v>
      </c>
      <c r="P36" s="265" t="n"/>
      <c r="Q36" s="265" t="n"/>
      <c r="R36" s="265" t="n"/>
      <c r="S36" s="265" t="n"/>
      <c r="T36" s="265" t="n"/>
      <c r="U36" s="265" t="n"/>
      <c r="V36" s="265" t="n"/>
      <c r="W36" s="265" t="n"/>
      <c r="X36" s="265" t="n"/>
      <c r="Y36" s="265" t="n"/>
      <c r="Z36" s="265" t="n"/>
      <c r="AB36" s="266" t="n"/>
      <c r="AC36" s="266" t="n"/>
      <c r="AD36" s="266" t="n"/>
      <c r="AE36" s="266" t="n"/>
      <c r="AF36" s="266" t="n"/>
      <c r="AG36" s="266" t="n"/>
      <c r="AH36" s="266" t="n"/>
      <c r="AI36" s="266" t="n"/>
      <c r="AJ36" s="266" t="n"/>
      <c r="AK36" s="266" t="n"/>
      <c r="AL36" s="266" t="n"/>
    </row>
    <row r="37" ht="15.75" customHeight="1" s="397">
      <c r="B37" s="264" t="n">
        <v>29</v>
      </c>
      <c r="C37" s="264" t="inlineStr">
        <is>
          <t>Wed</t>
        </is>
      </c>
      <c r="D37" s="265" t="n">
        <v>15.81136788139885</v>
      </c>
      <c r="E37" s="265" t="n">
        <v>0.1919752300567842</v>
      </c>
      <c r="F37" s="265" t="n">
        <v>0.1746587403854341</v>
      </c>
      <c r="G37" s="265" t="n">
        <v>0.09920681281145065</v>
      </c>
      <c r="H37" s="265" t="n">
        <v>0.2470851597226662</v>
      </c>
      <c r="I37" s="265" t="n">
        <v>0.2993355710389437</v>
      </c>
      <c r="J37" s="265" t="n">
        <v>0.1147592739371803</v>
      </c>
      <c r="K37" s="265" t="n">
        <v>1.294634251387353</v>
      </c>
      <c r="L37" s="265" t="n">
        <v>1.634712711175586</v>
      </c>
      <c r="M37" s="265" t="n">
        <v>1.708078373511009</v>
      </c>
      <c r="N37" s="265" t="n">
        <v>16.3898886220301</v>
      </c>
      <c r="P37" s="265" t="n"/>
      <c r="Q37" s="265" t="n"/>
      <c r="R37" s="265" t="n"/>
      <c r="S37" s="265" t="n"/>
      <c r="T37" s="265" t="n"/>
      <c r="U37" s="265" t="n"/>
      <c r="V37" s="265" t="n"/>
      <c r="W37" s="265" t="n"/>
      <c r="X37" s="265" t="n"/>
      <c r="Y37" s="265" t="n"/>
      <c r="Z37" s="265" t="n"/>
      <c r="AB37" s="266" t="n"/>
      <c r="AC37" s="266" t="n"/>
      <c r="AD37" s="266" t="n"/>
      <c r="AE37" s="266" t="n"/>
      <c r="AF37" s="266" t="n"/>
      <c r="AG37" s="266" t="n"/>
      <c r="AH37" s="266" t="n"/>
      <c r="AI37" s="266" t="n"/>
      <c r="AJ37" s="266" t="n"/>
      <c r="AK37" s="266" t="n"/>
      <c r="AL37" s="266" t="n"/>
    </row>
    <row r="38" ht="15.75" customHeight="1" s="397">
      <c r="B38" s="264" t="n">
        <v>30</v>
      </c>
      <c r="C38" s="264" t="inlineStr">
        <is>
          <t>Thu</t>
        </is>
      </c>
      <c r="D38" s="265" t="n">
        <v>17.70587183851455</v>
      </c>
      <c r="E38" s="265" t="n">
        <v>0.2697315259171307</v>
      </c>
      <c r="F38" s="265" t="n">
        <v>0.2271847536676807</v>
      </c>
      <c r="G38" s="265" t="n">
        <v>0.104232640087741</v>
      </c>
      <c r="H38" s="265" t="n">
        <v>0.2462303206159176</v>
      </c>
      <c r="I38" s="265" t="n">
        <v>0.2947567663160435</v>
      </c>
      <c r="J38" s="265" t="n">
        <v>0.1148326208581756</v>
      </c>
      <c r="K38" s="265" t="n">
        <v>1.253037651144419</v>
      </c>
      <c r="L38" s="265" t="n">
        <v>1.578506651840581</v>
      </c>
      <c r="M38" s="265" t="n">
        <v>1.651890334215066</v>
      </c>
      <c r="N38" s="265" t="n">
        <v>17.25651819408927</v>
      </c>
      <c r="P38" s="265" t="n"/>
      <c r="Q38" s="265" t="n"/>
      <c r="R38" s="265" t="n"/>
      <c r="S38" s="265" t="n"/>
      <c r="T38" s="265" t="n"/>
      <c r="U38" s="265" t="n"/>
      <c r="V38" s="265" t="n"/>
      <c r="W38" s="265" t="n"/>
      <c r="X38" s="265" t="n"/>
      <c r="Y38" s="265" t="n"/>
      <c r="Z38" s="265" t="n"/>
      <c r="AB38" s="266" t="n"/>
      <c r="AC38" s="266" t="n"/>
      <c r="AD38" s="266" t="n"/>
      <c r="AE38" s="266" t="n"/>
      <c r="AF38" s="266" t="n"/>
      <c r="AG38" s="266" t="n"/>
      <c r="AH38" s="266" t="n"/>
      <c r="AI38" s="266" t="n"/>
      <c r="AJ38" s="266" t="n"/>
      <c r="AK38" s="266" t="n"/>
      <c r="AL38" s="266" t="n"/>
    </row>
    <row r="39" ht="15.75" customHeight="1" s="397">
      <c r="B39" s="264" t="n">
        <v>31</v>
      </c>
      <c r="C39" s="264" t="inlineStr">
        <is>
          <t>Fri</t>
        </is>
      </c>
      <c r="D39" s="265" t="n">
        <v>14.64284877890307</v>
      </c>
      <c r="E39" s="265" t="n">
        <v>0.1841260251170214</v>
      </c>
      <c r="F39" s="265" t="n">
        <v>0.1677695115374791</v>
      </c>
      <c r="G39" s="265" t="n">
        <v>0.09583367953365242</v>
      </c>
      <c r="H39" s="265" t="n">
        <v>0.2290909307175046</v>
      </c>
      <c r="I39" s="265" t="n">
        <v>0.2509364299757375</v>
      </c>
      <c r="J39" s="265" t="n">
        <v>0.1122970218679649</v>
      </c>
      <c r="K39" s="265" t="n">
        <v>0.9078471534893613</v>
      </c>
      <c r="L39" s="265" t="n">
        <v>1.132451131149548</v>
      </c>
      <c r="M39" s="265" t="n">
        <v>1.209431882606849</v>
      </c>
      <c r="N39" s="265" t="n">
        <v>14.77685308368702</v>
      </c>
      <c r="P39" s="265" t="n"/>
      <c r="Q39" s="265" t="n"/>
      <c r="R39" s="265" t="n"/>
      <c r="S39" s="265" t="n"/>
      <c r="T39" s="265" t="n"/>
      <c r="U39" s="265" t="n"/>
      <c r="V39" s="265" t="n"/>
      <c r="W39" s="265" t="n"/>
      <c r="X39" s="265" t="n"/>
      <c r="Y39" s="265" t="n"/>
      <c r="Z39" s="265" t="n"/>
      <c r="AB39" s="266" t="n"/>
      <c r="AC39" s="266" t="n"/>
      <c r="AD39" s="266" t="n"/>
      <c r="AE39" s="266" t="n"/>
      <c r="AF39" s="266" t="n"/>
      <c r="AG39" s="266" t="n"/>
      <c r="AH39" s="266" t="n"/>
      <c r="AI39" s="266" t="n"/>
      <c r="AJ39" s="266" t="n"/>
      <c r="AK39" s="266" t="n"/>
      <c r="AL39" s="266" t="n"/>
    </row>
    <row r="40" ht="15.75" customHeight="1" s="397">
      <c r="B40" s="264" t="n">
        <v>32</v>
      </c>
      <c r="C40" s="264" t="inlineStr">
        <is>
          <t>Sat</t>
        </is>
      </c>
      <c r="D40" s="265" t="n">
        <v>14.64773437103144</v>
      </c>
      <c r="E40" s="265" t="n">
        <v>0.188801460205865</v>
      </c>
      <c r="F40" s="265" t="n">
        <v>0.1877021599122096</v>
      </c>
      <c r="G40" s="265" t="n">
        <v>0.09704783488858511</v>
      </c>
      <c r="H40" s="265" t="n">
        <v>0.2791073919124419</v>
      </c>
      <c r="I40" s="265" t="n">
        <v>0.2505895119706534</v>
      </c>
      <c r="J40" s="265" t="n">
        <v>0.132650001259709</v>
      </c>
      <c r="K40" s="265" t="n">
        <v>0.5789985591159803</v>
      </c>
      <c r="L40" s="265" t="n">
        <v>0.7004285984985903</v>
      </c>
      <c r="M40" s="265" t="n">
        <v>0.8153663792370768</v>
      </c>
      <c r="N40" s="265" t="n">
        <v>17.65819931760667</v>
      </c>
      <c r="P40" s="265" t="n"/>
      <c r="Q40" s="265" t="n"/>
      <c r="R40" s="265" t="n"/>
      <c r="S40" s="265" t="n"/>
      <c r="T40" s="265" t="n"/>
      <c r="U40" s="265" t="n"/>
      <c r="V40" s="265" t="n"/>
      <c r="W40" s="265" t="n"/>
      <c r="X40" s="265" t="n"/>
      <c r="Y40" s="265" t="n"/>
      <c r="Z40" s="265" t="n"/>
      <c r="AB40" s="266" t="n"/>
      <c r="AC40" s="266" t="n"/>
      <c r="AD40" s="266" t="n"/>
      <c r="AE40" s="266" t="n"/>
      <c r="AF40" s="266" t="n"/>
      <c r="AG40" s="266" t="n"/>
      <c r="AH40" s="266" t="n"/>
      <c r="AI40" s="266" t="n"/>
      <c r="AJ40" s="266" t="n"/>
      <c r="AK40" s="266" t="n"/>
      <c r="AL40" s="266" t="n"/>
    </row>
    <row r="41" ht="15.75" customHeight="1" s="397">
      <c r="B41" s="264" t="n">
        <v>33</v>
      </c>
      <c r="C41" s="264" t="inlineStr">
        <is>
          <t>Sun</t>
        </is>
      </c>
      <c r="D41" s="265" t="n">
        <v>15.24919967743003</v>
      </c>
      <c r="E41" s="265" t="n">
        <v>0.1994233178598877</v>
      </c>
      <c r="F41" s="265" t="n">
        <v>0.2055659401944356</v>
      </c>
      <c r="G41" s="265" t="n">
        <v>0.09819448590612213</v>
      </c>
      <c r="H41" s="265" t="n">
        <v>0.328756370856313</v>
      </c>
      <c r="I41" s="265" t="n">
        <v>0.2831462882296262</v>
      </c>
      <c r="J41" s="265" t="n">
        <v>0.1523556067844599</v>
      </c>
      <c r="K41" s="265" t="n">
        <v>0.5789985591159803</v>
      </c>
      <c r="L41" s="265" t="n">
        <v>0.7101506440489902</v>
      </c>
      <c r="M41" s="265" t="n">
        <v>0.8550508627822972</v>
      </c>
      <c r="N41" s="265" t="n">
        <v>24.13001408919097</v>
      </c>
      <c r="P41" s="265" t="n"/>
      <c r="Q41" s="265" t="n"/>
      <c r="R41" s="265" t="n"/>
      <c r="S41" s="265" t="n"/>
      <c r="T41" s="265" t="n"/>
      <c r="U41" s="265" t="n"/>
      <c r="V41" s="265" t="n"/>
      <c r="W41" s="265" t="n"/>
      <c r="X41" s="265" t="n"/>
      <c r="Y41" s="265" t="n"/>
      <c r="Z41" s="265" t="n"/>
      <c r="AB41" s="266" t="n"/>
      <c r="AC41" s="266" t="n"/>
      <c r="AD41" s="266" t="n"/>
      <c r="AE41" s="266" t="n"/>
      <c r="AF41" s="266" t="n"/>
      <c r="AG41" s="266" t="n"/>
      <c r="AH41" s="266" t="n"/>
      <c r="AI41" s="266" t="n"/>
      <c r="AJ41" s="266" t="n"/>
      <c r="AK41" s="266" t="n"/>
      <c r="AL41" s="266" t="n"/>
    </row>
    <row r="42" ht="15.75" customHeight="1" s="397">
      <c r="B42" s="141" t="inlineStr">
        <is>
          <t>TOTAL</t>
        </is>
      </c>
      <c r="C42" s="267" t="n"/>
      <c r="D42" s="268">
        <f>SUM(D9:D41)</f>
        <v/>
      </c>
      <c r="E42" s="268">
        <f>SUM(E9:E41)</f>
        <v/>
      </c>
      <c r="F42" s="268">
        <f>SUM(F9:F41)</f>
        <v/>
      </c>
      <c r="G42" s="268">
        <f>SUM(G9:G41)</f>
        <v/>
      </c>
      <c r="H42" s="268">
        <f>SUM(H9:H41)</f>
        <v/>
      </c>
      <c r="I42" s="268">
        <f>SUM(I9:I41)</f>
        <v/>
      </c>
      <c r="J42" s="268">
        <f>SUM(J9:J41)</f>
        <v/>
      </c>
      <c r="K42" s="268">
        <f>SUM(K9:K41)</f>
        <v/>
      </c>
      <c r="L42" s="268">
        <f>SUM(L9:L41)</f>
        <v/>
      </c>
      <c r="M42" s="268">
        <f>SUM(M9:M41)</f>
        <v/>
      </c>
      <c r="N42" s="268">
        <f>SUM(N9:N41)</f>
        <v/>
      </c>
      <c r="P42" s="269">
        <f>SUM(P9:P41)</f>
        <v/>
      </c>
      <c r="Q42" s="269">
        <f>SUM(Q9:Q41)</f>
        <v/>
      </c>
      <c r="R42" s="269">
        <f>SUM(R9:R41)</f>
        <v/>
      </c>
      <c r="S42" s="269">
        <f>SUM(S9:S41)</f>
        <v/>
      </c>
      <c r="T42" s="269">
        <f>SUM(T9:T41)</f>
        <v/>
      </c>
      <c r="U42" s="269">
        <f>SUM(U9:U41)</f>
        <v/>
      </c>
      <c r="V42" s="269">
        <f>SUM(V9:V41)</f>
        <v/>
      </c>
      <c r="W42" s="269">
        <f>SUM(W9:W41)</f>
        <v/>
      </c>
      <c r="X42" s="269">
        <f>SUM(X9:X41)</f>
        <v/>
      </c>
      <c r="Y42" s="269">
        <f>SUM(Y9:Y41)</f>
        <v/>
      </c>
      <c r="Z42" s="269">
        <f>SUM(Z9:Z41)</f>
        <v/>
      </c>
      <c r="AB42" s="270">
        <f>SUM(AB9:AB41)</f>
        <v/>
      </c>
      <c r="AC42" s="270">
        <f>SUM(AC9:AC41)</f>
        <v/>
      </c>
      <c r="AD42" s="270">
        <f>SUM(AD9:AD41)</f>
        <v/>
      </c>
      <c r="AE42" s="270">
        <f>SUM(AE9:AE41)</f>
        <v/>
      </c>
      <c r="AF42" s="270">
        <f>SUM(AF9:AF41)</f>
        <v/>
      </c>
      <c r="AG42" s="270">
        <f>SUM(AG9:AG41)</f>
        <v/>
      </c>
      <c r="AH42" s="270">
        <f>SUM(AH9:AH41)</f>
        <v/>
      </c>
      <c r="AI42" s="270">
        <f>SUM(AI9:AI41)</f>
        <v/>
      </c>
      <c r="AJ42" s="270">
        <f>SUM(AJ9:AJ41)</f>
        <v/>
      </c>
      <c r="AK42" s="270">
        <f>SUM(AK9:AK41)</f>
        <v/>
      </c>
      <c r="AL42" s="270">
        <f>SUM(AL9:AL41)</f>
        <v/>
      </c>
    </row>
    <row r="43" ht="15.75" customHeight="1" s="397"/>
    <row r="44" hidden="1" ht="15.75" customHeight="1" s="397">
      <c r="B44" s="271" t="inlineStr">
        <is>
          <t>LEGEND / ALLOCATION RULES (claim-day realistic - EcoGainsSim_Daily.gs)</t>
        </is>
      </c>
    </row>
    <row r="45" hidden="1" ht="15.75" customHeight="1" s="397">
      <c r="B45" s="272" t="inlineStr">
        <is>
          <t>Window totals are exactly the main sim’s numbers (CURRENT = measured on cal_curr, NEW = simulated on cal_new); this view only places them on days - column TOTALs reconcile with EcoGainsSim_HC.</t>
        </is>
      </c>
    </row>
    <row r="46" hidden="1" ht="15.75" customHeight="1" s="397">
      <c r="B46" s="272" t="inlineStr">
        <is>
          <t>Leaderboard events (Bomb/Chuck/Red Challenge, Level Race, Flash Race, Target Day, Kite) pay on each instance’s LAST day → expect end-day spikes. Instance slices are split by reach.</t>
        </is>
      </c>
    </row>
    <row r="47" hidden="1" ht="15.75" customHeight="1" s="397">
      <c r="B47" s="272" t="inlineStr">
        <is>
          <t>Collections (Hatchling Hideaway, Bomb’s Ballet, Jigsaw, Photoshoot) spread across instance days by the accrual curve’s marginal share; Rainbow Maker spreads ∝ active rate within its instances (no curve - flagged).</t>
        </is>
      </c>
    </row>
    <row r="48" hidden="1" ht="15.75" customHeight="1" s="397">
      <c r="B48" s="272" t="inlineStr">
        <is>
          <t>Core / Saga / Daily Gift pay daily ∝ weekday/weekend active rate; Night Sky over its daily instances. Non-calendar sources (Ads, Teams, Season Pass, Other, IAPs; River Rush current side) are flat ÷33 - their DIFF is uniform.</t>
        </is>
      </c>
    </row>
    <row r="49" hidden="1" ht="15.75" customHeight="1" s="397">
      <c r="B49" s="272" t="inlineStr">
        <is>
          <t>Weekend rows (Fri/Sat/Sun) are tinted. Filters: Payer / Segment / Source - Source=ALL sums every category; pick one to isolate its daily contribution.</t>
        </is>
      </c>
    </row>
    <row r="50" ht="15.75" customHeight="1" s="397"/>
    <row r="51" ht="15.75" customHeight="1" s="397"/>
    <row r="52" ht="15.75" customHeight="1" s="397"/>
    <row r="53" ht="15.75" customHeight="1" s="397"/>
    <row r="54" ht="15.75" customHeight="1" s="397"/>
    <row r="55" ht="15.75" customHeight="1" s="397"/>
    <row r="56" ht="15.75" customHeight="1" s="397"/>
    <row r="57" ht="15.75" customHeight="1" s="397"/>
    <row r="58" ht="15.75" customHeight="1" s="397"/>
    <row r="59" ht="15.75" customHeight="1" s="397"/>
    <row r="60" ht="15.75" customHeight="1" s="397"/>
    <row r="61" ht="15.75" customHeight="1" s="397"/>
    <row r="62" ht="15.75" customHeight="1" s="397"/>
    <row r="63" ht="15.75" customHeight="1" s="397"/>
    <row r="64" ht="15.75" customHeight="1" s="397"/>
    <row r="65" ht="15.75" customHeight="1" s="397"/>
    <row r="66" ht="15.75" customHeight="1" s="397"/>
    <row r="67" ht="15.75" customHeight="1" s="397"/>
    <row r="68" ht="15.75" customHeight="1" s="397"/>
    <row r="69" ht="15.75" customHeight="1" s="397"/>
    <row r="70" ht="15.75" customHeight="1" s="397"/>
    <row r="71" ht="15.75" customHeight="1" s="397"/>
    <row r="72" ht="15.75" customHeight="1" s="397"/>
    <row r="73" ht="15.75" customHeight="1" s="397"/>
    <row r="74" ht="15.75" customHeight="1" s="397"/>
    <row r="75" ht="15.75" customHeight="1" s="397"/>
    <row r="76" ht="15.75" customHeight="1" s="397"/>
    <row r="77" ht="15.75" customHeight="1" s="397"/>
    <row r="78" ht="15.75" customHeight="1" s="397"/>
    <row r="79" ht="15.75" customHeight="1" s="397"/>
    <row r="80" ht="15.75" customHeight="1" s="397"/>
    <row r="81" ht="15.75" customHeight="1" s="397"/>
    <row r="82" ht="15.75" customHeight="1" s="397"/>
    <row r="83" ht="15.75" customHeight="1" s="397"/>
    <row r="84" ht="15.75" customHeight="1" s="397"/>
    <row r="85" ht="15.75" customHeight="1" s="397"/>
    <row r="86" ht="15.75" customHeight="1" s="397"/>
    <row r="87" ht="15.75" customHeight="1" s="397"/>
    <row r="88" ht="15.75" customHeight="1" s="397"/>
    <row r="89" ht="15.75" customHeight="1" s="397"/>
    <row r="90" ht="15.75" customHeight="1" s="397"/>
    <row r="91" ht="15.75" customHeight="1" s="397"/>
    <row r="92" ht="15.75" customHeight="1" s="397"/>
    <row r="93" ht="15.75" customHeight="1" s="397"/>
    <row r="94" ht="15.75" customHeight="1" s="397"/>
    <row r="95" ht="15.75" customHeight="1" s="397"/>
    <row r="96" ht="15.75" customHeight="1" s="397"/>
    <row r="97" ht="15.75" customHeight="1" s="397"/>
    <row r="98" ht="15.75" customHeight="1" s="397"/>
    <row r="99" ht="15.75" customHeight="1" s="397"/>
    <row r="100" ht="15.75" customHeight="1" s="397"/>
    <row r="101" ht="15.75" customHeight="1" s="397"/>
    <row r="102" ht="15.75" customHeight="1" s="397"/>
    <row r="103" ht="15.75" customHeight="1" s="397"/>
    <row r="104" ht="15.75" customHeight="1" s="397"/>
    <row r="105" ht="15.75" customHeight="1" s="397"/>
    <row r="106" ht="15.75" customHeight="1" s="397"/>
    <row r="107" ht="15.75" customHeight="1" s="397"/>
    <row r="108" ht="15.75" customHeight="1" s="397"/>
    <row r="109" ht="15.75" customHeight="1" s="397"/>
    <row r="110" ht="15.75" customHeight="1" s="397"/>
    <row r="111" ht="15.75" customHeight="1" s="397"/>
    <row r="112" ht="15.75" customHeight="1" s="397"/>
    <row r="113" ht="15.75" customHeight="1" s="397"/>
    <row r="114" ht="15.75" customHeight="1" s="397"/>
    <row r="115" ht="15.75" customHeight="1" s="397"/>
    <row r="116" ht="15.75" customHeight="1" s="397"/>
    <row r="117" ht="15.75" customHeight="1" s="397"/>
    <row r="118" ht="15.75" customHeight="1" s="397"/>
    <row r="119" ht="15.75" customHeight="1" s="397"/>
    <row r="120" ht="15.75" customHeight="1" s="397"/>
    <row r="121" ht="15.75" customHeight="1" s="397"/>
    <row r="122" ht="15.75" customHeight="1" s="397"/>
    <row r="123" ht="15.75" customHeight="1" s="397"/>
    <row r="124" ht="15.75" customHeight="1" s="397"/>
    <row r="125" ht="15.75" customHeight="1" s="397"/>
    <row r="126" ht="15.75" customHeight="1" s="397"/>
    <row r="127" ht="15.75" customHeight="1" s="397"/>
    <row r="128" ht="15.75" customHeight="1" s="397"/>
    <row r="129" ht="15.75" customHeight="1" s="397"/>
    <row r="130" ht="15.75" customHeight="1" s="397"/>
    <row r="131" ht="15.75" customHeight="1" s="397"/>
    <row r="132" ht="15.75" customHeight="1" s="397"/>
    <row r="133" ht="15.75" customHeight="1" s="397"/>
    <row r="134" ht="15.75" customHeight="1" s="397"/>
    <row r="135" ht="15.75" customHeight="1" s="397"/>
    <row r="136" ht="15.75" customHeight="1" s="397"/>
    <row r="137" ht="15.75" customHeight="1" s="397"/>
    <row r="138" ht="15.75" customHeight="1" s="397"/>
    <row r="139" ht="15.75" customHeight="1" s="397"/>
    <row r="140" ht="15.75" customHeight="1" s="397"/>
    <row r="141" ht="15.75" customHeight="1" s="397"/>
    <row r="142" ht="15.75" customHeight="1" s="397"/>
    <row r="143" ht="15.75" customHeight="1" s="397"/>
    <row r="144" ht="15.75" customHeight="1" s="397"/>
    <row r="145" ht="15.75" customHeight="1" s="397"/>
    <row r="146" ht="15.75" customHeight="1" s="397"/>
    <row r="147" ht="15.75" customHeight="1" s="397"/>
    <row r="148" ht="15.75" customHeight="1" s="397"/>
    <row r="149" ht="15.75" customHeight="1" s="397"/>
    <row r="150" ht="15.75" customHeight="1" s="397"/>
    <row r="151" ht="15.75" customHeight="1" s="397"/>
    <row r="152" ht="15.75" customHeight="1" s="397"/>
    <row r="153" ht="15.75" customHeight="1" s="397"/>
    <row r="154" ht="15.75" customHeight="1" s="397"/>
    <row r="155" ht="15.75" customHeight="1" s="397"/>
    <row r="156" ht="15.75" customHeight="1" s="397"/>
    <row r="157" ht="15.75" customHeight="1" s="397"/>
    <row r="158" ht="15.75" customHeight="1" s="397"/>
    <row r="159" ht="15.75" customHeight="1" s="397"/>
    <row r="160" ht="15.75" customHeight="1" s="397"/>
    <row r="161" ht="15.75" customHeight="1" s="397"/>
    <row r="162" ht="15.75" customHeight="1" s="397"/>
    <row r="163" ht="15.75" customHeight="1" s="397"/>
    <row r="164" ht="15.75" customHeight="1" s="397"/>
    <row r="165" ht="15.75" customHeight="1" s="397"/>
    <row r="166" ht="15.75" customHeight="1" s="397"/>
    <row r="167" ht="15.75" customHeight="1" s="397"/>
    <row r="168" ht="15.75" customHeight="1" s="397"/>
    <row r="169" ht="15.75" customHeight="1" s="397"/>
    <row r="170" ht="15.75" customHeight="1" s="397"/>
    <row r="171" ht="15.75" customHeight="1" s="397"/>
    <row r="172" ht="15.75" customHeight="1" s="397"/>
    <row r="173" ht="15.75" customHeight="1" s="397"/>
    <row r="174" ht="15.75" customHeight="1" s="397"/>
    <row r="175" ht="15.75" customHeight="1" s="397"/>
    <row r="176" ht="15.75" customHeight="1" s="397"/>
    <row r="177" ht="15.75" customHeight="1" s="397"/>
    <row r="178" ht="15.75" customHeight="1" s="397"/>
    <row r="179" ht="15.75" customHeight="1" s="397"/>
    <row r="180" ht="15.75" customHeight="1" s="397"/>
    <row r="181" ht="15.75" customHeight="1" s="397"/>
    <row r="182" ht="15.75" customHeight="1" s="397"/>
    <row r="183" ht="15.75" customHeight="1" s="397"/>
    <row r="184" ht="15.75" customHeight="1" s="397"/>
    <row r="185" ht="15.75" customHeight="1" s="397"/>
    <row r="186" ht="15.75" customHeight="1" s="397"/>
    <row r="187" ht="15.75" customHeight="1" s="397"/>
    <row r="188" ht="15.75" customHeight="1" s="397"/>
    <row r="189" ht="15.75" customHeight="1" s="397"/>
    <row r="190" ht="15.75" customHeight="1" s="397"/>
    <row r="191" ht="15.75" customHeight="1" s="397"/>
    <row r="192" ht="15.75" customHeight="1" s="397"/>
    <row r="193" ht="15.75" customHeight="1" s="397"/>
    <row r="194" ht="15.75" customHeight="1" s="397"/>
    <row r="195" ht="15.75" customHeight="1" s="397"/>
    <row r="196" ht="15.75" customHeight="1" s="397"/>
    <row r="197" ht="15.75" customHeight="1" s="397"/>
    <row r="198" ht="15.75" customHeight="1" s="397"/>
    <row r="199" ht="15.75" customHeight="1" s="397"/>
    <row r="200" ht="15.75" customHeight="1" s="397"/>
    <row r="201" ht="15.75" customHeight="1" s="397"/>
    <row r="202" ht="15.75" customHeight="1" s="397"/>
    <row r="203" ht="15.75" customHeight="1" s="397"/>
    <row r="204" ht="15.75" customHeight="1" s="397"/>
    <row r="205" ht="15.75" customHeight="1" s="397"/>
    <row r="206" ht="15.75" customHeight="1" s="397"/>
    <row r="207" ht="15.75" customHeight="1" s="397"/>
    <row r="208" ht="15.75" customHeight="1" s="397"/>
    <row r="209" ht="15.75" customHeight="1" s="397"/>
    <row r="210" ht="15.75" customHeight="1" s="397"/>
    <row r="211" ht="15.75" customHeight="1" s="397"/>
    <row r="212" ht="15.75" customHeight="1" s="397"/>
    <row r="213" ht="15.75" customHeight="1" s="397"/>
    <row r="214" ht="15.75" customHeight="1" s="397"/>
    <row r="215" ht="15.75" customHeight="1" s="397"/>
    <row r="216" ht="15.75" customHeight="1" s="397"/>
    <row r="217" ht="15.75" customHeight="1" s="397"/>
    <row r="218" ht="15.75" customHeight="1" s="397"/>
    <row r="219" ht="15.75" customHeight="1" s="397"/>
    <row r="220" ht="15.75" customHeight="1" s="397"/>
    <row r="221" ht="15.75" customHeight="1" s="397"/>
    <row r="222" ht="15.75" customHeight="1" s="397"/>
    <row r="223" ht="15.75" customHeight="1" s="397"/>
    <row r="224" ht="15.75" customHeight="1" s="397"/>
    <row r="225" ht="15.75" customHeight="1" s="397"/>
    <row r="226" ht="15.75" customHeight="1" s="397"/>
    <row r="227" ht="15.75" customHeight="1" s="397"/>
    <row r="228" ht="15.75" customHeight="1" s="397"/>
    <row r="229" ht="15.75" customHeight="1" s="397"/>
    <row r="230" ht="15.75" customHeight="1" s="397"/>
    <row r="231" ht="15.75" customHeight="1" s="397"/>
    <row r="232" ht="15.75" customHeight="1" s="397"/>
    <row r="233" ht="15.75" customHeight="1" s="397"/>
    <row r="234" ht="15.75" customHeight="1" s="397"/>
    <row r="235" ht="15.75" customHeight="1" s="397"/>
    <row r="236" ht="15.75" customHeight="1" s="397"/>
    <row r="237" ht="15.75" customHeight="1" s="397"/>
    <row r="238" ht="15.75" customHeight="1" s="397"/>
    <row r="239" ht="15.75" customHeight="1" s="397"/>
    <row r="240" ht="15.75" customHeight="1" s="397"/>
    <row r="241" ht="15.75" customHeight="1" s="397"/>
    <row r="242" ht="15.75" customHeight="1" s="397"/>
    <row r="243" ht="15.75" customHeight="1" s="397"/>
    <row r="244" ht="15.75" customHeight="1" s="397"/>
    <row r="245" ht="15.75" customHeight="1" s="397"/>
    <row r="246" ht="15.75" customHeight="1" s="397"/>
    <row r="247" ht="15.75" customHeight="1" s="397"/>
    <row r="248" ht="15.75" customHeight="1" s="397"/>
    <row r="249" ht="15.75" customHeight="1" s="397"/>
    <row r="250" ht="15.75" customHeight="1" s="397"/>
    <row r="251" ht="15.75" customHeight="1" s="397"/>
    <row r="252" ht="15.75" customHeight="1" s="397"/>
    <row r="253" ht="15.75" customHeight="1" s="397"/>
    <row r="254" ht="15.75" customHeight="1" s="397"/>
    <row r="255" ht="15.75" customHeight="1" s="397"/>
    <row r="256" ht="15.75" customHeight="1" s="397"/>
    <row r="257" ht="15.75" customHeight="1" s="397"/>
    <row r="258" ht="15.75" customHeight="1" s="397"/>
    <row r="259" ht="15.75" customHeight="1" s="397"/>
    <row r="260" ht="15.75" customHeight="1" s="397"/>
    <row r="261" ht="15.75" customHeight="1" s="397"/>
    <row r="262" ht="15.75" customHeight="1" s="397"/>
    <row r="263" ht="15.75" customHeight="1" s="397"/>
    <row r="264" ht="15.75" customHeight="1" s="397"/>
    <row r="265" ht="15.75" customHeight="1" s="397"/>
    <row r="266" ht="15.75" customHeight="1" s="397"/>
    <row r="267" ht="15.75" customHeight="1" s="397"/>
    <row r="268" ht="15.75" customHeight="1" s="397"/>
    <row r="269" ht="15.75" customHeight="1" s="397"/>
    <row r="270" ht="15.75" customHeight="1" s="397"/>
    <row r="271" ht="15.75" customHeight="1" s="397"/>
    <row r="272" ht="15.75" customHeight="1" s="397"/>
    <row r="273" ht="15.75" customHeight="1" s="397"/>
    <row r="274" ht="15.75" customHeight="1" s="397"/>
    <row r="275" ht="15.75" customHeight="1" s="397"/>
    <row r="276" ht="15.75" customHeight="1" s="397"/>
    <row r="277" ht="15.75" customHeight="1" s="397"/>
    <row r="278" ht="15.75" customHeight="1" s="397"/>
    <row r="279" ht="15.75" customHeight="1" s="397"/>
    <row r="280" ht="15.75" customHeight="1" s="397"/>
    <row r="281" ht="15.75" customHeight="1" s="397"/>
    <row r="282" ht="15.75" customHeight="1" s="397"/>
    <row r="283" ht="15.75" customHeight="1" s="397"/>
    <row r="284" ht="15.75" customHeight="1" s="397"/>
    <row r="285" ht="15.75" customHeight="1" s="397"/>
    <row r="286" ht="15.75" customHeight="1" s="397"/>
    <row r="287" ht="15.75" customHeight="1" s="397"/>
    <row r="288" ht="15.75" customHeight="1" s="397"/>
    <row r="289" ht="15.75" customHeight="1" s="397"/>
    <row r="290" ht="15.75" customHeight="1" s="397"/>
    <row r="291" ht="15.75" customHeight="1" s="397"/>
    <row r="292" ht="15.75" customHeight="1" s="397"/>
    <row r="293" ht="15.75" customHeight="1" s="397"/>
    <row r="294" ht="15.75" customHeight="1" s="397"/>
    <row r="295" ht="15.75" customHeight="1" s="397"/>
    <row r="296" ht="15.75" customHeight="1" s="397"/>
    <row r="297" ht="15.75" customHeight="1" s="397"/>
    <row r="298" ht="15.75" customHeight="1" s="397"/>
    <row r="299" ht="15.75" customHeight="1" s="397"/>
    <row r="300" ht="15.75" customHeight="1" s="397"/>
    <row r="301" ht="15.75" customHeight="1" s="397"/>
    <row r="302" ht="15.75" customHeight="1" s="397"/>
    <row r="303" ht="15.75" customHeight="1" s="397"/>
    <row r="304" ht="15.75" customHeight="1" s="397"/>
    <row r="305" ht="15.75" customHeight="1" s="397"/>
    <row r="306" ht="15.75" customHeight="1" s="397"/>
    <row r="307" ht="15.75" customHeight="1" s="397"/>
    <row r="308" ht="15.75" customHeight="1" s="397"/>
    <row r="309" ht="15.75" customHeight="1" s="397"/>
    <row r="310" ht="15.75" customHeight="1" s="397"/>
    <row r="311" ht="15.75" customHeight="1" s="397"/>
    <row r="312" ht="15.75" customHeight="1" s="397"/>
    <row r="313" ht="15.75" customHeight="1" s="397"/>
    <row r="314" ht="15.75" customHeight="1" s="397"/>
    <row r="315" ht="15.75" customHeight="1" s="397"/>
    <row r="316" ht="15.75" customHeight="1" s="397"/>
    <row r="317" ht="15.75" customHeight="1" s="397"/>
    <row r="318" ht="15.75" customHeight="1" s="397"/>
    <row r="319" ht="15.75" customHeight="1" s="397"/>
    <row r="320" ht="15.75" customHeight="1" s="397"/>
    <row r="321" ht="15.75" customHeight="1" s="397"/>
    <row r="322" ht="15.75" customHeight="1" s="397"/>
    <row r="323" ht="15.75" customHeight="1" s="397"/>
    <row r="324" ht="15.75" customHeight="1" s="397"/>
    <row r="325" ht="15.75" customHeight="1" s="397"/>
    <row r="326" ht="15.75" customHeight="1" s="397"/>
    <row r="327" ht="15.75" customHeight="1" s="397"/>
    <row r="328" ht="15.75" customHeight="1" s="397"/>
    <row r="329" ht="15.75" customHeight="1" s="397"/>
    <row r="330" ht="15.75" customHeight="1" s="397"/>
    <row r="331" ht="15.75" customHeight="1" s="397"/>
    <row r="332" ht="15.75" customHeight="1" s="397"/>
    <row r="333" ht="15.75" customHeight="1" s="397"/>
    <row r="334" ht="15.75" customHeight="1" s="397"/>
    <row r="335" ht="15.75" customHeight="1" s="397"/>
    <row r="336" ht="15.75" customHeight="1" s="397"/>
    <row r="337" ht="15.75" customHeight="1" s="397"/>
    <row r="338" ht="15.75" customHeight="1" s="397"/>
    <row r="339" ht="15.75" customHeight="1" s="397"/>
    <row r="340" ht="15.75" customHeight="1" s="397"/>
    <row r="341" ht="15.75" customHeight="1" s="397"/>
    <row r="342" ht="15.75" customHeight="1" s="397"/>
    <row r="343" ht="15.75" customHeight="1" s="397"/>
    <row r="344" ht="15.75" customHeight="1" s="397"/>
    <row r="345" ht="15.75" customHeight="1" s="397"/>
    <row r="346" ht="15.75" customHeight="1" s="397"/>
    <row r="347" ht="15.75" customHeight="1" s="397"/>
    <row r="348" ht="15.75" customHeight="1" s="397"/>
    <row r="349" ht="15.75" customHeight="1" s="397"/>
    <row r="350" ht="15.75" customHeight="1" s="397"/>
    <row r="351" ht="15.75" customHeight="1" s="397"/>
    <row r="352" ht="15.75" customHeight="1" s="397"/>
    <row r="353" ht="15.75" customHeight="1" s="397"/>
    <row r="354" ht="15.75" customHeight="1" s="397"/>
    <row r="355" ht="15.75" customHeight="1" s="397"/>
    <row r="356" ht="15.75" customHeight="1" s="397"/>
    <row r="357" ht="15.75" customHeight="1" s="397"/>
    <row r="358" ht="15.75" customHeight="1" s="397"/>
    <row r="359" ht="15.75" customHeight="1" s="397"/>
    <row r="360" ht="15.75" customHeight="1" s="397"/>
    <row r="361" ht="15.75" customHeight="1" s="397"/>
    <row r="362" ht="15.75" customHeight="1" s="397"/>
    <row r="363" ht="15.75" customHeight="1" s="397"/>
    <row r="364" ht="15.75" customHeight="1" s="397"/>
    <row r="365" ht="15.75" customHeight="1" s="397"/>
    <row r="366" ht="15.75" customHeight="1" s="397"/>
    <row r="367" ht="15.75" customHeight="1" s="397"/>
    <row r="368" ht="15.75" customHeight="1" s="397"/>
    <row r="369" ht="15.75" customHeight="1" s="397"/>
    <row r="370" ht="15.75" customHeight="1" s="397"/>
    <row r="371" ht="15.75" customHeight="1" s="397"/>
    <row r="372" ht="15.75" customHeight="1" s="397"/>
    <row r="373" ht="15.75" customHeight="1" s="397"/>
    <row r="374" ht="15.75" customHeight="1" s="397"/>
    <row r="375" ht="15.75" customHeight="1" s="397"/>
    <row r="376" ht="15.75" customHeight="1" s="397"/>
    <row r="377" ht="15.75" customHeight="1" s="397"/>
    <row r="378" ht="15.75" customHeight="1" s="397"/>
    <row r="379" ht="15.75" customHeight="1" s="397"/>
    <row r="380" ht="15.75" customHeight="1" s="397"/>
    <row r="381" ht="15.75" customHeight="1" s="397"/>
    <row r="382" ht="15.75" customHeight="1" s="397"/>
    <row r="383" ht="15.75" customHeight="1" s="397"/>
    <row r="384" ht="15.75" customHeight="1" s="397"/>
    <row r="385" ht="15.75" customHeight="1" s="397"/>
    <row r="386" ht="15.75" customHeight="1" s="397"/>
    <row r="387" ht="15.75" customHeight="1" s="397"/>
    <row r="388" ht="15.75" customHeight="1" s="397"/>
    <row r="389" ht="15.75" customHeight="1" s="397"/>
    <row r="390" ht="15.75" customHeight="1" s="397"/>
    <row r="391" ht="15.75" customHeight="1" s="397"/>
    <row r="392" ht="15.75" customHeight="1" s="397"/>
    <row r="393" ht="15.75" customHeight="1" s="397"/>
    <row r="394" ht="15.75" customHeight="1" s="397"/>
    <row r="395" ht="15.75" customHeight="1" s="397"/>
    <row r="396" ht="15.75" customHeight="1" s="397"/>
    <row r="397" ht="15.75" customHeight="1" s="397"/>
    <row r="398" ht="15.75" customHeight="1" s="397"/>
    <row r="399" ht="15.75" customHeight="1" s="397"/>
    <row r="400" ht="15.75" customHeight="1" s="397"/>
    <row r="401" ht="15.75" customHeight="1" s="397"/>
    <row r="402" ht="15.75" customHeight="1" s="397"/>
    <row r="403" ht="15.75" customHeight="1" s="397"/>
    <row r="404" ht="15.75" customHeight="1" s="397"/>
    <row r="405" ht="15.75" customHeight="1" s="397"/>
    <row r="406" ht="15.75" customHeight="1" s="397"/>
    <row r="407" ht="15.75" customHeight="1" s="397"/>
    <row r="408" ht="15.75" customHeight="1" s="397"/>
    <row r="409" ht="15.75" customHeight="1" s="397"/>
    <row r="410" ht="15.75" customHeight="1" s="397"/>
    <row r="411" ht="15.75" customHeight="1" s="397"/>
    <row r="412" ht="15.75" customHeight="1" s="397"/>
    <row r="413" ht="15.75" customHeight="1" s="397"/>
    <row r="414" ht="15.75" customHeight="1" s="397"/>
    <row r="415" ht="15.75" customHeight="1" s="397"/>
    <row r="416" ht="15.75" customHeight="1" s="397"/>
    <row r="417" ht="15.75" customHeight="1" s="397"/>
    <row r="418" ht="15.75" customHeight="1" s="397"/>
    <row r="419" ht="15.75" customHeight="1" s="397"/>
    <row r="420" ht="15.75" customHeight="1" s="397"/>
    <row r="421" ht="15.75" customHeight="1" s="397"/>
    <row r="422" ht="15.75" customHeight="1" s="397"/>
    <row r="423" ht="15.75" customHeight="1" s="397"/>
    <row r="424" ht="15.75" customHeight="1" s="397"/>
    <row r="425" ht="15.75" customHeight="1" s="397"/>
    <row r="426" ht="15.75" customHeight="1" s="397"/>
    <row r="427" ht="15.75" customHeight="1" s="397"/>
    <row r="428" ht="15.75" customHeight="1" s="397"/>
    <row r="429" ht="15.75" customHeight="1" s="397"/>
    <row r="430" ht="15.75" customHeight="1" s="397"/>
    <row r="431" ht="15.75" customHeight="1" s="397"/>
    <row r="432" ht="15.75" customHeight="1" s="397"/>
    <row r="433" ht="15.75" customHeight="1" s="397"/>
    <row r="434" ht="15.75" customHeight="1" s="397"/>
    <row r="435" ht="15.75" customHeight="1" s="397"/>
    <row r="436" ht="15.75" customHeight="1" s="397"/>
    <row r="437" ht="15.75" customHeight="1" s="397"/>
    <row r="438" ht="15.75" customHeight="1" s="397"/>
    <row r="439" ht="15.75" customHeight="1" s="397"/>
    <row r="440" ht="15.75" customHeight="1" s="397"/>
    <row r="441" ht="15.75" customHeight="1" s="397"/>
    <row r="442" ht="15.75" customHeight="1" s="397"/>
    <row r="443" ht="15.75" customHeight="1" s="397"/>
    <row r="444" ht="15.75" customHeight="1" s="397"/>
    <row r="445" ht="15.75" customHeight="1" s="397"/>
    <row r="446" ht="15.75" customHeight="1" s="397"/>
    <row r="447" ht="15.75" customHeight="1" s="397"/>
    <row r="448" ht="15.75" customHeight="1" s="397"/>
    <row r="449" ht="15.75" customHeight="1" s="397"/>
    <row r="450" ht="15.75" customHeight="1" s="397"/>
    <row r="451" ht="15.75" customHeight="1" s="397"/>
    <row r="452" ht="15.75" customHeight="1" s="397"/>
    <row r="453" ht="15.75" customHeight="1" s="397"/>
    <row r="454" ht="15.75" customHeight="1" s="397"/>
    <row r="455" ht="15.75" customHeight="1" s="397"/>
    <row r="456" ht="15.75" customHeight="1" s="397"/>
    <row r="457" ht="15.75" customHeight="1" s="397"/>
    <row r="458" ht="15.75" customHeight="1" s="397"/>
    <row r="459" ht="15.75" customHeight="1" s="397"/>
    <row r="460" ht="15.75" customHeight="1" s="397"/>
    <row r="461" ht="15.75" customHeight="1" s="397"/>
    <row r="462" ht="15.75" customHeight="1" s="397"/>
    <row r="463" ht="15.75" customHeight="1" s="397"/>
    <row r="464" ht="15.75" customHeight="1" s="397"/>
    <row r="465" ht="15.75" customHeight="1" s="397"/>
    <row r="466" ht="15.75" customHeight="1" s="397"/>
    <row r="467" ht="15.75" customHeight="1" s="397"/>
    <row r="468" ht="15.75" customHeight="1" s="397"/>
    <row r="469" ht="15.75" customHeight="1" s="397"/>
    <row r="470" ht="15.75" customHeight="1" s="397"/>
    <row r="471" ht="15.75" customHeight="1" s="397"/>
    <row r="472" ht="15.75" customHeight="1" s="397"/>
    <row r="473" ht="15.75" customHeight="1" s="397"/>
    <row r="474" ht="15.75" customHeight="1" s="397"/>
    <row r="475" ht="15.75" customHeight="1" s="397"/>
    <row r="476" ht="15.75" customHeight="1" s="397"/>
    <row r="477" ht="15.75" customHeight="1" s="397"/>
    <row r="478" ht="15.75" customHeight="1" s="397"/>
    <row r="479" ht="15.75" customHeight="1" s="397"/>
    <row r="480" ht="15.75" customHeight="1" s="397"/>
    <row r="481" ht="15.75" customHeight="1" s="397"/>
    <row r="482" ht="15.75" customHeight="1" s="397"/>
    <row r="483" ht="15.75" customHeight="1" s="397"/>
    <row r="484" ht="15.75" customHeight="1" s="397"/>
    <row r="485" ht="15.75" customHeight="1" s="397"/>
    <row r="486" ht="15.75" customHeight="1" s="397"/>
    <row r="487" ht="15.75" customHeight="1" s="397"/>
    <row r="488" ht="15.75" customHeight="1" s="397"/>
    <row r="489" ht="15.75" customHeight="1" s="397"/>
    <row r="490" ht="15.75" customHeight="1" s="397"/>
    <row r="491" ht="15.75" customHeight="1" s="397"/>
    <row r="492" ht="15.75" customHeight="1" s="397"/>
    <row r="493" ht="15.75" customHeight="1" s="397"/>
    <row r="494" ht="15.75" customHeight="1" s="397"/>
    <row r="495" ht="15.75" customHeight="1" s="397"/>
    <row r="496" ht="15.75" customHeight="1" s="397"/>
    <row r="497" ht="15.75" customHeight="1" s="397"/>
    <row r="498" ht="15.75" customHeight="1" s="397"/>
    <row r="499" ht="15.75" customHeight="1" s="397"/>
    <row r="500" ht="15.75" customHeight="1" s="397"/>
    <row r="501" ht="15.75" customHeight="1" s="397"/>
    <row r="502" ht="15.75" customHeight="1" s="397"/>
    <row r="503" ht="15.75" customHeight="1" s="397"/>
    <row r="504" ht="15.75" customHeight="1" s="397"/>
    <row r="505" ht="15.75" customHeight="1" s="397"/>
    <row r="506" ht="15.75" customHeight="1" s="397"/>
    <row r="507" ht="15.75" customHeight="1" s="397"/>
    <row r="508" ht="15.75" customHeight="1" s="397"/>
    <row r="509" ht="15.75" customHeight="1" s="397"/>
    <row r="510" ht="15.75" customHeight="1" s="397"/>
    <row r="511" ht="15.75" customHeight="1" s="397"/>
    <row r="512" ht="15.75" customHeight="1" s="397"/>
    <row r="513" ht="15.75" customHeight="1" s="397"/>
    <row r="514" ht="15.75" customHeight="1" s="397"/>
    <row r="515" ht="15.75" customHeight="1" s="397"/>
    <row r="516" ht="15.75" customHeight="1" s="397"/>
    <row r="517" ht="15.75" customHeight="1" s="397"/>
    <row r="518" ht="15.75" customHeight="1" s="397"/>
    <row r="519" ht="15.75" customHeight="1" s="397"/>
    <row r="520" ht="15.75" customHeight="1" s="397"/>
    <row r="521" ht="15.75" customHeight="1" s="397"/>
    <row r="522" ht="15.75" customHeight="1" s="397"/>
    <row r="523" ht="15.75" customHeight="1" s="397"/>
    <row r="524" ht="15.75" customHeight="1" s="397"/>
    <row r="525" ht="15.75" customHeight="1" s="397"/>
    <row r="526" ht="15.75" customHeight="1" s="397"/>
    <row r="527" ht="15.75" customHeight="1" s="397"/>
    <row r="528" ht="15.75" customHeight="1" s="397"/>
    <row r="529" ht="15.75" customHeight="1" s="397"/>
    <row r="530" ht="15.75" customHeight="1" s="397"/>
    <row r="531" ht="15.75" customHeight="1" s="397"/>
    <row r="532" ht="15.75" customHeight="1" s="397"/>
    <row r="533" ht="15.75" customHeight="1" s="397"/>
    <row r="534" ht="15.75" customHeight="1" s="397"/>
    <row r="535" ht="15.75" customHeight="1" s="397"/>
    <row r="536" ht="15.75" customHeight="1" s="397"/>
    <row r="537" ht="15.75" customHeight="1" s="397"/>
    <row r="538" ht="15.75" customHeight="1" s="397"/>
    <row r="539" ht="15.75" customHeight="1" s="397"/>
    <row r="540" ht="15.75" customHeight="1" s="397"/>
    <row r="541" ht="15.75" customHeight="1" s="397"/>
    <row r="542" ht="15.75" customHeight="1" s="397"/>
    <row r="543" ht="15.75" customHeight="1" s="397"/>
    <row r="544" ht="15.75" customHeight="1" s="397"/>
    <row r="545" ht="15.75" customHeight="1" s="397"/>
    <row r="546" ht="15.75" customHeight="1" s="397"/>
    <row r="547" ht="15.75" customHeight="1" s="397"/>
    <row r="548" ht="15.75" customHeight="1" s="397"/>
    <row r="549" ht="15.75" customHeight="1" s="397"/>
    <row r="550" ht="15.75" customHeight="1" s="397"/>
    <row r="551" ht="15.75" customHeight="1" s="397"/>
    <row r="552" ht="15.75" customHeight="1" s="397"/>
    <row r="553" ht="15.75" customHeight="1" s="397"/>
    <row r="554" ht="15.75" customHeight="1" s="397"/>
    <row r="555" ht="15.75" customHeight="1" s="397"/>
    <row r="556" ht="15.75" customHeight="1" s="397"/>
    <row r="557" ht="15.75" customHeight="1" s="397"/>
    <row r="558" ht="15.75" customHeight="1" s="397"/>
    <row r="559" ht="15.75" customHeight="1" s="397"/>
    <row r="560" ht="15.75" customHeight="1" s="397"/>
    <row r="561" ht="15.75" customHeight="1" s="397"/>
    <row r="562" ht="15.75" customHeight="1" s="397"/>
    <row r="563" ht="15.75" customHeight="1" s="397"/>
    <row r="564" ht="15.75" customHeight="1" s="397"/>
    <row r="565" ht="15.75" customHeight="1" s="397"/>
    <row r="566" ht="15.75" customHeight="1" s="397"/>
    <row r="567" ht="15.75" customHeight="1" s="397"/>
    <row r="568" ht="15.75" customHeight="1" s="397"/>
    <row r="569" ht="15.75" customHeight="1" s="397"/>
    <row r="570" ht="15.75" customHeight="1" s="397"/>
    <row r="571" ht="15.75" customHeight="1" s="397"/>
    <row r="572" ht="15.75" customHeight="1" s="397"/>
    <row r="573" ht="15.75" customHeight="1" s="397"/>
    <row r="574" ht="15.75" customHeight="1" s="397"/>
    <row r="575" ht="15.75" customHeight="1" s="397"/>
    <row r="576" ht="15.75" customHeight="1" s="397"/>
    <row r="577" ht="15.75" customHeight="1" s="397"/>
    <row r="578" ht="15.75" customHeight="1" s="397"/>
    <row r="579" ht="15.75" customHeight="1" s="397"/>
    <row r="580" ht="15.75" customHeight="1" s="397"/>
    <row r="581" ht="15.75" customHeight="1" s="397"/>
    <row r="582" ht="15.75" customHeight="1" s="397"/>
    <row r="583" ht="15.75" customHeight="1" s="397"/>
    <row r="584" ht="15.75" customHeight="1" s="397"/>
    <row r="585" ht="15.75" customHeight="1" s="397"/>
    <row r="586" ht="15.75" customHeight="1" s="397"/>
    <row r="587" ht="15.75" customHeight="1" s="397"/>
    <row r="588" ht="15.75" customHeight="1" s="397"/>
    <row r="589" ht="15.75" customHeight="1" s="397"/>
    <row r="590" ht="15.75" customHeight="1" s="397"/>
    <row r="591" ht="15.75" customHeight="1" s="397"/>
    <row r="592" ht="15.75" customHeight="1" s="397"/>
    <row r="593" ht="15.75" customHeight="1" s="397"/>
    <row r="594" ht="15.75" customHeight="1" s="397"/>
    <row r="595" ht="15.75" customHeight="1" s="397"/>
    <row r="596" ht="15.75" customHeight="1" s="397"/>
    <row r="597" ht="15.75" customHeight="1" s="397"/>
    <row r="598" ht="15.75" customHeight="1" s="397"/>
    <row r="599" ht="15.75" customHeight="1" s="397"/>
    <row r="600" ht="15.75" customHeight="1" s="397"/>
    <row r="601" ht="15.75" customHeight="1" s="397"/>
    <row r="602" ht="15.75" customHeight="1" s="397"/>
    <row r="603" ht="15.75" customHeight="1" s="397"/>
    <row r="604" ht="15.75" customHeight="1" s="397"/>
    <row r="605" ht="15.75" customHeight="1" s="397"/>
    <row r="606" ht="15.75" customHeight="1" s="397"/>
    <row r="607" ht="15.75" customHeight="1" s="397"/>
    <row r="608" ht="15.75" customHeight="1" s="397"/>
    <row r="609" ht="15.75" customHeight="1" s="397"/>
    <row r="610" ht="15.75" customHeight="1" s="397"/>
    <row r="611" ht="15.75" customHeight="1" s="397"/>
    <row r="612" ht="15.75" customHeight="1" s="397"/>
    <row r="613" ht="15.75" customHeight="1" s="397"/>
    <row r="614" ht="15.75" customHeight="1" s="397"/>
    <row r="615" ht="15.75" customHeight="1" s="397"/>
    <row r="616" ht="15.75" customHeight="1" s="397"/>
    <row r="617" ht="15.75" customHeight="1" s="397"/>
    <row r="618" ht="15.75" customHeight="1" s="397"/>
    <row r="619" ht="15.75" customHeight="1" s="397"/>
    <row r="620" ht="15.75" customHeight="1" s="397"/>
    <row r="621" ht="15.75" customHeight="1" s="397"/>
    <row r="622" ht="15.75" customHeight="1" s="397"/>
    <row r="623" ht="15.75" customHeight="1" s="397"/>
    <row r="624" ht="15.75" customHeight="1" s="397"/>
    <row r="625" ht="15.75" customHeight="1" s="397"/>
    <row r="626" ht="15.75" customHeight="1" s="397"/>
    <row r="627" ht="15.75" customHeight="1" s="397"/>
    <row r="628" ht="15.75" customHeight="1" s="397"/>
    <row r="629" ht="15.75" customHeight="1" s="397"/>
    <row r="630" ht="15.75" customHeight="1" s="397"/>
    <row r="631" ht="15.75" customHeight="1" s="397"/>
    <row r="632" ht="15.75" customHeight="1" s="397"/>
    <row r="633" ht="15.75" customHeight="1" s="397"/>
    <row r="634" ht="15.75" customHeight="1" s="397"/>
    <row r="635" ht="15.75" customHeight="1" s="397"/>
    <row r="636" ht="15.75" customHeight="1" s="397"/>
    <row r="637" ht="15.75" customHeight="1" s="397"/>
    <row r="638" ht="15.75" customHeight="1" s="397"/>
    <row r="639" ht="15.75" customHeight="1" s="397"/>
    <row r="640" ht="15.75" customHeight="1" s="397"/>
    <row r="641" ht="15.75" customHeight="1" s="397"/>
    <row r="642" ht="15.75" customHeight="1" s="397"/>
    <row r="643" ht="15.75" customHeight="1" s="397"/>
    <row r="644" ht="15.75" customHeight="1" s="397"/>
    <row r="645" ht="15.75" customHeight="1" s="397"/>
    <row r="646" ht="15.75" customHeight="1" s="397"/>
    <row r="647" ht="15.75" customHeight="1" s="397"/>
    <row r="648" ht="15.75" customHeight="1" s="397"/>
    <row r="649" ht="15.75" customHeight="1" s="397"/>
    <row r="650" ht="15.75" customHeight="1" s="397"/>
    <row r="651" ht="15.75" customHeight="1" s="397"/>
    <row r="652" ht="15.75" customHeight="1" s="397"/>
    <row r="653" ht="15.75" customHeight="1" s="397"/>
    <row r="654" ht="15.75" customHeight="1" s="397"/>
    <row r="655" ht="15.75" customHeight="1" s="397"/>
    <row r="656" ht="15.75" customHeight="1" s="397"/>
    <row r="657" ht="15.75" customHeight="1" s="397"/>
    <row r="658" ht="15.75" customHeight="1" s="397"/>
    <row r="659" ht="15.75" customHeight="1" s="397"/>
    <row r="660" ht="15.75" customHeight="1" s="397"/>
    <row r="661" ht="15.75" customHeight="1" s="397"/>
    <row r="662" ht="15.75" customHeight="1" s="397"/>
    <row r="663" ht="15.75" customHeight="1" s="397"/>
    <row r="664" ht="15.75" customHeight="1" s="397"/>
    <row r="665" ht="15.75" customHeight="1" s="397"/>
    <row r="666" ht="15.75" customHeight="1" s="397"/>
    <row r="667" ht="15.75" customHeight="1" s="397"/>
    <row r="668" ht="15.75" customHeight="1" s="397"/>
    <row r="669" ht="15.75" customHeight="1" s="397"/>
    <row r="670" ht="15.75" customHeight="1" s="397"/>
    <row r="671" ht="15.75" customHeight="1" s="397"/>
    <row r="672" ht="15.75" customHeight="1" s="397"/>
    <row r="673" ht="15.75" customHeight="1" s="397"/>
    <row r="674" ht="15.75" customHeight="1" s="397"/>
    <row r="675" ht="15.75" customHeight="1" s="397"/>
    <row r="676" ht="15.75" customHeight="1" s="397"/>
    <row r="677" ht="15.75" customHeight="1" s="397"/>
    <row r="678" ht="15.75" customHeight="1" s="397"/>
    <row r="679" ht="15.75" customHeight="1" s="397"/>
    <row r="680" ht="15.75" customHeight="1" s="397"/>
    <row r="681" ht="15.75" customHeight="1" s="397"/>
    <row r="682" ht="15.75" customHeight="1" s="397"/>
    <row r="683" ht="15.75" customHeight="1" s="397"/>
    <row r="684" ht="15.75" customHeight="1" s="397"/>
    <row r="685" ht="15.75" customHeight="1" s="397"/>
    <row r="686" ht="15.75" customHeight="1" s="397"/>
    <row r="687" ht="15.75" customHeight="1" s="397"/>
    <row r="688" ht="15.75" customHeight="1" s="397"/>
    <row r="689" ht="15.75" customHeight="1" s="397"/>
    <row r="690" ht="15.75" customHeight="1" s="397"/>
    <row r="691" ht="15.75" customHeight="1" s="397"/>
    <row r="692" ht="15.75" customHeight="1" s="397"/>
    <row r="693" ht="15.75" customHeight="1" s="397"/>
    <row r="694" ht="15.75" customHeight="1" s="397"/>
    <row r="695" ht="15.75" customHeight="1" s="397"/>
    <row r="696" ht="15.75" customHeight="1" s="397"/>
    <row r="697" ht="15.75" customHeight="1" s="397"/>
    <row r="698" ht="15.75" customHeight="1" s="397"/>
    <row r="699" ht="15.75" customHeight="1" s="397"/>
    <row r="700" ht="15.75" customHeight="1" s="397"/>
    <row r="701" ht="15.75" customHeight="1" s="397"/>
    <row r="702" ht="15.75" customHeight="1" s="397"/>
    <row r="703" ht="15.75" customHeight="1" s="397"/>
    <row r="704" ht="15.75" customHeight="1" s="397"/>
    <row r="705" ht="15.75" customHeight="1" s="397"/>
    <row r="706" ht="15.75" customHeight="1" s="397"/>
    <row r="707" ht="15.75" customHeight="1" s="397"/>
    <row r="708" ht="15.75" customHeight="1" s="397"/>
    <row r="709" ht="15.75" customHeight="1" s="397"/>
    <row r="710" ht="15.75" customHeight="1" s="397"/>
    <row r="711" ht="15.75" customHeight="1" s="397"/>
    <row r="712" ht="15.75" customHeight="1" s="397"/>
    <row r="713" ht="15.75" customHeight="1" s="397"/>
    <row r="714" ht="15.75" customHeight="1" s="397"/>
    <row r="715" ht="15.75" customHeight="1" s="397"/>
    <row r="716" ht="15.75" customHeight="1" s="397"/>
    <row r="717" ht="15.75" customHeight="1" s="397"/>
    <row r="718" ht="15.75" customHeight="1" s="397"/>
    <row r="719" ht="15.75" customHeight="1" s="397"/>
    <row r="720" ht="15.75" customHeight="1" s="397"/>
    <row r="721" ht="15.75" customHeight="1" s="397"/>
    <row r="722" ht="15.75" customHeight="1" s="397"/>
    <row r="723" ht="15.75" customHeight="1" s="397"/>
    <row r="724" ht="15.75" customHeight="1" s="397"/>
    <row r="725" ht="15.75" customHeight="1" s="397"/>
    <row r="726" ht="15.75" customHeight="1" s="397"/>
    <row r="727" ht="15.75" customHeight="1" s="397"/>
    <row r="728" ht="15.75" customHeight="1" s="397"/>
    <row r="729" ht="15.75" customHeight="1" s="397"/>
    <row r="730" ht="15.75" customHeight="1" s="397"/>
    <row r="731" ht="15.75" customHeight="1" s="397"/>
    <row r="732" ht="15.75" customHeight="1" s="397"/>
    <row r="733" ht="15.75" customHeight="1" s="397"/>
    <row r="734" ht="15.75" customHeight="1" s="397"/>
    <row r="735" ht="15.75" customHeight="1" s="397"/>
    <row r="736" ht="15.75" customHeight="1" s="397"/>
    <row r="737" ht="15.75" customHeight="1" s="397"/>
    <row r="738" ht="15.75" customHeight="1" s="397"/>
    <row r="739" ht="15.75" customHeight="1" s="397"/>
    <row r="740" ht="15.75" customHeight="1" s="397"/>
    <row r="741" ht="15.75" customHeight="1" s="397"/>
    <row r="742" ht="15.75" customHeight="1" s="397"/>
    <row r="743" ht="15.75" customHeight="1" s="397"/>
    <row r="744" ht="15.75" customHeight="1" s="397"/>
    <row r="745" ht="15.75" customHeight="1" s="397"/>
    <row r="746" ht="15.75" customHeight="1" s="397"/>
    <row r="747" ht="15.75" customHeight="1" s="397"/>
    <row r="748" ht="15.75" customHeight="1" s="397"/>
    <row r="749" ht="15.75" customHeight="1" s="397"/>
    <row r="750" ht="15.75" customHeight="1" s="397"/>
    <row r="751" ht="15.75" customHeight="1" s="397"/>
    <row r="752" ht="15.75" customHeight="1" s="397"/>
    <row r="753" ht="15.75" customHeight="1" s="397"/>
    <row r="754" ht="15.75" customHeight="1" s="397"/>
    <row r="755" ht="15.75" customHeight="1" s="397"/>
    <row r="756" ht="15.75" customHeight="1" s="397"/>
    <row r="757" ht="15.75" customHeight="1" s="397"/>
    <row r="758" ht="15.75" customHeight="1" s="397"/>
    <row r="759" ht="15.75" customHeight="1" s="397"/>
    <row r="760" ht="15.75" customHeight="1" s="397"/>
    <row r="761" ht="15.75" customHeight="1" s="397"/>
    <row r="762" ht="15.75" customHeight="1" s="397"/>
    <row r="763" ht="15.75" customHeight="1" s="397"/>
    <row r="764" ht="15.75" customHeight="1" s="397"/>
    <row r="765" ht="15.75" customHeight="1" s="397"/>
    <row r="766" ht="15.75" customHeight="1" s="397"/>
    <row r="767" ht="15.75" customHeight="1" s="397"/>
    <row r="768" ht="15.75" customHeight="1" s="397"/>
    <row r="769" ht="15.75" customHeight="1" s="397"/>
    <row r="770" ht="15.75" customHeight="1" s="397"/>
    <row r="771" ht="15.75" customHeight="1" s="397"/>
    <row r="772" ht="15.75" customHeight="1" s="397"/>
    <row r="773" ht="15.75" customHeight="1" s="397"/>
    <row r="774" ht="15.75" customHeight="1" s="397"/>
    <row r="775" ht="15.75" customHeight="1" s="397"/>
    <row r="776" ht="15.75" customHeight="1" s="397"/>
    <row r="777" ht="15.75" customHeight="1" s="397"/>
    <row r="778" ht="15.75" customHeight="1" s="397"/>
    <row r="779" ht="15.75" customHeight="1" s="397"/>
    <row r="780" ht="15.75" customHeight="1" s="397"/>
    <row r="781" ht="15.75" customHeight="1" s="397"/>
    <row r="782" ht="15.75" customHeight="1" s="397"/>
    <row r="783" ht="15.75" customHeight="1" s="397"/>
    <row r="784" ht="15.75" customHeight="1" s="397"/>
    <row r="785" ht="15.75" customHeight="1" s="397"/>
    <row r="786" ht="15.75" customHeight="1" s="397"/>
    <row r="787" ht="15.75" customHeight="1" s="397"/>
    <row r="788" ht="15.75" customHeight="1" s="397"/>
    <row r="789" ht="15.75" customHeight="1" s="397"/>
    <row r="790" ht="15.75" customHeight="1" s="397"/>
    <row r="791" ht="15.75" customHeight="1" s="397"/>
    <row r="792" ht="15.75" customHeight="1" s="397"/>
    <row r="793" ht="15.75" customHeight="1" s="397"/>
    <row r="794" ht="15.75" customHeight="1" s="397"/>
    <row r="795" ht="15.75" customHeight="1" s="397"/>
    <row r="796" ht="15.75" customHeight="1" s="397"/>
    <row r="797" ht="15.75" customHeight="1" s="397"/>
    <row r="798" ht="15.75" customHeight="1" s="397"/>
    <row r="799" ht="15.75" customHeight="1" s="397"/>
    <row r="800" ht="15.75" customHeight="1" s="397"/>
    <row r="801" ht="15.75" customHeight="1" s="397"/>
    <row r="802" ht="15.75" customHeight="1" s="397"/>
    <row r="803" ht="15.75" customHeight="1" s="397"/>
    <row r="804" ht="15.75" customHeight="1" s="397"/>
    <row r="805" ht="15.75" customHeight="1" s="397"/>
    <row r="806" ht="15.75" customHeight="1" s="397"/>
    <row r="807" ht="15.75" customHeight="1" s="397"/>
    <row r="808" ht="15.75" customHeight="1" s="397"/>
    <row r="809" ht="15.75" customHeight="1" s="397"/>
    <row r="810" ht="15.75" customHeight="1" s="397"/>
    <row r="811" ht="15.75" customHeight="1" s="397"/>
    <row r="812" ht="15.75" customHeight="1" s="397"/>
    <row r="813" ht="15.75" customHeight="1" s="397"/>
    <row r="814" ht="15.75" customHeight="1" s="397"/>
    <row r="815" ht="15.75" customHeight="1" s="397"/>
    <row r="816" ht="15.75" customHeight="1" s="397"/>
    <row r="817" ht="15.75" customHeight="1" s="397"/>
    <row r="818" ht="15.75" customHeight="1" s="397"/>
    <row r="819" ht="15.75" customHeight="1" s="397"/>
    <row r="820" ht="15.75" customHeight="1" s="397"/>
    <row r="821" ht="15.75" customHeight="1" s="397"/>
    <row r="822" ht="15.75" customHeight="1" s="397"/>
    <row r="823" ht="15.75" customHeight="1" s="397"/>
    <row r="824" ht="15.75" customHeight="1" s="397"/>
    <row r="825" ht="15.75" customHeight="1" s="397"/>
    <row r="826" ht="15.75" customHeight="1" s="397"/>
    <row r="827" ht="15.75" customHeight="1" s="397"/>
    <row r="828" ht="15.75" customHeight="1" s="397"/>
    <row r="829" ht="15.75" customHeight="1" s="397"/>
    <row r="830" ht="15.75" customHeight="1" s="397"/>
    <row r="831" ht="15.75" customHeight="1" s="397"/>
    <row r="832" ht="15.75" customHeight="1" s="397"/>
    <row r="833" ht="15.75" customHeight="1" s="397"/>
    <row r="834" ht="15.75" customHeight="1" s="397"/>
    <row r="835" ht="15.75" customHeight="1" s="397"/>
    <row r="836" ht="15.75" customHeight="1" s="397"/>
    <row r="837" ht="15.75" customHeight="1" s="397"/>
    <row r="838" ht="15.75" customHeight="1" s="397"/>
    <row r="839" ht="15.75" customHeight="1" s="397"/>
    <row r="840" ht="15.75" customHeight="1" s="397"/>
    <row r="841" ht="15.75" customHeight="1" s="397"/>
    <row r="842" ht="15.75" customHeight="1" s="397"/>
    <row r="843" ht="15.75" customHeight="1" s="397"/>
    <row r="844" ht="15.75" customHeight="1" s="397"/>
    <row r="845" ht="15.75" customHeight="1" s="397"/>
    <row r="846" ht="15.75" customHeight="1" s="397"/>
    <row r="847" ht="15.75" customHeight="1" s="397"/>
    <row r="848" ht="15.75" customHeight="1" s="397"/>
    <row r="849" ht="15.75" customHeight="1" s="397"/>
    <row r="850" ht="15.75" customHeight="1" s="397"/>
    <row r="851" ht="15.75" customHeight="1" s="397"/>
    <row r="852" ht="15.75" customHeight="1" s="397"/>
    <row r="853" ht="15.75" customHeight="1" s="397"/>
    <row r="854" ht="15.75" customHeight="1" s="397"/>
    <row r="855" ht="15.75" customHeight="1" s="397"/>
    <row r="856" ht="15.75" customHeight="1" s="397"/>
    <row r="857" ht="15.75" customHeight="1" s="397"/>
    <row r="858" ht="15.75" customHeight="1" s="397"/>
    <row r="859" ht="15.75" customHeight="1" s="397"/>
    <row r="860" ht="15.75" customHeight="1" s="397"/>
    <row r="861" ht="15.75" customHeight="1" s="397"/>
    <row r="862" ht="15.75" customHeight="1" s="397"/>
    <row r="863" ht="15.75" customHeight="1" s="397"/>
    <row r="864" ht="15.75" customHeight="1" s="397"/>
    <row r="865" ht="15.75" customHeight="1" s="397"/>
    <row r="866" ht="15.75" customHeight="1" s="397"/>
    <row r="867" ht="15.75" customHeight="1" s="397"/>
    <row r="868" ht="15.75" customHeight="1" s="397"/>
    <row r="869" ht="15.75" customHeight="1" s="397"/>
    <row r="870" ht="15.75" customHeight="1" s="397"/>
    <row r="871" ht="15.75" customHeight="1" s="397"/>
    <row r="872" ht="15.75" customHeight="1" s="397"/>
    <row r="873" ht="15.75" customHeight="1" s="397"/>
    <row r="874" ht="15.75" customHeight="1" s="397"/>
    <row r="875" ht="15.75" customHeight="1" s="397"/>
    <row r="876" ht="15.75" customHeight="1" s="397"/>
    <row r="877" ht="15.75" customHeight="1" s="397"/>
    <row r="878" ht="15.75" customHeight="1" s="397"/>
    <row r="879" ht="15.75" customHeight="1" s="397"/>
    <row r="880" ht="15.75" customHeight="1" s="397"/>
    <row r="881" ht="15.75" customHeight="1" s="397"/>
    <row r="882" ht="15.75" customHeight="1" s="397"/>
    <row r="883" ht="15.75" customHeight="1" s="397"/>
    <row r="884" ht="15.75" customHeight="1" s="397"/>
    <row r="885" ht="15.75" customHeight="1" s="397"/>
    <row r="886" ht="15.75" customHeight="1" s="397"/>
    <row r="887" ht="15.75" customHeight="1" s="397"/>
    <row r="888" ht="15.75" customHeight="1" s="397"/>
    <row r="889" ht="15.75" customHeight="1" s="397"/>
    <row r="890" ht="15.75" customHeight="1" s="397"/>
    <row r="891" ht="15.75" customHeight="1" s="397"/>
    <row r="892" ht="15.75" customHeight="1" s="397"/>
    <row r="893" ht="15.75" customHeight="1" s="397"/>
    <row r="894" ht="15.75" customHeight="1" s="397"/>
    <row r="895" ht="15.75" customHeight="1" s="397"/>
    <row r="896" ht="15.75" customHeight="1" s="397"/>
    <row r="897" ht="15.75" customHeight="1" s="397"/>
    <row r="898" ht="15.75" customHeight="1" s="397"/>
    <row r="899" ht="15.75" customHeight="1" s="397"/>
    <row r="900" ht="15.75" customHeight="1" s="397"/>
    <row r="901" ht="15.75" customHeight="1" s="397"/>
    <row r="902" ht="15.75" customHeight="1" s="397"/>
    <row r="903" ht="15.75" customHeight="1" s="397"/>
    <row r="904" ht="15.75" customHeight="1" s="397"/>
    <row r="905" ht="15.75" customHeight="1" s="397"/>
    <row r="906" ht="15.75" customHeight="1" s="397"/>
    <row r="907" ht="15.75" customHeight="1" s="397"/>
    <row r="908" ht="15.75" customHeight="1" s="397"/>
    <row r="909" ht="15.75" customHeight="1" s="397"/>
    <row r="910" ht="15.75" customHeight="1" s="397"/>
    <row r="911" ht="15.75" customHeight="1" s="397"/>
    <row r="912" ht="15.75" customHeight="1" s="397"/>
    <row r="913" ht="15.75" customHeight="1" s="397"/>
    <row r="914" ht="15.75" customHeight="1" s="397"/>
    <row r="915" ht="15.75" customHeight="1" s="397"/>
    <row r="916" ht="15.75" customHeight="1" s="397"/>
    <row r="917" ht="15.75" customHeight="1" s="397"/>
    <row r="918" ht="15.75" customHeight="1" s="397"/>
    <row r="919" ht="15.75" customHeight="1" s="397"/>
    <row r="920" ht="15.75" customHeight="1" s="397"/>
    <row r="921" ht="15.75" customHeight="1" s="397"/>
    <row r="922" ht="15.75" customHeight="1" s="397"/>
    <row r="923" ht="15.75" customHeight="1" s="397"/>
    <row r="924" ht="15.75" customHeight="1" s="397"/>
    <row r="925" ht="15.75" customHeight="1" s="397"/>
    <row r="926" ht="15.75" customHeight="1" s="397"/>
    <row r="927" ht="15.75" customHeight="1" s="397"/>
    <row r="928" ht="15.75" customHeight="1" s="397"/>
    <row r="929" ht="15.75" customHeight="1" s="397"/>
    <row r="930" ht="15.75" customHeight="1" s="397"/>
    <row r="931" ht="15.75" customHeight="1" s="397"/>
    <row r="932" ht="15.75" customHeight="1" s="397"/>
    <row r="933" ht="15.75" customHeight="1" s="397"/>
    <row r="934" ht="15.75" customHeight="1" s="397"/>
    <row r="935" ht="15.75" customHeight="1" s="397"/>
    <row r="936" ht="15.75" customHeight="1" s="397"/>
    <row r="937" ht="15.75" customHeight="1" s="397"/>
    <row r="938" ht="15.75" customHeight="1" s="397"/>
    <row r="939" ht="15.75" customHeight="1" s="397"/>
    <row r="940" ht="15.75" customHeight="1" s="397"/>
    <row r="941" ht="15.75" customHeight="1" s="397"/>
    <row r="942" ht="15.75" customHeight="1" s="397"/>
    <row r="943" ht="15.75" customHeight="1" s="397"/>
    <row r="944" ht="15.75" customHeight="1" s="397"/>
    <row r="945" ht="15.75" customHeight="1" s="397"/>
    <row r="946" ht="15.75" customHeight="1" s="397"/>
    <row r="947" ht="15.75" customHeight="1" s="397"/>
    <row r="948" ht="15.75" customHeight="1" s="397"/>
    <row r="949" ht="15.75" customHeight="1" s="397"/>
    <row r="950" ht="15.75" customHeight="1" s="397"/>
    <row r="951" ht="15.75" customHeight="1" s="397"/>
    <row r="952" ht="15.75" customHeight="1" s="397"/>
    <row r="953" ht="15.75" customHeight="1" s="397"/>
    <row r="954" ht="15.75" customHeight="1" s="397"/>
    <row r="955" ht="15.75" customHeight="1" s="397"/>
    <row r="956" ht="15.75" customHeight="1" s="397"/>
    <row r="957" ht="15.75" customHeight="1" s="397"/>
    <row r="958" ht="15.75" customHeight="1" s="397"/>
    <row r="959" ht="15.75" customHeight="1" s="397"/>
    <row r="960" ht="15.75" customHeight="1" s="397"/>
    <row r="961" ht="15.75" customHeight="1" s="397"/>
    <row r="962" ht="15.75" customHeight="1" s="397"/>
    <row r="963" ht="15.75" customHeight="1" s="397"/>
    <row r="964" ht="15.75" customHeight="1" s="397"/>
    <row r="965" ht="15.75" customHeight="1" s="397"/>
    <row r="966" ht="15.75" customHeight="1" s="397"/>
    <row r="967" ht="15.75" customHeight="1" s="397"/>
    <row r="968" ht="15.75" customHeight="1" s="397"/>
    <row r="969" ht="15.75" customHeight="1" s="397"/>
    <row r="970" ht="15.75" customHeight="1" s="397"/>
    <row r="971" ht="15.75" customHeight="1" s="397"/>
    <row r="972" ht="15.75" customHeight="1" s="397"/>
    <row r="973" ht="15.75" customHeight="1" s="397"/>
    <row r="974" ht="15.75" customHeight="1" s="397"/>
    <row r="975" ht="15.75" customHeight="1" s="397"/>
    <row r="976" ht="15.75" customHeight="1" s="397"/>
    <row r="977" ht="15.75" customHeight="1" s="397"/>
    <row r="978" ht="15.75" customHeight="1" s="397"/>
    <row r="979" ht="15.75" customHeight="1" s="397"/>
    <row r="980" ht="15.75" customHeight="1" s="397"/>
    <row r="981" ht="15.75" customHeight="1" s="397"/>
    <row r="982" ht="15.75" customHeight="1" s="397"/>
    <row r="983" ht="15.75" customHeight="1" s="397"/>
    <row r="984" ht="15.75" customHeight="1" s="397"/>
    <row r="985" ht="15.75" customHeight="1" s="397"/>
    <row r="986" ht="15.75" customHeight="1" s="397"/>
    <row r="987" ht="15.75" customHeight="1" s="397"/>
    <row r="988" ht="15.75" customHeight="1" s="397"/>
    <row r="989" ht="15.75" customHeight="1" s="397"/>
    <row r="990" ht="15.75" customHeight="1" s="397"/>
    <row r="991" ht="15.75" customHeight="1" s="397"/>
    <row r="992" ht="15.75" customHeight="1" s="397"/>
    <row r="993" ht="15.75" customHeight="1" s="397"/>
    <row r="994" ht="15.75" customHeight="1" s="397"/>
    <row r="995" ht="15.75" customHeight="1" s="397"/>
    <row r="996" ht="15.75" customHeight="1" s="397"/>
    <row r="997" ht="15.75" customHeight="1" s="397"/>
    <row r="998" ht="15.75" customHeight="1" s="397"/>
    <row r="999" ht="15.75" customHeight="1" s="397"/>
    <row r="1000" ht="15.75" customHeight="1" s="397"/>
  </sheetData>
  <conditionalFormatting sqref="AB9:AL41">
    <cfRule type="cellIs" priority="1" operator="lessThan" dxfId="5" stopIfTrue="1">
      <formula>0</formula>
    </cfRule>
    <cfRule type="cellIs" priority="2" operator="greaterThan" dxfId="6" stopIfTrue="1">
      <formula>0</formula>
    </cfRule>
  </conditionalFormatting>
  <conditionalFormatting sqref="B9:N41 P9:Z41 AB9:AL41">
    <cfRule type="expression" priority="3" dxfId="2">
      <formula>OR($C9="Fri",$C9="Sat",$C9="Sun")</formula>
    </cfRule>
  </conditionalFormatting>
  <dataValidations count="2">
    <dataValidation sqref="C4" showDropDown="0" showInputMessage="0" showErrorMessage="0" allowBlank="1" type="list">
      <formula1>"0-9,10-19,20-39,40-99,100+"</formula1>
    </dataValidation>
    <dataValidation sqref="C3" showDropDown="0" showInputMessage="0" showErrorMessage="0" allowBlank="1" type="list">
      <formula1>"NONPAYER,PAYER"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2026-07-07T08:27:17Z</dcterms:created>
  <dcterms:modified xsi:type="dcterms:W3CDTF">2026-07-07T08:27:18Z</dcterms:modified>
</cp:coreProperties>
</file>