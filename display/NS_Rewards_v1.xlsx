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0.0%"/>
    <numFmt numFmtId="166" formatCode="0.000"/>
  </numFmts>
  <fonts count="8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7F7F7F"/>
      <sz val="9"/>
    </font>
    <font>
      <name val="Arial"/>
      <b val="1"/>
      <color rgb="FFFFFFFF"/>
      <sz val="11"/>
    </font>
    <font>
      <name val="Arial"/>
      <color rgb="FF7F7F7F"/>
      <sz val="8"/>
    </font>
    <font>
      <name val="Arial"/>
      <sz val="10"/>
    </font>
    <font>
      <name val="Arial"/>
      <b val="1"/>
      <color rgb="FF1F3864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6" fillId="5" borderId="1" pivotButton="0" quotePrefix="0" xfId="0"/>
    <xf numFmtId="0" fontId="5" fillId="5" borderId="1" pivotButton="0" quotePrefix="0" xfId="0"/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0" fontId="7" fillId="6" borderId="1" pivotButton="0" quotePrefix="0" xfId="0"/>
    <xf numFmtId="3" fontId="7" fillId="6" borderId="1" applyAlignment="1" pivotButton="0" quotePrefix="0" xfId="0">
      <alignment horizontal="right"/>
    </xf>
    <xf numFmtId="0" fontId="5" fillId="7" borderId="1" pivotButton="0" quotePrefix="0" xfId="0"/>
    <xf numFmtId="3" fontId="5" fillId="7" borderId="1" applyAlignment="1" pivotButton="0" quotePrefix="0" xfId="0">
      <alignment horizontal="right"/>
    </xf>
    <xf numFmtId="2" fontId="5" fillId="7" borderId="1" applyAlignment="1" pivotButton="0" quotePrefix="0" xfId="0">
      <alignment horizontal="right"/>
    </xf>
    <xf numFmtId="0" fontId="5" fillId="7" borderId="1" applyAlignment="1" pivotButton="0" quotePrefix="0" xfId="0">
      <alignment horizontal="right"/>
    </xf>
    <xf numFmtId="4" fontId="5" fillId="7" borderId="1" applyAlignment="1" pivotButton="0" quotePrefix="0" xfId="0">
      <alignment horizontal="right"/>
    </xf>
    <xf numFmtId="0" fontId="7" fillId="7" borderId="1" pivotButton="0" quotePrefix="0" xfId="0"/>
    <xf numFmtId="4" fontId="7" fillId="7" borderId="1" applyAlignment="1" pivotButton="0" quotePrefix="0" xfId="0">
      <alignment horizontal="right"/>
    </xf>
    <xf numFmtId="164" fontId="5" fillId="7" borderId="1" applyAlignment="1" pivotButton="0" quotePrefix="0" xfId="0">
      <alignment horizontal="right"/>
    </xf>
    <xf numFmtId="165" fontId="5" fillId="7" borderId="1" applyAlignment="1" pivotButton="0" quotePrefix="0" xfId="0">
      <alignment horizontal="right"/>
    </xf>
    <xf numFmtId="164" fontId="7" fillId="7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2" fontId="7" fillId="7" borderId="1" applyAlignment="1" pivotButton="0" quotePrefix="0" xfId="0">
      <alignment horizontal="right"/>
    </xf>
    <xf numFmtId="166" fontId="5" fillId="7" borderId="1" applyAlignment="1" pivotButton="0" quotePrefix="0" xfId="0">
      <alignment horizontal="right"/>
    </xf>
    <xf numFmtId="0" fontId="2" fillId="0" borderId="0" applyAlignment="1" pivotButton="0" quotePrefix="0" xfId="0">
      <alignment/>
    </xf>
  </cellXfs>
  <cellStyles count="1">
    <cellStyle name="Normal" xfId="0" builtinId="0" hidden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9" max="9"/>
  </cols>
  <sheetData>
    <row r="1">
      <c r="A1" s="1" t="inlineStr">
        <is>
          <t>Night Sky coin uplift - proposal and HC impact</t>
        </is>
      </c>
    </row>
    <row r="2">
      <c r="A2" s="2" t="inlineStr">
        <is>
          <t>Sizes a Night Sky COIN increase that pulls HC gain back into the -4%..0% band and re-steepens the streak ladder. Observed values are live formulas over 'Raw Data' (copy this tab INTO LiveOps_v2_AB_Summary.xlsx - they cannot resolve standalone). Yellow cells are inputs: retype a reward and everything below re-prices. Requirements are unchanged; coins only.</t>
        </is>
      </c>
    </row>
    <row r="4">
      <c r="A4" s="3" t="inlineStr">
        <is>
          <t>Block</t>
        </is>
      </c>
      <c r="B4" s="3" t="inlineStr">
        <is>
          <t>Metric</t>
        </is>
      </c>
      <c r="C4" s="4" t="inlineStr">
        <is>
          <t>1-9</t>
        </is>
      </c>
      <c r="D4" s="4" t="inlineStr">
        <is>
          <t>10-19</t>
        </is>
      </c>
      <c r="E4" s="4" t="inlineStr">
        <is>
          <t>20-39</t>
        </is>
      </c>
      <c r="F4" s="4" t="inlineStr">
        <is>
          <t>40-99</t>
        </is>
      </c>
      <c r="G4" s="4" t="inlineStr">
        <is>
          <t>100+</t>
        </is>
      </c>
    </row>
    <row r="5">
      <c r="A5" s="5" t="n"/>
      <c r="B5" s="6" t="inlineStr">
        <is>
          <t>'Raw Data' bucket key</t>
        </is>
      </c>
      <c r="C5" s="7" t="inlineStr">
        <is>
          <t>B. 1-9</t>
        </is>
      </c>
      <c r="D5" s="7" t="inlineStr">
        <is>
          <t>C. 10-19</t>
        </is>
      </c>
      <c r="E5" s="7" t="inlineStr">
        <is>
          <t>D. 20-39</t>
        </is>
      </c>
      <c r="F5" s="7" t="inlineStr">
        <is>
          <t>E. 40-99</t>
        </is>
      </c>
      <c r="G5" s="7" t="inlineStr">
        <is>
          <t>F. 100+</t>
        </is>
      </c>
    </row>
    <row r="6">
      <c r="A6" s="8" t="inlineStr">
        <is>
          <t>NS CONFIG</t>
        </is>
      </c>
      <c r="B6" s="9" t="n"/>
      <c r="C6" s="9" t="n"/>
      <c r="D6" s="9" t="n"/>
      <c r="E6" s="9" t="n"/>
      <c r="F6" s="9" t="n"/>
      <c r="G6" s="9" t="n"/>
    </row>
    <row r="7">
      <c r="A7" s="10" t="n"/>
      <c r="B7" s="10" t="inlineStr">
        <is>
          <t>Cum streak req - R1</t>
        </is>
      </c>
      <c r="C7" s="11" t="n">
        <v>2</v>
      </c>
      <c r="D7" s="11" t="n">
        <v>6</v>
      </c>
      <c r="E7" s="11" t="n">
        <v>11</v>
      </c>
      <c r="F7" s="11" t="n">
        <v>28</v>
      </c>
      <c r="G7" s="11" t="n">
        <v>80</v>
      </c>
      <c r="I7" s="2" t="inlineStr">
        <is>
          <t>unchanged by this proposal</t>
        </is>
      </c>
    </row>
    <row r="8">
      <c r="A8" s="10" t="n"/>
      <c r="B8" s="10" t="inlineStr">
        <is>
          <t>Cum streak req - R2</t>
        </is>
      </c>
      <c r="C8" s="11" t="n">
        <v>5</v>
      </c>
      <c r="D8" s="11" t="n">
        <v>13</v>
      </c>
      <c r="E8" s="11" t="n">
        <v>26</v>
      </c>
      <c r="F8" s="11" t="n">
        <v>60</v>
      </c>
      <c r="G8" s="11" t="n">
        <v>175</v>
      </c>
    </row>
    <row r="9">
      <c r="A9" s="10" t="n"/>
      <c r="B9" s="10" t="inlineStr">
        <is>
          <t>Cum streak req - R3</t>
        </is>
      </c>
      <c r="C9" s="11" t="n">
        <v>10</v>
      </c>
      <c r="D9" s="11" t="n">
        <v>26</v>
      </c>
      <c r="E9" s="11" t="n">
        <v>42</v>
      </c>
      <c r="F9" s="11" t="n">
        <v>100</v>
      </c>
      <c r="G9" s="11" t="n">
        <v>280</v>
      </c>
    </row>
    <row r="10">
      <c r="A10" s="10" t="n"/>
      <c r="B10" s="10" t="inlineStr">
        <is>
          <t>Current HC reward - R1</t>
        </is>
      </c>
      <c r="C10" s="11" t="n">
        <v>0</v>
      </c>
      <c r="D10" s="11" t="n">
        <v>10</v>
      </c>
      <c r="E10" s="11" t="n">
        <v>15</v>
      </c>
      <c r="F10" s="11" t="n">
        <v>50</v>
      </c>
      <c r="G10" s="11" t="n">
        <v>100</v>
      </c>
      <c r="I10" s="2" t="inlineStr">
        <is>
          <t>live NS ladder; identical in NS_v2, so NS was NOT changed by the A/B</t>
        </is>
      </c>
    </row>
    <row r="11">
      <c r="A11" s="10" t="n"/>
      <c r="B11" s="10" t="inlineStr">
        <is>
          <t>Current HC reward - R2</t>
        </is>
      </c>
      <c r="C11" s="11" t="n">
        <v>10</v>
      </c>
      <c r="D11" s="11" t="n">
        <v>30</v>
      </c>
      <c r="E11" s="11" t="n">
        <v>50</v>
      </c>
      <c r="F11" s="11" t="n">
        <v>120</v>
      </c>
      <c r="G11" s="11" t="n">
        <v>300</v>
      </c>
    </row>
    <row r="12">
      <c r="A12" s="10" t="n"/>
      <c r="B12" s="10" t="inlineStr">
        <is>
          <t>Current HC reward - R3</t>
        </is>
      </c>
      <c r="C12" s="11" t="n">
        <v>15</v>
      </c>
      <c r="D12" s="11" t="n">
        <v>60</v>
      </c>
      <c r="E12" s="11" t="n">
        <v>100</v>
      </c>
      <c r="F12" s="11" t="n">
        <v>250</v>
      </c>
      <c r="G12" s="11" t="n">
        <v>400</v>
      </c>
    </row>
    <row r="13">
      <c r="A13" s="10" t="n"/>
      <c r="B13" s="12" t="inlineStr">
        <is>
          <t>PROPOSED HC reward - R1</t>
        </is>
      </c>
      <c r="C13" s="13" t="n">
        <v>0</v>
      </c>
      <c r="D13" s="13" t="n">
        <v>10</v>
      </c>
      <c r="E13" s="13" t="n">
        <v>15</v>
      </c>
      <c r="F13" s="13" t="n">
        <v>60</v>
      </c>
      <c r="G13" s="13" t="n">
        <v>120</v>
      </c>
    </row>
    <row r="14">
      <c r="A14" s="10" t="n"/>
      <c r="B14" s="12" t="inlineStr">
        <is>
          <t>PROPOSED HC reward - R2</t>
        </is>
      </c>
      <c r="C14" s="13" t="n">
        <v>15</v>
      </c>
      <c r="D14" s="13" t="n">
        <v>45</v>
      </c>
      <c r="E14" s="13" t="n">
        <v>70</v>
      </c>
      <c r="F14" s="13" t="n">
        <v>160</v>
      </c>
      <c r="G14" s="13" t="n">
        <v>450</v>
      </c>
    </row>
    <row r="15">
      <c r="A15" s="10" t="n"/>
      <c r="B15" s="12" t="inlineStr">
        <is>
          <t>PROPOSED HC reward - R3</t>
        </is>
      </c>
      <c r="C15" s="13" t="n">
        <v>30</v>
      </c>
      <c r="D15" s="13" t="n">
        <v>100</v>
      </c>
      <c r="E15" s="13" t="n">
        <v>160</v>
      </c>
      <c r="F15" s="13" t="n">
        <v>300</v>
      </c>
      <c r="G15" s="13" t="n">
        <v>700</v>
      </c>
    </row>
    <row r="16">
      <c r="A16" s="14" t="n"/>
      <c r="B16" s="14" t="inlineStr">
        <is>
          <t>Delta HC - R1</t>
        </is>
      </c>
      <c r="C16" s="15">
        <f>C13-C10</f>
        <v/>
      </c>
      <c r="D16" s="15">
        <f>D13-D10</f>
        <v/>
      </c>
      <c r="E16" s="15">
        <f>E13-E10</f>
        <v/>
      </c>
      <c r="F16" s="15">
        <f>F13-F10</f>
        <v/>
      </c>
      <c r="G16" s="15">
        <f>G13-G10</f>
        <v/>
      </c>
    </row>
    <row r="17">
      <c r="A17" s="14" t="n"/>
      <c r="B17" s="14" t="inlineStr">
        <is>
          <t>Delta HC - R2</t>
        </is>
      </c>
      <c r="C17" s="15">
        <f>C14-C11</f>
        <v/>
      </c>
      <c r="D17" s="15">
        <f>D14-D11</f>
        <v/>
      </c>
      <c r="E17" s="15">
        <f>E14-E11</f>
        <v/>
      </c>
      <c r="F17" s="15">
        <f>F14-F11</f>
        <v/>
      </c>
      <c r="G17" s="15">
        <f>G14-G11</f>
        <v/>
      </c>
    </row>
    <row r="18">
      <c r="A18" s="14" t="n"/>
      <c r="B18" s="14" t="inlineStr">
        <is>
          <t>Delta HC - R3</t>
        </is>
      </c>
      <c r="C18" s="15">
        <f>C15-C12</f>
        <v/>
      </c>
      <c r="D18" s="15">
        <f>D15-D12</f>
        <v/>
      </c>
      <c r="E18" s="15">
        <f>E15-E12</f>
        <v/>
      </c>
      <c r="F18" s="15">
        <f>F15-F12</f>
        <v/>
      </c>
      <c r="G18" s="15">
        <f>G15-G12</f>
        <v/>
      </c>
    </row>
    <row r="19">
      <c r="A19" s="8" t="inlineStr">
        <is>
          <t>OBSERVED (variant arm)</t>
        </is>
      </c>
      <c r="B19" s="9" t="n"/>
      <c r="C19" s="9" t="n"/>
      <c r="D19" s="9" t="n"/>
      <c r="E19" s="9" t="n"/>
      <c r="F19" s="9" t="n"/>
      <c r="G19" s="9" t="n"/>
    </row>
    <row r="20">
      <c r="A20" s="14" t="n"/>
      <c r="B20" s="14" t="inlineStr">
        <is>
          <t>Claim rate / player-day - R1 (%)</t>
        </is>
      </c>
      <c r="C20" s="16">
        <f>IFERROR(SUMPRODUCT(('Raw Data'!$B$2:$B$9999="Variant")*('Raw Data'!$C$2:$C$9999=C$5)*'Raw Data'!$D$2:$D$9999*'Raw Data'!$AI$2:$AI$9999)/SUMIFS('Raw Data'!$D:$D, 'Raw Data'!$B:$B, "Variant", 'Raw Data'!$C:$C, C$5),"")</f>
        <v/>
      </c>
      <c r="D20" s="16">
        <f>IFERROR(SUMPRODUCT(('Raw Data'!$B$2:$B$9999="Variant")*('Raw Data'!$C$2:$C$9999=D$5)*'Raw Data'!$D$2:$D$9999*'Raw Data'!$AI$2:$AI$9999)/SUMIFS('Raw Data'!$D:$D, 'Raw Data'!$B:$B, "Variant", 'Raw Data'!$C:$C, D$5),"")</f>
        <v/>
      </c>
      <c r="E20" s="16">
        <f>IFERROR(SUMPRODUCT(('Raw Data'!$B$2:$B$9999="Variant")*('Raw Data'!$C$2:$C$9999=E$5)*'Raw Data'!$D$2:$D$9999*'Raw Data'!$AI$2:$AI$9999)/SUMIFS('Raw Data'!$D:$D, 'Raw Data'!$B:$B, "Variant", 'Raw Data'!$C:$C, E$5),"")</f>
        <v/>
      </c>
      <c r="F20" s="16">
        <f>IFERROR(SUMPRODUCT(('Raw Data'!$B$2:$B$9999="Variant")*('Raw Data'!$C$2:$C$9999=F$5)*'Raw Data'!$D$2:$D$9999*'Raw Data'!$AI$2:$AI$9999)/SUMIFS('Raw Data'!$D:$D, 'Raw Data'!$B:$B, "Variant", 'Raw Data'!$C:$C, F$5),"")</f>
        <v/>
      </c>
      <c r="G20" s="16">
        <f>IFERROR(SUMPRODUCT(('Raw Data'!$B$2:$B$9999="Variant")*('Raw Data'!$C$2:$C$9999=G$5)*'Raw Data'!$D$2:$D$9999*'Raw Data'!$AI$2:$AI$9999)/SUMIFS('Raw Data'!$D:$D, 'Raw Data'!$B:$B, "Variant", 'Raw Data'!$C:$C, G$5),"")</f>
        <v/>
      </c>
      <c r="I20" s="2" t="inlineStr">
        <is>
          <t>pct_player_days_passed_R1/2/3 - the per-day claim probability</t>
        </is>
      </c>
    </row>
    <row r="21">
      <c r="A21" s="14" t="n"/>
      <c r="B21" s="14" t="inlineStr">
        <is>
          <t>Claim rate / player-day - R2 (%)</t>
        </is>
      </c>
      <c r="C21" s="16">
        <f>IFERROR(SUMPRODUCT(('Raw Data'!$B$2:$B$9999="Variant")*('Raw Data'!$C$2:$C$9999=C$5)*'Raw Data'!$D$2:$D$9999*'Raw Data'!$AJ$2:$AJ$9999)/SUMIFS('Raw Data'!$D:$D, 'Raw Data'!$B:$B, "Variant", 'Raw Data'!$C:$C, C$5),"")</f>
        <v/>
      </c>
      <c r="D21" s="16">
        <f>IFERROR(SUMPRODUCT(('Raw Data'!$B$2:$B$9999="Variant")*('Raw Data'!$C$2:$C$9999=D$5)*'Raw Data'!$D$2:$D$9999*'Raw Data'!$AJ$2:$AJ$9999)/SUMIFS('Raw Data'!$D:$D, 'Raw Data'!$B:$B, "Variant", 'Raw Data'!$C:$C, D$5),"")</f>
        <v/>
      </c>
      <c r="E21" s="16">
        <f>IFERROR(SUMPRODUCT(('Raw Data'!$B$2:$B$9999="Variant")*('Raw Data'!$C$2:$C$9999=E$5)*'Raw Data'!$D$2:$D$9999*'Raw Data'!$AJ$2:$AJ$9999)/SUMIFS('Raw Data'!$D:$D, 'Raw Data'!$B:$B, "Variant", 'Raw Data'!$C:$C, E$5),"")</f>
        <v/>
      </c>
      <c r="F21" s="16">
        <f>IFERROR(SUMPRODUCT(('Raw Data'!$B$2:$B$9999="Variant")*('Raw Data'!$C$2:$C$9999=F$5)*'Raw Data'!$D$2:$D$9999*'Raw Data'!$AJ$2:$AJ$9999)/SUMIFS('Raw Data'!$D:$D, 'Raw Data'!$B:$B, "Variant", 'Raw Data'!$C:$C, F$5),"")</f>
        <v/>
      </c>
      <c r="G21" s="16">
        <f>IFERROR(SUMPRODUCT(('Raw Data'!$B$2:$B$9999="Variant")*('Raw Data'!$C$2:$C$9999=G$5)*'Raw Data'!$D$2:$D$9999*'Raw Data'!$AJ$2:$AJ$9999)/SUMIFS('Raw Data'!$D:$D, 'Raw Data'!$B:$B, "Variant", 'Raw Data'!$C:$C, G$5),"")</f>
        <v/>
      </c>
    </row>
    <row r="22">
      <c r="A22" s="14" t="n"/>
      <c r="B22" s="14" t="inlineStr">
        <is>
          <t>Claim rate / player-day - R3 (%)</t>
        </is>
      </c>
      <c r="C22" s="16">
        <f>IFERROR(SUMPRODUCT(('Raw Data'!$B$2:$B$9999="Variant")*('Raw Data'!$C$2:$C$9999=C$5)*'Raw Data'!$D$2:$D$9999*'Raw Data'!$AK$2:$AK$9999)/SUMIFS('Raw Data'!$D:$D, 'Raw Data'!$B:$B, "Variant", 'Raw Data'!$C:$C, C$5),"")</f>
        <v/>
      </c>
      <c r="D22" s="16">
        <f>IFERROR(SUMPRODUCT(('Raw Data'!$B$2:$B$9999="Variant")*('Raw Data'!$C$2:$C$9999=D$5)*'Raw Data'!$D$2:$D$9999*'Raw Data'!$AK$2:$AK$9999)/SUMIFS('Raw Data'!$D:$D, 'Raw Data'!$B:$B, "Variant", 'Raw Data'!$C:$C, D$5),"")</f>
        <v/>
      </c>
      <c r="E22" s="16">
        <f>IFERROR(SUMPRODUCT(('Raw Data'!$B$2:$B$9999="Variant")*('Raw Data'!$C$2:$C$9999=E$5)*'Raw Data'!$D$2:$D$9999*'Raw Data'!$AK$2:$AK$9999)/SUMIFS('Raw Data'!$D:$D, 'Raw Data'!$B:$B, "Variant", 'Raw Data'!$C:$C, E$5),"")</f>
        <v/>
      </c>
      <c r="F22" s="16">
        <f>IFERROR(SUMPRODUCT(('Raw Data'!$B$2:$B$9999="Variant")*('Raw Data'!$C$2:$C$9999=F$5)*'Raw Data'!$D$2:$D$9999*'Raw Data'!$AK$2:$AK$9999)/SUMIFS('Raw Data'!$D:$D, 'Raw Data'!$B:$B, "Variant", 'Raw Data'!$C:$C, F$5),"")</f>
        <v/>
      </c>
      <c r="G22" s="16">
        <f>IFERROR(SUMPRODUCT(('Raw Data'!$B$2:$B$9999="Variant")*('Raw Data'!$C$2:$C$9999=G$5)*'Raw Data'!$D$2:$D$9999*'Raw Data'!$AK$2:$AK$9999)/SUMIFS('Raw Data'!$D:$D, 'Raw Data'!$B:$B, "Variant", 'Raw Data'!$C:$C, G$5),"")</f>
        <v/>
      </c>
    </row>
    <row r="23">
      <c r="A23" s="14" t="n"/>
      <c r="B23" s="14" t="inlineStr">
        <is>
          <t>Daily streak p50</t>
        </is>
      </c>
      <c r="C23" s="16">
        <f>IFERROR(SUMPRODUCT(('Raw Data'!$B$2:$B$9999="Variant")*('Raw Data'!$C$2:$C$9999=C$5)*'Raw Data'!$D$2:$D$9999*'Raw Data'!$AF$2:$AF$9999)/SUMIFS('Raw Data'!$D:$D, 'Raw Data'!$B:$B, "Variant", 'Raw Data'!$C:$C, C$5),"")</f>
        <v/>
      </c>
      <c r="D23" s="16">
        <f>IFERROR(SUMPRODUCT(('Raw Data'!$B$2:$B$9999="Variant")*('Raw Data'!$C$2:$C$9999=D$5)*'Raw Data'!$D$2:$D$9999*'Raw Data'!$AF$2:$AF$9999)/SUMIFS('Raw Data'!$D:$D, 'Raw Data'!$B:$B, "Variant", 'Raw Data'!$C:$C, D$5),"")</f>
        <v/>
      </c>
      <c r="E23" s="16">
        <f>IFERROR(SUMPRODUCT(('Raw Data'!$B$2:$B$9999="Variant")*('Raw Data'!$C$2:$C$9999=E$5)*'Raw Data'!$D$2:$D$9999*'Raw Data'!$AF$2:$AF$9999)/SUMIFS('Raw Data'!$D:$D, 'Raw Data'!$B:$B, "Variant", 'Raw Data'!$C:$C, E$5),"")</f>
        <v/>
      </c>
      <c r="F23" s="16">
        <f>IFERROR(SUMPRODUCT(('Raw Data'!$B$2:$B$9999="Variant")*('Raw Data'!$C$2:$C$9999=F$5)*'Raw Data'!$D$2:$D$9999*'Raw Data'!$AF$2:$AF$9999)/SUMIFS('Raw Data'!$D:$D, 'Raw Data'!$B:$B, "Variant", 'Raw Data'!$C:$C, F$5),"")</f>
        <v/>
      </c>
      <c r="G23" s="16">
        <f>IFERROR(SUMPRODUCT(('Raw Data'!$B$2:$B$9999="Variant")*('Raw Data'!$C$2:$C$9999=G$5)*'Raw Data'!$D$2:$D$9999*'Raw Data'!$AF$2:$AF$9999)/SUMIFS('Raw Data'!$D:$D, 'Raw Data'!$B:$B, "Variant", 'Raw Data'!$C:$C, G$5),"")</f>
        <v/>
      </c>
    </row>
    <row r="24">
      <c r="A24" s="14" t="n"/>
      <c r="B24" s="14" t="inlineStr">
        <is>
          <t>Daily streak p75</t>
        </is>
      </c>
      <c r="C24" s="16">
        <f>IFERROR(SUMPRODUCT(('Raw Data'!$B$2:$B$9999="Variant")*('Raw Data'!$C$2:$C$9999=C$5)*'Raw Data'!$D$2:$D$9999*'Raw Data'!$AG$2:$AG$9999)/SUMIFS('Raw Data'!$D:$D, 'Raw Data'!$B:$B, "Variant", 'Raw Data'!$C:$C, C$5),"")</f>
        <v/>
      </c>
      <c r="D24" s="16">
        <f>IFERROR(SUMPRODUCT(('Raw Data'!$B$2:$B$9999="Variant")*('Raw Data'!$C$2:$C$9999=D$5)*'Raw Data'!$D$2:$D$9999*'Raw Data'!$AG$2:$AG$9999)/SUMIFS('Raw Data'!$D:$D, 'Raw Data'!$B:$B, "Variant", 'Raw Data'!$C:$C, D$5),"")</f>
        <v/>
      </c>
      <c r="E24" s="16">
        <f>IFERROR(SUMPRODUCT(('Raw Data'!$B$2:$B$9999="Variant")*('Raw Data'!$C$2:$C$9999=E$5)*'Raw Data'!$D$2:$D$9999*'Raw Data'!$AG$2:$AG$9999)/SUMIFS('Raw Data'!$D:$D, 'Raw Data'!$B:$B, "Variant", 'Raw Data'!$C:$C, E$5),"")</f>
        <v/>
      </c>
      <c r="F24" s="16">
        <f>IFERROR(SUMPRODUCT(('Raw Data'!$B$2:$B$9999="Variant")*('Raw Data'!$C$2:$C$9999=F$5)*'Raw Data'!$D$2:$D$9999*'Raw Data'!$AG$2:$AG$9999)/SUMIFS('Raw Data'!$D:$D, 'Raw Data'!$B:$B, "Variant", 'Raw Data'!$C:$C, F$5),"")</f>
        <v/>
      </c>
      <c r="G24" s="16">
        <f>IFERROR(SUMPRODUCT(('Raw Data'!$B$2:$B$9999="Variant")*('Raw Data'!$C$2:$C$9999=G$5)*'Raw Data'!$D$2:$D$9999*'Raw Data'!$AG$2:$AG$9999)/SUMIFS('Raw Data'!$D:$D, 'Raw Data'!$B:$B, "Variant", 'Raw Data'!$C:$C, G$5),"")</f>
        <v/>
      </c>
    </row>
    <row r="25">
      <c r="A25" s="14" t="n"/>
      <c r="B25" s="14" t="inlineStr">
        <is>
          <t>Daily streak p90</t>
        </is>
      </c>
      <c r="C25" s="16">
        <f>IFERROR(SUMPRODUCT(('Raw Data'!$B$2:$B$9999="Variant")*('Raw Data'!$C$2:$C$9999=C$5)*'Raw Data'!$D$2:$D$9999*'Raw Data'!$AH$2:$AH$9999)/SUMIFS('Raw Data'!$D:$D, 'Raw Data'!$B:$B, "Variant", 'Raw Data'!$C:$C, C$5),"")</f>
        <v/>
      </c>
      <c r="D25" s="16">
        <f>IFERROR(SUMPRODUCT(('Raw Data'!$B$2:$B$9999="Variant")*('Raw Data'!$C$2:$C$9999=D$5)*'Raw Data'!$D$2:$D$9999*'Raw Data'!$AH$2:$AH$9999)/SUMIFS('Raw Data'!$D:$D, 'Raw Data'!$B:$B, "Variant", 'Raw Data'!$C:$C, D$5),"")</f>
        <v/>
      </c>
      <c r="E25" s="16">
        <f>IFERROR(SUMPRODUCT(('Raw Data'!$B$2:$B$9999="Variant")*('Raw Data'!$C$2:$C$9999=E$5)*'Raw Data'!$D$2:$D$9999*'Raw Data'!$AH$2:$AH$9999)/SUMIFS('Raw Data'!$D:$D, 'Raw Data'!$B:$B, "Variant", 'Raw Data'!$C:$C, E$5),"")</f>
        <v/>
      </c>
      <c r="F25" s="16">
        <f>IFERROR(SUMPRODUCT(('Raw Data'!$B$2:$B$9999="Variant")*('Raw Data'!$C$2:$C$9999=F$5)*'Raw Data'!$D$2:$D$9999*'Raw Data'!$AH$2:$AH$9999)/SUMIFS('Raw Data'!$D:$D, 'Raw Data'!$B:$B, "Variant", 'Raw Data'!$C:$C, F$5),"")</f>
        <v/>
      </c>
      <c r="G25" s="16">
        <f>IFERROR(SUMPRODUCT(('Raw Data'!$B$2:$B$9999="Variant")*('Raw Data'!$C$2:$C$9999=G$5)*'Raw Data'!$D$2:$D$9999*'Raw Data'!$AH$2:$AH$9999)/SUMIFS('Raw Data'!$D:$D, 'Raw Data'!$B:$B, "Variant", 'Raw Data'!$C:$C, G$5),"")</f>
        <v/>
      </c>
    </row>
    <row r="26">
      <c r="A26" s="14" t="n"/>
      <c r="B26" s="14" t="inlineStr">
        <is>
          <t>NS active rate (%)</t>
        </is>
      </c>
      <c r="C26" s="16">
        <f>IFERROR(SUMPRODUCT(('Raw Data'!$B$2:$B$9999="Variant")*('Raw Data'!$C$2:$C$9999=C$5)*'Raw Data'!$D$2:$D$9999*'Raw Data'!$AM$2:$AM$9999)/SUMIFS('Raw Data'!$D:$D, 'Raw Data'!$B:$B, "Variant", 'Raw Data'!$C:$C, C$5),"")</f>
        <v/>
      </c>
      <c r="D26" s="16">
        <f>IFERROR(SUMPRODUCT(('Raw Data'!$B$2:$B$9999="Variant")*('Raw Data'!$C$2:$C$9999=D$5)*'Raw Data'!$D$2:$D$9999*'Raw Data'!$AM$2:$AM$9999)/SUMIFS('Raw Data'!$D:$D, 'Raw Data'!$B:$B, "Variant", 'Raw Data'!$C:$C, D$5),"")</f>
        <v/>
      </c>
      <c r="E26" s="16">
        <f>IFERROR(SUMPRODUCT(('Raw Data'!$B$2:$B$9999="Variant")*('Raw Data'!$C$2:$C$9999=E$5)*'Raw Data'!$D$2:$D$9999*'Raw Data'!$AM$2:$AM$9999)/SUMIFS('Raw Data'!$D:$D, 'Raw Data'!$B:$B, "Variant", 'Raw Data'!$C:$C, E$5),"")</f>
        <v/>
      </c>
      <c r="F26" s="16">
        <f>IFERROR(SUMPRODUCT(('Raw Data'!$B$2:$B$9999="Variant")*('Raw Data'!$C$2:$C$9999=F$5)*'Raw Data'!$D$2:$D$9999*'Raw Data'!$AM$2:$AM$9999)/SUMIFS('Raw Data'!$D:$D, 'Raw Data'!$B:$B, "Variant", 'Raw Data'!$C:$C, F$5),"")</f>
        <v/>
      </c>
      <c r="G26" s="16">
        <f>IFERROR(SUMPRODUCT(('Raw Data'!$B$2:$B$9999="Variant")*('Raw Data'!$C$2:$C$9999=G$5)*'Raw Data'!$D$2:$D$9999*'Raw Data'!$AM$2:$AM$9999)/SUMIFS('Raw Data'!$D:$D, 'Raw Data'!$B:$B, "Variant", 'Raw Data'!$C:$C, G$5),"")</f>
        <v/>
      </c>
    </row>
    <row r="27">
      <c r="A27" s="14" t="n"/>
      <c r="B27" s="14" t="inlineStr">
        <is>
          <t>R1 finished (%) [actual]</t>
        </is>
      </c>
      <c r="C27" s="16">
        <f>IFERROR(SUMPRODUCT(('Raw Data'!$B$2:$B$9999="Variant")*('Raw Data'!$C$2:$C$9999=C$5)*'Raw Data'!$D$2:$D$9999*'Raw Data'!$AN$2:$AN$9999)/SUMIFS('Raw Data'!$D:$D, 'Raw Data'!$B:$B, "Variant", 'Raw Data'!$C:$C, C$5),"")</f>
        <v/>
      </c>
      <c r="D27" s="16">
        <f>IFERROR(SUMPRODUCT(('Raw Data'!$B$2:$B$9999="Variant")*('Raw Data'!$C$2:$C$9999=D$5)*'Raw Data'!$D$2:$D$9999*'Raw Data'!$AN$2:$AN$9999)/SUMIFS('Raw Data'!$D:$D, 'Raw Data'!$B:$B, "Variant", 'Raw Data'!$C:$C, D$5),"")</f>
        <v/>
      </c>
      <c r="E27" s="16">
        <f>IFERROR(SUMPRODUCT(('Raw Data'!$B$2:$B$9999="Variant")*('Raw Data'!$C$2:$C$9999=E$5)*'Raw Data'!$D$2:$D$9999*'Raw Data'!$AN$2:$AN$9999)/SUMIFS('Raw Data'!$D:$D, 'Raw Data'!$B:$B, "Variant", 'Raw Data'!$C:$C, E$5),"")</f>
        <v/>
      </c>
      <c r="F27" s="16">
        <f>IFERROR(SUMPRODUCT(('Raw Data'!$B$2:$B$9999="Variant")*('Raw Data'!$C$2:$C$9999=F$5)*'Raw Data'!$D$2:$D$9999*'Raw Data'!$AN$2:$AN$9999)/SUMIFS('Raw Data'!$D:$D, 'Raw Data'!$B:$B, "Variant", 'Raw Data'!$C:$C, F$5),"")</f>
        <v/>
      </c>
      <c r="G27" s="16">
        <f>IFERROR(SUMPRODUCT(('Raw Data'!$B$2:$B$9999="Variant")*('Raw Data'!$C$2:$C$9999=G$5)*'Raw Data'!$D$2:$D$9999*'Raw Data'!$AN$2:$AN$9999)/SUMIFS('Raw Data'!$D:$D, 'Raw Data'!$B:$B, "Variant", 'Raw Data'!$C:$C, G$5),"")</f>
        <v/>
      </c>
    </row>
    <row r="28">
      <c r="A28" s="14" t="n"/>
      <c r="B28" s="14" t="inlineStr">
        <is>
          <t>R2 finished (%) [actual]</t>
        </is>
      </c>
      <c r="C28" s="16">
        <f>IFERROR(SUMPRODUCT(('Raw Data'!$B$2:$B$9999="Variant")*('Raw Data'!$C$2:$C$9999=C$5)*'Raw Data'!$D$2:$D$9999*'Raw Data'!$AO$2:$AO$9999)/SUMIFS('Raw Data'!$D:$D, 'Raw Data'!$B:$B, "Variant", 'Raw Data'!$C:$C, C$5),"")</f>
        <v/>
      </c>
      <c r="D28" s="16">
        <f>IFERROR(SUMPRODUCT(('Raw Data'!$B$2:$B$9999="Variant")*('Raw Data'!$C$2:$C$9999=D$5)*'Raw Data'!$D$2:$D$9999*'Raw Data'!$AO$2:$AO$9999)/SUMIFS('Raw Data'!$D:$D, 'Raw Data'!$B:$B, "Variant", 'Raw Data'!$C:$C, D$5),"")</f>
        <v/>
      </c>
      <c r="E28" s="16">
        <f>IFERROR(SUMPRODUCT(('Raw Data'!$B$2:$B$9999="Variant")*('Raw Data'!$C$2:$C$9999=E$5)*'Raw Data'!$D$2:$D$9999*'Raw Data'!$AO$2:$AO$9999)/SUMIFS('Raw Data'!$D:$D, 'Raw Data'!$B:$B, "Variant", 'Raw Data'!$C:$C, E$5),"")</f>
        <v/>
      </c>
      <c r="F28" s="16">
        <f>IFERROR(SUMPRODUCT(('Raw Data'!$B$2:$B$9999="Variant")*('Raw Data'!$C$2:$C$9999=F$5)*'Raw Data'!$D$2:$D$9999*'Raw Data'!$AO$2:$AO$9999)/SUMIFS('Raw Data'!$D:$D, 'Raw Data'!$B:$B, "Variant", 'Raw Data'!$C:$C, F$5),"")</f>
        <v/>
      </c>
      <c r="G28" s="16">
        <f>IFERROR(SUMPRODUCT(('Raw Data'!$B$2:$B$9999="Variant")*('Raw Data'!$C$2:$C$9999=G$5)*'Raw Data'!$D$2:$D$9999*'Raw Data'!$AO$2:$AO$9999)/SUMIFS('Raw Data'!$D:$D, 'Raw Data'!$B:$B, "Variant", 'Raw Data'!$C:$C, G$5),"")</f>
        <v/>
      </c>
    </row>
    <row r="29">
      <c r="A29" s="14" t="n"/>
      <c r="B29" s="14" t="inlineStr">
        <is>
          <t>R3 finished (%) [actual]</t>
        </is>
      </c>
      <c r="C29" s="16">
        <f>IFERROR(SUMPRODUCT(('Raw Data'!$B$2:$B$9999="Variant")*('Raw Data'!$C$2:$C$9999=C$5)*'Raw Data'!$D$2:$D$9999*'Raw Data'!$AP$2:$AP$9999)/SUMIFS('Raw Data'!$D:$D, 'Raw Data'!$B:$B, "Variant", 'Raw Data'!$C:$C, C$5),"")</f>
        <v/>
      </c>
      <c r="D29" s="16">
        <f>IFERROR(SUMPRODUCT(('Raw Data'!$B$2:$B$9999="Variant")*('Raw Data'!$C$2:$C$9999=D$5)*'Raw Data'!$D$2:$D$9999*'Raw Data'!$AP$2:$AP$9999)/SUMIFS('Raw Data'!$D:$D, 'Raw Data'!$B:$B, "Variant", 'Raw Data'!$C:$C, D$5),"")</f>
        <v/>
      </c>
      <c r="E29" s="16">
        <f>IFERROR(SUMPRODUCT(('Raw Data'!$B$2:$B$9999="Variant")*('Raw Data'!$C$2:$C$9999=E$5)*'Raw Data'!$D$2:$D$9999*'Raw Data'!$AP$2:$AP$9999)/SUMIFS('Raw Data'!$D:$D, 'Raw Data'!$B:$B, "Variant", 'Raw Data'!$C:$C, E$5),"")</f>
        <v/>
      </c>
      <c r="F29" s="16">
        <f>IFERROR(SUMPRODUCT(('Raw Data'!$B$2:$B$9999="Variant")*('Raw Data'!$C$2:$C$9999=F$5)*'Raw Data'!$D$2:$D$9999*'Raw Data'!$AP$2:$AP$9999)/SUMIFS('Raw Data'!$D:$D, 'Raw Data'!$B:$B, "Variant", 'Raw Data'!$C:$C, F$5),"")</f>
        <v/>
      </c>
      <c r="G29" s="16">
        <f>IFERROR(SUMPRODUCT(('Raw Data'!$B$2:$B$9999="Variant")*('Raw Data'!$C$2:$C$9999=G$5)*'Raw Data'!$D$2:$D$9999*'Raw Data'!$AP$2:$AP$9999)/SUMIFS('Raw Data'!$D:$D, 'Raw Data'!$B:$B, "Variant", 'Raw Data'!$C:$C, G$5),"")</f>
        <v/>
      </c>
    </row>
    <row r="30">
      <c r="A30" s="8" t="inlineStr">
        <is>
          <t>WHERE EACH ROUND SITS</t>
        </is>
      </c>
      <c r="B30" s="9" t="n"/>
      <c r="C30" s="9" t="n"/>
      <c r="D30" s="9" t="n"/>
      <c r="E30" s="9" t="n"/>
      <c r="F30" s="9" t="n"/>
      <c r="G30" s="9" t="n"/>
    </row>
    <row r="31">
      <c r="A31" s="14" t="n"/>
      <c r="B31" s="14" t="inlineStr">
        <is>
          <t>R1 req vs streak distribution</t>
        </is>
      </c>
      <c r="C31" s="17">
        <f>IF(C7&lt;C23,"below p50 - no streak pull",IF(C7&lt;C24,"p50-p75 - reachable stretch",IF(C7&lt;C25,"p75-p90 - stretch","&gt;p90 - aspiration")))</f>
        <v/>
      </c>
      <c r="D31" s="17">
        <f>IF(D7&lt;D23,"below p50 - no streak pull",IF(D7&lt;D24,"p50-p75 - reachable stretch",IF(D7&lt;D25,"p75-p90 - stretch","&gt;p90 - aspiration")))</f>
        <v/>
      </c>
      <c r="E31" s="17">
        <f>IF(E7&lt;E23,"below p50 - no streak pull",IF(E7&lt;E24,"p50-p75 - reachable stretch",IF(E7&lt;E25,"p75-p90 - stretch","&gt;p90 - aspiration")))</f>
        <v/>
      </c>
      <c r="F31" s="17">
        <f>IF(F7&lt;F23,"below p50 - no streak pull",IF(F7&lt;F24,"p50-p75 - reachable stretch",IF(F7&lt;F25,"p75-p90 - stretch","&gt;p90 - aspiration")))</f>
        <v/>
      </c>
      <c r="G31" s="17">
        <f>IF(G7&lt;G23,"below p50 - no streak pull",IF(G7&lt;G24,"p50-p75 - reachable stretch",IF(G7&lt;G25,"p75-p90 - stretch","&gt;p90 - aspiration")))</f>
        <v/>
      </c>
      <c r="I31" s="2" t="inlineStr">
        <is>
          <t>raising a below-p50 rung is pure HC inflation</t>
        </is>
      </c>
    </row>
    <row r="32">
      <c r="A32" s="14" t="n"/>
      <c r="B32" s="14" t="inlineStr">
        <is>
          <t>R2 req vs streak distribution</t>
        </is>
      </c>
      <c r="C32" s="17">
        <f>IF(C8&lt;C23,"below p50 - no streak pull",IF(C8&lt;C24,"p50-p75 - reachable stretch",IF(C8&lt;C25,"p75-p90 - stretch","&gt;p90 - aspiration")))</f>
        <v/>
      </c>
      <c r="D32" s="17">
        <f>IF(D8&lt;D23,"below p50 - no streak pull",IF(D8&lt;D24,"p50-p75 - reachable stretch",IF(D8&lt;D25,"p75-p90 - stretch","&gt;p90 - aspiration")))</f>
        <v/>
      </c>
      <c r="E32" s="17">
        <f>IF(E8&lt;E23,"below p50 - no streak pull",IF(E8&lt;E24,"p50-p75 - reachable stretch",IF(E8&lt;E25,"p75-p90 - stretch","&gt;p90 - aspiration")))</f>
        <v/>
      </c>
      <c r="F32" s="17">
        <f>IF(F8&lt;F23,"below p50 - no streak pull",IF(F8&lt;F24,"p50-p75 - reachable stretch",IF(F8&lt;F25,"p75-p90 - stretch","&gt;p90 - aspiration")))</f>
        <v/>
      </c>
      <c r="G32" s="17">
        <f>IF(G8&lt;G23,"below p50 - no streak pull",IF(G8&lt;G24,"p50-p75 - reachable stretch",IF(G8&lt;G25,"p75-p90 - stretch","&gt;p90 - aspiration")))</f>
        <v/>
      </c>
    </row>
    <row r="33">
      <c r="A33" s="14" t="n"/>
      <c r="B33" s="14" t="inlineStr">
        <is>
          <t>R3 req vs streak distribution</t>
        </is>
      </c>
      <c r="C33" s="17">
        <f>IF(C9&lt;C23,"below p50 - no streak pull",IF(C9&lt;C24,"p50-p75 - reachable stretch",IF(C9&lt;C25,"p75-p90 - stretch","&gt;p90 - aspiration")))</f>
        <v/>
      </c>
      <c r="D33" s="17">
        <f>IF(D9&lt;D23,"below p50 - no streak pull",IF(D9&lt;D24,"p50-p75 - reachable stretch",IF(D9&lt;D25,"p75-p90 - stretch","&gt;p90 - aspiration")))</f>
        <v/>
      </c>
      <c r="E33" s="17">
        <f>IF(E9&lt;E23,"below p50 - no streak pull",IF(E9&lt;E24,"p50-p75 - reachable stretch",IF(E9&lt;E25,"p75-p90 - stretch","&gt;p90 - aspiration")))</f>
        <v/>
      </c>
      <c r="F33" s="17">
        <f>IF(F9&lt;F23,"below p50 - no streak pull",IF(F9&lt;F24,"p50-p75 - reachable stretch",IF(F9&lt;F25,"p75-p90 - stretch","&gt;p90 - aspiration")))</f>
        <v/>
      </c>
      <c r="G33" s="17">
        <f>IF(G9&lt;G23,"below p50 - no streak pull",IF(G9&lt;G24,"p50-p75 - reachable stretch",IF(G9&lt;G25,"p75-p90 - stretch","&gt;p90 - aspiration")))</f>
        <v/>
      </c>
    </row>
    <row r="34">
      <c r="A34" s="8" t="inlineStr">
        <is>
          <t>NS HC PER PLAYER-DAY</t>
        </is>
      </c>
      <c r="B34" s="9" t="n"/>
      <c r="C34" s="9" t="n"/>
      <c r="D34" s="9" t="n"/>
      <c r="E34" s="9" t="n"/>
      <c r="F34" s="9" t="n"/>
      <c r="G34" s="9" t="n"/>
    </row>
    <row r="35">
      <c r="A35" s="14" t="n"/>
      <c r="B35" s="14" t="inlineStr">
        <is>
          <t>NS HC now (sum of claim rate x reward)</t>
        </is>
      </c>
      <c r="C35" s="18">
        <f>SUMPRODUCT(C20:C22/100,C10:C12)</f>
        <v/>
      </c>
      <c r="D35" s="18">
        <f>SUMPRODUCT(D20:D22/100,D10:D12)</f>
        <v/>
      </c>
      <c r="E35" s="18">
        <f>SUMPRODUCT(E20:E22/100,E10:E12)</f>
        <v/>
      </c>
      <c r="F35" s="18">
        <f>SUMPRODUCT(F20:F22/100,F10:F12)</f>
        <v/>
      </c>
      <c r="G35" s="18">
        <f>SUMPRODUCT(G20:G22/100,G10:G12)</f>
        <v/>
      </c>
    </row>
    <row r="36">
      <c r="A36" s="14" t="n"/>
      <c r="B36" s="14" t="inlineStr">
        <is>
          <t>NS HC with proposal</t>
        </is>
      </c>
      <c r="C36" s="18">
        <f>SUMPRODUCT(C20:C22/100,C13:C15)</f>
        <v/>
      </c>
      <c r="D36" s="18">
        <f>SUMPRODUCT(D20:D22/100,D13:D15)</f>
        <v/>
      </c>
      <c r="E36" s="18">
        <f>SUMPRODUCT(E20:E22/100,E13:E15)</f>
        <v/>
      </c>
      <c r="F36" s="18">
        <f>SUMPRODUCT(F20:F22/100,F13:F15)</f>
        <v/>
      </c>
      <c r="G36" s="18">
        <f>SUMPRODUCT(G20:G22/100,G13:G15)</f>
        <v/>
      </c>
    </row>
    <row r="37">
      <c r="A37" s="14" t="n"/>
      <c r="B37" s="19" t="inlineStr">
        <is>
          <t>Delta NS HC / player-day</t>
        </is>
      </c>
      <c r="C37" s="20">
        <f>C36-C35</f>
        <v/>
      </c>
      <c r="D37" s="20">
        <f>D36-D35</f>
        <v/>
      </c>
      <c r="E37" s="20">
        <f>E36-E35</f>
        <v/>
      </c>
      <c r="F37" s="20">
        <f>F36-F35</f>
        <v/>
      </c>
      <c r="G37" s="20">
        <f>G36-G35</f>
        <v/>
      </c>
    </row>
    <row r="38">
      <c r="A38" s="14" t="n"/>
      <c r="B38" s="14" t="inlineStr">
        <is>
          <t>NS uplift %</t>
        </is>
      </c>
      <c r="C38" s="21">
        <f>IFERROR(C36/C35-1,"")</f>
        <v/>
      </c>
      <c r="D38" s="21">
        <f>IFERROR(D36/D35-1,"")</f>
        <v/>
      </c>
      <c r="E38" s="21">
        <f>IFERROR(E36/E35-1,"")</f>
        <v/>
      </c>
      <c r="F38" s="21">
        <f>IFERROR(F36/F35-1,"")</f>
        <v/>
      </c>
      <c r="G38" s="21">
        <f>IFERROR(G36/G35-1,"")</f>
        <v/>
      </c>
    </row>
    <row r="39">
      <c r="A39" s="8" t="inlineStr">
        <is>
          <t>TOTAL HC GAIN / PLAYER</t>
        </is>
      </c>
      <c r="B39" s="9" t="n"/>
      <c r="C39" s="9" t="n"/>
      <c r="D39" s="9" t="n"/>
      <c r="E39" s="9" t="n"/>
      <c r="F39" s="9" t="n"/>
      <c r="G39" s="9" t="n"/>
    </row>
    <row r="40">
      <c r="A40" s="14" t="n"/>
      <c r="B40" s="14" t="inlineStr">
        <is>
          <t>Control</t>
        </is>
      </c>
      <c r="C40" s="18">
        <f>IFERROR(SUMPRODUCT(('Raw Data'!$B$2:$B$9999="Control")*('Raw Data'!$C$2:$C$9999=C$5)*'Raw Data'!$D$2:$D$9999*'Raw Data'!$Q$2:$Q$9999)/SUMIFS('Raw Data'!$D:$D, 'Raw Data'!$B:$B, "Control", 'Raw Data'!$C:$C, C$5),"")</f>
        <v/>
      </c>
      <c r="D40" s="18">
        <f>IFERROR(SUMPRODUCT(('Raw Data'!$B$2:$B$9999="Control")*('Raw Data'!$C$2:$C$9999=D$5)*'Raw Data'!$D$2:$D$9999*'Raw Data'!$Q$2:$Q$9999)/SUMIFS('Raw Data'!$D:$D, 'Raw Data'!$B:$B, "Control", 'Raw Data'!$C:$C, D$5),"")</f>
        <v/>
      </c>
      <c r="E40" s="18">
        <f>IFERROR(SUMPRODUCT(('Raw Data'!$B$2:$B$9999="Control")*('Raw Data'!$C$2:$C$9999=E$5)*'Raw Data'!$D$2:$D$9999*'Raw Data'!$Q$2:$Q$9999)/SUMIFS('Raw Data'!$D:$D, 'Raw Data'!$B:$B, "Control", 'Raw Data'!$C:$C, E$5),"")</f>
        <v/>
      </c>
      <c r="F40" s="18">
        <f>IFERROR(SUMPRODUCT(('Raw Data'!$B$2:$B$9999="Control")*('Raw Data'!$C$2:$C$9999=F$5)*'Raw Data'!$D$2:$D$9999*'Raw Data'!$Q$2:$Q$9999)/SUMIFS('Raw Data'!$D:$D, 'Raw Data'!$B:$B, "Control", 'Raw Data'!$C:$C, F$5),"")</f>
        <v/>
      </c>
      <c r="G40" s="18">
        <f>IFERROR(SUMPRODUCT(('Raw Data'!$B$2:$B$9999="Control")*('Raw Data'!$C$2:$C$9999=G$5)*'Raw Data'!$D$2:$D$9999*'Raw Data'!$Q$2:$Q$9999)/SUMIFS('Raw Data'!$D:$D, 'Raw Data'!$B:$B, "Control", 'Raw Data'!$C:$C, G$5),"")</f>
        <v/>
      </c>
    </row>
    <row r="41">
      <c r="A41" s="14" t="n"/>
      <c r="B41" s="14" t="inlineStr">
        <is>
          <t>Variant (as tested)</t>
        </is>
      </c>
      <c r="C41" s="18">
        <f>IFERROR(SUMPRODUCT(('Raw Data'!$B$2:$B$9999="Variant")*('Raw Data'!$C$2:$C$9999=C$5)*'Raw Data'!$D$2:$D$9999*'Raw Data'!$Q$2:$Q$9999)/SUMIFS('Raw Data'!$D:$D, 'Raw Data'!$B:$B, "Variant", 'Raw Data'!$C:$C, C$5),"")</f>
        <v/>
      </c>
      <c r="D41" s="18">
        <f>IFERROR(SUMPRODUCT(('Raw Data'!$B$2:$B$9999="Variant")*('Raw Data'!$C$2:$C$9999=D$5)*'Raw Data'!$D$2:$D$9999*'Raw Data'!$Q$2:$Q$9999)/SUMIFS('Raw Data'!$D:$D, 'Raw Data'!$B:$B, "Variant", 'Raw Data'!$C:$C, D$5),"")</f>
        <v/>
      </c>
      <c r="E41" s="18">
        <f>IFERROR(SUMPRODUCT(('Raw Data'!$B$2:$B$9999="Variant")*('Raw Data'!$C$2:$C$9999=E$5)*'Raw Data'!$D$2:$D$9999*'Raw Data'!$Q$2:$Q$9999)/SUMIFS('Raw Data'!$D:$D, 'Raw Data'!$B:$B, "Variant", 'Raw Data'!$C:$C, E$5),"")</f>
        <v/>
      </c>
      <c r="F41" s="18">
        <f>IFERROR(SUMPRODUCT(('Raw Data'!$B$2:$B$9999="Variant")*('Raw Data'!$C$2:$C$9999=F$5)*'Raw Data'!$D$2:$D$9999*'Raw Data'!$Q$2:$Q$9999)/SUMIFS('Raw Data'!$D:$D, 'Raw Data'!$B:$B, "Variant", 'Raw Data'!$C:$C, F$5),"")</f>
        <v/>
      </c>
      <c r="G41" s="18">
        <f>IFERROR(SUMPRODUCT(('Raw Data'!$B$2:$B$9999="Variant")*('Raw Data'!$C$2:$C$9999=G$5)*'Raw Data'!$D$2:$D$9999*'Raw Data'!$Q$2:$Q$9999)/SUMIFS('Raw Data'!$D:$D, 'Raw Data'!$B:$B, "Variant", 'Raw Data'!$C:$C, G$5),"")</f>
        <v/>
      </c>
    </row>
    <row r="42">
      <c r="A42" s="14" t="n"/>
      <c r="B42" s="19" t="inlineStr">
        <is>
          <t>Variant + proposal</t>
        </is>
      </c>
      <c r="C42" s="20">
        <f>C41+C37</f>
        <v/>
      </c>
      <c r="D42" s="20">
        <f>D41+D37</f>
        <v/>
      </c>
      <c r="E42" s="20">
        <f>E41+E37</f>
        <v/>
      </c>
      <c r="F42" s="20">
        <f>F41+F37</f>
        <v/>
      </c>
      <c r="G42" s="20">
        <f>G41+G37</f>
        <v/>
      </c>
    </row>
    <row r="43">
      <c r="A43" s="14" t="n"/>
      <c r="B43" s="14" t="inlineStr">
        <is>
          <t>NS share of HC gain (now)</t>
        </is>
      </c>
      <c r="C43" s="22">
        <f>IFERROR(C35/C41,"")</f>
        <v/>
      </c>
      <c r="D43" s="22">
        <f>IFERROR(D35/D41,"")</f>
        <v/>
      </c>
      <c r="E43" s="22">
        <f>IFERROR(E35/E41,"")</f>
        <v/>
      </c>
      <c r="F43" s="22">
        <f>IFERROR(F35/F41,"")</f>
        <v/>
      </c>
      <c r="G43" s="22">
        <f>IFERROR(G35/G41,"")</f>
        <v/>
      </c>
    </row>
    <row r="44">
      <c r="A44" s="14" t="n"/>
      <c r="B44" s="14" t="inlineStr">
        <is>
          <t>Delta % as tested</t>
        </is>
      </c>
      <c r="C44" s="21">
        <f>IFERROR(C41/C40-1,"")</f>
        <v/>
      </c>
      <c r="D44" s="21">
        <f>IFERROR(D41/D40-1,"")</f>
        <v/>
      </c>
      <c r="E44" s="21">
        <f>IFERROR(E41/E40-1,"")</f>
        <v/>
      </c>
      <c r="F44" s="21">
        <f>IFERROR(F41/F40-1,"")</f>
        <v/>
      </c>
      <c r="G44" s="21">
        <f>IFERROR(G41/G40-1,"")</f>
        <v/>
      </c>
    </row>
    <row r="45">
      <c r="A45" s="14" t="n"/>
      <c r="B45" s="19" t="inlineStr">
        <is>
          <t>Delta % with proposal</t>
        </is>
      </c>
      <c r="C45" s="23">
        <f>IFERROR(C42/C40-1,"")</f>
        <v/>
      </c>
      <c r="D45" s="23">
        <f>IFERROR(D42/D40-1,"")</f>
        <v/>
      </c>
      <c r="E45" s="23">
        <f>IFERROR(E42/E40-1,"")</f>
        <v/>
      </c>
      <c r="F45" s="23">
        <f>IFERROR(F42/F40-1,"")</f>
        <v/>
      </c>
      <c r="G45" s="23">
        <f>IFERROR(G42/G40-1,"")</f>
        <v/>
      </c>
    </row>
    <row r="46">
      <c r="A46" s="14" t="n"/>
      <c r="B46" s="19" t="inlineStr">
        <is>
          <t>In target band (-4% .. 0%)?</t>
        </is>
      </c>
      <c r="C46" s="24">
        <f>IF(C45="","",IF(AND(C45&gt;=-0.04,C45&lt;=0),"YES","NO"))</f>
        <v/>
      </c>
      <c r="D46" s="24">
        <f>IF(D45="","",IF(AND(D45&gt;=-0.04,D45&lt;=0),"YES","NO"))</f>
        <v/>
      </c>
      <c r="E46" s="24">
        <f>IF(E45="","",IF(AND(E45&gt;=-0.04,E45&lt;=0),"YES","NO"))</f>
        <v/>
      </c>
      <c r="F46" s="24">
        <f>IF(F45="","",IF(AND(F45&gt;=-0.04,F45&lt;=0),"YES","NO"))</f>
        <v/>
      </c>
      <c r="G46" s="24">
        <f>IF(G45="","",IF(AND(G45&gt;=-0.04,G45&lt;=0),"YES","NO"))</f>
        <v/>
      </c>
      <c r="I46" s="2" t="inlineStr">
        <is>
          <t>static estimate - behavioural response is upside on top</t>
        </is>
      </c>
    </row>
    <row r="47">
      <c r="A47" s="8" t="inlineStr">
        <is>
          <t>MARGINAL HC PER EXTRA WIN</t>
        </is>
      </c>
      <c r="B47" s="9" t="n"/>
      <c r="C47" s="9" t="n"/>
      <c r="D47" s="9" t="n"/>
      <c r="E47" s="9" t="n"/>
      <c r="F47" s="9" t="n"/>
      <c r="G47" s="9" t="n"/>
    </row>
    <row r="48">
      <c r="A48" s="14" t="n"/>
      <c r="B48" s="14" t="inlineStr">
        <is>
          <t>R1 - now</t>
        </is>
      </c>
      <c r="C48" s="16">
        <f>IFERROR(C10/C7,"")</f>
        <v/>
      </c>
      <c r="D48" s="16">
        <f>IFERROR(D10/D7,"")</f>
        <v/>
      </c>
      <c r="E48" s="16">
        <f>IFERROR(E10/E7,"")</f>
        <v/>
      </c>
      <c r="F48" s="16">
        <f>IFERROR(F10/F7,"")</f>
        <v/>
      </c>
      <c r="G48" s="16">
        <f>IFERROR(G10/G7,"")</f>
        <v/>
      </c>
    </row>
    <row r="49">
      <c r="A49" s="14" t="n"/>
      <c r="B49" s="19" t="inlineStr">
        <is>
          <t>R1 - proposed</t>
        </is>
      </c>
      <c r="C49" s="25">
        <f>IFERROR(C13/C7,"")</f>
        <v/>
      </c>
      <c r="D49" s="25">
        <f>IFERROR(D13/D7,"")</f>
        <v/>
      </c>
      <c r="E49" s="25">
        <f>IFERROR(E13/E7,"")</f>
        <v/>
      </c>
      <c r="F49" s="25">
        <f>IFERROR(F13/F7,"")</f>
        <v/>
      </c>
      <c r="G49" s="25">
        <f>IFERROR(G13/G7,"")</f>
        <v/>
      </c>
    </row>
    <row r="50">
      <c r="A50" s="14" t="n"/>
      <c r="B50" s="14" t="inlineStr">
        <is>
          <t>R2 - now</t>
        </is>
      </c>
      <c r="C50" s="16">
        <f>IFERROR((C11-C10)/(C8-C7),"")</f>
        <v/>
      </c>
      <c r="D50" s="16">
        <f>IFERROR((D11-D10)/(D8-D7),"")</f>
        <v/>
      </c>
      <c r="E50" s="16">
        <f>IFERROR((E11-E10)/(E8-E7),"")</f>
        <v/>
      </c>
      <c r="F50" s="16">
        <f>IFERROR((F11-F10)/(F8-F7),"")</f>
        <v/>
      </c>
      <c r="G50" s="16">
        <f>IFERROR((G11-G10)/(G8-G7),"")</f>
        <v/>
      </c>
    </row>
    <row r="51">
      <c r="A51" s="14" t="n"/>
      <c r="B51" s="19" t="inlineStr">
        <is>
          <t>R2 - proposed</t>
        </is>
      </c>
      <c r="C51" s="25">
        <f>IFERROR((C14-C13)/(C8-C7),"")</f>
        <v/>
      </c>
      <c r="D51" s="25">
        <f>IFERROR((D14-D13)/(D8-D7),"")</f>
        <v/>
      </c>
      <c r="E51" s="25">
        <f>IFERROR((E14-E13)/(E8-E7),"")</f>
        <v/>
      </c>
      <c r="F51" s="25">
        <f>IFERROR((F14-F13)/(F8-F7),"")</f>
        <v/>
      </c>
      <c r="G51" s="25">
        <f>IFERROR((G14-G13)/(G8-G7),"")</f>
        <v/>
      </c>
    </row>
    <row r="52">
      <c r="A52" s="14" t="n"/>
      <c r="B52" s="14" t="inlineStr">
        <is>
          <t>R3 - now</t>
        </is>
      </c>
      <c r="C52" s="16">
        <f>IFERROR((C12-C11)/(C9-C8),"")</f>
        <v/>
      </c>
      <c r="D52" s="16">
        <f>IFERROR((D12-D11)/(D9-D8),"")</f>
        <v/>
      </c>
      <c r="E52" s="16">
        <f>IFERROR((E12-E11)/(E9-E8),"")</f>
        <v/>
      </c>
      <c r="F52" s="16">
        <f>IFERROR((F12-F11)/(F9-F8),"")</f>
        <v/>
      </c>
      <c r="G52" s="16">
        <f>IFERROR((G12-G11)/(G9-G8),"")</f>
        <v/>
      </c>
    </row>
    <row r="53">
      <c r="A53" s="14" t="n"/>
      <c r="B53" s="19" t="inlineStr">
        <is>
          <t>R3 - proposed</t>
        </is>
      </c>
      <c r="C53" s="25">
        <f>IFERROR((C15-C14)/(C9-C8),"")</f>
        <v/>
      </c>
      <c r="D53" s="25">
        <f>IFERROR((D15-D14)/(D9-D8),"")</f>
        <v/>
      </c>
      <c r="E53" s="25">
        <f>IFERROR((E15-E14)/(E9-E8),"")</f>
        <v/>
      </c>
      <c r="F53" s="25">
        <f>IFERROR((F15-F14)/(F9-F8),"")</f>
        <v/>
      </c>
      <c r="G53" s="25">
        <f>IFERROR((G15-G14)/(G9-G8),"")</f>
        <v/>
      </c>
    </row>
    <row r="54">
      <c r="A54" s="14" t="n"/>
      <c r="B54" s="19" t="inlineStr">
        <is>
          <t>Top-rung pull (R3/R2 per win) - now</t>
        </is>
      </c>
      <c r="C54" s="25">
        <f>IFERROR(C52/C50,"")</f>
        <v/>
      </c>
      <c r="D54" s="25">
        <f>IFERROR(D52/D50,"")</f>
        <v/>
      </c>
      <c r="E54" s="25">
        <f>IFERROR(E52/E50,"")</f>
        <v/>
      </c>
      <c r="F54" s="25">
        <f>IFERROR(F52/F50,"")</f>
        <v/>
      </c>
      <c r="G54" s="25">
        <f>IFERROR(G52/G50,"")</f>
        <v/>
      </c>
      <c r="I54" s="2" t="inlineStr">
        <is>
          <t>&lt;1.00 = the last rung pays less per win than the one before it</t>
        </is>
      </c>
    </row>
    <row r="55">
      <c r="A55" s="14" t="n"/>
      <c r="B55" s="19" t="inlineStr">
        <is>
          <t>Top-rung pull - proposed</t>
        </is>
      </c>
      <c r="C55" s="25">
        <f>IFERROR(C53/C51,"")</f>
        <v/>
      </c>
      <c r="D55" s="25">
        <f>IFERROR(D53/D51,"")</f>
        <v/>
      </c>
      <c r="E55" s="25">
        <f>IFERROR(E53/E51,"")</f>
        <v/>
      </c>
      <c r="F55" s="25">
        <f>IFERROR(F53/F51,"")</f>
        <v/>
      </c>
      <c r="G55" s="25">
        <f>IFERROR(G53/G51,"")</f>
        <v/>
      </c>
    </row>
    <row r="56">
      <c r="A56" s="8" t="inlineStr">
        <is>
          <t>CROSS-CHECK vs ECONOMY SIM (static)</t>
        </is>
      </c>
      <c r="B56" s="9" t="n"/>
      <c r="C56" s="9" t="n"/>
      <c r="D56" s="9" t="n"/>
      <c r="E56" s="9" t="n"/>
      <c r="F56" s="9" t="n"/>
      <c r="G56" s="9" t="n"/>
    </row>
    <row r="57">
      <c r="A57" s="14" t="n"/>
      <c r="B57" s="14" t="inlineStr">
        <is>
          <t>R(HC) - survival model, EcoGainsSim_v4 (static)</t>
        </is>
      </c>
      <c r="C57" s="26" t="n">
        <v>1.677</v>
      </c>
      <c r="D57" s="26" t="n">
        <v>1.393</v>
      </c>
      <c r="E57" s="26" t="n">
        <v>1.374</v>
      </c>
      <c r="F57" s="26" t="n">
        <v>1.252</v>
      </c>
      <c r="G57" s="26" t="n">
        <v>1.358</v>
      </c>
      <c r="I57" s="2" t="inlineStr">
        <is>
          <t>E(NS_v2)/E(NS) over data_streaks x NS_STREAK_N 1.25, workbook (14)</t>
        </is>
      </c>
    </row>
    <row r="58">
      <c r="A58" s="14" t="n"/>
      <c r="B58" s="14" t="inlineStr">
        <is>
          <t>R(HC) - implied by A/B claim rates</t>
        </is>
      </c>
      <c r="C58" s="26">
        <f>IFERROR(C36/C35,"")</f>
        <v/>
      </c>
      <c r="D58" s="26">
        <f>IFERROR(D36/D35,"")</f>
        <v/>
      </c>
      <c r="E58" s="26">
        <f>IFERROR(E36/E35,"")</f>
        <v/>
      </c>
      <c r="F58" s="26">
        <f>IFERROR(F36/F35,"")</f>
        <v/>
      </c>
      <c r="G58" s="26">
        <f>IFERROR(G36/G35,"")</f>
        <v/>
      </c>
    </row>
    <row r="59">
      <c r="A59" s="14" t="n"/>
      <c r="B59" s="14" t="inlineStr">
        <is>
          <t>Agreement (A/B vs model)</t>
        </is>
      </c>
      <c r="C59" s="21">
        <f>IFERROR(C58/C57-1,"")</f>
        <v/>
      </c>
      <c r="D59" s="21">
        <f>IFERROR(D58/D57-1,"")</f>
        <v/>
      </c>
      <c r="E59" s="21">
        <f>IFERROR(E58/E57-1,"")</f>
        <v/>
      </c>
      <c r="F59" s="21">
        <f>IFERROR(F58/F57-1,"")</f>
        <v/>
      </c>
      <c r="G59" s="21">
        <f>IFERROR(G58/G57-1,"")</f>
        <v/>
      </c>
      <c r="I59" s="2" t="inlineStr">
        <is>
          <t>two independent methods - agreement is the validation</t>
        </is>
      </c>
    </row>
    <row r="60">
      <c r="A60" s="14" t="n"/>
      <c r="B60" s="14" t="inlineStr">
        <is>
          <t>Sim NS row now (HC/earner, 33d, NONPAYER) (static)</t>
        </is>
      </c>
      <c r="C60" s="18" t="n">
        <v>14.07</v>
      </c>
      <c r="D60" s="18" t="n">
        <v>43.51</v>
      </c>
      <c r="E60" s="18" t="n">
        <v>86.84999999999999</v>
      </c>
      <c r="F60" s="18" t="n">
        <v>180.67</v>
      </c>
      <c r="G60" s="18" t="n">
        <v>201.74</v>
      </c>
    </row>
    <row r="61">
      <c r="A61" s="14" t="n"/>
      <c r="B61" s="19" t="inlineStr">
        <is>
          <t>Sim NS row with proposal (static)</t>
        </is>
      </c>
      <c r="C61" s="20" t="n">
        <v>23.61</v>
      </c>
      <c r="D61" s="20" t="n">
        <v>60.62</v>
      </c>
      <c r="E61" s="20" t="n">
        <v>119.36</v>
      </c>
      <c r="F61" s="20" t="n">
        <v>226.11</v>
      </c>
      <c r="G61" s="20" t="n">
        <v>274.05</v>
      </c>
    </row>
    <row r="63">
      <c r="A63" s="27" t="inlineStr">
        <is>
          <t>How this is sized: NS HC per player-day = SUM over rounds of (claim rate x reward), taken from 'Raw Data' pct_player_days_passed_R1/2/3 - the same units as avg_hc_gain_total, so no basis conversion is involved. The proposal solves for a landing near -3%, deliberately short of neutral.</t>
        </is>
      </c>
    </row>
    <row r="64">
      <c r="A64" s="27" t="inlineStr">
        <is>
          <t>Why coins on the deep rungs: a rung below the segment median streak is already cleared on most active days (claim rates 60-74%), so raising it buys HC with no behavioural pull. The increase goes to the rung players are stretching for, which also re-steepens HC-per-extra-win.</t>
        </is>
      </c>
    </row>
    <row r="65">
      <c r="A65" s="27" t="inlineStr">
        <is>
          <t>Top-rung pull: the proposal roughly doubles it at 1-9 (0.30 -&gt; 0.60) and 100+ (0.45 -&gt; 0.69) and lifts 20-39 (1.34 -&gt; 1.53), but only 20-39 and 40-99 end above 1.00 - at 1-9, 10-19 and 100+ the R2 rung still pays the best marginal rate. Pushing them past 1.00 costs little (100+ R3 815 instead of 700 =&gt; -3.55% instead of -3.73%); type it into the input block to see it.</t>
        </is>
      </c>
    </row>
    <row r="66">
      <c r="A66" s="27" t="inlineStr">
        <is>
          <t>Upside not modelled (this is why the target is -3%, not -1%): if streak chasing responds, the claim rates themselves rise, and more attempts feed Core HC. Both push the result toward 0.</t>
        </is>
      </c>
    </row>
    <row r="67">
      <c r="A67" s="27" t="inlineStr">
        <is>
          <t>FLAGGED - rewards may not be the whole fix: R2/R3 completions fell 20-49% in the mid/high buckets while streaks fell only 3-8%, so the requirement ladder also got harder relative to the population. Coins fix the HC gap and the marginal incentive, not reachability.</t>
        </is>
      </c>
    </row>
    <row r="68">
      <c r="A68" s="27" t="inlineStr">
        <is>
          <t>FLAGGED - 100+: the modelled per-day claim rate (~30% clear R1) sits well below the telemetry share of players who finished R1 at least once (~56%; different denominators). If the true daily rate is higher, the 100+ HC bill runs above this estimate - which is why 100+ is targeted at the -4% edge.</t>
        </is>
      </c>
    </row>
    <row r="69">
      <c r="A69" s="27" t="inlineStr">
        <is>
          <t>Static cells are marked "(static)" and come from EcoGainsSim_v4.gs over NEW_LIVEOPS_CALENDAR_ECO (14); every other value on this sheet is computed from 'Raw Data'.</t>
        </is>
      </c>
    </row>
  </sheetData>
  <conditionalFormatting sqref="C44:G4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45:G45">
    <cfRule type="cellIs" priority="3" operator="between" dxfId="0">
      <formula>-0.04</formula>
      <formula>0</formula>
    </cfRule>
    <cfRule type="cellIs" priority="4" operator="lessThan" dxfId="1">
      <formula>-0.04</formula>
    </cfRule>
    <cfRule type="cellIs" priority="5" operator="greaterThan" dxfId="2">
      <formula>0</formula>
    </cfRule>
  </conditionalFormatting>
  <conditionalFormatting sqref="C46:G46">
    <cfRule type="cellIs" priority="6" operator="equal" dxfId="0">
      <formula>"YES"</formula>
    </cfRule>
    <cfRule type="cellIs" priority="7" operator="notEqual" dxfId="2">
      <formula>"YES"</formula>
    </cfRule>
  </conditionalFormatting>
  <conditionalFormatting sqref="C54:G54">
    <cfRule type="cellIs" priority="8" operator="greaterThanOrEqual" dxfId="0">
      <formula>1</formula>
    </cfRule>
    <cfRule type="cellIs" priority="9" operator="lessThan" dxfId="2">
      <formula>1</formula>
    </cfRule>
  </conditionalFormatting>
  <conditionalFormatting sqref="C55:G55">
    <cfRule type="cellIs" priority="10" operator="greaterThanOrEqual" dxfId="0">
      <formula>1</formula>
    </cfRule>
    <cfRule type="cellIs" priority="11" operator="lessThan" dxfId="2">
      <formula>1</formula>
    </cfRule>
  </conditionalFormatting>
  <conditionalFormatting sqref="C38:G38">
    <cfRule type="cellIs" priority="12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2026-08-05T08:52:42Z</dcterms:created>
  <dcterms:modified xmlns:dcterms="http://purl.org/dc/terms/" xmlns:xsi="http://www.w3.org/2001/XMLSchema-instance" xsi:type="dcterms:W3CDTF">2026-08-05T08:52:42Z</dcterms:modified>
</cp:coreProperties>
</file>