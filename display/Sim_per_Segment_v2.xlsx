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 per 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0%;-0%;0%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FFFFFFFF"/>
      <sz val="11"/>
    </font>
    <font>
      <name val="Arial"/>
      <b val="1"/>
      <sz val="9"/>
    </font>
    <font>
      <name val="Arial"/>
      <b val="1"/>
      <color rgb="FFFFFFFF"/>
      <sz val="10"/>
    </font>
    <font>
      <name val="Arial"/>
      <sz val="11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666666"/>
      </patternFill>
    </fill>
    <fill>
      <patternFill patternType="solid">
        <fgColor rgb="FFD9D9D9"/>
      </patternFill>
    </fill>
    <fill>
      <patternFill patternType="solid">
        <fgColor rgb="FFCFE2F3"/>
      </patternFill>
    </fill>
    <fill>
      <patternFill patternType="solid">
        <fgColor rgb="FFE2EFDA"/>
      </patternFill>
    </fill>
    <fill>
      <patternFill patternType="solid">
        <fgColor rgb="FFEFEFEF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4" fillId="10" borderId="0" pivotButton="0" quotePrefix="0" xfId="0"/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2.88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2.88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</cols>
  <sheetData>
    <row r="1">
      <c r="A1" s="1" t="inlineStr">
        <is>
          <t>RESOURCE GAINS (33 day period)</t>
        </is>
      </c>
    </row>
    <row r="3">
      <c r="B3" s="2" t="inlineStr">
        <is>
          <t>◆ HC</t>
        </is>
      </c>
    </row>
    <row r="4">
      <c r="C4" s="3" t="inlineStr">
        <is>
          <t>◄ CURRENT (actuals: data + calc) ►</t>
        </is>
      </c>
      <c r="D4" s="3" t="n"/>
      <c r="E4" s="3" t="n"/>
      <c r="F4" s="3" t="n"/>
      <c r="G4" s="3" t="n"/>
      <c r="I4" s="4" t="inlineStr">
        <is>
          <t>◄ SIMULATED (EcoGainsSim v4: sim + calc) ►</t>
        </is>
      </c>
      <c r="J4" s="4" t="n"/>
      <c r="K4" s="4" t="n"/>
      <c r="L4" s="4" t="n"/>
      <c r="M4" s="4" t="n"/>
      <c r="O4" s="5" t="inlineStr">
        <is>
          <t>Δ</t>
        </is>
      </c>
      <c r="P4" s="5" t="n"/>
      <c r="Q4" s="5" t="n"/>
      <c r="R4" s="5" t="n"/>
      <c r="S4" s="5" t="n"/>
    </row>
    <row r="5">
      <c r="B5" s="6" t="inlineStr">
        <is>
          <t>Segment</t>
        </is>
      </c>
      <c r="C5" s="7" t="inlineStr">
        <is>
          <t>PAID</t>
        </is>
      </c>
      <c r="D5" s="7" t="inlineStr">
        <is>
          <t>ADS</t>
        </is>
      </c>
      <c r="E5" s="7" t="inlineStr">
        <is>
          <t>CORE</t>
        </is>
      </c>
      <c r="F5" s="7" t="inlineStr">
        <is>
          <t>META</t>
        </is>
      </c>
      <c r="G5" s="7" t="inlineStr">
        <is>
          <t>Total</t>
        </is>
      </c>
      <c r="I5" s="8" t="inlineStr">
        <is>
          <t>PAID</t>
        </is>
      </c>
      <c r="J5" s="8" t="inlineStr">
        <is>
          <t>ADS</t>
        </is>
      </c>
      <c r="K5" s="8" t="inlineStr">
        <is>
          <t>CORE</t>
        </is>
      </c>
      <c r="L5" s="8" t="inlineStr">
        <is>
          <t>META</t>
        </is>
      </c>
      <c r="M5" s="8" t="inlineStr">
        <is>
          <t>Total</t>
        </is>
      </c>
      <c r="O5" s="9" t="inlineStr">
        <is>
          <t>PAID</t>
        </is>
      </c>
      <c r="P5" s="9" t="inlineStr">
        <is>
          <t>ADS</t>
        </is>
      </c>
      <c r="Q5" s="9" t="inlineStr">
        <is>
          <t>CORE</t>
        </is>
      </c>
      <c r="R5" s="9" t="inlineStr">
        <is>
          <t>META</t>
        </is>
      </c>
      <c r="S5" s="9" t="inlineStr">
        <is>
          <t>Total</t>
        </is>
      </c>
    </row>
    <row r="6">
      <c r="B6" s="10" t="inlineStr">
        <is>
          <t>NONPAYER</t>
        </is>
      </c>
    </row>
    <row r="7">
      <c r="B7" s="11" t="inlineStr">
        <is>
          <t>0-9</t>
        </is>
      </c>
      <c r="C7" s="12" t="n">
        <v>0</v>
      </c>
      <c r="D7" s="12" t="n">
        <v>18.76</v>
      </c>
      <c r="E7" s="12" t="n">
        <v>233.28</v>
      </c>
      <c r="F7" s="12" t="n">
        <v>112.93</v>
      </c>
      <c r="G7" s="12">
        <f>SUM(C7:F7)</f>
        <v/>
      </c>
      <c r="I7" s="12" t="n">
        <v>0</v>
      </c>
      <c r="J7" s="12" t="n">
        <v>18.76</v>
      </c>
      <c r="K7" s="12" t="n">
        <v>176.54</v>
      </c>
      <c r="L7" s="12" t="n">
        <v>168.63</v>
      </c>
      <c r="M7" s="12">
        <f>SUM(I7:L7)</f>
        <v/>
      </c>
      <c r="O7" s="13">
        <f>IFERROR(I7/C7-1,"")</f>
        <v/>
      </c>
      <c r="P7" s="13">
        <f>IFERROR(J7/D7-1,"")</f>
        <v/>
      </c>
      <c r="Q7" s="13">
        <f>IFERROR(K7/E7-1,"")</f>
        <v/>
      </c>
      <c r="R7" s="13">
        <f>IFERROR(L7/F7-1,"")</f>
        <v/>
      </c>
      <c r="S7" s="13">
        <f>IFERROR(M7/G7-1,"")</f>
        <v/>
      </c>
    </row>
    <row r="8">
      <c r="B8" s="11" t="inlineStr">
        <is>
          <t>10-19</t>
        </is>
      </c>
      <c r="C8" s="12" t="n">
        <v>0</v>
      </c>
      <c r="D8" s="12" t="n">
        <v>23.59</v>
      </c>
      <c r="E8" s="12" t="n">
        <v>324.21</v>
      </c>
      <c r="F8" s="12" t="n">
        <v>214.65</v>
      </c>
      <c r="G8" s="12">
        <f>SUM(C8:F8)</f>
        <v/>
      </c>
      <c r="I8" s="12" t="n">
        <v>0</v>
      </c>
      <c r="J8" s="12" t="n">
        <v>23.59</v>
      </c>
      <c r="K8" s="12" t="n">
        <v>333.62</v>
      </c>
      <c r="L8" s="12" t="n">
        <v>359.91</v>
      </c>
      <c r="M8" s="12">
        <f>SUM(I8:L8)</f>
        <v/>
      </c>
      <c r="O8" s="13">
        <f>IFERROR(I8/C8-1,"")</f>
        <v/>
      </c>
      <c r="P8" s="13">
        <f>IFERROR(J8/D8-1,"")</f>
        <v/>
      </c>
      <c r="Q8" s="13">
        <f>IFERROR(K8/E8-1,"")</f>
        <v/>
      </c>
      <c r="R8" s="13">
        <f>IFERROR(L8/F8-1,"")</f>
        <v/>
      </c>
      <c r="S8" s="13">
        <f>IFERROR(M8/G8-1,"")</f>
        <v/>
      </c>
    </row>
    <row r="9">
      <c r="B9" s="11" t="inlineStr">
        <is>
          <t>20-39</t>
        </is>
      </c>
      <c r="C9" s="12" t="n">
        <v>0</v>
      </c>
      <c r="D9" s="12" t="n">
        <v>22.59</v>
      </c>
      <c r="E9" s="12" t="n">
        <v>469.48</v>
      </c>
      <c r="F9" s="12" t="n">
        <v>362.63</v>
      </c>
      <c r="G9" s="12">
        <f>SUM(C9:F9)</f>
        <v/>
      </c>
      <c r="I9" s="12" t="n">
        <v>0</v>
      </c>
      <c r="J9" s="12" t="n">
        <v>22.59</v>
      </c>
      <c r="K9" s="12" t="n">
        <v>530.99</v>
      </c>
      <c r="L9" s="12" t="n">
        <v>565.02</v>
      </c>
      <c r="M9" s="12">
        <f>SUM(I9:L9)</f>
        <v/>
      </c>
      <c r="O9" s="13">
        <f>IFERROR(I9/C9-1,"")</f>
        <v/>
      </c>
      <c r="P9" s="13">
        <f>IFERROR(J9/D9-1,"")</f>
        <v/>
      </c>
      <c r="Q9" s="13">
        <f>IFERROR(K9/E9-1,"")</f>
        <v/>
      </c>
      <c r="R9" s="13">
        <f>IFERROR(L9/F9-1,"")</f>
        <v/>
      </c>
      <c r="S9" s="13">
        <f>IFERROR(M9/G9-1,"")</f>
        <v/>
      </c>
    </row>
    <row r="10">
      <c r="B10" s="11" t="inlineStr">
        <is>
          <t>40-99</t>
        </is>
      </c>
      <c r="C10" s="12" t="n">
        <v>0</v>
      </c>
      <c r="D10" s="12" t="n">
        <v>29.92</v>
      </c>
      <c r="E10" s="12" t="n">
        <v>897.76</v>
      </c>
      <c r="F10" s="12" t="n">
        <v>703.13</v>
      </c>
      <c r="G10" s="12">
        <f>SUM(C10:F10)</f>
        <v/>
      </c>
      <c r="I10" s="12" t="n">
        <v>0</v>
      </c>
      <c r="J10" s="12" t="n">
        <v>29.92</v>
      </c>
      <c r="K10" s="12" t="n">
        <v>1001.1</v>
      </c>
      <c r="L10" s="12" t="n">
        <v>1006.31</v>
      </c>
      <c r="M10" s="12">
        <f>SUM(I10:L10)</f>
        <v/>
      </c>
      <c r="O10" s="13">
        <f>IFERROR(I10/C10-1,"")</f>
        <v/>
      </c>
      <c r="P10" s="13">
        <f>IFERROR(J10/D10-1,"")</f>
        <v/>
      </c>
      <c r="Q10" s="13">
        <f>IFERROR(K10/E10-1,"")</f>
        <v/>
      </c>
      <c r="R10" s="13">
        <f>IFERROR(L10/F10-1,"")</f>
        <v/>
      </c>
      <c r="S10" s="13">
        <f>IFERROR(M10/G10-1,"")</f>
        <v/>
      </c>
    </row>
    <row r="11">
      <c r="B11" s="11" t="inlineStr">
        <is>
          <t>100+</t>
        </is>
      </c>
      <c r="C11" s="12" t="n">
        <v>0</v>
      </c>
      <c r="D11" s="12" t="n">
        <v>39.15</v>
      </c>
      <c r="E11" s="12" t="n">
        <v>1451.85</v>
      </c>
      <c r="F11" s="12" t="n">
        <v>829.8099999999999</v>
      </c>
      <c r="G11" s="12">
        <f>SUM(C11:F11)</f>
        <v/>
      </c>
      <c r="I11" s="12" t="n">
        <v>0</v>
      </c>
      <c r="J11" s="12" t="n">
        <v>39.15</v>
      </c>
      <c r="K11" s="12" t="n">
        <v>1316.41</v>
      </c>
      <c r="L11" s="12" t="n">
        <v>1495.51</v>
      </c>
      <c r="M11" s="12">
        <f>SUM(I11:L11)</f>
        <v/>
      </c>
      <c r="O11" s="13">
        <f>IFERROR(I11/C11-1,"")</f>
        <v/>
      </c>
      <c r="P11" s="13">
        <f>IFERROR(J11/D11-1,"")</f>
        <v/>
      </c>
      <c r="Q11" s="13">
        <f>IFERROR(K11/E11-1,"")</f>
        <v/>
      </c>
      <c r="R11" s="13">
        <f>IFERROR(L11/F11-1,"")</f>
        <v/>
      </c>
      <c r="S11" s="13">
        <f>IFERROR(M11/G11-1,"")</f>
        <v/>
      </c>
    </row>
    <row r="12">
      <c r="B12" s="10" t="inlineStr">
        <is>
          <t>PAYER</t>
        </is>
      </c>
    </row>
    <row r="13">
      <c r="B13" s="11" t="inlineStr">
        <is>
          <t>0-9</t>
        </is>
      </c>
      <c r="C13" s="12" t="n">
        <v>0</v>
      </c>
      <c r="D13" s="12" t="n">
        <v>35.31</v>
      </c>
      <c r="E13" s="12" t="n">
        <v>291.15</v>
      </c>
      <c r="F13" s="12" t="n">
        <v>176.02</v>
      </c>
      <c r="G13" s="12">
        <f>SUM(C13:F13)</f>
        <v/>
      </c>
      <c r="I13" s="12" t="n">
        <v>0</v>
      </c>
      <c r="J13" s="12" t="n">
        <v>35.31</v>
      </c>
      <c r="K13" s="12" t="n">
        <v>212.3</v>
      </c>
      <c r="L13" s="12" t="n">
        <v>243.45</v>
      </c>
      <c r="M13" s="12">
        <f>SUM(I13:L13)</f>
        <v/>
      </c>
      <c r="O13" s="13">
        <f>IFERROR(I13/C13-1,"")</f>
        <v/>
      </c>
      <c r="P13" s="13">
        <f>IFERROR(J13/D13-1,"")</f>
        <v/>
      </c>
      <c r="Q13" s="13">
        <f>IFERROR(K13/E13-1,"")</f>
        <v/>
      </c>
      <c r="R13" s="13">
        <f>IFERROR(L13/F13-1,"")</f>
        <v/>
      </c>
      <c r="S13" s="13">
        <f>IFERROR(M13/G13-1,"")</f>
        <v/>
      </c>
    </row>
    <row r="14">
      <c r="B14" s="11" t="inlineStr">
        <is>
          <t>10-19</t>
        </is>
      </c>
      <c r="C14" s="12" t="n">
        <v>0</v>
      </c>
      <c r="D14" s="12" t="n">
        <v>28.24</v>
      </c>
      <c r="E14" s="12" t="n">
        <v>312.21</v>
      </c>
      <c r="F14" s="12" t="n">
        <v>250.36</v>
      </c>
      <c r="G14" s="12">
        <f>SUM(C14:F14)</f>
        <v/>
      </c>
      <c r="I14" s="12" t="n">
        <v>0</v>
      </c>
      <c r="J14" s="12" t="n">
        <v>28.24</v>
      </c>
      <c r="K14" s="12" t="n">
        <v>320.76</v>
      </c>
      <c r="L14" s="12" t="n">
        <v>403.19</v>
      </c>
      <c r="M14" s="12">
        <f>SUM(I14:L14)</f>
        <v/>
      </c>
      <c r="O14" s="13">
        <f>IFERROR(I14/C14-1,"")</f>
        <v/>
      </c>
      <c r="P14" s="13">
        <f>IFERROR(J14/D14-1,"")</f>
        <v/>
      </c>
      <c r="Q14" s="13">
        <f>IFERROR(K14/E14-1,"")</f>
        <v/>
      </c>
      <c r="R14" s="13">
        <f>IFERROR(L14/F14-1,"")</f>
        <v/>
      </c>
      <c r="S14" s="13">
        <f>IFERROR(M14/G14-1,"")</f>
        <v/>
      </c>
    </row>
    <row r="15">
      <c r="B15" s="11" t="inlineStr">
        <is>
          <t>20-39</t>
        </is>
      </c>
      <c r="C15" s="12" t="n">
        <v>0</v>
      </c>
      <c r="D15" s="12" t="n">
        <v>23.91</v>
      </c>
      <c r="E15" s="12" t="n">
        <v>420.37</v>
      </c>
      <c r="F15" s="12" t="n">
        <v>380.35</v>
      </c>
      <c r="G15" s="12">
        <f>SUM(C15:F15)</f>
        <v/>
      </c>
      <c r="I15" s="12" t="n">
        <v>0</v>
      </c>
      <c r="J15" s="12" t="n">
        <v>23.91</v>
      </c>
      <c r="K15" s="12" t="n">
        <v>490.02</v>
      </c>
      <c r="L15" s="12" t="n">
        <v>579.71</v>
      </c>
      <c r="M15" s="12">
        <f>SUM(I15:L15)</f>
        <v/>
      </c>
      <c r="O15" s="13">
        <f>IFERROR(I15/C15-1,"")</f>
        <v/>
      </c>
      <c r="P15" s="13">
        <f>IFERROR(J15/D15-1,"")</f>
        <v/>
      </c>
      <c r="Q15" s="13">
        <f>IFERROR(K15/E15-1,"")</f>
        <v/>
      </c>
      <c r="R15" s="13">
        <f>IFERROR(L15/F15-1,"")</f>
        <v/>
      </c>
      <c r="S15" s="13">
        <f>IFERROR(M15/G15-1,"")</f>
        <v/>
      </c>
    </row>
    <row r="16">
      <c r="B16" s="11" t="inlineStr">
        <is>
          <t>40-99</t>
        </is>
      </c>
      <c r="C16" s="12" t="n">
        <v>0</v>
      </c>
      <c r="D16" s="12" t="n">
        <v>24.96</v>
      </c>
      <c r="E16" s="12" t="n">
        <v>743.95</v>
      </c>
      <c r="F16" s="12" t="n">
        <v>664.9299999999999</v>
      </c>
      <c r="G16" s="12">
        <f>SUM(C16:F16)</f>
        <v/>
      </c>
      <c r="I16" s="12" t="n">
        <v>0</v>
      </c>
      <c r="J16" s="12" t="n">
        <v>24.96</v>
      </c>
      <c r="K16" s="12" t="n">
        <v>853.67</v>
      </c>
      <c r="L16" s="12" t="n">
        <v>944.8200000000001</v>
      </c>
      <c r="M16" s="12">
        <f>SUM(I16:L16)</f>
        <v/>
      </c>
      <c r="O16" s="13">
        <f>IFERROR(I16/C16-1,"")</f>
        <v/>
      </c>
      <c r="P16" s="13">
        <f>IFERROR(J16/D16-1,"")</f>
        <v/>
      </c>
      <c r="Q16" s="13">
        <f>IFERROR(K16/E16-1,"")</f>
        <v/>
      </c>
      <c r="R16" s="13">
        <f>IFERROR(L16/F16-1,"")</f>
        <v/>
      </c>
      <c r="S16" s="13">
        <f>IFERROR(M16/G16-1,"")</f>
        <v/>
      </c>
    </row>
    <row r="17">
      <c r="B17" s="11" t="inlineStr">
        <is>
          <t>100+</t>
        </is>
      </c>
      <c r="C17" s="12" t="n">
        <v>0</v>
      </c>
      <c r="D17" s="12" t="n">
        <v>23.8</v>
      </c>
      <c r="E17" s="12" t="n">
        <v>1257.04</v>
      </c>
      <c r="F17" s="12" t="n">
        <v>810.4</v>
      </c>
      <c r="G17" s="12">
        <f>SUM(C17:F17)</f>
        <v/>
      </c>
      <c r="I17" s="12" t="n">
        <v>0</v>
      </c>
      <c r="J17" s="12" t="n">
        <v>23.8</v>
      </c>
      <c r="K17" s="12" t="n">
        <v>1220.45</v>
      </c>
      <c r="L17" s="12" t="n">
        <v>1546.55</v>
      </c>
      <c r="M17" s="12">
        <f>SUM(I17:L17)</f>
        <v/>
      </c>
      <c r="O17" s="13">
        <f>IFERROR(I17/C17-1,"")</f>
        <v/>
      </c>
      <c r="P17" s="13">
        <f>IFERROR(J17/D17-1,"")</f>
        <v/>
      </c>
      <c r="Q17" s="13">
        <f>IFERROR(K17/E17-1,"")</f>
        <v/>
      </c>
      <c r="R17" s="13">
        <f>IFERROR(L17/F17-1,"")</f>
        <v/>
      </c>
      <c r="S17" s="13">
        <f>IFERROR(M17/G17-1,"")</f>
        <v/>
      </c>
    </row>
    <row r="20">
      <c r="B20" s="2" t="inlineStr">
        <is>
          <t>◆ Slingshot</t>
        </is>
      </c>
    </row>
    <row r="21">
      <c r="C21" s="3" t="inlineStr">
        <is>
          <t>◄ CURRENT (actuals: data + calc) ►</t>
        </is>
      </c>
      <c r="D21" s="3" t="n"/>
      <c r="E21" s="3" t="n"/>
      <c r="F21" s="3" t="n"/>
      <c r="G21" s="3" t="n"/>
      <c r="I21" s="4" t="inlineStr">
        <is>
          <t>◄ SIMULATED (EcoGainsSim v4: sim + calc) ►</t>
        </is>
      </c>
      <c r="J21" s="4" t="n"/>
      <c r="K21" s="4" t="n"/>
      <c r="L21" s="4" t="n"/>
      <c r="M21" s="4" t="n"/>
      <c r="O21" s="5" t="inlineStr">
        <is>
          <t>Δ</t>
        </is>
      </c>
      <c r="P21" s="5" t="n"/>
      <c r="Q21" s="5" t="n"/>
      <c r="R21" s="5" t="n"/>
      <c r="S21" s="5" t="n"/>
    </row>
    <row r="22">
      <c r="B22" s="6" t="inlineStr">
        <is>
          <t>Segment</t>
        </is>
      </c>
      <c r="C22" s="7" t="inlineStr">
        <is>
          <t>PAID</t>
        </is>
      </c>
      <c r="D22" s="7" t="inlineStr">
        <is>
          <t>ADS</t>
        </is>
      </c>
      <c r="E22" s="7" t="inlineStr">
        <is>
          <t>CORE</t>
        </is>
      </c>
      <c r="F22" s="7" t="inlineStr">
        <is>
          <t>META</t>
        </is>
      </c>
      <c r="G22" s="7" t="inlineStr">
        <is>
          <t>Total</t>
        </is>
      </c>
      <c r="I22" s="8" t="inlineStr">
        <is>
          <t>PAID</t>
        </is>
      </c>
      <c r="J22" s="8" t="inlineStr">
        <is>
          <t>ADS</t>
        </is>
      </c>
      <c r="K22" s="8" t="inlineStr">
        <is>
          <t>CORE</t>
        </is>
      </c>
      <c r="L22" s="8" t="inlineStr">
        <is>
          <t>META</t>
        </is>
      </c>
      <c r="M22" s="8" t="inlineStr">
        <is>
          <t>Total</t>
        </is>
      </c>
      <c r="O22" s="9" t="inlineStr">
        <is>
          <t>PAID</t>
        </is>
      </c>
      <c r="P22" s="9" t="inlineStr">
        <is>
          <t>ADS</t>
        </is>
      </c>
      <c r="Q22" s="9" t="inlineStr">
        <is>
          <t>CORE</t>
        </is>
      </c>
      <c r="R22" s="9" t="inlineStr">
        <is>
          <t>META</t>
        </is>
      </c>
      <c r="S22" s="9" t="inlineStr">
        <is>
          <t>Total</t>
        </is>
      </c>
    </row>
    <row r="23">
      <c r="B23" s="10" t="inlineStr">
        <is>
          <t>NONPAYER</t>
        </is>
      </c>
    </row>
    <row r="24">
      <c r="B24" s="11" t="inlineStr">
        <is>
          <t>0-9</t>
        </is>
      </c>
      <c r="C24" s="12" t="n">
        <v>0</v>
      </c>
      <c r="D24" s="12" t="n">
        <v>0.57</v>
      </c>
      <c r="E24" s="12" t="n">
        <v>2.88</v>
      </c>
      <c r="F24" s="12" t="n">
        <v>2.18</v>
      </c>
      <c r="G24" s="12">
        <f>SUM(C24:F24)</f>
        <v/>
      </c>
      <c r="I24" s="12" t="n">
        <v>0</v>
      </c>
      <c r="J24" s="12" t="n">
        <v>0.57</v>
      </c>
      <c r="K24" s="12" t="n">
        <v>3.39</v>
      </c>
      <c r="L24" s="12" t="n">
        <v>5.65</v>
      </c>
      <c r="M24" s="12">
        <f>SUM(I24:L24)</f>
        <v/>
      </c>
      <c r="O24" s="13">
        <f>IFERROR(I24/C24-1,"")</f>
        <v/>
      </c>
      <c r="P24" s="13">
        <f>IFERROR(J24/D24-1,"")</f>
        <v/>
      </c>
      <c r="Q24" s="13">
        <f>IFERROR(K24/E24-1,"")</f>
        <v/>
      </c>
      <c r="R24" s="13">
        <f>IFERROR(L24/F24-1,"")</f>
        <v/>
      </c>
      <c r="S24" s="13">
        <f>IFERROR(M24/G24-1,"")</f>
        <v/>
      </c>
    </row>
    <row r="25">
      <c r="B25" s="11" t="inlineStr">
        <is>
          <t>10-19</t>
        </is>
      </c>
      <c r="C25" s="12" t="n">
        <v>0</v>
      </c>
      <c r="D25" s="12" t="n">
        <v>0.63</v>
      </c>
      <c r="E25" s="12" t="n">
        <v>3.66</v>
      </c>
      <c r="F25" s="12" t="n">
        <v>3.22</v>
      </c>
      <c r="G25" s="12">
        <f>SUM(C25:F25)</f>
        <v/>
      </c>
      <c r="I25" s="12" t="n">
        <v>0</v>
      </c>
      <c r="J25" s="12" t="n">
        <v>0.63</v>
      </c>
      <c r="K25" s="12" t="n">
        <v>3.46</v>
      </c>
      <c r="L25" s="12" t="n">
        <v>12.65</v>
      </c>
      <c r="M25" s="12">
        <f>SUM(I25:L25)</f>
        <v/>
      </c>
      <c r="O25" s="13">
        <f>IFERROR(I25/C25-1,"")</f>
        <v/>
      </c>
      <c r="P25" s="13">
        <f>IFERROR(J25/D25-1,"")</f>
        <v/>
      </c>
      <c r="Q25" s="13">
        <f>IFERROR(K25/E25-1,"")</f>
        <v/>
      </c>
      <c r="R25" s="13">
        <f>IFERROR(L25/F25-1,"")</f>
        <v/>
      </c>
      <c r="S25" s="13">
        <f>IFERROR(M25/G25-1,"")</f>
        <v/>
      </c>
    </row>
    <row r="26">
      <c r="B26" s="11" t="inlineStr">
        <is>
          <t>20-39</t>
        </is>
      </c>
      <c r="C26" s="12" t="n">
        <v>0</v>
      </c>
      <c r="D26" s="12" t="n">
        <v>0.57</v>
      </c>
      <c r="E26" s="12" t="n">
        <v>5.11</v>
      </c>
      <c r="F26" s="12" t="n">
        <v>3.82</v>
      </c>
      <c r="G26" s="12">
        <f>SUM(C26:F26)</f>
        <v/>
      </c>
      <c r="I26" s="12" t="n">
        <v>0</v>
      </c>
      <c r="J26" s="12" t="n">
        <v>0.57</v>
      </c>
      <c r="K26" s="12" t="n">
        <v>5.23</v>
      </c>
      <c r="L26" s="12" t="n">
        <v>16.63</v>
      </c>
      <c r="M26" s="12">
        <f>SUM(I26:L26)</f>
        <v/>
      </c>
      <c r="O26" s="13">
        <f>IFERROR(I26/C26-1,"")</f>
        <v/>
      </c>
      <c r="P26" s="13">
        <f>IFERROR(J26/D26-1,"")</f>
        <v/>
      </c>
      <c r="Q26" s="13">
        <f>IFERROR(K26/E26-1,"")</f>
        <v/>
      </c>
      <c r="R26" s="13">
        <f>IFERROR(L26/F26-1,"")</f>
        <v/>
      </c>
      <c r="S26" s="13">
        <f>IFERROR(M26/G26-1,"")</f>
        <v/>
      </c>
    </row>
    <row r="27">
      <c r="B27" s="11" t="inlineStr">
        <is>
          <t>40-99</t>
        </is>
      </c>
      <c r="C27" s="12" t="n">
        <v>0</v>
      </c>
      <c r="D27" s="12" t="n">
        <v>0.7</v>
      </c>
      <c r="E27" s="12" t="n">
        <v>9.24</v>
      </c>
      <c r="F27" s="12" t="n">
        <v>5.2</v>
      </c>
      <c r="G27" s="12">
        <f>SUM(C27:F27)</f>
        <v/>
      </c>
      <c r="I27" s="12" t="n">
        <v>0</v>
      </c>
      <c r="J27" s="12" t="n">
        <v>0.7</v>
      </c>
      <c r="K27" s="12" t="n">
        <v>8.33</v>
      </c>
      <c r="L27" s="12" t="n">
        <v>23.99</v>
      </c>
      <c r="M27" s="12">
        <f>SUM(I27:L27)</f>
        <v/>
      </c>
      <c r="O27" s="13">
        <f>IFERROR(I27/C27-1,"")</f>
        <v/>
      </c>
      <c r="P27" s="13">
        <f>IFERROR(J27/D27-1,"")</f>
        <v/>
      </c>
      <c r="Q27" s="13">
        <f>IFERROR(K27/E27-1,"")</f>
        <v/>
      </c>
      <c r="R27" s="13">
        <f>IFERROR(L27/F27-1,"")</f>
        <v/>
      </c>
      <c r="S27" s="13">
        <f>IFERROR(M27/G27-1,"")</f>
        <v/>
      </c>
    </row>
    <row r="28">
      <c r="B28" s="11" t="inlineStr">
        <is>
          <t>100+</t>
        </is>
      </c>
      <c r="C28" s="12" t="n">
        <v>0</v>
      </c>
      <c r="D28" s="12" t="n">
        <v>0.88</v>
      </c>
      <c r="E28" s="12" t="n">
        <v>14.32</v>
      </c>
      <c r="F28" s="12" t="n">
        <v>4.9</v>
      </c>
      <c r="G28" s="12">
        <f>SUM(C28:F28)</f>
        <v/>
      </c>
      <c r="I28" s="12" t="n">
        <v>0</v>
      </c>
      <c r="J28" s="12" t="n">
        <v>0.88</v>
      </c>
      <c r="K28" s="12" t="n">
        <v>13.57</v>
      </c>
      <c r="L28" s="12" t="n">
        <v>25.4</v>
      </c>
      <c r="M28" s="12">
        <f>SUM(I28:L28)</f>
        <v/>
      </c>
      <c r="O28" s="13">
        <f>IFERROR(I28/C28-1,"")</f>
        <v/>
      </c>
      <c r="P28" s="13">
        <f>IFERROR(J28/D28-1,"")</f>
        <v/>
      </c>
      <c r="Q28" s="13">
        <f>IFERROR(K28/E28-1,"")</f>
        <v/>
      </c>
      <c r="R28" s="13">
        <f>IFERROR(L28/F28-1,"")</f>
        <v/>
      </c>
      <c r="S28" s="13">
        <f>IFERROR(M28/G28-1,"")</f>
        <v/>
      </c>
    </row>
    <row r="29">
      <c r="B29" s="10" t="inlineStr">
        <is>
          <t>PAYER</t>
        </is>
      </c>
    </row>
    <row r="30">
      <c r="B30" s="11" t="inlineStr">
        <is>
          <t>0-9</t>
        </is>
      </c>
      <c r="C30" s="12" t="n">
        <v>0</v>
      </c>
      <c r="D30" s="12" t="n">
        <v>0.99</v>
      </c>
      <c r="E30" s="12" t="n">
        <v>3.32</v>
      </c>
      <c r="F30" s="12" t="n">
        <v>3.06</v>
      </c>
      <c r="G30" s="12">
        <f>SUM(C30:F30)</f>
        <v/>
      </c>
      <c r="I30" s="12" t="n">
        <v>0</v>
      </c>
      <c r="J30" s="12" t="n">
        <v>0.99</v>
      </c>
      <c r="K30" s="12" t="n">
        <v>3.26</v>
      </c>
      <c r="L30" s="12" t="n">
        <v>7.47</v>
      </c>
      <c r="M30" s="12">
        <f>SUM(I30:L30)</f>
        <v/>
      </c>
      <c r="O30" s="13">
        <f>IFERROR(I30/C30-1,"")</f>
        <v/>
      </c>
      <c r="P30" s="13">
        <f>IFERROR(J30/D30-1,"")</f>
        <v/>
      </c>
      <c r="Q30" s="13">
        <f>IFERROR(K30/E30-1,"")</f>
        <v/>
      </c>
      <c r="R30" s="13">
        <f>IFERROR(L30/F30-1,"")</f>
        <v/>
      </c>
      <c r="S30" s="13">
        <f>IFERROR(M30/G30-1,"")</f>
        <v/>
      </c>
    </row>
    <row r="31">
      <c r="B31" s="11" t="inlineStr">
        <is>
          <t>10-19</t>
        </is>
      </c>
      <c r="C31" s="12" t="n">
        <v>0</v>
      </c>
      <c r="D31" s="12" t="n">
        <v>0.74</v>
      </c>
      <c r="E31" s="12" t="n">
        <v>3.45</v>
      </c>
      <c r="F31" s="12" t="n">
        <v>3.97</v>
      </c>
      <c r="G31" s="12">
        <f>SUM(C31:F31)</f>
        <v/>
      </c>
      <c r="I31" s="12" t="n">
        <v>0</v>
      </c>
      <c r="J31" s="12" t="n">
        <v>0.74</v>
      </c>
      <c r="K31" s="12" t="n">
        <v>3.26</v>
      </c>
      <c r="L31" s="12" t="n">
        <v>13.87</v>
      </c>
      <c r="M31" s="12">
        <f>SUM(I31:L31)</f>
        <v/>
      </c>
      <c r="O31" s="13">
        <f>IFERROR(I31/C31-1,"")</f>
        <v/>
      </c>
      <c r="P31" s="13">
        <f>IFERROR(J31/D31-1,"")</f>
        <v/>
      </c>
      <c r="Q31" s="13">
        <f>IFERROR(K31/E31-1,"")</f>
        <v/>
      </c>
      <c r="R31" s="13">
        <f>IFERROR(L31/F31-1,"")</f>
        <v/>
      </c>
      <c r="S31" s="13">
        <f>IFERROR(M31/G31-1,"")</f>
        <v/>
      </c>
    </row>
    <row r="32">
      <c r="B32" s="11" t="inlineStr">
        <is>
          <t>20-39</t>
        </is>
      </c>
      <c r="C32" s="12" t="n">
        <v>0</v>
      </c>
      <c r="D32" s="12" t="n">
        <v>0.59</v>
      </c>
      <c r="E32" s="12" t="n">
        <v>4.58</v>
      </c>
      <c r="F32" s="12" t="n">
        <v>4.76</v>
      </c>
      <c r="G32" s="12">
        <f>SUM(C32:F32)</f>
        <v/>
      </c>
      <c r="I32" s="12" t="n">
        <v>0</v>
      </c>
      <c r="J32" s="12" t="n">
        <v>0.59</v>
      </c>
      <c r="K32" s="12" t="n">
        <v>4.72</v>
      </c>
      <c r="L32" s="12" t="n">
        <v>17.42</v>
      </c>
      <c r="M32" s="12">
        <f>SUM(I32:L32)</f>
        <v/>
      </c>
      <c r="O32" s="13">
        <f>IFERROR(I32/C32-1,"")</f>
        <v/>
      </c>
      <c r="P32" s="13">
        <f>IFERROR(J32/D32-1,"")</f>
        <v/>
      </c>
      <c r="Q32" s="13">
        <f>IFERROR(K32/E32-1,"")</f>
        <v/>
      </c>
      <c r="R32" s="13">
        <f>IFERROR(L32/F32-1,"")</f>
        <v/>
      </c>
      <c r="S32" s="13">
        <f>IFERROR(M32/G32-1,"")</f>
        <v/>
      </c>
    </row>
    <row r="33">
      <c r="B33" s="11" t="inlineStr">
        <is>
          <t>40-99</t>
        </is>
      </c>
      <c r="C33" s="12" t="n">
        <v>0</v>
      </c>
      <c r="D33" s="12" t="n">
        <v>0.57</v>
      </c>
      <c r="E33" s="12" t="n">
        <v>7.71</v>
      </c>
      <c r="F33" s="12" t="n">
        <v>6.37</v>
      </c>
      <c r="G33" s="12">
        <f>SUM(C33:F33)</f>
        <v/>
      </c>
      <c r="I33" s="12" t="n">
        <v>0</v>
      </c>
      <c r="J33" s="12" t="n">
        <v>0.57</v>
      </c>
      <c r="K33" s="12" t="n">
        <v>6.94</v>
      </c>
      <c r="L33" s="12" t="n">
        <v>24.15</v>
      </c>
      <c r="M33" s="12">
        <f>SUM(I33:L33)</f>
        <v/>
      </c>
      <c r="O33" s="13">
        <f>IFERROR(I33/C33-1,"")</f>
        <v/>
      </c>
      <c r="P33" s="13">
        <f>IFERROR(J33/D33-1,"")</f>
        <v/>
      </c>
      <c r="Q33" s="13">
        <f>IFERROR(K33/E33-1,"")</f>
        <v/>
      </c>
      <c r="R33" s="13">
        <f>IFERROR(L33/F33-1,"")</f>
        <v/>
      </c>
      <c r="S33" s="13">
        <f>IFERROR(M33/G33-1,"")</f>
        <v/>
      </c>
    </row>
    <row r="34">
      <c r="B34" s="11" t="inlineStr">
        <is>
          <t>100+</t>
        </is>
      </c>
      <c r="C34" s="12" t="n">
        <v>0</v>
      </c>
      <c r="D34" s="12" t="n">
        <v>0.5</v>
      </c>
      <c r="E34" s="12" t="n">
        <v>12.55</v>
      </c>
      <c r="F34" s="12" t="n">
        <v>6.69</v>
      </c>
      <c r="G34" s="12">
        <f>SUM(C34:F34)</f>
        <v/>
      </c>
      <c r="I34" s="12" t="n">
        <v>0</v>
      </c>
      <c r="J34" s="12" t="n">
        <v>0.5</v>
      </c>
      <c r="K34" s="12" t="n">
        <v>11.85</v>
      </c>
      <c r="L34" s="12" t="n">
        <v>28.66</v>
      </c>
      <c r="M34" s="12">
        <f>SUM(I34:L34)</f>
        <v/>
      </c>
      <c r="O34" s="13">
        <f>IFERROR(I34/C34-1,"")</f>
        <v/>
      </c>
      <c r="P34" s="13">
        <f>IFERROR(J34/D34-1,"")</f>
        <v/>
      </c>
      <c r="Q34" s="13">
        <f>IFERROR(K34/E34-1,"")</f>
        <v/>
      </c>
      <c r="R34" s="13">
        <f>IFERROR(L34/F34-1,"")</f>
        <v/>
      </c>
      <c r="S34" s="13">
        <f>IFERROR(M34/G34-1,"")</f>
        <v/>
      </c>
    </row>
    <row r="37">
      <c r="B37" s="2" t="inlineStr">
        <is>
          <t>◆ Shuffle</t>
        </is>
      </c>
    </row>
    <row r="38">
      <c r="C38" s="3" t="inlineStr">
        <is>
          <t>◄ CURRENT (actuals: data + calc) ►</t>
        </is>
      </c>
      <c r="D38" s="3" t="n"/>
      <c r="E38" s="3" t="n"/>
      <c r="F38" s="3" t="n"/>
      <c r="G38" s="3" t="n"/>
      <c r="I38" s="4" t="inlineStr">
        <is>
          <t>◄ SIMULATED (EcoGainsSim v4: sim + calc) ►</t>
        </is>
      </c>
      <c r="J38" s="4" t="n"/>
      <c r="K38" s="4" t="n"/>
      <c r="L38" s="4" t="n"/>
      <c r="M38" s="4" t="n"/>
      <c r="O38" s="5" t="inlineStr">
        <is>
          <t>Δ</t>
        </is>
      </c>
      <c r="P38" s="5" t="n"/>
      <c r="Q38" s="5" t="n"/>
      <c r="R38" s="5" t="n"/>
      <c r="S38" s="5" t="n"/>
    </row>
    <row r="39">
      <c r="B39" s="6" t="inlineStr">
        <is>
          <t>Segment</t>
        </is>
      </c>
      <c r="C39" s="7" t="inlineStr">
        <is>
          <t>PAID</t>
        </is>
      </c>
      <c r="D39" s="7" t="inlineStr">
        <is>
          <t>ADS</t>
        </is>
      </c>
      <c r="E39" s="7" t="inlineStr">
        <is>
          <t>CORE</t>
        </is>
      </c>
      <c r="F39" s="7" t="inlineStr">
        <is>
          <t>META</t>
        </is>
      </c>
      <c r="G39" s="7" t="inlineStr">
        <is>
          <t>Total</t>
        </is>
      </c>
      <c r="I39" s="8" t="inlineStr">
        <is>
          <t>PAID</t>
        </is>
      </c>
      <c r="J39" s="8" t="inlineStr">
        <is>
          <t>ADS</t>
        </is>
      </c>
      <c r="K39" s="8" t="inlineStr">
        <is>
          <t>CORE</t>
        </is>
      </c>
      <c r="L39" s="8" t="inlineStr">
        <is>
          <t>META</t>
        </is>
      </c>
      <c r="M39" s="8" t="inlineStr">
        <is>
          <t>Total</t>
        </is>
      </c>
      <c r="O39" s="9" t="inlineStr">
        <is>
          <t>PAID</t>
        </is>
      </c>
      <c r="P39" s="9" t="inlineStr">
        <is>
          <t>ADS</t>
        </is>
      </c>
      <c r="Q39" s="9" t="inlineStr">
        <is>
          <t>CORE</t>
        </is>
      </c>
      <c r="R39" s="9" t="inlineStr">
        <is>
          <t>META</t>
        </is>
      </c>
      <c r="S39" s="9" t="inlineStr">
        <is>
          <t>Total</t>
        </is>
      </c>
    </row>
    <row r="40">
      <c r="B40" s="10" t="inlineStr">
        <is>
          <t>NONPAYER</t>
        </is>
      </c>
    </row>
    <row r="41">
      <c r="B41" s="11" t="inlineStr">
        <is>
          <t>0-9</t>
        </is>
      </c>
      <c r="C41" s="12" t="n">
        <v>0</v>
      </c>
      <c r="D41" s="12" t="n">
        <v>0.6</v>
      </c>
      <c r="E41" s="12" t="n">
        <v>2.49</v>
      </c>
      <c r="F41" s="12" t="n">
        <v>1.7</v>
      </c>
      <c r="G41" s="12">
        <f>SUM(C41:F41)</f>
        <v/>
      </c>
      <c r="I41" s="12" t="n">
        <v>0</v>
      </c>
      <c r="J41" s="12" t="n">
        <v>0.6</v>
      </c>
      <c r="K41" s="12" t="n">
        <v>2.49</v>
      </c>
      <c r="L41" s="12" t="n">
        <v>1.82</v>
      </c>
      <c r="M41" s="12">
        <f>SUM(I41:L41)</f>
        <v/>
      </c>
      <c r="O41" s="13">
        <f>IFERROR(I41/C41-1,"")</f>
        <v/>
      </c>
      <c r="P41" s="13">
        <f>IFERROR(J41/D41-1,"")</f>
        <v/>
      </c>
      <c r="Q41" s="13">
        <f>IFERROR(K41/E41-1,"")</f>
        <v/>
      </c>
      <c r="R41" s="13">
        <f>IFERROR(L41/F41-1,"")</f>
        <v/>
      </c>
      <c r="S41" s="13">
        <f>IFERROR(M41/G41-1,"")</f>
        <v/>
      </c>
    </row>
    <row r="42">
      <c r="B42" s="11" t="inlineStr">
        <is>
          <t>10-19</t>
        </is>
      </c>
      <c r="C42" s="12" t="n">
        <v>0</v>
      </c>
      <c r="D42" s="12" t="n">
        <v>0.64</v>
      </c>
      <c r="E42" s="12" t="n">
        <v>3.23</v>
      </c>
      <c r="F42" s="12" t="n">
        <v>3.05</v>
      </c>
      <c r="G42" s="12">
        <f>SUM(C42:F42)</f>
        <v/>
      </c>
      <c r="I42" s="12" t="n">
        <v>0</v>
      </c>
      <c r="J42" s="12" t="n">
        <v>0.64</v>
      </c>
      <c r="K42" s="12" t="n">
        <v>3.23</v>
      </c>
      <c r="L42" s="12" t="n">
        <v>4.71</v>
      </c>
      <c r="M42" s="12">
        <f>SUM(I42:L42)</f>
        <v/>
      </c>
      <c r="O42" s="13">
        <f>IFERROR(I42/C42-1,"")</f>
        <v/>
      </c>
      <c r="P42" s="13">
        <f>IFERROR(J42/D42-1,"")</f>
        <v/>
      </c>
      <c r="Q42" s="13">
        <f>IFERROR(K42/E42-1,"")</f>
        <v/>
      </c>
      <c r="R42" s="13">
        <f>IFERROR(L42/F42-1,"")</f>
        <v/>
      </c>
      <c r="S42" s="13">
        <f>IFERROR(M42/G42-1,"")</f>
        <v/>
      </c>
    </row>
    <row r="43">
      <c r="B43" s="11" t="inlineStr">
        <is>
          <t>20-39</t>
        </is>
      </c>
      <c r="C43" s="12" t="n">
        <v>0</v>
      </c>
      <c r="D43" s="12" t="n">
        <v>0.55</v>
      </c>
      <c r="E43" s="12" t="n">
        <v>4.54</v>
      </c>
      <c r="F43" s="12" t="n">
        <v>4.19</v>
      </c>
      <c r="G43" s="12">
        <f>SUM(C43:F43)</f>
        <v/>
      </c>
      <c r="I43" s="12" t="n">
        <v>0</v>
      </c>
      <c r="J43" s="12" t="n">
        <v>0.55</v>
      </c>
      <c r="K43" s="12" t="n">
        <v>4.54</v>
      </c>
      <c r="L43" s="12" t="n">
        <v>8</v>
      </c>
      <c r="M43" s="12">
        <f>SUM(I43:L43)</f>
        <v/>
      </c>
      <c r="O43" s="13">
        <f>IFERROR(I43/C43-1,"")</f>
        <v/>
      </c>
      <c r="P43" s="13">
        <f>IFERROR(J43/D43-1,"")</f>
        <v/>
      </c>
      <c r="Q43" s="13">
        <f>IFERROR(K43/E43-1,"")</f>
        <v/>
      </c>
      <c r="R43" s="13">
        <f>IFERROR(L43/F43-1,"")</f>
        <v/>
      </c>
      <c r="S43" s="13">
        <f>IFERROR(M43/G43-1,"")</f>
        <v/>
      </c>
    </row>
    <row r="44">
      <c r="B44" s="11" t="inlineStr">
        <is>
          <t>40-99</t>
        </is>
      </c>
      <c r="C44" s="12" t="n">
        <v>0</v>
      </c>
      <c r="D44" s="12" t="n">
        <v>0.68</v>
      </c>
      <c r="E44" s="12" t="n">
        <v>8.66</v>
      </c>
      <c r="F44" s="12" t="n">
        <v>5.63</v>
      </c>
      <c r="G44" s="12">
        <f>SUM(C44:F44)</f>
        <v/>
      </c>
      <c r="I44" s="12" t="n">
        <v>0</v>
      </c>
      <c r="J44" s="12" t="n">
        <v>0.68</v>
      </c>
      <c r="K44" s="12" t="n">
        <v>8.66</v>
      </c>
      <c r="L44" s="12" t="n">
        <v>13.59</v>
      </c>
      <c r="M44" s="12">
        <f>SUM(I44:L44)</f>
        <v/>
      </c>
      <c r="O44" s="13">
        <f>IFERROR(I44/C44-1,"")</f>
        <v/>
      </c>
      <c r="P44" s="13">
        <f>IFERROR(J44/D44-1,"")</f>
        <v/>
      </c>
      <c r="Q44" s="13">
        <f>IFERROR(K44/E44-1,"")</f>
        <v/>
      </c>
      <c r="R44" s="13">
        <f>IFERROR(L44/F44-1,"")</f>
        <v/>
      </c>
      <c r="S44" s="13">
        <f>IFERROR(M44/G44-1,"")</f>
        <v/>
      </c>
    </row>
    <row r="45">
      <c r="B45" s="11" t="inlineStr">
        <is>
          <t>100+</t>
        </is>
      </c>
      <c r="C45" s="12" t="n">
        <v>0</v>
      </c>
      <c r="D45" s="12" t="n">
        <v>0.87</v>
      </c>
      <c r="E45" s="12" t="n">
        <v>14.45</v>
      </c>
      <c r="F45" s="12" t="n">
        <v>4.96</v>
      </c>
      <c r="G45" s="12">
        <f>SUM(C45:F45)</f>
        <v/>
      </c>
      <c r="I45" s="12" t="n">
        <v>0</v>
      </c>
      <c r="J45" s="12" t="n">
        <v>0.87</v>
      </c>
      <c r="K45" s="12" t="n">
        <v>14.45</v>
      </c>
      <c r="L45" s="12" t="n">
        <v>16.44</v>
      </c>
      <c r="M45" s="12">
        <f>SUM(I45:L45)</f>
        <v/>
      </c>
      <c r="O45" s="13">
        <f>IFERROR(I45/C45-1,"")</f>
        <v/>
      </c>
      <c r="P45" s="13">
        <f>IFERROR(J45/D45-1,"")</f>
        <v/>
      </c>
      <c r="Q45" s="13">
        <f>IFERROR(K45/E45-1,"")</f>
        <v/>
      </c>
      <c r="R45" s="13">
        <f>IFERROR(L45/F45-1,"")</f>
        <v/>
      </c>
      <c r="S45" s="13">
        <f>IFERROR(M45/G45-1,"")</f>
        <v/>
      </c>
    </row>
    <row r="46">
      <c r="B46" s="10" t="inlineStr">
        <is>
          <t>PAYER</t>
        </is>
      </c>
    </row>
    <row r="47">
      <c r="B47" s="11" t="inlineStr">
        <is>
          <t>0-9</t>
        </is>
      </c>
      <c r="C47" s="12" t="n">
        <v>0</v>
      </c>
      <c r="D47" s="12" t="n">
        <v>1.03</v>
      </c>
      <c r="E47" s="12" t="n">
        <v>2.82</v>
      </c>
      <c r="F47" s="12" t="n">
        <v>2.52</v>
      </c>
      <c r="G47" s="12">
        <f>SUM(C47:F47)</f>
        <v/>
      </c>
      <c r="I47" s="12" t="n">
        <v>0</v>
      </c>
      <c r="J47" s="12" t="n">
        <v>1.03</v>
      </c>
      <c r="K47" s="12" t="n">
        <v>2.82</v>
      </c>
      <c r="L47" s="12" t="n">
        <v>2.72</v>
      </c>
      <c r="M47" s="12">
        <f>SUM(I47:L47)</f>
        <v/>
      </c>
      <c r="O47" s="13">
        <f>IFERROR(I47/C47-1,"")</f>
        <v/>
      </c>
      <c r="P47" s="13">
        <f>IFERROR(J47/D47-1,"")</f>
        <v/>
      </c>
      <c r="Q47" s="13">
        <f>IFERROR(K47/E47-1,"")</f>
        <v/>
      </c>
      <c r="R47" s="13">
        <f>IFERROR(L47/F47-1,"")</f>
        <v/>
      </c>
      <c r="S47" s="13">
        <f>IFERROR(M47/G47-1,"")</f>
        <v/>
      </c>
    </row>
    <row r="48">
      <c r="B48" s="11" t="inlineStr">
        <is>
          <t>10-19</t>
        </is>
      </c>
      <c r="C48" s="12" t="n">
        <v>0</v>
      </c>
      <c r="D48" s="12" t="n">
        <v>0.74</v>
      </c>
      <c r="E48" s="12" t="n">
        <v>3.04</v>
      </c>
      <c r="F48" s="12" t="n">
        <v>3.79</v>
      </c>
      <c r="G48" s="12">
        <f>SUM(C48:F48)</f>
        <v/>
      </c>
      <c r="I48" s="12" t="n">
        <v>0</v>
      </c>
      <c r="J48" s="12" t="n">
        <v>0.74</v>
      </c>
      <c r="K48" s="12" t="n">
        <v>3.04</v>
      </c>
      <c r="L48" s="12" t="n">
        <v>5.62</v>
      </c>
      <c r="M48" s="12">
        <f>SUM(I48:L48)</f>
        <v/>
      </c>
      <c r="O48" s="13">
        <f>IFERROR(I48/C48-1,"")</f>
        <v/>
      </c>
      <c r="P48" s="13">
        <f>IFERROR(J48/D48-1,"")</f>
        <v/>
      </c>
      <c r="Q48" s="13">
        <f>IFERROR(K48/E48-1,"")</f>
        <v/>
      </c>
      <c r="R48" s="13">
        <f>IFERROR(L48/F48-1,"")</f>
        <v/>
      </c>
      <c r="S48" s="13">
        <f>IFERROR(M48/G48-1,"")</f>
        <v/>
      </c>
    </row>
    <row r="49">
      <c r="B49" s="11" t="inlineStr">
        <is>
          <t>20-39</t>
        </is>
      </c>
      <c r="C49" s="12" t="n">
        <v>0</v>
      </c>
      <c r="D49" s="12" t="n">
        <v>0.59</v>
      </c>
      <c r="E49" s="12" t="n">
        <v>4.05</v>
      </c>
      <c r="F49" s="12" t="n">
        <v>4.89</v>
      </c>
      <c r="G49" s="12">
        <f>SUM(C49:F49)</f>
        <v/>
      </c>
      <c r="I49" s="12" t="n">
        <v>0</v>
      </c>
      <c r="J49" s="12" t="n">
        <v>0.59</v>
      </c>
      <c r="K49" s="12" t="n">
        <v>4.05</v>
      </c>
      <c r="L49" s="12" t="n">
        <v>8.720000000000001</v>
      </c>
      <c r="M49" s="12">
        <f>SUM(I49:L49)</f>
        <v/>
      </c>
      <c r="O49" s="13">
        <f>IFERROR(I49/C49-1,"")</f>
        <v/>
      </c>
      <c r="P49" s="13">
        <f>IFERROR(J49/D49-1,"")</f>
        <v/>
      </c>
      <c r="Q49" s="13">
        <f>IFERROR(K49/E49-1,"")</f>
        <v/>
      </c>
      <c r="R49" s="13">
        <f>IFERROR(L49/F49-1,"")</f>
        <v/>
      </c>
      <c r="S49" s="13">
        <f>IFERROR(M49/G49-1,"")</f>
        <v/>
      </c>
    </row>
    <row r="50">
      <c r="B50" s="11" t="inlineStr">
        <is>
          <t>40-99</t>
        </is>
      </c>
      <c r="C50" s="12" t="n">
        <v>0</v>
      </c>
      <c r="D50" s="12" t="n">
        <v>0.58</v>
      </c>
      <c r="E50" s="12" t="n">
        <v>7.21</v>
      </c>
      <c r="F50" s="12" t="n">
        <v>6.46</v>
      </c>
      <c r="G50" s="12">
        <f>SUM(C50:F50)</f>
        <v/>
      </c>
      <c r="I50" s="12" t="n">
        <v>0</v>
      </c>
      <c r="J50" s="12" t="n">
        <v>0.58</v>
      </c>
      <c r="K50" s="12" t="n">
        <v>7.21</v>
      </c>
      <c r="L50" s="12" t="n">
        <v>13.99</v>
      </c>
      <c r="M50" s="12">
        <f>SUM(I50:L50)</f>
        <v/>
      </c>
      <c r="O50" s="13">
        <f>IFERROR(I50/C50-1,"")</f>
        <v/>
      </c>
      <c r="P50" s="13">
        <f>IFERROR(J50/D50-1,"")</f>
        <v/>
      </c>
      <c r="Q50" s="13">
        <f>IFERROR(K50/E50-1,"")</f>
        <v/>
      </c>
      <c r="R50" s="13">
        <f>IFERROR(L50/F50-1,"")</f>
        <v/>
      </c>
      <c r="S50" s="13">
        <f>IFERROR(M50/G50-1,"")</f>
        <v/>
      </c>
    </row>
    <row r="51">
      <c r="B51" s="11" t="inlineStr">
        <is>
          <t>100+</t>
        </is>
      </c>
      <c r="C51" s="12" t="n">
        <v>0</v>
      </c>
      <c r="D51" s="12" t="n">
        <v>0.53</v>
      </c>
      <c r="E51" s="12" t="n">
        <v>12.58</v>
      </c>
      <c r="F51" s="12" t="n">
        <v>6.49</v>
      </c>
      <c r="G51" s="12">
        <f>SUM(C51:F51)</f>
        <v/>
      </c>
      <c r="I51" s="12" t="n">
        <v>0</v>
      </c>
      <c r="J51" s="12" t="n">
        <v>0.53</v>
      </c>
      <c r="K51" s="12" t="n">
        <v>12.58</v>
      </c>
      <c r="L51" s="12" t="n">
        <v>19.18</v>
      </c>
      <c r="M51" s="12">
        <f>SUM(I51:L51)</f>
        <v/>
      </c>
      <c r="O51" s="13">
        <f>IFERROR(I51/C51-1,"")</f>
        <v/>
      </c>
      <c r="P51" s="13">
        <f>IFERROR(J51/D51-1,"")</f>
        <v/>
      </c>
      <c r="Q51" s="13">
        <f>IFERROR(K51/E51-1,"")</f>
        <v/>
      </c>
      <c r="R51" s="13">
        <f>IFERROR(L51/F51-1,"")</f>
        <v/>
      </c>
      <c r="S51" s="13">
        <f>IFERROR(M51/G51-1,"")</f>
        <v/>
      </c>
    </row>
    <row r="54">
      <c r="B54" s="2" t="inlineStr">
        <is>
          <t>◆ Comet</t>
        </is>
      </c>
    </row>
    <row r="55">
      <c r="C55" s="3" t="inlineStr">
        <is>
          <t>◄ CURRENT (actuals: data + calc) ►</t>
        </is>
      </c>
      <c r="D55" s="3" t="n"/>
      <c r="E55" s="3" t="n"/>
      <c r="F55" s="3" t="n"/>
      <c r="G55" s="3" t="n"/>
      <c r="I55" s="4" t="inlineStr">
        <is>
          <t>◄ SIMULATED (EcoGainsSim v4: sim + calc) ►</t>
        </is>
      </c>
      <c r="J55" s="4" t="n"/>
      <c r="K55" s="4" t="n"/>
      <c r="L55" s="4" t="n"/>
      <c r="M55" s="4" t="n"/>
      <c r="O55" s="5" t="inlineStr">
        <is>
          <t>Δ</t>
        </is>
      </c>
      <c r="P55" s="5" t="n"/>
      <c r="Q55" s="5" t="n"/>
      <c r="R55" s="5" t="n"/>
      <c r="S55" s="5" t="n"/>
    </row>
    <row r="56">
      <c r="B56" s="6" t="inlineStr">
        <is>
          <t>Segment</t>
        </is>
      </c>
      <c r="C56" s="7" t="inlineStr">
        <is>
          <t>PAID</t>
        </is>
      </c>
      <c r="D56" s="7" t="inlineStr">
        <is>
          <t>ADS</t>
        </is>
      </c>
      <c r="E56" s="7" t="inlineStr">
        <is>
          <t>CORE</t>
        </is>
      </c>
      <c r="F56" s="7" t="inlineStr">
        <is>
          <t>META</t>
        </is>
      </c>
      <c r="G56" s="7" t="inlineStr">
        <is>
          <t>Total</t>
        </is>
      </c>
      <c r="I56" s="8" t="inlineStr">
        <is>
          <t>PAID</t>
        </is>
      </c>
      <c r="J56" s="8" t="inlineStr">
        <is>
          <t>ADS</t>
        </is>
      </c>
      <c r="K56" s="8" t="inlineStr">
        <is>
          <t>CORE</t>
        </is>
      </c>
      <c r="L56" s="8" t="inlineStr">
        <is>
          <t>META</t>
        </is>
      </c>
      <c r="M56" s="8" t="inlineStr">
        <is>
          <t>Total</t>
        </is>
      </c>
      <c r="O56" s="9" t="inlineStr">
        <is>
          <t>PAID</t>
        </is>
      </c>
      <c r="P56" s="9" t="inlineStr">
        <is>
          <t>ADS</t>
        </is>
      </c>
      <c r="Q56" s="9" t="inlineStr">
        <is>
          <t>CORE</t>
        </is>
      </c>
      <c r="R56" s="9" t="inlineStr">
        <is>
          <t>META</t>
        </is>
      </c>
      <c r="S56" s="9" t="inlineStr">
        <is>
          <t>Total</t>
        </is>
      </c>
    </row>
    <row r="57">
      <c r="B57" s="10" t="inlineStr">
        <is>
          <t>NONPAYER</t>
        </is>
      </c>
    </row>
    <row r="58">
      <c r="B58" s="11" t="inlineStr">
        <is>
          <t>0-9</t>
        </is>
      </c>
      <c r="C58" s="12" t="n">
        <v>0</v>
      </c>
      <c r="D58" s="12" t="n">
        <v>0.36</v>
      </c>
      <c r="E58" s="12" t="n">
        <v>1.07</v>
      </c>
      <c r="F58" s="12" t="n">
        <v>1.34</v>
      </c>
      <c r="G58" s="12">
        <f>SUM(C58:F58)</f>
        <v/>
      </c>
      <c r="I58" s="12" t="n">
        <v>0</v>
      </c>
      <c r="J58" s="12" t="n">
        <v>0.36</v>
      </c>
      <c r="K58" s="12" t="n">
        <v>1.07</v>
      </c>
      <c r="L58" s="12" t="n">
        <v>1.24</v>
      </c>
      <c r="M58" s="12">
        <f>SUM(I58:L58)</f>
        <v/>
      </c>
      <c r="O58" s="13">
        <f>IFERROR(I58/C58-1,"")</f>
        <v/>
      </c>
      <c r="P58" s="13">
        <f>IFERROR(J58/D58-1,"")</f>
        <v/>
      </c>
      <c r="Q58" s="13">
        <f>IFERROR(K58/E58-1,"")</f>
        <v/>
      </c>
      <c r="R58" s="13">
        <f>IFERROR(L58/F58-1,"")</f>
        <v/>
      </c>
      <c r="S58" s="13">
        <f>IFERROR(M58/G58-1,"")</f>
        <v/>
      </c>
    </row>
    <row r="59">
      <c r="B59" s="11" t="inlineStr">
        <is>
          <t>10-19</t>
        </is>
      </c>
      <c r="C59" s="12" t="n">
        <v>0</v>
      </c>
      <c r="D59" s="12" t="n">
        <v>0.36</v>
      </c>
      <c r="E59" s="12" t="n">
        <v>1.57</v>
      </c>
      <c r="F59" s="12" t="n">
        <v>1.67</v>
      </c>
      <c r="G59" s="12">
        <f>SUM(C59:F59)</f>
        <v/>
      </c>
      <c r="I59" s="12" t="n">
        <v>0</v>
      </c>
      <c r="J59" s="12" t="n">
        <v>0.36</v>
      </c>
      <c r="K59" s="12" t="n">
        <v>1.57</v>
      </c>
      <c r="L59" s="12" t="n">
        <v>1.99</v>
      </c>
      <c r="M59" s="12">
        <f>SUM(I59:L59)</f>
        <v/>
      </c>
      <c r="O59" s="13">
        <f>IFERROR(I59/C59-1,"")</f>
        <v/>
      </c>
      <c r="P59" s="13">
        <f>IFERROR(J59/D59-1,"")</f>
        <v/>
      </c>
      <c r="Q59" s="13">
        <f>IFERROR(K59/E59-1,"")</f>
        <v/>
      </c>
      <c r="R59" s="13">
        <f>IFERROR(L59/F59-1,"")</f>
        <v/>
      </c>
      <c r="S59" s="13">
        <f>IFERROR(M59/G59-1,"")</f>
        <v/>
      </c>
    </row>
    <row r="60">
      <c r="B60" s="11" t="inlineStr">
        <is>
          <t>20-39</t>
        </is>
      </c>
      <c r="C60" s="12" t="n">
        <v>0</v>
      </c>
      <c r="D60" s="12" t="n">
        <v>0.3</v>
      </c>
      <c r="E60" s="12" t="n">
        <v>2.26</v>
      </c>
      <c r="F60" s="12" t="n">
        <v>2.3</v>
      </c>
      <c r="G60" s="12">
        <f>SUM(C60:F60)</f>
        <v/>
      </c>
      <c r="I60" s="12" t="n">
        <v>0</v>
      </c>
      <c r="J60" s="12" t="n">
        <v>0.3</v>
      </c>
      <c r="K60" s="12" t="n">
        <v>2.26</v>
      </c>
      <c r="L60" s="12" t="n">
        <v>3.8</v>
      </c>
      <c r="M60" s="12">
        <f>SUM(I60:L60)</f>
        <v/>
      </c>
      <c r="O60" s="13">
        <f>IFERROR(I60/C60-1,"")</f>
        <v/>
      </c>
      <c r="P60" s="13">
        <f>IFERROR(J60/D60-1,"")</f>
        <v/>
      </c>
      <c r="Q60" s="13">
        <f>IFERROR(K60/E60-1,"")</f>
        <v/>
      </c>
      <c r="R60" s="13">
        <f>IFERROR(L60/F60-1,"")</f>
        <v/>
      </c>
      <c r="S60" s="13">
        <f>IFERROR(M60/G60-1,"")</f>
        <v/>
      </c>
    </row>
    <row r="61">
      <c r="B61" s="11" t="inlineStr">
        <is>
          <t>40-99</t>
        </is>
      </c>
      <c r="C61" s="12" t="n">
        <v>0</v>
      </c>
      <c r="D61" s="12" t="n">
        <v>0.33</v>
      </c>
      <c r="E61" s="12" t="n">
        <v>4.14</v>
      </c>
      <c r="F61" s="12" t="n">
        <v>4.23</v>
      </c>
      <c r="G61" s="12">
        <f>SUM(C61:F61)</f>
        <v/>
      </c>
      <c r="I61" s="12" t="n">
        <v>0</v>
      </c>
      <c r="J61" s="12" t="n">
        <v>0.33</v>
      </c>
      <c r="K61" s="12" t="n">
        <v>4.14</v>
      </c>
      <c r="L61" s="12" t="n">
        <v>10.11</v>
      </c>
      <c r="M61" s="12">
        <f>SUM(I61:L61)</f>
        <v/>
      </c>
      <c r="O61" s="13">
        <f>IFERROR(I61/C61-1,"")</f>
        <v/>
      </c>
      <c r="P61" s="13">
        <f>IFERROR(J61/D61-1,"")</f>
        <v/>
      </c>
      <c r="Q61" s="13">
        <f>IFERROR(K61/E61-1,"")</f>
        <v/>
      </c>
      <c r="R61" s="13">
        <f>IFERROR(L61/F61-1,"")</f>
        <v/>
      </c>
      <c r="S61" s="13">
        <f>IFERROR(M61/G61-1,"")</f>
        <v/>
      </c>
    </row>
    <row r="62">
      <c r="B62" s="11" t="inlineStr">
        <is>
          <t>100+</t>
        </is>
      </c>
      <c r="C62" s="12" t="n">
        <v>0</v>
      </c>
      <c r="D62" s="12" t="n">
        <v>0.41</v>
      </c>
      <c r="E62" s="12" t="n">
        <v>6.52</v>
      </c>
      <c r="F62" s="12" t="n">
        <v>4.82</v>
      </c>
      <c r="G62" s="12">
        <f>SUM(C62:F62)</f>
        <v/>
      </c>
      <c r="I62" s="12" t="n">
        <v>0</v>
      </c>
      <c r="J62" s="12" t="n">
        <v>0.41</v>
      </c>
      <c r="K62" s="12" t="n">
        <v>6.52</v>
      </c>
      <c r="L62" s="12" t="n">
        <v>15.17</v>
      </c>
      <c r="M62" s="12">
        <f>SUM(I62:L62)</f>
        <v/>
      </c>
      <c r="O62" s="13">
        <f>IFERROR(I62/C62-1,"")</f>
        <v/>
      </c>
      <c r="P62" s="13">
        <f>IFERROR(J62/D62-1,"")</f>
        <v/>
      </c>
      <c r="Q62" s="13">
        <f>IFERROR(K62/E62-1,"")</f>
        <v/>
      </c>
      <c r="R62" s="13">
        <f>IFERROR(L62/F62-1,"")</f>
        <v/>
      </c>
      <c r="S62" s="13">
        <f>IFERROR(M62/G62-1,"")</f>
        <v/>
      </c>
    </row>
    <row r="63">
      <c r="B63" s="10" t="inlineStr">
        <is>
          <t>PAYER</t>
        </is>
      </c>
    </row>
    <row r="64">
      <c r="B64" s="11" t="inlineStr">
        <is>
          <t>0-9</t>
        </is>
      </c>
      <c r="C64" s="12" t="n">
        <v>0</v>
      </c>
      <c r="D64" s="12" t="n">
        <v>0.57</v>
      </c>
      <c r="E64" s="12" t="n">
        <v>1.08</v>
      </c>
      <c r="F64" s="12" t="n">
        <v>2</v>
      </c>
      <c r="G64" s="12">
        <f>SUM(C64:F64)</f>
        <v/>
      </c>
      <c r="I64" s="12" t="n">
        <v>0</v>
      </c>
      <c r="J64" s="12" t="n">
        <v>0.57</v>
      </c>
      <c r="K64" s="12" t="n">
        <v>1.08</v>
      </c>
      <c r="L64" s="12" t="n">
        <v>1.89</v>
      </c>
      <c r="M64" s="12">
        <f>SUM(I64:L64)</f>
        <v/>
      </c>
      <c r="O64" s="13">
        <f>IFERROR(I64/C64-1,"")</f>
        <v/>
      </c>
      <c r="P64" s="13">
        <f>IFERROR(J64/D64-1,"")</f>
        <v/>
      </c>
      <c r="Q64" s="13">
        <f>IFERROR(K64/E64-1,"")</f>
        <v/>
      </c>
      <c r="R64" s="13">
        <f>IFERROR(L64/F64-1,"")</f>
        <v/>
      </c>
      <c r="S64" s="13">
        <f>IFERROR(M64/G64-1,"")</f>
        <v/>
      </c>
    </row>
    <row r="65">
      <c r="B65" s="11" t="inlineStr">
        <is>
          <t>10-19</t>
        </is>
      </c>
      <c r="C65" s="12" t="n">
        <v>0</v>
      </c>
      <c r="D65" s="12" t="n">
        <v>0.41</v>
      </c>
      <c r="E65" s="12" t="n">
        <v>1.42</v>
      </c>
      <c r="F65" s="12" t="n">
        <v>2.48</v>
      </c>
      <c r="G65" s="12">
        <f>SUM(C65:F65)</f>
        <v/>
      </c>
      <c r="I65" s="12" t="n">
        <v>0</v>
      </c>
      <c r="J65" s="12" t="n">
        <v>0.41</v>
      </c>
      <c r="K65" s="12" t="n">
        <v>1.42</v>
      </c>
      <c r="L65" s="12" t="n">
        <v>2.81</v>
      </c>
      <c r="M65" s="12">
        <f>SUM(I65:L65)</f>
        <v/>
      </c>
      <c r="O65" s="13">
        <f>IFERROR(I65/C65-1,"")</f>
        <v/>
      </c>
      <c r="P65" s="13">
        <f>IFERROR(J65/D65-1,"")</f>
        <v/>
      </c>
      <c r="Q65" s="13">
        <f>IFERROR(K65/E65-1,"")</f>
        <v/>
      </c>
      <c r="R65" s="13">
        <f>IFERROR(L65/F65-1,"")</f>
        <v/>
      </c>
      <c r="S65" s="13">
        <f>IFERROR(M65/G65-1,"")</f>
        <v/>
      </c>
    </row>
    <row r="66">
      <c r="B66" s="11" t="inlineStr">
        <is>
          <t>20-39</t>
        </is>
      </c>
      <c r="C66" s="12" t="n">
        <v>0</v>
      </c>
      <c r="D66" s="12" t="n">
        <v>0.31</v>
      </c>
      <c r="E66" s="12" t="n">
        <v>1.98</v>
      </c>
      <c r="F66" s="12" t="n">
        <v>3.26</v>
      </c>
      <c r="G66" s="12">
        <f>SUM(C66:F66)</f>
        <v/>
      </c>
      <c r="I66" s="12" t="n">
        <v>0</v>
      </c>
      <c r="J66" s="12" t="n">
        <v>0.31</v>
      </c>
      <c r="K66" s="12" t="n">
        <v>1.98</v>
      </c>
      <c r="L66" s="12" t="n">
        <v>4.66</v>
      </c>
      <c r="M66" s="12">
        <f>SUM(I66:L66)</f>
        <v/>
      </c>
      <c r="O66" s="13">
        <f>IFERROR(I66/C66-1,"")</f>
        <v/>
      </c>
      <c r="P66" s="13">
        <f>IFERROR(J66/D66-1,"")</f>
        <v/>
      </c>
      <c r="Q66" s="13">
        <f>IFERROR(K66/E66-1,"")</f>
        <v/>
      </c>
      <c r="R66" s="13">
        <f>IFERROR(L66/F66-1,"")</f>
        <v/>
      </c>
      <c r="S66" s="13">
        <f>IFERROR(M66/G66-1,"")</f>
        <v/>
      </c>
    </row>
    <row r="67">
      <c r="B67" s="11" t="inlineStr">
        <is>
          <t>40-99</t>
        </is>
      </c>
      <c r="C67" s="12" t="n">
        <v>0</v>
      </c>
      <c r="D67" s="12" t="n">
        <v>0.29</v>
      </c>
      <c r="E67" s="12" t="n">
        <v>3.42</v>
      </c>
      <c r="F67" s="12" t="n">
        <v>5.1</v>
      </c>
      <c r="G67" s="12">
        <f>SUM(C67:F67)</f>
        <v/>
      </c>
      <c r="I67" s="12" t="n">
        <v>0</v>
      </c>
      <c r="J67" s="12" t="n">
        <v>0.29</v>
      </c>
      <c r="K67" s="12" t="n">
        <v>3.42</v>
      </c>
      <c r="L67" s="12" t="n">
        <v>10.5</v>
      </c>
      <c r="M67" s="12">
        <f>SUM(I67:L67)</f>
        <v/>
      </c>
      <c r="O67" s="13">
        <f>IFERROR(I67/C67-1,"")</f>
        <v/>
      </c>
      <c r="P67" s="13">
        <f>IFERROR(J67/D67-1,"")</f>
        <v/>
      </c>
      <c r="Q67" s="13">
        <f>IFERROR(K67/E67-1,"")</f>
        <v/>
      </c>
      <c r="R67" s="13">
        <f>IFERROR(L67/F67-1,"")</f>
        <v/>
      </c>
      <c r="S67" s="13">
        <f>IFERROR(M67/G67-1,"")</f>
        <v/>
      </c>
    </row>
    <row r="68">
      <c r="B68" s="11" t="inlineStr">
        <is>
          <t>100+</t>
        </is>
      </c>
      <c r="C68" s="12" t="n">
        <v>0</v>
      </c>
      <c r="D68" s="12" t="n">
        <v>0.23</v>
      </c>
      <c r="E68" s="12" t="n">
        <v>5.75</v>
      </c>
      <c r="F68" s="12" t="n">
        <v>6.03</v>
      </c>
      <c r="G68" s="12">
        <f>SUM(C68:F68)</f>
        <v/>
      </c>
      <c r="I68" s="12" t="n">
        <v>0</v>
      </c>
      <c r="J68" s="12" t="n">
        <v>0.23</v>
      </c>
      <c r="K68" s="12" t="n">
        <v>5.75</v>
      </c>
      <c r="L68" s="12" t="n">
        <v>17.3</v>
      </c>
      <c r="M68" s="12">
        <f>SUM(I68:L68)</f>
        <v/>
      </c>
      <c r="O68" s="13">
        <f>IFERROR(I68/C68-1,"")</f>
        <v/>
      </c>
      <c r="P68" s="13">
        <f>IFERROR(J68/D68-1,"")</f>
        <v/>
      </c>
      <c r="Q68" s="13">
        <f>IFERROR(K68/E68-1,"")</f>
        <v/>
      </c>
      <c r="R68" s="13">
        <f>IFERROR(L68/F68-1,"")</f>
        <v/>
      </c>
      <c r="S68" s="13">
        <f>IFERROR(M68/G68-1,"")</f>
        <v/>
      </c>
    </row>
    <row r="71">
      <c r="B71" s="2" t="inlineStr">
        <is>
          <t>◆ Red</t>
        </is>
      </c>
    </row>
    <row r="72">
      <c r="C72" s="3" t="inlineStr">
        <is>
          <t>◄ CURRENT (actuals: data + calc) ►</t>
        </is>
      </c>
      <c r="D72" s="3" t="n"/>
      <c r="E72" s="3" t="n"/>
      <c r="F72" s="3" t="n"/>
      <c r="G72" s="3" t="n"/>
      <c r="I72" s="4" t="inlineStr">
        <is>
          <t>◄ SIMULATED (EcoGainsSim v4: sim + calc) ►</t>
        </is>
      </c>
      <c r="J72" s="4" t="n"/>
      <c r="K72" s="4" t="n"/>
      <c r="L72" s="4" t="n"/>
      <c r="M72" s="4" t="n"/>
      <c r="O72" s="5" t="inlineStr">
        <is>
          <t>Δ</t>
        </is>
      </c>
      <c r="P72" s="5" t="n"/>
      <c r="Q72" s="5" t="n"/>
      <c r="R72" s="5" t="n"/>
      <c r="S72" s="5" t="n"/>
    </row>
    <row r="73">
      <c r="B73" s="6" t="inlineStr">
        <is>
          <t>Segment</t>
        </is>
      </c>
      <c r="C73" s="7" t="inlineStr">
        <is>
          <t>PAID</t>
        </is>
      </c>
      <c r="D73" s="7" t="inlineStr">
        <is>
          <t>ADS</t>
        </is>
      </c>
      <c r="E73" s="7" t="inlineStr">
        <is>
          <t>CORE</t>
        </is>
      </c>
      <c r="F73" s="7" t="inlineStr">
        <is>
          <t>META</t>
        </is>
      </c>
      <c r="G73" s="7" t="inlineStr">
        <is>
          <t>Total</t>
        </is>
      </c>
      <c r="I73" s="8" t="inlineStr">
        <is>
          <t>PAID</t>
        </is>
      </c>
      <c r="J73" s="8" t="inlineStr">
        <is>
          <t>ADS</t>
        </is>
      </c>
      <c r="K73" s="8" t="inlineStr">
        <is>
          <t>CORE</t>
        </is>
      </c>
      <c r="L73" s="8" t="inlineStr">
        <is>
          <t>META</t>
        </is>
      </c>
      <c r="M73" s="8" t="inlineStr">
        <is>
          <t>Total</t>
        </is>
      </c>
      <c r="O73" s="9" t="inlineStr">
        <is>
          <t>PAID</t>
        </is>
      </c>
      <c r="P73" s="9" t="inlineStr">
        <is>
          <t>ADS</t>
        </is>
      </c>
      <c r="Q73" s="9" t="inlineStr">
        <is>
          <t>CORE</t>
        </is>
      </c>
      <c r="R73" s="9" t="inlineStr">
        <is>
          <t>META</t>
        </is>
      </c>
      <c r="S73" s="9" t="inlineStr">
        <is>
          <t>Total</t>
        </is>
      </c>
    </row>
    <row r="74">
      <c r="B74" s="10" t="inlineStr">
        <is>
          <t>NONPAYER</t>
        </is>
      </c>
    </row>
    <row r="75">
      <c r="B75" s="11" t="inlineStr">
        <is>
          <t>0-9</t>
        </is>
      </c>
      <c r="C75" s="12" t="n">
        <v>0</v>
      </c>
      <c r="D75" s="12" t="n">
        <v>0</v>
      </c>
      <c r="E75" s="12" t="n">
        <v>1.98</v>
      </c>
      <c r="F75" s="12" t="n">
        <v>3.96</v>
      </c>
      <c r="G75" s="12">
        <f>SUM(C75:F75)</f>
        <v/>
      </c>
      <c r="I75" s="12" t="n">
        <v>0</v>
      </c>
      <c r="J75" s="12" t="n">
        <v>0</v>
      </c>
      <c r="K75" s="12" t="n">
        <v>4.12</v>
      </c>
      <c r="L75" s="12" t="n">
        <v>9.17</v>
      </c>
      <c r="M75" s="12">
        <f>SUM(I75:L75)</f>
        <v/>
      </c>
      <c r="O75" s="13">
        <f>IFERROR(I75/C75-1,"")</f>
        <v/>
      </c>
      <c r="P75" s="13">
        <f>IFERROR(J75/D75-1,"")</f>
        <v/>
      </c>
      <c r="Q75" s="13">
        <f>IFERROR(K75/E75-1,"")</f>
        <v/>
      </c>
      <c r="R75" s="13">
        <f>IFERROR(L75/F75-1,"")</f>
        <v/>
      </c>
      <c r="S75" s="13">
        <f>IFERROR(M75/G75-1,"")</f>
        <v/>
      </c>
    </row>
    <row r="76">
      <c r="B76" s="11" t="inlineStr">
        <is>
          <t>10-19</t>
        </is>
      </c>
      <c r="C76" s="12" t="n">
        <v>0</v>
      </c>
      <c r="D76" s="12" t="n">
        <v>0</v>
      </c>
      <c r="E76" s="12" t="n">
        <v>4.08</v>
      </c>
      <c r="F76" s="12" t="n">
        <v>4.61</v>
      </c>
      <c r="G76" s="12">
        <f>SUM(C76:F76)</f>
        <v/>
      </c>
      <c r="I76" s="12" t="n">
        <v>0</v>
      </c>
      <c r="J76" s="12" t="n">
        <v>0</v>
      </c>
      <c r="K76" s="12" t="n">
        <v>6.4</v>
      </c>
      <c r="L76" s="12" t="n">
        <v>14.64</v>
      </c>
      <c r="M76" s="12">
        <f>SUM(I76:L76)</f>
        <v/>
      </c>
      <c r="O76" s="13">
        <f>IFERROR(I76/C76-1,"")</f>
        <v/>
      </c>
      <c r="P76" s="13">
        <f>IFERROR(J76/D76-1,"")</f>
        <v/>
      </c>
      <c r="Q76" s="13">
        <f>IFERROR(K76/E76-1,"")</f>
        <v/>
      </c>
      <c r="R76" s="13">
        <f>IFERROR(L76/F76-1,"")</f>
        <v/>
      </c>
      <c r="S76" s="13">
        <f>IFERROR(M76/G76-1,"")</f>
        <v/>
      </c>
    </row>
    <row r="77">
      <c r="B77" s="11" t="inlineStr">
        <is>
          <t>20-39</t>
        </is>
      </c>
      <c r="C77" s="12" t="n">
        <v>0</v>
      </c>
      <c r="D77" s="12" t="n">
        <v>0</v>
      </c>
      <c r="E77" s="12" t="n">
        <v>6.81</v>
      </c>
      <c r="F77" s="12" t="n">
        <v>5.45</v>
      </c>
      <c r="G77" s="12">
        <f>SUM(C77:F77)</f>
        <v/>
      </c>
      <c r="I77" s="12" t="n">
        <v>0</v>
      </c>
      <c r="J77" s="12" t="n">
        <v>0</v>
      </c>
      <c r="K77" s="12" t="n">
        <v>8.470000000000001</v>
      </c>
      <c r="L77" s="12" t="n">
        <v>18.24</v>
      </c>
      <c r="M77" s="12">
        <f>SUM(I77:L77)</f>
        <v/>
      </c>
      <c r="O77" s="13">
        <f>IFERROR(I77/C77-1,"")</f>
        <v/>
      </c>
      <c r="P77" s="13">
        <f>IFERROR(J77/D77-1,"")</f>
        <v/>
      </c>
      <c r="Q77" s="13">
        <f>IFERROR(K77/E77-1,"")</f>
        <v/>
      </c>
      <c r="R77" s="13">
        <f>IFERROR(L77/F77-1,"")</f>
        <v/>
      </c>
      <c r="S77" s="13">
        <f>IFERROR(M77/G77-1,"")</f>
        <v/>
      </c>
    </row>
    <row r="78">
      <c r="B78" s="11" t="inlineStr">
        <is>
          <t>40-99</t>
        </is>
      </c>
      <c r="C78" s="12" t="n">
        <v>0</v>
      </c>
      <c r="D78" s="12" t="n">
        <v>0</v>
      </c>
      <c r="E78" s="12" t="n">
        <v>13.55</v>
      </c>
      <c r="F78" s="12" t="n">
        <v>6.65</v>
      </c>
      <c r="G78" s="12">
        <f>SUM(C78:F78)</f>
        <v/>
      </c>
      <c r="I78" s="12" t="n">
        <v>0</v>
      </c>
      <c r="J78" s="12" t="n">
        <v>0</v>
      </c>
      <c r="K78" s="12" t="n">
        <v>14.48</v>
      </c>
      <c r="L78" s="12" t="n">
        <v>23.35</v>
      </c>
      <c r="M78" s="12">
        <f>SUM(I78:L78)</f>
        <v/>
      </c>
      <c r="O78" s="13">
        <f>IFERROR(I78/C78-1,"")</f>
        <v/>
      </c>
      <c r="P78" s="13">
        <f>IFERROR(J78/D78-1,"")</f>
        <v/>
      </c>
      <c r="Q78" s="13">
        <f>IFERROR(K78/E78-1,"")</f>
        <v/>
      </c>
      <c r="R78" s="13">
        <f>IFERROR(L78/F78-1,"")</f>
        <v/>
      </c>
      <c r="S78" s="13">
        <f>IFERROR(M78/G78-1,"")</f>
        <v/>
      </c>
    </row>
    <row r="79">
      <c r="B79" s="11" t="inlineStr">
        <is>
          <t>100+</t>
        </is>
      </c>
      <c r="C79" s="12" t="n">
        <v>0</v>
      </c>
      <c r="D79" s="12" t="n">
        <v>0</v>
      </c>
      <c r="E79" s="12" t="n">
        <v>21.49</v>
      </c>
      <c r="F79" s="12" t="n">
        <v>6.37</v>
      </c>
      <c r="G79" s="12">
        <f>SUM(C79:F79)</f>
        <v/>
      </c>
      <c r="I79" s="12" t="n">
        <v>0</v>
      </c>
      <c r="J79" s="12" t="n">
        <v>0</v>
      </c>
      <c r="K79" s="12" t="n">
        <v>21.36</v>
      </c>
      <c r="L79" s="12" t="n">
        <v>20.49</v>
      </c>
      <c r="M79" s="12">
        <f>SUM(I79:L79)</f>
        <v/>
      </c>
      <c r="O79" s="13">
        <f>IFERROR(I79/C79-1,"")</f>
        <v/>
      </c>
      <c r="P79" s="13">
        <f>IFERROR(J79/D79-1,"")</f>
        <v/>
      </c>
      <c r="Q79" s="13">
        <f>IFERROR(K79/E79-1,"")</f>
        <v/>
      </c>
      <c r="R79" s="13">
        <f>IFERROR(L79/F79-1,"")</f>
        <v/>
      </c>
      <c r="S79" s="13">
        <f>IFERROR(M79/G79-1,"")</f>
        <v/>
      </c>
    </row>
    <row r="80">
      <c r="B80" s="10" t="inlineStr">
        <is>
          <t>PAYER</t>
        </is>
      </c>
    </row>
    <row r="81">
      <c r="B81" s="11" t="inlineStr">
        <is>
          <t>0-9</t>
        </is>
      </c>
      <c r="C81" s="12" t="n">
        <v>0</v>
      </c>
      <c r="D81" s="12" t="n">
        <v>0</v>
      </c>
      <c r="E81" s="12" t="n">
        <v>2.26</v>
      </c>
      <c r="F81" s="12" t="n">
        <v>5.2</v>
      </c>
      <c r="G81" s="12">
        <f>SUM(C81:F81)</f>
        <v/>
      </c>
      <c r="I81" s="12" t="n">
        <v>0</v>
      </c>
      <c r="J81" s="12" t="n">
        <v>0</v>
      </c>
      <c r="K81" s="12" t="n">
        <v>5.04</v>
      </c>
      <c r="L81" s="12" t="n">
        <v>11.41</v>
      </c>
      <c r="M81" s="12">
        <f>SUM(I81:L81)</f>
        <v/>
      </c>
      <c r="O81" s="13">
        <f>IFERROR(I81/C81-1,"")</f>
        <v/>
      </c>
      <c r="P81" s="13">
        <f>IFERROR(J81/D81-1,"")</f>
        <v/>
      </c>
      <c r="Q81" s="13">
        <f>IFERROR(K81/E81-1,"")</f>
        <v/>
      </c>
      <c r="R81" s="13">
        <f>IFERROR(L81/F81-1,"")</f>
        <v/>
      </c>
      <c r="S81" s="13">
        <f>IFERROR(M81/G81-1,"")</f>
        <v/>
      </c>
    </row>
    <row r="82">
      <c r="B82" s="11" t="inlineStr">
        <is>
          <t>10-19</t>
        </is>
      </c>
      <c r="C82" s="12" t="n">
        <v>0</v>
      </c>
      <c r="D82" s="12" t="n">
        <v>0</v>
      </c>
      <c r="E82" s="12" t="n">
        <v>3.87</v>
      </c>
      <c r="F82" s="12" t="n">
        <v>5.34</v>
      </c>
      <c r="G82" s="12">
        <f>SUM(C82:F82)</f>
        <v/>
      </c>
      <c r="I82" s="12" t="n">
        <v>0</v>
      </c>
      <c r="J82" s="12" t="n">
        <v>0</v>
      </c>
      <c r="K82" s="12" t="n">
        <v>6.14</v>
      </c>
      <c r="L82" s="12" t="n">
        <v>15.82</v>
      </c>
      <c r="M82" s="12">
        <f>SUM(I82:L82)</f>
        <v/>
      </c>
      <c r="O82" s="13">
        <f>IFERROR(I82/C82-1,"")</f>
        <v/>
      </c>
      <c r="P82" s="13">
        <f>IFERROR(J82/D82-1,"")</f>
        <v/>
      </c>
      <c r="Q82" s="13">
        <f>IFERROR(K82/E82-1,"")</f>
        <v/>
      </c>
      <c r="R82" s="13">
        <f>IFERROR(L82/F82-1,"")</f>
        <v/>
      </c>
      <c r="S82" s="13">
        <f>IFERROR(M82/G82-1,"")</f>
        <v/>
      </c>
    </row>
    <row r="83">
      <c r="B83" s="11" t="inlineStr">
        <is>
          <t>20-39</t>
        </is>
      </c>
      <c r="C83" s="12" t="n">
        <v>0</v>
      </c>
      <c r="D83" s="12" t="n">
        <v>0</v>
      </c>
      <c r="E83" s="12" t="n">
        <v>6.09</v>
      </c>
      <c r="F83" s="12" t="n">
        <v>6.31</v>
      </c>
      <c r="G83" s="12">
        <f>SUM(C83:F83)</f>
        <v/>
      </c>
      <c r="I83" s="12" t="n">
        <v>0</v>
      </c>
      <c r="J83" s="12" t="n">
        <v>0</v>
      </c>
      <c r="K83" s="12" t="n">
        <v>7.78</v>
      </c>
      <c r="L83" s="12" t="n">
        <v>18.95</v>
      </c>
      <c r="M83" s="12">
        <f>SUM(I83:L83)</f>
        <v/>
      </c>
      <c r="O83" s="13">
        <f>IFERROR(I83/C83-1,"")</f>
        <v/>
      </c>
      <c r="P83" s="13">
        <f>IFERROR(J83/D83-1,"")</f>
        <v/>
      </c>
      <c r="Q83" s="13">
        <f>IFERROR(K83/E83-1,"")</f>
        <v/>
      </c>
      <c r="R83" s="13">
        <f>IFERROR(L83/F83-1,"")</f>
        <v/>
      </c>
      <c r="S83" s="13">
        <f>IFERROR(M83/G83-1,"")</f>
        <v/>
      </c>
    </row>
    <row r="84">
      <c r="B84" s="11" t="inlineStr">
        <is>
          <t>40-99</t>
        </is>
      </c>
      <c r="C84" s="12" t="n">
        <v>0</v>
      </c>
      <c r="D84" s="12" t="n">
        <v>0</v>
      </c>
      <c r="E84" s="12" t="n">
        <v>11.41</v>
      </c>
      <c r="F84" s="12" t="n">
        <v>7.85</v>
      </c>
      <c r="G84" s="12">
        <f>SUM(C84:F84)</f>
        <v/>
      </c>
      <c r="I84" s="12" t="n">
        <v>0</v>
      </c>
      <c r="J84" s="12" t="n">
        <v>0</v>
      </c>
      <c r="K84" s="12" t="n">
        <v>12.31</v>
      </c>
      <c r="L84" s="12" t="n">
        <v>23.67</v>
      </c>
      <c r="M84" s="12">
        <f>SUM(I84:L84)</f>
        <v/>
      </c>
      <c r="O84" s="13">
        <f>IFERROR(I84/C84-1,"")</f>
        <v/>
      </c>
      <c r="P84" s="13">
        <f>IFERROR(J84/D84-1,"")</f>
        <v/>
      </c>
      <c r="Q84" s="13">
        <f>IFERROR(K84/E84-1,"")</f>
        <v/>
      </c>
      <c r="R84" s="13">
        <f>IFERROR(L84/F84-1,"")</f>
        <v/>
      </c>
      <c r="S84" s="13">
        <f>IFERROR(M84/G84-1,"")</f>
        <v/>
      </c>
    </row>
    <row r="85">
      <c r="B85" s="11" t="inlineStr">
        <is>
          <t>100+</t>
        </is>
      </c>
      <c r="C85" s="12" t="n">
        <v>0</v>
      </c>
      <c r="D85" s="12" t="n">
        <v>0</v>
      </c>
      <c r="E85" s="12" t="n">
        <v>19.14</v>
      </c>
      <c r="F85" s="12" t="n">
        <v>8.19</v>
      </c>
      <c r="G85" s="12">
        <f>SUM(C85:F85)</f>
        <v/>
      </c>
      <c r="I85" s="12" t="n">
        <v>0</v>
      </c>
      <c r="J85" s="12" t="n">
        <v>0</v>
      </c>
      <c r="K85" s="12" t="n">
        <v>19.13</v>
      </c>
      <c r="L85" s="12" t="n">
        <v>22.8</v>
      </c>
      <c r="M85" s="12">
        <f>SUM(I85:L85)</f>
        <v/>
      </c>
      <c r="O85" s="13">
        <f>IFERROR(I85/C85-1,"")</f>
        <v/>
      </c>
      <c r="P85" s="13">
        <f>IFERROR(J85/D85-1,"")</f>
        <v/>
      </c>
      <c r="Q85" s="13">
        <f>IFERROR(K85/E85-1,"")</f>
        <v/>
      </c>
      <c r="R85" s="13">
        <f>IFERROR(L85/F85-1,"")</f>
        <v/>
      </c>
      <c r="S85" s="13">
        <f>IFERROR(M85/G85-1,"")</f>
        <v/>
      </c>
    </row>
    <row r="88">
      <c r="B88" s="2" t="inlineStr">
        <is>
          <t>◆ Chuck</t>
        </is>
      </c>
    </row>
    <row r="89">
      <c r="C89" s="3" t="inlineStr">
        <is>
          <t>◄ CURRENT (actuals: data + calc) ►</t>
        </is>
      </c>
      <c r="D89" s="3" t="n"/>
      <c r="E89" s="3" t="n"/>
      <c r="F89" s="3" t="n"/>
      <c r="G89" s="3" t="n"/>
      <c r="I89" s="4" t="inlineStr">
        <is>
          <t>◄ SIMULATED (EcoGainsSim v4: sim + calc) ►</t>
        </is>
      </c>
      <c r="J89" s="4" t="n"/>
      <c r="K89" s="4" t="n"/>
      <c r="L89" s="4" t="n"/>
      <c r="M89" s="4" t="n"/>
      <c r="O89" s="5" t="inlineStr">
        <is>
          <t>Δ</t>
        </is>
      </c>
      <c r="P89" s="5" t="n"/>
      <c r="Q89" s="5" t="n"/>
      <c r="R89" s="5" t="n"/>
      <c r="S89" s="5" t="n"/>
    </row>
    <row r="90">
      <c r="B90" s="6" t="inlineStr">
        <is>
          <t>Segment</t>
        </is>
      </c>
      <c r="C90" s="7" t="inlineStr">
        <is>
          <t>PAID</t>
        </is>
      </c>
      <c r="D90" s="7" t="inlineStr">
        <is>
          <t>ADS</t>
        </is>
      </c>
      <c r="E90" s="7" t="inlineStr">
        <is>
          <t>CORE</t>
        </is>
      </c>
      <c r="F90" s="7" t="inlineStr">
        <is>
          <t>META</t>
        </is>
      </c>
      <c r="G90" s="7" t="inlineStr">
        <is>
          <t>Total</t>
        </is>
      </c>
      <c r="I90" s="8" t="inlineStr">
        <is>
          <t>PAID</t>
        </is>
      </c>
      <c r="J90" s="8" t="inlineStr">
        <is>
          <t>ADS</t>
        </is>
      </c>
      <c r="K90" s="8" t="inlineStr">
        <is>
          <t>CORE</t>
        </is>
      </c>
      <c r="L90" s="8" t="inlineStr">
        <is>
          <t>META</t>
        </is>
      </c>
      <c r="M90" s="8" t="inlineStr">
        <is>
          <t>Total</t>
        </is>
      </c>
      <c r="O90" s="9" t="inlineStr">
        <is>
          <t>PAID</t>
        </is>
      </c>
      <c r="P90" s="9" t="inlineStr">
        <is>
          <t>ADS</t>
        </is>
      </c>
      <c r="Q90" s="9" t="inlineStr">
        <is>
          <t>CORE</t>
        </is>
      </c>
      <c r="R90" s="9" t="inlineStr">
        <is>
          <t>META</t>
        </is>
      </c>
      <c r="S90" s="9" t="inlineStr">
        <is>
          <t>Total</t>
        </is>
      </c>
    </row>
    <row r="91">
      <c r="B91" s="10" t="inlineStr">
        <is>
          <t>NONPAYER</t>
        </is>
      </c>
    </row>
    <row r="92">
      <c r="B92" s="11" t="inlineStr">
        <is>
          <t>0-9</t>
        </is>
      </c>
      <c r="C92" s="12" t="n">
        <v>0</v>
      </c>
      <c r="D92" s="12" t="n">
        <v>0</v>
      </c>
      <c r="E92" s="12" t="n">
        <v>1.75</v>
      </c>
      <c r="F92" s="12" t="n">
        <v>4.44</v>
      </c>
      <c r="G92" s="12">
        <f>SUM(C92:F92)</f>
        <v/>
      </c>
      <c r="I92" s="12" t="n">
        <v>0</v>
      </c>
      <c r="J92" s="12" t="n">
        <v>0</v>
      </c>
      <c r="K92" s="12" t="n">
        <v>2.29</v>
      </c>
      <c r="L92" s="12" t="n">
        <v>10.29</v>
      </c>
      <c r="M92" s="12">
        <f>SUM(I92:L92)</f>
        <v/>
      </c>
      <c r="O92" s="13">
        <f>IFERROR(I92/C92-1,"")</f>
        <v/>
      </c>
      <c r="P92" s="13">
        <f>IFERROR(J92/D92-1,"")</f>
        <v/>
      </c>
      <c r="Q92" s="13">
        <f>IFERROR(K92/E92-1,"")</f>
        <v/>
      </c>
      <c r="R92" s="13">
        <f>IFERROR(L92/F92-1,"")</f>
        <v/>
      </c>
      <c r="S92" s="13">
        <f>IFERROR(M92/G92-1,"")</f>
        <v/>
      </c>
    </row>
    <row r="93">
      <c r="B93" s="11" t="inlineStr">
        <is>
          <t>10-19</t>
        </is>
      </c>
      <c r="C93" s="12" t="n">
        <v>0</v>
      </c>
      <c r="D93" s="12" t="n">
        <v>0</v>
      </c>
      <c r="E93" s="12" t="n">
        <v>3.66</v>
      </c>
      <c r="F93" s="12" t="n">
        <v>5.31</v>
      </c>
      <c r="G93" s="12">
        <f>SUM(C93:F93)</f>
        <v/>
      </c>
      <c r="I93" s="12" t="n">
        <v>0</v>
      </c>
      <c r="J93" s="12" t="n">
        <v>0</v>
      </c>
      <c r="K93" s="12" t="n">
        <v>3.49</v>
      </c>
      <c r="L93" s="12" t="n">
        <v>16.46</v>
      </c>
      <c r="M93" s="12">
        <f>SUM(I93:L93)</f>
        <v/>
      </c>
      <c r="O93" s="13">
        <f>IFERROR(I93/C93-1,"")</f>
        <v/>
      </c>
      <c r="P93" s="13">
        <f>IFERROR(J93/D93-1,"")</f>
        <v/>
      </c>
      <c r="Q93" s="13">
        <f>IFERROR(K93/E93-1,"")</f>
        <v/>
      </c>
      <c r="R93" s="13">
        <f>IFERROR(L93/F93-1,"")</f>
        <v/>
      </c>
      <c r="S93" s="13">
        <f>IFERROR(M93/G93-1,"")</f>
        <v/>
      </c>
    </row>
    <row r="94">
      <c r="B94" s="11" t="inlineStr">
        <is>
          <t>20-39</t>
        </is>
      </c>
      <c r="C94" s="12" t="n">
        <v>0</v>
      </c>
      <c r="D94" s="12" t="n">
        <v>0</v>
      </c>
      <c r="E94" s="12" t="n">
        <v>6.34</v>
      </c>
      <c r="F94" s="12" t="n">
        <v>5.84</v>
      </c>
      <c r="G94" s="12">
        <f>SUM(C94:F94)</f>
        <v/>
      </c>
      <c r="I94" s="12" t="n">
        <v>0</v>
      </c>
      <c r="J94" s="12" t="n">
        <v>0</v>
      </c>
      <c r="K94" s="12" t="n">
        <v>6.5</v>
      </c>
      <c r="L94" s="12" t="n">
        <v>18.14</v>
      </c>
      <c r="M94" s="12">
        <f>SUM(I94:L94)</f>
        <v/>
      </c>
      <c r="O94" s="13">
        <f>IFERROR(I94/C94-1,"")</f>
        <v/>
      </c>
      <c r="P94" s="13">
        <f>IFERROR(J94/D94-1,"")</f>
        <v/>
      </c>
      <c r="Q94" s="13">
        <f>IFERROR(K94/E94-1,"")</f>
        <v/>
      </c>
      <c r="R94" s="13">
        <f>IFERROR(L94/F94-1,"")</f>
        <v/>
      </c>
      <c r="S94" s="13">
        <f>IFERROR(M94/G94-1,"")</f>
        <v/>
      </c>
    </row>
    <row r="95">
      <c r="B95" s="11" t="inlineStr">
        <is>
          <t>40-99</t>
        </is>
      </c>
      <c r="C95" s="12" t="n">
        <v>0</v>
      </c>
      <c r="D95" s="12" t="n">
        <v>0</v>
      </c>
      <c r="E95" s="12" t="n">
        <v>13.3</v>
      </c>
      <c r="F95" s="12" t="n">
        <v>7.09</v>
      </c>
      <c r="G95" s="12">
        <f>SUM(C95:F95)</f>
        <v/>
      </c>
      <c r="I95" s="12" t="n">
        <v>0</v>
      </c>
      <c r="J95" s="12" t="n">
        <v>0</v>
      </c>
      <c r="K95" s="12" t="n">
        <v>12.41</v>
      </c>
      <c r="L95" s="12" t="n">
        <v>22.3</v>
      </c>
      <c r="M95" s="12">
        <f>SUM(I95:L95)</f>
        <v/>
      </c>
      <c r="O95" s="13">
        <f>IFERROR(I95/C95-1,"")</f>
        <v/>
      </c>
      <c r="P95" s="13">
        <f>IFERROR(J95/D95-1,"")</f>
        <v/>
      </c>
      <c r="Q95" s="13">
        <f>IFERROR(K95/E95-1,"")</f>
        <v/>
      </c>
      <c r="R95" s="13">
        <f>IFERROR(L95/F95-1,"")</f>
        <v/>
      </c>
      <c r="S95" s="13">
        <f>IFERROR(M95/G95-1,"")</f>
        <v/>
      </c>
    </row>
    <row r="96">
      <c r="B96" s="11" t="inlineStr">
        <is>
          <t>100+</t>
        </is>
      </c>
      <c r="C96" s="12" t="n">
        <v>0</v>
      </c>
      <c r="D96" s="12" t="n">
        <v>0</v>
      </c>
      <c r="E96" s="12" t="n">
        <v>22.14</v>
      </c>
      <c r="F96" s="12" t="n">
        <v>6.83</v>
      </c>
      <c r="G96" s="12">
        <f>SUM(C96:F96)</f>
        <v/>
      </c>
      <c r="I96" s="12" t="n">
        <v>0</v>
      </c>
      <c r="J96" s="12" t="n">
        <v>0</v>
      </c>
      <c r="K96" s="12" t="n">
        <v>21.4</v>
      </c>
      <c r="L96" s="12" t="n">
        <v>20.15</v>
      </c>
      <c r="M96" s="12">
        <f>SUM(I96:L96)</f>
        <v/>
      </c>
      <c r="O96" s="13">
        <f>IFERROR(I96/C96-1,"")</f>
        <v/>
      </c>
      <c r="P96" s="13">
        <f>IFERROR(J96/D96-1,"")</f>
        <v/>
      </c>
      <c r="Q96" s="13">
        <f>IFERROR(K96/E96-1,"")</f>
        <v/>
      </c>
      <c r="R96" s="13">
        <f>IFERROR(L96/F96-1,"")</f>
        <v/>
      </c>
      <c r="S96" s="13">
        <f>IFERROR(M96/G96-1,"")</f>
        <v/>
      </c>
    </row>
    <row r="97">
      <c r="B97" s="10" t="inlineStr">
        <is>
          <t>PAYER</t>
        </is>
      </c>
    </row>
    <row r="98">
      <c r="B98" s="11" t="inlineStr">
        <is>
          <t>0-9</t>
        </is>
      </c>
      <c r="C98" s="12" t="n">
        <v>0</v>
      </c>
      <c r="D98" s="12" t="n">
        <v>0</v>
      </c>
      <c r="E98" s="12" t="n">
        <v>2.05</v>
      </c>
      <c r="F98" s="12" t="n">
        <v>5.75</v>
      </c>
      <c r="G98" s="12">
        <f>SUM(C98:F98)</f>
        <v/>
      </c>
      <c r="I98" s="12" t="n">
        <v>0</v>
      </c>
      <c r="J98" s="12" t="n">
        <v>0</v>
      </c>
      <c r="K98" s="12" t="n">
        <v>2</v>
      </c>
      <c r="L98" s="12" t="n">
        <v>13.03</v>
      </c>
      <c r="M98" s="12">
        <f>SUM(I98:L98)</f>
        <v/>
      </c>
      <c r="O98" s="13">
        <f>IFERROR(I98/C98-1,"")</f>
        <v/>
      </c>
      <c r="P98" s="13">
        <f>IFERROR(J98/D98-1,"")</f>
        <v/>
      </c>
      <c r="Q98" s="13">
        <f>IFERROR(K98/E98-1,"")</f>
        <v/>
      </c>
      <c r="R98" s="13">
        <f>IFERROR(L98/F98-1,"")</f>
        <v/>
      </c>
      <c r="S98" s="13">
        <f>IFERROR(M98/G98-1,"")</f>
        <v/>
      </c>
    </row>
    <row r="99">
      <c r="B99" s="11" t="inlineStr">
        <is>
          <t>10-19</t>
        </is>
      </c>
      <c r="C99" s="12" t="n">
        <v>0</v>
      </c>
      <c r="D99" s="12" t="n">
        <v>0</v>
      </c>
      <c r="E99" s="12" t="n">
        <v>3.48</v>
      </c>
      <c r="F99" s="12" t="n">
        <v>5.99</v>
      </c>
      <c r="G99" s="12">
        <f>SUM(C99:F99)</f>
        <v/>
      </c>
      <c r="I99" s="12" t="n">
        <v>0</v>
      </c>
      <c r="J99" s="12" t="n">
        <v>0</v>
      </c>
      <c r="K99" s="12" t="n">
        <v>3.31</v>
      </c>
      <c r="L99" s="12" t="n">
        <v>17.57</v>
      </c>
      <c r="M99" s="12">
        <f>SUM(I99:L99)</f>
        <v/>
      </c>
      <c r="O99" s="13">
        <f>IFERROR(I99/C99-1,"")</f>
        <v/>
      </c>
      <c r="P99" s="13">
        <f>IFERROR(J99/D99-1,"")</f>
        <v/>
      </c>
      <c r="Q99" s="13">
        <f>IFERROR(K99/E99-1,"")</f>
        <v/>
      </c>
      <c r="R99" s="13">
        <f>IFERROR(L99/F99-1,"")</f>
        <v/>
      </c>
      <c r="S99" s="13">
        <f>IFERROR(M99/G99-1,"")</f>
        <v/>
      </c>
    </row>
    <row r="100">
      <c r="B100" s="11" t="inlineStr">
        <is>
          <t>20-39</t>
        </is>
      </c>
      <c r="C100" s="12" t="n">
        <v>0</v>
      </c>
      <c r="D100" s="12" t="n">
        <v>0</v>
      </c>
      <c r="E100" s="12" t="n">
        <v>5.73</v>
      </c>
      <c r="F100" s="12" t="n">
        <v>6.69</v>
      </c>
      <c r="G100" s="12">
        <f>SUM(C100:F100)</f>
        <v/>
      </c>
      <c r="I100" s="12" t="n">
        <v>0</v>
      </c>
      <c r="J100" s="12" t="n">
        <v>0</v>
      </c>
      <c r="K100" s="12" t="n">
        <v>5.9</v>
      </c>
      <c r="L100" s="12" t="n">
        <v>18.87</v>
      </c>
      <c r="M100" s="12">
        <f>SUM(I100:L100)</f>
        <v/>
      </c>
      <c r="O100" s="13">
        <f>IFERROR(I100/C100-1,"")</f>
        <v/>
      </c>
      <c r="P100" s="13">
        <f>IFERROR(J100/D100-1,"")</f>
        <v/>
      </c>
      <c r="Q100" s="13">
        <f>IFERROR(K100/E100-1,"")</f>
        <v/>
      </c>
      <c r="R100" s="13">
        <f>IFERROR(L100/F100-1,"")</f>
        <v/>
      </c>
      <c r="S100" s="13">
        <f>IFERROR(M100/G100-1,"")</f>
        <v/>
      </c>
    </row>
    <row r="101">
      <c r="B101" s="11" t="inlineStr">
        <is>
          <t>40-99</t>
        </is>
      </c>
      <c r="C101" s="12" t="n">
        <v>0</v>
      </c>
      <c r="D101" s="12" t="n">
        <v>0</v>
      </c>
      <c r="E101" s="12" t="n">
        <v>11.19</v>
      </c>
      <c r="F101" s="12" t="n">
        <v>8.18</v>
      </c>
      <c r="G101" s="12">
        <f>SUM(C101:F101)</f>
        <v/>
      </c>
      <c r="I101" s="12" t="n">
        <v>0</v>
      </c>
      <c r="J101" s="12" t="n">
        <v>0</v>
      </c>
      <c r="K101" s="12" t="n">
        <v>10.43</v>
      </c>
      <c r="L101" s="12" t="n">
        <v>22.59</v>
      </c>
      <c r="M101" s="12">
        <f>SUM(I101:L101)</f>
        <v/>
      </c>
      <c r="O101" s="13">
        <f>IFERROR(I101/C101-1,"")</f>
        <v/>
      </c>
      <c r="P101" s="13">
        <f>IFERROR(J101/D101-1,"")</f>
        <v/>
      </c>
      <c r="Q101" s="13">
        <f>IFERROR(K101/E101-1,"")</f>
        <v/>
      </c>
      <c r="R101" s="13">
        <f>IFERROR(L101/F101-1,"")</f>
        <v/>
      </c>
      <c r="S101" s="13">
        <f>IFERROR(M101/G101-1,"")</f>
        <v/>
      </c>
    </row>
    <row r="102">
      <c r="B102" s="11" t="inlineStr">
        <is>
          <t>100+</t>
        </is>
      </c>
      <c r="C102" s="12" t="n">
        <v>0</v>
      </c>
      <c r="D102" s="12" t="n">
        <v>0</v>
      </c>
      <c r="E102" s="12" t="n">
        <v>19.58</v>
      </c>
      <c r="F102" s="12" t="n">
        <v>8.5</v>
      </c>
      <c r="G102" s="12">
        <f>SUM(C102:F102)</f>
        <v/>
      </c>
      <c r="I102" s="12" t="n">
        <v>0</v>
      </c>
      <c r="J102" s="12" t="n">
        <v>0</v>
      </c>
      <c r="K102" s="12" t="n">
        <v>18.88</v>
      </c>
      <c r="L102" s="12" t="n">
        <v>22.39</v>
      </c>
      <c r="M102" s="12">
        <f>SUM(I102:L102)</f>
        <v/>
      </c>
      <c r="O102" s="13">
        <f>IFERROR(I102/C102-1,"")</f>
        <v/>
      </c>
      <c r="P102" s="13">
        <f>IFERROR(J102/D102-1,"")</f>
        <v/>
      </c>
      <c r="Q102" s="13">
        <f>IFERROR(K102/E102-1,"")</f>
        <v/>
      </c>
      <c r="R102" s="13">
        <f>IFERROR(L102/F102-1,"")</f>
        <v/>
      </c>
      <c r="S102" s="13">
        <f>IFERROR(M102/G102-1,"")</f>
        <v/>
      </c>
    </row>
    <row r="105">
      <c r="B105" s="2" t="inlineStr">
        <is>
          <t>◆ Bomb</t>
        </is>
      </c>
    </row>
    <row r="106">
      <c r="C106" s="3" t="inlineStr">
        <is>
          <t>◄ CURRENT (actuals: data + calc) ►</t>
        </is>
      </c>
      <c r="D106" s="3" t="n"/>
      <c r="E106" s="3" t="n"/>
      <c r="F106" s="3" t="n"/>
      <c r="G106" s="3" t="n"/>
      <c r="I106" s="4" t="inlineStr">
        <is>
          <t>◄ SIMULATED (EcoGainsSim v4: sim + calc) ►</t>
        </is>
      </c>
      <c r="J106" s="4" t="n"/>
      <c r="K106" s="4" t="n"/>
      <c r="L106" s="4" t="n"/>
      <c r="M106" s="4" t="n"/>
      <c r="O106" s="5" t="inlineStr">
        <is>
          <t>Δ</t>
        </is>
      </c>
      <c r="P106" s="5" t="n"/>
      <c r="Q106" s="5" t="n"/>
      <c r="R106" s="5" t="n"/>
      <c r="S106" s="5" t="n"/>
    </row>
    <row r="107">
      <c r="B107" s="6" t="inlineStr">
        <is>
          <t>Segment</t>
        </is>
      </c>
      <c r="C107" s="7" t="inlineStr">
        <is>
          <t>PAID</t>
        </is>
      </c>
      <c r="D107" s="7" t="inlineStr">
        <is>
          <t>ADS</t>
        </is>
      </c>
      <c r="E107" s="7" t="inlineStr">
        <is>
          <t>CORE</t>
        </is>
      </c>
      <c r="F107" s="7" t="inlineStr">
        <is>
          <t>META</t>
        </is>
      </c>
      <c r="G107" s="7" t="inlineStr">
        <is>
          <t>Total</t>
        </is>
      </c>
      <c r="I107" s="8" t="inlineStr">
        <is>
          <t>PAID</t>
        </is>
      </c>
      <c r="J107" s="8" t="inlineStr">
        <is>
          <t>ADS</t>
        </is>
      </c>
      <c r="K107" s="8" t="inlineStr">
        <is>
          <t>CORE</t>
        </is>
      </c>
      <c r="L107" s="8" t="inlineStr">
        <is>
          <t>META</t>
        </is>
      </c>
      <c r="M107" s="8" t="inlineStr">
        <is>
          <t>Total</t>
        </is>
      </c>
      <c r="O107" s="9" t="inlineStr">
        <is>
          <t>PAID</t>
        </is>
      </c>
      <c r="P107" s="9" t="inlineStr">
        <is>
          <t>ADS</t>
        </is>
      </c>
      <c r="Q107" s="9" t="inlineStr">
        <is>
          <t>CORE</t>
        </is>
      </c>
      <c r="R107" s="9" t="inlineStr">
        <is>
          <t>META</t>
        </is>
      </c>
      <c r="S107" s="9" t="inlineStr">
        <is>
          <t>Total</t>
        </is>
      </c>
    </row>
    <row r="108">
      <c r="B108" s="10" t="inlineStr">
        <is>
          <t>NONPAYER</t>
        </is>
      </c>
    </row>
    <row r="109">
      <c r="B109" s="11" t="inlineStr">
        <is>
          <t>0-9</t>
        </is>
      </c>
      <c r="C109" s="12" t="n">
        <v>0</v>
      </c>
      <c r="D109" s="12" t="n">
        <v>0</v>
      </c>
      <c r="E109" s="12" t="n">
        <v>0.6</v>
      </c>
      <c r="F109" s="12" t="n">
        <v>2.51</v>
      </c>
      <c r="G109" s="12">
        <f>SUM(C109:F109)</f>
        <v/>
      </c>
      <c r="I109" s="12" t="n">
        <v>0</v>
      </c>
      <c r="J109" s="12" t="n">
        <v>0</v>
      </c>
      <c r="K109" s="12" t="n">
        <v>0.6</v>
      </c>
      <c r="L109" s="12" t="n">
        <v>4.86</v>
      </c>
      <c r="M109" s="12">
        <f>SUM(I109:L109)</f>
        <v/>
      </c>
      <c r="O109" s="13">
        <f>IFERROR(I109/C109-1,"")</f>
        <v/>
      </c>
      <c r="P109" s="13">
        <f>IFERROR(J109/D109-1,"")</f>
        <v/>
      </c>
      <c r="Q109" s="13">
        <f>IFERROR(K109/E109-1,"")</f>
        <v/>
      </c>
      <c r="R109" s="13">
        <f>IFERROR(L109/F109-1,"")</f>
        <v/>
      </c>
      <c r="S109" s="13">
        <f>IFERROR(M109/G109-1,"")</f>
        <v/>
      </c>
    </row>
    <row r="110">
      <c r="B110" s="11" t="inlineStr">
        <is>
          <t>10-19</t>
        </is>
      </c>
      <c r="C110" s="12" t="n">
        <v>0</v>
      </c>
      <c r="D110" s="12" t="n">
        <v>0</v>
      </c>
      <c r="E110" s="12" t="n">
        <v>1.14</v>
      </c>
      <c r="F110" s="12" t="n">
        <v>3.18</v>
      </c>
      <c r="G110" s="12">
        <f>SUM(C110:F110)</f>
        <v/>
      </c>
      <c r="I110" s="12" t="n">
        <v>0</v>
      </c>
      <c r="J110" s="12" t="n">
        <v>0</v>
      </c>
      <c r="K110" s="12" t="n">
        <v>1.14</v>
      </c>
      <c r="L110" s="12" t="n">
        <v>7.34</v>
      </c>
      <c r="M110" s="12">
        <f>SUM(I110:L110)</f>
        <v/>
      </c>
      <c r="O110" s="13">
        <f>IFERROR(I110/C110-1,"")</f>
        <v/>
      </c>
      <c r="P110" s="13">
        <f>IFERROR(J110/D110-1,"")</f>
        <v/>
      </c>
      <c r="Q110" s="13">
        <f>IFERROR(K110/E110-1,"")</f>
        <v/>
      </c>
      <c r="R110" s="13">
        <f>IFERROR(L110/F110-1,"")</f>
        <v/>
      </c>
      <c r="S110" s="13">
        <f>IFERROR(M110/G110-1,"")</f>
        <v/>
      </c>
    </row>
    <row r="111">
      <c r="B111" s="11" t="inlineStr">
        <is>
          <t>20-39</t>
        </is>
      </c>
      <c r="C111" s="12" t="n">
        <v>0</v>
      </c>
      <c r="D111" s="12" t="n">
        <v>0</v>
      </c>
      <c r="E111" s="12" t="n">
        <v>1.87</v>
      </c>
      <c r="F111" s="12" t="n">
        <v>3.86</v>
      </c>
      <c r="G111" s="12">
        <f>SUM(C111:F111)</f>
        <v/>
      </c>
      <c r="I111" s="12" t="n">
        <v>0</v>
      </c>
      <c r="J111" s="12" t="n">
        <v>0</v>
      </c>
      <c r="K111" s="12" t="n">
        <v>1.87</v>
      </c>
      <c r="L111" s="12" t="n">
        <v>9.029999999999999</v>
      </c>
      <c r="M111" s="12">
        <f>SUM(I111:L111)</f>
        <v/>
      </c>
      <c r="O111" s="13">
        <f>IFERROR(I111/C111-1,"")</f>
        <v/>
      </c>
      <c r="P111" s="13">
        <f>IFERROR(J111/D111-1,"")</f>
        <v/>
      </c>
      <c r="Q111" s="13">
        <f>IFERROR(K111/E111-1,"")</f>
        <v/>
      </c>
      <c r="R111" s="13">
        <f>IFERROR(L111/F111-1,"")</f>
        <v/>
      </c>
      <c r="S111" s="13">
        <f>IFERROR(M111/G111-1,"")</f>
        <v/>
      </c>
    </row>
    <row r="112">
      <c r="B112" s="11" t="inlineStr">
        <is>
          <t>40-99</t>
        </is>
      </c>
      <c r="C112" s="12" t="n">
        <v>0</v>
      </c>
      <c r="D112" s="12" t="n">
        <v>0</v>
      </c>
      <c r="E112" s="12" t="n">
        <v>3.73</v>
      </c>
      <c r="F112" s="12" t="n">
        <v>5.37</v>
      </c>
      <c r="G112" s="12">
        <f>SUM(C112:F112)</f>
        <v/>
      </c>
      <c r="I112" s="12" t="n">
        <v>0</v>
      </c>
      <c r="J112" s="12" t="n">
        <v>0</v>
      </c>
      <c r="K112" s="12" t="n">
        <v>3.73</v>
      </c>
      <c r="L112" s="12" t="n">
        <v>12.19</v>
      </c>
      <c r="M112" s="12">
        <f>SUM(I112:L112)</f>
        <v/>
      </c>
      <c r="O112" s="13">
        <f>IFERROR(I112/C112-1,"")</f>
        <v/>
      </c>
      <c r="P112" s="13">
        <f>IFERROR(J112/D112-1,"")</f>
        <v/>
      </c>
      <c r="Q112" s="13">
        <f>IFERROR(K112/E112-1,"")</f>
        <v/>
      </c>
      <c r="R112" s="13">
        <f>IFERROR(L112/F112-1,"")</f>
        <v/>
      </c>
      <c r="S112" s="13">
        <f>IFERROR(M112/G112-1,"")</f>
        <v/>
      </c>
    </row>
    <row r="113">
      <c r="B113" s="11" t="inlineStr">
        <is>
          <t>100+</t>
        </is>
      </c>
      <c r="C113" s="12" t="n">
        <v>0</v>
      </c>
      <c r="D113" s="12" t="n">
        <v>0</v>
      </c>
      <c r="E113" s="12" t="n">
        <v>6.49</v>
      </c>
      <c r="F113" s="12" t="n">
        <v>5.33</v>
      </c>
      <c r="G113" s="12">
        <f>SUM(C113:F113)</f>
        <v/>
      </c>
      <c r="I113" s="12" t="n">
        <v>0</v>
      </c>
      <c r="J113" s="12" t="n">
        <v>0</v>
      </c>
      <c r="K113" s="12" t="n">
        <v>6.49</v>
      </c>
      <c r="L113" s="12" t="n">
        <v>13.59</v>
      </c>
      <c r="M113" s="12">
        <f>SUM(I113:L113)</f>
        <v/>
      </c>
      <c r="O113" s="13">
        <f>IFERROR(I113/C113-1,"")</f>
        <v/>
      </c>
      <c r="P113" s="13">
        <f>IFERROR(J113/D113-1,"")</f>
        <v/>
      </c>
      <c r="Q113" s="13">
        <f>IFERROR(K113/E113-1,"")</f>
        <v/>
      </c>
      <c r="R113" s="13">
        <f>IFERROR(L113/F113-1,"")</f>
        <v/>
      </c>
      <c r="S113" s="13">
        <f>IFERROR(M113/G113-1,"")</f>
        <v/>
      </c>
    </row>
    <row r="114">
      <c r="B114" s="10" t="inlineStr">
        <is>
          <t>PAYER</t>
        </is>
      </c>
    </row>
    <row r="115">
      <c r="B115" s="11" t="inlineStr">
        <is>
          <t>0-9</t>
        </is>
      </c>
      <c r="C115" s="12" t="n">
        <v>0</v>
      </c>
      <c r="D115" s="12" t="n">
        <v>0</v>
      </c>
      <c r="E115" s="12" t="n">
        <v>0.63</v>
      </c>
      <c r="F115" s="12" t="n">
        <v>3.5</v>
      </c>
      <c r="G115" s="12">
        <f>SUM(C115:F115)</f>
        <v/>
      </c>
      <c r="I115" s="12" t="n">
        <v>0</v>
      </c>
      <c r="J115" s="12" t="n">
        <v>0</v>
      </c>
      <c r="K115" s="12" t="n">
        <v>0.63</v>
      </c>
      <c r="L115" s="12" t="n">
        <v>6.39</v>
      </c>
      <c r="M115" s="12">
        <f>SUM(I115:L115)</f>
        <v/>
      </c>
      <c r="O115" s="13">
        <f>IFERROR(I115/C115-1,"")</f>
        <v/>
      </c>
      <c r="P115" s="13">
        <f>IFERROR(J115/D115-1,"")</f>
        <v/>
      </c>
      <c r="Q115" s="13">
        <f>IFERROR(K115/E115-1,"")</f>
        <v/>
      </c>
      <c r="R115" s="13">
        <f>IFERROR(L115/F115-1,"")</f>
        <v/>
      </c>
      <c r="S115" s="13">
        <f>IFERROR(M115/G115-1,"")</f>
        <v/>
      </c>
    </row>
    <row r="116">
      <c r="B116" s="11" t="inlineStr">
        <is>
          <t>10-19</t>
        </is>
      </c>
      <c r="C116" s="12" t="n">
        <v>0</v>
      </c>
      <c r="D116" s="12" t="n">
        <v>0</v>
      </c>
      <c r="E116" s="12" t="n">
        <v>1.03</v>
      </c>
      <c r="F116" s="12" t="n">
        <v>4.08</v>
      </c>
      <c r="G116" s="12">
        <f>SUM(C116:F116)</f>
        <v/>
      </c>
      <c r="I116" s="12" t="n">
        <v>0</v>
      </c>
      <c r="J116" s="12" t="n">
        <v>0</v>
      </c>
      <c r="K116" s="12" t="n">
        <v>1.03</v>
      </c>
      <c r="L116" s="12" t="n">
        <v>8.380000000000001</v>
      </c>
      <c r="M116" s="12">
        <f>SUM(I116:L116)</f>
        <v/>
      </c>
      <c r="O116" s="13">
        <f>IFERROR(I116/C116-1,"")</f>
        <v/>
      </c>
      <c r="P116" s="13">
        <f>IFERROR(J116/D116-1,"")</f>
        <v/>
      </c>
      <c r="Q116" s="13">
        <f>IFERROR(K116/E116-1,"")</f>
        <v/>
      </c>
      <c r="R116" s="13">
        <f>IFERROR(L116/F116-1,"")</f>
        <v/>
      </c>
      <c r="S116" s="13">
        <f>IFERROR(M116/G116-1,"")</f>
        <v/>
      </c>
    </row>
    <row r="117">
      <c r="B117" s="11" t="inlineStr">
        <is>
          <t>20-39</t>
        </is>
      </c>
      <c r="C117" s="12" t="n">
        <v>0</v>
      </c>
      <c r="D117" s="12" t="n">
        <v>0</v>
      </c>
      <c r="E117" s="12" t="n">
        <v>1.62</v>
      </c>
      <c r="F117" s="12" t="n">
        <v>5.03</v>
      </c>
      <c r="G117" s="12">
        <f>SUM(C117:F117)</f>
        <v/>
      </c>
      <c r="I117" s="12" t="n">
        <v>0</v>
      </c>
      <c r="J117" s="12" t="n">
        <v>0</v>
      </c>
      <c r="K117" s="12" t="n">
        <v>1.62</v>
      </c>
      <c r="L117" s="12" t="n">
        <v>10.14</v>
      </c>
      <c r="M117" s="12">
        <f>SUM(I117:L117)</f>
        <v/>
      </c>
      <c r="O117" s="13">
        <f>IFERROR(I117/C117-1,"")</f>
        <v/>
      </c>
      <c r="P117" s="13">
        <f>IFERROR(J117/D117-1,"")</f>
        <v/>
      </c>
      <c r="Q117" s="13">
        <f>IFERROR(K117/E117-1,"")</f>
        <v/>
      </c>
      <c r="R117" s="13">
        <f>IFERROR(L117/F117-1,"")</f>
        <v/>
      </c>
      <c r="S117" s="13">
        <f>IFERROR(M117/G117-1,"")</f>
        <v/>
      </c>
    </row>
    <row r="118">
      <c r="B118" s="11" t="inlineStr">
        <is>
          <t>40-99</t>
        </is>
      </c>
      <c r="C118" s="12" t="n">
        <v>0</v>
      </c>
      <c r="D118" s="12" t="n">
        <v>0</v>
      </c>
      <c r="E118" s="12" t="n">
        <v>3.05</v>
      </c>
      <c r="F118" s="12" t="n">
        <v>6.79</v>
      </c>
      <c r="G118" s="12">
        <f>SUM(C118:F118)</f>
        <v/>
      </c>
      <c r="I118" s="12" t="n">
        <v>0</v>
      </c>
      <c r="J118" s="12" t="n">
        <v>0</v>
      </c>
      <c r="K118" s="12" t="n">
        <v>3.05</v>
      </c>
      <c r="L118" s="12" t="n">
        <v>13.21</v>
      </c>
      <c r="M118" s="12">
        <f>SUM(I118:L118)</f>
        <v/>
      </c>
      <c r="O118" s="13">
        <f>IFERROR(I118/C118-1,"")</f>
        <v/>
      </c>
      <c r="P118" s="13">
        <f>IFERROR(J118/D118-1,"")</f>
        <v/>
      </c>
      <c r="Q118" s="13">
        <f>IFERROR(K118/E118-1,"")</f>
        <v/>
      </c>
      <c r="R118" s="13">
        <f>IFERROR(L118/F118-1,"")</f>
        <v/>
      </c>
      <c r="S118" s="13">
        <f>IFERROR(M118/G118-1,"")</f>
        <v/>
      </c>
    </row>
    <row r="119">
      <c r="B119" s="11" t="inlineStr">
        <is>
          <t>100+</t>
        </is>
      </c>
      <c r="C119" s="12" t="n">
        <v>0</v>
      </c>
      <c r="D119" s="12" t="n">
        <v>0</v>
      </c>
      <c r="E119" s="12" t="n">
        <v>5.61</v>
      </c>
      <c r="F119" s="12" t="n">
        <v>7.38</v>
      </c>
      <c r="G119" s="12">
        <f>SUM(C119:F119)</f>
        <v/>
      </c>
      <c r="I119" s="12" t="n">
        <v>0</v>
      </c>
      <c r="J119" s="12" t="n">
        <v>0</v>
      </c>
      <c r="K119" s="12" t="n">
        <v>5.61</v>
      </c>
      <c r="L119" s="12" t="n">
        <v>16.12</v>
      </c>
      <c r="M119" s="12">
        <f>SUM(I119:L119)</f>
        <v/>
      </c>
      <c r="O119" s="13">
        <f>IFERROR(I119/C119-1,"")</f>
        <v/>
      </c>
      <c r="P119" s="13">
        <f>IFERROR(J119/D119-1,"")</f>
        <v/>
      </c>
      <c r="Q119" s="13">
        <f>IFERROR(K119/E119-1,"")</f>
        <v/>
      </c>
      <c r="R119" s="13">
        <f>IFERROR(L119/F119-1,"")</f>
        <v/>
      </c>
      <c r="S119" s="13">
        <f>IFERROR(M119/G119-1,"")</f>
        <v/>
      </c>
    </row>
    <row r="122">
      <c r="B122" s="2" t="inlineStr">
        <is>
          <t>◆ UL Bomb</t>
        </is>
      </c>
    </row>
    <row r="123">
      <c r="C123" s="3" t="inlineStr">
        <is>
          <t>◄ CURRENT (actuals: data + calc) ►</t>
        </is>
      </c>
      <c r="D123" s="3" t="n"/>
      <c r="E123" s="3" t="n"/>
      <c r="F123" s="3" t="n"/>
      <c r="G123" s="3" t="n"/>
      <c r="I123" s="4" t="inlineStr">
        <is>
          <t>◄ SIMULATED (EcoGainsSim v4: sim + calc) ►</t>
        </is>
      </c>
      <c r="J123" s="4" t="n"/>
      <c r="K123" s="4" t="n"/>
      <c r="L123" s="4" t="n"/>
      <c r="M123" s="4" t="n"/>
      <c r="O123" s="5" t="inlineStr">
        <is>
          <t>Δ</t>
        </is>
      </c>
      <c r="P123" s="5" t="n"/>
      <c r="Q123" s="5" t="n"/>
      <c r="R123" s="5" t="n"/>
      <c r="S123" s="5" t="n"/>
    </row>
    <row r="124">
      <c r="B124" s="6" t="inlineStr">
        <is>
          <t>Segment</t>
        </is>
      </c>
      <c r="C124" s="7" t="inlineStr">
        <is>
          <t>PAID</t>
        </is>
      </c>
      <c r="D124" s="7" t="inlineStr">
        <is>
          <t>ADS</t>
        </is>
      </c>
      <c r="E124" s="7" t="inlineStr">
        <is>
          <t>CORE</t>
        </is>
      </c>
      <c r="F124" s="7" t="inlineStr">
        <is>
          <t>META</t>
        </is>
      </c>
      <c r="G124" s="7" t="inlineStr">
        <is>
          <t>Total</t>
        </is>
      </c>
      <c r="I124" s="8" t="inlineStr">
        <is>
          <t>PAID</t>
        </is>
      </c>
      <c r="J124" s="8" t="inlineStr">
        <is>
          <t>ADS</t>
        </is>
      </c>
      <c r="K124" s="8" t="inlineStr">
        <is>
          <t>CORE</t>
        </is>
      </c>
      <c r="L124" s="8" t="inlineStr">
        <is>
          <t>META</t>
        </is>
      </c>
      <c r="M124" s="8" t="inlineStr">
        <is>
          <t>Total</t>
        </is>
      </c>
      <c r="O124" s="9" t="inlineStr">
        <is>
          <t>PAID</t>
        </is>
      </c>
      <c r="P124" s="9" t="inlineStr">
        <is>
          <t>ADS</t>
        </is>
      </c>
      <c r="Q124" s="9" t="inlineStr">
        <is>
          <t>CORE</t>
        </is>
      </c>
      <c r="R124" s="9" t="inlineStr">
        <is>
          <t>META</t>
        </is>
      </c>
      <c r="S124" s="9" t="inlineStr">
        <is>
          <t>Total</t>
        </is>
      </c>
    </row>
    <row r="125">
      <c r="B125" s="10" t="inlineStr">
        <is>
          <t>NONPAYER</t>
        </is>
      </c>
    </row>
    <row r="126">
      <c r="B126" s="11" t="inlineStr">
        <is>
          <t>0-9</t>
        </is>
      </c>
      <c r="C126" s="12" t="n">
        <v>0</v>
      </c>
      <c r="D126" s="12" t="n">
        <v>0</v>
      </c>
      <c r="E126" s="12" t="n">
        <v>26.13</v>
      </c>
      <c r="F126" s="12" t="n">
        <v>4.35</v>
      </c>
      <c r="G126" s="12">
        <f>SUM(C126:F126)</f>
        <v/>
      </c>
      <c r="I126" s="12" t="n">
        <v>0</v>
      </c>
      <c r="J126" s="12" t="n">
        <v>0</v>
      </c>
      <c r="K126" s="12" t="n">
        <v>26.13</v>
      </c>
      <c r="L126" s="12" t="n">
        <v>2.7</v>
      </c>
      <c r="M126" s="12">
        <f>SUM(I126:L126)</f>
        <v/>
      </c>
      <c r="O126" s="13">
        <f>IFERROR(I126/C126-1,"")</f>
        <v/>
      </c>
      <c r="P126" s="13">
        <f>IFERROR(J126/D126-1,"")</f>
        <v/>
      </c>
      <c r="Q126" s="13">
        <f>IFERROR(K126/E126-1,"")</f>
        <v/>
      </c>
      <c r="R126" s="13">
        <f>IFERROR(L126/F126-1,"")</f>
        <v/>
      </c>
      <c r="S126" s="13">
        <f>IFERROR(M126/G126-1,"")</f>
        <v/>
      </c>
    </row>
    <row r="127">
      <c r="B127" s="11" t="inlineStr">
        <is>
          <t>10-19</t>
        </is>
      </c>
      <c r="C127" s="12" t="n">
        <v>0</v>
      </c>
      <c r="D127" s="12" t="n">
        <v>0</v>
      </c>
      <c r="E127" s="12" t="n">
        <v>14.01</v>
      </c>
      <c r="F127" s="12" t="n">
        <v>13.32</v>
      </c>
      <c r="G127" s="12">
        <f>SUM(C127:F127)</f>
        <v/>
      </c>
      <c r="I127" s="12" t="n">
        <v>0</v>
      </c>
      <c r="J127" s="12" t="n">
        <v>0</v>
      </c>
      <c r="K127" s="12" t="n">
        <v>14.01</v>
      </c>
      <c r="L127" s="12" t="n">
        <v>7</v>
      </c>
      <c r="M127" s="12">
        <f>SUM(I127:L127)</f>
        <v/>
      </c>
      <c r="O127" s="13">
        <f>IFERROR(I127/C127-1,"")</f>
        <v/>
      </c>
      <c r="P127" s="13">
        <f>IFERROR(J127/D127-1,"")</f>
        <v/>
      </c>
      <c r="Q127" s="13">
        <f>IFERROR(K127/E127-1,"")</f>
        <v/>
      </c>
      <c r="R127" s="13">
        <f>IFERROR(L127/F127-1,"")</f>
        <v/>
      </c>
      <c r="S127" s="13">
        <f>IFERROR(M127/G127-1,"")</f>
        <v/>
      </c>
    </row>
    <row r="128">
      <c r="B128" s="11" t="inlineStr">
        <is>
          <t>20-39</t>
        </is>
      </c>
      <c r="C128" s="12" t="n">
        <v>0</v>
      </c>
      <c r="D128" s="12" t="n">
        <v>0</v>
      </c>
      <c r="E128" s="12" t="n">
        <v>7.35</v>
      </c>
      <c r="F128" s="12" t="n">
        <v>19.61</v>
      </c>
      <c r="G128" s="12">
        <f>SUM(C128:F128)</f>
        <v/>
      </c>
      <c r="I128" s="12" t="n">
        <v>0</v>
      </c>
      <c r="J128" s="12" t="n">
        <v>0</v>
      </c>
      <c r="K128" s="12" t="n">
        <v>7.35</v>
      </c>
      <c r="L128" s="12" t="n">
        <v>10.8</v>
      </c>
      <c r="M128" s="12">
        <f>SUM(I128:L128)</f>
        <v/>
      </c>
      <c r="O128" s="13">
        <f>IFERROR(I128/C128-1,"")</f>
        <v/>
      </c>
      <c r="P128" s="13">
        <f>IFERROR(J128/D128-1,"")</f>
        <v/>
      </c>
      <c r="Q128" s="13">
        <f>IFERROR(K128/E128-1,"")</f>
        <v/>
      </c>
      <c r="R128" s="13">
        <f>IFERROR(L128/F128-1,"")</f>
        <v/>
      </c>
      <c r="S128" s="13">
        <f>IFERROR(M128/G128-1,"")</f>
        <v/>
      </c>
    </row>
    <row r="129">
      <c r="B129" s="11" t="inlineStr">
        <is>
          <t>40-99</t>
        </is>
      </c>
      <c r="C129" s="12" t="n">
        <v>0</v>
      </c>
      <c r="D129" s="12" t="n">
        <v>0</v>
      </c>
      <c r="E129" s="12" t="n">
        <v>5.75</v>
      </c>
      <c r="F129" s="12" t="n">
        <v>30.15</v>
      </c>
      <c r="G129" s="12">
        <f>SUM(C129:F129)</f>
        <v/>
      </c>
      <c r="I129" s="12" t="n">
        <v>0</v>
      </c>
      <c r="J129" s="12" t="n">
        <v>0</v>
      </c>
      <c r="K129" s="12" t="n">
        <v>5.75</v>
      </c>
      <c r="L129" s="12" t="n">
        <v>19.23</v>
      </c>
      <c r="M129" s="12">
        <f>SUM(I129:L129)</f>
        <v/>
      </c>
      <c r="O129" s="13">
        <f>IFERROR(I129/C129-1,"")</f>
        <v/>
      </c>
      <c r="P129" s="13">
        <f>IFERROR(J129/D129-1,"")</f>
        <v/>
      </c>
      <c r="Q129" s="13">
        <f>IFERROR(K129/E129-1,"")</f>
        <v/>
      </c>
      <c r="R129" s="13">
        <f>IFERROR(L129/F129-1,"")</f>
        <v/>
      </c>
      <c r="S129" s="13">
        <f>IFERROR(M129/G129-1,"")</f>
        <v/>
      </c>
    </row>
    <row r="130">
      <c r="B130" s="11" t="inlineStr">
        <is>
          <t>100+</t>
        </is>
      </c>
      <c r="C130" s="12" t="n">
        <v>0</v>
      </c>
      <c r="D130" s="12" t="n">
        <v>0</v>
      </c>
      <c r="E130" s="12" t="n">
        <v>3.04</v>
      </c>
      <c r="F130" s="12" t="n">
        <v>28.92</v>
      </c>
      <c r="G130" s="12">
        <f>SUM(C130:F130)</f>
        <v/>
      </c>
      <c r="I130" s="12" t="n">
        <v>0</v>
      </c>
      <c r="J130" s="12" t="n">
        <v>0</v>
      </c>
      <c r="K130" s="12" t="n">
        <v>3.04</v>
      </c>
      <c r="L130" s="12" t="n">
        <v>35.51</v>
      </c>
      <c r="M130" s="12">
        <f>SUM(I130:L130)</f>
        <v/>
      </c>
      <c r="O130" s="13">
        <f>IFERROR(I130/C130-1,"")</f>
        <v/>
      </c>
      <c r="P130" s="13">
        <f>IFERROR(J130/D130-1,"")</f>
        <v/>
      </c>
      <c r="Q130" s="13">
        <f>IFERROR(K130/E130-1,"")</f>
        <v/>
      </c>
      <c r="R130" s="13">
        <f>IFERROR(L130/F130-1,"")</f>
        <v/>
      </c>
      <c r="S130" s="13">
        <f>IFERROR(M130/G130-1,"")</f>
        <v/>
      </c>
    </row>
    <row r="131">
      <c r="B131" s="10" t="inlineStr">
        <is>
          <t>PAYER</t>
        </is>
      </c>
    </row>
    <row r="132">
      <c r="B132" s="11" t="inlineStr">
        <is>
          <t>0-9</t>
        </is>
      </c>
      <c r="C132" s="12" t="n">
        <v>0</v>
      </c>
      <c r="D132" s="12" t="n">
        <v>0</v>
      </c>
      <c r="E132" s="12" t="n">
        <v>21.27</v>
      </c>
      <c r="F132" s="12" t="n">
        <v>8.210000000000001</v>
      </c>
      <c r="G132" s="12">
        <f>SUM(C132:F132)</f>
        <v/>
      </c>
      <c r="I132" s="12" t="n">
        <v>0</v>
      </c>
      <c r="J132" s="12" t="n">
        <v>0</v>
      </c>
      <c r="K132" s="12" t="n">
        <v>21.27</v>
      </c>
      <c r="L132" s="12" t="n">
        <v>7.09</v>
      </c>
      <c r="M132" s="12">
        <f>SUM(I132:L132)</f>
        <v/>
      </c>
      <c r="O132" s="13">
        <f>IFERROR(I132/C132-1,"")</f>
        <v/>
      </c>
      <c r="P132" s="13">
        <f>IFERROR(J132/D132-1,"")</f>
        <v/>
      </c>
      <c r="Q132" s="13">
        <f>IFERROR(K132/E132-1,"")</f>
        <v/>
      </c>
      <c r="R132" s="13">
        <f>IFERROR(L132/F132-1,"")</f>
        <v/>
      </c>
      <c r="S132" s="13">
        <f>IFERROR(M132/G132-1,"")</f>
        <v/>
      </c>
    </row>
    <row r="133">
      <c r="B133" s="11" t="inlineStr">
        <is>
          <t>10-19</t>
        </is>
      </c>
      <c r="C133" s="12" t="n">
        <v>0</v>
      </c>
      <c r="D133" s="12" t="n">
        <v>0</v>
      </c>
      <c r="E133" s="12" t="n">
        <v>10.97</v>
      </c>
      <c r="F133" s="12" t="n">
        <v>19.79</v>
      </c>
      <c r="G133" s="12">
        <f>SUM(C133:F133)</f>
        <v/>
      </c>
      <c r="I133" s="12" t="n">
        <v>0</v>
      </c>
      <c r="J133" s="12" t="n">
        <v>0</v>
      </c>
      <c r="K133" s="12" t="n">
        <v>10.97</v>
      </c>
      <c r="L133" s="12" t="n">
        <v>14.51</v>
      </c>
      <c r="M133" s="12">
        <f>SUM(I133:L133)</f>
        <v/>
      </c>
      <c r="O133" s="13">
        <f>IFERROR(I133/C133-1,"")</f>
        <v/>
      </c>
      <c r="P133" s="13">
        <f>IFERROR(J133/D133-1,"")</f>
        <v/>
      </c>
      <c r="Q133" s="13">
        <f>IFERROR(K133/E133-1,"")</f>
        <v/>
      </c>
      <c r="R133" s="13">
        <f>IFERROR(L133/F133-1,"")</f>
        <v/>
      </c>
      <c r="S133" s="13">
        <f>IFERROR(M133/G133-1,"")</f>
        <v/>
      </c>
    </row>
    <row r="134">
      <c r="B134" s="11" t="inlineStr">
        <is>
          <t>20-39</t>
        </is>
      </c>
      <c r="C134" s="12" t="n">
        <v>0</v>
      </c>
      <c r="D134" s="12" t="n">
        <v>0</v>
      </c>
      <c r="E134" s="12" t="n">
        <v>5.82</v>
      </c>
      <c r="F134" s="12" t="n">
        <v>27.01</v>
      </c>
      <c r="G134" s="12">
        <f>SUM(C134:F134)</f>
        <v/>
      </c>
      <c r="I134" s="12" t="n">
        <v>0</v>
      </c>
      <c r="J134" s="12" t="n">
        <v>0</v>
      </c>
      <c r="K134" s="12" t="n">
        <v>5.82</v>
      </c>
      <c r="L134" s="12" t="n">
        <v>18.73</v>
      </c>
      <c r="M134" s="12">
        <f>SUM(I134:L134)</f>
        <v/>
      </c>
      <c r="O134" s="13">
        <f>IFERROR(I134/C134-1,"")</f>
        <v/>
      </c>
      <c r="P134" s="13">
        <f>IFERROR(J134/D134-1,"")</f>
        <v/>
      </c>
      <c r="Q134" s="13">
        <f>IFERROR(K134/E134-1,"")</f>
        <v/>
      </c>
      <c r="R134" s="13">
        <f>IFERROR(L134/F134-1,"")</f>
        <v/>
      </c>
      <c r="S134" s="13">
        <f>IFERROR(M134/G134-1,"")</f>
        <v/>
      </c>
    </row>
    <row r="135">
      <c r="B135" s="11" t="inlineStr">
        <is>
          <t>40-99</t>
        </is>
      </c>
      <c r="C135" s="12" t="n">
        <v>0</v>
      </c>
      <c r="D135" s="12" t="n">
        <v>0</v>
      </c>
      <c r="E135" s="12" t="n">
        <v>4.05</v>
      </c>
      <c r="F135" s="12" t="n">
        <v>35.82</v>
      </c>
      <c r="G135" s="12">
        <f>SUM(C135:F135)</f>
        <v/>
      </c>
      <c r="I135" s="12" t="n">
        <v>0</v>
      </c>
      <c r="J135" s="12" t="n">
        <v>0</v>
      </c>
      <c r="K135" s="12" t="n">
        <v>4.05</v>
      </c>
      <c r="L135" s="12" t="n">
        <v>25.27</v>
      </c>
      <c r="M135" s="12">
        <f>SUM(I135:L135)</f>
        <v/>
      </c>
      <c r="O135" s="13">
        <f>IFERROR(I135/C135-1,"")</f>
        <v/>
      </c>
      <c r="P135" s="13">
        <f>IFERROR(J135/D135-1,"")</f>
        <v/>
      </c>
      <c r="Q135" s="13">
        <f>IFERROR(K135/E135-1,"")</f>
        <v/>
      </c>
      <c r="R135" s="13">
        <f>IFERROR(L135/F135-1,"")</f>
        <v/>
      </c>
      <c r="S135" s="13">
        <f>IFERROR(M135/G135-1,"")</f>
        <v/>
      </c>
    </row>
    <row r="136">
      <c r="B136" s="11" t="inlineStr">
        <is>
          <t>100+</t>
        </is>
      </c>
      <c r="C136" s="12" t="n">
        <v>0</v>
      </c>
      <c r="D136" s="12" t="n">
        <v>0</v>
      </c>
      <c r="E136" s="12" t="n">
        <v>2.13</v>
      </c>
      <c r="F136" s="12" t="n">
        <v>37.35</v>
      </c>
      <c r="G136" s="12">
        <f>SUM(C136:F136)</f>
        <v/>
      </c>
      <c r="I136" s="12" t="n">
        <v>0</v>
      </c>
      <c r="J136" s="12" t="n">
        <v>0</v>
      </c>
      <c r="K136" s="12" t="n">
        <v>2.13</v>
      </c>
      <c r="L136" s="12" t="n">
        <v>45.75</v>
      </c>
      <c r="M136" s="12">
        <f>SUM(I136:L136)</f>
        <v/>
      </c>
      <c r="O136" s="13">
        <f>IFERROR(I136/C136-1,"")</f>
        <v/>
      </c>
      <c r="P136" s="13">
        <f>IFERROR(J136/D136-1,"")</f>
        <v/>
      </c>
      <c r="Q136" s="13">
        <f>IFERROR(K136/E136-1,"")</f>
        <v/>
      </c>
      <c r="R136" s="13">
        <f>IFERROR(L136/F136-1,"")</f>
        <v/>
      </c>
      <c r="S136" s="13">
        <f>IFERROR(M136/G136-1,"")</f>
        <v/>
      </c>
    </row>
    <row r="139">
      <c r="B139" s="2" t="inlineStr">
        <is>
          <t>◆ UL Chuck</t>
        </is>
      </c>
    </row>
    <row r="140">
      <c r="C140" s="3" t="inlineStr">
        <is>
          <t>◄ CURRENT (actuals: data + calc) ►</t>
        </is>
      </c>
      <c r="D140" s="3" t="n"/>
      <c r="E140" s="3" t="n"/>
      <c r="F140" s="3" t="n"/>
      <c r="G140" s="3" t="n"/>
      <c r="I140" s="4" t="inlineStr">
        <is>
          <t>◄ SIMULATED (EcoGainsSim v4: sim + calc) ►</t>
        </is>
      </c>
      <c r="J140" s="4" t="n"/>
      <c r="K140" s="4" t="n"/>
      <c r="L140" s="4" t="n"/>
      <c r="M140" s="4" t="n"/>
      <c r="O140" s="5" t="inlineStr">
        <is>
          <t>Δ</t>
        </is>
      </c>
      <c r="P140" s="5" t="n"/>
      <c r="Q140" s="5" t="n"/>
      <c r="R140" s="5" t="n"/>
      <c r="S140" s="5" t="n"/>
    </row>
    <row r="141">
      <c r="B141" s="6" t="inlineStr">
        <is>
          <t>Segment</t>
        </is>
      </c>
      <c r="C141" s="7" t="inlineStr">
        <is>
          <t>PAID</t>
        </is>
      </c>
      <c r="D141" s="7" t="inlineStr">
        <is>
          <t>ADS</t>
        </is>
      </c>
      <c r="E141" s="7" t="inlineStr">
        <is>
          <t>CORE</t>
        </is>
      </c>
      <c r="F141" s="7" t="inlineStr">
        <is>
          <t>META</t>
        </is>
      </c>
      <c r="G141" s="7" t="inlineStr">
        <is>
          <t>Total</t>
        </is>
      </c>
      <c r="I141" s="8" t="inlineStr">
        <is>
          <t>PAID</t>
        </is>
      </c>
      <c r="J141" s="8" t="inlineStr">
        <is>
          <t>ADS</t>
        </is>
      </c>
      <c r="K141" s="8" t="inlineStr">
        <is>
          <t>CORE</t>
        </is>
      </c>
      <c r="L141" s="8" t="inlineStr">
        <is>
          <t>META</t>
        </is>
      </c>
      <c r="M141" s="8" t="inlineStr">
        <is>
          <t>Total</t>
        </is>
      </c>
      <c r="O141" s="9" t="inlineStr">
        <is>
          <t>PAID</t>
        </is>
      </c>
      <c r="P141" s="9" t="inlineStr">
        <is>
          <t>ADS</t>
        </is>
      </c>
      <c r="Q141" s="9" t="inlineStr">
        <is>
          <t>CORE</t>
        </is>
      </c>
      <c r="R141" s="9" t="inlineStr">
        <is>
          <t>META</t>
        </is>
      </c>
      <c r="S141" s="9" t="inlineStr">
        <is>
          <t>Total</t>
        </is>
      </c>
    </row>
    <row r="142">
      <c r="B142" s="10" t="inlineStr">
        <is>
          <t>NONPAYER</t>
        </is>
      </c>
    </row>
    <row r="143">
      <c r="B143" s="11" t="inlineStr">
        <is>
          <t>0-9</t>
        </is>
      </c>
      <c r="C143" s="12" t="n">
        <v>0</v>
      </c>
      <c r="D143" s="12" t="n">
        <v>0</v>
      </c>
      <c r="E143" s="12" t="n">
        <v>11.31</v>
      </c>
      <c r="F143" s="12" t="n">
        <v>21.19</v>
      </c>
      <c r="G143" s="12">
        <f>SUM(C143:F143)</f>
        <v/>
      </c>
      <c r="I143" s="12" t="n">
        <v>0</v>
      </c>
      <c r="J143" s="12" t="n">
        <v>0</v>
      </c>
      <c r="K143" s="12" t="n">
        <v>11.31</v>
      </c>
      <c r="L143" s="12" t="n">
        <v>19.33</v>
      </c>
      <c r="M143" s="12">
        <f>SUM(I143:L143)</f>
        <v/>
      </c>
      <c r="O143" s="13">
        <f>IFERROR(I143/C143-1,"")</f>
        <v/>
      </c>
      <c r="P143" s="13">
        <f>IFERROR(J143/D143-1,"")</f>
        <v/>
      </c>
      <c r="Q143" s="13">
        <f>IFERROR(K143/E143-1,"")</f>
        <v/>
      </c>
      <c r="R143" s="13">
        <f>IFERROR(L143/F143-1,"")</f>
        <v/>
      </c>
      <c r="S143" s="13">
        <f>IFERROR(M143/G143-1,"")</f>
        <v/>
      </c>
    </row>
    <row r="144">
      <c r="B144" s="11" t="inlineStr">
        <is>
          <t>10-19</t>
        </is>
      </c>
      <c r="C144" s="12" t="n">
        <v>0</v>
      </c>
      <c r="D144" s="12" t="n">
        <v>0</v>
      </c>
      <c r="E144" s="12" t="n">
        <v>9.4</v>
      </c>
      <c r="F144" s="12" t="n">
        <v>24.12</v>
      </c>
      <c r="G144" s="12">
        <f>SUM(C144:F144)</f>
        <v/>
      </c>
      <c r="I144" s="12" t="n">
        <v>0</v>
      </c>
      <c r="J144" s="12" t="n">
        <v>0</v>
      </c>
      <c r="K144" s="12" t="n">
        <v>9.4</v>
      </c>
      <c r="L144" s="12" t="n">
        <v>19.97</v>
      </c>
      <c r="M144" s="12">
        <f>SUM(I144:L144)</f>
        <v/>
      </c>
      <c r="O144" s="13">
        <f>IFERROR(I144/C144-1,"")</f>
        <v/>
      </c>
      <c r="P144" s="13">
        <f>IFERROR(J144/D144-1,"")</f>
        <v/>
      </c>
      <c r="Q144" s="13">
        <f>IFERROR(K144/E144-1,"")</f>
        <v/>
      </c>
      <c r="R144" s="13">
        <f>IFERROR(L144/F144-1,"")</f>
        <v/>
      </c>
      <c r="S144" s="13">
        <f>IFERROR(M144/G144-1,"")</f>
        <v/>
      </c>
    </row>
    <row r="145">
      <c r="B145" s="11" t="inlineStr">
        <is>
          <t>20-39</t>
        </is>
      </c>
      <c r="C145" s="12" t="n">
        <v>0</v>
      </c>
      <c r="D145" s="12" t="n">
        <v>0</v>
      </c>
      <c r="E145" s="12" t="n">
        <v>8.380000000000001</v>
      </c>
      <c r="F145" s="12" t="n">
        <v>28.16</v>
      </c>
      <c r="G145" s="12">
        <f>SUM(C145:F145)</f>
        <v/>
      </c>
      <c r="I145" s="12" t="n">
        <v>0</v>
      </c>
      <c r="J145" s="12" t="n">
        <v>0</v>
      </c>
      <c r="K145" s="12" t="n">
        <v>8.380000000000001</v>
      </c>
      <c r="L145" s="12" t="n">
        <v>22.09</v>
      </c>
      <c r="M145" s="12">
        <f>SUM(I145:L145)</f>
        <v/>
      </c>
      <c r="O145" s="13">
        <f>IFERROR(I145/C145-1,"")</f>
        <v/>
      </c>
      <c r="P145" s="13">
        <f>IFERROR(J145/D145-1,"")</f>
        <v/>
      </c>
      <c r="Q145" s="13">
        <f>IFERROR(K145/E145-1,"")</f>
        <v/>
      </c>
      <c r="R145" s="13">
        <f>IFERROR(L145/F145-1,"")</f>
        <v/>
      </c>
      <c r="S145" s="13">
        <f>IFERROR(M145/G145-1,"")</f>
        <v/>
      </c>
    </row>
    <row r="146">
      <c r="B146" s="11" t="inlineStr">
        <is>
          <t>40-99</t>
        </is>
      </c>
      <c r="C146" s="12" t="n">
        <v>0</v>
      </c>
      <c r="D146" s="12" t="n">
        <v>0</v>
      </c>
      <c r="E146" s="12" t="n">
        <v>8.18</v>
      </c>
      <c r="F146" s="12" t="n">
        <v>44.59</v>
      </c>
      <c r="G146" s="12">
        <f>SUM(C146:F146)</f>
        <v/>
      </c>
      <c r="I146" s="12" t="n">
        <v>0</v>
      </c>
      <c r="J146" s="12" t="n">
        <v>0</v>
      </c>
      <c r="K146" s="12" t="n">
        <v>8.18</v>
      </c>
      <c r="L146" s="12" t="n">
        <v>44.78</v>
      </c>
      <c r="M146" s="12">
        <f>SUM(I146:L146)</f>
        <v/>
      </c>
      <c r="O146" s="13">
        <f>IFERROR(I146/C146-1,"")</f>
        <v/>
      </c>
      <c r="P146" s="13">
        <f>IFERROR(J146/D146-1,"")</f>
        <v/>
      </c>
      <c r="Q146" s="13">
        <f>IFERROR(K146/E146-1,"")</f>
        <v/>
      </c>
      <c r="R146" s="13">
        <f>IFERROR(L146/F146-1,"")</f>
        <v/>
      </c>
      <c r="S146" s="13">
        <f>IFERROR(M146/G146-1,"")</f>
        <v/>
      </c>
    </row>
    <row r="147">
      <c r="B147" s="11" t="inlineStr">
        <is>
          <t>100+</t>
        </is>
      </c>
      <c r="C147" s="12" t="n">
        <v>0</v>
      </c>
      <c r="D147" s="12" t="n">
        <v>0</v>
      </c>
      <c r="E147" s="12" t="n">
        <v>4.88</v>
      </c>
      <c r="F147" s="12" t="n">
        <v>46.2</v>
      </c>
      <c r="G147" s="12">
        <f>SUM(C147:F147)</f>
        <v/>
      </c>
      <c r="I147" s="12" t="n">
        <v>0</v>
      </c>
      <c r="J147" s="12" t="n">
        <v>0</v>
      </c>
      <c r="K147" s="12" t="n">
        <v>4.88</v>
      </c>
      <c r="L147" s="12" t="n">
        <v>48.74</v>
      </c>
      <c r="M147" s="12">
        <f>SUM(I147:L147)</f>
        <v/>
      </c>
      <c r="O147" s="13">
        <f>IFERROR(I147/C147-1,"")</f>
        <v/>
      </c>
      <c r="P147" s="13">
        <f>IFERROR(J147/D147-1,"")</f>
        <v/>
      </c>
      <c r="Q147" s="13">
        <f>IFERROR(K147/E147-1,"")</f>
        <v/>
      </c>
      <c r="R147" s="13">
        <f>IFERROR(L147/F147-1,"")</f>
        <v/>
      </c>
      <c r="S147" s="13">
        <f>IFERROR(M147/G147-1,"")</f>
        <v/>
      </c>
    </row>
    <row r="148">
      <c r="B148" s="10" t="inlineStr">
        <is>
          <t>PAYER</t>
        </is>
      </c>
    </row>
    <row r="149">
      <c r="B149" s="11" t="inlineStr">
        <is>
          <t>0-9</t>
        </is>
      </c>
      <c r="C149" s="12" t="n">
        <v>0</v>
      </c>
      <c r="D149" s="12" t="n">
        <v>0</v>
      </c>
      <c r="E149" s="12" t="n">
        <v>14.44</v>
      </c>
      <c r="F149" s="12" t="n">
        <v>26.29</v>
      </c>
      <c r="G149" s="12">
        <f>SUM(C149:F149)</f>
        <v/>
      </c>
      <c r="I149" s="12" t="n">
        <v>0</v>
      </c>
      <c r="J149" s="12" t="n">
        <v>0</v>
      </c>
      <c r="K149" s="12" t="n">
        <v>14.44</v>
      </c>
      <c r="L149" s="12" t="n">
        <v>24.55</v>
      </c>
      <c r="M149" s="12">
        <f>SUM(I149:L149)</f>
        <v/>
      </c>
      <c r="O149" s="13">
        <f>IFERROR(I149/C149-1,"")</f>
        <v/>
      </c>
      <c r="P149" s="13">
        <f>IFERROR(J149/D149-1,"")</f>
        <v/>
      </c>
      <c r="Q149" s="13">
        <f>IFERROR(K149/E149-1,"")</f>
        <v/>
      </c>
      <c r="R149" s="13">
        <f>IFERROR(L149/F149-1,"")</f>
        <v/>
      </c>
      <c r="S149" s="13">
        <f>IFERROR(M149/G149-1,"")</f>
        <v/>
      </c>
    </row>
    <row r="150">
      <c r="B150" s="11" t="inlineStr">
        <is>
          <t>10-19</t>
        </is>
      </c>
      <c r="C150" s="12" t="n">
        <v>0</v>
      </c>
      <c r="D150" s="12" t="n">
        <v>0</v>
      </c>
      <c r="E150" s="12" t="n">
        <v>9.289999999999999</v>
      </c>
      <c r="F150" s="12" t="n">
        <v>32.23</v>
      </c>
      <c r="G150" s="12">
        <f>SUM(C150:F150)</f>
        <v/>
      </c>
      <c r="I150" s="12" t="n">
        <v>0</v>
      </c>
      <c r="J150" s="12" t="n">
        <v>0</v>
      </c>
      <c r="K150" s="12" t="n">
        <v>9.289999999999999</v>
      </c>
      <c r="L150" s="12" t="n">
        <v>28.41</v>
      </c>
      <c r="M150" s="12">
        <f>SUM(I150:L150)</f>
        <v/>
      </c>
      <c r="O150" s="13">
        <f>IFERROR(I150/C150-1,"")</f>
        <v/>
      </c>
      <c r="P150" s="13">
        <f>IFERROR(J150/D150-1,"")</f>
        <v/>
      </c>
      <c r="Q150" s="13">
        <f>IFERROR(K150/E150-1,"")</f>
        <v/>
      </c>
      <c r="R150" s="13">
        <f>IFERROR(L150/F150-1,"")</f>
        <v/>
      </c>
      <c r="S150" s="13">
        <f>IFERROR(M150/G150-1,"")</f>
        <v/>
      </c>
    </row>
    <row r="151">
      <c r="B151" s="11" t="inlineStr">
        <is>
          <t>20-39</t>
        </is>
      </c>
      <c r="C151" s="12" t="n">
        <v>0</v>
      </c>
      <c r="D151" s="12" t="n">
        <v>0</v>
      </c>
      <c r="E151" s="12" t="n">
        <v>7.12</v>
      </c>
      <c r="F151" s="12" t="n">
        <v>38.74</v>
      </c>
      <c r="G151" s="12">
        <f>SUM(C151:F151)</f>
        <v/>
      </c>
      <c r="I151" s="12" t="n">
        <v>0</v>
      </c>
      <c r="J151" s="12" t="n">
        <v>0</v>
      </c>
      <c r="K151" s="12" t="n">
        <v>7.12</v>
      </c>
      <c r="L151" s="12" t="n">
        <v>33.18</v>
      </c>
      <c r="M151" s="12">
        <f>SUM(I151:L151)</f>
        <v/>
      </c>
      <c r="O151" s="13">
        <f>IFERROR(I151/C151-1,"")</f>
        <v/>
      </c>
      <c r="P151" s="13">
        <f>IFERROR(J151/D151-1,"")</f>
        <v/>
      </c>
      <c r="Q151" s="13">
        <f>IFERROR(K151/E151-1,"")</f>
        <v/>
      </c>
      <c r="R151" s="13">
        <f>IFERROR(L151/F151-1,"")</f>
        <v/>
      </c>
      <c r="S151" s="13">
        <f>IFERROR(M151/G151-1,"")</f>
        <v/>
      </c>
    </row>
    <row r="152">
      <c r="B152" s="11" t="inlineStr">
        <is>
          <t>40-99</t>
        </is>
      </c>
      <c r="C152" s="12" t="n">
        <v>0</v>
      </c>
      <c r="D152" s="12" t="n">
        <v>0</v>
      </c>
      <c r="E152" s="12" t="n">
        <v>6.2</v>
      </c>
      <c r="F152" s="12" t="n">
        <v>55.1</v>
      </c>
      <c r="G152" s="12">
        <f>SUM(C152:F152)</f>
        <v/>
      </c>
      <c r="I152" s="12" t="n">
        <v>0</v>
      </c>
      <c r="J152" s="12" t="n">
        <v>0</v>
      </c>
      <c r="K152" s="12" t="n">
        <v>6.2</v>
      </c>
      <c r="L152" s="12" t="n">
        <v>55.72</v>
      </c>
      <c r="M152" s="12">
        <f>SUM(I152:L152)</f>
        <v/>
      </c>
      <c r="O152" s="13">
        <f>IFERROR(I152/C152-1,"")</f>
        <v/>
      </c>
      <c r="P152" s="13">
        <f>IFERROR(J152/D152-1,"")</f>
        <v/>
      </c>
      <c r="Q152" s="13">
        <f>IFERROR(K152/E152-1,"")</f>
        <v/>
      </c>
      <c r="R152" s="13">
        <f>IFERROR(L152/F152-1,"")</f>
        <v/>
      </c>
      <c r="S152" s="13">
        <f>IFERROR(M152/G152-1,"")</f>
        <v/>
      </c>
    </row>
    <row r="153">
      <c r="B153" s="11" t="inlineStr">
        <is>
          <t>100+</t>
        </is>
      </c>
      <c r="C153" s="12" t="n">
        <v>0</v>
      </c>
      <c r="D153" s="12" t="n">
        <v>0</v>
      </c>
      <c r="E153" s="12" t="n">
        <v>3.27</v>
      </c>
      <c r="F153" s="12" t="n">
        <v>62.95</v>
      </c>
      <c r="G153" s="12">
        <f>SUM(C153:F153)</f>
        <v/>
      </c>
      <c r="I153" s="12" t="n">
        <v>0</v>
      </c>
      <c r="J153" s="12" t="n">
        <v>0</v>
      </c>
      <c r="K153" s="12" t="n">
        <v>3.27</v>
      </c>
      <c r="L153" s="12" t="n">
        <v>66.42</v>
      </c>
      <c r="M153" s="12">
        <f>SUM(I153:L153)</f>
        <v/>
      </c>
      <c r="O153" s="13">
        <f>IFERROR(I153/C153-1,"")</f>
        <v/>
      </c>
      <c r="P153" s="13">
        <f>IFERROR(J153/D153-1,"")</f>
        <v/>
      </c>
      <c r="Q153" s="13">
        <f>IFERROR(K153/E153-1,"")</f>
        <v/>
      </c>
      <c r="R153" s="13">
        <f>IFERROR(L153/F153-1,"")</f>
        <v/>
      </c>
      <c r="S153" s="13">
        <f>IFERROR(M153/G153-1,"")</f>
        <v/>
      </c>
    </row>
    <row r="156">
      <c r="B156" s="2" t="inlineStr">
        <is>
          <t>◆ UL Red</t>
        </is>
      </c>
    </row>
    <row r="157">
      <c r="C157" s="3" t="inlineStr">
        <is>
          <t>◄ CURRENT (actuals: data + calc) ►</t>
        </is>
      </c>
      <c r="D157" s="3" t="n"/>
      <c r="E157" s="3" t="n"/>
      <c r="F157" s="3" t="n"/>
      <c r="G157" s="3" t="n"/>
      <c r="I157" s="4" t="inlineStr">
        <is>
          <t>◄ SIMULATED (EcoGainsSim v4: sim + calc) ►</t>
        </is>
      </c>
      <c r="J157" s="4" t="n"/>
      <c r="K157" s="4" t="n"/>
      <c r="L157" s="4" t="n"/>
      <c r="M157" s="4" t="n"/>
      <c r="O157" s="5" t="inlineStr">
        <is>
          <t>Δ</t>
        </is>
      </c>
      <c r="P157" s="5" t="n"/>
      <c r="Q157" s="5" t="n"/>
      <c r="R157" s="5" t="n"/>
      <c r="S157" s="5" t="n"/>
    </row>
    <row r="158">
      <c r="B158" s="6" t="inlineStr">
        <is>
          <t>Segment</t>
        </is>
      </c>
      <c r="C158" s="7" t="inlineStr">
        <is>
          <t>PAID</t>
        </is>
      </c>
      <c r="D158" s="7" t="inlineStr">
        <is>
          <t>ADS</t>
        </is>
      </c>
      <c r="E158" s="7" t="inlineStr">
        <is>
          <t>CORE</t>
        </is>
      </c>
      <c r="F158" s="7" t="inlineStr">
        <is>
          <t>META</t>
        </is>
      </c>
      <c r="G158" s="7" t="inlineStr">
        <is>
          <t>Total</t>
        </is>
      </c>
      <c r="I158" s="8" t="inlineStr">
        <is>
          <t>PAID</t>
        </is>
      </c>
      <c r="J158" s="8" t="inlineStr">
        <is>
          <t>ADS</t>
        </is>
      </c>
      <c r="K158" s="8" t="inlineStr">
        <is>
          <t>CORE</t>
        </is>
      </c>
      <c r="L158" s="8" t="inlineStr">
        <is>
          <t>META</t>
        </is>
      </c>
      <c r="M158" s="8" t="inlineStr">
        <is>
          <t>Total</t>
        </is>
      </c>
      <c r="O158" s="9" t="inlineStr">
        <is>
          <t>PAID</t>
        </is>
      </c>
      <c r="P158" s="9" t="inlineStr">
        <is>
          <t>ADS</t>
        </is>
      </c>
      <c r="Q158" s="9" t="inlineStr">
        <is>
          <t>CORE</t>
        </is>
      </c>
      <c r="R158" s="9" t="inlineStr">
        <is>
          <t>META</t>
        </is>
      </c>
      <c r="S158" s="9" t="inlineStr">
        <is>
          <t>Total</t>
        </is>
      </c>
    </row>
    <row r="159">
      <c r="B159" s="10" t="inlineStr">
        <is>
          <t>NONPAYER</t>
        </is>
      </c>
    </row>
    <row r="160">
      <c r="B160" s="11" t="inlineStr">
        <is>
          <t>0-9</t>
        </is>
      </c>
      <c r="C160" s="12" t="n">
        <v>0</v>
      </c>
      <c r="D160" s="12" t="n">
        <v>0</v>
      </c>
      <c r="E160" s="12" t="n">
        <v>8.98</v>
      </c>
      <c r="F160" s="12" t="n">
        <v>23.93</v>
      </c>
      <c r="G160" s="12">
        <f>SUM(C160:F160)</f>
        <v/>
      </c>
      <c r="I160" s="12" t="n">
        <v>0</v>
      </c>
      <c r="J160" s="12" t="n">
        <v>0</v>
      </c>
      <c r="K160" s="12" t="n">
        <v>8.98</v>
      </c>
      <c r="L160" s="12" t="n">
        <v>22.83</v>
      </c>
      <c r="M160" s="12">
        <f>SUM(I160:L160)</f>
        <v/>
      </c>
      <c r="O160" s="13">
        <f>IFERROR(I160/C160-1,"")</f>
        <v/>
      </c>
      <c r="P160" s="13">
        <f>IFERROR(J160/D160-1,"")</f>
        <v/>
      </c>
      <c r="Q160" s="13">
        <f>IFERROR(K160/E160-1,"")</f>
        <v/>
      </c>
      <c r="R160" s="13">
        <f>IFERROR(L160/F160-1,"")</f>
        <v/>
      </c>
      <c r="S160" s="13">
        <f>IFERROR(M160/G160-1,"")</f>
        <v/>
      </c>
    </row>
    <row r="161">
      <c r="B161" s="11" t="inlineStr">
        <is>
          <t>10-19</t>
        </is>
      </c>
      <c r="C161" s="12" t="n">
        <v>0</v>
      </c>
      <c r="D161" s="12" t="n">
        <v>0</v>
      </c>
      <c r="E161" s="12" t="n">
        <v>7.75</v>
      </c>
      <c r="F161" s="12" t="n">
        <v>29.56</v>
      </c>
      <c r="G161" s="12">
        <f>SUM(C161:F161)</f>
        <v/>
      </c>
      <c r="I161" s="12" t="n">
        <v>0</v>
      </c>
      <c r="J161" s="12" t="n">
        <v>0</v>
      </c>
      <c r="K161" s="12" t="n">
        <v>7.75</v>
      </c>
      <c r="L161" s="12" t="n">
        <v>42.27</v>
      </c>
      <c r="M161" s="12">
        <f>SUM(I161:L161)</f>
        <v/>
      </c>
      <c r="O161" s="13">
        <f>IFERROR(I161/C161-1,"")</f>
        <v/>
      </c>
      <c r="P161" s="13">
        <f>IFERROR(J161/D161-1,"")</f>
        <v/>
      </c>
      <c r="Q161" s="13">
        <f>IFERROR(K161/E161-1,"")</f>
        <v/>
      </c>
      <c r="R161" s="13">
        <f>IFERROR(L161/F161-1,"")</f>
        <v/>
      </c>
      <c r="S161" s="13">
        <f>IFERROR(M161/G161-1,"")</f>
        <v/>
      </c>
    </row>
    <row r="162">
      <c r="B162" s="11" t="inlineStr">
        <is>
          <t>20-39</t>
        </is>
      </c>
      <c r="C162" s="12" t="n">
        <v>0</v>
      </c>
      <c r="D162" s="12" t="n">
        <v>0</v>
      </c>
      <c r="E162" s="12" t="n">
        <v>7.25</v>
      </c>
      <c r="F162" s="12" t="n">
        <v>39.47</v>
      </c>
      <c r="G162" s="12">
        <f>SUM(C162:F162)</f>
        <v/>
      </c>
      <c r="I162" s="12" t="n">
        <v>0</v>
      </c>
      <c r="J162" s="12" t="n">
        <v>0</v>
      </c>
      <c r="K162" s="12" t="n">
        <v>7.25</v>
      </c>
      <c r="L162" s="12" t="n">
        <v>58.96</v>
      </c>
      <c r="M162" s="12">
        <f>SUM(I162:L162)</f>
        <v/>
      </c>
      <c r="O162" s="13">
        <f>IFERROR(I162/C162-1,"")</f>
        <v/>
      </c>
      <c r="P162" s="13">
        <f>IFERROR(J162/D162-1,"")</f>
        <v/>
      </c>
      <c r="Q162" s="13">
        <f>IFERROR(K162/E162-1,"")</f>
        <v/>
      </c>
      <c r="R162" s="13">
        <f>IFERROR(L162/F162-1,"")</f>
        <v/>
      </c>
      <c r="S162" s="13">
        <f>IFERROR(M162/G162-1,"")</f>
        <v/>
      </c>
    </row>
    <row r="163">
      <c r="B163" s="11" t="inlineStr">
        <is>
          <t>40-99</t>
        </is>
      </c>
      <c r="C163" s="12" t="n">
        <v>0</v>
      </c>
      <c r="D163" s="12" t="n">
        <v>0</v>
      </c>
      <c r="E163" s="12" t="n">
        <v>10.05</v>
      </c>
      <c r="F163" s="12" t="n">
        <v>58.13</v>
      </c>
      <c r="G163" s="12">
        <f>SUM(C163:F163)</f>
        <v/>
      </c>
      <c r="I163" s="12" t="n">
        <v>0</v>
      </c>
      <c r="J163" s="12" t="n">
        <v>0</v>
      </c>
      <c r="K163" s="12" t="n">
        <v>10.05</v>
      </c>
      <c r="L163" s="12" t="n">
        <v>76.45</v>
      </c>
      <c r="M163" s="12">
        <f>SUM(I163:L163)</f>
        <v/>
      </c>
      <c r="O163" s="13">
        <f>IFERROR(I163/C163-1,"")</f>
        <v/>
      </c>
      <c r="P163" s="13">
        <f>IFERROR(J163/D163-1,"")</f>
        <v/>
      </c>
      <c r="Q163" s="13">
        <f>IFERROR(K163/E163-1,"")</f>
        <v/>
      </c>
      <c r="R163" s="13">
        <f>IFERROR(L163/F163-1,"")</f>
        <v/>
      </c>
      <c r="S163" s="13">
        <f>IFERROR(M163/G163-1,"")</f>
        <v/>
      </c>
    </row>
    <row r="164">
      <c r="B164" s="11" t="inlineStr">
        <is>
          <t>100+</t>
        </is>
      </c>
      <c r="C164" s="12" t="n">
        <v>0</v>
      </c>
      <c r="D164" s="12" t="n">
        <v>0</v>
      </c>
      <c r="E164" s="12" t="n">
        <v>6.96</v>
      </c>
      <c r="F164" s="12" t="n">
        <v>67.90000000000001</v>
      </c>
      <c r="G164" s="12">
        <f>SUM(C164:F164)</f>
        <v/>
      </c>
      <c r="I164" s="12" t="n">
        <v>0</v>
      </c>
      <c r="J164" s="12" t="n">
        <v>0</v>
      </c>
      <c r="K164" s="12" t="n">
        <v>6.96</v>
      </c>
      <c r="L164" s="12" t="n">
        <v>68.93000000000001</v>
      </c>
      <c r="M164" s="12">
        <f>SUM(I164:L164)</f>
        <v/>
      </c>
      <c r="O164" s="13">
        <f>IFERROR(I164/C164-1,"")</f>
        <v/>
      </c>
      <c r="P164" s="13">
        <f>IFERROR(J164/D164-1,"")</f>
        <v/>
      </c>
      <c r="Q164" s="13">
        <f>IFERROR(K164/E164-1,"")</f>
        <v/>
      </c>
      <c r="R164" s="13">
        <f>IFERROR(L164/F164-1,"")</f>
        <v/>
      </c>
      <c r="S164" s="13">
        <f>IFERROR(M164/G164-1,"")</f>
        <v/>
      </c>
    </row>
    <row r="165">
      <c r="B165" s="10" t="inlineStr">
        <is>
          <t>PAYER</t>
        </is>
      </c>
    </row>
    <row r="166">
      <c r="B166" s="11" t="inlineStr">
        <is>
          <t>0-9</t>
        </is>
      </c>
      <c r="C166" s="12" t="n">
        <v>0</v>
      </c>
      <c r="D166" s="12" t="n">
        <v>0</v>
      </c>
      <c r="E166" s="12" t="n">
        <v>12.06</v>
      </c>
      <c r="F166" s="12" t="n">
        <v>28.1</v>
      </c>
      <c r="G166" s="12">
        <f>SUM(C166:F166)</f>
        <v/>
      </c>
      <c r="I166" s="12" t="n">
        <v>0</v>
      </c>
      <c r="J166" s="12" t="n">
        <v>0</v>
      </c>
      <c r="K166" s="12" t="n">
        <v>12.06</v>
      </c>
      <c r="L166" s="12" t="n">
        <v>27.45</v>
      </c>
      <c r="M166" s="12">
        <f>SUM(I166:L166)</f>
        <v/>
      </c>
      <c r="O166" s="13">
        <f>IFERROR(I166/C166-1,"")</f>
        <v/>
      </c>
      <c r="P166" s="13">
        <f>IFERROR(J166/D166-1,"")</f>
        <v/>
      </c>
      <c r="Q166" s="13">
        <f>IFERROR(K166/E166-1,"")</f>
        <v/>
      </c>
      <c r="R166" s="13">
        <f>IFERROR(L166/F166-1,"")</f>
        <v/>
      </c>
      <c r="S166" s="13">
        <f>IFERROR(M166/G166-1,"")</f>
        <v/>
      </c>
    </row>
    <row r="167">
      <c r="B167" s="11" t="inlineStr">
        <is>
          <t>10-19</t>
        </is>
      </c>
      <c r="C167" s="12" t="n">
        <v>0</v>
      </c>
      <c r="D167" s="12" t="n">
        <v>0</v>
      </c>
      <c r="E167" s="12" t="n">
        <v>7.83</v>
      </c>
      <c r="F167" s="12" t="n">
        <v>33.76</v>
      </c>
      <c r="G167" s="12">
        <f>SUM(C167:F167)</f>
        <v/>
      </c>
      <c r="I167" s="12" t="n">
        <v>0</v>
      </c>
      <c r="J167" s="12" t="n">
        <v>0</v>
      </c>
      <c r="K167" s="12" t="n">
        <v>7.83</v>
      </c>
      <c r="L167" s="12" t="n">
        <v>48.15</v>
      </c>
      <c r="M167" s="12">
        <f>SUM(I167:L167)</f>
        <v/>
      </c>
      <c r="O167" s="13">
        <f>IFERROR(I167/C167-1,"")</f>
        <v/>
      </c>
      <c r="P167" s="13">
        <f>IFERROR(J167/D167-1,"")</f>
        <v/>
      </c>
      <c r="Q167" s="13">
        <f>IFERROR(K167/E167-1,"")</f>
        <v/>
      </c>
      <c r="R167" s="13">
        <f>IFERROR(L167/F167-1,"")</f>
        <v/>
      </c>
      <c r="S167" s="13">
        <f>IFERROR(M167/G167-1,"")</f>
        <v/>
      </c>
    </row>
    <row r="168">
      <c r="B168" s="11" t="inlineStr">
        <is>
          <t>20-39</t>
        </is>
      </c>
      <c r="C168" s="12" t="n">
        <v>0</v>
      </c>
      <c r="D168" s="12" t="n">
        <v>0</v>
      </c>
      <c r="E168" s="12" t="n">
        <v>6.18</v>
      </c>
      <c r="F168" s="12" t="n">
        <v>44.93</v>
      </c>
      <c r="G168" s="12">
        <f>SUM(C168:F168)</f>
        <v/>
      </c>
      <c r="I168" s="12" t="n">
        <v>0</v>
      </c>
      <c r="J168" s="12" t="n">
        <v>0</v>
      </c>
      <c r="K168" s="12" t="n">
        <v>6.18</v>
      </c>
      <c r="L168" s="12" t="n">
        <v>65.09</v>
      </c>
      <c r="M168" s="12">
        <f>SUM(I168:L168)</f>
        <v/>
      </c>
      <c r="O168" s="13">
        <f>IFERROR(I168/C168-1,"")</f>
        <v/>
      </c>
      <c r="P168" s="13">
        <f>IFERROR(J168/D168-1,"")</f>
        <v/>
      </c>
      <c r="Q168" s="13">
        <f>IFERROR(K168/E168-1,"")</f>
        <v/>
      </c>
      <c r="R168" s="13">
        <f>IFERROR(L168/F168-1,"")</f>
        <v/>
      </c>
      <c r="S168" s="13">
        <f>IFERROR(M168/G168-1,"")</f>
        <v/>
      </c>
    </row>
    <row r="169">
      <c r="B169" s="11" t="inlineStr">
        <is>
          <t>40-99</t>
        </is>
      </c>
      <c r="C169" s="12" t="n">
        <v>0</v>
      </c>
      <c r="D169" s="12" t="n">
        <v>0</v>
      </c>
      <c r="E169" s="12" t="n">
        <v>7.55</v>
      </c>
      <c r="F169" s="12" t="n">
        <v>64.31</v>
      </c>
      <c r="G169" s="12">
        <f>SUM(C169:F169)</f>
        <v/>
      </c>
      <c r="I169" s="12" t="n">
        <v>0</v>
      </c>
      <c r="J169" s="12" t="n">
        <v>0</v>
      </c>
      <c r="K169" s="12" t="n">
        <v>7.55</v>
      </c>
      <c r="L169" s="12" t="n">
        <v>83.03</v>
      </c>
      <c r="M169" s="12">
        <f>SUM(I169:L169)</f>
        <v/>
      </c>
      <c r="O169" s="13">
        <f>IFERROR(I169/C169-1,"")</f>
        <v/>
      </c>
      <c r="P169" s="13">
        <f>IFERROR(J169/D169-1,"")</f>
        <v/>
      </c>
      <c r="Q169" s="13">
        <f>IFERROR(K169/E169-1,"")</f>
        <v/>
      </c>
      <c r="R169" s="13">
        <f>IFERROR(L169/F169-1,"")</f>
        <v/>
      </c>
      <c r="S169" s="13">
        <f>IFERROR(M169/G169-1,"")</f>
        <v/>
      </c>
    </row>
    <row r="170">
      <c r="B170" s="11" t="inlineStr">
        <is>
          <t>100+</t>
        </is>
      </c>
      <c r="C170" s="12" t="n">
        <v>0</v>
      </c>
      <c r="D170" s="12" t="n">
        <v>0</v>
      </c>
      <c r="E170" s="12" t="n">
        <v>5.52</v>
      </c>
      <c r="F170" s="12" t="n">
        <v>79.05</v>
      </c>
      <c r="G170" s="12">
        <f>SUM(C170:F170)</f>
        <v/>
      </c>
      <c r="I170" s="12" t="n">
        <v>0</v>
      </c>
      <c r="J170" s="12" t="n">
        <v>0</v>
      </c>
      <c r="K170" s="12" t="n">
        <v>5.52</v>
      </c>
      <c r="L170" s="12" t="n">
        <v>82.66</v>
      </c>
      <c r="M170" s="12">
        <f>SUM(I170:L170)</f>
        <v/>
      </c>
      <c r="O170" s="13">
        <f>IFERROR(I170/C170-1,"")</f>
        <v/>
      </c>
      <c r="P170" s="13">
        <f>IFERROR(J170/D170-1,"")</f>
        <v/>
      </c>
      <c r="Q170" s="13">
        <f>IFERROR(K170/E170-1,"")</f>
        <v/>
      </c>
      <c r="R170" s="13">
        <f>IFERROR(L170/F170-1,"")</f>
        <v/>
      </c>
      <c r="S170" s="13">
        <f>IFERROR(M170/G170-1,"")</f>
        <v/>
      </c>
    </row>
    <row r="173">
      <c r="B173" s="2" t="inlineStr">
        <is>
          <t>◆ Unlimited Lives</t>
        </is>
      </c>
    </row>
    <row r="174">
      <c r="C174" s="3" t="inlineStr">
        <is>
          <t>◄ CURRENT (actuals: data + calc) ►</t>
        </is>
      </c>
      <c r="D174" s="3" t="n"/>
      <c r="E174" s="3" t="n"/>
      <c r="F174" s="3" t="n"/>
      <c r="G174" s="3" t="n"/>
      <c r="I174" s="4" t="inlineStr">
        <is>
          <t>◄ SIMULATED (EcoGainsSim v4: sim + calc) ►</t>
        </is>
      </c>
      <c r="J174" s="4" t="n"/>
      <c r="K174" s="4" t="n"/>
      <c r="L174" s="4" t="n"/>
      <c r="M174" s="4" t="n"/>
      <c r="O174" s="5" t="inlineStr">
        <is>
          <t>Δ</t>
        </is>
      </c>
      <c r="P174" s="5" t="n"/>
      <c r="Q174" s="5" t="n"/>
      <c r="R174" s="5" t="n"/>
      <c r="S174" s="5" t="n"/>
    </row>
    <row r="175">
      <c r="B175" s="6" t="inlineStr">
        <is>
          <t>Segment</t>
        </is>
      </c>
      <c r="C175" s="7" t="inlineStr">
        <is>
          <t>PAID</t>
        </is>
      </c>
      <c r="D175" s="7" t="inlineStr">
        <is>
          <t>ADS</t>
        </is>
      </c>
      <c r="E175" s="7" t="inlineStr">
        <is>
          <t>CORE</t>
        </is>
      </c>
      <c r="F175" s="7" t="inlineStr">
        <is>
          <t>META</t>
        </is>
      </c>
      <c r="G175" s="7" t="inlineStr">
        <is>
          <t>Total</t>
        </is>
      </c>
      <c r="I175" s="8" t="inlineStr">
        <is>
          <t>PAID</t>
        </is>
      </c>
      <c r="J175" s="8" t="inlineStr">
        <is>
          <t>ADS</t>
        </is>
      </c>
      <c r="K175" s="8" t="inlineStr">
        <is>
          <t>CORE</t>
        </is>
      </c>
      <c r="L175" s="8" t="inlineStr">
        <is>
          <t>META</t>
        </is>
      </c>
      <c r="M175" s="8" t="inlineStr">
        <is>
          <t>Total</t>
        </is>
      </c>
      <c r="O175" s="9" t="inlineStr">
        <is>
          <t>PAID</t>
        </is>
      </c>
      <c r="P175" s="9" t="inlineStr">
        <is>
          <t>ADS</t>
        </is>
      </c>
      <c r="Q175" s="9" t="inlineStr">
        <is>
          <t>CORE</t>
        </is>
      </c>
      <c r="R175" s="9" t="inlineStr">
        <is>
          <t>META</t>
        </is>
      </c>
      <c r="S175" s="9" t="inlineStr">
        <is>
          <t>Total</t>
        </is>
      </c>
    </row>
    <row r="176">
      <c r="B176" s="10" t="inlineStr">
        <is>
          <t>NONPAYER</t>
        </is>
      </c>
    </row>
    <row r="177">
      <c r="B177" s="11" t="inlineStr">
        <is>
          <t>0-9</t>
        </is>
      </c>
      <c r="C177" s="12" t="n">
        <v>0</v>
      </c>
      <c r="D177" s="12" t="n">
        <v>6.35</v>
      </c>
      <c r="E177" s="12" t="n">
        <v>199.78</v>
      </c>
      <c r="F177" s="12" t="n">
        <v>241.12</v>
      </c>
      <c r="G177" s="12">
        <f>SUM(C177:F177)</f>
        <v/>
      </c>
      <c r="I177" s="12" t="n">
        <v>0</v>
      </c>
      <c r="J177" s="12" t="n">
        <v>6.35</v>
      </c>
      <c r="K177" s="12" t="n">
        <v>308.64</v>
      </c>
      <c r="L177" s="12" t="n">
        <v>308.38</v>
      </c>
      <c r="M177" s="12">
        <f>SUM(I177:L177)</f>
        <v/>
      </c>
      <c r="O177" s="13">
        <f>IFERROR(I177/C177-1,"")</f>
        <v/>
      </c>
      <c r="P177" s="13">
        <f>IFERROR(J177/D177-1,"")</f>
        <v/>
      </c>
      <c r="Q177" s="13">
        <f>IFERROR(K177/E177-1,"")</f>
        <v/>
      </c>
      <c r="R177" s="13">
        <f>IFERROR(L177/F177-1,"")</f>
        <v/>
      </c>
      <c r="S177" s="13">
        <f>IFERROR(M177/G177-1,"")</f>
        <v/>
      </c>
    </row>
    <row r="178">
      <c r="B178" s="11" t="inlineStr">
        <is>
          <t>10-19</t>
        </is>
      </c>
      <c r="C178" s="12" t="n">
        <v>0</v>
      </c>
      <c r="D178" s="12" t="n">
        <v>7.97</v>
      </c>
      <c r="E178" s="12" t="n">
        <v>268.2</v>
      </c>
      <c r="F178" s="12" t="n">
        <v>296.69</v>
      </c>
      <c r="G178" s="12">
        <f>SUM(C178:F178)</f>
        <v/>
      </c>
      <c r="I178" s="12" t="n">
        <v>0</v>
      </c>
      <c r="J178" s="12" t="n">
        <v>7.97</v>
      </c>
      <c r="K178" s="12" t="n">
        <v>375</v>
      </c>
      <c r="L178" s="12" t="n">
        <v>435.01</v>
      </c>
      <c r="M178" s="12">
        <f>SUM(I178:L178)</f>
        <v/>
      </c>
      <c r="O178" s="13">
        <f>IFERROR(I178/C178-1,"")</f>
        <v/>
      </c>
      <c r="P178" s="13">
        <f>IFERROR(J178/D178-1,"")</f>
        <v/>
      </c>
      <c r="Q178" s="13">
        <f>IFERROR(K178/E178-1,"")</f>
        <v/>
      </c>
      <c r="R178" s="13">
        <f>IFERROR(L178/F178-1,"")</f>
        <v/>
      </c>
      <c r="S178" s="13">
        <f>IFERROR(M178/G178-1,"")</f>
        <v/>
      </c>
    </row>
    <row r="179">
      <c r="B179" s="11" t="inlineStr">
        <is>
          <t>20-39</t>
        </is>
      </c>
      <c r="C179" s="12" t="n">
        <v>0</v>
      </c>
      <c r="D179" s="12" t="n">
        <v>7.57</v>
      </c>
      <c r="E179" s="12" t="n">
        <v>367</v>
      </c>
      <c r="F179" s="12" t="n">
        <v>335.98</v>
      </c>
      <c r="G179" s="12">
        <f>SUM(C179:F179)</f>
        <v/>
      </c>
      <c r="I179" s="12" t="n">
        <v>0</v>
      </c>
      <c r="J179" s="12" t="n">
        <v>7.57</v>
      </c>
      <c r="K179" s="12" t="n">
        <v>470.52</v>
      </c>
      <c r="L179" s="12" t="n">
        <v>518.89</v>
      </c>
      <c r="M179" s="12">
        <f>SUM(I179:L179)</f>
        <v/>
      </c>
      <c r="O179" s="13">
        <f>IFERROR(I179/C179-1,"")</f>
        <v/>
      </c>
      <c r="P179" s="13">
        <f>IFERROR(J179/D179-1,"")</f>
        <v/>
      </c>
      <c r="Q179" s="13">
        <f>IFERROR(K179/E179-1,"")</f>
        <v/>
      </c>
      <c r="R179" s="13">
        <f>IFERROR(L179/F179-1,"")</f>
        <v/>
      </c>
      <c r="S179" s="13">
        <f>IFERROR(M179/G179-1,"")</f>
        <v/>
      </c>
    </row>
    <row r="180">
      <c r="B180" s="11" t="inlineStr">
        <is>
          <t>40-99</t>
        </is>
      </c>
      <c r="C180" s="12" t="n">
        <v>0</v>
      </c>
      <c r="D180" s="12" t="n">
        <v>10.13</v>
      </c>
      <c r="E180" s="12" t="n">
        <v>669.95</v>
      </c>
      <c r="F180" s="12" t="n">
        <v>428.32</v>
      </c>
      <c r="G180" s="12">
        <f>SUM(C180:F180)</f>
        <v/>
      </c>
      <c r="I180" s="12" t="n">
        <v>0</v>
      </c>
      <c r="J180" s="12" t="n">
        <v>10.13</v>
      </c>
      <c r="K180" s="12" t="n">
        <v>809.0599999999999</v>
      </c>
      <c r="L180" s="12" t="n">
        <v>713.4</v>
      </c>
      <c r="M180" s="12">
        <f>SUM(I180:L180)</f>
        <v/>
      </c>
      <c r="O180" s="13">
        <f>IFERROR(I180/C180-1,"")</f>
        <v/>
      </c>
      <c r="P180" s="13">
        <f>IFERROR(J180/D180-1,"")</f>
        <v/>
      </c>
      <c r="Q180" s="13">
        <f>IFERROR(K180/E180-1,"")</f>
        <v/>
      </c>
      <c r="R180" s="13">
        <f>IFERROR(L180/F180-1,"")</f>
        <v/>
      </c>
      <c r="S180" s="13">
        <f>IFERROR(M180/G180-1,"")</f>
        <v/>
      </c>
    </row>
    <row r="181">
      <c r="B181" s="11" t="inlineStr">
        <is>
          <t>100+</t>
        </is>
      </c>
      <c r="C181" s="12" t="n">
        <v>0</v>
      </c>
      <c r="D181" s="12" t="n">
        <v>13.49</v>
      </c>
      <c r="E181" s="12" t="n">
        <v>1049.81</v>
      </c>
      <c r="F181" s="12" t="n">
        <v>385.14</v>
      </c>
      <c r="G181" s="12">
        <f>SUM(C181:F181)</f>
        <v/>
      </c>
      <c r="I181" s="12" t="n">
        <v>0</v>
      </c>
      <c r="J181" s="12" t="n">
        <v>13.49</v>
      </c>
      <c r="K181" s="12" t="n">
        <v>1218.75</v>
      </c>
      <c r="L181" s="12" t="n">
        <v>719.11</v>
      </c>
      <c r="M181" s="12">
        <f>SUM(I181:L181)</f>
        <v/>
      </c>
      <c r="O181" s="13">
        <f>IFERROR(I181/C181-1,"")</f>
        <v/>
      </c>
      <c r="P181" s="13">
        <f>IFERROR(J181/D181-1,"")</f>
        <v/>
      </c>
      <c r="Q181" s="13">
        <f>IFERROR(K181/E181-1,"")</f>
        <v/>
      </c>
      <c r="R181" s="13">
        <f>IFERROR(L181/F181-1,"")</f>
        <v/>
      </c>
      <c r="S181" s="13">
        <f>IFERROR(M181/G181-1,"")</f>
        <v/>
      </c>
    </row>
    <row r="182">
      <c r="B182" s="10" t="inlineStr">
        <is>
          <t>PAYER</t>
        </is>
      </c>
    </row>
    <row r="183">
      <c r="B183" s="11" t="inlineStr">
        <is>
          <t>0-9</t>
        </is>
      </c>
      <c r="C183" s="12" t="n">
        <v>0</v>
      </c>
      <c r="D183" s="12" t="n">
        <v>11.86</v>
      </c>
      <c r="E183" s="12" t="n">
        <v>251.87</v>
      </c>
      <c r="F183" s="12" t="n">
        <v>347.25</v>
      </c>
      <c r="G183" s="12">
        <f>SUM(C183:F183)</f>
        <v/>
      </c>
      <c r="I183" s="12" t="n">
        <v>0</v>
      </c>
      <c r="J183" s="12" t="n">
        <v>11.86</v>
      </c>
      <c r="K183" s="12" t="n">
        <v>353.77</v>
      </c>
      <c r="L183" s="12" t="n">
        <v>431.39</v>
      </c>
      <c r="M183" s="12">
        <f>SUM(I183:L183)</f>
        <v/>
      </c>
      <c r="O183" s="13">
        <f>IFERROR(I183/C183-1,"")</f>
        <v/>
      </c>
      <c r="P183" s="13">
        <f>IFERROR(J183/D183-1,"")</f>
        <v/>
      </c>
      <c r="Q183" s="13">
        <f>IFERROR(K183/E183-1,"")</f>
        <v/>
      </c>
      <c r="R183" s="13">
        <f>IFERROR(L183/F183-1,"")</f>
        <v/>
      </c>
      <c r="S183" s="13">
        <f>IFERROR(M183/G183-1,"")</f>
        <v/>
      </c>
    </row>
    <row r="184">
      <c r="B184" s="11" t="inlineStr">
        <is>
          <t>10-19</t>
        </is>
      </c>
      <c r="C184" s="12" t="n">
        <v>0</v>
      </c>
      <c r="D184" s="12" t="n">
        <v>9.529999999999999</v>
      </c>
      <c r="E184" s="12" t="n">
        <v>260.32</v>
      </c>
      <c r="F184" s="12" t="n">
        <v>380.74</v>
      </c>
      <c r="G184" s="12">
        <f>SUM(C184:F184)</f>
        <v/>
      </c>
      <c r="I184" s="12" t="n">
        <v>0</v>
      </c>
      <c r="J184" s="12" t="n">
        <v>9.529999999999999</v>
      </c>
      <c r="K184" s="12" t="n">
        <v>358.18</v>
      </c>
      <c r="L184" s="12" t="n">
        <v>527.21</v>
      </c>
      <c r="M184" s="12">
        <f>SUM(I184:L184)</f>
        <v/>
      </c>
      <c r="O184" s="13">
        <f>IFERROR(I184/C184-1,"")</f>
        <v/>
      </c>
      <c r="P184" s="13">
        <f>IFERROR(J184/D184-1,"")</f>
        <v/>
      </c>
      <c r="Q184" s="13">
        <f>IFERROR(K184/E184-1,"")</f>
        <v/>
      </c>
      <c r="R184" s="13">
        <f>IFERROR(L184/F184-1,"")</f>
        <v/>
      </c>
      <c r="S184" s="13">
        <f>IFERROR(M184/G184-1,"")</f>
        <v/>
      </c>
    </row>
    <row r="185">
      <c r="B185" s="11" t="inlineStr">
        <is>
          <t>20-39</t>
        </is>
      </c>
      <c r="C185" s="12" t="n">
        <v>0</v>
      </c>
      <c r="D185" s="12" t="n">
        <v>8.02</v>
      </c>
      <c r="E185" s="12" t="n">
        <v>332.3</v>
      </c>
      <c r="F185" s="12" t="n">
        <v>446</v>
      </c>
      <c r="G185" s="12">
        <f>SUM(C185:F185)</f>
        <v/>
      </c>
      <c r="I185" s="12" t="n">
        <v>0</v>
      </c>
      <c r="J185" s="12" t="n">
        <v>8.02</v>
      </c>
      <c r="K185" s="12" t="n">
        <v>428.16</v>
      </c>
      <c r="L185" s="12" t="n">
        <v>627.63</v>
      </c>
      <c r="M185" s="12">
        <f>SUM(I185:L185)</f>
        <v/>
      </c>
      <c r="O185" s="13">
        <f>IFERROR(I185/C185-1,"")</f>
        <v/>
      </c>
      <c r="P185" s="13">
        <f>IFERROR(J185/D185-1,"")</f>
        <v/>
      </c>
      <c r="Q185" s="13">
        <f>IFERROR(K185/E185-1,"")</f>
        <v/>
      </c>
      <c r="R185" s="13">
        <f>IFERROR(L185/F185-1,"")</f>
        <v/>
      </c>
      <c r="S185" s="13">
        <f>IFERROR(M185/G185-1,"")</f>
        <v/>
      </c>
    </row>
    <row r="186">
      <c r="B186" s="11" t="inlineStr">
        <is>
          <t>40-99</t>
        </is>
      </c>
      <c r="C186" s="12" t="n">
        <v>0</v>
      </c>
      <c r="D186" s="12" t="n">
        <v>8.449999999999999</v>
      </c>
      <c r="E186" s="12" t="n">
        <v>561.13</v>
      </c>
      <c r="F186" s="12" t="n">
        <v>593.84</v>
      </c>
      <c r="G186" s="12">
        <f>SUM(C186:F186)</f>
        <v/>
      </c>
      <c r="I186" s="12" t="n">
        <v>0</v>
      </c>
      <c r="J186" s="12" t="n">
        <v>8.449999999999999</v>
      </c>
      <c r="K186" s="12" t="n">
        <v>680.5599999999999</v>
      </c>
      <c r="L186" s="12" t="n">
        <v>865.11</v>
      </c>
      <c r="M186" s="12">
        <f>SUM(I186:L186)</f>
        <v/>
      </c>
      <c r="O186" s="13">
        <f>IFERROR(I186/C186-1,"")</f>
        <v/>
      </c>
      <c r="P186" s="13">
        <f>IFERROR(J186/D186-1,"")</f>
        <v/>
      </c>
      <c r="Q186" s="13">
        <f>IFERROR(K186/E186-1,"")</f>
        <v/>
      </c>
      <c r="R186" s="13">
        <f>IFERROR(L186/F186-1,"")</f>
        <v/>
      </c>
      <c r="S186" s="13">
        <f>IFERROR(M186/G186-1,"")</f>
        <v/>
      </c>
    </row>
    <row r="187">
      <c r="B187" s="11" t="inlineStr">
        <is>
          <t>100+</t>
        </is>
      </c>
      <c r="C187" s="12" t="n">
        <v>0</v>
      </c>
      <c r="D187" s="12" t="n">
        <v>7.94</v>
      </c>
      <c r="E187" s="12" t="n">
        <v>918.87</v>
      </c>
      <c r="F187" s="12" t="n">
        <v>626.34</v>
      </c>
      <c r="G187" s="12">
        <f>SUM(C187:F187)</f>
        <v/>
      </c>
      <c r="I187" s="12" t="n">
        <v>0</v>
      </c>
      <c r="J187" s="12" t="n">
        <v>7.94</v>
      </c>
      <c r="K187" s="12" t="n">
        <v>1088.19</v>
      </c>
      <c r="L187" s="12" t="n">
        <v>984.72</v>
      </c>
      <c r="M187" s="12">
        <f>SUM(I187:L187)</f>
        <v/>
      </c>
      <c r="O187" s="13">
        <f>IFERROR(I187/C187-1,"")</f>
        <v/>
      </c>
      <c r="P187" s="13">
        <f>IFERROR(J187/D187-1,"")</f>
        <v/>
      </c>
      <c r="Q187" s="13">
        <f>IFERROR(K187/E187-1,"")</f>
        <v/>
      </c>
      <c r="R187" s="13">
        <f>IFERROR(L187/F187-1,"")</f>
        <v/>
      </c>
      <c r="S187" s="13">
        <f>IFERROR(M187/G187-1,"")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2026-07-04T11:17:44Z</dcterms:created>
  <dcterms:modified xsi:type="dcterms:W3CDTF">2026-07-04T11:17:44Z</dcterms:modified>
</cp:coreProperties>
</file>