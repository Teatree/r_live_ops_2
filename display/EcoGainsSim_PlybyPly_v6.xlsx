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PlybyP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</font>
    <font>
      <name val="Arial"/>
      <b val="1"/>
      <sz val="9"/>
    </font>
    <font>
      <name val="Arial"/>
      <sz val="9"/>
    </font>
    <font>
      <name val="Arial"/>
      <i val="1"/>
      <color rgb="FF999999"/>
      <sz val="9"/>
    </font>
    <font>
      <name val="Arial"/>
      <color rgb="FF808080"/>
      <sz val="9"/>
    </font>
    <font>
      <name val="Arial"/>
      <sz val="11"/>
    </font>
    <font>
      <name val="Arial"/>
      <i val="1"/>
      <sz val="11"/>
    </font>
  </fonts>
  <fills count="8">
    <fill>
      <patternFill/>
    </fill>
    <fill>
      <patternFill patternType="gray125"/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3F3F3"/>
      </patternFill>
    </fill>
    <fill>
      <patternFill patternType="solid">
        <fgColor rgb="FFEFEFEF"/>
      </patternFill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2" fillId="7" borderId="0" pivotButton="0" quotePrefix="0" xfId="0"/>
    <xf numFmtId="0" fontId="6" fillId="0" borderId="0" pivotButton="0" quotePrefix="0" xfId="0"/>
    <xf numFmtId="0" fontId="7" fillId="6" borderId="0" pivotButton="0" quotePrefix="0" xfId="0"/>
    <xf numFmtId="0" fontId="8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2"/>
  <sheetViews>
    <sheetView showGridLines="0" workbookViewId="0">
      <selection activeCell="A1" sqref="A1"/>
    </sheetView>
  </sheetViews>
  <sheetFormatPr baseColWidth="8" defaultRowHeight="15"/>
  <cols>
    <col width="31.8" customWidth="1" min="1" max="1"/>
    <col width="12.2" customWidth="1" min="2" max="2"/>
    <col width="10.5" customWidth="1" min="3" max="3"/>
    <col width="12.2" customWidth="1" min="4" max="4"/>
    <col width="11.4" customWidth="1" min="5" max="5"/>
    <col width="15.9" customWidth="1" min="6" max="6"/>
    <col width="56" customWidth="1" min="7" max="7"/>
    <col width="11.4" customWidth="1" min="8" max="8"/>
    <col width="11.4" customWidth="1" min="9" max="9"/>
    <col width="11.4" customWidth="1" min="10" max="10"/>
    <col width="11.4" customWidth="1" min="11" max="11"/>
    <col width="7.6" customWidth="1" min="12" max="12"/>
    <col width="7.6" customWidth="1" min="13" max="13"/>
    <col width="7.6" customWidth="1" min="14" max="14"/>
    <col width="7.6" customWidth="1" min="15" max="15"/>
    <col width="7.6" customWidth="1" min="16" max="16"/>
    <col width="7.6" customWidth="1" min="17" max="17"/>
    <col width="7.6" customWidth="1" min="18" max="18"/>
    <col width="7.6" customWidth="1" min="19" max="19"/>
    <col width="7.6" customWidth="1" min="20" max="20"/>
    <col width="7.6" customWidth="1" min="21" max="21"/>
    <col width="7.6" customWidth="1" min="22" max="22"/>
    <col width="7.6" customWidth="1" min="23" max="23"/>
    <col width="7.6" customWidth="1" min="24" max="24"/>
  </cols>
  <sheetData>
    <row r="1">
      <c r="A1" s="1" t="inlineStr">
        <is>
          <t>EcoGainsSim PlybyPly</t>
        </is>
      </c>
    </row>
    <row r="2">
      <c r="A2" s="2" t="inlineStr">
        <is>
          <t>Config Panel</t>
        </is>
      </c>
      <c r="B2" s="2" t="n"/>
      <c r="C2" s="2" t="n"/>
    </row>
    <row r="3">
      <c r="A3" s="3" t="inlineStr">
        <is>
          <t>Calendar</t>
        </is>
      </c>
      <c r="B3" s="4" t="inlineStr">
        <is>
          <t>cal_new</t>
        </is>
      </c>
      <c r="C3" s="5" t="inlineStr">
        <is>
          <t>Which calendar the day comes from: cal_curr = measured live calendar, cal_new = redesign</t>
        </is>
      </c>
    </row>
    <row r="4">
      <c r="A4" s="3" t="inlineStr">
        <is>
          <t>Day to Simulate (1-33)</t>
        </is>
      </c>
      <c r="B4" s="4" t="n">
        <v>9</v>
      </c>
      <c r="C4" s="5" t="inlineStr">
        <is>
          <t>Day of the 33-day window (day 1 = Wednesday); decides which events are running</t>
        </is>
      </c>
    </row>
    <row r="5">
      <c r="A5" s="3" t="inlineStr">
        <is>
          <t>Player Segment</t>
        </is>
      </c>
      <c r="B5" s="4" t="inlineStr">
        <is>
          <t>10-19</t>
        </is>
      </c>
      <c r="C5" s="5" t="inlineStr">
        <is>
          <t>Engagement segment: saga completions in the last 7 days (0-9 .. 100+)</t>
        </is>
      </c>
    </row>
    <row r="6">
      <c r="A6" s="3" t="inlineStr">
        <is>
          <t>Payer</t>
        </is>
      </c>
      <c r="B6" s="4" t="inlineStr">
        <is>
          <t>NONPAYER</t>
        </is>
      </c>
      <c r="C6" s="5" t="inlineStr">
        <is>
          <t>Lifetime payer flag: PAYER = has ever spent money, NONPAYER = never</t>
        </is>
      </c>
    </row>
    <row r="7">
      <c r="A7" s="3" t="inlineStr">
        <is>
          <t>Mode</t>
        </is>
      </c>
      <c r="B7" s="4" t="inlineStr">
        <is>
          <t>Sampled</t>
        </is>
      </c>
      <c r="C7" s="5" t="inlineStr">
        <is>
          <t>Expected = one representative day (seed ignored); Sampled = one random day drawn with Seed</t>
        </is>
      </c>
    </row>
    <row r="8">
      <c r="A8" s="3" t="inlineStr">
        <is>
          <t>Luck (progress + placement)</t>
        </is>
      </c>
      <c r="B8" s="4" t="inlineStr">
        <is>
          <t>p50</t>
        </is>
      </c>
      <c r="C8" s="5" t="inlineStr">
        <is>
          <t>Percentile used for event progress and leaderboard rank: p25 unlucky, p50 typical, p75 lucky</t>
        </is>
      </c>
    </row>
    <row r="9">
      <c r="A9" s="3" t="inlineStr">
        <is>
          <t>Seed (Sampled mode)</t>
        </is>
      </c>
      <c r="B9" s="4" t="n">
        <v>32</v>
      </c>
      <c r="C9" s="5" t="inlineStr">
        <is>
          <t>Any integer; the same seed always reproduces the same sampled day</t>
        </is>
      </c>
    </row>
    <row r="10">
      <c r="A10" s="3" t="inlineStr">
        <is>
          <t>Levels Played (blank = auto)</t>
        </is>
      </c>
      <c r="B10" s="4" t="n"/>
      <c r="C10" s="5" t="inlineStr">
        <is>
          <t>Override for the number of level attempts; blank = attempts/day from data_streaks</t>
        </is>
      </c>
    </row>
    <row r="11">
      <c r="A11" s="3" t="inlineStr">
        <is>
          <t>Starting Saga Level (blank = rnd 100-400)</t>
        </is>
      </c>
      <c r="B11" s="4" t="n"/>
      <c r="C11" s="5" t="inlineStr">
        <is>
          <t>Absolute saga level the player walks in on; anchors Saga node payouts</t>
        </is>
      </c>
    </row>
    <row r="13">
      <c r="A13" s="2" t="inlineStr">
        <is>
          <t>Player Profile (what the simulated player looks like)</t>
        </is>
      </c>
      <c r="B13" s="2" t="n"/>
      <c r="C13" s="2" t="n"/>
    </row>
    <row r="14">
      <c r="A14" s="3">
        <f>ECOGAINS_PBP_PROFILE($B$5,$B$6)</f>
        <v/>
      </c>
      <c r="B14" s="6" t="n"/>
      <c r="C14" s="5" t="n"/>
    </row>
    <row r="15">
      <c r="A15" s="3" t="n"/>
      <c r="B15" s="6" t="n"/>
      <c r="C15" s="5" t="n"/>
    </row>
    <row r="16">
      <c r="A16" s="3" t="n"/>
      <c r="B16" s="6" t="n"/>
      <c r="C16" s="5" t="n"/>
    </row>
    <row r="17">
      <c r="A17" s="3" t="n"/>
      <c r="B17" s="6" t="n"/>
      <c r="C17" s="5" t="n"/>
    </row>
    <row r="18">
      <c r="A18" s="3" t="n"/>
      <c r="B18" s="6" t="n"/>
      <c r="C18" s="5" t="n"/>
    </row>
    <row r="19">
      <c r="A19" s="3" t="n"/>
      <c r="B19" s="6" t="n"/>
      <c r="C19" s="5" t="n"/>
    </row>
    <row r="20">
      <c r="A20" s="3" t="n"/>
      <c r="B20" s="6" t="n"/>
      <c r="C20" s="5" t="n"/>
    </row>
    <row r="22">
      <c r="A22" s="2" t="inlineStr">
        <is>
          <t>Active Events on This Day (sim - spills one row per running event + per session-start claim)</t>
        </is>
      </c>
      <c r="B22" s="2" t="n"/>
      <c r="C22" s="2" t="n"/>
      <c r="D22" s="2" t="n"/>
      <c r="E22" s="2" t="n"/>
      <c r="F22" s="2" t="n"/>
    </row>
    <row r="23">
      <c r="A23" s="3">
        <f>ECOGAINS_PBP_EVENTS($B$3,$B$4,$B$5,$B$6,$B$8)</f>
        <v/>
      </c>
      <c r="B23" s="3" t="n"/>
      <c r="C23" s="3" t="n"/>
      <c r="D23" s="3" t="n"/>
      <c r="E23" s="3" t="n"/>
      <c r="F23" s="3" t="n"/>
    </row>
    <row r="24">
      <c r="A24" s="3" t="n"/>
      <c r="B24" s="7" t="n"/>
      <c r="C24" s="7" t="n"/>
      <c r="D24" s="7" t="n"/>
      <c r="E24" s="7" t="n"/>
      <c r="F24" s="7" t="n"/>
    </row>
    <row r="25">
      <c r="A25" s="3" t="n"/>
      <c r="B25" s="7" t="n"/>
      <c r="C25" s="7" t="n"/>
      <c r="D25" s="7" t="n"/>
      <c r="E25" s="7" t="n"/>
      <c r="F25" s="7" t="n"/>
    </row>
    <row r="26">
      <c r="A26" s="3" t="n"/>
      <c r="B26" s="7" t="n"/>
      <c r="C26" s="7" t="n"/>
      <c r="D26" s="7" t="n"/>
      <c r="E26" s="7" t="n"/>
      <c r="F26" s="7" t="n"/>
    </row>
    <row r="27">
      <c r="A27" s="3" t="n"/>
      <c r="B27" s="7" t="n"/>
      <c r="C27" s="7" t="n"/>
      <c r="D27" s="7" t="n"/>
      <c r="E27" s="7" t="n"/>
      <c r="F27" s="7" t="n"/>
    </row>
    <row r="28">
      <c r="A28" s="3" t="n"/>
      <c r="B28" s="7" t="n"/>
      <c r="C28" s="7" t="n"/>
      <c r="D28" s="7" t="n"/>
      <c r="E28" s="7" t="n"/>
      <c r="F28" s="7" t="n"/>
    </row>
    <row r="29">
      <c r="A29" s="3" t="n"/>
      <c r="B29" s="7" t="n"/>
      <c r="C29" s="7" t="n"/>
      <c r="D29" s="7" t="n"/>
      <c r="E29" s="7" t="n"/>
      <c r="F29" s="7" t="n"/>
    </row>
    <row r="30">
      <c r="A30" s="3" t="n"/>
      <c r="B30" s="7" t="n"/>
      <c r="C30" s="7" t="n"/>
      <c r="D30" s="7" t="n"/>
      <c r="E30" s="7" t="n"/>
      <c r="F30" s="7" t="n"/>
    </row>
    <row r="31">
      <c r="A31" s="3" t="n"/>
      <c r="B31" s="7" t="n"/>
      <c r="C31" s="7" t="n"/>
      <c r="D31" s="7" t="n"/>
      <c r="E31" s="7" t="n"/>
      <c r="F31" s="7" t="n"/>
    </row>
    <row r="32">
      <c r="A32" s="3" t="n"/>
      <c r="B32" s="7" t="n"/>
      <c r="C32" s="7" t="n"/>
      <c r="D32" s="7" t="n"/>
      <c r="E32" s="7" t="n"/>
      <c r="F32" s="7" t="n"/>
    </row>
    <row r="33">
      <c r="A33" s="3" t="n"/>
      <c r="B33" s="7" t="n"/>
      <c r="C33" s="7" t="n"/>
      <c r="D33" s="7" t="n"/>
      <c r="E33" s="7" t="n"/>
      <c r="F33" s="7" t="n"/>
    </row>
    <row r="34">
      <c r="A34" s="3" t="n"/>
      <c r="B34" s="7" t="n"/>
      <c r="C34" s="7" t="n"/>
      <c r="D34" s="7" t="n"/>
      <c r="E34" s="7" t="n"/>
      <c r="F34" s="7" t="n"/>
    </row>
    <row r="35">
      <c r="A35" s="3" t="n"/>
      <c r="B35" s="7" t="n"/>
      <c r="C35" s="7" t="n"/>
      <c r="D35" s="7" t="n"/>
      <c r="E35" s="7" t="n"/>
      <c r="F35" s="7" t="n"/>
    </row>
    <row r="36">
      <c r="A36" s="3" t="n"/>
      <c r="B36" s="7" t="n"/>
      <c r="C36" s="7" t="n"/>
      <c r="D36" s="7" t="n"/>
      <c r="E36" s="7" t="n"/>
      <c r="F36" s="7" t="n"/>
    </row>
    <row r="38">
      <c r="A38" s="8" t="inlineStr">
        <is>
          <t>Assumptions &amp; Flags (model spec: SIMULATION_METHODOLOGY.md par. 14)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9" t="inlineStr">
        <is>
          <t>1. N plays / win rate / streak persistence from data_streaks; win draws are a 2-state Markov chain. The sim conditions on the player being active and participating in the running events.</t>
        </is>
      </c>
    </row>
    <row r="40">
      <c r="A40" s="9" t="inlineStr">
        <is>
          <t>2. The player is NOT fresh: they walk in at the Starting Saga Level (input, or a seeded random 100-400); the Level column is the ABSOLUTE saga level. Event progress is likewise mid-instance.</t>
        </is>
      </c>
    </row>
    <row r="41">
      <c r="A41" s="9" t="inlineStr">
        <is>
          <t>3. Event progress at session start = measured final_balance percentile (Luck) x accrual-curve share. Milestones banked before today never appear in the ledger.</t>
        </is>
      </c>
    </row>
    <row r="42">
      <c r="A42" s="9" t="inlineStr">
        <is>
      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      </is>
      </c>
    </row>
    <row r="43">
      <c r="A43" s="9" t="inlineStr">
        <is>
          <t>5. Photoshoot: first-try streak multiplier ladder x1/2/4/6/10 from config; the per-win base is undocumented so it is calibrated to the measured day total (shape = mechanics, level = measurement).</t>
        </is>
      </c>
    </row>
    <row r="44">
      <c r="A44" s="9" t="inlineStr">
        <is>
          <t>6. Hatchling Hideaway gate unlock requirements = EventReach helper column (board cost x 1.25 bad-tile buffer): the buffer models imperfect tile picks and affects unlock timing ONLY, never the gains.</t>
        </is>
      </c>
    </row>
    <row r="45">
      <c r="A45" s="9" t="inlineStr">
        <is>
          <t>7. Score events (Kite Festival, Target Day) are streak-driven off their config ladders; per-play increments are scaled so the day total hits the measured target (user-approved).</t>
        </is>
      </c>
    </row>
    <row r="46">
      <c r="A46" s="9" t="inlineStr">
        <is>
          <t>8. Leaderboard payouts land on row E only for instances ending today; rank = Luck percentile of measured position_p25/50/75 (+/- 0.25 quantile jitter in Sampled mode).</t>
        </is>
      </c>
    </row>
    <row r="47">
      <c r="A47" s="9" t="inlineStr">
        <is>
          <t>9. Saga pays the FULL node bundle (HC + boosters + Unlimited minutes) from c_saga / c_saga_v2 at node boundaries anchored to the absolute level. Core chapter chests are NOT simulated (cadence unknown).</t>
        </is>
      </c>
    </row>
    <row r="48">
      <c r="A48" s="9" t="inlineStr">
        <is>
          <t>10. Daily Gift is ALWAYS claimed at session start: cycle day from login streak p50, bundle = ONE config variant (Expected: Variant 1; Sampled: seeded pick) - never an average. Flock Flurry opt-in = 60 min Unlimited Lives (design-PDF constant).</t>
        </is>
      </c>
    </row>
    <row r="49">
      <c r="A49" s="9" t="inlineStr">
        <is>
          <t>11. Night Sky pays at day end: effective streak = max win streak x 1.25 (Expected: the p50 from data_streaks; Sampled: the longest run actually produced by the play trace). EVERY milestone whose Cum Streak Req is cleared pays, each on its own row; unreached milestones never pay.</t>
        </is>
      </c>
    </row>
    <row r="50">
      <c r="A50" s="9" t="inlineStr">
        <is>
          <t>12. SPT / SPTx2 are TRACKED since 2026-07-10 (13-resource universe, D16) as event payouts only; season-pass TIER claims are NOT simulated in the session view (window-sim only). COOP Token / Avatar / star-daily rewards remain outside the resource set.</t>
        </is>
      </c>
    </row>
    <row r="51">
      <c r="A51" s="2" t="inlineStr">
        <is>
          <t>Play-by-Play Sim (one row per play; extra claims spill onto their own rows; Session Summary at the end)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>
      <c r="A52" s="3">
        <f>ECOGAINS_PBP($B$3,$B$4,$B$5,$B$6,$B$7,$B$8,$B$9,$B$10,$B$11)</f>
        <v/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</row>
    <row r="53">
      <c r="A53" s="10" t="n"/>
      <c r="B53" s="10" t="n"/>
      <c r="C53" s="10" t="n"/>
      <c r="D53" s="10" t="n"/>
      <c r="E53" s="10" t="n"/>
      <c r="F53" s="10" t="n"/>
      <c r="G53" s="11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</row>
    <row r="54">
      <c r="A54" s="10" t="n"/>
      <c r="B54" s="10" t="n"/>
      <c r="C54" s="10" t="n"/>
      <c r="D54" s="10" t="n"/>
      <c r="E54" s="10" t="n"/>
      <c r="F54" s="10" t="n"/>
      <c r="G54" s="11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</row>
    <row r="55">
      <c r="A55" s="10" t="n"/>
      <c r="B55" s="10" t="n"/>
      <c r="C55" s="10" t="n"/>
      <c r="D55" s="10" t="n"/>
      <c r="E55" s="10" t="n"/>
      <c r="F55" s="10" t="n"/>
      <c r="G55" s="11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</row>
    <row r="56">
      <c r="A56" s="10" t="n"/>
      <c r="B56" s="10" t="n"/>
      <c r="C56" s="10" t="n"/>
      <c r="D56" s="10" t="n"/>
      <c r="E56" s="10" t="n"/>
      <c r="F56" s="10" t="n"/>
      <c r="G56" s="11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</row>
    <row r="57">
      <c r="A57" s="10" t="n"/>
      <c r="B57" s="10" t="n"/>
      <c r="C57" s="10" t="n"/>
      <c r="D57" s="10" t="n"/>
      <c r="E57" s="10" t="n"/>
      <c r="F57" s="10" t="n"/>
      <c r="G57" s="11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</row>
    <row r="58">
      <c r="A58" s="10" t="n"/>
      <c r="B58" s="10" t="n"/>
      <c r="C58" s="10" t="n"/>
      <c r="D58" s="10" t="n"/>
      <c r="E58" s="10" t="n"/>
      <c r="F58" s="10" t="n"/>
      <c r="G58" s="11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</row>
    <row r="59">
      <c r="A59" s="10" t="n"/>
      <c r="B59" s="10" t="n"/>
      <c r="C59" s="10" t="n"/>
      <c r="D59" s="10" t="n"/>
      <c r="E59" s="10" t="n"/>
      <c r="F59" s="10" t="n"/>
      <c r="G59" s="11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</row>
    <row r="60">
      <c r="A60" s="10" t="n"/>
      <c r="B60" s="10" t="n"/>
      <c r="C60" s="10" t="n"/>
      <c r="D60" s="10" t="n"/>
      <c r="E60" s="10" t="n"/>
      <c r="F60" s="10" t="n"/>
      <c r="G60" s="11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</row>
    <row r="61">
      <c r="A61" s="10" t="n"/>
      <c r="B61" s="10" t="n"/>
      <c r="C61" s="10" t="n"/>
      <c r="D61" s="10" t="n"/>
      <c r="E61" s="10" t="n"/>
      <c r="F61" s="10" t="n"/>
      <c r="G61" s="11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</row>
    <row r="62">
      <c r="A62" s="10" t="n"/>
      <c r="B62" s="10" t="n"/>
      <c r="C62" s="10" t="n"/>
      <c r="D62" s="10" t="n"/>
      <c r="E62" s="10" t="n"/>
      <c r="F62" s="10" t="n"/>
      <c r="G62" s="11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</row>
    <row r="63">
      <c r="A63" s="10" t="n"/>
      <c r="B63" s="10" t="n"/>
      <c r="C63" s="10" t="n"/>
      <c r="D63" s="10" t="n"/>
      <c r="E63" s="10" t="n"/>
      <c r="F63" s="10" t="n"/>
      <c r="G63" s="11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</row>
    <row r="64">
      <c r="A64" s="10" t="n"/>
      <c r="B64" s="10" t="n"/>
      <c r="C64" s="10" t="n"/>
      <c r="D64" s="10" t="n"/>
      <c r="E64" s="10" t="n"/>
      <c r="F64" s="10" t="n"/>
      <c r="G64" s="11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1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1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1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1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1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1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1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1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1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1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1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1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1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1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1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1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1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1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1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1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1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1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1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1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1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1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1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1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1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1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1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1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1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1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1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1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1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1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1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1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1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1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1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1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1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1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1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1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1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1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1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1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1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1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1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1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1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1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1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1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1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1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1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1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1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1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1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1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1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1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1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1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1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1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1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1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1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1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1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1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1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1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1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1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1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1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1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1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1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1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1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1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1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1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1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1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1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1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1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1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1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1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1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1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1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1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1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1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1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1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1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1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1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1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1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1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1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1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1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1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1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1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1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1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1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1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1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1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1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1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1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1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1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1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1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1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1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1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1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1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1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1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1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1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1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1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1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1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1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1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1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1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1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1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1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1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1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1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1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1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1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1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1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1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1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1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1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1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1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1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1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1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1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1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1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1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1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1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1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1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1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1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1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1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1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1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1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1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1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1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1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1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1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1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1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1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1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1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1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1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1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1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1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1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1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1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1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1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1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1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1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1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1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1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1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1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1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1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1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1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1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1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1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1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1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1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1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1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1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1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1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1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1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1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1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1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1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1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1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1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1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1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1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1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1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1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1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1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</row>
  </sheetData>
  <dataValidations count="5">
    <dataValidation sqref="B3" showDropDown="0" showInputMessage="0" showErrorMessage="0" allowBlank="1" type="list">
      <formula1>"cal_curr,cal_new"</formula1>
    </dataValidation>
    <dataValidation sqref="B5" showDropDown="0" showInputMessage="0" showErrorMessage="0" allowBlank="1" type="list">
      <formula1>"0-9,10-19,20-39,40-99,100+"</formula1>
    </dataValidation>
    <dataValidation sqref="B6" showDropDown="0" showInputMessage="0" showErrorMessage="0" allowBlank="1" type="list">
      <formula1>"NONPAYER,PAYER"</formula1>
    </dataValidation>
    <dataValidation sqref="B7" showDropDown="0" showInputMessage="0" showErrorMessage="0" allowBlank="1" type="list">
      <formula1>"Expected,Sampled"</formula1>
    </dataValidation>
    <dataValidation sqref="B8" showDropDown="0" showInputMessage="0" showErrorMessage="0" allowBlank="1" type="list">
      <formula1>"p25,p50,p75"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2026-07-10T09:19:53Z</dcterms:created>
  <dcterms:modified xsi:type="dcterms:W3CDTF">2026-07-10T09:19:53Z</dcterms:modified>
</cp:coreProperties>
</file>